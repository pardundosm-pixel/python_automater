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codeName="ThisWorkbook" defaultThemeVersion="166925"/>
  <mc:AlternateContent xmlns:mc="http://schemas.openxmlformats.org/markup-compatibility/2006">
    <mc:Choice Requires="x15">
      <x15ac:absPath xmlns:x15ac="http://schemas.microsoft.com/office/spreadsheetml/2010/11/ac" url="/Users/akmalhakim/Downloads/_NBDAC/Subnasional/parlimen_dun/output/Johor/DUN/P.143_Pagoh/"/>
    </mc:Choice>
  </mc:AlternateContent>
  <xr:revisionPtr revIDLastSave="0" documentId="8_{32714362-8820-D746-99FF-087FF10A65C0}" xr6:coauthVersionLast="47" xr6:coauthVersionMax="47" xr10:uidLastSave="{00000000-0000-0000-0000-000000000000}"/>
  <bookViews>
    <workbookView xWindow="0" yWindow="600" windowWidth="10000" windowHeight="6100" xr2:uid="{1DEFF527-5944-4360-8DB6-79E6A2BB642F}"/>
  </bookViews>
  <sheets>
    <sheet name="14.0_KDNK" sheetId="1" r:id="rId1"/>
    <sheet name="14.0_KDNK_samb" sheetId="2" r:id="rId2"/>
    <sheet name="14.0_KDNK_sambg1" sheetId="3" r:id="rId3"/>
    <sheet name="15.0_Pasaran_Kewagn" sheetId="4" r:id="rId4"/>
    <sheet name="16.0_Akaun_ SP" sheetId="5" r:id="rId5"/>
    <sheet name="17.0_Akaun_ STMK" sheetId="6" r:id="rId6"/>
    <sheet name="18.0_Stok_Modal" sheetId="7" r:id="rId7"/>
    <sheet name="19.0_Imbagn_Pembayaran" sheetId="8" r:id="rId8"/>
    <sheet name="20.0_Eksport_Import" sheetId="9" r:id="rId9"/>
    <sheet name="21.0_Pelancongn_Domestik" sheetId="10" r:id="rId10"/>
    <sheet name="22.0_Pasaran_Buruh" sheetId="11" r:id="rId11"/>
    <sheet name="22.0_Pasaran_Buruh_sambg" sheetId="12" r:id="rId12"/>
    <sheet name="23.0_IHP" sheetId="13" r:id="rId13"/>
    <sheet name="23.1_Harga_Item_Terpilih" sheetId="14" r:id="rId14"/>
    <sheet name="23.1_Harga_Item_Terpilih_sambg)" sheetId="15" r:id="rId15"/>
    <sheet name="24.0_IHPR" sheetId="16" r:id="rId16"/>
    <sheet name="25.0_Kemalangan_Pekerja" sheetId="17" r:id="rId17"/>
    <sheet name="25.0_Kemalangan_Pekerja(samb)" sheetId="18" r:id="rId18"/>
    <sheet name="26.0_Peratusan_Ahli_Parlimen" sheetId="19" r:id="rId19"/>
    <sheet name="27.0_Bilangan_Hakim" sheetId="20" r:id="rId20"/>
    <sheet name="28.0_Bilangan_Hakim_Syariah" sheetId="21" r:id="rId21"/>
    <sheet name="29.0_Bil_KSU" sheetId="22" r:id="rId22"/>
    <sheet name="30.0_Bil_Murid" sheetId="23" r:id="rId23"/>
    <sheet name="31.0_Jenayah_violent" sheetId="24" r:id="rId24"/>
    <sheet name="31.1_Jenayah_harta" sheetId="25" r:id="rId25"/>
    <sheet name="32.0_Kemalangan_Jalan_Raya" sheetId="26" r:id="rId26"/>
    <sheet name="33.0 Oku kumulatif" sheetId="27" r:id="rId27"/>
    <sheet name="34.0_Capaian_ICT_Isi_Rumh" sheetId="28" r:id="rId28"/>
    <sheet name="35.0_Pendpatn_Perbelanjaan" sheetId="29" r:id="rId29"/>
    <sheet name="36.0_Penggunaan_Perkapita_PCC" sheetId="30" r:id="rId30"/>
    <sheet name="36.1_Perkapita_Pertanian" sheetId="31" r:id="rId31"/>
    <sheet name="37.0_Purata_Suhu" sheetId="32" r:id="rId32"/>
    <sheet name="37.0_Purata_Suhu_sambg" sheetId="33" r:id="rId33"/>
    <sheet name="37.0_Purata_Suhu_sambg1" sheetId="34" r:id="rId34"/>
    <sheet name="37.0_Purata_Suhu_sambg2" sheetId="35" r:id="rId35"/>
    <sheet name="Jad38_hujan" sheetId="36" r:id="rId36"/>
    <sheet name="Jad38_hujan(samb)" sheetId="37" r:id="rId37"/>
    <sheet name="Jad38_hujan(samb1)" sheetId="38" r:id="rId38"/>
    <sheet name="Jad38_hujan(samb2)" sheetId="39" r:id="rId39"/>
    <sheet name="Jad39 Kelembapan" sheetId="40" r:id="rId40"/>
    <sheet name="Jad39 Kelembapan(samb)" sheetId="41" r:id="rId41"/>
    <sheet name="40.0_Kes_COVID 19" sheetId="42" r:id="rId42"/>
    <sheet name="40.1_Penerima_Vaksin malaysia" sheetId="43" r:id="rId43"/>
    <sheet name="41.0_Agihan_Zakat" sheetId="44"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__123Graph_A" localSheetId="22" hidden="1">'[1]4.9'!#REF!</definedName>
    <definedName name="__123Graph_A" localSheetId="26" hidden="1">'[2]4.9'!#REF!</definedName>
    <definedName name="__123Graph_A" localSheetId="42" hidden="1">'[1]4.9'!#REF!</definedName>
    <definedName name="__123Graph_A" hidden="1">'[1]4.9'!#REF!</definedName>
    <definedName name="__123Graph_A_4" localSheetId="22">#REF!</definedName>
    <definedName name="__123Graph_A_4" localSheetId="26">#REF!</definedName>
    <definedName name="__123Graph_A_4" localSheetId="42">#REF!</definedName>
    <definedName name="__123Graph_A_4">#REF!</definedName>
    <definedName name="__123Graph_ACurrent" localSheetId="22" hidden="1">#REF!</definedName>
    <definedName name="__123Graph_ACurrent" localSheetId="26" hidden="1">#REF!</definedName>
    <definedName name="__123Graph_ACurrent" localSheetId="42" hidden="1">#REF!</definedName>
    <definedName name="__123Graph_ACurrent" hidden="1">#REF!</definedName>
    <definedName name="__123Graph_B" localSheetId="26" hidden="1">'[3]5.16'!$E$36:$K$36</definedName>
    <definedName name="__123Graph_B" hidden="1">'[4]5.11'!$E$15:$J$15</definedName>
    <definedName name="__123Graph_BCurrent" localSheetId="22" hidden="1">#REF!</definedName>
    <definedName name="__123Graph_BCurrent" localSheetId="26" hidden="1">#REF!</definedName>
    <definedName name="__123Graph_BCurrent" localSheetId="42" hidden="1">#REF!</definedName>
    <definedName name="__123Graph_BCurrent" hidden="1">#REF!</definedName>
    <definedName name="__123Graph_C" localSheetId="22" hidden="1">#REF!</definedName>
    <definedName name="__123Graph_C" localSheetId="26" hidden="1">#REF!</definedName>
    <definedName name="__123Graph_C" localSheetId="42" hidden="1">#REF!</definedName>
    <definedName name="__123Graph_C" hidden="1">#REF!</definedName>
    <definedName name="__123Graph_C1" localSheetId="22" hidden="1">#REF!</definedName>
    <definedName name="__123Graph_C1" localSheetId="42" hidden="1">#REF!</definedName>
    <definedName name="__123Graph_C1" hidden="1">#REF!</definedName>
    <definedName name="__123Graph_D" localSheetId="22" hidden="1">'[1]4.3'!#REF!</definedName>
    <definedName name="__123Graph_D" localSheetId="26" hidden="1">'[2]4.3'!#REF!</definedName>
    <definedName name="__123Graph_D" localSheetId="42" hidden="1">'[1]4.3'!#REF!</definedName>
    <definedName name="__123Graph_D" hidden="1">'[1]4.3'!#REF!</definedName>
    <definedName name="__123Graph_E" localSheetId="22" hidden="1">#REF!</definedName>
    <definedName name="__123Graph_E" localSheetId="26" hidden="1">#REF!</definedName>
    <definedName name="__123Graph_E" localSheetId="42" hidden="1">#REF!</definedName>
    <definedName name="__123Graph_E" hidden="1">#REF!</definedName>
    <definedName name="__123Graph_F" localSheetId="22" hidden="1">#REF!</definedName>
    <definedName name="__123Graph_F" localSheetId="26" hidden="1">#REF!</definedName>
    <definedName name="__123Graph_F" localSheetId="42" hidden="1">#REF!</definedName>
    <definedName name="__123Graph_F" hidden="1">#REF!</definedName>
    <definedName name="__123GRaph_G" localSheetId="22" hidden="1">#REF!</definedName>
    <definedName name="__123GRaph_G" localSheetId="42" hidden="1">#REF!</definedName>
    <definedName name="__123GRaph_G" hidden="1">#REF!</definedName>
    <definedName name="__123Graph_LBL_A" localSheetId="22" hidden="1">#REF!</definedName>
    <definedName name="__123Graph_LBL_A" localSheetId="26" hidden="1">#REF!</definedName>
    <definedName name="__123Graph_LBL_A" localSheetId="42" hidden="1">#REF!</definedName>
    <definedName name="__123Graph_LBL_A" hidden="1">#REF!</definedName>
    <definedName name="__123Graph_X" localSheetId="22" hidden="1">'[1]4.9'!#REF!</definedName>
    <definedName name="__123Graph_X" localSheetId="26" hidden="1">'[2]4.9'!#REF!</definedName>
    <definedName name="__123Graph_X" localSheetId="42" hidden="1">'[1]4.9'!#REF!</definedName>
    <definedName name="__123Graph_X" hidden="1">'[1]4.9'!#REF!</definedName>
    <definedName name="__123Graph_X_1" localSheetId="22">#REF!</definedName>
    <definedName name="__123Graph_X_1" localSheetId="26">#REF!</definedName>
    <definedName name="__123Graph_X_1" localSheetId="42">#REF!</definedName>
    <definedName name="__123Graph_X_1">#REF!</definedName>
    <definedName name="__123Graph_XCurrent" localSheetId="22" hidden="1">#REF!</definedName>
    <definedName name="__123Graph_XCurrent" localSheetId="26" hidden="1">#REF!</definedName>
    <definedName name="__123Graph_XCurrent" localSheetId="42" hidden="1">#REF!</definedName>
    <definedName name="__123Graph_XCurrent" hidden="1">#REF!</definedName>
    <definedName name="_123_g" localSheetId="22" hidden="1">#REF!</definedName>
    <definedName name="_123_g" localSheetId="42" hidden="1">#REF!</definedName>
    <definedName name="_123_g" hidden="1">#REF!</definedName>
    <definedName name="_123g" hidden="1">#REF!</definedName>
    <definedName name="_123grakjf_44445" localSheetId="22" hidden="1">#REF!</definedName>
    <definedName name="_123grakjf_44445" localSheetId="42" hidden="1">#REF!</definedName>
    <definedName name="_123grakjf_44445" hidden="1">#REF!</definedName>
    <definedName name="_123Graph_ACurrenrt" localSheetId="22" hidden="1">#REF!</definedName>
    <definedName name="_123Graph_ACurrenrt" localSheetId="26" hidden="1">#REF!</definedName>
    <definedName name="_123Graph_ACurrenrt" localSheetId="42" hidden="1">#REF!</definedName>
    <definedName name="_123Graph_ACurrenrt" hidden="1">#REF!</definedName>
    <definedName name="_123jfhqweufh" localSheetId="22">#REF!</definedName>
    <definedName name="_123jfhqweufh" localSheetId="42">#REF!</definedName>
    <definedName name="_123jfhqweufh">#REF!</definedName>
    <definedName name="_123re" hidden="1">#REF!</definedName>
    <definedName name="_15.9" localSheetId="22" hidden="1">'[5]4.3'!#REF!</definedName>
    <definedName name="_15.9" localSheetId="42" hidden="1">'[5]4.3'!#REF!</definedName>
    <definedName name="_15.9" hidden="1">'[5]4.3'!#REF!</definedName>
    <definedName name="_6.1" hidden="1">'[1]4.9'!#REF!</definedName>
    <definedName name="_7.4a" localSheetId="22" hidden="1">'[6]4.9'!#REF!</definedName>
    <definedName name="_7.4a" localSheetId="42" hidden="1">'[6]4.9'!#REF!</definedName>
    <definedName name="_7.4a" hidden="1">'[6]4.9'!#REF!</definedName>
    <definedName name="_xlnm._FilterDatabase" localSheetId="14" hidden="1">'23.1_Harga_Item_Terpilih_sambg)'!#REF!</definedName>
    <definedName name="_Parse_Out" localSheetId="22" hidden="1">#REF!</definedName>
    <definedName name="_Parse_Out" localSheetId="26" hidden="1">#REF!</definedName>
    <definedName name="_Parse_Out" localSheetId="42" hidden="1">#REF!</definedName>
    <definedName name="_Parse_Out" hidden="1">#REF!</definedName>
    <definedName name="_Sort" localSheetId="22" hidden="1">#REF!</definedName>
    <definedName name="_Sort" localSheetId="26" hidden="1">#REF!</definedName>
    <definedName name="_Sort" localSheetId="42" hidden="1">#REF!</definedName>
    <definedName name="_Sort" hidden="1">#REF!</definedName>
    <definedName name="a" localSheetId="22" hidden="1">#REF!</definedName>
    <definedName name="a" localSheetId="26" hidden="1">#REF!</definedName>
    <definedName name="a" localSheetId="42" hidden="1">#REF!</definedName>
    <definedName name="a" hidden="1">#REF!</definedName>
    <definedName name="aa" localSheetId="22" hidden="1">#REF!</definedName>
    <definedName name="aa" localSheetId="42" hidden="1">#REF!</definedName>
    <definedName name="aa" hidden="1">#REF!</definedName>
    <definedName name="aaa" localSheetId="22">#REF!</definedName>
    <definedName name="aaa" localSheetId="26">#REF!</definedName>
    <definedName name="aaa" localSheetId="42">#REF!</definedName>
    <definedName name="aaa">#REF!</definedName>
    <definedName name="aaab" localSheetId="22">#REF!</definedName>
    <definedName name="aaab" localSheetId="26">#REF!</definedName>
    <definedName name="aaab" localSheetId="42">#REF!</definedName>
    <definedName name="aaab">#REF!</definedName>
    <definedName name="aaad" localSheetId="22">#REF!</definedName>
    <definedName name="aaad" localSheetId="42">#REF!</definedName>
    <definedName name="aaad">#REF!</definedName>
    <definedName name="aaart" localSheetId="22">#REF!</definedName>
    <definedName name="aaart" localSheetId="42">#REF!</definedName>
    <definedName name="aaart">#REF!</definedName>
    <definedName name="aaatr" localSheetId="22">#REF!</definedName>
    <definedName name="aaatr" localSheetId="42">#REF!</definedName>
    <definedName name="aaatr">#REF!</definedName>
    <definedName name="aab" hidden="1">#REF!</definedName>
    <definedName name="ABC" localSheetId="22" hidden="1">#REF!</definedName>
    <definedName name="ABC" localSheetId="26" hidden="1">#REF!</definedName>
    <definedName name="ABC" localSheetId="42" hidden="1">#REF!</definedName>
    <definedName name="ABC" hidden="1">#REF!</definedName>
    <definedName name="abggg" localSheetId="22" hidden="1">'[1]4.9'!#REF!</definedName>
    <definedName name="abggg" localSheetId="26" hidden="1">'[2]4.9'!#REF!</definedName>
    <definedName name="abggg" localSheetId="42" hidden="1">'[1]4.9'!#REF!</definedName>
    <definedName name="abggg" hidden="1">'[1]4.9'!#REF!</definedName>
    <definedName name="afaf" localSheetId="22" hidden="1">'[7]4.9'!#REF!</definedName>
    <definedName name="afaf" localSheetId="42" hidden="1">'[7]4.9'!#REF!</definedName>
    <definedName name="afaf" hidden="1">'[7]4.9'!#REF!</definedName>
    <definedName name="alia" localSheetId="22" hidden="1">#REF!</definedName>
    <definedName name="alia" localSheetId="42" hidden="1">#REF!</definedName>
    <definedName name="alia" hidden="1">#REF!</definedName>
    <definedName name="apa" localSheetId="22" hidden="1">'[8]4.9'!#REF!</definedName>
    <definedName name="apa" localSheetId="42" hidden="1">'[8]4.9'!#REF!</definedName>
    <definedName name="apa" hidden="1">'[8]4.9'!#REF!</definedName>
    <definedName name="apara" localSheetId="22">#REF!</definedName>
    <definedName name="apara" localSheetId="42">#REF!</definedName>
    <definedName name="apara">#REF!</definedName>
    <definedName name="as" localSheetId="22" hidden="1">#REF!</definedName>
    <definedName name="as" localSheetId="26" hidden="1">#REF!</definedName>
    <definedName name="as" localSheetId="42" hidden="1">#REF!</definedName>
    <definedName name="as" hidden="1">#REF!</definedName>
    <definedName name="asas" localSheetId="22">#REF!</definedName>
    <definedName name="asas" localSheetId="42">#REF!</definedName>
    <definedName name="asas">#REF!</definedName>
    <definedName name="ass" localSheetId="22" hidden="1">'[9]4.8'!#REF!</definedName>
    <definedName name="ass" localSheetId="26" hidden="1">'[10]4.8'!#REF!</definedName>
    <definedName name="ass" localSheetId="42" hidden="1">'[9]4.8'!#REF!</definedName>
    <definedName name="ass" hidden="1">'[9]4.8'!#REF!</definedName>
    <definedName name="Asset91" localSheetId="22">#REF!</definedName>
    <definedName name="Asset91" localSheetId="26">#REF!</definedName>
    <definedName name="Asset91" localSheetId="42">#REF!</definedName>
    <definedName name="Asset91">#REF!</definedName>
    <definedName name="Asset92" localSheetId="22">#REF!</definedName>
    <definedName name="Asset92" localSheetId="26">#REF!</definedName>
    <definedName name="Asset92" localSheetId="42">#REF!</definedName>
    <definedName name="Asset92">#REF!</definedName>
    <definedName name="ax" localSheetId="22">#REF!</definedName>
    <definedName name="ax" localSheetId="42">#REF!</definedName>
    <definedName name="ax">#REF!</definedName>
    <definedName name="b" localSheetId="22" hidden="1">#REF!</definedName>
    <definedName name="b" localSheetId="26" hidden="1">#REF!</definedName>
    <definedName name="b" localSheetId="42" hidden="1">#REF!</definedName>
    <definedName name="b" hidden="1">#REF!</definedName>
    <definedName name="bbbg" localSheetId="22">#REF!</definedName>
    <definedName name="bbbg" localSheetId="42">#REF!</definedName>
    <definedName name="bbbg">#REF!</definedName>
    <definedName name="bbbgt" localSheetId="22">#REF!</definedName>
    <definedName name="bbbgt" localSheetId="42">#REF!</definedName>
    <definedName name="bbbgt">#REF!</definedName>
    <definedName name="bbbh" localSheetId="22">#REF!</definedName>
    <definedName name="bbbh" localSheetId="42">#REF!</definedName>
    <definedName name="bbbh">#REF!</definedName>
    <definedName name="bcvb" localSheetId="22">#REF!</definedName>
    <definedName name="bcvb" localSheetId="42">#REF!</definedName>
    <definedName name="bcvb">#REF!</definedName>
    <definedName name="bf" localSheetId="13" hidden="1">'[11]7.6'!#REF!</definedName>
    <definedName name="bf" localSheetId="14" hidden="1">'[11]7.6'!#REF!</definedName>
    <definedName name="bf" localSheetId="22" hidden="1">'[11]7.6'!#REF!</definedName>
    <definedName name="bf" localSheetId="42" hidden="1">'[11]7.6'!#REF!</definedName>
    <definedName name="bf" hidden="1">'[11]7.6'!#REF!</definedName>
    <definedName name="bfeh" localSheetId="22">#REF!</definedName>
    <definedName name="bfeh" localSheetId="42">#REF!</definedName>
    <definedName name="bfeh">#REF!</definedName>
    <definedName name="BH" localSheetId="22">#REF!</definedName>
    <definedName name="BH" localSheetId="42">#REF!</definedName>
    <definedName name="BH">#REF!</definedName>
    <definedName name="bnb" localSheetId="13" hidden="1">'[11]7.6'!#REF!</definedName>
    <definedName name="bnb" localSheetId="14" hidden="1">'[11]7.6'!#REF!</definedName>
    <definedName name="bnb" localSheetId="22" hidden="1">'[11]7.6'!#REF!</definedName>
    <definedName name="bnb" localSheetId="42" hidden="1">'[11]7.6'!#REF!</definedName>
    <definedName name="bnb" hidden="1">'[11]7.6'!#REF!</definedName>
    <definedName name="bnbbbbb" localSheetId="22" hidden="1">'[12]7.6'!#REF!</definedName>
    <definedName name="bnbbbbb" localSheetId="42" hidden="1">'[12]7.6'!#REF!</definedName>
    <definedName name="bnbbbbb" hidden="1">'[12]7.6'!#REF!</definedName>
    <definedName name="BudgetYear" localSheetId="22">#REF!</definedName>
    <definedName name="BudgetYear" localSheetId="42">#REF!</definedName>
    <definedName name="BudgetYear">#REF!</definedName>
    <definedName name="bv" localSheetId="22">#REF!</definedName>
    <definedName name="bv" localSheetId="42">#REF!</definedName>
    <definedName name="bv">#REF!</definedName>
    <definedName name="CalcsDishMatch">#N/A</definedName>
    <definedName name="cc" localSheetId="22">#REF!</definedName>
    <definedName name="cc" localSheetId="26">#REF!</definedName>
    <definedName name="cc" localSheetId="42">#REF!</definedName>
    <definedName name="cc">#REF!</definedName>
    <definedName name="con_05" localSheetId="22">#REF!</definedName>
    <definedName name="con_05" localSheetId="26">#REF!</definedName>
    <definedName name="con_05" localSheetId="42">#REF!</definedName>
    <definedName name="con_05">#REF!</definedName>
    <definedName name="con_06" localSheetId="22">#REF!</definedName>
    <definedName name="con_06" localSheetId="26">#REF!</definedName>
    <definedName name="con_06" localSheetId="42">#REF!</definedName>
    <definedName name="con_06">#REF!</definedName>
    <definedName name="con_07" localSheetId="22">#REF!</definedName>
    <definedName name="con_07" localSheetId="26">#REF!</definedName>
    <definedName name="con_07" localSheetId="42">#REF!</definedName>
    <definedName name="con_07">#REF!</definedName>
    <definedName name="con_08" localSheetId="22">#REF!</definedName>
    <definedName name="con_08" localSheetId="26">#REF!</definedName>
    <definedName name="con_08" localSheetId="42">#REF!</definedName>
    <definedName name="con_08">#REF!</definedName>
    <definedName name="con_09" localSheetId="22">#REF!</definedName>
    <definedName name="con_09" localSheetId="26">#REF!</definedName>
    <definedName name="con_09" localSheetId="42">#REF!</definedName>
    <definedName name="con_09">#REF!</definedName>
    <definedName name="con_10" localSheetId="22">#REF!</definedName>
    <definedName name="con_10" localSheetId="26">#REF!</definedName>
    <definedName name="con_10" localSheetId="42">#REF!</definedName>
    <definedName name="con_10">#REF!</definedName>
    <definedName name="con_11" localSheetId="22">#REF!</definedName>
    <definedName name="con_11" localSheetId="26">#REF!</definedName>
    <definedName name="con_11" localSheetId="42">#REF!</definedName>
    <definedName name="con_11">#REF!</definedName>
    <definedName name="con_13p" localSheetId="22">#REF!</definedName>
    <definedName name="con_13p" localSheetId="42">#REF!</definedName>
    <definedName name="con_13p">#REF!</definedName>
    <definedName name="con_14p" localSheetId="22">#REF!</definedName>
    <definedName name="con_14p" localSheetId="42">#REF!</definedName>
    <definedName name="con_14p">#REF!</definedName>
    <definedName name="cons_12p" localSheetId="22">#REF!</definedName>
    <definedName name="cons_12p" localSheetId="26">#REF!</definedName>
    <definedName name="cons_12p" localSheetId="42">#REF!</definedName>
    <definedName name="cons_12p">#REF!</definedName>
    <definedName name="cons_2005" localSheetId="13">[13]VA_CONSTANT!$A$3:$Z$21</definedName>
    <definedName name="cons_2005" localSheetId="14">[13]VA_CONSTANT!$A$3:$Z$21</definedName>
    <definedName name="cons_2005" localSheetId="26">[11]VA_CONSTANT!$A$3:$Z$21</definedName>
    <definedName name="cons_2005">[13]VA_CONSTANT!$A$3:$Z$21</definedName>
    <definedName name="cons_2006" localSheetId="13">[13]VA_CONSTANT!$A$25:$Z$43</definedName>
    <definedName name="cons_2006" localSheetId="14">[13]VA_CONSTANT!$A$25:$Z$43</definedName>
    <definedName name="cons_2006" localSheetId="26">[11]VA_CONSTANT!$A$25:$Z$43</definedName>
    <definedName name="cons_2006">[13]VA_CONSTANT!$A$25:$Z$43</definedName>
    <definedName name="cons_2007" localSheetId="13">[13]VA_CONSTANT!$A$47:$Z$65</definedName>
    <definedName name="cons_2007" localSheetId="14">[13]VA_CONSTANT!$A$47:$Z$65</definedName>
    <definedName name="cons_2007" localSheetId="26">[11]VA_CONSTANT!$A$47:$Z$65</definedName>
    <definedName name="cons_2007">[13]VA_CONSTANT!$A$47:$Z$65</definedName>
    <definedName name="cons_2008" localSheetId="13">[13]VA_CONSTANT!$A$69:$Z$87</definedName>
    <definedName name="cons_2008" localSheetId="14">[13]VA_CONSTANT!$A$69:$Z$87</definedName>
    <definedName name="cons_2008" localSheetId="26">[11]VA_CONSTANT!$A$69:$Z$87</definedName>
    <definedName name="cons_2008">[13]VA_CONSTANT!$A$69:$Z$87</definedName>
    <definedName name="cons_2009" localSheetId="13">[13]VA_CONSTANT!$A$91:$Z$109</definedName>
    <definedName name="cons_2009" localSheetId="14">[13]VA_CONSTANT!$A$91:$Z$109</definedName>
    <definedName name="cons_2009" localSheetId="26">[11]VA_CONSTANT!$A$91:$Z$109</definedName>
    <definedName name="cons_2009">[13]VA_CONSTANT!$A$91:$Z$109</definedName>
    <definedName name="cons_2010" localSheetId="13">[13]VA_CONSTANT!$A$113:$Z$131</definedName>
    <definedName name="cons_2010" localSheetId="14">[13]VA_CONSTANT!$A$113:$Z$131</definedName>
    <definedName name="cons_2010" localSheetId="26">[11]VA_CONSTANT!$A$113:$Z$131</definedName>
    <definedName name="cons_2010">[13]VA_CONSTANT!$A$113:$Z$131</definedName>
    <definedName name="cons_2011" localSheetId="13">[13]VA_CONSTANT!$A$135:$Z$153</definedName>
    <definedName name="cons_2011" localSheetId="14">[13]VA_CONSTANT!$A$135:$Z$153</definedName>
    <definedName name="cons_2011" localSheetId="26">[11]VA_CONSTANT!$A$135:$Z$153</definedName>
    <definedName name="cons_2011">[13]VA_CONSTANT!$A$135:$Z$153</definedName>
    <definedName name="cons_2012" localSheetId="13">[13]VA_CONSTANT!$A$157:$Z$175</definedName>
    <definedName name="cons_2012" localSheetId="14">[13]VA_CONSTANT!$A$157:$Z$175</definedName>
    <definedName name="cons_2012" localSheetId="26">[11]VA_CONSTANT!$A$157:$Z$175</definedName>
    <definedName name="cons_2012">[13]VA_CONSTANT!$A$157:$Z$175</definedName>
    <definedName name="cons_2013" localSheetId="13">[13]VA_CONSTANT!$A$179:$Z$197</definedName>
    <definedName name="cons_2013" localSheetId="14">[13]VA_CONSTANT!$A$179:$Z$197</definedName>
    <definedName name="cons_2013" localSheetId="26">[11]VA_CONSTANT!$A$179:$Z$197</definedName>
    <definedName name="cons_2013">[13]VA_CONSTANT!$A$179:$Z$197</definedName>
    <definedName name="cons_2013p" localSheetId="22">#REF!</definedName>
    <definedName name="cons_2013p" localSheetId="26">#REF!</definedName>
    <definedName name="cons_2013p" localSheetId="42">#REF!</definedName>
    <definedName name="cons_2013p">#REF!</definedName>
    <definedName name="cons_2013po" localSheetId="22">#REF!</definedName>
    <definedName name="cons_2013po" localSheetId="42">#REF!</definedName>
    <definedName name="cons_2013po">#REF!</definedName>
    <definedName name="cons_22445" localSheetId="22">#REF!</definedName>
    <definedName name="cons_22445" localSheetId="42">#REF!</definedName>
    <definedName name="cons_22445">#REF!</definedName>
    <definedName name="cons_data" localSheetId="13">[13]VA_CONSTANT!$A$1:$Z$197</definedName>
    <definedName name="cons_data" localSheetId="14">[13]VA_CONSTANT!$A$1:$Z$197</definedName>
    <definedName name="cons_data" localSheetId="26">[11]VA_CONSTANT!$A$1:$Z$197</definedName>
    <definedName name="cons_data">[13]VA_CONSTANT!$A$1:$Z$197</definedName>
    <definedName name="_xlnm.Criteria" localSheetId="22">#REF!</definedName>
    <definedName name="_xlnm.Criteria" localSheetId="42">#REF!</definedName>
    <definedName name="_xlnm.Criteria">#REF!</definedName>
    <definedName name="cur_0" localSheetId="22">#REF!</definedName>
    <definedName name="cur_0" localSheetId="26">#REF!</definedName>
    <definedName name="cur_0" localSheetId="42">#REF!</definedName>
    <definedName name="cur_0">#REF!</definedName>
    <definedName name="cur_05" localSheetId="22">#REF!</definedName>
    <definedName name="cur_05" localSheetId="26">#REF!</definedName>
    <definedName name="cur_05" localSheetId="42">#REF!</definedName>
    <definedName name="cur_05">#REF!</definedName>
    <definedName name="cur_06" localSheetId="22">#REF!</definedName>
    <definedName name="cur_06" localSheetId="26">#REF!</definedName>
    <definedName name="cur_06" localSheetId="42">#REF!</definedName>
    <definedName name="cur_06">#REF!</definedName>
    <definedName name="cur_07" localSheetId="22">#REF!</definedName>
    <definedName name="cur_07" localSheetId="26">#REF!</definedName>
    <definedName name="cur_07" localSheetId="42">#REF!</definedName>
    <definedName name="cur_07">#REF!</definedName>
    <definedName name="cur_070" localSheetId="22">#REF!</definedName>
    <definedName name="cur_070" localSheetId="42">#REF!</definedName>
    <definedName name="cur_070">#REF!</definedName>
    <definedName name="cur_08" localSheetId="22">#REF!</definedName>
    <definedName name="cur_08" localSheetId="26">#REF!</definedName>
    <definedName name="cur_08" localSheetId="42">#REF!</definedName>
    <definedName name="cur_08">#REF!</definedName>
    <definedName name="cur_09" localSheetId="22">#REF!</definedName>
    <definedName name="cur_09" localSheetId="26">#REF!</definedName>
    <definedName name="cur_09" localSheetId="42">#REF!</definedName>
    <definedName name="cur_09">#REF!</definedName>
    <definedName name="cur_10" localSheetId="22">#REF!</definedName>
    <definedName name="cur_10" localSheetId="26">#REF!</definedName>
    <definedName name="cur_10" localSheetId="42">#REF!</definedName>
    <definedName name="cur_10">#REF!</definedName>
    <definedName name="cur_11" localSheetId="22">#REF!</definedName>
    <definedName name="cur_11" localSheetId="26">#REF!</definedName>
    <definedName name="cur_11" localSheetId="42">#REF!</definedName>
    <definedName name="cur_11">#REF!</definedName>
    <definedName name="cur_12p" localSheetId="22">#REF!</definedName>
    <definedName name="cur_12p" localSheetId="26">#REF!</definedName>
    <definedName name="cur_12p" localSheetId="42">#REF!</definedName>
    <definedName name="cur_12p">#REF!</definedName>
    <definedName name="cur_13p" localSheetId="22">#REF!</definedName>
    <definedName name="cur_13p" localSheetId="42">#REF!</definedName>
    <definedName name="cur_13p">#REF!</definedName>
    <definedName name="cur_14p" localSheetId="22">#REF!</definedName>
    <definedName name="cur_14p" localSheetId="42">#REF!</definedName>
    <definedName name="cur_14p">#REF!</definedName>
    <definedName name="cur_2013p" localSheetId="22">#REF!</definedName>
    <definedName name="cur_2013p" localSheetId="26">#REF!</definedName>
    <definedName name="cur_2013p" localSheetId="42">#REF!</definedName>
    <definedName name="cur_2013p">#REF!</definedName>
    <definedName name="cur_45" localSheetId="22">#REF!</definedName>
    <definedName name="cur_45" localSheetId="26">#REF!</definedName>
    <definedName name="cur_45" localSheetId="42">#REF!</definedName>
    <definedName name="cur_45">#REF!</definedName>
    <definedName name="cur_52369" localSheetId="22">#REF!</definedName>
    <definedName name="cur_52369" localSheetId="26">#REF!</definedName>
    <definedName name="cur_52369" localSheetId="42">#REF!</definedName>
    <definedName name="cur_52369">#REF!</definedName>
    <definedName name="curr13" localSheetId="22">#REF!</definedName>
    <definedName name="curr13" localSheetId="42">#REF!</definedName>
    <definedName name="curr13">#REF!</definedName>
    <definedName name="cvxc" localSheetId="22" hidden="1">#REF!</definedName>
    <definedName name="cvxc" localSheetId="42" hidden="1">#REF!</definedName>
    <definedName name="cvxc" hidden="1">#REF!</definedName>
    <definedName name="cx" localSheetId="22">#REF!</definedName>
    <definedName name="cx" localSheetId="42">#REF!</definedName>
    <definedName name="cx">#REF!</definedName>
    <definedName name="CY_1225" localSheetId="22">#REF!</definedName>
    <definedName name="CY_1225" localSheetId="42">#REF!</definedName>
    <definedName name="CY_1225">#REF!</definedName>
    <definedName name="d" localSheetId="22">#REF!</definedName>
    <definedName name="d" localSheetId="26">#REF!</definedName>
    <definedName name="d" localSheetId="42">#REF!</definedName>
    <definedName name="d">#REF!</definedName>
    <definedName name="dasdasd" localSheetId="22">#REF!</definedName>
    <definedName name="dasdasd" localSheetId="26">#REF!</definedName>
    <definedName name="dasdasd" localSheetId="42">#REF!</definedName>
    <definedName name="dasdasd">#REF!</definedName>
    <definedName name="db" hidden="1">'[14]4.8'!#REF!</definedName>
    <definedName name="dccv" localSheetId="22">#REF!</definedName>
    <definedName name="dccv" localSheetId="42">#REF!</definedName>
    <definedName name="dccv">#REF!</definedName>
    <definedName name="dd" localSheetId="22" hidden="1">#REF!</definedName>
    <definedName name="dd" localSheetId="42" hidden="1">#REF!</definedName>
    <definedName name="dd" hidden="1">#REF!</definedName>
    <definedName name="ddd" localSheetId="22">#REF!</definedName>
    <definedName name="ddd" localSheetId="26">#REF!</definedName>
    <definedName name="ddd" localSheetId="42">#REF!</definedName>
    <definedName name="ddd">#REF!</definedName>
    <definedName name="dddfrt" localSheetId="22">#REF!</definedName>
    <definedName name="dddfrt" localSheetId="42">#REF!</definedName>
    <definedName name="dddfrt">#REF!</definedName>
    <definedName name="ddds" localSheetId="22">#REF!</definedName>
    <definedName name="ddds" localSheetId="42">#REF!</definedName>
    <definedName name="ddds">#REF!</definedName>
    <definedName name="dfcsz" localSheetId="22" hidden="1">'[7]4.9'!#REF!</definedName>
    <definedName name="dfcsz" localSheetId="42" hidden="1">'[7]4.9'!#REF!</definedName>
    <definedName name="dfcsz" hidden="1">'[7]4.9'!#REF!</definedName>
    <definedName name="dfd" localSheetId="22" hidden="1">'[7]4.9'!#REF!</definedName>
    <definedName name="dfd" localSheetId="42" hidden="1">'[7]4.9'!#REF!</definedName>
    <definedName name="dfd" hidden="1">'[7]4.9'!#REF!</definedName>
    <definedName name="dfdfvz" localSheetId="22">#REF!</definedName>
    <definedName name="dfdfvz" localSheetId="42">#REF!</definedName>
    <definedName name="dfdfvz">#REF!</definedName>
    <definedName name="dfdxv" localSheetId="22">#REF!</definedName>
    <definedName name="dfdxv" localSheetId="42">#REF!</definedName>
    <definedName name="dfdxv">#REF!</definedName>
    <definedName name="dfg" localSheetId="22">#REF!</definedName>
    <definedName name="dfg" localSheetId="42">#REF!</definedName>
    <definedName name="dfg">#REF!</definedName>
    <definedName name="dfhf" localSheetId="22">#REF!</definedName>
    <definedName name="dfhf" localSheetId="42">#REF!</definedName>
    <definedName name="dfhf">#REF!</definedName>
    <definedName name="DFRG" localSheetId="22">#REF!</definedName>
    <definedName name="DFRG" localSheetId="42">#REF!</definedName>
    <definedName name="DFRG">#REF!</definedName>
    <definedName name="dfs" localSheetId="22">#REF!</definedName>
    <definedName name="dfs" localSheetId="42">#REF!</definedName>
    <definedName name="dfs">#REF!</definedName>
    <definedName name="dfsd" localSheetId="22" hidden="1">#REF!</definedName>
    <definedName name="dfsd" localSheetId="42" hidden="1">#REF!</definedName>
    <definedName name="dfsd" hidden="1">#REF!</definedName>
    <definedName name="dfvd" localSheetId="22" hidden="1">'[7]4.9'!#REF!</definedName>
    <definedName name="dfvd" localSheetId="42" hidden="1">'[7]4.9'!#REF!</definedName>
    <definedName name="dfvd" hidden="1">'[7]4.9'!#REF!</definedName>
    <definedName name="DishSelection" localSheetId="22">#REF!</definedName>
    <definedName name="DishSelection" localSheetId="42">#REF!</definedName>
    <definedName name="DishSelection">#REF!</definedName>
    <definedName name="ds" localSheetId="22" hidden="1">'[9]4.8'!#REF!</definedName>
    <definedName name="ds" localSheetId="26" hidden="1">'[10]4.8'!#REF!</definedName>
    <definedName name="ds" localSheetId="42" hidden="1">'[9]4.8'!#REF!</definedName>
    <definedName name="ds" hidden="1">'[9]4.8'!#REF!</definedName>
    <definedName name="dvcx" localSheetId="22">#REF!</definedName>
    <definedName name="dvcx" localSheetId="42">#REF!</definedName>
    <definedName name="dvcx">#REF!</definedName>
    <definedName name="dvvc" localSheetId="22">#REF!</definedName>
    <definedName name="dvvc" localSheetId="42">#REF!</definedName>
    <definedName name="dvvc">#REF!</definedName>
    <definedName name="dxcx" localSheetId="22">#REF!</definedName>
    <definedName name="dxcx" localSheetId="42">#REF!</definedName>
    <definedName name="dxcx">#REF!</definedName>
    <definedName name="e" localSheetId="22">#REF!</definedName>
    <definedName name="e" localSheetId="26">#REF!</definedName>
    <definedName name="e" localSheetId="42">#REF!</definedName>
    <definedName name="e">#REF!</definedName>
    <definedName name="ER" localSheetId="22" hidden="1">'[14]4.8'!#REF!</definedName>
    <definedName name="ER" localSheetId="26" hidden="1">'[15]4.8'!#REF!</definedName>
    <definedName name="ER" localSheetId="42" hidden="1">'[14]4.8'!#REF!</definedName>
    <definedName name="ER" hidden="1">'[14]4.8'!#REF!</definedName>
    <definedName name="EST" localSheetId="22" hidden="1">'[1]4.9'!#REF!</definedName>
    <definedName name="EST" localSheetId="26" hidden="1">'[2]4.9'!#REF!</definedName>
    <definedName name="EST" localSheetId="42" hidden="1">'[1]4.9'!#REF!</definedName>
    <definedName name="EST" hidden="1">'[1]4.9'!#REF!</definedName>
    <definedName name="f" localSheetId="22">#REF!</definedName>
    <definedName name="f" localSheetId="26">#REF!</definedName>
    <definedName name="f" localSheetId="42">#REF!</definedName>
    <definedName name="f">#REF!</definedName>
    <definedName name="fbxd" localSheetId="22">#REF!</definedName>
    <definedName name="fbxd" localSheetId="42">#REF!</definedName>
    <definedName name="fbxd">#REF!</definedName>
    <definedName name="fdf" localSheetId="22">#REF!</definedName>
    <definedName name="fdf" localSheetId="42">#REF!</definedName>
    <definedName name="fdf">#REF!</definedName>
    <definedName name="fdfa" localSheetId="22">#REF!</definedName>
    <definedName name="fdfa" localSheetId="42">#REF!</definedName>
    <definedName name="fdfa">#REF!</definedName>
    <definedName name="fdgdf" localSheetId="22">#REF!</definedName>
    <definedName name="fdgdf" localSheetId="42">#REF!</definedName>
    <definedName name="fdgdf">#REF!</definedName>
    <definedName name="fdgf" localSheetId="22">#REF!</definedName>
    <definedName name="fdgf" localSheetId="42">#REF!</definedName>
    <definedName name="fdgf">#REF!</definedName>
    <definedName name="female" localSheetId="22" hidden="1">'[14]4.8'!#REF!</definedName>
    <definedName name="female" localSheetId="26" hidden="1">'[15]4.8'!#REF!</definedName>
    <definedName name="female" localSheetId="42" hidden="1">'[14]4.8'!#REF!</definedName>
    <definedName name="female" hidden="1">'[14]4.8'!#REF!</definedName>
    <definedName name="ff" localSheetId="22">#REF!</definedName>
    <definedName name="ff" localSheetId="26">#REF!</definedName>
    <definedName name="ff" localSheetId="42">#REF!</definedName>
    <definedName name="ff">#REF!</definedName>
    <definedName name="fffh" localSheetId="22">#REF!</definedName>
    <definedName name="fffh" localSheetId="42">#REF!</definedName>
    <definedName name="fffh">#REF!</definedName>
    <definedName name="fffrt" localSheetId="22">#REF!</definedName>
    <definedName name="fffrt" localSheetId="42">#REF!</definedName>
    <definedName name="fffrt">#REF!</definedName>
    <definedName name="ffft" localSheetId="22">#REF!</definedName>
    <definedName name="ffft" localSheetId="42">#REF!</definedName>
    <definedName name="ffft">#REF!</definedName>
    <definedName name="fgd" localSheetId="22">#REF!</definedName>
    <definedName name="fgd" localSheetId="42">#REF!</definedName>
    <definedName name="fgd">#REF!</definedName>
    <definedName name="fgdf" localSheetId="22">#REF!</definedName>
    <definedName name="fgdf" localSheetId="42">#REF!</definedName>
    <definedName name="fgdf">#REF!</definedName>
    <definedName name="fgfg" localSheetId="22">#REF!</definedName>
    <definedName name="fgfg" localSheetId="42">#REF!</definedName>
    <definedName name="fgfg">#REF!</definedName>
    <definedName name="fghf" localSheetId="22">#REF!</definedName>
    <definedName name="fghf" localSheetId="42">#REF!</definedName>
    <definedName name="fghf">#REF!</definedName>
    <definedName name="fghfg" localSheetId="22">#REF!</definedName>
    <definedName name="fghfg" localSheetId="42">#REF!</definedName>
    <definedName name="fghfg">#REF!</definedName>
    <definedName name="fret" localSheetId="22">#REF!</definedName>
    <definedName name="fret" localSheetId="42">#REF!</definedName>
    <definedName name="fret">#REF!</definedName>
    <definedName name="fsd" localSheetId="22">#REF!</definedName>
    <definedName name="fsd" localSheetId="42">#REF!</definedName>
    <definedName name="fsd">#REF!</definedName>
    <definedName name="g" localSheetId="22">#REF!</definedName>
    <definedName name="g" localSheetId="26">#REF!</definedName>
    <definedName name="g" localSheetId="42">#REF!</definedName>
    <definedName name="g">#REF!</definedName>
    <definedName name="gd" localSheetId="22" hidden="1">'[14]4.8'!#REF!</definedName>
    <definedName name="gd" localSheetId="26" hidden="1">'[15]4.8'!#REF!</definedName>
    <definedName name="gd" localSheetId="42" hidden="1">'[14]4.8'!#REF!</definedName>
    <definedName name="gd" hidden="1">'[14]4.8'!#REF!</definedName>
    <definedName name="gdfg" localSheetId="22">#REF!</definedName>
    <definedName name="gdfg" localSheetId="42">#REF!</definedName>
    <definedName name="gdfg">#REF!</definedName>
    <definedName name="gdgdh" localSheetId="22">#REF!</definedName>
    <definedName name="gdgdh" localSheetId="42">#REF!</definedName>
    <definedName name="gdgdh">#REF!</definedName>
    <definedName name="gfdgf" localSheetId="22">#REF!</definedName>
    <definedName name="gfdgf" localSheetId="42">#REF!</definedName>
    <definedName name="gfdgf">#REF!</definedName>
    <definedName name="gfgdt" localSheetId="22">#REF!</definedName>
    <definedName name="gfgdt" localSheetId="42">#REF!</definedName>
    <definedName name="gfgdt">#REF!</definedName>
    <definedName name="gfhf" localSheetId="22">#REF!</definedName>
    <definedName name="gfhf" localSheetId="42">#REF!</definedName>
    <definedName name="gfhf">#REF!</definedName>
    <definedName name="gfhfg" localSheetId="22">#REF!</definedName>
    <definedName name="gfhfg" localSheetId="42">#REF!</definedName>
    <definedName name="gfhfg">#REF!</definedName>
    <definedName name="ggdf" localSheetId="22" hidden="1">'[16]4.8'!#REF!</definedName>
    <definedName name="ggdf" localSheetId="42" hidden="1">'[16]4.8'!#REF!</definedName>
    <definedName name="ggdf" hidden="1">'[16]4.8'!#REF!</definedName>
    <definedName name="gggdt" localSheetId="22">#REF!</definedName>
    <definedName name="gggdt" localSheetId="42">#REF!</definedName>
    <definedName name="gggdt">#REF!</definedName>
    <definedName name="gggghn" localSheetId="22">#REF!</definedName>
    <definedName name="gggghn" localSheetId="42">#REF!</definedName>
    <definedName name="gggghn">#REF!</definedName>
    <definedName name="ggggt" localSheetId="22">#REF!</definedName>
    <definedName name="ggggt" localSheetId="42">#REF!</definedName>
    <definedName name="ggggt">#REF!</definedName>
    <definedName name="gggt" localSheetId="22">#REF!</definedName>
    <definedName name="gggt" localSheetId="42">#REF!</definedName>
    <definedName name="gggt">#REF!</definedName>
    <definedName name="ghfjk" localSheetId="22">#REF!</definedName>
    <definedName name="ghfjk" localSheetId="26">#REF!</definedName>
    <definedName name="ghfjk" localSheetId="42">#REF!</definedName>
    <definedName name="ghfjk">#REF!</definedName>
    <definedName name="gombak" localSheetId="22">#REF!</definedName>
    <definedName name="gombak" localSheetId="42">#REF!</definedName>
    <definedName name="gombak">#REF!</definedName>
    <definedName name="graph" localSheetId="22" hidden="1">'[17]4.9'!#REF!</definedName>
    <definedName name="graph" localSheetId="42" hidden="1">'[17]4.9'!#REF!</definedName>
    <definedName name="graph" hidden="1">'[17]4.9'!#REF!</definedName>
    <definedName name="gyht" localSheetId="22">#REF!</definedName>
    <definedName name="gyht" localSheetId="42">#REF!</definedName>
    <definedName name="gyht">#REF!</definedName>
    <definedName name="h" localSheetId="22">#REF!</definedName>
    <definedName name="h" localSheetId="26">#REF!</definedName>
    <definedName name="h" localSheetId="42">#REF!</definedName>
    <definedName name="h">#REF!</definedName>
    <definedName name="hb" hidden="1">'[14]4.8'!#REF!</definedName>
    <definedName name="head" localSheetId="22">#REF!</definedName>
    <definedName name="head" localSheetId="26">#REF!</definedName>
    <definedName name="head" localSheetId="42">#REF!</definedName>
    <definedName name="head">#REF!</definedName>
    <definedName name="hep" localSheetId="22">#REF!</definedName>
    <definedName name="hep" localSheetId="42">#REF!</definedName>
    <definedName name="hep">#REF!</definedName>
    <definedName name="hft" localSheetId="22">#REF!</definedName>
    <definedName name="hft" localSheetId="42">#REF!</definedName>
    <definedName name="hft">#REF!</definedName>
    <definedName name="hgt" localSheetId="22" hidden="1">'[7]4.9'!#REF!</definedName>
    <definedName name="hgt" localSheetId="42" hidden="1">'[7]4.9'!#REF!</definedName>
    <definedName name="hgt" hidden="1">'[7]4.9'!#REF!</definedName>
    <definedName name="hh" localSheetId="22">#REF!</definedName>
    <definedName name="hh" localSheetId="42">#REF!</definedName>
    <definedName name="hh">#REF!</definedName>
    <definedName name="hhft" localSheetId="22">#REF!</definedName>
    <definedName name="hhft" localSheetId="42">#REF!</definedName>
    <definedName name="hhft">#REF!</definedName>
    <definedName name="hhhgt" localSheetId="22">#REF!</definedName>
    <definedName name="hhhgt" localSheetId="42">#REF!</definedName>
    <definedName name="hhhgt">#REF!</definedName>
    <definedName name="hhhhjy" localSheetId="22">#REF!</definedName>
    <definedName name="hhhhjy" localSheetId="42">#REF!</definedName>
    <definedName name="hhhhjy">#REF!</definedName>
    <definedName name="hhhht" localSheetId="22">#REF!</definedName>
    <definedName name="hhhht" localSheetId="42">#REF!</definedName>
    <definedName name="hhhht">#REF!</definedName>
    <definedName name="hhjy" localSheetId="22">#REF!</definedName>
    <definedName name="hhjy" localSheetId="42">#REF!</definedName>
    <definedName name="hhjy">#REF!</definedName>
    <definedName name="hjg" localSheetId="22">#REF!</definedName>
    <definedName name="hjg" localSheetId="42">#REF!</definedName>
    <definedName name="hjg">#REF!</definedName>
    <definedName name="hjgy" localSheetId="22">#REF!</definedName>
    <definedName name="hjgy" localSheetId="42">#REF!</definedName>
    <definedName name="hjgy">#REF!</definedName>
    <definedName name="iii" localSheetId="22">#REF!</definedName>
    <definedName name="iii" localSheetId="26">#REF!</definedName>
    <definedName name="iii" localSheetId="42">#REF!</definedName>
    <definedName name="iii">#REF!</definedName>
    <definedName name="iiiii" localSheetId="22" hidden="1">#REF!</definedName>
    <definedName name="iiiii" localSheetId="42" hidden="1">#REF!</definedName>
    <definedName name="iiiii" hidden="1">#REF!</definedName>
    <definedName name="j" localSheetId="22">#REF!</definedName>
    <definedName name="j" localSheetId="26">#REF!</definedName>
    <definedName name="j" localSheetId="42">#REF!</definedName>
    <definedName name="j">#REF!</definedName>
    <definedName name="jb" localSheetId="22">#REF!</definedName>
    <definedName name="jb" localSheetId="42">#REF!</definedName>
    <definedName name="jb">#REF!</definedName>
    <definedName name="jjj" localSheetId="22">#REF!</definedName>
    <definedName name="jjj" localSheetId="42">#REF!</definedName>
    <definedName name="jjj">#REF!</definedName>
    <definedName name="jjjt" localSheetId="22">#REF!</definedName>
    <definedName name="jjjt" localSheetId="42">#REF!</definedName>
    <definedName name="jjjt">#REF!</definedName>
    <definedName name="jjjtg" localSheetId="22">#REF!</definedName>
    <definedName name="jjjtg" localSheetId="42">#REF!</definedName>
    <definedName name="jjjtg">#REF!</definedName>
    <definedName name="jjju" localSheetId="22">#REF!</definedName>
    <definedName name="jjju" localSheetId="42">#REF!</definedName>
    <definedName name="jjju">#REF!</definedName>
    <definedName name="jjjy" localSheetId="22">#REF!</definedName>
    <definedName name="jjjy" localSheetId="42">#REF!</definedName>
    <definedName name="jjjy">#REF!</definedName>
    <definedName name="johor" localSheetId="22" hidden="1">'[18]7.6'!#REF!</definedName>
    <definedName name="johor" localSheetId="26" hidden="1">'[19]7.6'!#REF!</definedName>
    <definedName name="johor" localSheetId="42" hidden="1">'[18]7.6'!#REF!</definedName>
    <definedName name="johor" hidden="1">'[18]7.6'!#REF!</definedName>
    <definedName name="JOHOR1" localSheetId="22" hidden="1">'[20]4.9'!#REF!</definedName>
    <definedName name="JOHOR1" localSheetId="26" hidden="1">'[21]4.9'!#REF!</definedName>
    <definedName name="JOHOR1" localSheetId="42" hidden="1">'[20]4.9'!#REF!</definedName>
    <definedName name="JOHOR1" hidden="1">'[20]4.9'!#REF!</definedName>
    <definedName name="k" localSheetId="22">#REF!</definedName>
    <definedName name="k" localSheetId="26">#REF!</definedName>
    <definedName name="k" localSheetId="42">#REF!</definedName>
    <definedName name="k">#REF!</definedName>
    <definedName name="kelantan" localSheetId="22" hidden="1">#REF!</definedName>
    <definedName name="kelantan" localSheetId="42" hidden="1">#REF!</definedName>
    <definedName name="kelantan" hidden="1">#REF!</definedName>
    <definedName name="kemudahan_internet" localSheetId="22">#REF!</definedName>
    <definedName name="kemudahan_internet" localSheetId="42">#REF!</definedName>
    <definedName name="kemudahan_internet">#REF!</definedName>
    <definedName name="kk" localSheetId="22">#REF!</definedName>
    <definedName name="kk" localSheetId="42">#REF!</definedName>
    <definedName name="kk">#REF!</definedName>
    <definedName name="Kod_01" localSheetId="22">#REF!</definedName>
    <definedName name="Kod_01" localSheetId="26">#REF!</definedName>
    <definedName name="Kod_01" localSheetId="42">#REF!</definedName>
    <definedName name="Kod_01">#REF!</definedName>
    <definedName name="l" localSheetId="22" hidden="1">#REF!</definedName>
    <definedName name="l" localSheetId="42" hidden="1">#REF!</definedName>
    <definedName name="l" hidden="1">#REF!</definedName>
    <definedName name="lia" localSheetId="22">#REF!</definedName>
    <definedName name="lia" localSheetId="42">#REF!</definedName>
    <definedName name="lia">#REF!</definedName>
    <definedName name="LINK_BORONG" localSheetId="22">#REF!</definedName>
    <definedName name="LINK_BORONG" localSheetId="26">#REF!</definedName>
    <definedName name="LINK_BORONG" localSheetId="42">#REF!</definedName>
    <definedName name="LINK_BORONG">#REF!</definedName>
    <definedName name="LINK_MOTOR" localSheetId="22">#REF!</definedName>
    <definedName name="LINK_MOTOR" localSheetId="26">#REF!</definedName>
    <definedName name="LINK_MOTOR" localSheetId="42">#REF!</definedName>
    <definedName name="LINK_MOTOR">#REF!</definedName>
    <definedName name="LINK_RUNCIT" localSheetId="22">#REF!</definedName>
    <definedName name="LINK_RUNCIT" localSheetId="26">#REF!</definedName>
    <definedName name="LINK_RUNCIT" localSheetId="42">#REF!</definedName>
    <definedName name="LINK_RUNCIT">#REF!</definedName>
    <definedName name="list_sehingga_18012011" localSheetId="22">#REF!</definedName>
    <definedName name="list_sehingga_18012011" localSheetId="26">#REF!</definedName>
    <definedName name="list_sehingga_18012011" localSheetId="42">#REF!</definedName>
    <definedName name="list_sehingga_18012011">#REF!</definedName>
    <definedName name="ll" localSheetId="22">#REF!</definedName>
    <definedName name="ll" localSheetId="26">#REF!</definedName>
    <definedName name="ll" localSheetId="42">#REF!</definedName>
    <definedName name="ll">#REF!</definedName>
    <definedName name="LLL" localSheetId="22">#REF!</definedName>
    <definedName name="LLL" localSheetId="42">#REF!</definedName>
    <definedName name="LLL">#REF!</definedName>
    <definedName name="m" localSheetId="22" hidden="1">'[7]4.9'!#REF!</definedName>
    <definedName name="m" localSheetId="42" hidden="1">'[7]4.9'!#REF!</definedName>
    <definedName name="m" hidden="1">'[7]4.9'!#REF!</definedName>
    <definedName name="malaysia3" localSheetId="22" hidden="1">'[18]7.6'!#REF!</definedName>
    <definedName name="malaysia3" localSheetId="26" hidden="1">'[19]7.6'!#REF!</definedName>
    <definedName name="malaysia3" localSheetId="42" hidden="1">'[18]7.6'!#REF!</definedName>
    <definedName name="malaysia3" hidden="1">'[18]7.6'!#REF!</definedName>
    <definedName name="match_sampel_icdt" localSheetId="22">#REF!</definedName>
    <definedName name="match_sampel_icdt" localSheetId="26">#REF!</definedName>
    <definedName name="match_sampel_icdt" localSheetId="42">#REF!</definedName>
    <definedName name="match_sampel_icdt">#REF!</definedName>
    <definedName name="mg" localSheetId="22" hidden="1">'[22]4.9'!#REF!</definedName>
    <definedName name="mg" localSheetId="42" hidden="1">'[22]4.9'!#REF!</definedName>
    <definedName name="mg" hidden="1">'[22]4.9'!#REF!</definedName>
    <definedName name="mmm" localSheetId="22">#REF!</definedName>
    <definedName name="mmm" localSheetId="42">#REF!</definedName>
    <definedName name="mmm">#REF!</definedName>
    <definedName name="mmmt" localSheetId="22">#REF!</definedName>
    <definedName name="mmmt" localSheetId="42">#REF!</definedName>
    <definedName name="mmmt">#REF!</definedName>
    <definedName name="msic_complete" localSheetId="22">#REF!</definedName>
    <definedName name="msic_complete" localSheetId="26">#REF!</definedName>
    <definedName name="msic_complete" localSheetId="42">#REF!</definedName>
    <definedName name="msic_complete">#REF!</definedName>
    <definedName name="msic_complete_new" localSheetId="22">#REF!</definedName>
    <definedName name="msic_complete_new" localSheetId="26">#REF!</definedName>
    <definedName name="msic_complete_new" localSheetId="42">#REF!</definedName>
    <definedName name="msic_complete_new">#REF!</definedName>
    <definedName name="MultiplierFormula">#N/A</definedName>
    <definedName name="n" localSheetId="22">#REF!</definedName>
    <definedName name="n" localSheetId="26" hidden="1">#REF!</definedName>
    <definedName name="n" localSheetId="42">#REF!</definedName>
    <definedName name="n">#REF!</definedName>
    <definedName name="nama" localSheetId="22">#REF!</definedName>
    <definedName name="nama" localSheetId="26">#REF!</definedName>
    <definedName name="nama" localSheetId="42">#REF!</definedName>
    <definedName name="nama">#REF!</definedName>
    <definedName name="nbbb" localSheetId="22">#REF!</definedName>
    <definedName name="nbbb" localSheetId="42">#REF!</definedName>
    <definedName name="nbbb">#REF!</definedName>
    <definedName name="nbngh" localSheetId="22" hidden="1">#REF!</definedName>
    <definedName name="nbngh" localSheetId="42" hidden="1">#REF!</definedName>
    <definedName name="nbngh" hidden="1">#REF!</definedName>
    <definedName name="nbvn" localSheetId="22">#REF!</definedName>
    <definedName name="nbvn" localSheetId="42">#REF!</definedName>
    <definedName name="nbvn">#REF!</definedName>
    <definedName name="new" localSheetId="22">#REF!</definedName>
    <definedName name="new" localSheetId="42">#REF!</definedName>
    <definedName name="new">#REF!</definedName>
    <definedName name="NGDBBP" localSheetId="22">#REF!</definedName>
    <definedName name="NGDBBP" localSheetId="26">#REF!</definedName>
    <definedName name="NGDBBP" localSheetId="42">#REF!</definedName>
    <definedName name="NGDBBP">#REF!</definedName>
    <definedName name="niira" localSheetId="22">#REF!</definedName>
    <definedName name="niira" localSheetId="42">#REF!</definedName>
    <definedName name="niira">#REF!</definedName>
    <definedName name="njy" localSheetId="22">#REF!</definedName>
    <definedName name="njy" localSheetId="42">#REF!</definedName>
    <definedName name="njy">#REF!</definedName>
    <definedName name="nnngf" localSheetId="22">#REF!</definedName>
    <definedName name="nnngf" localSheetId="42">#REF!</definedName>
    <definedName name="nnngf">#REF!</definedName>
    <definedName name="no" localSheetId="22">#REF!</definedName>
    <definedName name="no" localSheetId="42">#REF!</definedName>
    <definedName name="no">#REF!</definedName>
    <definedName name="noorasiah91" localSheetId="22">#REF!</definedName>
    <definedName name="noorasiah91" localSheetId="26">#REF!</definedName>
    <definedName name="noorasiah91" localSheetId="42">#REF!</definedName>
    <definedName name="noorasiah91">#REF!</definedName>
    <definedName name="nv" localSheetId="22">#REF!</definedName>
    <definedName name="nv" localSheetId="42">#REF!</definedName>
    <definedName name="nv">#REF!</definedName>
    <definedName name="nvbnjg" localSheetId="22">#REF!</definedName>
    <definedName name="nvbnjg" localSheetId="42">#REF!</definedName>
    <definedName name="nvbnjg">#REF!</definedName>
    <definedName name="ok" localSheetId="22">#REF!</definedName>
    <definedName name="ok" localSheetId="26">#REF!</definedName>
    <definedName name="ok" localSheetId="42">#REF!</definedName>
    <definedName name="ok">#REF!</definedName>
    <definedName name="okt" localSheetId="22">#REF!</definedName>
    <definedName name="okt" localSheetId="42">#REF!</definedName>
    <definedName name="okt">#REF!</definedName>
    <definedName name="ooo" localSheetId="22">#REF!</definedName>
    <definedName name="ooo" localSheetId="42">#REF!</definedName>
    <definedName name="ooo">#REF!</definedName>
    <definedName name="oooo" localSheetId="22">#REF!</definedName>
    <definedName name="oooo" localSheetId="26">#REF!</definedName>
    <definedName name="oooo" localSheetId="42">#REF!</definedName>
    <definedName name="oooo">#REF!</definedName>
    <definedName name="ooooo" localSheetId="22">#REF!</definedName>
    <definedName name="ooooo" localSheetId="42">#REF!</definedName>
    <definedName name="ooooo">#REF!</definedName>
    <definedName name="oop" localSheetId="22">#REF!</definedName>
    <definedName name="oop" localSheetId="42">#REF!</definedName>
    <definedName name="oop">#REF!</definedName>
    <definedName name="p" localSheetId="22">#REF!</definedName>
    <definedName name="p" localSheetId="42">#REF!</definedName>
    <definedName name="p">#REF!</definedName>
    <definedName name="pendidikan" localSheetId="22">#REF!</definedName>
    <definedName name="pendidikan" localSheetId="26">#REF!</definedName>
    <definedName name="pendidikan" localSheetId="42">#REF!</definedName>
    <definedName name="pendidikan">#REF!</definedName>
    <definedName name="Perak" localSheetId="22">#REF!</definedName>
    <definedName name="Perak" localSheetId="26">#REF!</definedName>
    <definedName name="Perak" localSheetId="42">#REF!</definedName>
    <definedName name="Perak">#REF!</definedName>
    <definedName name="perhubungan" localSheetId="22">#REF!</definedName>
    <definedName name="perhubungan" localSheetId="42">#REF!</definedName>
    <definedName name="perhubungan">#REF!</definedName>
    <definedName name="PERLIS" localSheetId="22">#REF!</definedName>
    <definedName name="PERLIS" localSheetId="26">#REF!</definedName>
    <definedName name="PERLIS" localSheetId="42">#REF!</definedName>
    <definedName name="PERLIS">#REF!</definedName>
    <definedName name="PERMINTAAN_DATA" localSheetId="22">#REF!</definedName>
    <definedName name="PERMINTAAN_DATA" localSheetId="26">#REF!</definedName>
    <definedName name="PERMINTAAN_DATA" localSheetId="42">#REF!</definedName>
    <definedName name="PERMINTAAN_DATA">#REF!</definedName>
    <definedName name="PERMINTAAN_DATA_KP335" localSheetId="22">#REF!</definedName>
    <definedName name="PERMINTAAN_DATA_KP335" localSheetId="26">#REF!</definedName>
    <definedName name="PERMINTAAN_DATA_KP335" localSheetId="42">#REF!</definedName>
    <definedName name="PERMINTAAN_DATA_KP335">#REF!</definedName>
    <definedName name="pilkjk" localSheetId="22">#REF!</definedName>
    <definedName name="pilkjk" localSheetId="26">#REF!</definedName>
    <definedName name="pilkjk" localSheetId="42">#REF!</definedName>
    <definedName name="pilkjk">#REF!</definedName>
    <definedName name="pppp" localSheetId="13" hidden="1">'[11]7.6'!#REF!</definedName>
    <definedName name="pppp" localSheetId="14" hidden="1">'[11]7.6'!#REF!</definedName>
    <definedName name="pppp" localSheetId="22" hidden="1">'[11]7.6'!#REF!</definedName>
    <definedName name="pppp" localSheetId="42" hidden="1">'[11]7.6'!#REF!</definedName>
    <definedName name="pppp" hidden="1">'[11]7.6'!#REF!</definedName>
    <definedName name="_xlnm.Print_Area" localSheetId="1">'14.0_KDNK_samb'!$A$1:$H$58</definedName>
    <definedName name="_xlnm.Print_Area" localSheetId="2">'14.0_KDNK_sambg1'!$A$2:$J$74</definedName>
    <definedName name="_xlnm.Print_Area" localSheetId="4">'16.0_Akaun_ SP'!$A$1:$H$74</definedName>
    <definedName name="_xlnm.Print_Area" localSheetId="6">'18.0_Stok_Modal'!$A$1:$H$67</definedName>
    <definedName name="_xlnm.Print_Area" localSheetId="7">'19.0_Imbagn_Pembayaran'!$A$1:$J$59</definedName>
    <definedName name="_xlnm.Print_Area" localSheetId="8">'20.0_Eksport_Import'!$A$3:$M$52</definedName>
    <definedName name="_xlnm.Print_Area" localSheetId="10">'22.0_Pasaran_Buruh'!$A$1:$G$35</definedName>
    <definedName name="_xlnm.Print_Area" localSheetId="13">'23.1_Harga_Item_Terpilih'!$A$1:$K$101</definedName>
    <definedName name="_xlnm.Print_Area" localSheetId="14">'23.1_Harga_Item_Terpilih_sambg)'!$A$1:$M$93</definedName>
    <definedName name="_xlnm.Print_Area" localSheetId="15">'24.0_IHPR'!$A$1:$G$56</definedName>
    <definedName name="_xlnm.Print_Area" localSheetId="16">'25.0_Kemalangan_Pekerja'!$A$1:$G$71</definedName>
    <definedName name="_xlnm.Print_Area" localSheetId="18">'26.0_Peratusan_Ahli_Parlimen'!$A$1:$J$31</definedName>
    <definedName name="_xlnm.Print_Area" localSheetId="19">'27.0_Bilangan_Hakim'!$A$1:$J$56</definedName>
    <definedName name="_xlnm.Print_Area" localSheetId="20">'28.0_Bilangan_Hakim_Syariah'!$A$1:$J$41</definedName>
    <definedName name="_xlnm.Print_Area" localSheetId="21">'29.0_Bil_KSU'!$A$1:$I$51</definedName>
    <definedName name="_xlnm.Print_Area" localSheetId="23">'31.0_Jenayah_violent'!$A$1:$J$78</definedName>
    <definedName name="_xlnm.Print_Area" localSheetId="24">'31.1_Jenayah_harta'!$A$1:$K$77</definedName>
    <definedName name="_xlnm.Print_Area" localSheetId="26">'33.0 Oku kumulatif'!$A$1:$M$89</definedName>
    <definedName name="_xlnm.Print_Area" localSheetId="27">'34.0_Capaian_ICT_Isi_Rumh'!$A$1:$O$30</definedName>
    <definedName name="_xlnm.Print_Area" localSheetId="28">'35.0_Pendpatn_Perbelanjaan'!$A$1:$I$62</definedName>
    <definedName name="_xlnm.Print_Area" localSheetId="29">'36.0_Penggunaan_Perkapita_PCC'!$A$1:$I$75</definedName>
    <definedName name="_xlnm.Print_Area" localSheetId="30">'36.1_Perkapita_Pertanian'!$A$1:$R$57</definedName>
    <definedName name="_xlnm.Print_Area" localSheetId="31">'37.0_Purata_Suhu'!$A$1:$J$44</definedName>
    <definedName name="_xlnm.Print_Area" localSheetId="32">'37.0_Purata_Suhu_sambg'!$A$1:$I$46</definedName>
    <definedName name="_xlnm.Print_Area" localSheetId="33">'37.0_Purata_Suhu_sambg1'!$A$1:$J$42</definedName>
    <definedName name="_xlnm.Print_Area" localSheetId="41">'40.0_Kes_COVID 19'!$A$1:$F$78</definedName>
    <definedName name="_xlnm.Print_Area" localSheetId="43">'41.0_Agihan_Zakat'!$A$1:$H$52</definedName>
    <definedName name="_xlnm.Print_Area" localSheetId="35">Jad38_hujan!$A$1:$J$42</definedName>
    <definedName name="_xlnm.Print_Area" localSheetId="36">'Jad38_hujan(samb)'!$A$1:$I$42</definedName>
    <definedName name="_xlnm.Print_Area" localSheetId="40">'Jad39 Kelembapan(samb)'!$A$1:$H$35</definedName>
    <definedName name="_xlnm.Print_Titles" localSheetId="14">'23.1_Harga_Item_Terpilih_sambg)'!$1:$11</definedName>
    <definedName name="PUTRAJAYA" localSheetId="22" hidden="1">#REF!</definedName>
    <definedName name="PUTRAJAYA" localSheetId="42" hidden="1">#REF!</definedName>
    <definedName name="PUTRAJAYA" hidden="1">#REF!</definedName>
    <definedName name="q" localSheetId="22">#REF!</definedName>
    <definedName name="q" localSheetId="26">#REF!</definedName>
    <definedName name="q" localSheetId="42">#REF!</definedName>
    <definedName name="q">#REF!</definedName>
    <definedName name="qq" localSheetId="22">#REF!</definedName>
    <definedName name="qq" localSheetId="42">#REF!</definedName>
    <definedName name="qq">#REF!</definedName>
    <definedName name="qqqttt" localSheetId="22">#REF!</definedName>
    <definedName name="qqqttt" localSheetId="42">#REF!</definedName>
    <definedName name="qqqttt">#REF!</definedName>
    <definedName name="qqw" localSheetId="22" hidden="1">'[16]4.8'!#REF!</definedName>
    <definedName name="qqw" localSheetId="42" hidden="1">'[16]4.8'!#REF!</definedName>
    <definedName name="qqw" hidden="1">'[16]4.8'!#REF!</definedName>
    <definedName name="qty" localSheetId="22" hidden="1">'[23]4.8'!#REF!</definedName>
    <definedName name="qty" localSheetId="42" hidden="1">'[23]4.8'!#REF!</definedName>
    <definedName name="qty" hidden="1">'[23]4.8'!#REF!</definedName>
    <definedName name="Region" localSheetId="26">[24]Sheet2!$B$2:$B$7</definedName>
    <definedName name="Region">[25]Sheet2!$B$2:$B$7</definedName>
    <definedName name="Region1" localSheetId="26">[26]Sheet1!$B$2:$B$19</definedName>
    <definedName name="Region1">[27]Sheet1!$B$2:$B$19</definedName>
    <definedName name="RGRH" localSheetId="22">#REF!</definedName>
    <definedName name="RGRH" localSheetId="42">#REF!</definedName>
    <definedName name="RGRH">#REF!</definedName>
    <definedName name="row_no" localSheetId="26">[28]ref!$B$3:$K$20</definedName>
    <definedName name="row_no">[29]ref!$B$3:$K$20</definedName>
    <definedName name="row_no_head" localSheetId="26">[28]ref!$B$3:$K$3</definedName>
    <definedName name="row_no_head">[29]ref!$B$3:$K$3</definedName>
    <definedName name="rrr" localSheetId="22">#REF!</definedName>
    <definedName name="rrr" localSheetId="26">#REF!</definedName>
    <definedName name="rrr" localSheetId="42">#REF!</definedName>
    <definedName name="rrr">#REF!</definedName>
    <definedName name="rte" localSheetId="22" hidden="1">'[14]4.8'!#REF!</definedName>
    <definedName name="rte" localSheetId="26" hidden="1">'[15]4.8'!#REF!</definedName>
    <definedName name="rte" localSheetId="42" hidden="1">'[14]4.8'!#REF!</definedName>
    <definedName name="rte" hidden="1">'[14]4.8'!#REF!</definedName>
    <definedName name="s" localSheetId="22">#REF!</definedName>
    <definedName name="s" localSheetId="26">#REF!</definedName>
    <definedName name="s" localSheetId="42">#REF!</definedName>
    <definedName name="s">#REF!</definedName>
    <definedName name="sa" localSheetId="22">#REF!</definedName>
    <definedName name="sa" localSheetId="26">#REF!</definedName>
    <definedName name="sa" localSheetId="42">#REF!</definedName>
    <definedName name="sa">#REF!</definedName>
    <definedName name="saadqff" localSheetId="22">#REF!</definedName>
    <definedName name="saadqff" localSheetId="26">#REF!</definedName>
    <definedName name="saadqff" localSheetId="42">#REF!</definedName>
    <definedName name="saadqff">#REF!</definedName>
    <definedName name="sabah" localSheetId="26" hidden="1">'[30]5.11'!$E$15:$J$15</definedName>
    <definedName name="sabah" hidden="1">'[31]5.11'!$E$15:$J$15</definedName>
    <definedName name="sama" localSheetId="22" hidden="1">'[7]4.3'!#REF!</definedName>
    <definedName name="sama" localSheetId="42" hidden="1">'[7]4.3'!#REF!</definedName>
    <definedName name="sama" hidden="1">'[7]4.3'!#REF!</definedName>
    <definedName name="sasas" localSheetId="22">#REF!</definedName>
    <definedName name="sasas" localSheetId="26">#REF!</definedName>
    <definedName name="sasas" localSheetId="42">#REF!</definedName>
    <definedName name="sasas">#REF!</definedName>
    <definedName name="sda" localSheetId="22" hidden="1">'[14]4.8'!#REF!</definedName>
    <definedName name="sda" localSheetId="26" hidden="1">'[15]4.8'!#REF!</definedName>
    <definedName name="sda" localSheetId="42" hidden="1">'[14]4.8'!#REF!</definedName>
    <definedName name="sda" hidden="1">'[14]4.8'!#REF!</definedName>
    <definedName name="sdfgg" hidden="1">#REF!</definedName>
    <definedName name="sds" localSheetId="22" hidden="1">#REF!</definedName>
    <definedName name="sds" localSheetId="26" hidden="1">#REF!</definedName>
    <definedName name="sds" localSheetId="42" hidden="1">#REF!</definedName>
    <definedName name="sds" hidden="1">#REF!</definedName>
    <definedName name="sefdhdrtsg" localSheetId="22">#REF!</definedName>
    <definedName name="sefdhdrtsg" localSheetId="26">#REF!</definedName>
    <definedName name="sefdhdrtsg" localSheetId="42">#REF!</definedName>
    <definedName name="sefdhdrtsg">#REF!</definedName>
    <definedName name="sehingga18" localSheetId="22">#REF!</definedName>
    <definedName name="sehingga18" localSheetId="42">#REF!</definedName>
    <definedName name="sehingga18">#REF!</definedName>
    <definedName name="sep" localSheetId="22">#REF!</definedName>
    <definedName name="sep" localSheetId="26">#REF!</definedName>
    <definedName name="sep" localSheetId="42">#REF!</definedName>
    <definedName name="sep">#REF!</definedName>
    <definedName name="sfst" localSheetId="22">#REF!</definedName>
    <definedName name="sfst" localSheetId="42">#REF!</definedName>
    <definedName name="sfst">#REF!</definedName>
    <definedName name="sgd" localSheetId="22">#REF!</definedName>
    <definedName name="sgd" localSheetId="42">#REF!</definedName>
    <definedName name="sgd">#REF!</definedName>
    <definedName name="ShoppingStartDate" localSheetId="22">#REF!</definedName>
    <definedName name="ShoppingStartDate" localSheetId="42">#REF!</definedName>
    <definedName name="ShoppingStartDate">#REF!</definedName>
    <definedName name="slgr" localSheetId="22" hidden="1">#REF!</definedName>
    <definedName name="slgr" localSheetId="26" hidden="1">#REF!</definedName>
    <definedName name="slgr" localSheetId="42" hidden="1">#REF!</definedName>
    <definedName name="slgr" hidden="1">#REF!</definedName>
    <definedName name="SORT" localSheetId="22" hidden="1">#REF!</definedName>
    <definedName name="SORT" localSheetId="26" hidden="1">#REF!</definedName>
    <definedName name="SORT" localSheetId="42" hidden="1">#REF!</definedName>
    <definedName name="SORT" hidden="1">#REF!</definedName>
    <definedName name="sr" localSheetId="22">#REF!</definedName>
    <definedName name="sr" localSheetId="42">#REF!</definedName>
    <definedName name="sr">#REF!</definedName>
    <definedName name="srrr" localSheetId="22">#REF!</definedName>
    <definedName name="srrr" localSheetId="42">#REF!</definedName>
    <definedName name="srrr">#REF!</definedName>
    <definedName name="ss" localSheetId="22" hidden="1">'[1]4.9'!#REF!</definedName>
    <definedName name="ss" localSheetId="42" hidden="1">'[1]4.9'!#REF!</definedName>
    <definedName name="ss" hidden="1">'[1]4.9'!#REF!</definedName>
    <definedName name="sss" localSheetId="22">#REF!</definedName>
    <definedName name="sss" localSheetId="26">#REF!</definedName>
    <definedName name="sss" localSheetId="42">#REF!</definedName>
    <definedName name="sss">#REF!</definedName>
    <definedName name="ssssw" localSheetId="22" hidden="1">'[7]4.9'!#REF!</definedName>
    <definedName name="ssssw" localSheetId="42" hidden="1">'[7]4.9'!#REF!</definedName>
    <definedName name="ssssw" hidden="1">'[7]4.9'!#REF!</definedName>
    <definedName name="ssszzz" localSheetId="22" hidden="1">#REF!</definedName>
    <definedName name="ssszzz" localSheetId="42" hidden="1">#REF!</definedName>
    <definedName name="ssszzz" hidden="1">#REF!</definedName>
    <definedName name="state" localSheetId="26">[28]ref!$B$23:$C$38</definedName>
    <definedName name="state">[29]ref!$B$23:$C$38</definedName>
    <definedName name="sz" localSheetId="22" hidden="1">#REF!</definedName>
    <definedName name="sz" localSheetId="26" hidden="1">#REF!</definedName>
    <definedName name="sz" localSheetId="42" hidden="1">#REF!</definedName>
    <definedName name="sz" hidden="1">#REF!</definedName>
    <definedName name="t" localSheetId="22" hidden="1">#REF!</definedName>
    <definedName name="t" localSheetId="26" hidden="1">#REF!</definedName>
    <definedName name="t" localSheetId="42" hidden="1">#REF!</definedName>
    <definedName name="t" hidden="1">#REF!</definedName>
    <definedName name="table" localSheetId="22">#REF!</definedName>
    <definedName name="table" localSheetId="42">#REF!</definedName>
    <definedName name="table">#REF!</definedName>
    <definedName name="table_no" localSheetId="26">[28]ref!$B$23:$E$38</definedName>
    <definedName name="table_no">[29]ref!$B$23:$E$38</definedName>
    <definedName name="table1" localSheetId="22">#REF!</definedName>
    <definedName name="table1" localSheetId="42">#REF!</definedName>
    <definedName name="table1">#REF!</definedName>
    <definedName name="table2" localSheetId="22">#REF!</definedName>
    <definedName name="table2" localSheetId="42">#REF!</definedName>
    <definedName name="table2">#REF!</definedName>
    <definedName name="tail" localSheetId="22">#REF!</definedName>
    <definedName name="tail" localSheetId="42">#REF!</definedName>
    <definedName name="tail">#REF!</definedName>
    <definedName name="te" localSheetId="22" hidden="1">'[1]4.9'!#REF!</definedName>
    <definedName name="te" localSheetId="26" hidden="1">'[2]4.9'!#REF!</definedName>
    <definedName name="te" localSheetId="42" hidden="1">'[1]4.9'!#REF!</definedName>
    <definedName name="te" hidden="1">'[1]4.9'!#REF!</definedName>
    <definedName name="Ter_a" localSheetId="22" hidden="1">'[1]4.9'!#REF!</definedName>
    <definedName name="Ter_a" localSheetId="26" hidden="1">'[2]4.9'!#REF!</definedName>
    <definedName name="Ter_a" localSheetId="42" hidden="1">'[1]4.9'!#REF!</definedName>
    <definedName name="Ter_a" hidden="1">'[1]4.9'!#REF!</definedName>
    <definedName name="tes" localSheetId="22" hidden="1">'[1]4.9'!#REF!</definedName>
    <definedName name="tes" localSheetId="26" hidden="1">'[2]4.9'!#REF!</definedName>
    <definedName name="tes" localSheetId="42" hidden="1">'[1]4.9'!#REF!</definedName>
    <definedName name="tes" hidden="1">'[1]4.9'!#REF!</definedName>
    <definedName name="test" localSheetId="22" hidden="1">#REF!</definedName>
    <definedName name="test" localSheetId="26" hidden="1">#REF!</definedName>
    <definedName name="test" localSheetId="42" hidden="1">#REF!</definedName>
    <definedName name="test" hidden="1">#REF!</definedName>
    <definedName name="test3333333" localSheetId="22" hidden="1">#REF!</definedName>
    <definedName name="test3333333" localSheetId="26" hidden="1">#REF!</definedName>
    <definedName name="test3333333" localSheetId="42" hidden="1">#REF!</definedName>
    <definedName name="test3333333" hidden="1">#REF!</definedName>
    <definedName name="try" localSheetId="22">#REF!</definedName>
    <definedName name="try" localSheetId="42">#REF!</definedName>
    <definedName name="try">#REF!</definedName>
    <definedName name="tt" localSheetId="22">#REF!</definedName>
    <definedName name="tt" localSheetId="42">#REF!</definedName>
    <definedName name="tt">#REF!</definedName>
    <definedName name="tttt" localSheetId="22" hidden="1">'[7]4.9'!#REF!</definedName>
    <definedName name="tttt" localSheetId="42" hidden="1">'[7]4.9'!#REF!</definedName>
    <definedName name="tttt" hidden="1">'[7]4.9'!#REF!</definedName>
    <definedName name="tttww" localSheetId="22">#REF!</definedName>
    <definedName name="tttww" localSheetId="42">#REF!</definedName>
    <definedName name="tttww">#REF!</definedName>
    <definedName name="u" localSheetId="22">#REF!</definedName>
    <definedName name="u" localSheetId="26">#REF!</definedName>
    <definedName name="u" localSheetId="42">#REF!</definedName>
    <definedName name="u">#REF!</definedName>
    <definedName name="umum" localSheetId="22">#REF!</definedName>
    <definedName name="umum" localSheetId="26">#REF!</definedName>
    <definedName name="umum" localSheetId="42">#REF!</definedName>
    <definedName name="umum">#REF!</definedName>
    <definedName name="uuu" localSheetId="22" hidden="1">#REF!</definedName>
    <definedName name="uuu" localSheetId="42" hidden="1">#REF!</definedName>
    <definedName name="uuu" hidden="1">#REF!</definedName>
    <definedName name="uuuuu" localSheetId="22">#REF!</definedName>
    <definedName name="uuuuu" localSheetId="26">#REF!</definedName>
    <definedName name="uuuuu" localSheetId="42">#REF!</definedName>
    <definedName name="uuuuu">#REF!</definedName>
    <definedName name="uuuvvv" localSheetId="22">#REF!</definedName>
    <definedName name="uuuvvv" localSheetId="42">#REF!</definedName>
    <definedName name="uuuvvv">#REF!</definedName>
    <definedName name="v" localSheetId="22" hidden="1">'[7]4.3'!#REF!</definedName>
    <definedName name="v" localSheetId="42" hidden="1">'[7]4.3'!#REF!</definedName>
    <definedName name="v" hidden="1">'[7]4.3'!#REF!</definedName>
    <definedName name="vbcbvc" localSheetId="22">#REF!</definedName>
    <definedName name="vbcbvc" localSheetId="42">#REF!</definedName>
    <definedName name="vbcbvc">#REF!</definedName>
    <definedName name="vbv" localSheetId="22">#REF!</definedName>
    <definedName name="vbv" localSheetId="42">#REF!</definedName>
    <definedName name="vbv">#REF!</definedName>
    <definedName name="vcb" localSheetId="22">#REF!</definedName>
    <definedName name="vcb" localSheetId="42">#REF!</definedName>
    <definedName name="vcb">#REF!</definedName>
    <definedName name="vcc" localSheetId="22">#REF!</definedName>
    <definedName name="vcc" localSheetId="42">#REF!</definedName>
    <definedName name="vcc">#REF!</definedName>
    <definedName name="vcvc" localSheetId="22">#REF!</definedName>
    <definedName name="vcvc" localSheetId="42">#REF!</definedName>
    <definedName name="vcvc">#REF!</definedName>
    <definedName name="vcx" localSheetId="22">#REF!</definedName>
    <definedName name="vcx" localSheetId="42">#REF!</definedName>
    <definedName name="vcx">#REF!</definedName>
    <definedName name="vdfvd" localSheetId="22" hidden="1">#REF!</definedName>
    <definedName name="vdfvd" localSheetId="42" hidden="1">#REF!</definedName>
    <definedName name="vdfvd" hidden="1">#REF!</definedName>
    <definedName name="vvv" localSheetId="22" hidden="1">#REF!</definedName>
    <definedName name="vvv" localSheetId="42" hidden="1">#REF!</definedName>
    <definedName name="vvv" hidden="1">#REF!</definedName>
    <definedName name="w" localSheetId="22">#REF!</definedName>
    <definedName name="w" localSheetId="26">#REF!</definedName>
    <definedName name="w" localSheetId="42">#REF!</definedName>
    <definedName name="w">#REF!</definedName>
    <definedName name="WD" localSheetId="22" hidden="1">#REF!</definedName>
    <definedName name="WD" localSheetId="26" hidden="1">#REF!</definedName>
    <definedName name="WD" localSheetId="42" hidden="1">#REF!</definedName>
    <definedName name="WD" hidden="1">#REF!</definedName>
    <definedName name="WeekDishes" localSheetId="22">#REF!</definedName>
    <definedName name="WeekDishes" localSheetId="42">#REF!</definedName>
    <definedName name="WeekDishes">#REF!</definedName>
    <definedName name="WeekIngredients" localSheetId="22">#REF!</definedName>
    <definedName name="WeekIngredients" localSheetId="42">#REF!</definedName>
    <definedName name="WeekIngredients">#REF!</definedName>
    <definedName name="WeekIngredients_temp" localSheetId="22">#REF!</definedName>
    <definedName name="WeekIngredients_temp" localSheetId="42">#REF!</definedName>
    <definedName name="WeekIngredients_temp">#REF!</definedName>
    <definedName name="WeekIngredients_tempCriteria" localSheetId="22">#REF!</definedName>
    <definedName name="WeekIngredients_tempCriteria" localSheetId="42">#REF!</definedName>
    <definedName name="WeekIngredients_tempCriteria">#REF!</definedName>
    <definedName name="WeekIngredientsCriteria" localSheetId="22">#REF!</definedName>
    <definedName name="WeekIngredientsCriteria" localSheetId="42">#REF!</definedName>
    <definedName name="WeekIngredientsCriteria">#REF!</definedName>
    <definedName name="WeekPlan" localSheetId="22">#REF!</definedName>
    <definedName name="WeekPlan" localSheetId="42">#REF!</definedName>
    <definedName name="WeekPlan">#REF!</definedName>
    <definedName name="WeekPlanCriteria" localSheetId="22">#REF!</definedName>
    <definedName name="WeekPlanCriteria" localSheetId="42">#REF!</definedName>
    <definedName name="WeekPlanCriteria">#REF!</definedName>
    <definedName name="wwvvv" localSheetId="22">#REF!</definedName>
    <definedName name="wwvvv" localSheetId="42">#REF!</definedName>
    <definedName name="wwvvv">#REF!</definedName>
    <definedName name="www" localSheetId="22">#REF!</definedName>
    <definedName name="www" localSheetId="42">#REF!</definedName>
    <definedName name="www">#REF!</definedName>
    <definedName name="wwwq" localSheetId="22">#REF!</definedName>
    <definedName name="wwwq" localSheetId="42">#REF!</definedName>
    <definedName name="wwwq">#REF!</definedName>
    <definedName name="x" localSheetId="22">#REF!</definedName>
    <definedName name="x" localSheetId="26">#REF!</definedName>
    <definedName name="x" localSheetId="42">#REF!</definedName>
    <definedName name="x">#REF!</definedName>
    <definedName name="xcz" localSheetId="22">#REF!</definedName>
    <definedName name="xcz" localSheetId="42">#REF!</definedName>
    <definedName name="xcz">#REF!</definedName>
    <definedName name="xdc" localSheetId="22">#REF!</definedName>
    <definedName name="xdc" localSheetId="42">#REF!</definedName>
    <definedName name="xdc">#REF!</definedName>
    <definedName name="xxx" localSheetId="22">#REF!</definedName>
    <definedName name="xxx" localSheetId="42">#REF!</definedName>
    <definedName name="xxx">#REF!</definedName>
    <definedName name="xxxa" localSheetId="22" hidden="1">#REF!</definedName>
    <definedName name="xxxa" localSheetId="42" hidden="1">#REF!</definedName>
    <definedName name="xxxa" hidden="1">#REF!</definedName>
    <definedName name="xzcx" localSheetId="22" hidden="1">#REF!</definedName>
    <definedName name="xzcx" localSheetId="42" hidden="1">#REF!</definedName>
    <definedName name="xzcx" hidden="1">#REF!</definedName>
    <definedName name="y" localSheetId="22">#REF!</definedName>
    <definedName name="y" localSheetId="26">#REF!</definedName>
    <definedName name="y" localSheetId="42">#REF!</definedName>
    <definedName name="y">#REF!</definedName>
    <definedName name="ya" localSheetId="22">#REF!</definedName>
    <definedName name="ya" localSheetId="26">#REF!</definedName>
    <definedName name="ya" localSheetId="42">#REF!</definedName>
    <definedName name="ya">#REF!</definedName>
    <definedName name="yaa" localSheetId="22">#REF!</definedName>
    <definedName name="yaa" localSheetId="26">#REF!</definedName>
    <definedName name="yaa" localSheetId="42">#REF!</definedName>
    <definedName name="yaa">#REF!</definedName>
    <definedName name="yaaa" localSheetId="22">#REF!</definedName>
    <definedName name="yaaa" localSheetId="26">#REF!</definedName>
    <definedName name="yaaa" localSheetId="42">#REF!</definedName>
    <definedName name="yaaa">#REF!</definedName>
    <definedName name="yi" localSheetId="22">#REF!</definedName>
    <definedName name="yi" localSheetId="26">#REF!</definedName>
    <definedName name="yi" localSheetId="42">#REF!</definedName>
    <definedName name="yi">#REF!</definedName>
    <definedName name="yyy" localSheetId="22">#REF!</definedName>
    <definedName name="yyy" localSheetId="42">#REF!</definedName>
    <definedName name="yyy">#REF!</definedName>
    <definedName name="Z" localSheetId="22">#REF!</definedName>
    <definedName name="Z" localSheetId="26">#REF!</definedName>
    <definedName name="Z" localSheetId="42">#REF!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4" l="1"/>
  <c r="G30" i="44"/>
  <c r="F30" i="44"/>
  <c r="H11" i="44"/>
  <c r="G11" i="44"/>
  <c r="F11" i="44"/>
  <c r="E78" i="27"/>
  <c r="E77" i="27"/>
  <c r="E76" i="27"/>
  <c r="E74" i="27"/>
  <c r="E73" i="27"/>
  <c r="E72" i="27"/>
  <c r="E70" i="27"/>
  <c r="E69" i="27"/>
  <c r="E68" i="27"/>
  <c r="E66" i="27"/>
  <c r="E65" i="27"/>
  <c r="E64" i="27"/>
  <c r="E62" i="27"/>
  <c r="E61" i="27"/>
  <c r="E60" i="27"/>
  <c r="E58" i="27"/>
  <c r="E57" i="27"/>
  <c r="E56" i="27"/>
  <c r="E54" i="27"/>
  <c r="E53" i="27"/>
  <c r="E52" i="27"/>
  <c r="E50" i="27"/>
  <c r="E49" i="27"/>
  <c r="E48" i="27"/>
  <c r="E46" i="27"/>
  <c r="E45" i="27"/>
  <c r="E44" i="27"/>
  <c r="E42" i="27"/>
  <c r="E41" i="27"/>
  <c r="E40" i="27"/>
  <c r="E38" i="27"/>
  <c r="E37" i="27"/>
  <c r="E36" i="27"/>
  <c r="E34" i="27"/>
  <c r="E33" i="27"/>
  <c r="E32" i="27"/>
  <c r="E30" i="27"/>
  <c r="E29" i="27"/>
  <c r="E28" i="27"/>
  <c r="E26" i="27"/>
  <c r="E18" i="27" s="1"/>
  <c r="E25" i="27"/>
  <c r="E17" i="27" s="1"/>
  <c r="E24" i="27"/>
  <c r="E22" i="27"/>
  <c r="E21" i="27"/>
  <c r="E20" i="27"/>
  <c r="E16" i="27" s="1"/>
  <c r="L18" i="27"/>
  <c r="K18" i="27"/>
  <c r="J18" i="27"/>
  <c r="I18" i="27"/>
  <c r="H18" i="27"/>
  <c r="G18" i="27"/>
  <c r="F18" i="27"/>
  <c r="L17" i="27"/>
  <c r="K17" i="27"/>
  <c r="J17" i="27"/>
  <c r="I17" i="27"/>
  <c r="H17" i="27"/>
  <c r="G17" i="27"/>
  <c r="F17" i="27"/>
  <c r="L16" i="27"/>
  <c r="K16" i="27"/>
  <c r="J16" i="27"/>
  <c r="I16" i="27"/>
  <c r="H16" i="27"/>
  <c r="G16" i="27"/>
  <c r="F16" i="27"/>
  <c r="L48" i="9"/>
  <c r="K48" i="9"/>
  <c r="J48" i="9"/>
  <c r="H41" i="9"/>
  <c r="G41" i="9"/>
  <c r="F41" i="9"/>
  <c r="H39" i="9"/>
  <c r="G39" i="9"/>
  <c r="F39" i="9"/>
  <c r="H37" i="9"/>
  <c r="G37" i="9"/>
  <c r="F37" i="9"/>
  <c r="H29" i="9"/>
  <c r="G29" i="9"/>
  <c r="F29" i="9"/>
  <c r="H36" i="7"/>
  <c r="H33" i="7"/>
  <c r="G33" i="7"/>
  <c r="H30" i="7"/>
  <c r="G30" i="7"/>
  <c r="H27" i="7"/>
  <c r="G27" i="7"/>
</calcChain>
</file>

<file path=xl/sharedStrings.xml><?xml version="1.0" encoding="utf-8"?>
<sst xmlns="http://schemas.openxmlformats.org/spreadsheetml/2006/main" count="2335" uniqueCount="1134">
  <si>
    <t>Jadual 14.0</t>
  </si>
  <si>
    <t>: Keluaran Dalam Negeri Kasar (KDNK), Malaysia, 2022 - 2024</t>
  </si>
  <si>
    <t xml:space="preserve">  Table 14.0</t>
  </si>
  <si>
    <t>: Gross Domestic Product (GDP), Malaysia, 2022 - 2024</t>
  </si>
  <si>
    <r>
      <t xml:space="preserve">KELUARAN DALAM NEGERI KASAR
</t>
    </r>
    <r>
      <rPr>
        <i/>
        <sz val="10"/>
        <rFont val="Century Gothic"/>
        <family val="2"/>
      </rPr>
      <t>GROSS DOMESTIC PRODUCT</t>
    </r>
  </si>
  <si>
    <t>KDNK mengikut Jenis Aktiviti Ekonomi pada Harga Semasa (RM juta)</t>
  </si>
  <si>
    <t>GDP by Kind of Economic Activity at Current Prices (RM million)</t>
  </si>
  <si>
    <r>
      <t xml:space="preserve">KDNK pada harga pembeli
</t>
    </r>
    <r>
      <rPr>
        <i/>
        <sz val="10"/>
        <color theme="1"/>
        <rFont val="Century Gothic"/>
        <family val="2"/>
      </rPr>
      <t>GDP at purchasers' prices</t>
    </r>
  </si>
  <si>
    <r>
      <t xml:space="preserve">Pertanian/ </t>
    </r>
    <r>
      <rPr>
        <i/>
        <sz val="10"/>
        <color theme="1"/>
        <rFont val="Century Gothic"/>
        <family val="2"/>
      </rPr>
      <t>Agriculture</t>
    </r>
  </si>
  <si>
    <r>
      <t xml:space="preserve">Perlombongan dan pengkuarian/ </t>
    </r>
    <r>
      <rPr>
        <i/>
        <sz val="10"/>
        <color theme="1"/>
        <rFont val="Century Gothic"/>
        <family val="2"/>
      </rPr>
      <t>Mining and quarrying</t>
    </r>
  </si>
  <si>
    <r>
      <t xml:space="preserve">Pembuatan/ </t>
    </r>
    <r>
      <rPr>
        <i/>
        <sz val="10"/>
        <color theme="1"/>
        <rFont val="Century Gothic"/>
        <family val="2"/>
      </rPr>
      <t>Manufacturing</t>
    </r>
  </si>
  <si>
    <r>
      <t xml:space="preserve">Pembinaan/ </t>
    </r>
    <r>
      <rPr>
        <i/>
        <sz val="10"/>
        <color theme="1"/>
        <rFont val="Century Gothic"/>
        <family val="2"/>
      </rPr>
      <t>Construction</t>
    </r>
  </si>
  <si>
    <r>
      <t xml:space="preserve">Perkhidmatan/ </t>
    </r>
    <r>
      <rPr>
        <i/>
        <sz val="10"/>
        <color theme="1"/>
        <rFont val="Century Gothic"/>
        <family val="2"/>
      </rPr>
      <t>Services</t>
    </r>
  </si>
  <si>
    <r>
      <t xml:space="preserve">tambah Duti import/ </t>
    </r>
    <r>
      <rPr>
        <i/>
        <sz val="10"/>
        <color theme="1"/>
        <rFont val="Century Gothic"/>
        <family val="2"/>
      </rPr>
      <t>plus Import duties</t>
    </r>
  </si>
  <si>
    <t>KDNK mengikut Jenis Aktiviti Ekonomi pada Harga Semasa - Perubahan Peratusan Tahunan (%)</t>
  </si>
  <si>
    <t xml:space="preserve">GDP by Kind of Economic Activity at Current Prices - Annual Percentage Change </t>
  </si>
  <si>
    <t>KDNK mengikut Jenis Perbelanjaan pada Harga Semasa (RM juta)</t>
  </si>
  <si>
    <t>GDP by Type of Expenditure at Current Prices (RM million)</t>
  </si>
  <si>
    <r>
      <t xml:space="preserve">Perbelanjaan atas KDNK pada harga pembeli                                                                                                           </t>
    </r>
    <r>
      <rPr>
        <i/>
        <sz val="10"/>
        <rFont val="Century Gothic"/>
        <family val="2"/>
      </rPr>
      <t>Expenditure on GDP at purchasers' prices</t>
    </r>
  </si>
  <si>
    <r>
      <t xml:space="preserve">Perbelanjaan penggunaan akhir swasta
</t>
    </r>
    <r>
      <rPr>
        <i/>
        <sz val="10"/>
        <color theme="1"/>
        <rFont val="Century Gothic"/>
        <family val="2"/>
      </rPr>
      <t>Private final consumption expenditure</t>
    </r>
  </si>
  <si>
    <r>
      <t xml:space="preserve">Perbelanjaan penggunaan akhir kerajaan   
</t>
    </r>
    <r>
      <rPr>
        <i/>
        <sz val="10"/>
        <color theme="1"/>
        <rFont val="Century Gothic"/>
        <family val="2"/>
      </rPr>
      <t>Government final consumption expenditure</t>
    </r>
  </si>
  <si>
    <r>
      <t xml:space="preserve">Pembentukan modal tetap kasar    
</t>
    </r>
    <r>
      <rPr>
        <i/>
        <sz val="10"/>
        <color theme="1"/>
        <rFont val="Century Gothic"/>
        <family val="2"/>
      </rPr>
      <t>Gross fixed capital formation</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</si>
  <si>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</si>
  <si>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</si>
  <si>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r>
      <t xml:space="preserve">tolak Import barangan dan perkhidmatan  </t>
    </r>
    <r>
      <rPr>
        <b/>
        <i/>
        <sz val="10"/>
        <color theme="1"/>
        <rFont val="Century Gothic"/>
        <family val="2"/>
      </rPr>
      <t xml:space="preserve"> 
</t>
    </r>
    <r>
      <rPr>
        <i/>
        <sz val="10"/>
        <color theme="1"/>
        <rFont val="Century Gothic"/>
        <family val="2"/>
      </rPr>
      <t>less Imports of goods and services</t>
    </r>
  </si>
  <si>
    <t>KDNK mengikut Jenis Perbelanjaan pada Harga Semasa - Perubahan Peratusan Tahunan (%)</t>
  </si>
  <si>
    <t xml:space="preserve">GDP by Type of Expenditure at Current Prices  - Annual Percentage Change </t>
  </si>
  <si>
    <r>
      <t xml:space="preserve">Perbelanjaan atas KDNK pada harga pembeli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</si>
  <si>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</si>
  <si>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t>n.a</t>
  </si>
  <si>
    <r>
      <t xml:space="preserve">Eksport barangan dan perkhidmatan 
</t>
    </r>
    <r>
      <rPr>
        <i/>
        <sz val="10"/>
        <color theme="1"/>
        <rFont val="Century Gothic"/>
        <family val="2"/>
      </rPr>
      <t>Exports of goods and services</t>
    </r>
  </si>
  <si>
    <r>
      <t xml:space="preserve">tolak Import barangan dan perkhidmatan  
</t>
    </r>
    <r>
      <rPr>
        <i/>
        <sz val="10"/>
        <color theme="1"/>
        <rFont val="Century Gothic"/>
        <family val="2"/>
      </rPr>
      <t>less Imports of goods and services</t>
    </r>
  </si>
  <si>
    <t>Sumber: Jabatan Perangkaan Malaysia</t>
  </si>
  <si>
    <t>Source: Department of Statistics Malaysia</t>
  </si>
  <si>
    <r>
      <rPr>
        <b/>
        <sz val="9"/>
        <rFont val="Century Gothic"/>
        <family val="2"/>
      </rPr>
      <t>Nota</t>
    </r>
    <r>
      <rPr>
        <sz val="9"/>
        <rFont val="Century Gothic"/>
        <family val="2"/>
      </rPr>
      <t>/</t>
    </r>
    <r>
      <rPr>
        <i/>
        <sz val="9"/>
        <rFont val="Century Gothic"/>
        <family val="2"/>
      </rPr>
      <t xml:space="preserve"> Notes:</t>
    </r>
  </si>
  <si>
    <t>1.</t>
  </si>
  <si>
    <r>
      <t xml:space="preserve">* </t>
    </r>
    <r>
      <rPr>
        <b/>
        <sz val="9"/>
        <rFont val="Century Gothic"/>
        <family val="2"/>
      </rPr>
      <t>Termasuk perbezaan statistik</t>
    </r>
    <r>
      <rPr>
        <sz val="9"/>
        <rFont val="Century Gothic"/>
        <family val="2"/>
      </rPr>
      <t xml:space="preserve"> </t>
    </r>
  </si>
  <si>
    <t>* Includes statistical discrepancy</t>
  </si>
  <si>
    <t>2.</t>
  </si>
  <si>
    <t>Data 2023 adalah anggaran, manakala data 2024 adalah permulaan dan tertakluk kepada pindaan dalam keluaran berikutnya</t>
  </si>
  <si>
    <t>The 2023 data are estimates, while the 2024 data are preliminary and subject to revision in subsequent issues</t>
  </si>
  <si>
    <t>: Keluaran Dalam Negeri Kasar (KDNK), Malaysia, 2022 - 2024 (samb.)</t>
  </si>
  <si>
    <t>: Gross Domestic Product (GDP), Malaysia, 2022 - 2024 (cont'd)</t>
  </si>
  <si>
    <t>KDNK mengikut Jenis Aktiviti Ekonomi pada Harga Malar 2015 (RM juta)</t>
  </si>
  <si>
    <t>GDP by Kind of Economic Activity at Constant 2015 Prices (RM million)</t>
  </si>
  <si>
    <t>KDNK mengikut Jenis Aktiviti Ekonomi pada Harga Malar 2015 - Perubahan Peratusan Tahunan (%)</t>
  </si>
  <si>
    <t>GDP by Kind of Economic Activity at Constant 2015 Prices - Annual Percentage Change (%)</t>
  </si>
  <si>
    <t>KDNK mengikut Jenis Perbelanjaan pada Harga Malar 2015 (RM juta)</t>
  </si>
  <si>
    <t>GDP by Type of Expenditure at Constant 2015 Prices (RM million)</t>
  </si>
  <si>
    <r>
      <t xml:space="preserve">Perbelanjaan atas KDNK pada harga pembeli                                                                                                         </t>
    </r>
    <r>
      <rPr>
        <b/>
        <i/>
        <sz val="10"/>
        <rFont val="Century Gothic"/>
        <family val="2"/>
      </rPr>
      <t xml:space="preserve">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</si>
  <si>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</si>
  <si>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</si>
  <si>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</si>
  <si>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t>KDNK mengikut Jenis Perbelanjaan pada Harga Malar 2015 - Perubahan Peratusan Tahunan (%)</t>
  </si>
  <si>
    <t xml:space="preserve">GDP by Type of Expenditure at Constant 2015 Prices - Annual Percentage Change (%) </t>
  </si>
  <si>
    <t>KDNK pada harga pembeli (RM juta)</t>
  </si>
  <si>
    <t>GDP at purchasers' prices (RM million)</t>
  </si>
  <si>
    <r>
      <t xml:space="preserve">Pampasan pekerja/ </t>
    </r>
    <r>
      <rPr>
        <i/>
        <sz val="10"/>
        <rFont val="Century Gothic"/>
        <family val="2"/>
      </rPr>
      <t>Compensation of employees</t>
    </r>
  </si>
  <si>
    <r>
      <t xml:space="preserve">Lebihan kendalian kasar/ </t>
    </r>
    <r>
      <rPr>
        <i/>
        <sz val="10"/>
        <rFont val="Century Gothic"/>
        <family val="2"/>
      </rPr>
      <t>Gross operating surplus</t>
    </r>
  </si>
  <si>
    <r>
      <t xml:space="preserve">Cukai tolak subsidi ke atas pengeluaran dan import/ </t>
    </r>
    <r>
      <rPr>
        <i/>
        <sz val="10"/>
        <rFont val="Century Gothic"/>
        <family val="2"/>
      </rPr>
      <t>Taxes less subsidies on production and imports</t>
    </r>
  </si>
  <si>
    <t>KDNK pada harga pembeli - Perubahan Peratusan Tahunan (%)</t>
  </si>
  <si>
    <t xml:space="preserve">GDP at purchasers' prices - Annual Percentage Change </t>
  </si>
  <si>
    <t>KDNK pada harga pembeli - Peratus Sumbangan kepada KDNK (%)</t>
  </si>
  <si>
    <t xml:space="preserve">GDP at purchasers' prices - Percentage Share to GDP </t>
  </si>
  <si>
    <t xml:space="preserve">Nilai Ditambah PMKS Pada Harga Malar 2015 (RM juta)
</t>
  </si>
  <si>
    <t>Value Added of MSMEs at Constant 2015 Prices (RM million)</t>
  </si>
  <si>
    <t xml:space="preserve">Eksport PMKS Barangan dan Perkhidmatan (RM Bilion)
</t>
  </si>
  <si>
    <t>MSMEs Exports of Goods and Services (RM billion)</t>
  </si>
  <si>
    <t xml:space="preserve">Guna Tenaga PMKS ('000)
</t>
  </si>
  <si>
    <t xml:space="preserve">MSMEs Employment </t>
  </si>
  <si>
    <t xml:space="preserve">Nilai Ditambah PMKS Pada Harga Malar 2015 - Perubahan Peratusan Tahunan (%)
</t>
  </si>
  <si>
    <t xml:space="preserve">Value Added of MSMEs at Constant 2015 Prices - Annual Percentage Change </t>
  </si>
  <si>
    <t xml:space="preserve">Eksport PMKS Barangan dan Perkhidmatan - Perubahan Peratusan Tahunan (%)
</t>
  </si>
  <si>
    <t>MSMEs Exports of Goods and Services - Annual Percentage Change</t>
  </si>
  <si>
    <t xml:space="preserve">Guna Tenaga PMKS - Perubahan Peratusan Tahunan (%)
</t>
  </si>
  <si>
    <t xml:space="preserve">MSMEs Employment - Annual Percentage Change </t>
  </si>
  <si>
    <t xml:space="preserve">Nilai Ditambah PMKS Pada Harga Malar 2015 - Peratus Sumbangan kepada KDNK (%)
</t>
  </si>
  <si>
    <t>Value Added of MSMEs at Constant 2015 Prices - Percentage Share to GDP</t>
  </si>
  <si>
    <t xml:space="preserve">Eksport PMKS Barangan dan Perkhidmatan - Peratus Sumbangan kepada Jumlah Eksport Barangan dan Perkhidmatan (%)
</t>
  </si>
  <si>
    <t xml:space="preserve">MSMEs Exports of Goods and Services - Percentage Share to Total of Exports Goods and Services </t>
  </si>
  <si>
    <t xml:space="preserve">Guna Tenaga PMKS - Peratus Sumbangan kepada Guna Tenaga Malaysia (%)
</t>
  </si>
  <si>
    <t xml:space="preserve">MSMEs Employment - Percentage Share to Malaysia's Employment </t>
  </si>
  <si>
    <t xml:space="preserve">Pembentukan Modal Tetap Kasar (PMTK) - RM juta
</t>
  </si>
  <si>
    <t>Gross Fixed Capital Formation (GFCF) - RM million</t>
  </si>
  <si>
    <t xml:space="preserve">Pembentukan Modal Tetap Kasar (PMTK) - Perubahan Peratusan Tahunan (%)
</t>
  </si>
  <si>
    <t>Gross Fixed Capital Formation (GFCF) - Annual Percentage Change</t>
  </si>
  <si>
    <r>
      <rPr>
        <b/>
        <sz val="9"/>
        <rFont val="Century Gothic"/>
        <family val="2"/>
      </rPr>
      <t>Nota/</t>
    </r>
    <r>
      <rPr>
        <i/>
        <sz val="9"/>
        <rFont val="Century Gothic"/>
        <family val="2"/>
      </rPr>
      <t xml:space="preserve"> Note:</t>
    </r>
  </si>
  <si>
    <t>Jadual 15.0</t>
  </si>
  <si>
    <t>: Statistik Kewangan Kerajaan, Pasaran Kewangan dan Modal, Malaysia, 2022 - 2024</t>
  </si>
  <si>
    <t xml:space="preserve">  Table 15.0</t>
  </si>
  <si>
    <r>
      <t>:</t>
    </r>
    <r>
      <rPr>
        <i/>
        <sz val="11"/>
        <rFont val="Century Gothic"/>
        <family val="2"/>
      </rPr>
      <t xml:space="preserve"> Statistics of Government Finance, Financial and Capital Market, Malaysia, 2022 - 2024</t>
    </r>
  </si>
  <si>
    <r>
      <t xml:space="preserve">KEWANGAN
</t>
    </r>
    <r>
      <rPr>
        <i/>
        <sz val="10"/>
        <rFont val="Century Gothic"/>
        <family val="2"/>
      </rPr>
      <t>FINANCE</t>
    </r>
  </si>
  <si>
    <t>Kewangan Kerajaan/ Government Finance (RM million)</t>
  </si>
  <si>
    <r>
      <rPr>
        <b/>
        <sz val="10"/>
        <rFont val="Century Gothic"/>
        <family val="2"/>
      </rPr>
      <t>Hasil</t>
    </r>
    <r>
      <rPr>
        <sz val="10"/>
        <rFont val="Century Gothic"/>
        <family val="2"/>
      </rPr>
      <t xml:space="preserve">/ </t>
    </r>
    <r>
      <rPr>
        <i/>
        <sz val="10"/>
        <rFont val="Century Gothic"/>
        <family val="2"/>
      </rPr>
      <t>Revenue</t>
    </r>
  </si>
  <si>
    <r>
      <rPr>
        <b/>
        <sz val="10"/>
        <rFont val="Century Gothic"/>
        <family val="2"/>
      </rPr>
      <t>Perbelanjaan mengurus</t>
    </r>
    <r>
      <rPr>
        <sz val="10"/>
        <rFont val="Century Gothic"/>
        <family val="2"/>
      </rPr>
      <t xml:space="preserve">/ </t>
    </r>
    <r>
      <rPr>
        <i/>
        <sz val="10"/>
        <rFont val="Century Gothic"/>
        <family val="2"/>
      </rPr>
      <t>Operating expenditure</t>
    </r>
  </si>
  <si>
    <r>
      <rPr>
        <b/>
        <sz val="10"/>
        <rFont val="Century Gothic"/>
        <family val="2"/>
      </rPr>
      <t>Baki semasa</t>
    </r>
    <r>
      <rPr>
        <sz val="10"/>
        <rFont val="Century Gothic"/>
        <family val="2"/>
      </rPr>
      <t xml:space="preserve">/ </t>
    </r>
    <r>
      <rPr>
        <i/>
        <sz val="10"/>
        <rFont val="Century Gothic"/>
        <family val="2"/>
      </rPr>
      <t>Current balance</t>
    </r>
  </si>
  <si>
    <r>
      <rPr>
        <b/>
        <sz val="10"/>
        <rFont val="Century Gothic"/>
        <family val="2"/>
      </rPr>
      <t xml:space="preserve">Perbelanjaan Pembangunan (Bersih) 
</t>
    </r>
    <r>
      <rPr>
        <i/>
        <sz val="10"/>
        <rFont val="Century Gothic"/>
        <family val="2"/>
      </rPr>
      <t>Development expenditure (Net)</t>
    </r>
  </si>
  <si>
    <r>
      <rPr>
        <b/>
        <sz val="10"/>
        <rFont val="Century Gothic"/>
        <family val="2"/>
      </rPr>
      <t>Kumpulan Wang COVID-19</t>
    </r>
    <r>
      <rPr>
        <sz val="10"/>
        <rFont val="Century Gothic"/>
        <family val="2"/>
      </rPr>
      <t xml:space="preserve">/ </t>
    </r>
    <r>
      <rPr>
        <i/>
        <sz val="10"/>
        <rFont val="Century Gothic"/>
        <family val="2"/>
      </rPr>
      <t>COVID-19 Fund</t>
    </r>
  </si>
  <si>
    <r>
      <rPr>
        <b/>
        <sz val="10"/>
        <rFont val="Century Gothic"/>
        <family val="2"/>
      </rPr>
      <t>Baki keseluruhan</t>
    </r>
    <r>
      <rPr>
        <sz val="10"/>
        <rFont val="Century Gothic"/>
        <family val="2"/>
      </rPr>
      <t xml:space="preserve">/ </t>
    </r>
    <r>
      <rPr>
        <i/>
        <sz val="10"/>
        <rFont val="Century Gothic"/>
        <family val="2"/>
      </rPr>
      <t>Overall balance</t>
    </r>
  </si>
  <si>
    <r>
      <rPr>
        <b/>
        <sz val="10"/>
        <rFont val="Century Gothic"/>
        <family val="2"/>
      </rPr>
      <t>% KDNK</t>
    </r>
    <r>
      <rPr>
        <sz val="10"/>
        <rFont val="Century Gothic"/>
        <family val="2"/>
      </rPr>
      <t xml:space="preserve">/ </t>
    </r>
    <r>
      <rPr>
        <i/>
        <sz val="10"/>
        <rFont val="Century Gothic"/>
        <family val="2"/>
      </rPr>
      <t>% of GDP</t>
    </r>
  </si>
  <si>
    <t>Hasil Terperinci Kerajaan Persekutuan (RM juta)
Details of Federal Government Revenue (RM million)</t>
  </si>
  <si>
    <r>
      <rPr>
        <b/>
        <sz val="10"/>
        <rFont val="Century Gothic"/>
        <family val="2"/>
      </rPr>
      <t>Jumlah cukai langsung</t>
    </r>
    <r>
      <rPr>
        <sz val="10"/>
        <rFont val="Century Gothic"/>
        <family val="2"/>
      </rPr>
      <t xml:space="preserve">/ </t>
    </r>
    <r>
      <rPr>
        <i/>
        <sz val="10"/>
        <rFont val="Century Gothic"/>
        <family val="2"/>
      </rPr>
      <t>Total direct tax</t>
    </r>
  </si>
  <si>
    <r>
      <rPr>
        <b/>
        <sz val="10"/>
        <rFont val="Century Gothic"/>
        <family val="2"/>
      </rPr>
      <t>Cukai Pendapatan Individu</t>
    </r>
    <r>
      <rPr>
        <sz val="10"/>
        <rFont val="Century Gothic"/>
        <family val="2"/>
      </rPr>
      <t xml:space="preserve">/ </t>
    </r>
    <r>
      <rPr>
        <i/>
        <sz val="10"/>
        <rFont val="Century Gothic"/>
        <family val="2"/>
      </rPr>
      <t>Individual Income Tax</t>
    </r>
  </si>
  <si>
    <r>
      <rPr>
        <b/>
        <sz val="10"/>
        <rFont val="Century Gothic"/>
        <family val="2"/>
      </rPr>
      <t>Cukai Pendapatan Syarikat</t>
    </r>
    <r>
      <rPr>
        <sz val="10"/>
        <rFont val="Century Gothic"/>
        <family val="2"/>
      </rPr>
      <t xml:space="preserve">/ </t>
    </r>
    <r>
      <rPr>
        <i/>
        <sz val="10"/>
        <rFont val="Century Gothic"/>
        <family val="2"/>
      </rPr>
      <t>Companies Income Tax</t>
    </r>
  </si>
  <si>
    <r>
      <rPr>
        <b/>
        <sz val="10"/>
        <rFont val="Century Gothic"/>
        <family val="2"/>
      </rPr>
      <t>Cukai Pendapatan Petroleum</t>
    </r>
    <r>
      <rPr>
        <sz val="10"/>
        <rFont val="Century Gothic"/>
        <family val="2"/>
      </rPr>
      <t xml:space="preserve">/ </t>
    </r>
    <r>
      <rPr>
        <i/>
        <sz val="10"/>
        <rFont val="Century Gothic"/>
        <family val="2"/>
      </rPr>
      <t>Petroleum Income Tax</t>
    </r>
  </si>
  <si>
    <r>
      <rPr>
        <b/>
        <sz val="10"/>
        <rFont val="Century Gothic"/>
        <family val="2"/>
      </rPr>
      <t>Cukai Pendapatan Koperasi</t>
    </r>
    <r>
      <rPr>
        <sz val="10"/>
        <rFont val="Century Gothic"/>
        <family val="2"/>
      </rPr>
      <t xml:space="preserve">/ </t>
    </r>
    <r>
      <rPr>
        <i/>
        <sz val="10"/>
        <rFont val="Century Gothic"/>
        <family val="2"/>
      </rPr>
      <t>Coorperatives Income Tax</t>
    </r>
  </si>
  <si>
    <r>
      <rPr>
        <b/>
        <sz val="10"/>
        <rFont val="Century Gothic"/>
        <family val="2"/>
      </rPr>
      <t>Cukai Pegangan</t>
    </r>
    <r>
      <rPr>
        <sz val="10"/>
        <rFont val="Century Gothic"/>
        <family val="2"/>
      </rPr>
      <t>/</t>
    </r>
    <r>
      <rPr>
        <i/>
        <sz val="10"/>
        <rFont val="Century Gothic"/>
        <family val="2"/>
      </rPr>
      <t xml:space="preserve"> Withholding Tax</t>
    </r>
  </si>
  <si>
    <r>
      <rPr>
        <b/>
        <sz val="10"/>
        <rFont val="Century Gothic"/>
        <family val="2"/>
      </rPr>
      <t>Lain-lain</t>
    </r>
    <r>
      <rPr>
        <sz val="10"/>
        <rFont val="Century Gothic"/>
        <family val="2"/>
      </rPr>
      <t xml:space="preserve">/ </t>
    </r>
    <r>
      <rPr>
        <i/>
        <sz val="10"/>
        <rFont val="Century Gothic"/>
        <family val="2"/>
      </rPr>
      <t>Others</t>
    </r>
  </si>
  <si>
    <r>
      <rPr>
        <b/>
        <sz val="10"/>
        <rFont val="Century Gothic"/>
        <family val="2"/>
      </rPr>
      <t>Jumlah cukai tidak langsung</t>
    </r>
    <r>
      <rPr>
        <sz val="10"/>
        <rFont val="Century Gothic"/>
        <family val="2"/>
      </rPr>
      <t xml:space="preserve"> / </t>
    </r>
    <r>
      <rPr>
        <i/>
        <sz val="10"/>
        <rFont val="Century Gothic"/>
        <family val="2"/>
      </rPr>
      <t>Total indirect tax</t>
    </r>
  </si>
  <si>
    <t xml:space="preserve">GST/ SST </t>
  </si>
  <si>
    <r>
      <rPr>
        <b/>
        <sz val="10"/>
        <rFont val="Century Gothic"/>
        <family val="2"/>
      </rPr>
      <t>Duti Eksais</t>
    </r>
    <r>
      <rPr>
        <sz val="10"/>
        <rFont val="Century Gothic"/>
        <family val="2"/>
      </rPr>
      <t xml:space="preserve">/ </t>
    </r>
    <r>
      <rPr>
        <i/>
        <sz val="10"/>
        <rFont val="Century Gothic"/>
        <family val="2"/>
      </rPr>
      <t>Excise Duties</t>
    </r>
  </si>
  <si>
    <r>
      <rPr>
        <b/>
        <sz val="10"/>
        <rFont val="Century Gothic"/>
        <family val="2"/>
      </rPr>
      <t>Duti Import</t>
    </r>
    <r>
      <rPr>
        <sz val="10"/>
        <rFont val="Century Gothic"/>
        <family val="2"/>
      </rPr>
      <t>/</t>
    </r>
    <r>
      <rPr>
        <i/>
        <sz val="10"/>
        <rFont val="Century Gothic"/>
        <family val="2"/>
      </rPr>
      <t xml:space="preserve"> Import Duty</t>
    </r>
  </si>
  <si>
    <r>
      <rPr>
        <b/>
        <sz val="10"/>
        <rFont val="Century Gothic"/>
        <family val="2"/>
      </rPr>
      <t>Duti Eksport</t>
    </r>
    <r>
      <rPr>
        <sz val="10"/>
        <rFont val="Century Gothic"/>
        <family val="2"/>
      </rPr>
      <t xml:space="preserve">/ </t>
    </r>
    <r>
      <rPr>
        <i/>
        <sz val="10"/>
        <rFont val="Century Gothic"/>
        <family val="2"/>
      </rPr>
      <t>Export Duty</t>
    </r>
  </si>
  <si>
    <r>
      <rPr>
        <b/>
        <sz val="10"/>
        <rFont val="Century Gothic"/>
        <family val="2"/>
      </rPr>
      <t xml:space="preserve">Hasil bukan cukai </t>
    </r>
    <r>
      <rPr>
        <sz val="10"/>
        <rFont val="Century Gothic"/>
        <family val="2"/>
      </rPr>
      <t xml:space="preserve">/ </t>
    </r>
    <r>
      <rPr>
        <i/>
        <sz val="10"/>
        <rFont val="Century Gothic"/>
        <family val="2"/>
      </rPr>
      <t>Non-tax revenue</t>
    </r>
  </si>
  <si>
    <r>
      <rPr>
        <b/>
        <sz val="10"/>
        <rFont val="Century Gothic"/>
        <family val="2"/>
      </rPr>
      <t>Lesen dan permit</t>
    </r>
    <r>
      <rPr>
        <sz val="10"/>
        <rFont val="Century Gothic"/>
        <family val="2"/>
      </rPr>
      <t>/</t>
    </r>
    <r>
      <rPr>
        <i/>
        <sz val="10"/>
        <rFont val="Century Gothic"/>
        <family val="2"/>
      </rPr>
      <t xml:space="preserve"> Licenses and permits</t>
    </r>
  </si>
  <si>
    <r>
      <rPr>
        <b/>
        <sz val="10"/>
        <rFont val="Century Gothic"/>
        <family val="2"/>
      </rPr>
      <t>Pendapatan pelaburan</t>
    </r>
    <r>
      <rPr>
        <sz val="10"/>
        <rFont val="Century Gothic"/>
        <family val="2"/>
      </rPr>
      <t xml:space="preserve">/ </t>
    </r>
    <r>
      <rPr>
        <i/>
        <sz val="10"/>
        <rFont val="Century Gothic"/>
        <family val="2"/>
      </rPr>
      <t>Investment income</t>
    </r>
  </si>
  <si>
    <t xml:space="preserve">Agregat Kewangan (RM juta)
Monetary Aggregates (RM million) </t>
  </si>
  <si>
    <t>M1</t>
  </si>
  <si>
    <t>M2</t>
  </si>
  <si>
    <t>M3</t>
  </si>
  <si>
    <r>
      <rPr>
        <b/>
        <sz val="10"/>
        <rFont val="Century Gothic"/>
        <family val="2"/>
      </rPr>
      <t>Kadar Dasar Semalaman pada akhir tempoh (%)</t>
    </r>
    <r>
      <rPr>
        <sz val="10"/>
        <rFont val="Century Gothic"/>
        <family val="2"/>
      </rPr>
      <t xml:space="preserve">
</t>
    </r>
    <r>
      <rPr>
        <i/>
        <sz val="10"/>
        <rFont val="Century Gothic"/>
        <family val="2"/>
      </rPr>
      <t>Overnight Policy Rate as at period end</t>
    </r>
    <r>
      <rPr>
        <sz val="10"/>
        <rFont val="Century Gothic"/>
        <family val="2"/>
      </rPr>
      <t xml:space="preserve"> </t>
    </r>
  </si>
  <si>
    <r>
      <rPr>
        <b/>
        <sz val="10"/>
        <rFont val="Century Gothic"/>
        <family val="2"/>
      </rPr>
      <t>Kadar Faedah Purata Institusi Perbankan (%)</t>
    </r>
    <r>
      <rPr>
        <sz val="10"/>
        <rFont val="Century Gothic"/>
        <family val="2"/>
      </rPr>
      <t xml:space="preserve">
</t>
    </r>
    <r>
      <rPr>
        <i/>
        <sz val="10"/>
        <rFont val="Century Gothic"/>
        <family val="2"/>
      </rPr>
      <t xml:space="preserve">Interest Rates of Banking Institutions </t>
    </r>
  </si>
  <si>
    <r>
      <rPr>
        <b/>
        <sz val="10"/>
        <rFont val="Century Gothic"/>
        <family val="2"/>
      </rPr>
      <t>Kadar Faedah Deposit Tabungan Bank Perdagangan</t>
    </r>
    <r>
      <rPr>
        <sz val="10"/>
        <rFont val="Century Gothic"/>
        <family val="2"/>
      </rPr>
      <t xml:space="preserve">
</t>
    </r>
    <r>
      <rPr>
        <i/>
        <sz val="10"/>
        <rFont val="Century Gothic"/>
        <family val="2"/>
      </rPr>
      <t>Savings Deposit Rate - Commercial Bank</t>
    </r>
  </si>
  <si>
    <r>
      <rPr>
        <b/>
        <sz val="10"/>
        <rFont val="Century Gothic"/>
        <family val="2"/>
      </rPr>
      <t>Deposit Tetap 12 bulan</t>
    </r>
    <r>
      <rPr>
        <sz val="10"/>
        <rFont val="Century Gothic"/>
        <family val="2"/>
      </rPr>
      <t xml:space="preserve">
</t>
    </r>
    <r>
      <rPr>
        <i/>
        <sz val="10"/>
        <rFont val="Century Gothic"/>
        <family val="2"/>
      </rPr>
      <t>Fixed Deposit Rate 12 months</t>
    </r>
  </si>
  <si>
    <r>
      <rPr>
        <b/>
        <sz val="10"/>
        <rFont val="Century Gothic"/>
        <family val="2"/>
      </rPr>
      <t>Kadar Berian Pinjaman Purata Bank Perdagangan</t>
    </r>
    <r>
      <rPr>
        <sz val="10"/>
        <rFont val="Century Gothic"/>
        <family val="2"/>
      </rPr>
      <t xml:space="preserve">
</t>
    </r>
    <r>
      <rPr>
        <i/>
        <sz val="10"/>
        <rFont val="Century Gothic"/>
        <family val="2"/>
      </rPr>
      <t>Average Lending Rate - Commercial Bank</t>
    </r>
  </si>
  <si>
    <r>
      <t xml:space="preserve">Indikator Utama Bursa Malaysia/ </t>
    </r>
    <r>
      <rPr>
        <i/>
        <sz val="10"/>
        <rFont val="Century Gothic"/>
        <family val="2"/>
      </rPr>
      <t>Bursa Malaysia's Key Indicators</t>
    </r>
  </si>
  <si>
    <t>FTSE Bursa Malaysia KLCI, FBM KLCI</t>
  </si>
  <si>
    <t>Nilai Pasaran / Market Capitalisation (RM billion)</t>
  </si>
  <si>
    <t>Nilai Dagangan/ Value Traded (RM billion)</t>
  </si>
  <si>
    <r>
      <rPr>
        <b/>
        <sz val="10"/>
        <rFont val="Century Gothic"/>
        <family val="2"/>
      </rPr>
      <t>Volum Dagangan</t>
    </r>
    <r>
      <rPr>
        <sz val="10"/>
        <rFont val="Century Gothic"/>
        <family val="2"/>
      </rPr>
      <t xml:space="preserve">/ </t>
    </r>
    <r>
      <rPr>
        <i/>
        <sz val="10"/>
        <rFont val="Century Gothic"/>
        <family val="2"/>
      </rPr>
      <t>Volume Traded (Billion Unit)</t>
    </r>
  </si>
  <si>
    <t>Sumber: Kementerian Kewangan Malaysia</t>
  </si>
  <si>
    <t>Bank Negara Malaysia</t>
  </si>
  <si>
    <t>Bursa Malaysia Securities Berhad</t>
  </si>
  <si>
    <t>Source: Ministry of Finance</t>
  </si>
  <si>
    <t>Central Bank of Malaysia</t>
  </si>
  <si>
    <r>
      <rPr>
        <b/>
        <sz val="9"/>
        <rFont val="Century Gothic"/>
        <family val="2"/>
      </rPr>
      <t>Nota</t>
    </r>
    <r>
      <rPr>
        <sz val="9"/>
        <rFont val="Century Gothic"/>
        <family val="2"/>
      </rPr>
      <t xml:space="preserve">/ </t>
    </r>
    <r>
      <rPr>
        <i/>
        <sz val="9"/>
        <rFont val="Century Gothic"/>
        <family val="2"/>
      </rPr>
      <t>Note:</t>
    </r>
  </si>
  <si>
    <t>Data bagi Kewangan Kerajaan 2024 adalah anggaran disemak oleh Kementerian Kewangan Malaysia</t>
  </si>
  <si>
    <t>Data for Government Finance 2024 are revised estimate by Ministry of Finance, Malaysia</t>
  </si>
  <si>
    <t>Jadual 16.0</t>
  </si>
  <si>
    <t>: Statistik utama Akaun Satelit Pelancongan (ASP), Malaysia, 2022 - 2024</t>
  </si>
  <si>
    <t xml:space="preserve">  Table 16.0</t>
  </si>
  <si>
    <t>: Principal statistics Tourism Satellite Account (TSA), Malaysia, 2022 - 2024</t>
  </si>
  <si>
    <r>
      <t xml:space="preserve">AKAUN SATELIT PELANCONGAN (ASP) 
</t>
    </r>
    <r>
      <rPr>
        <i/>
        <sz val="10"/>
        <rFont val="Century Gothic"/>
        <family val="2"/>
      </rPr>
      <t>TOURISM SATELLITE ACCOUNT (TSA)</t>
    </r>
  </si>
  <si>
    <t>Akaun Satelit Pelancongan (Nilai)</t>
  </si>
  <si>
    <t>Tourism Satellite Account (Value)</t>
  </si>
  <si>
    <t>Nilai Ditambah Kasar Industri Pelancongan (NDKIP) (RM juta)</t>
  </si>
  <si>
    <t>Gross Value Added of Tourism Industries (GVATI) (RM million)</t>
  </si>
  <si>
    <t>Keluaran Dalam Negeri Kasar Pelancongan Langsung (KDNKPL) (RM juta)</t>
  </si>
  <si>
    <t>Tourism Direct Gross Domestic Product (TDGDP) (RM million)</t>
  </si>
  <si>
    <t>Perbelanjaan pelancongan inbound bagi pelawat (RM juta)</t>
  </si>
  <si>
    <t>Inbound tourism expenditure of visitors (RM million)</t>
  </si>
  <si>
    <t>Perbelanjaan pelancongan domestik bagi pelawat (RM juta)</t>
  </si>
  <si>
    <t>Domestic tourism expenditure of visitors (RM million)</t>
  </si>
  <si>
    <t>Perbelanjaan pelancongan outbound bagi pelawat (RM juta)</t>
  </si>
  <si>
    <t>Outbound tourism expenditure of visitors (RM million)</t>
  </si>
  <si>
    <t>Guna tenaga dalam industri pelancongan ('000)</t>
  </si>
  <si>
    <t xml:space="preserve">Employment in the tourism industry </t>
  </si>
  <si>
    <t>Akaun Satelit Pelancongan - Perubahan Peratusan Tahunan (%)</t>
  </si>
  <si>
    <t xml:space="preserve">Tourism Satellite Account - Annual Percentage Change </t>
  </si>
  <si>
    <t>Nilai Ditambah Kasar Industri Pelancongan (NDKIP)</t>
  </si>
  <si>
    <t>Gross Value Added of Tourism Industries (GVATI)</t>
  </si>
  <si>
    <t>Keluaran Dalam Negeri Kasar Pelancongan Langsung (KDNKPL)</t>
  </si>
  <si>
    <t>Tourism Direct Gross Domestic Product (TDGDP)</t>
  </si>
  <si>
    <t>Perbelanjaan pelancongan inbound bagi pelawat</t>
  </si>
  <si>
    <t>Inbound tourism expenditure of visitors</t>
  </si>
  <si>
    <t>Perbelanjaan pelancongan domestik bagi pelawat</t>
  </si>
  <si>
    <t>Domestic tourism expenditure of visitors</t>
  </si>
  <si>
    <t xml:space="preserve">Perbelanjaan pelancongan outbound bagi pelawat </t>
  </si>
  <si>
    <t>Outbound tourism expenditure of visitors</t>
  </si>
  <si>
    <t>Guna tenaga dalam industri pelancongan</t>
  </si>
  <si>
    <t>Employment in the tourism industry</t>
  </si>
  <si>
    <t>Akaun Satelit Pelancongan - Peratus Sumbangan kepada KDNK (%)</t>
  </si>
  <si>
    <t>Tourism Satellite Account - Percentage Share to GDP</t>
  </si>
  <si>
    <r>
      <rPr>
        <b/>
        <sz val="9"/>
        <rFont val="Century Gothic"/>
        <family val="2"/>
      </rPr>
      <t>Nota</t>
    </r>
    <r>
      <rPr>
        <sz val="9"/>
        <rFont val="Century Gothic"/>
        <family val="2"/>
      </rPr>
      <t>/</t>
    </r>
    <r>
      <rPr>
        <i/>
        <sz val="9"/>
        <rFont val="Century Gothic"/>
        <family val="2"/>
      </rPr>
      <t xml:space="preserve"> Note:</t>
    </r>
  </si>
  <si>
    <t>Data 2023 adalah anggaran manakala data 2024 adalah permulaan serta tertakluk kepada pindaan dalam keluaran berikutnya</t>
  </si>
  <si>
    <t>The 2023 data are estimates while 2024 data are preliminary and subject to revision in later issues</t>
  </si>
  <si>
    <t>Jadual 17.0</t>
  </si>
  <si>
    <t>: Statistik utama Akaun Satelit Teknologi Maklumat &amp; Komunikasi (ASTMK), Malaysia, 2022 - 2024</t>
  </si>
  <si>
    <t xml:space="preserve">  Table 17.0</t>
  </si>
  <si>
    <t>: Principal statistics of Information and Communication Technology Satellite Account (ICTSA), Malaysia, 2022 - 2024</t>
  </si>
  <si>
    <r>
      <t xml:space="preserve">AKAUN SATELIT TEKNOLOGI MAKLUMAT &amp; KOMUNIKASI (ASTMK) 
</t>
    </r>
    <r>
      <rPr>
        <i/>
        <sz val="10"/>
        <rFont val="Century Gothic"/>
        <family val="2"/>
      </rPr>
      <t>INFORMATION AND COMMUNICATION TECHNOLOGY SATELLITE ACCOUNT (ICTSA)</t>
    </r>
  </si>
  <si>
    <t>Akaun Satelit Teknologi Maklumat &amp; Komunikasi (Nilai)</t>
  </si>
  <si>
    <t>Information and Communication Technology Satellite Account (Value)</t>
  </si>
  <si>
    <t>Nilai Ditambah Kasar Industri TMK (NDKTMK) (RM juta)</t>
  </si>
  <si>
    <t>Gross Value Added of ICT Industry (GVAICT) (RM million)</t>
  </si>
  <si>
    <t>Eksport Produk TMK (RM juta)</t>
  </si>
  <si>
    <t>Exports of ICT Products (RM million)</t>
  </si>
  <si>
    <t>Import Produk TMK (RM juta)</t>
  </si>
  <si>
    <t>Imports of ICT Products (RM million)</t>
  </si>
  <si>
    <t>Nilai Ditambah Kasar e-dagang (RM juta)</t>
  </si>
  <si>
    <t>Gross Value Added of e-commerce (RM million)</t>
  </si>
  <si>
    <t>Sumbangan TMK kepada ekonomi (NDKTMK, e-dagang) (RM juta)</t>
  </si>
  <si>
    <t>ICT Contribution to economy (GVAICT, e-commerce) (RM million)</t>
  </si>
  <si>
    <t xml:space="preserve">Guna Tenaga Dalam Industri TMK ('000) </t>
  </si>
  <si>
    <t xml:space="preserve">Employment in the ICT Industry </t>
  </si>
  <si>
    <t>Akaun Satelit Teknologi Maklumat &amp; Komunikasi - Perubahan Peratusan Tahunan (%)</t>
  </si>
  <si>
    <t xml:space="preserve">Information and Communication Technology Satellite Account - Annual Percentage Change </t>
  </si>
  <si>
    <t>Nilai Ditambah Kasar Industri TMK (NDKTMK)</t>
  </si>
  <si>
    <t>Gross Value Added of ICT Industry (GVATI)</t>
  </si>
  <si>
    <t xml:space="preserve">Eksport Produk TMK </t>
  </si>
  <si>
    <t>Exports of ICT Products</t>
  </si>
  <si>
    <t xml:space="preserve">Import Produk TMK </t>
  </si>
  <si>
    <t>Imports of ICT Products</t>
  </si>
  <si>
    <t>Nilai Ditambah Kasar e-dagang</t>
  </si>
  <si>
    <t>Gross Value Added of e-commerce</t>
  </si>
  <si>
    <t>Sumbangan TMK kepada ekonomi (NDKTMK, e-dagang)</t>
  </si>
  <si>
    <t>ICT Contribution to economy (GVAICT, e-commerce)</t>
  </si>
  <si>
    <t>Guna Tenaga Dalam Industri TMK</t>
  </si>
  <si>
    <t xml:space="preserve"> Employment in the ICT Industry</t>
  </si>
  <si>
    <t>Akaun Satelit Teknologi Maklumat &amp; Komunikasi - Peratus Sumbangan kepada KDNK (%)</t>
  </si>
  <si>
    <t>Information and Communication Technology Satellite Account - Percentage Share to GDP</t>
  </si>
  <si>
    <r>
      <t xml:space="preserve">Nota/ </t>
    </r>
    <r>
      <rPr>
        <i/>
        <sz val="9"/>
        <rFont val="Century Gothic"/>
        <family val="2"/>
      </rPr>
      <t>Note</t>
    </r>
    <r>
      <rPr>
        <sz val="9"/>
        <rFont val="Century Gothic"/>
        <family val="2"/>
      </rPr>
      <t>:</t>
    </r>
  </si>
  <si>
    <t>Jadual 18.0</t>
  </si>
  <si>
    <t>: Statistik utama Stok Modal, Malaysia, 2022 - 2024</t>
  </si>
  <si>
    <t xml:space="preserve">  Table 18.0</t>
  </si>
  <si>
    <t>: Principal statistics of Capital Stock, Malaysia, 2022 - 2024</t>
  </si>
  <si>
    <r>
      <t xml:space="preserve">STOK MODAL 
</t>
    </r>
    <r>
      <rPr>
        <i/>
        <sz val="10"/>
        <rFont val="Century Gothic"/>
        <family val="2"/>
      </rPr>
      <t>CAPITAL STOCK</t>
    </r>
  </si>
  <si>
    <t>Stok Modal pada harga malar 2015 (RM juta)</t>
  </si>
  <si>
    <t>Capital Stock at constant 2015 prices (RM million)</t>
  </si>
  <si>
    <t>Stok Modal Kasar (SMK)</t>
  </si>
  <si>
    <t>Gross Capital Stock (GKS)</t>
  </si>
  <si>
    <t>Stok Modal Bersih (SMB)</t>
  </si>
  <si>
    <t>Net Capital Stock (NKS)</t>
  </si>
  <si>
    <t>Stok Modal Produktif (SMP)</t>
  </si>
  <si>
    <t>Productive Capital Stock (PKS)</t>
  </si>
  <si>
    <t>Penggunaan Modal Tetap (PMT)</t>
  </si>
  <si>
    <t>Consumption of Fixed Capital (COFC)</t>
  </si>
  <si>
    <t>Stok Modal pada harga malar 2015 - Perubahan Peratusan Tahunan (%)</t>
  </si>
  <si>
    <t xml:space="preserve">Capital Stock at constant 2015 prices - Annual Percentage Change </t>
  </si>
  <si>
    <t>Data 2023 adalah anggaran, manakala data 2024 adalah permulaan; serta tertakluk kepada pindaan dalam keluaran berikutnya</t>
  </si>
  <si>
    <t>The 2023 data are estimates, while 2024 data are preliminary; and subject to revision in later issues</t>
  </si>
  <si>
    <t>Jadual 19.0</t>
  </si>
  <si>
    <t>: Statistik imbangan pembayaran, Malaysia, 2022 - 2024</t>
  </si>
  <si>
    <t xml:space="preserve">  Table 19.0</t>
  </si>
  <si>
    <t>: Balance of payments statistics, Malaysia, 2022 - 2024</t>
  </si>
  <si>
    <r>
      <t xml:space="preserve">IMBANGAN PEMBAYARAN
</t>
    </r>
    <r>
      <rPr>
        <i/>
        <sz val="10"/>
        <rFont val="Century Gothic"/>
        <family val="2"/>
      </rPr>
      <t>BALANCE OF PAYMENTS</t>
    </r>
  </si>
  <si>
    <r>
      <t>Imbangan Pembayaran, Bersih  (RM juta)</t>
    </r>
    <r>
      <rPr>
        <b/>
        <vertAlign val="superscript"/>
        <sz val="10"/>
        <rFont val="Century Gothic"/>
        <family val="2"/>
      </rPr>
      <t>1</t>
    </r>
  </si>
  <si>
    <t>Balance of Payments, Net  (RM million)</t>
  </si>
  <si>
    <r>
      <rPr>
        <b/>
        <sz val="10"/>
        <rFont val="Century Gothic"/>
        <family val="2"/>
      </rPr>
      <t xml:space="preserve">Akaun Semasa/ </t>
    </r>
    <r>
      <rPr>
        <i/>
        <sz val="10"/>
        <rFont val="Century Gothic"/>
        <family val="2"/>
      </rPr>
      <t>Current Account</t>
    </r>
  </si>
  <si>
    <r>
      <rPr>
        <b/>
        <sz val="10"/>
        <rFont val="Century Gothic"/>
        <family val="2"/>
      </rPr>
      <t>Barangan</t>
    </r>
    <r>
      <rPr>
        <sz val="10"/>
        <rFont val="Century Gothic"/>
        <family val="2"/>
      </rPr>
      <t xml:space="preserve">/ </t>
    </r>
    <r>
      <rPr>
        <i/>
        <sz val="10"/>
        <rFont val="Century Gothic"/>
        <family val="2"/>
      </rPr>
      <t>Goods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</si>
  <si>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</si>
  <si>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Pendapatan primer</t>
    </r>
    <r>
      <rPr>
        <sz val="10"/>
        <rFont val="Century Gothic"/>
        <family val="2"/>
      </rPr>
      <t xml:space="preserve">/ </t>
    </r>
    <r>
      <rPr>
        <i/>
        <sz val="10"/>
        <rFont val="Century Gothic"/>
        <family val="2"/>
      </rPr>
      <t>Primary income</t>
    </r>
  </si>
  <si>
    <r>
      <rPr>
        <b/>
        <sz val="10"/>
        <rFont val="Century Gothic"/>
        <family val="2"/>
      </rPr>
      <t>Pendapatan sekunder</t>
    </r>
    <r>
      <rPr>
        <sz val="10"/>
        <rFont val="Century Gothic"/>
        <family val="2"/>
      </rPr>
      <t xml:space="preserve">/ </t>
    </r>
    <r>
      <rPr>
        <i/>
        <sz val="10"/>
        <rFont val="Century Gothic"/>
        <family val="2"/>
      </rPr>
      <t>Secondary income</t>
    </r>
  </si>
  <si>
    <r>
      <t xml:space="preserve">Akaun Modal/ </t>
    </r>
    <r>
      <rPr>
        <i/>
        <sz val="10"/>
        <rFont val="Century Gothic"/>
        <family val="2"/>
      </rPr>
      <t>Capital Account</t>
    </r>
  </si>
  <si>
    <r>
      <t xml:space="preserve">Akaun Kewangan/ </t>
    </r>
    <r>
      <rPr>
        <i/>
        <sz val="10"/>
        <rFont val="Century Gothic"/>
        <family val="2"/>
      </rPr>
      <t>Financial Account</t>
    </r>
  </si>
  <si>
    <r>
      <t xml:space="preserve">Pelaburan Langsung/ </t>
    </r>
    <r>
      <rPr>
        <i/>
        <sz val="10"/>
        <rFont val="Century Gothic"/>
        <family val="2"/>
      </rPr>
      <t>Direct Investment</t>
    </r>
  </si>
  <si>
    <r>
      <rPr>
        <b/>
        <sz val="10"/>
        <rFont val="Century Gothic"/>
        <family val="2"/>
      </rPr>
      <t>Pelaburan Langsung di Luar Negeri</t>
    </r>
    <r>
      <rPr>
        <sz val="10"/>
        <rFont val="Century Gothic"/>
        <family val="2"/>
      </rPr>
      <t xml:space="preserve">/ </t>
    </r>
    <r>
      <rPr>
        <i/>
        <sz val="10"/>
        <rFont val="Century Gothic"/>
        <family val="2"/>
      </rPr>
      <t>Direct Investment Abroad</t>
    </r>
  </si>
  <si>
    <r>
      <rPr>
        <b/>
        <sz val="10"/>
        <rFont val="Century Gothic"/>
        <family val="2"/>
      </rPr>
      <t>Pelaburan Langsung Asing di Malaysia</t>
    </r>
    <r>
      <rPr>
        <sz val="10"/>
        <rFont val="Century Gothic"/>
        <family val="2"/>
      </rPr>
      <t xml:space="preserve">/ </t>
    </r>
    <r>
      <rPr>
        <i/>
        <sz val="10"/>
        <rFont val="Century Gothic"/>
        <family val="2"/>
      </rPr>
      <t>Foreign Direct Investment</t>
    </r>
  </si>
  <si>
    <r>
      <t xml:space="preserve">Kedudukan Pelaburan Antarabangsa
</t>
    </r>
    <r>
      <rPr>
        <i/>
        <sz val="10"/>
        <rFont val="Century Gothic"/>
        <family val="2"/>
      </rPr>
      <t>International Investment Position</t>
    </r>
  </si>
  <si>
    <r>
      <t>Pelaburan Swasta Diluluskan</t>
    </r>
    <r>
      <rPr>
        <b/>
        <vertAlign val="superscript"/>
        <sz val="10"/>
        <rFont val="Century Gothic"/>
        <family val="2"/>
      </rPr>
      <t>2</t>
    </r>
    <r>
      <rPr>
        <b/>
        <sz val="10"/>
        <rFont val="Century Gothic"/>
        <family val="2"/>
      </rPr>
      <t xml:space="preserve">
</t>
    </r>
    <r>
      <rPr>
        <i/>
        <sz val="10"/>
        <rFont val="Century Gothic"/>
        <family val="2"/>
      </rPr>
      <t>Approved Private Investment (MIDA)</t>
    </r>
    <r>
      <rPr>
        <b/>
        <i/>
        <vertAlign val="superscript"/>
        <sz val="10"/>
        <rFont val="Century Gothic"/>
        <family val="2"/>
      </rPr>
      <t>2</t>
    </r>
  </si>
  <si>
    <t>Johor</t>
  </si>
  <si>
    <t>Kedah</t>
  </si>
  <si>
    <t>Kelantan</t>
  </si>
  <si>
    <t>Melaka</t>
  </si>
  <si>
    <t>Negeri Sembilan</t>
  </si>
  <si>
    <t>Pahang</t>
  </si>
  <si>
    <t>Pulau Pinang</t>
  </si>
  <si>
    <t>Perak</t>
  </si>
  <si>
    <t>Perlis</t>
  </si>
  <si>
    <t>Selangor</t>
  </si>
  <si>
    <t>Terengganu</t>
  </si>
  <si>
    <t>Sabah</t>
  </si>
  <si>
    <t>Sarawak</t>
  </si>
  <si>
    <t>W.P. Kuala Lumpur</t>
  </si>
  <si>
    <t>W.P. Labuan</t>
  </si>
  <si>
    <t>W.P. Putrajaya</t>
  </si>
  <si>
    <t>Lembaga Pembangunan Pelaburan Malaysia</t>
  </si>
  <si>
    <t>Malaysian Investment Development Authority</t>
  </si>
  <si>
    <r>
      <rPr>
        <b/>
        <sz val="9"/>
        <rFont val="Century Gothic"/>
        <family val="2"/>
      </rPr>
      <t>Nota</t>
    </r>
    <r>
      <rPr>
        <sz val="9"/>
        <rFont val="Century Gothic"/>
        <family val="2"/>
      </rPr>
      <t xml:space="preserve">/ </t>
    </r>
    <r>
      <rPr>
        <i/>
        <sz val="9"/>
        <rFont val="Century Gothic"/>
        <family val="2"/>
      </rPr>
      <t>Notes</t>
    </r>
    <r>
      <rPr>
        <sz val="9"/>
        <rFont val="Century Gothic"/>
        <family val="2"/>
      </rPr>
      <t>:</t>
    </r>
  </si>
  <si>
    <r>
      <rPr>
        <b/>
        <vertAlign val="superscript"/>
        <sz val="9"/>
        <rFont val="Century Gothic"/>
        <family val="2"/>
      </rPr>
      <t>1</t>
    </r>
    <r>
      <rPr>
        <b/>
        <sz val="9"/>
        <rFont val="Century Gothic"/>
        <family val="2"/>
      </rPr>
      <t xml:space="preserve"> Data 2023 adalah anggaran, manakala data 2024 adalah permulaan dan tertakluk kepada pindaan dalam keluaran berikutnya</t>
    </r>
  </si>
  <si>
    <r>
      <rPr>
        <i/>
        <vertAlign val="superscript"/>
        <sz val="9"/>
        <rFont val="Century Gothic"/>
        <family val="2"/>
      </rPr>
      <t xml:space="preserve">1 </t>
    </r>
    <r>
      <rPr>
        <i/>
        <sz val="9"/>
        <rFont val="Century Gothic"/>
        <family val="2"/>
      </rPr>
      <t>The 2023 data are estimates, while the 2024 data are preliminary and subject to revision in subsequent issues</t>
    </r>
  </si>
  <si>
    <r>
      <rPr>
        <b/>
        <vertAlign val="superscript"/>
        <sz val="9"/>
        <rFont val="Century Gothic"/>
        <family val="2"/>
      </rPr>
      <t xml:space="preserve">2 </t>
    </r>
    <r>
      <rPr>
        <b/>
        <sz val="9"/>
        <rFont val="Century Gothic"/>
        <family val="2"/>
      </rPr>
      <t>Termasuk jumlah cadangan butiran negeri tidak tersedia</t>
    </r>
  </si>
  <si>
    <r>
      <rPr>
        <i/>
        <vertAlign val="superscript"/>
        <sz val="9"/>
        <rFont val="Century Gothic"/>
        <family val="2"/>
      </rPr>
      <t xml:space="preserve">2 </t>
    </r>
    <r>
      <rPr>
        <i/>
        <sz val="9"/>
        <rFont val="Century Gothic"/>
        <family val="2"/>
      </rPr>
      <t>Includes total proposed state details not available</t>
    </r>
  </si>
  <si>
    <t>3.</t>
  </si>
  <si>
    <r>
      <rPr>
        <b/>
        <vertAlign val="superscript"/>
        <sz val="9"/>
        <rFont val="Century Gothic"/>
        <family val="2"/>
      </rPr>
      <t xml:space="preserve">r </t>
    </r>
    <r>
      <rPr>
        <b/>
        <sz val="9"/>
        <rFont val="Century Gothic"/>
        <family val="2"/>
      </rPr>
      <t>Dikemas kini</t>
    </r>
  </si>
  <si>
    <r>
      <rPr>
        <i/>
        <vertAlign val="superscript"/>
        <sz val="9"/>
        <rFont val="Century Gothic"/>
        <family val="2"/>
      </rPr>
      <t>r</t>
    </r>
    <r>
      <rPr>
        <i/>
        <sz val="9"/>
        <rFont val="Century Gothic"/>
        <family val="2"/>
      </rPr>
      <t>Revised</t>
    </r>
  </si>
  <si>
    <t>Jadual 20.0</t>
  </si>
  <si>
    <t>: Eksport, import, jumlah dagangan dan imbangan dagangan, Malaysia, 2022 - 2024</t>
  </si>
  <si>
    <t>Table 20.0</t>
  </si>
  <si>
    <t>: Exports, imports, total trade and balance of trade, Malaysia, 2022 - 2024</t>
  </si>
  <si>
    <r>
      <t xml:space="preserve">Nilai (RM juta)
</t>
    </r>
    <r>
      <rPr>
        <i/>
        <sz val="10"/>
        <rFont val="Century Gothic"/>
        <family val="2"/>
      </rPr>
      <t>Value (RM million)</t>
    </r>
  </si>
  <si>
    <r>
      <t xml:space="preserve">Pertumbuhan tahunan (%)
 </t>
    </r>
    <r>
      <rPr>
        <i/>
        <sz val="10"/>
        <rFont val="Century Gothic"/>
        <family val="2"/>
      </rPr>
      <t>Annual Growth (%)</t>
    </r>
  </si>
  <si>
    <r>
      <t xml:space="preserve">ALIRAN PERDAGANGAN 
</t>
    </r>
    <r>
      <rPr>
        <i/>
        <sz val="10"/>
        <rFont val="Century Gothic"/>
        <family val="2"/>
      </rPr>
      <t>TRADE FLOW</t>
    </r>
  </si>
  <si>
    <r>
      <t xml:space="preserve">Eksport/ </t>
    </r>
    <r>
      <rPr>
        <i/>
        <sz val="10"/>
        <rFont val="Century Gothic"/>
        <family val="2"/>
      </rPr>
      <t>Exports</t>
    </r>
  </si>
  <si>
    <r>
      <t>mengikut sektor</t>
    </r>
    <r>
      <rPr>
        <sz val="10"/>
        <rFont val="Century Gothic"/>
        <family val="2"/>
      </rPr>
      <t xml:space="preserve">/ </t>
    </r>
    <r>
      <rPr>
        <i/>
        <sz val="10"/>
        <rFont val="Century Gothic"/>
        <family val="2"/>
      </rPr>
      <t>by sector:</t>
    </r>
  </si>
  <si>
    <r>
      <rPr>
        <b/>
        <sz val="10"/>
        <rFont val="Century Gothic"/>
        <family val="2"/>
      </rPr>
      <t>Pertanian</t>
    </r>
    <r>
      <rPr>
        <sz val="10"/>
        <rFont val="Century Gothic"/>
        <family val="2"/>
      </rPr>
      <t xml:space="preserve">/ </t>
    </r>
    <r>
      <rPr>
        <i/>
        <sz val="10"/>
        <rFont val="Century Gothic"/>
        <family val="2"/>
      </rPr>
      <t>Agriculture</t>
    </r>
  </si>
  <si>
    <r>
      <rPr>
        <b/>
        <sz val="10"/>
        <rFont val="Century Gothic"/>
        <family val="2"/>
      </rPr>
      <t>Perlombongan</t>
    </r>
    <r>
      <rPr>
        <sz val="10"/>
        <rFont val="Century Gothic"/>
        <family val="2"/>
      </rPr>
      <t xml:space="preserve">/ </t>
    </r>
    <r>
      <rPr>
        <i/>
        <sz val="10"/>
        <rFont val="Century Gothic"/>
        <family val="2"/>
      </rPr>
      <t>Mining</t>
    </r>
  </si>
  <si>
    <r>
      <rPr>
        <b/>
        <sz val="10"/>
        <rFont val="Century Gothic"/>
        <family val="2"/>
      </rPr>
      <t>Pembuatan</t>
    </r>
    <r>
      <rPr>
        <sz val="10"/>
        <rFont val="Century Gothic"/>
        <family val="2"/>
      </rPr>
      <t xml:space="preserve">/ </t>
    </r>
    <r>
      <rPr>
        <i/>
        <sz val="10"/>
        <rFont val="Century Gothic"/>
        <family val="2"/>
      </rPr>
      <t>Manufacturing</t>
    </r>
  </si>
  <si>
    <r>
      <t>mengikut Produk Utama Terpilih</t>
    </r>
    <r>
      <rPr>
        <sz val="10"/>
        <rFont val="Century Gothic"/>
        <family val="2"/>
      </rPr>
      <t>/</t>
    </r>
  </si>
  <si>
    <t>by of Selected Major Products:</t>
  </si>
  <si>
    <r>
      <rPr>
        <b/>
        <sz val="10"/>
        <rFont val="Century Gothic"/>
        <family val="2"/>
      </rPr>
      <t>Produk elektrik &amp; elektronik</t>
    </r>
    <r>
      <rPr>
        <sz val="10"/>
        <rFont val="Century Gothic"/>
        <family val="2"/>
      </rPr>
      <t xml:space="preserve">/ </t>
    </r>
    <r>
      <rPr>
        <i/>
        <sz val="10"/>
        <rFont val="Century Gothic"/>
        <family val="2"/>
      </rPr>
      <t>E&amp;E products</t>
    </r>
  </si>
  <si>
    <r>
      <rPr>
        <b/>
        <sz val="10"/>
        <rFont val="Century Gothic"/>
        <family val="2"/>
      </rPr>
      <t>Keluaran petroleum bertapis</t>
    </r>
    <r>
      <rPr>
        <sz val="10"/>
        <rFont val="Century Gothic"/>
        <family val="2"/>
      </rPr>
      <t xml:space="preserve">/ </t>
    </r>
    <r>
      <rPr>
        <i/>
        <sz val="10"/>
        <rFont val="Century Gothic"/>
        <family val="2"/>
      </rPr>
      <t>Refined petroleum products</t>
    </r>
  </si>
  <si>
    <r>
      <rPr>
        <b/>
        <sz val="10"/>
        <rFont val="Century Gothic"/>
        <family val="2"/>
      </rPr>
      <t>Minyak sawit &amp; produk berasaskan minyak sawit</t>
    </r>
    <r>
      <rPr>
        <sz val="10"/>
        <rFont val="Century Gothic"/>
        <family val="2"/>
      </rPr>
      <t>/</t>
    </r>
  </si>
  <si>
    <t>Palm oil &amp; palm oil-based products</t>
  </si>
  <si>
    <r>
      <t xml:space="preserve">Import/ </t>
    </r>
    <r>
      <rPr>
        <i/>
        <sz val="10"/>
        <rFont val="Century Gothic"/>
        <family val="2"/>
      </rPr>
      <t>Imports</t>
    </r>
  </si>
  <si>
    <r>
      <t>Import tertangguh</t>
    </r>
    <r>
      <rPr>
        <sz val="10"/>
        <rFont val="Century Gothic"/>
        <family val="2"/>
      </rPr>
      <t xml:space="preserve">/ </t>
    </r>
    <r>
      <rPr>
        <i/>
        <sz val="10"/>
        <rFont val="Century Gothic"/>
        <family val="2"/>
      </rPr>
      <t>Retain import</t>
    </r>
  </si>
  <si>
    <r>
      <t>menggunakan Penggunaan Akhir</t>
    </r>
    <r>
      <rPr>
        <sz val="10"/>
        <rFont val="Century Gothic"/>
        <family val="2"/>
      </rPr>
      <t xml:space="preserve">/ </t>
    </r>
    <r>
      <rPr>
        <i/>
        <sz val="10"/>
        <rFont val="Century Gothic"/>
        <family val="2"/>
      </rPr>
      <t>by End Use:</t>
    </r>
  </si>
  <si>
    <r>
      <rPr>
        <b/>
        <sz val="10"/>
        <rFont val="Century Gothic"/>
        <family val="2"/>
      </rPr>
      <t>Barangan Moda</t>
    </r>
    <r>
      <rPr>
        <sz val="10"/>
        <rFont val="Century Gothic"/>
        <family val="2"/>
      </rPr>
      <t xml:space="preserve">l/ </t>
    </r>
    <r>
      <rPr>
        <i/>
        <sz val="10"/>
        <rFont val="Century Gothic"/>
        <family val="2"/>
      </rPr>
      <t>Capital Goods</t>
    </r>
  </si>
  <si>
    <r>
      <rPr>
        <b/>
        <sz val="10"/>
        <rFont val="Century Gothic"/>
        <family val="2"/>
      </rPr>
      <t>Barangan Perantaraan</t>
    </r>
    <r>
      <rPr>
        <sz val="10"/>
        <rFont val="Century Gothic"/>
        <family val="2"/>
      </rPr>
      <t xml:space="preserve">/ </t>
    </r>
    <r>
      <rPr>
        <i/>
        <sz val="10"/>
        <rFont val="Century Gothic"/>
        <family val="2"/>
      </rPr>
      <t>Intermediate Goods</t>
    </r>
  </si>
  <si>
    <r>
      <rPr>
        <b/>
        <sz val="10"/>
        <rFont val="Century Gothic"/>
        <family val="2"/>
      </rPr>
      <t>Barangan Penggunaan</t>
    </r>
    <r>
      <rPr>
        <sz val="10"/>
        <rFont val="Century Gothic"/>
        <family val="2"/>
      </rPr>
      <t xml:space="preserve">/ </t>
    </r>
    <r>
      <rPr>
        <i/>
        <sz val="10"/>
        <rFont val="Century Gothic"/>
        <family val="2"/>
      </rPr>
      <t>Consumption Goods</t>
    </r>
  </si>
  <si>
    <r>
      <rPr>
        <b/>
        <sz val="10"/>
        <rFont val="Century Gothic"/>
        <family val="2"/>
      </rPr>
      <t>Petroleum mentah</t>
    </r>
    <r>
      <rPr>
        <sz val="10"/>
        <rFont val="Century Gothic"/>
        <family val="2"/>
      </rPr>
      <t xml:space="preserve">/ </t>
    </r>
    <r>
      <rPr>
        <i/>
        <sz val="10"/>
        <rFont val="Century Gothic"/>
        <family val="2"/>
      </rPr>
      <t>Crude petroleum</t>
    </r>
  </si>
  <si>
    <r>
      <t xml:space="preserve">Jumlah Dagangan/ </t>
    </r>
    <r>
      <rPr>
        <i/>
        <sz val="10"/>
        <rFont val="Century Gothic"/>
        <family val="2"/>
      </rPr>
      <t>Total Trade</t>
    </r>
  </si>
  <si>
    <r>
      <t xml:space="preserve">Imbangan Dagangan/ </t>
    </r>
    <r>
      <rPr>
        <i/>
        <sz val="10"/>
        <rFont val="Century Gothic"/>
        <family val="2"/>
      </rPr>
      <t>Balance of Trade</t>
    </r>
  </si>
  <si>
    <r>
      <rPr>
        <b/>
        <i/>
        <sz val="10"/>
        <rFont val="Century Gothic"/>
        <family val="2"/>
      </rPr>
      <t>5 Rakan Dagangan Utama (Jumlah Dagangan)</t>
    </r>
    <r>
      <rPr>
        <i/>
        <sz val="10"/>
        <rFont val="Century Gothic"/>
        <family val="2"/>
      </rPr>
      <t xml:space="preserve">
Top 5 Trading Partners (Total Trade)</t>
    </r>
  </si>
  <si>
    <t>China</t>
  </si>
  <si>
    <t>Singapore</t>
  </si>
  <si>
    <t>United States</t>
  </si>
  <si>
    <t>European Union</t>
  </si>
  <si>
    <t>Taiwan</t>
  </si>
  <si>
    <r>
      <rPr>
        <b/>
        <sz val="10"/>
        <rFont val="Century Gothic"/>
        <family val="2"/>
      </rPr>
      <t>Sumbangan kepada Jumlah Dagangan Malaysia (%)</t>
    </r>
    <r>
      <rPr>
        <sz val="10"/>
        <rFont val="Century Gothic"/>
        <family val="2"/>
      </rPr>
      <t xml:space="preserve">
</t>
    </r>
    <r>
      <rPr>
        <i/>
        <sz val="10"/>
        <rFont val="Century Gothic"/>
        <family val="2"/>
      </rPr>
      <t>Contribution to Malaysia's Total Trade(%)</t>
    </r>
  </si>
  <si>
    <t>Jadual 21.0</t>
  </si>
  <si>
    <t>: Statistik utama pelancongan domestik, Malaysia, 2022 - 2024</t>
  </si>
  <si>
    <t xml:space="preserve">  Table 21.0</t>
  </si>
  <si>
    <t>: Principal statistics of domestic tourism, Malaysia, 2022 - 2024</t>
  </si>
  <si>
    <r>
      <t xml:space="preserve">PELANCONGAN DOMESTIK
</t>
    </r>
    <r>
      <rPr>
        <i/>
        <sz val="10"/>
        <rFont val="Century Gothic"/>
        <family val="2"/>
      </rPr>
      <t>DOMESTIC TOURISM</t>
    </r>
  </si>
  <si>
    <t>Jumlah Terimaan (RM juta)</t>
  </si>
  <si>
    <t>Total Receipts (RM million)</t>
  </si>
  <si>
    <r>
      <t xml:space="preserve">Pelawat Domestik/ </t>
    </r>
    <r>
      <rPr>
        <i/>
        <sz val="10"/>
        <color rgb="FF000000"/>
        <rFont val="Century Gothic"/>
        <family val="2"/>
      </rPr>
      <t>Domestic Visitors</t>
    </r>
    <r>
      <rPr>
        <b/>
        <sz val="10"/>
        <color rgb="FF000000"/>
        <rFont val="Century Gothic"/>
        <family val="2"/>
      </rPr>
      <t xml:space="preserve">
</t>
    </r>
  </si>
  <si>
    <r>
      <t xml:space="preserve">Isi Rumah yang Dilawati/ </t>
    </r>
    <r>
      <rPr>
        <i/>
        <sz val="10"/>
        <color rgb="FF000000"/>
        <rFont val="Century Gothic"/>
        <family val="2"/>
      </rPr>
      <t xml:space="preserve">Visited Households
</t>
    </r>
  </si>
  <si>
    <t xml:space="preserve">Jumlah Pelawat (’000)
</t>
  </si>
  <si>
    <t>Number of Visitors</t>
  </si>
  <si>
    <r>
      <t xml:space="preserve">Pelawat Harian/ </t>
    </r>
    <r>
      <rPr>
        <i/>
        <sz val="10"/>
        <color rgb="FF000000"/>
        <rFont val="Century Gothic"/>
        <family val="2"/>
      </rPr>
      <t>Excursionist</t>
    </r>
    <r>
      <rPr>
        <b/>
        <sz val="10"/>
        <color rgb="FF000000"/>
        <rFont val="Century Gothic"/>
        <family val="2"/>
      </rPr>
      <t xml:space="preserve">
</t>
    </r>
  </si>
  <si>
    <r>
      <t xml:space="preserve">Pelancong/ </t>
    </r>
    <r>
      <rPr>
        <i/>
        <sz val="10"/>
        <color rgb="FF000000"/>
        <rFont val="Century Gothic"/>
        <family val="2"/>
      </rPr>
      <t>Tourist</t>
    </r>
    <r>
      <rPr>
        <b/>
        <sz val="10"/>
        <color rgb="FF000000"/>
        <rFont val="Century Gothic"/>
        <family val="2"/>
      </rPr>
      <t xml:space="preserve">
</t>
    </r>
  </si>
  <si>
    <t xml:space="preserve">Jumlah Perjalanan Pelancongan (’000)
</t>
  </si>
  <si>
    <t>Number of Tourism Trips</t>
  </si>
  <si>
    <t>Jadual 22.0</t>
  </si>
  <si>
    <t>: Statistik Pasaran Buruh, Malaysia, 2023 - 2025</t>
  </si>
  <si>
    <t xml:space="preserve">  Table 22.0</t>
  </si>
  <si>
    <t>: Labour Market Statistics, Malaysia, 2023 - 2025</t>
  </si>
  <si>
    <r>
      <t xml:space="preserve">PASARAN BURUH
</t>
    </r>
    <r>
      <rPr>
        <i/>
        <sz val="10"/>
        <color theme="1"/>
        <rFont val="Century Gothic"/>
        <family val="2"/>
      </rPr>
      <t>LABOUR MARKET</t>
    </r>
  </si>
  <si>
    <r>
      <t xml:space="preserve">Statistik Utama Tenaga Buruh
</t>
    </r>
    <r>
      <rPr>
        <i/>
        <sz val="10"/>
        <rFont val="Century Gothic"/>
        <family val="1"/>
      </rPr>
      <t>Principal Statistics of Labour Force</t>
    </r>
  </si>
  <si>
    <r>
      <rPr>
        <b/>
        <sz val="10"/>
        <color theme="1"/>
        <rFont val="Century Gothic"/>
        <family val="2"/>
      </rPr>
      <t>Tenaga Buruh  ('000)</t>
    </r>
    <r>
      <rPr>
        <i/>
        <sz val="10"/>
        <color theme="1"/>
        <rFont val="Century Gothic"/>
        <family val="1"/>
      </rPr>
      <t xml:space="preserve">
Labour Force</t>
    </r>
  </si>
  <si>
    <r>
      <rPr>
        <b/>
        <sz val="10"/>
        <color theme="1"/>
        <rFont val="Century Gothic"/>
        <family val="1"/>
      </rPr>
      <t>Penduduk Bekerja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Employed Persons</t>
    </r>
  </si>
  <si>
    <r>
      <rPr>
        <b/>
        <sz val="10"/>
        <color theme="1"/>
        <rFont val="Century Gothic"/>
        <family val="1"/>
      </rPr>
      <t>Penganggur ('000)</t>
    </r>
    <r>
      <rPr>
        <sz val="10"/>
        <color theme="1"/>
        <rFont val="Century Gothic"/>
        <family val="1"/>
      </rPr>
      <t xml:space="preserve">
</t>
    </r>
    <r>
      <rPr>
        <i/>
        <sz val="10"/>
        <color theme="1"/>
        <rFont val="Century Gothic"/>
        <family val="1"/>
      </rPr>
      <t>Unemployed</t>
    </r>
  </si>
  <si>
    <r>
      <rPr>
        <b/>
        <sz val="10"/>
        <color theme="1"/>
        <rFont val="Century Gothic"/>
        <family val="1"/>
      </rPr>
      <t>Luar Tenaga Buruh ('000)</t>
    </r>
    <r>
      <rPr>
        <sz val="10"/>
        <color theme="1"/>
        <rFont val="Century Gothic"/>
        <family val="1"/>
      </rPr>
      <t xml:space="preserve">
</t>
    </r>
    <r>
      <rPr>
        <i/>
        <sz val="10"/>
        <color theme="1"/>
        <rFont val="Century Gothic"/>
        <family val="1"/>
      </rPr>
      <t>Outside Labour Force</t>
    </r>
  </si>
  <si>
    <r>
      <rPr>
        <b/>
        <sz val="10"/>
        <color theme="1"/>
        <rFont val="Century Gothic"/>
        <family val="1"/>
      </rPr>
      <t>Kadar Penyertaan Tenaga Buruh (%)</t>
    </r>
    <r>
      <rPr>
        <sz val="10"/>
        <color theme="1"/>
        <rFont val="Century Gothic"/>
        <family val="1"/>
      </rPr>
      <t xml:space="preserve">
</t>
    </r>
    <r>
      <rPr>
        <i/>
        <sz val="10"/>
        <color theme="1"/>
        <rFont val="Century Gothic"/>
        <family val="1"/>
      </rPr>
      <t>Labour Force Participation Rate</t>
    </r>
  </si>
  <si>
    <r>
      <rPr>
        <b/>
        <sz val="10"/>
        <color theme="1"/>
        <rFont val="Century Gothic"/>
        <family val="1"/>
      </rPr>
      <t>Kadar Pengangguran (%)</t>
    </r>
    <r>
      <rPr>
        <sz val="10"/>
        <color theme="1"/>
        <rFont val="Century Gothic"/>
        <family val="1"/>
      </rPr>
      <t xml:space="preserve">
</t>
    </r>
    <r>
      <rPr>
        <i/>
        <sz val="10"/>
        <color theme="1"/>
        <rFont val="Century Gothic"/>
        <family val="1"/>
      </rPr>
      <t>Unemployment Rate</t>
    </r>
  </si>
  <si>
    <r>
      <rPr>
        <b/>
        <sz val="10"/>
        <color theme="1"/>
        <rFont val="Century Gothic"/>
        <family val="1"/>
      </rPr>
      <t>Penduduk Bekerja Mengikut Kemahiran</t>
    </r>
    <r>
      <rPr>
        <sz val="10"/>
        <color theme="1"/>
        <rFont val="Century Gothic"/>
        <family val="1"/>
      </rPr>
      <t xml:space="preserve"> 
</t>
    </r>
    <r>
      <rPr>
        <i/>
        <sz val="10"/>
        <color theme="1"/>
        <rFont val="Century Gothic"/>
        <family val="1"/>
      </rPr>
      <t>Employed Persons by Skill</t>
    </r>
  </si>
  <si>
    <r>
      <rPr>
        <b/>
        <sz val="10"/>
        <color theme="1"/>
        <rFont val="Century Gothic"/>
        <family val="1"/>
      </rPr>
      <t>Mahir ('000)</t>
    </r>
    <r>
      <rPr>
        <sz val="10"/>
        <color theme="1"/>
        <rFont val="Century Gothic"/>
        <family val="1"/>
      </rPr>
      <t xml:space="preserve">
</t>
    </r>
    <r>
      <rPr>
        <i/>
        <sz val="10"/>
        <color theme="1"/>
        <rFont val="Century Gothic"/>
        <family val="1"/>
      </rPr>
      <t>Skilled</t>
    </r>
  </si>
  <si>
    <r>
      <rPr>
        <b/>
        <sz val="10"/>
        <color theme="1"/>
        <rFont val="Century Gothic"/>
        <family val="1"/>
      </rPr>
      <t>Separuh Mahir ('000)</t>
    </r>
    <r>
      <rPr>
        <sz val="10"/>
        <color theme="1"/>
        <rFont val="Century Gothic"/>
        <family val="1"/>
      </rPr>
      <t xml:space="preserve">
</t>
    </r>
    <r>
      <rPr>
        <i/>
        <sz val="10"/>
        <color theme="1"/>
        <rFont val="Century Gothic"/>
        <family val="1"/>
      </rPr>
      <t>Semi-skilled</t>
    </r>
  </si>
  <si>
    <r>
      <rPr>
        <b/>
        <sz val="10"/>
        <color theme="1"/>
        <rFont val="Century Gothic"/>
        <family val="1"/>
      </rPr>
      <t>Berkemahiran Rendah ('000)</t>
    </r>
    <r>
      <rPr>
        <sz val="10"/>
        <color theme="1"/>
        <rFont val="Century Gothic"/>
        <family val="1"/>
      </rPr>
      <t xml:space="preserve">
</t>
    </r>
    <r>
      <rPr>
        <i/>
        <sz val="10"/>
        <color theme="1"/>
        <rFont val="Century Gothic"/>
        <family val="1"/>
      </rPr>
      <t>Low-skilled</t>
    </r>
  </si>
  <si>
    <r>
      <rPr>
        <b/>
        <sz val="10"/>
        <color theme="1"/>
        <rFont val="Century Gothic"/>
        <family val="1"/>
      </rPr>
      <t>Penduduk Bekerja Mengikut Pencapaian Pendidikan</t>
    </r>
    <r>
      <rPr>
        <sz val="10"/>
        <color theme="1"/>
        <rFont val="Century Gothic"/>
        <family val="1"/>
      </rPr>
      <t xml:space="preserve"> 
</t>
    </r>
    <r>
      <rPr>
        <i/>
        <sz val="10"/>
        <color theme="1"/>
        <rFont val="Century Gothic"/>
        <family val="1"/>
      </rPr>
      <t>Employed Persons by Education Attainment</t>
    </r>
  </si>
  <si>
    <r>
      <rPr>
        <b/>
        <sz val="10"/>
        <color theme="1"/>
        <rFont val="Century Gothic"/>
        <family val="1"/>
      </rPr>
      <t>Tertiari ('000)</t>
    </r>
    <r>
      <rPr>
        <sz val="10"/>
        <color theme="1"/>
        <rFont val="Century Gothic"/>
        <family val="1"/>
      </rPr>
      <t xml:space="preserve">
</t>
    </r>
    <r>
      <rPr>
        <i/>
        <sz val="10"/>
        <color theme="1"/>
        <rFont val="Century Gothic"/>
        <family val="1"/>
      </rPr>
      <t>Tertiary</t>
    </r>
  </si>
  <si>
    <r>
      <rPr>
        <b/>
        <sz val="10"/>
        <color theme="1"/>
        <rFont val="Century Gothic"/>
        <family val="1"/>
      </rPr>
      <t>Menengah ('000)</t>
    </r>
    <r>
      <rPr>
        <sz val="10"/>
        <color theme="1"/>
        <rFont val="Century Gothic"/>
        <family val="1"/>
      </rPr>
      <t xml:space="preserve"> 
</t>
    </r>
    <r>
      <rPr>
        <i/>
        <sz val="10"/>
        <color theme="1"/>
        <rFont val="Century Gothic"/>
        <family val="1"/>
      </rPr>
      <t>Secondary</t>
    </r>
  </si>
  <si>
    <r>
      <rPr>
        <b/>
        <sz val="10"/>
        <color theme="1"/>
        <rFont val="Century Gothic"/>
        <family val="1"/>
      </rPr>
      <t>Rendah ('000)</t>
    </r>
    <r>
      <rPr>
        <sz val="10"/>
        <color theme="1"/>
        <rFont val="Century Gothic"/>
        <family val="1"/>
      </rPr>
      <t xml:space="preserve">
</t>
    </r>
    <r>
      <rPr>
        <i/>
        <sz val="10"/>
        <color theme="1"/>
        <rFont val="Century Gothic"/>
        <family val="1"/>
      </rPr>
      <t>Primary</t>
    </r>
    <r>
      <rPr>
        <sz val="10"/>
        <color theme="1"/>
        <rFont val="Century Gothic"/>
        <family val="1"/>
      </rPr>
      <t xml:space="preserve"> </t>
    </r>
  </si>
  <si>
    <r>
      <rPr>
        <b/>
        <sz val="10"/>
        <color theme="1"/>
        <rFont val="Century Gothic"/>
        <family val="1"/>
      </rPr>
      <t>Tiada Pendidikan Rasmi ('000)</t>
    </r>
    <r>
      <rPr>
        <sz val="10"/>
        <color theme="1"/>
        <rFont val="Century Gothic"/>
        <family val="1"/>
      </rPr>
      <t xml:space="preserve">
</t>
    </r>
    <r>
      <rPr>
        <i/>
        <sz val="10"/>
        <color theme="1"/>
        <rFont val="Century Gothic"/>
        <family val="1"/>
      </rPr>
      <t>No Formal Education</t>
    </r>
  </si>
  <si>
    <r>
      <rPr>
        <b/>
        <sz val="10"/>
        <rFont val="Century Gothic"/>
        <family val="1"/>
      </rPr>
      <t>Statistik Gaji &amp; Upah</t>
    </r>
    <r>
      <rPr>
        <sz val="10"/>
        <rFont val="Century Gothic"/>
        <family val="2"/>
      </rPr>
      <t xml:space="preserve"> 
</t>
    </r>
    <r>
      <rPr>
        <i/>
        <sz val="10"/>
        <rFont val="Century Gothic"/>
        <family val="1"/>
      </rPr>
      <t>Salaries &amp; Wages Statistics</t>
    </r>
  </si>
  <si>
    <r>
      <rPr>
        <b/>
        <sz val="10"/>
        <rFont val="Century Gothic"/>
        <family val="1"/>
      </rPr>
      <t>Bilangan Penerima ('000)</t>
    </r>
    <r>
      <rPr>
        <sz val="10"/>
        <rFont val="Century Gothic"/>
        <family val="2"/>
      </rPr>
      <t xml:space="preserve">
</t>
    </r>
    <r>
      <rPr>
        <i/>
        <sz val="10"/>
        <rFont val="Century Gothic"/>
        <family val="1"/>
      </rPr>
      <t>Number of Recipients</t>
    </r>
  </si>
  <si>
    <r>
      <rPr>
        <b/>
        <sz val="10"/>
        <rFont val="Century Gothic"/>
        <family val="1"/>
      </rPr>
      <t>Penengah Gaji &amp; Upah Bulanan Pekerja</t>
    </r>
    <r>
      <rPr>
        <b/>
        <sz val="10"/>
        <rFont val="Century Gothic"/>
        <family val="2"/>
      </rPr>
      <t xml:space="preserve"> (RM)</t>
    </r>
    <r>
      <rPr>
        <sz val="10"/>
        <rFont val="Century Gothic"/>
        <family val="2"/>
      </rPr>
      <t xml:space="preserve">
</t>
    </r>
    <r>
      <rPr>
        <i/>
        <sz val="10"/>
        <rFont val="Century Gothic"/>
        <family val="1"/>
      </rPr>
      <t>Median Monthly Salaries &amp; Wages of Employees</t>
    </r>
  </si>
  <si>
    <r>
      <rPr>
        <b/>
        <sz val="10"/>
        <rFont val="Century Gothic"/>
        <family val="1"/>
      </rPr>
      <t>Purata Gaji &amp; Upah Bulanan Pekerja</t>
    </r>
    <r>
      <rPr>
        <b/>
        <sz val="10"/>
        <rFont val="Century Gothic"/>
        <family val="2"/>
      </rPr>
      <t xml:space="preserve"> (RM)</t>
    </r>
    <r>
      <rPr>
        <sz val="10"/>
        <rFont val="Century Gothic"/>
        <family val="2"/>
      </rPr>
      <t xml:space="preserve">
</t>
    </r>
    <r>
      <rPr>
        <i/>
        <sz val="10"/>
        <rFont val="Century Gothic"/>
        <family val="1"/>
      </rPr>
      <t>Mean Monthly Salaries &amp; Wages of Employees</t>
    </r>
  </si>
  <si>
    <r>
      <rPr>
        <b/>
        <sz val="9"/>
        <rFont val="Century Gothic"/>
        <family val="2"/>
      </rPr>
      <t>Nota</t>
    </r>
    <r>
      <rPr>
        <sz val="9"/>
        <rFont val="Century Gothic"/>
        <family val="2"/>
      </rPr>
      <t xml:space="preserve">/ </t>
    </r>
    <r>
      <rPr>
        <i/>
        <sz val="9"/>
        <rFont val="Century Gothic"/>
        <family val="2"/>
      </rPr>
      <t>Note</t>
    </r>
    <r>
      <rPr>
        <sz val="9"/>
        <rFont val="Century Gothic"/>
        <family val="2"/>
      </rPr>
      <t>:</t>
    </r>
  </si>
  <si>
    <r>
      <rPr>
        <b/>
        <vertAlign val="superscript"/>
        <sz val="9"/>
        <rFont val="Century Gothic"/>
        <family val="2"/>
      </rPr>
      <t xml:space="preserve">a </t>
    </r>
    <r>
      <rPr>
        <b/>
        <sz val="9"/>
        <rFont val="Century Gothic"/>
        <family val="2"/>
      </rPr>
      <t>Penggunaan data secara berhati-hati kerana faktor ralat piawai relatif yang tinggi</t>
    </r>
  </si>
  <si>
    <t xml:space="preserve">  Data to be used with caution due to high relative standard error</t>
  </si>
  <si>
    <t>: Statistik Pasaran Buruh, Malaysia, 2023 - 2025 (samb.)</t>
  </si>
  <si>
    <t>: Labour Market Statistics, Malaysia, 2023 - 2025 (cont'd)</t>
  </si>
  <si>
    <r>
      <t xml:space="preserve">Statistik Siswazah 
</t>
    </r>
    <r>
      <rPr>
        <i/>
        <sz val="10"/>
        <color theme="1"/>
        <rFont val="Century Gothic"/>
        <family val="1"/>
      </rPr>
      <t>Graduate Statistics</t>
    </r>
  </si>
  <si>
    <r>
      <rPr>
        <b/>
        <sz val="10"/>
        <color theme="1"/>
        <rFont val="Century Gothic"/>
        <family val="1"/>
      </rPr>
      <t>Tenaga Buruh ('000)</t>
    </r>
    <r>
      <rPr>
        <i/>
        <sz val="10"/>
        <color theme="1"/>
        <rFont val="Century Gothic"/>
        <family val="1"/>
      </rPr>
      <t xml:space="preserve">
Labour Force</t>
    </r>
  </si>
  <si>
    <r>
      <rPr>
        <b/>
        <sz val="10"/>
        <color theme="1"/>
        <rFont val="Century Gothic"/>
        <family val="1"/>
      </rPr>
      <t>Penduduk Bekerja ('000)</t>
    </r>
    <r>
      <rPr>
        <sz val="10"/>
        <color theme="1"/>
        <rFont val="Century Gothic"/>
        <family val="1"/>
      </rPr>
      <t xml:space="preserve">
</t>
    </r>
    <r>
      <rPr>
        <i/>
        <sz val="10"/>
        <color theme="1"/>
        <rFont val="Century Gothic"/>
        <family val="1"/>
      </rPr>
      <t>Employed Persons</t>
    </r>
  </si>
  <si>
    <r>
      <rPr>
        <b/>
        <sz val="10"/>
        <color theme="1"/>
        <rFont val="Century Gothic"/>
        <family val="1"/>
      </rPr>
      <t>Penganggur</t>
    </r>
    <r>
      <rPr>
        <b/>
        <vertAlign val="superscript"/>
        <sz val="10"/>
        <color theme="1"/>
        <rFont val="Century Gothic"/>
        <family val="1"/>
      </rPr>
      <t>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Unemployed</t>
    </r>
    <r>
      <rPr>
        <sz val="10"/>
        <color theme="1"/>
        <rFont val="Century Gothic"/>
        <family val="1"/>
      </rPr>
      <t xml:space="preserve"> </t>
    </r>
  </si>
  <si>
    <r>
      <rPr>
        <b/>
        <sz val="10"/>
        <color theme="1"/>
        <rFont val="Century Gothic"/>
        <family val="1"/>
      </rPr>
      <t>Kadar Pengangguran</t>
    </r>
    <r>
      <rPr>
        <b/>
        <vertAlign val="superscript"/>
        <sz val="10"/>
        <color theme="1"/>
        <rFont val="Century Gothic"/>
        <family val="1"/>
      </rPr>
      <t>a</t>
    </r>
    <r>
      <rPr>
        <b/>
        <sz val="10"/>
        <color theme="1"/>
        <rFont val="Century Gothic"/>
        <family val="2"/>
      </rPr>
      <t xml:space="preserve"> (%)</t>
    </r>
    <r>
      <rPr>
        <sz val="10"/>
        <color theme="1"/>
        <rFont val="Century Gothic"/>
        <family val="1"/>
      </rPr>
      <t xml:space="preserve">
</t>
    </r>
    <r>
      <rPr>
        <i/>
        <sz val="10"/>
        <color theme="1"/>
        <rFont val="Century Gothic"/>
        <family val="1"/>
      </rPr>
      <t>Unemployment Rate</t>
    </r>
    <r>
      <rPr>
        <sz val="10"/>
        <color theme="1"/>
        <rFont val="Century Gothic"/>
        <family val="1"/>
      </rPr>
      <t xml:space="preserve"> </t>
    </r>
  </si>
  <si>
    <r>
      <rPr>
        <b/>
        <sz val="10"/>
        <color theme="1"/>
        <rFont val="Century Gothic"/>
        <family val="1"/>
      </rPr>
      <t>Penengah Gaji &amp; Upah Bulanan Siswazah Bekerja</t>
    </r>
    <r>
      <rPr>
        <sz val="10"/>
        <color theme="1"/>
        <rFont val="Century Gothic"/>
        <family val="1"/>
      </rPr>
      <t xml:space="preserve"> </t>
    </r>
    <r>
      <rPr>
        <b/>
        <sz val="10"/>
        <color theme="1"/>
        <rFont val="Century Gothic"/>
        <family val="2"/>
      </rPr>
      <t>(RM)</t>
    </r>
    <r>
      <rPr>
        <sz val="10"/>
        <color theme="1"/>
        <rFont val="Century Gothic"/>
        <family val="1"/>
      </rPr>
      <t xml:space="preserve">
</t>
    </r>
    <r>
      <rPr>
        <i/>
        <sz val="10"/>
        <color theme="1"/>
        <rFont val="Century Gothic"/>
        <family val="1"/>
      </rPr>
      <t>Median Monthly Salaries &amp; Wages of Employed Graduates</t>
    </r>
  </si>
  <si>
    <r>
      <rPr>
        <b/>
        <sz val="10"/>
        <color theme="1"/>
        <rFont val="Century Gothic"/>
        <family val="1"/>
      </rPr>
      <t>Purata Gaji &amp; Upah Bulanan Siswazah Bekerja (RM)</t>
    </r>
    <r>
      <rPr>
        <sz val="10"/>
        <color theme="1"/>
        <rFont val="Century Gothic"/>
        <family val="1"/>
      </rPr>
      <t xml:space="preserve">
</t>
    </r>
    <r>
      <rPr>
        <i/>
        <sz val="10"/>
        <color theme="1"/>
        <rFont val="Century Gothic"/>
        <family val="2"/>
      </rPr>
      <t>Mean</t>
    </r>
    <r>
      <rPr>
        <i/>
        <sz val="10"/>
        <color theme="1"/>
        <rFont val="Century Gothic"/>
        <family val="1"/>
      </rPr>
      <t xml:space="preserve"> Monthly Salaries &amp; Wages of Employed Graduates</t>
    </r>
  </si>
  <si>
    <r>
      <rPr>
        <b/>
        <sz val="10"/>
        <color theme="1"/>
        <rFont val="Century Gothic"/>
        <family val="1"/>
      </rPr>
      <t>Produktiviti Buruh</t>
    </r>
    <r>
      <rPr>
        <sz val="10"/>
        <color theme="1"/>
        <rFont val="Century Gothic"/>
        <family val="1"/>
      </rPr>
      <t xml:space="preserve"> 
</t>
    </r>
    <r>
      <rPr>
        <i/>
        <sz val="10"/>
        <color theme="1"/>
        <rFont val="Century Gothic"/>
        <family val="1"/>
      </rPr>
      <t>Labour Productivity</t>
    </r>
  </si>
  <si>
    <r>
      <rPr>
        <b/>
        <sz val="10"/>
        <color theme="1"/>
        <rFont val="Century Gothic"/>
        <family val="1"/>
      </rPr>
      <t>Produktiviti Buruh, Nilai Ditambah per Jam Bekerja (RM)</t>
    </r>
    <r>
      <rPr>
        <sz val="10"/>
        <color theme="1"/>
        <rFont val="Century Gothic"/>
        <family val="1"/>
      </rPr>
      <t xml:space="preserve">
</t>
    </r>
    <r>
      <rPr>
        <i/>
        <sz val="10"/>
        <color theme="1"/>
        <rFont val="Century Gothic"/>
        <family val="1"/>
      </rPr>
      <t>Labour Productivity, Value Added per Hours Worked</t>
    </r>
  </si>
  <si>
    <r>
      <rPr>
        <b/>
        <sz val="10"/>
        <color theme="1"/>
        <rFont val="Century Gothic"/>
        <family val="1"/>
      </rPr>
      <t>Perubahan Peratusan Tahunan Produktivti Buruh, Nilai Ditambah 
per Jam Pekerja</t>
    </r>
    <r>
      <rPr>
        <b/>
        <sz val="10"/>
        <color theme="1"/>
        <rFont val="Century Gothic"/>
        <family val="2"/>
      </rPr>
      <t xml:space="preserve">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Hour Worked</t>
    </r>
  </si>
  <si>
    <r>
      <rPr>
        <b/>
        <sz val="10"/>
        <color theme="1"/>
        <rFont val="Century Gothic"/>
        <family val="1"/>
      </rPr>
      <t>Produktiviti Buruh, Nilai Ditambah per Pekerja (RM)</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</si>
  <si>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Perubahan Peratusan Tahunan Produktiviti Buruh, Nilai Ditambah per Pekerja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</si>
  <si>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Prestasi Malaysia dalam Buku Daya Saing Dunia 2025</t>
    </r>
    <r>
      <rPr>
        <sz val="10"/>
        <color theme="1"/>
        <rFont val="Century Gothic"/>
        <family val="1"/>
      </rPr>
      <t xml:space="preserve">
</t>
    </r>
    <r>
      <rPr>
        <i/>
        <sz val="10"/>
        <color theme="1"/>
        <rFont val="Century Gothic"/>
        <family val="1"/>
      </rPr>
      <t>Malaysia's Performance in the World Competitiveness Yearbook 2025</t>
    </r>
  </si>
  <si>
    <r>
      <rPr>
        <b/>
        <sz val="10"/>
        <color theme="1"/>
        <rFont val="Century Gothic"/>
        <family val="1"/>
      </rPr>
      <t>Prestasi Ekonomi</t>
    </r>
    <r>
      <rPr>
        <sz val="10"/>
        <color theme="1"/>
        <rFont val="Century Gothic"/>
        <family val="1"/>
      </rPr>
      <t xml:space="preserve"> 
</t>
    </r>
    <r>
      <rPr>
        <i/>
        <sz val="10"/>
        <color theme="1"/>
        <rFont val="Century Gothic"/>
        <family val="1"/>
      </rPr>
      <t>Economic Performance</t>
    </r>
  </si>
  <si>
    <r>
      <rPr>
        <b/>
        <sz val="10"/>
        <color theme="1"/>
        <rFont val="Century Gothic"/>
        <family val="1"/>
      </rPr>
      <t>Kecekapan Kerajaan</t>
    </r>
    <r>
      <rPr>
        <sz val="10"/>
        <color theme="1"/>
        <rFont val="Century Gothic"/>
        <family val="1"/>
      </rPr>
      <t xml:space="preserve"> 
</t>
    </r>
    <r>
      <rPr>
        <i/>
        <sz val="10"/>
        <color theme="1"/>
        <rFont val="Century Gothic"/>
        <family val="1"/>
      </rPr>
      <t>Government Efficiency</t>
    </r>
  </si>
  <si>
    <r>
      <rPr>
        <b/>
        <sz val="10"/>
        <color theme="1"/>
        <rFont val="Century Gothic"/>
        <family val="1"/>
      </rPr>
      <t>Kecekapan Perniagaan</t>
    </r>
    <r>
      <rPr>
        <sz val="10"/>
        <color theme="1"/>
        <rFont val="Century Gothic"/>
        <family val="1"/>
      </rPr>
      <t xml:space="preserve"> 
</t>
    </r>
    <r>
      <rPr>
        <i/>
        <sz val="10"/>
        <color theme="1"/>
        <rFont val="Century Gothic"/>
        <family val="1"/>
      </rPr>
      <t>Business Efficiency</t>
    </r>
  </si>
  <si>
    <r>
      <rPr>
        <b/>
        <sz val="10"/>
        <color theme="1"/>
        <rFont val="Century Gothic"/>
        <family val="1"/>
      </rPr>
      <t>Infrastruktur</t>
    </r>
    <r>
      <rPr>
        <sz val="10"/>
        <color theme="1"/>
        <rFont val="Century Gothic"/>
        <family val="1"/>
      </rPr>
      <t xml:space="preserve"> 
</t>
    </r>
    <r>
      <rPr>
        <i/>
        <sz val="10"/>
        <color theme="1"/>
        <rFont val="Century Gothic"/>
        <family val="1"/>
      </rPr>
      <t>Infrastructure</t>
    </r>
  </si>
  <si>
    <r>
      <t xml:space="preserve">Perbadanan Produktiviti Malaysia, </t>
    </r>
    <r>
      <rPr>
        <b/>
        <i/>
        <sz val="9"/>
        <color theme="1"/>
        <rFont val="Century Gothic"/>
        <family val="1"/>
      </rPr>
      <t>In The IMD World Competitiveness Yearbook</t>
    </r>
    <r>
      <rPr>
        <b/>
        <sz val="9"/>
        <color theme="1"/>
        <rFont val="Century Gothic"/>
        <family val="1"/>
      </rPr>
      <t xml:space="preserve"> 2025</t>
    </r>
  </si>
  <si>
    <t>Malaysia Productivity Corporation, Malaysia in the IMD World Competitiveness Yearbook, 2025</t>
  </si>
  <si>
    <r>
      <rPr>
        <b/>
        <sz val="9"/>
        <color theme="1"/>
        <rFont val="Century Gothic"/>
        <family val="2"/>
      </rPr>
      <t>Nota</t>
    </r>
    <r>
      <rPr>
        <sz val="9"/>
        <color theme="1"/>
        <rFont val="Century Gothic"/>
        <family val="2"/>
      </rPr>
      <t xml:space="preserve">/ </t>
    </r>
    <r>
      <rPr>
        <i/>
        <sz val="9"/>
        <color theme="1"/>
        <rFont val="Century Gothic"/>
        <family val="2"/>
      </rPr>
      <t>Note</t>
    </r>
    <r>
      <rPr>
        <sz val="9"/>
        <color theme="1"/>
        <rFont val="Century Gothic"/>
        <family val="2"/>
      </rPr>
      <t>:</t>
    </r>
  </si>
  <si>
    <r>
      <rPr>
        <b/>
        <vertAlign val="superscript"/>
        <sz val="9"/>
        <color theme="1"/>
        <rFont val="Century Gothic"/>
        <family val="2"/>
      </rPr>
      <t xml:space="preserve">a </t>
    </r>
    <r>
      <rPr>
        <b/>
        <sz val="9"/>
        <color theme="1"/>
        <rFont val="Century Gothic"/>
        <family val="2"/>
      </rPr>
      <t>Penggunaan data secara berhati-hati kerana faktor ralat piawai relatif yang tinggi</t>
    </r>
  </si>
  <si>
    <r>
      <rPr>
        <i/>
        <vertAlign val="superscript"/>
        <sz val="9"/>
        <color theme="1"/>
        <rFont val="Century Gothic"/>
        <family val="2"/>
      </rPr>
      <t xml:space="preserve">   </t>
    </r>
    <r>
      <rPr>
        <i/>
        <sz val="9"/>
        <color theme="1"/>
        <rFont val="Century Gothic"/>
        <family val="2"/>
      </rPr>
      <t>Data to be used with caution due to high relative standard error</t>
    </r>
  </si>
  <si>
    <t>Jadual 23.0</t>
  </si>
  <si>
    <t>: Indeks Harga Pengguna dan Inflasi Tahunan mengikut Kumpulan Utama, Malaysia, 2022 - 2024</t>
  </si>
  <si>
    <t>Table 23.0</t>
  </si>
  <si>
    <t>: Consumer Price Index and Annual Inflation by Main Group, Malaysia, 2022 - 2024</t>
  </si>
  <si>
    <t>INDEKS HARGA PENGGUNA DAN INFLASI</t>
  </si>
  <si>
    <t>CONSUMER PRICE INDEX AND INFLATION</t>
  </si>
  <si>
    <t>(2010 = 100)</t>
  </si>
  <si>
    <t>Indeks Harga Pengguna</t>
  </si>
  <si>
    <t>Consumer Price Index</t>
  </si>
  <si>
    <t>Jumlah</t>
  </si>
  <si>
    <t>Total</t>
  </si>
  <si>
    <t xml:space="preserve">Makanan &amp; Minuman </t>
  </si>
  <si>
    <t>Food &amp; Beverages</t>
  </si>
  <si>
    <t>Minuman Alkohol &amp; Tembakau</t>
  </si>
  <si>
    <t>Alcoholic Beverages &amp; Tobacco</t>
  </si>
  <si>
    <t>Pakaian &amp; Kasut</t>
  </si>
  <si>
    <t>Clothing &amp; Footwear</t>
  </si>
  <si>
    <t>Perumahan, Air, Elektrik, Gas &amp; Bahan Api Lain</t>
  </si>
  <si>
    <t>Housing, Water, Electricity, Gas &amp; Other Fuels</t>
  </si>
  <si>
    <t>Hiasan, Perkakasan &amp; Penyelenggaraan Isi Rumah</t>
  </si>
  <si>
    <t>Furnishings, Household Equipment &amp; Routine Household Maintenance</t>
  </si>
  <si>
    <t>Kesihatan</t>
  </si>
  <si>
    <t>Health</t>
  </si>
  <si>
    <t>Pengangkutan</t>
  </si>
  <si>
    <t>Transport</t>
  </si>
  <si>
    <t>Komunikasi</t>
  </si>
  <si>
    <t>Communication</t>
  </si>
  <si>
    <t>Perkhidmatan Rekreasi &amp; Kebudayaan</t>
  </si>
  <si>
    <t>Recreation Services &amp; Culture</t>
  </si>
  <si>
    <t>Pendidikan</t>
  </si>
  <si>
    <t>Education</t>
  </si>
  <si>
    <t>Restoran &amp; Hotel</t>
  </si>
  <si>
    <t>Restaurants &amp; Hotels</t>
  </si>
  <si>
    <t>Insurans &amp; Perkhidmatan Kewangan</t>
  </si>
  <si>
    <t>Insurance &amp; Financial Services</t>
  </si>
  <si>
    <t>Pelbagai Barangan &amp; Perkhidmatan</t>
  </si>
  <si>
    <t>Miscellaneous Goods &amp; Services</t>
  </si>
  <si>
    <t>Inflasi Tahunan (Perubahan %)</t>
  </si>
  <si>
    <t>Annual Inflation (% Change)</t>
  </si>
  <si>
    <t>Jadual 23.1</t>
  </si>
  <si>
    <t>: Harga purata item terpilih, Malaysia, 2022 - 2024</t>
  </si>
  <si>
    <t>Table 23.1</t>
  </si>
  <si>
    <t>: Average price for selected items, Malaysia, 2022 - 2024</t>
  </si>
  <si>
    <r>
      <t xml:space="preserve">ITEM TERPILIH
</t>
    </r>
    <r>
      <rPr>
        <i/>
        <sz val="10"/>
        <color theme="1"/>
        <rFont val="Century Gothic"/>
        <family val="2"/>
      </rPr>
      <t>SELECTED ITEMS</t>
    </r>
  </si>
  <si>
    <t>Sayuran</t>
  </si>
  <si>
    <t>Vegetables</t>
  </si>
  <si>
    <r>
      <rPr>
        <b/>
        <sz val="10"/>
        <color theme="1"/>
        <rFont val="Century Gothic"/>
        <family val="2"/>
      </rPr>
      <t>Bayam</t>
    </r>
    <r>
      <rPr>
        <sz val="10"/>
        <color theme="1"/>
        <rFont val="Century Gothic"/>
        <family val="2"/>
      </rPr>
      <t>/</t>
    </r>
    <r>
      <rPr>
        <i/>
        <sz val="10"/>
        <color theme="1"/>
        <rFont val="Century Gothic"/>
        <family val="2"/>
      </rPr>
      <t xml:space="preserve"> Spinach</t>
    </r>
  </si>
  <si>
    <t>Kg</t>
  </si>
  <si>
    <r>
      <rPr>
        <b/>
        <sz val="10"/>
        <color theme="1"/>
        <rFont val="Century Gothic"/>
        <family val="2"/>
      </rPr>
      <t>Bendi</t>
    </r>
    <r>
      <rPr>
        <i/>
        <sz val="10"/>
        <color theme="1"/>
        <rFont val="Century Gothic"/>
        <family val="2"/>
      </rPr>
      <t>/ Ladies Fingers</t>
    </r>
  </si>
  <si>
    <r>
      <rPr>
        <b/>
        <sz val="10"/>
        <color theme="1"/>
        <rFont val="Century Gothic"/>
        <family val="2"/>
      </rPr>
      <t>Petola</t>
    </r>
    <r>
      <rPr>
        <i/>
        <sz val="10"/>
        <color theme="1"/>
        <rFont val="Century Gothic"/>
        <family val="2"/>
      </rPr>
      <t>/ Angel Gourd</t>
    </r>
  </si>
  <si>
    <r>
      <rPr>
        <b/>
        <sz val="10"/>
        <color theme="1"/>
        <rFont val="Century Gothic"/>
        <family val="2"/>
      </rPr>
      <t>Bawang Besar, India</t>
    </r>
    <r>
      <rPr>
        <i/>
        <sz val="10"/>
        <color theme="1"/>
        <rFont val="Century Gothic"/>
        <family val="2"/>
      </rPr>
      <t>/ Onions, India</t>
    </r>
  </si>
  <si>
    <r>
      <rPr>
        <b/>
        <sz val="10"/>
        <color theme="1"/>
        <rFont val="Century Gothic"/>
        <family val="2"/>
      </rPr>
      <t>Cili (Burung/padi) Import</t>
    </r>
    <r>
      <rPr>
        <i/>
        <sz val="10"/>
        <color theme="1"/>
        <rFont val="Century Gothic"/>
        <family val="2"/>
      </rPr>
      <t>/ Chilli (Burung/padi) Import</t>
    </r>
  </si>
  <si>
    <t>200 gm</t>
  </si>
  <si>
    <r>
      <rPr>
        <b/>
        <sz val="10"/>
        <color theme="1"/>
        <rFont val="Century Gothic"/>
        <family val="2"/>
      </rPr>
      <t>Cili Merah (Kulai)</t>
    </r>
    <r>
      <rPr>
        <i/>
        <sz val="10"/>
        <color theme="1"/>
        <rFont val="Century Gothic"/>
        <family val="2"/>
      </rPr>
      <t>/ Red Chilli (Kulai)</t>
    </r>
  </si>
  <si>
    <r>
      <rPr>
        <b/>
        <sz val="10"/>
        <color theme="1"/>
        <rFont val="Century Gothic"/>
        <family val="2"/>
      </rPr>
      <t>Cili Merah (Minyak)</t>
    </r>
    <r>
      <rPr>
        <i/>
        <sz val="10"/>
        <color theme="1"/>
        <rFont val="Century Gothic"/>
        <family val="2"/>
      </rPr>
      <t>/ Red Chilli (Minyak)</t>
    </r>
  </si>
  <si>
    <r>
      <rPr>
        <b/>
        <sz val="10"/>
        <color theme="1"/>
        <rFont val="Century Gothic"/>
        <family val="2"/>
      </rPr>
      <t>Kacang Panjang</t>
    </r>
    <r>
      <rPr>
        <i/>
        <sz val="10"/>
        <color theme="1"/>
        <rFont val="Century Gothic"/>
        <family val="2"/>
      </rPr>
      <t>/ Long Beans</t>
    </r>
  </si>
  <si>
    <r>
      <rPr>
        <b/>
        <sz val="10"/>
        <color theme="1"/>
        <rFont val="Century Gothic"/>
        <family val="2"/>
      </rPr>
      <t>Kacang Buncis</t>
    </r>
    <r>
      <rPr>
        <i/>
        <sz val="10"/>
        <color theme="1"/>
        <rFont val="Century Gothic"/>
        <family val="2"/>
      </rPr>
      <t>/ French Beans</t>
    </r>
  </si>
  <si>
    <r>
      <rPr>
        <b/>
        <sz val="10"/>
        <color theme="1"/>
        <rFont val="Century Gothic"/>
        <family val="2"/>
      </rPr>
      <t>Kobis Bulat</t>
    </r>
    <r>
      <rPr>
        <i/>
        <sz val="10"/>
        <color theme="1"/>
        <rFont val="Century Gothic"/>
        <family val="2"/>
      </rPr>
      <t>/ Round Cabbage</t>
    </r>
  </si>
  <si>
    <r>
      <rPr>
        <b/>
        <sz val="10"/>
        <color theme="1"/>
        <rFont val="Century Gothic"/>
        <family val="2"/>
      </rPr>
      <t>Kobis Bunga</t>
    </r>
    <r>
      <rPr>
        <i/>
        <sz val="10"/>
        <color theme="1"/>
        <rFont val="Century Gothic"/>
        <family val="2"/>
      </rPr>
      <t>/ Cauliflower</t>
    </r>
  </si>
  <si>
    <r>
      <rPr>
        <b/>
        <sz val="10"/>
        <color theme="1"/>
        <rFont val="Century Gothic"/>
        <family val="2"/>
      </rPr>
      <t>Lobak Merah</t>
    </r>
    <r>
      <rPr>
        <i/>
        <sz val="10"/>
        <color theme="1"/>
        <rFont val="Century Gothic"/>
        <family val="2"/>
      </rPr>
      <t>/ Carrot</t>
    </r>
  </si>
  <si>
    <r>
      <rPr>
        <b/>
        <sz val="10"/>
        <color theme="1"/>
        <rFont val="Century Gothic"/>
        <family val="2"/>
      </rPr>
      <t>Sawi Jepun</t>
    </r>
    <r>
      <rPr>
        <i/>
        <sz val="10"/>
        <color theme="1"/>
        <rFont val="Century Gothic"/>
        <family val="2"/>
      </rPr>
      <t>/ Siew Pak Choy *</t>
    </r>
  </si>
  <si>
    <t>-</t>
  </si>
  <si>
    <r>
      <rPr>
        <b/>
        <sz val="10"/>
        <color theme="1"/>
        <rFont val="Century Gothic"/>
        <family val="2"/>
      </rPr>
      <t>Tomato</t>
    </r>
    <r>
      <rPr>
        <i/>
        <sz val="10"/>
        <color theme="1"/>
        <rFont val="Century Gothic"/>
        <family val="2"/>
      </rPr>
      <t>/ Tomatoes</t>
    </r>
  </si>
  <si>
    <r>
      <rPr>
        <b/>
        <sz val="10"/>
        <color theme="1"/>
        <rFont val="Century Gothic"/>
        <family val="2"/>
      </rPr>
      <t>Terung</t>
    </r>
    <r>
      <rPr>
        <i/>
        <sz val="10"/>
        <color theme="1"/>
        <rFont val="Century Gothic"/>
        <family val="2"/>
      </rPr>
      <t>/ Brinjals</t>
    </r>
  </si>
  <si>
    <r>
      <rPr>
        <b/>
        <sz val="10"/>
        <color theme="1"/>
        <rFont val="Century Gothic"/>
        <family val="2"/>
      </rPr>
      <t>Timun</t>
    </r>
    <r>
      <rPr>
        <i/>
        <sz val="10"/>
        <color theme="1"/>
        <rFont val="Century Gothic"/>
        <family val="2"/>
      </rPr>
      <t>/ Cucumber</t>
    </r>
  </si>
  <si>
    <t>Buah-Buahan</t>
  </si>
  <si>
    <t>Fruits</t>
  </si>
  <si>
    <r>
      <rPr>
        <b/>
        <sz val="10"/>
        <color theme="1"/>
        <rFont val="Century Gothic"/>
        <family val="2"/>
      </rPr>
      <t>Epal Fuji/</t>
    </r>
    <r>
      <rPr>
        <i/>
        <sz val="10"/>
        <color theme="1"/>
        <rFont val="Century Gothic"/>
        <family val="2"/>
      </rPr>
      <t xml:space="preserve"> Apple Fuji</t>
    </r>
  </si>
  <si>
    <r>
      <t xml:space="preserve">biji/ </t>
    </r>
    <r>
      <rPr>
        <i/>
        <sz val="10"/>
        <color theme="1"/>
        <rFont val="Century Gothic"/>
        <family val="2"/>
      </rPr>
      <t>each</t>
    </r>
  </si>
  <si>
    <r>
      <rPr>
        <b/>
        <sz val="10"/>
        <color theme="1"/>
        <rFont val="Century Gothic"/>
        <family val="2"/>
      </rPr>
      <t>Epal (Green Skin)/</t>
    </r>
    <r>
      <rPr>
        <i/>
        <sz val="10"/>
        <color theme="1"/>
        <rFont val="Century Gothic"/>
        <family val="2"/>
      </rPr>
      <t xml:space="preserve"> Apple (Green Skin)</t>
    </r>
  </si>
  <si>
    <r>
      <rPr>
        <b/>
        <sz val="10"/>
        <color theme="1"/>
        <rFont val="Century Gothic"/>
        <family val="2"/>
      </rPr>
      <t>Epal Merah/</t>
    </r>
    <r>
      <rPr>
        <i/>
        <sz val="10"/>
        <color theme="1"/>
        <rFont val="Century Gothic"/>
        <family val="2"/>
      </rPr>
      <t xml:space="preserve"> Apple Red </t>
    </r>
  </si>
  <si>
    <r>
      <rPr>
        <b/>
        <sz val="10"/>
        <color theme="1"/>
        <rFont val="Century Gothic"/>
        <family val="2"/>
      </rPr>
      <t>Betik/</t>
    </r>
    <r>
      <rPr>
        <i/>
        <sz val="10"/>
        <color theme="1"/>
        <rFont val="Century Gothic"/>
        <family val="2"/>
      </rPr>
      <t xml:space="preserve"> Papaya</t>
    </r>
  </si>
  <si>
    <r>
      <rPr>
        <b/>
        <sz val="10"/>
        <color theme="1"/>
        <rFont val="Century Gothic"/>
        <family val="2"/>
      </rPr>
      <t>Nenas/</t>
    </r>
    <r>
      <rPr>
        <i/>
        <sz val="10"/>
        <color theme="1"/>
        <rFont val="Century Gothic"/>
        <family val="2"/>
      </rPr>
      <t xml:space="preserve"> Pineapple</t>
    </r>
  </si>
  <si>
    <r>
      <rPr>
        <b/>
        <sz val="10"/>
        <color theme="1"/>
        <rFont val="Century Gothic"/>
        <family val="2"/>
      </rPr>
      <t>Pisang Emas/</t>
    </r>
    <r>
      <rPr>
        <i/>
        <sz val="10"/>
        <color theme="1"/>
        <rFont val="Century Gothic"/>
        <family val="2"/>
      </rPr>
      <t xml:space="preserve"> Pisang Emas (Banana)</t>
    </r>
  </si>
  <si>
    <r>
      <rPr>
        <b/>
        <sz val="10"/>
        <color theme="1"/>
        <rFont val="Century Gothic"/>
        <family val="2"/>
      </rPr>
      <t>Tembikai Susu/</t>
    </r>
    <r>
      <rPr>
        <i/>
        <sz val="10"/>
        <color theme="1"/>
        <rFont val="Century Gothic"/>
        <family val="2"/>
      </rPr>
      <t xml:space="preserve"> (Honeydew) *</t>
    </r>
  </si>
  <si>
    <r>
      <rPr>
        <b/>
        <sz val="10"/>
        <color theme="1"/>
        <rFont val="Century Gothic"/>
        <family val="2"/>
      </rPr>
      <t>Pisang Berangan/</t>
    </r>
    <r>
      <rPr>
        <i/>
        <sz val="10"/>
        <color theme="1"/>
        <rFont val="Century Gothic"/>
        <family val="2"/>
      </rPr>
      <t xml:space="preserve"> Pisang Berangan (Banana)</t>
    </r>
  </si>
  <si>
    <r>
      <rPr>
        <b/>
        <sz val="10"/>
        <color theme="1"/>
        <rFont val="Century Gothic"/>
        <family val="2"/>
      </rPr>
      <t>Tembikai, Tanpa Biji/</t>
    </r>
    <r>
      <rPr>
        <i/>
        <sz val="10"/>
        <color theme="1"/>
        <rFont val="Century Gothic"/>
        <family val="2"/>
      </rPr>
      <t xml:space="preserve"> Watermelon, Seedless</t>
    </r>
  </si>
  <si>
    <t>Kelapa dan Telur</t>
  </si>
  <si>
    <t>Coconut &amp; Eggs</t>
  </si>
  <si>
    <r>
      <rPr>
        <b/>
        <sz val="10"/>
        <color theme="1"/>
        <rFont val="Century Gothic"/>
        <family val="2"/>
      </rPr>
      <t>Kelapa Parut/</t>
    </r>
    <r>
      <rPr>
        <i/>
        <sz val="10"/>
        <color theme="1"/>
        <rFont val="Century Gothic"/>
        <family val="2"/>
      </rPr>
      <t xml:space="preserve"> Coconut Grated</t>
    </r>
  </si>
  <si>
    <r>
      <rPr>
        <b/>
        <sz val="10"/>
        <color theme="1"/>
        <rFont val="Century Gothic"/>
        <family val="2"/>
      </rPr>
      <t>Santan/</t>
    </r>
    <r>
      <rPr>
        <i/>
        <sz val="10"/>
        <color theme="1"/>
        <rFont val="Century Gothic"/>
        <family val="2"/>
      </rPr>
      <t xml:space="preserve"> Fresh Coconut Milk</t>
    </r>
  </si>
  <si>
    <r>
      <rPr>
        <b/>
        <sz val="10"/>
        <color theme="1"/>
        <rFont val="Century Gothic"/>
        <family val="2"/>
      </rPr>
      <t>Telur Gred A/</t>
    </r>
    <r>
      <rPr>
        <i/>
        <sz val="10"/>
        <color theme="1"/>
        <rFont val="Century Gothic"/>
        <family val="2"/>
      </rPr>
      <t xml:space="preserve"> Hen's Egg Grade A</t>
    </r>
  </si>
  <si>
    <r>
      <t xml:space="preserve">10 biji/ </t>
    </r>
    <r>
      <rPr>
        <i/>
        <sz val="10"/>
        <color theme="1"/>
        <rFont val="Century Gothic"/>
        <family val="2"/>
      </rPr>
      <t>each</t>
    </r>
  </si>
  <si>
    <r>
      <rPr>
        <b/>
        <sz val="10"/>
        <color theme="1"/>
        <rFont val="Century Gothic"/>
        <family val="2"/>
      </rPr>
      <t>Telur Gred B/</t>
    </r>
    <r>
      <rPr>
        <i/>
        <sz val="10"/>
        <color theme="1"/>
        <rFont val="Century Gothic"/>
        <family val="2"/>
      </rPr>
      <t xml:space="preserve"> Hen's Egg Grade B</t>
    </r>
  </si>
  <si>
    <r>
      <rPr>
        <b/>
        <sz val="10"/>
        <color theme="1"/>
        <rFont val="Century Gothic"/>
        <family val="2"/>
      </rPr>
      <t>Telur Gred C/</t>
    </r>
    <r>
      <rPr>
        <i/>
        <sz val="10"/>
        <color theme="1"/>
        <rFont val="Century Gothic"/>
        <family val="2"/>
      </rPr>
      <t xml:space="preserve"> Hen's Egg Grade C</t>
    </r>
  </si>
  <si>
    <t>Ikan, Ayam dan Daging</t>
  </si>
  <si>
    <t>Fish, Chicken &amp; Meat</t>
  </si>
  <si>
    <r>
      <rPr>
        <b/>
        <sz val="10"/>
        <color theme="1"/>
        <rFont val="Century Gothic"/>
        <family val="2"/>
      </rPr>
      <t>Ikan Bawal Hitam/</t>
    </r>
    <r>
      <rPr>
        <i/>
        <sz val="10"/>
        <color theme="1"/>
        <rFont val="Century Gothic"/>
        <family val="2"/>
      </rPr>
      <t xml:space="preserve"> Black Pomfret (Fish)</t>
    </r>
  </si>
  <si>
    <r>
      <rPr>
        <b/>
        <sz val="10"/>
        <color theme="1"/>
        <rFont val="Century Gothic"/>
        <family val="2"/>
      </rPr>
      <t>Ikan Cencaru/</t>
    </r>
    <r>
      <rPr>
        <i/>
        <sz val="10"/>
        <color theme="1"/>
        <rFont val="Century Gothic"/>
        <family val="2"/>
      </rPr>
      <t xml:space="preserve"> Hardtail Scad (Fish)</t>
    </r>
  </si>
  <si>
    <r>
      <rPr>
        <b/>
        <sz val="10"/>
        <color theme="1"/>
        <rFont val="Century Gothic"/>
        <family val="2"/>
      </rPr>
      <t>Ikan Kembung/</t>
    </r>
    <r>
      <rPr>
        <i/>
        <sz val="10"/>
        <color theme="1"/>
        <rFont val="Century Gothic"/>
        <family val="2"/>
      </rPr>
      <t xml:space="preserve"> Indian Mackerel (Fish)</t>
    </r>
  </si>
  <si>
    <r>
      <rPr>
        <b/>
        <sz val="10"/>
        <color theme="1"/>
        <rFont val="Century Gothic"/>
        <family val="2"/>
      </rPr>
      <t>Ikan Kerisi/</t>
    </r>
    <r>
      <rPr>
        <i/>
        <sz val="10"/>
        <color theme="1"/>
        <rFont val="Century Gothic"/>
        <family val="2"/>
      </rPr>
      <t xml:space="preserve"> Threadfin Bream (Fish)</t>
    </r>
  </si>
  <si>
    <r>
      <rPr>
        <b/>
        <sz val="10"/>
        <color theme="1"/>
        <rFont val="Century Gothic"/>
        <family val="2"/>
      </rPr>
      <t>Ikan Merah/</t>
    </r>
    <r>
      <rPr>
        <i/>
        <sz val="10"/>
        <color theme="1"/>
        <rFont val="Century Gothic"/>
        <family val="2"/>
      </rPr>
      <t xml:space="preserve"> Red Snapper (Fish)</t>
    </r>
  </si>
  <si>
    <r>
      <rPr>
        <b/>
        <sz val="10"/>
        <color theme="1"/>
        <rFont val="Century Gothic"/>
        <family val="2"/>
      </rPr>
      <t>Ikan Tenggiri, Batang/</t>
    </r>
    <r>
      <rPr>
        <i/>
        <sz val="10"/>
        <color theme="1"/>
        <rFont val="Century Gothic"/>
        <family val="2"/>
      </rPr>
      <t xml:space="preserve"> Spanish Mackerel, Batang (Fish)</t>
    </r>
  </si>
  <si>
    <r>
      <rPr>
        <b/>
        <sz val="10"/>
        <color theme="1"/>
        <rFont val="Century Gothic"/>
        <family val="2"/>
      </rPr>
      <t>Ikan Tongkol, Hitam/</t>
    </r>
    <r>
      <rPr>
        <i/>
        <sz val="10"/>
        <color theme="1"/>
        <rFont val="Century Gothic"/>
        <family val="2"/>
      </rPr>
      <t xml:space="preserve"> Longtail Tuna, Black (Fish)</t>
    </r>
  </si>
  <si>
    <r>
      <rPr>
        <b/>
        <sz val="10"/>
        <color theme="1"/>
        <rFont val="Century Gothic"/>
        <family val="2"/>
      </rPr>
      <t>Ikan Selayang/</t>
    </r>
    <r>
      <rPr>
        <i/>
        <sz val="10"/>
        <color theme="1"/>
        <rFont val="Century Gothic"/>
        <family val="2"/>
      </rPr>
      <t xml:space="preserve"> Sardine (Fish)</t>
    </r>
  </si>
  <si>
    <r>
      <rPr>
        <b/>
        <sz val="10"/>
        <color theme="1"/>
        <rFont val="Century Gothic"/>
        <family val="2"/>
      </rPr>
      <t>Ikan Siakap/</t>
    </r>
    <r>
      <rPr>
        <i/>
        <sz val="10"/>
        <color theme="1"/>
        <rFont val="Century Gothic"/>
        <family val="2"/>
      </rPr>
      <t xml:space="preserve"> Barramundi (Fish)</t>
    </r>
  </si>
  <si>
    <r>
      <rPr>
        <b/>
        <sz val="10"/>
        <color theme="1"/>
        <rFont val="Century Gothic"/>
        <family val="2"/>
      </rPr>
      <t>Ayam/</t>
    </r>
    <r>
      <rPr>
        <i/>
        <sz val="10"/>
        <color theme="1"/>
        <rFont val="Century Gothic"/>
        <family val="2"/>
      </rPr>
      <t xml:space="preserve"> Chicken</t>
    </r>
  </si>
  <si>
    <r>
      <rPr>
        <b/>
        <sz val="10"/>
        <color theme="1"/>
        <rFont val="Century Gothic"/>
        <family val="2"/>
      </rPr>
      <t>Daging Lembu Tempatan/</t>
    </r>
    <r>
      <rPr>
        <i/>
        <sz val="10"/>
        <color theme="1"/>
        <rFont val="Century Gothic"/>
        <family val="2"/>
      </rPr>
      <t xml:space="preserve"> Local Beef</t>
    </r>
  </si>
  <si>
    <t>Udang, Sotong dan Ketam</t>
  </si>
  <si>
    <t>Prawn, Cuttlefish and Crab</t>
  </si>
  <si>
    <r>
      <rPr>
        <b/>
        <sz val="10"/>
        <color theme="1"/>
        <rFont val="Century Gothic"/>
        <family val="2"/>
      </rPr>
      <t>Udang (8-12 sm)/</t>
    </r>
    <r>
      <rPr>
        <i/>
        <sz val="10"/>
        <color theme="1"/>
        <rFont val="Century Gothic"/>
        <family val="2"/>
      </rPr>
      <t xml:space="preserve"> Prawns (8 – 12 cm)</t>
    </r>
  </si>
  <si>
    <r>
      <rPr>
        <b/>
        <sz val="10"/>
        <color theme="1"/>
        <rFont val="Century Gothic"/>
        <family val="2"/>
      </rPr>
      <t>Sotong (10-12 sm)/</t>
    </r>
    <r>
      <rPr>
        <i/>
        <sz val="10"/>
        <color theme="1"/>
        <rFont val="Century Gothic"/>
        <family val="2"/>
      </rPr>
      <t xml:space="preserve"> Cuttlefish Fresh (10 – 12 cm)</t>
    </r>
  </si>
  <si>
    <r>
      <rPr>
        <b/>
        <sz val="10"/>
        <color theme="1"/>
        <rFont val="Century Gothic"/>
        <family val="2"/>
      </rPr>
      <t>Ketam/</t>
    </r>
    <r>
      <rPr>
        <i/>
        <sz val="10"/>
        <color theme="1"/>
        <rFont val="Century Gothic"/>
        <family val="2"/>
      </rPr>
      <t xml:space="preserve"> Crabs</t>
    </r>
  </si>
  <si>
    <t>Makanan dan Minuman</t>
  </si>
  <si>
    <t>Nasi Lemak</t>
  </si>
  <si>
    <r>
      <t xml:space="preserve">bungkus/ </t>
    </r>
    <r>
      <rPr>
        <i/>
        <sz val="10"/>
        <color theme="1"/>
        <rFont val="Century Gothic"/>
        <family val="2"/>
      </rPr>
      <t>each</t>
    </r>
  </si>
  <si>
    <r>
      <rPr>
        <b/>
        <sz val="10"/>
        <color theme="1"/>
        <rFont val="Century Gothic"/>
        <family val="2"/>
      </rPr>
      <t>Nasi Kosong/</t>
    </r>
    <r>
      <rPr>
        <i/>
        <sz val="10"/>
        <color theme="1"/>
        <rFont val="Century Gothic"/>
        <family val="2"/>
      </rPr>
      <t xml:space="preserve"> Plain Rice</t>
    </r>
  </si>
  <si>
    <r>
      <t xml:space="preserve">pinggan/ </t>
    </r>
    <r>
      <rPr>
        <i/>
        <sz val="10"/>
        <color theme="1"/>
        <rFont val="Century Gothic"/>
        <family val="2"/>
      </rPr>
      <t>plate</t>
    </r>
  </si>
  <si>
    <r>
      <rPr>
        <b/>
        <sz val="10"/>
        <color theme="1"/>
        <rFont val="Century Gothic"/>
        <family val="2"/>
      </rPr>
      <t>Nasi Goreng/</t>
    </r>
    <r>
      <rPr>
        <i/>
        <sz val="10"/>
        <color theme="1"/>
        <rFont val="Century Gothic"/>
        <family val="2"/>
      </rPr>
      <t xml:space="preserve"> Fried Rice</t>
    </r>
  </si>
  <si>
    <r>
      <rPr>
        <b/>
        <sz val="10"/>
        <color theme="1"/>
        <rFont val="Century Gothic"/>
        <family val="2"/>
      </rPr>
      <t>Kuey Teow Goreng/</t>
    </r>
    <r>
      <rPr>
        <i/>
        <sz val="10"/>
        <color theme="1"/>
        <rFont val="Century Gothic"/>
        <family val="2"/>
      </rPr>
      <t xml:space="preserve"> Fried Kuey Teow</t>
    </r>
  </si>
  <si>
    <r>
      <rPr>
        <b/>
        <sz val="10"/>
        <color theme="1"/>
        <rFont val="Century Gothic"/>
        <family val="2"/>
      </rPr>
      <t xml:space="preserve">Mee Hoon Goreng/ </t>
    </r>
    <r>
      <rPr>
        <i/>
        <sz val="10"/>
        <color theme="1"/>
        <rFont val="Century Gothic"/>
        <family val="2"/>
      </rPr>
      <t>Fried Mee Hoon</t>
    </r>
  </si>
  <si>
    <r>
      <rPr>
        <b/>
        <sz val="10"/>
        <color theme="1"/>
        <rFont val="Century Gothic"/>
        <family val="2"/>
      </rPr>
      <t>Nasi Biryani/</t>
    </r>
    <r>
      <rPr>
        <i/>
        <sz val="10"/>
        <color theme="1"/>
        <rFont val="Century Gothic"/>
        <family val="2"/>
      </rPr>
      <t xml:space="preserve"> Biryani Rice</t>
    </r>
  </si>
  <si>
    <t>Roti Canai</t>
  </si>
  <si>
    <r>
      <t xml:space="preserve">keping/ </t>
    </r>
    <r>
      <rPr>
        <i/>
        <sz val="10"/>
        <color theme="1"/>
        <rFont val="Century Gothic"/>
        <family val="2"/>
      </rPr>
      <t>each</t>
    </r>
  </si>
  <si>
    <r>
      <rPr>
        <b/>
        <sz val="10"/>
        <color theme="1"/>
        <rFont val="Century Gothic"/>
        <family val="2"/>
      </rPr>
      <t>Air Mineral/</t>
    </r>
    <r>
      <rPr>
        <i/>
        <sz val="10"/>
        <color theme="1"/>
        <rFont val="Century Gothic"/>
        <family val="2"/>
      </rPr>
      <t xml:space="preserve"> Mineral Water *</t>
    </r>
  </si>
  <si>
    <t>500 ml</t>
  </si>
  <si>
    <r>
      <rPr>
        <b/>
        <sz val="10"/>
        <color theme="1"/>
        <rFont val="Century Gothic"/>
        <family val="2"/>
      </rPr>
      <t>Satay Ayam/</t>
    </r>
    <r>
      <rPr>
        <i/>
        <sz val="10"/>
        <color theme="1"/>
        <rFont val="Century Gothic"/>
        <family val="2"/>
      </rPr>
      <t xml:space="preserve"> Chicken Satay</t>
    </r>
  </si>
  <si>
    <r>
      <t xml:space="preserve">cucuk/ </t>
    </r>
    <r>
      <rPr>
        <i/>
        <sz val="10"/>
        <color theme="1"/>
        <rFont val="Century Gothic"/>
        <family val="2"/>
      </rPr>
      <t>each</t>
    </r>
  </si>
  <si>
    <r>
      <rPr>
        <b/>
        <sz val="10"/>
        <color theme="1"/>
        <rFont val="Century Gothic"/>
        <family val="2"/>
      </rPr>
      <t>Nasi Ayam/</t>
    </r>
    <r>
      <rPr>
        <i/>
        <sz val="10"/>
        <color theme="1"/>
        <rFont val="Century Gothic"/>
        <family val="2"/>
      </rPr>
      <t xml:space="preserve"> Chicken Rice</t>
    </r>
  </si>
  <si>
    <t>Teh Tarik</t>
  </si>
  <si>
    <r>
      <t>cawan/</t>
    </r>
    <r>
      <rPr>
        <i/>
        <sz val="10"/>
        <color theme="1"/>
        <rFont val="Century Gothic"/>
        <family val="2"/>
      </rPr>
      <t xml:space="preserve"> cup</t>
    </r>
  </si>
  <si>
    <t>Kopi-O</t>
  </si>
  <si>
    <t>Teh-O</t>
  </si>
  <si>
    <t>Milo</t>
  </si>
  <si>
    <r>
      <t xml:space="preserve">Nota/ </t>
    </r>
    <r>
      <rPr>
        <i/>
        <sz val="9"/>
        <rFont val="Century Gothic"/>
        <family val="2"/>
      </rPr>
      <t>Notes</t>
    </r>
    <r>
      <rPr>
        <sz val="9"/>
        <rFont val="Century Gothic"/>
        <family val="2"/>
      </rPr>
      <t>:</t>
    </r>
  </si>
  <si>
    <t>* Item baharu bermula Januari 2024</t>
  </si>
  <si>
    <t xml:space="preserve">    New item starting January 2024</t>
  </si>
  <si>
    <t>** Perubahan spesifikasi item bermula Januari 2024</t>
  </si>
  <si>
    <t xml:space="preserve">     Change in the specification of item starting January 2024</t>
  </si>
  <si>
    <t>: Harga purata item terpilih, Malaysia, 2022 - 2024 (samb.)</t>
  </si>
  <si>
    <t>: Average price for selected items, Malaysia, 2022 - 2024 (cont'd)</t>
  </si>
  <si>
    <t>Perkakas Isi Rumah &amp; Barangan Elektrik</t>
  </si>
  <si>
    <t>Household Appliances &amp; Electrical Goods</t>
  </si>
  <si>
    <r>
      <rPr>
        <b/>
        <sz val="10"/>
        <color theme="1"/>
        <rFont val="Century Gothic"/>
        <family val="2"/>
      </rPr>
      <t>Periuk Nasi Elektrik, 1.8LT/</t>
    </r>
    <r>
      <rPr>
        <i/>
        <sz val="10"/>
        <color theme="1"/>
        <rFont val="Century Gothic"/>
        <family val="2"/>
      </rPr>
      <t xml:space="preserve"> Electric Rice Cooker, 1.8LT</t>
    </r>
  </si>
  <si>
    <r>
      <t xml:space="preserve">sebiji/ </t>
    </r>
    <r>
      <rPr>
        <i/>
        <sz val="10"/>
        <color theme="1"/>
        <rFont val="Century Gothic"/>
        <family val="2"/>
      </rPr>
      <t>each</t>
    </r>
  </si>
  <si>
    <r>
      <rPr>
        <b/>
        <sz val="10"/>
        <color theme="1"/>
        <rFont val="Century Gothic"/>
        <family val="2"/>
      </rPr>
      <t xml:space="preserve">Peti Sejuk 2-Pintu, kapasiti 280-300L
</t>
    </r>
    <r>
      <rPr>
        <i/>
        <sz val="10"/>
        <color theme="1"/>
        <rFont val="Century Gothic"/>
        <family val="2"/>
      </rPr>
      <t>Refrigerator, 2 Doors, with capacity 280-300L</t>
    </r>
  </si>
  <si>
    <r>
      <t xml:space="preserve">sebuah/ </t>
    </r>
    <r>
      <rPr>
        <i/>
        <sz val="10"/>
        <color theme="1"/>
        <rFont val="Century Gothic"/>
        <family val="2"/>
      </rPr>
      <t>each</t>
    </r>
  </si>
  <si>
    <r>
      <rPr>
        <b/>
        <sz val="10"/>
        <color theme="1"/>
        <rFont val="Century Gothic"/>
        <family val="2"/>
      </rPr>
      <t xml:space="preserve">Televisyen Warna, Full HD 40"-43"/ </t>
    </r>
    <r>
      <rPr>
        <i/>
        <sz val="10"/>
        <color theme="1"/>
        <rFont val="Century Gothic"/>
        <family val="2"/>
      </rPr>
      <t>TV Colour, 40”-43" Full HD **</t>
    </r>
  </si>
  <si>
    <t>Perkakas Lain, Barang-Barang  dan Produk Untuk Penjagaan Diri</t>
  </si>
  <si>
    <t>Other Appliances, Articles &amp; Products for Personal Care</t>
  </si>
  <si>
    <r>
      <rPr>
        <b/>
        <sz val="10"/>
        <color theme="1"/>
        <rFont val="Century Gothic"/>
        <family val="2"/>
      </rPr>
      <t xml:space="preserve">Lampin Bayi, Saiz M/ </t>
    </r>
    <r>
      <rPr>
        <i/>
        <sz val="10"/>
        <color theme="1"/>
        <rFont val="Century Gothic"/>
        <family val="2"/>
      </rPr>
      <t>Baby Diapers, Size M</t>
    </r>
  </si>
  <si>
    <r>
      <t xml:space="preserve">pek/ </t>
    </r>
    <r>
      <rPr>
        <i/>
        <sz val="10"/>
        <color theme="1"/>
        <rFont val="Century Gothic"/>
        <family val="2"/>
      </rPr>
      <t>pack</t>
    </r>
  </si>
  <si>
    <r>
      <rPr>
        <b/>
        <sz val="10"/>
        <color theme="1"/>
        <rFont val="Century Gothic"/>
        <family val="2"/>
      </rPr>
      <t>Syampu, 300 ML/</t>
    </r>
    <r>
      <rPr>
        <i/>
        <sz val="10"/>
        <color theme="1"/>
        <rFont val="Century Gothic"/>
        <family val="2"/>
      </rPr>
      <t xml:space="preserve"> Shampoo, 300 ML **</t>
    </r>
  </si>
  <si>
    <r>
      <t>botol/</t>
    </r>
    <r>
      <rPr>
        <i/>
        <sz val="10"/>
        <color theme="1"/>
        <rFont val="Century Gothic"/>
        <family val="2"/>
      </rPr>
      <t xml:space="preserve"> bottle</t>
    </r>
  </si>
  <si>
    <t>Susu Segar, Susu Pekat, Susu Tepung &amp; Keluaran Susu Lain</t>
  </si>
  <si>
    <t>Fresh Milk, Condensed Milk, Milk Powder &amp; Other Dairy Products</t>
  </si>
  <si>
    <r>
      <rPr>
        <b/>
        <sz val="10"/>
        <color theme="1"/>
        <rFont val="Century Gothic"/>
        <family val="2"/>
      </rPr>
      <t xml:space="preserve">Susu Segar UHT/ </t>
    </r>
    <r>
      <rPr>
        <i/>
        <sz val="10"/>
        <color theme="1"/>
        <rFont val="Century Gothic"/>
        <family val="2"/>
      </rPr>
      <t>Fresh Milk UHT</t>
    </r>
  </si>
  <si>
    <t>1 L</t>
  </si>
  <si>
    <r>
      <rPr>
        <b/>
        <sz val="10"/>
        <color theme="1"/>
        <rFont val="Century Gothic"/>
        <family val="2"/>
      </rPr>
      <t>Susu, Krimer Pekat Manis/</t>
    </r>
    <r>
      <rPr>
        <i/>
        <sz val="10"/>
        <color theme="1"/>
        <rFont val="Century Gothic"/>
        <family val="2"/>
      </rPr>
      <t xml:space="preserve"> Sweetened Creamer Milk</t>
    </r>
  </si>
  <si>
    <t>500 gm</t>
  </si>
  <si>
    <r>
      <rPr>
        <b/>
        <sz val="10"/>
        <color theme="1"/>
        <rFont val="Century Gothic"/>
        <family val="2"/>
      </rPr>
      <t xml:space="preserve">Susu Tepung Bayi, PK/ </t>
    </r>
    <r>
      <rPr>
        <i/>
        <sz val="10"/>
        <color theme="1"/>
        <rFont val="Century Gothic"/>
        <family val="2"/>
      </rPr>
      <t>Powdered Milk (Infant), PK</t>
    </r>
  </si>
  <si>
    <t>650 gm</t>
  </si>
  <si>
    <r>
      <rPr>
        <b/>
        <sz val="10"/>
        <color theme="1"/>
        <rFont val="Century Gothic"/>
        <family val="2"/>
      </rPr>
      <t>Keju (12) PK/</t>
    </r>
    <r>
      <rPr>
        <i/>
        <sz val="10"/>
        <color theme="1"/>
        <rFont val="Century Gothic"/>
        <family val="2"/>
      </rPr>
      <t xml:space="preserve"> Cheese (12), PK</t>
    </r>
  </si>
  <si>
    <t>250 g</t>
  </si>
  <si>
    <t>Barang Pengeluaran Perubatan</t>
  </si>
  <si>
    <t>Pharmaceutical Products</t>
  </si>
  <si>
    <r>
      <rPr>
        <b/>
        <sz val="10"/>
        <color theme="1"/>
        <rFont val="Century Gothic"/>
        <family val="2"/>
      </rPr>
      <t>Ubat batuk/</t>
    </r>
    <r>
      <rPr>
        <i/>
        <sz val="10"/>
        <color theme="1"/>
        <rFont val="Century Gothic"/>
        <family val="2"/>
      </rPr>
      <t xml:space="preserve"> Cough Mixture / Syrup</t>
    </r>
  </si>
  <si>
    <r>
      <t xml:space="preserve">60 ml botol/ </t>
    </r>
    <r>
      <rPr>
        <i/>
        <sz val="10"/>
        <color theme="1"/>
        <rFont val="Century Gothic"/>
        <family val="2"/>
      </rPr>
      <t>bottle</t>
    </r>
  </si>
  <si>
    <t>Paracetamol</t>
  </si>
  <si>
    <t>12 strip</t>
  </si>
  <si>
    <t>Ikan &amp; Makanan Laut yang diproses dan Minyak Masak</t>
  </si>
  <si>
    <t>Processed Fish and Cooking Oil</t>
  </si>
  <si>
    <r>
      <rPr>
        <b/>
        <sz val="10"/>
        <color theme="1"/>
        <rFont val="Century Gothic"/>
        <family val="2"/>
      </rPr>
      <t xml:space="preserve">Ikan dalam Sos Tomato/ </t>
    </r>
    <r>
      <rPr>
        <i/>
        <sz val="10"/>
        <color theme="1"/>
        <rFont val="Century Gothic"/>
        <family val="2"/>
      </rPr>
      <t>Fish in tomato sauce</t>
    </r>
  </si>
  <si>
    <t>425 gm</t>
  </si>
  <si>
    <r>
      <rPr>
        <b/>
        <sz val="10"/>
        <color theme="1"/>
        <rFont val="Century Gothic"/>
        <family val="2"/>
      </rPr>
      <t>Minyak Masak/</t>
    </r>
    <r>
      <rPr>
        <i/>
        <sz val="10"/>
        <color theme="1"/>
        <rFont val="Century Gothic"/>
        <family val="2"/>
      </rPr>
      <t xml:space="preserve"> Cooking Oil</t>
    </r>
  </si>
  <si>
    <t>3 Kg bot</t>
  </si>
  <si>
    <r>
      <rPr>
        <b/>
        <sz val="10"/>
        <color theme="1"/>
        <rFont val="Century Gothic"/>
        <family val="2"/>
      </rPr>
      <t>Minyak Masak</t>
    </r>
    <r>
      <rPr>
        <i/>
        <sz val="10"/>
        <color theme="1"/>
        <rFont val="Century Gothic"/>
        <family val="2"/>
      </rPr>
      <t>/ Cooking Oil</t>
    </r>
  </si>
  <si>
    <t>5 Kg bot</t>
  </si>
  <si>
    <t>1 Kg bot</t>
  </si>
  <si>
    <t>Beras, Minuman Bermalt dan Minuman Isotonik</t>
  </si>
  <si>
    <t>Rice, Malt Drinks and Isotonic Drinks</t>
  </si>
  <si>
    <r>
      <rPr>
        <b/>
        <sz val="10"/>
        <color theme="1"/>
        <rFont val="Century Gothic"/>
        <family val="2"/>
      </rPr>
      <t xml:space="preserve">Beras SST 5%/ </t>
    </r>
    <r>
      <rPr>
        <i/>
        <sz val="10"/>
        <color theme="1"/>
        <rFont val="Century Gothic"/>
        <family val="2"/>
      </rPr>
      <t>Rice SST 5%</t>
    </r>
  </si>
  <si>
    <t>10 Kg</t>
  </si>
  <si>
    <r>
      <rPr>
        <b/>
        <sz val="10"/>
        <color theme="1"/>
        <rFont val="Century Gothic"/>
        <family val="2"/>
      </rPr>
      <t>Minuman bermalt, PK/</t>
    </r>
    <r>
      <rPr>
        <i/>
        <sz val="10"/>
        <color theme="1"/>
        <rFont val="Century Gothic"/>
        <family val="2"/>
      </rPr>
      <t xml:space="preserve"> Malt Drinks, PK</t>
    </r>
  </si>
  <si>
    <r>
      <rPr>
        <b/>
        <sz val="10"/>
        <color theme="1"/>
        <rFont val="Century Gothic"/>
        <family val="2"/>
      </rPr>
      <t xml:space="preserve">Minuman Isotonik/ </t>
    </r>
    <r>
      <rPr>
        <i/>
        <sz val="10"/>
        <color theme="1"/>
        <rFont val="Century Gothic"/>
        <family val="2"/>
      </rPr>
      <t>Isotonic Drinks</t>
    </r>
  </si>
  <si>
    <t>1.5 L</t>
  </si>
  <si>
    <t>Mee Kering, Kicap Kacang Soya Manis, Sos, Mayonis, Minuman Beralkohol dan Ubat Nyamuk</t>
  </si>
  <si>
    <t>Dried Mee, Sweet Soy Sauce,Mayonnaise, Alcoholic Beverages and Mosquito Repellent</t>
  </si>
  <si>
    <r>
      <rPr>
        <b/>
        <sz val="10"/>
        <color theme="1"/>
        <rFont val="Century Gothic"/>
        <family val="2"/>
      </rPr>
      <t>Mee Kering/</t>
    </r>
    <r>
      <rPr>
        <i/>
        <sz val="10"/>
        <color theme="1"/>
        <rFont val="Century Gothic"/>
        <family val="2"/>
      </rPr>
      <t xml:space="preserve"> Dried Mee</t>
    </r>
  </si>
  <si>
    <r>
      <t xml:space="preserve">5 pek/ </t>
    </r>
    <r>
      <rPr>
        <i/>
        <sz val="10"/>
        <color theme="1"/>
        <rFont val="Century Gothic"/>
        <family val="2"/>
      </rPr>
      <t>pack</t>
    </r>
  </si>
  <si>
    <r>
      <rPr>
        <b/>
        <sz val="10"/>
        <color theme="1"/>
        <rFont val="Century Gothic"/>
        <family val="2"/>
      </rPr>
      <t>Kicap Kacang Soya, manis/</t>
    </r>
    <r>
      <rPr>
        <i/>
        <sz val="10"/>
        <color theme="1"/>
        <rFont val="Century Gothic"/>
        <family val="2"/>
      </rPr>
      <t xml:space="preserve"> Sweet Soy Sauce</t>
    </r>
  </si>
  <si>
    <t>345 ml</t>
  </si>
  <si>
    <r>
      <rPr>
        <b/>
        <sz val="10"/>
        <color theme="1"/>
        <rFont val="Century Gothic"/>
        <family val="2"/>
      </rPr>
      <t xml:space="preserve">Sos Tomato/ </t>
    </r>
    <r>
      <rPr>
        <i/>
        <sz val="10"/>
        <color theme="1"/>
        <rFont val="Century Gothic"/>
        <family val="2"/>
      </rPr>
      <t>Tomato Sauce</t>
    </r>
  </si>
  <si>
    <t>475 gm bot</t>
  </si>
  <si>
    <r>
      <rPr>
        <b/>
        <sz val="10"/>
        <color theme="1"/>
        <rFont val="Century Gothic"/>
        <family val="2"/>
      </rPr>
      <t>Sos Cili/</t>
    </r>
    <r>
      <rPr>
        <i/>
        <sz val="10"/>
        <color theme="1"/>
        <rFont val="Century Gothic"/>
        <family val="2"/>
      </rPr>
      <t xml:space="preserve"> Chilli Sauce</t>
    </r>
  </si>
  <si>
    <t>340 gm bot</t>
  </si>
  <si>
    <r>
      <rPr>
        <b/>
        <sz val="10"/>
        <color theme="1"/>
        <rFont val="Century Gothic"/>
        <family val="2"/>
      </rPr>
      <t xml:space="preserve">Mayonis/ </t>
    </r>
    <r>
      <rPr>
        <i/>
        <sz val="10"/>
        <color theme="1"/>
        <rFont val="Century Gothic"/>
        <family val="2"/>
      </rPr>
      <t>Mayonnaise **</t>
    </r>
  </si>
  <si>
    <t>205 ml bot</t>
  </si>
  <si>
    <r>
      <rPr>
        <b/>
        <sz val="10"/>
        <color theme="1"/>
        <rFont val="Century Gothic"/>
        <family val="2"/>
      </rPr>
      <t>Minuman Beralkohol/</t>
    </r>
    <r>
      <rPr>
        <i/>
        <sz val="10"/>
        <color theme="1"/>
        <rFont val="Century Gothic"/>
        <family val="2"/>
      </rPr>
      <t xml:space="preserve"> Alcoholic Beverages</t>
    </r>
  </si>
  <si>
    <t>320 ml tin</t>
  </si>
  <si>
    <r>
      <rPr>
        <b/>
        <sz val="10"/>
        <color theme="1"/>
        <rFont val="Century Gothic"/>
        <family val="2"/>
      </rPr>
      <t xml:space="preserve">Ubat Nyamuk/ </t>
    </r>
    <r>
      <rPr>
        <i/>
        <sz val="10"/>
        <color theme="1"/>
        <rFont val="Century Gothic"/>
        <family val="2"/>
      </rPr>
      <t>Mosquito Repellent</t>
    </r>
  </si>
  <si>
    <r>
      <t>10 keping/</t>
    </r>
    <r>
      <rPr>
        <sz val="10"/>
        <color theme="1"/>
        <rFont val="Century Gothic"/>
        <family val="2"/>
      </rPr>
      <t xml:space="preserve"> pieces</t>
    </r>
  </si>
  <si>
    <r>
      <rPr>
        <b/>
        <sz val="10"/>
        <color theme="1"/>
        <rFont val="Century Gothic"/>
        <family val="2"/>
      </rPr>
      <t>Ubat Nyamuk/</t>
    </r>
    <r>
      <rPr>
        <i/>
        <sz val="10"/>
        <color theme="1"/>
        <rFont val="Century Gothic"/>
        <family val="2"/>
      </rPr>
      <t xml:space="preserve"> Mosquito Repellent</t>
    </r>
  </si>
  <si>
    <r>
      <t>30 keping/</t>
    </r>
    <r>
      <rPr>
        <i/>
        <sz val="10"/>
        <color theme="1"/>
        <rFont val="Century Gothic"/>
        <family val="2"/>
      </rPr>
      <t xml:space="preserve"> pieces</t>
    </r>
  </si>
  <si>
    <t>360 gm tin</t>
  </si>
  <si>
    <t>Barangan &amp; Penyelenggaraan  Isi Rumah, Buku &amp; Alat tulis dan Barangan Untuk Penjagaan Diri</t>
  </si>
  <si>
    <t>Goods &amp; Services For Routine Household Maintenance, Books &amp; Stationery and Products for Personal Care</t>
  </si>
  <si>
    <r>
      <rPr>
        <b/>
        <sz val="10"/>
        <color theme="1"/>
        <rFont val="Century Gothic"/>
        <family val="2"/>
      </rPr>
      <t>Plastik Sampah/</t>
    </r>
    <r>
      <rPr>
        <i/>
        <sz val="10"/>
        <color theme="1"/>
        <rFont val="Century Gothic"/>
        <family val="2"/>
      </rPr>
      <t xml:space="preserve"> Garbage Plastic Bag</t>
    </r>
  </si>
  <si>
    <r>
      <t xml:space="preserve">10 keping/ </t>
    </r>
    <r>
      <rPr>
        <i/>
        <sz val="10"/>
        <color theme="1"/>
        <rFont val="Century Gothic"/>
        <family val="2"/>
      </rPr>
      <t>pack</t>
    </r>
  </si>
  <si>
    <r>
      <rPr>
        <b/>
        <sz val="10"/>
        <color theme="1"/>
        <rFont val="Century Gothic"/>
        <family val="2"/>
      </rPr>
      <t xml:space="preserve">Pelembut Fabrik/ </t>
    </r>
    <r>
      <rPr>
        <i/>
        <sz val="10"/>
        <color theme="1"/>
        <rFont val="Century Gothic"/>
        <family val="2"/>
      </rPr>
      <t>Fabric Softener **</t>
    </r>
  </si>
  <si>
    <t>3 L bot</t>
  </si>
  <si>
    <t>Pen</t>
  </si>
  <si>
    <r>
      <t xml:space="preserve">sebatang/ </t>
    </r>
    <r>
      <rPr>
        <i/>
        <sz val="10"/>
        <color theme="1"/>
        <rFont val="Century Gothic"/>
        <family val="2"/>
      </rPr>
      <t>each</t>
    </r>
  </si>
  <si>
    <r>
      <rPr>
        <b/>
        <sz val="10"/>
        <color theme="1"/>
        <rFont val="Century Gothic"/>
        <family val="2"/>
      </rPr>
      <t>Pensel Warna/</t>
    </r>
    <r>
      <rPr>
        <i/>
        <sz val="10"/>
        <color theme="1"/>
        <rFont val="Century Gothic"/>
        <family val="2"/>
      </rPr>
      <t xml:space="preserve"> Pencil, Colour</t>
    </r>
  </si>
  <si>
    <r>
      <t xml:space="preserve">12 batang, kotak/ </t>
    </r>
    <r>
      <rPr>
        <i/>
        <sz val="10"/>
        <color theme="1"/>
        <rFont val="Century Gothic"/>
        <family val="2"/>
      </rPr>
      <t>pieces, box</t>
    </r>
  </si>
  <si>
    <r>
      <rPr>
        <b/>
        <sz val="10"/>
        <color theme="1"/>
        <rFont val="Century Gothic"/>
        <family val="2"/>
      </rPr>
      <t>Kertas Fotostat/</t>
    </r>
    <r>
      <rPr>
        <i/>
        <sz val="10"/>
        <color theme="1"/>
        <rFont val="Century Gothic"/>
        <family val="2"/>
      </rPr>
      <t xml:space="preserve"> Photostat Paper</t>
    </r>
  </si>
  <si>
    <t>1 rim</t>
  </si>
  <si>
    <r>
      <rPr>
        <b/>
        <sz val="10"/>
        <color theme="1"/>
        <rFont val="Century Gothic"/>
        <family val="2"/>
      </rPr>
      <t>Buku Latihan/</t>
    </r>
    <r>
      <rPr>
        <i/>
        <sz val="10"/>
        <color theme="1"/>
        <rFont val="Century Gothic"/>
        <family val="2"/>
      </rPr>
      <t xml:space="preserve"> Exercise Book</t>
    </r>
  </si>
  <si>
    <r>
      <rPr>
        <b/>
        <sz val="10"/>
        <color theme="1"/>
        <rFont val="Century Gothic"/>
        <family val="2"/>
      </rPr>
      <t>Potong Rambut (Lelaki)/</t>
    </r>
    <r>
      <rPr>
        <i/>
        <sz val="10"/>
        <color theme="1"/>
        <rFont val="Century Gothic"/>
        <family val="2"/>
      </rPr>
      <t xml:space="preserve"> Men’s Hair Cut</t>
    </r>
  </si>
  <si>
    <r>
      <t xml:space="preserve">satu/ </t>
    </r>
    <r>
      <rPr>
        <i/>
        <sz val="10"/>
        <color theme="1"/>
        <rFont val="Century Gothic"/>
        <family val="2"/>
      </rPr>
      <t>each</t>
    </r>
  </si>
  <si>
    <r>
      <rPr>
        <b/>
        <sz val="10"/>
        <color theme="1"/>
        <rFont val="Century Gothic"/>
        <family val="2"/>
      </rPr>
      <t>Berus Gigi/</t>
    </r>
    <r>
      <rPr>
        <i/>
        <sz val="10"/>
        <color theme="1"/>
        <rFont val="Century Gothic"/>
        <family val="2"/>
      </rPr>
      <t xml:space="preserve"> Toothbrush</t>
    </r>
  </si>
  <si>
    <r>
      <t xml:space="preserve">satu/ </t>
    </r>
    <r>
      <rPr>
        <i/>
        <sz val="10"/>
        <color theme="1"/>
        <rFont val="Century Gothic"/>
        <family val="2"/>
      </rPr>
      <t xml:space="preserve"> each</t>
    </r>
  </si>
  <si>
    <r>
      <rPr>
        <b/>
        <sz val="10"/>
        <color theme="1"/>
        <rFont val="Century Gothic"/>
        <family val="2"/>
      </rPr>
      <t>Ubat Gigi/</t>
    </r>
    <r>
      <rPr>
        <i/>
        <sz val="10"/>
        <color theme="1"/>
        <rFont val="Century Gothic"/>
        <family val="2"/>
      </rPr>
      <t xml:space="preserve"> Toothpaste</t>
    </r>
  </si>
  <si>
    <r>
      <t xml:space="preserve"> 175 gm tiub/ </t>
    </r>
    <r>
      <rPr>
        <i/>
        <sz val="10"/>
        <color theme="1"/>
        <rFont val="Century Gothic"/>
        <family val="2"/>
      </rPr>
      <t>tube</t>
    </r>
  </si>
  <si>
    <r>
      <rPr>
        <b/>
        <sz val="10"/>
        <color theme="1"/>
        <rFont val="Century Gothic"/>
        <family val="2"/>
      </rPr>
      <t>Tisu Tandas/</t>
    </r>
    <r>
      <rPr>
        <i/>
        <sz val="10"/>
        <color theme="1"/>
        <rFont val="Century Gothic"/>
        <family val="2"/>
      </rPr>
      <t xml:space="preserve"> Toilet Paper **</t>
    </r>
  </si>
  <si>
    <r>
      <t>20 gulung/</t>
    </r>
    <r>
      <rPr>
        <i/>
        <sz val="10"/>
        <color theme="1"/>
        <rFont val="Century Gothic"/>
        <family val="2"/>
      </rPr>
      <t xml:space="preserve"> rolls</t>
    </r>
  </si>
  <si>
    <r>
      <rPr>
        <b/>
        <sz val="10"/>
        <color theme="1"/>
        <rFont val="Century Gothic"/>
        <family val="2"/>
      </rPr>
      <t xml:space="preserve">Sabun Mandian Buku/ </t>
    </r>
    <r>
      <rPr>
        <i/>
        <sz val="10"/>
        <color theme="1"/>
        <rFont val="Century Gothic"/>
        <family val="2"/>
      </rPr>
      <t>Bar Soap **</t>
    </r>
  </si>
  <si>
    <r>
      <t xml:space="preserve">1 pek 3, 70 gm/ </t>
    </r>
    <r>
      <rPr>
        <i/>
        <sz val="10"/>
        <color theme="1"/>
        <rFont val="Century Gothic"/>
        <family val="2"/>
      </rPr>
      <t>pack of 3</t>
    </r>
  </si>
  <si>
    <r>
      <rPr>
        <b/>
        <sz val="10"/>
        <color theme="1"/>
        <rFont val="Century Gothic"/>
        <family val="2"/>
      </rPr>
      <t>Sabun Mandi/</t>
    </r>
    <r>
      <rPr>
        <i/>
        <sz val="10"/>
        <color theme="1"/>
        <rFont val="Century Gothic"/>
        <family val="2"/>
      </rPr>
      <t xml:space="preserve"> Shower Cream **</t>
    </r>
  </si>
  <si>
    <t>250 ml bot</t>
  </si>
  <si>
    <t>Jadual 24.0</t>
  </si>
  <si>
    <t xml:space="preserve">: Indeks Harga Pengeluar (IHPR) Pengeluaran Tempatan dan Perubahan Peratus Tahunan mengikut </t>
  </si>
  <si>
    <t xml:space="preserve">  Sektor, Malaysia, 2022 - 2024 </t>
  </si>
  <si>
    <t xml:space="preserve">  Table 24.0</t>
  </si>
  <si>
    <t xml:space="preserve">: Producer Price Index (PPI) Local Production and Annual Percentage Change by Sector, Malaysia, </t>
  </si>
  <si>
    <t xml:space="preserve">  2022 - 2024</t>
  </si>
  <si>
    <t>INDEKS HARGA PENGELUAR (IHPR)</t>
  </si>
  <si>
    <t>PRODUCER PRICE INDEX (PPI)</t>
  </si>
  <si>
    <t>(2010=100)</t>
  </si>
  <si>
    <t>Indeks Harga Pengeluar (IHPR)</t>
  </si>
  <si>
    <t>Producer Price Index (PPI)</t>
  </si>
  <si>
    <t>Pertanian, perhutanan dan perikanan</t>
  </si>
  <si>
    <t>Agriculture, forestry and fishing</t>
  </si>
  <si>
    <t>Perlombongan</t>
  </si>
  <si>
    <t xml:space="preserve">Mining </t>
  </si>
  <si>
    <t>Pembuatan</t>
  </si>
  <si>
    <t>Manufacturing</t>
  </si>
  <si>
    <t>Bekalan elektrik dan gas</t>
  </si>
  <si>
    <t>Electricity and gas supply</t>
  </si>
  <si>
    <t>Bekalan air</t>
  </si>
  <si>
    <t>Water supply</t>
  </si>
  <si>
    <t>Perubahan Peratus Tahunan (%)</t>
  </si>
  <si>
    <t>Annual Percentage Change (%)</t>
  </si>
  <si>
    <t>Jadual 25.0</t>
  </si>
  <si>
    <t>: Statistik utama kecederaan pekerjaan, Malaysia, 2021 - 2023</t>
  </si>
  <si>
    <t xml:space="preserve">  Table 25.0</t>
  </si>
  <si>
    <t>: Principal statistics of occupational injury , Malaysia, 2021 - 2023</t>
  </si>
  <si>
    <r>
      <t xml:space="preserve">KECEDERAAN PEKERJAAN
</t>
    </r>
    <r>
      <rPr>
        <i/>
        <sz val="10"/>
        <rFont val="Century Gothic"/>
        <family val="2"/>
      </rPr>
      <t>OCCUPATIONAL</t>
    </r>
    <r>
      <rPr>
        <b/>
        <sz val="10"/>
        <rFont val="Century Gothic"/>
        <family val="2"/>
      </rPr>
      <t xml:space="preserve"> </t>
    </r>
    <r>
      <rPr>
        <i/>
        <sz val="10"/>
        <rFont val="Century Gothic"/>
        <family val="2"/>
      </rPr>
      <t xml:space="preserve">INJURY </t>
    </r>
  </si>
  <si>
    <t>Bilangan Kecederaan Pekerjaan</t>
  </si>
  <si>
    <t xml:space="preserve">Number of occupational Injury </t>
  </si>
  <si>
    <r>
      <t xml:space="preserve">Jumlah/ </t>
    </r>
    <r>
      <rPr>
        <i/>
        <sz val="10"/>
        <rFont val="Century Gothic"/>
        <family val="2"/>
      </rPr>
      <t>Total</t>
    </r>
  </si>
  <si>
    <r>
      <t xml:space="preserve">Kewarganegaraan/ </t>
    </r>
    <r>
      <rPr>
        <i/>
        <sz val="10"/>
        <rFont val="Century Gothic"/>
        <family val="2"/>
      </rPr>
      <t>Citizenship</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</si>
  <si>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</si>
  <si>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</si>
  <si>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Jantina</t>
    </r>
    <r>
      <rPr>
        <sz val="10"/>
        <rFont val="Century Gothic"/>
        <family val="2"/>
      </rPr>
      <t xml:space="preserve">/ </t>
    </r>
    <r>
      <rPr>
        <i/>
        <sz val="10"/>
        <rFont val="Century Gothic"/>
        <family val="2"/>
      </rPr>
      <t>Sex</t>
    </r>
  </si>
  <si>
    <r>
      <t xml:space="preserve">Lelaki/ </t>
    </r>
    <r>
      <rPr>
        <i/>
        <sz val="10"/>
        <rFont val="Century Gothic"/>
        <family val="2"/>
      </rPr>
      <t>Male</t>
    </r>
  </si>
  <si>
    <r>
      <t xml:space="preserve">Perempuan/ </t>
    </r>
    <r>
      <rPr>
        <i/>
        <sz val="10"/>
        <rFont val="Century Gothic"/>
        <family val="2"/>
      </rPr>
      <t>Female</t>
    </r>
  </si>
  <si>
    <t>Sektor OSHA</t>
  </si>
  <si>
    <t>OSHA Sector</t>
  </si>
  <si>
    <r>
      <t xml:space="preserve">Pertanian, Perhutanan dan Perikanan/ </t>
    </r>
    <r>
      <rPr>
        <i/>
        <sz val="10"/>
        <rFont val="Century Gothic"/>
        <family val="2"/>
      </rPr>
      <t>Agriculture, Forestry and Fishing</t>
    </r>
  </si>
  <si>
    <r>
      <t xml:space="preserve">Perlombongan dan Pengkuarian/ </t>
    </r>
    <r>
      <rPr>
        <i/>
        <sz val="10"/>
        <rFont val="Century Gothic"/>
        <family val="2"/>
      </rPr>
      <t>Mining and Quarrying</t>
    </r>
  </si>
  <si>
    <r>
      <t xml:space="preserve">Pembuatan/ </t>
    </r>
    <r>
      <rPr>
        <i/>
        <sz val="10"/>
        <rFont val="Century Gothic"/>
        <family val="2"/>
      </rPr>
      <t>Manufacturing</t>
    </r>
  </si>
  <si>
    <r>
      <t>Pembinaan/</t>
    </r>
    <r>
      <rPr>
        <i/>
        <sz val="10"/>
        <rFont val="Century Gothic"/>
        <family val="2"/>
      </rPr>
      <t xml:space="preserve"> Construction</t>
    </r>
  </si>
  <si>
    <r>
      <t xml:space="preserve">Utiliti/ </t>
    </r>
    <r>
      <rPr>
        <i/>
        <sz val="10"/>
        <rFont val="Century Gothic"/>
        <family val="2"/>
      </rPr>
      <t>Utilities</t>
    </r>
  </si>
  <si>
    <r>
      <t xml:space="preserve">Perdagangan Borong dan Runcit/ </t>
    </r>
    <r>
      <rPr>
        <i/>
        <sz val="10"/>
        <rFont val="Century Gothic"/>
        <family val="2"/>
      </rPr>
      <t>Wholesale and Retail Trades</t>
    </r>
  </si>
  <si>
    <t>Pengangkutan, Penyimpanan dan Komunikasi</t>
  </si>
  <si>
    <t>Transport, Storage and Communication</t>
  </si>
  <si>
    <r>
      <t xml:space="preserve">Hotel dan Restoran/ </t>
    </r>
    <r>
      <rPr>
        <i/>
        <sz val="10"/>
        <rFont val="Century Gothic"/>
        <family val="2"/>
      </rPr>
      <t>Hotels and Restaurants</t>
    </r>
  </si>
  <si>
    <t xml:space="preserve">Kewangan, Insurans, Hartanah dan Perkhidmatan Perniagaan </t>
  </si>
  <si>
    <t>Finance, Insurance, Real Estate and Business Services</t>
  </si>
  <si>
    <r>
      <t xml:space="preserve">Perkhidmatan/ </t>
    </r>
    <r>
      <rPr>
        <i/>
        <sz val="10"/>
        <rFont val="Century Gothic"/>
        <family val="2"/>
      </rPr>
      <t>Services</t>
    </r>
  </si>
  <si>
    <t>Bilangan Kematian Pekerjaan</t>
  </si>
  <si>
    <t>Number of Occupational Fatality</t>
  </si>
  <si>
    <t xml:space="preserve">Sumber: Jabatan Keselamatan dan Kesihatan Pekerjaan (JKKP) </t>
  </si>
  <si>
    <t>Pertubuhan Keselamatan Sosial (PERKESO)</t>
  </si>
  <si>
    <t>Source: Department of Occupational Safety and Health (DOSH)</t>
  </si>
  <si>
    <t xml:space="preserve"> Social Security Organisation (SOCSO)</t>
  </si>
  <si>
    <t>: Statistik utama kecederaan pekerjaan, Malaysia, 2021 - 2023 (samb.)</t>
  </si>
  <si>
    <t>: Principal statistics of occupational injury, Malaysia, 2021 - 2023 (cont'd)</t>
  </si>
  <si>
    <t>Kadar Kecederaan Pekerjaan (setiap 1,000 pekerja)</t>
  </si>
  <si>
    <t>Occupational Injury Rate (per 1,000 workers)</t>
  </si>
  <si>
    <t>Kadar Kematian Pekerjaan (setiap 100,000 pekerja)</t>
  </si>
  <si>
    <t>Occupational Fatality Rate (per 100,000 workers)</t>
  </si>
  <si>
    <t>Jadual 26.0</t>
  </si>
  <si>
    <t>: Peratusan ahli parlimen dan anggota pentadbiran mengikut jantina, Malaysia, 2021 - 2023</t>
  </si>
  <si>
    <t>Table 26.0</t>
  </si>
  <si>
    <t>: Percentage of members of parliament and administration by sex, Malaysia, 2021 - 2023</t>
  </si>
  <si>
    <r>
      <t xml:space="preserve">PERKARA
</t>
    </r>
    <r>
      <rPr>
        <i/>
        <sz val="10"/>
        <rFont val="Century Gothic"/>
        <family val="2"/>
      </rPr>
      <t>ITEM</t>
    </r>
  </si>
  <si>
    <r>
      <t>Dewan Negara</t>
    </r>
    <r>
      <rPr>
        <sz val="10"/>
        <rFont val="Century Gothic"/>
        <family val="2"/>
      </rPr>
      <t>/</t>
    </r>
    <r>
      <rPr>
        <b/>
        <sz val="10"/>
        <rFont val="Century Gothic"/>
        <family val="2"/>
      </rPr>
      <t xml:space="preserve"> </t>
    </r>
    <r>
      <rPr>
        <i/>
        <sz val="10"/>
        <rFont val="Century Gothic"/>
        <family val="2"/>
      </rPr>
      <t>Senate</t>
    </r>
  </si>
  <si>
    <r>
      <t>Lelaki</t>
    </r>
    <r>
      <rPr>
        <sz val="10"/>
        <rFont val="Century Gothic"/>
        <family val="2"/>
      </rPr>
      <t xml:space="preserve">/ </t>
    </r>
    <r>
      <rPr>
        <i/>
        <sz val="10"/>
        <rFont val="Century Gothic"/>
        <family val="2"/>
      </rPr>
      <t>Male</t>
    </r>
  </si>
  <si>
    <r>
      <t>Perempuan</t>
    </r>
    <r>
      <rPr>
        <sz val="10"/>
        <rFont val="Century Gothic"/>
        <family val="2"/>
      </rPr>
      <t xml:space="preserve">/ </t>
    </r>
    <r>
      <rPr>
        <i/>
        <sz val="10"/>
        <rFont val="Century Gothic"/>
        <family val="2"/>
      </rPr>
      <t>Female</t>
    </r>
  </si>
  <si>
    <r>
      <t>Dewan Rakyat</t>
    </r>
    <r>
      <rPr>
        <sz val="10"/>
        <rFont val="Century Gothic"/>
        <family val="2"/>
      </rPr>
      <t>/</t>
    </r>
    <r>
      <rPr>
        <b/>
        <sz val="10"/>
        <rFont val="Century Gothic"/>
        <family val="2"/>
      </rPr>
      <t xml:space="preserve"> </t>
    </r>
    <r>
      <rPr>
        <i/>
        <sz val="10"/>
        <rFont val="Century Gothic"/>
        <family val="2"/>
      </rPr>
      <t>House of Representatives</t>
    </r>
  </si>
  <si>
    <r>
      <t>Menteri Kabinet</t>
    </r>
    <r>
      <rPr>
        <sz val="10"/>
        <rFont val="Century Gothic"/>
        <family val="2"/>
      </rPr>
      <t>/</t>
    </r>
    <r>
      <rPr>
        <b/>
        <sz val="10"/>
        <rFont val="Century Gothic"/>
        <family val="2"/>
      </rPr>
      <t xml:space="preserve"> </t>
    </r>
    <r>
      <rPr>
        <i/>
        <sz val="10"/>
        <rFont val="Century Gothic"/>
        <family val="2"/>
      </rPr>
      <t>Cabinet Minister</t>
    </r>
  </si>
  <si>
    <r>
      <t>Timbalan Menteri</t>
    </r>
    <r>
      <rPr>
        <sz val="10"/>
        <rFont val="Century Gothic"/>
        <family val="2"/>
      </rPr>
      <t xml:space="preserve">/ </t>
    </r>
    <r>
      <rPr>
        <i/>
        <sz val="10"/>
        <rFont val="Century Gothic"/>
        <family val="2"/>
      </rPr>
      <t>Deputy Minister</t>
    </r>
  </si>
  <si>
    <t>Sumber: Parlimen Malaysia</t>
  </si>
  <si>
    <t>Source: Parliament of Malaysia</t>
  </si>
  <si>
    <t>Terdapat 0.9 peratus kekosongan di Dewan Rakyat pada 2021</t>
  </si>
  <si>
    <t>There was 0.9 per cent vacancy in House of Representatives in 2021</t>
  </si>
  <si>
    <t>Jadual 27.0</t>
  </si>
  <si>
    <t>: Bilangan hakim di Badan Kehakiman mengikut jawatan dan jantina, Malaysia, 2021 - 2023</t>
  </si>
  <si>
    <t>Table 27.0</t>
  </si>
  <si>
    <t>: Number of judges in the Judiciary board by position and sex, Malaysia, 2021 - 2023</t>
  </si>
  <si>
    <r>
      <t>Jumlah</t>
    </r>
    <r>
      <rPr>
        <sz val="10"/>
        <rFont val="Century Gothic"/>
        <family val="2"/>
      </rPr>
      <t xml:space="preserve">/ </t>
    </r>
    <r>
      <rPr>
        <i/>
        <sz val="10"/>
        <rFont val="Century Gothic"/>
        <family val="2"/>
      </rPr>
      <t>Total</t>
    </r>
  </si>
  <si>
    <r>
      <t>Ketua Hakim Negara</t>
    </r>
    <r>
      <rPr>
        <sz val="10"/>
        <rFont val="Century Gothic"/>
        <family val="2"/>
      </rPr>
      <t>/</t>
    </r>
    <r>
      <rPr>
        <b/>
        <sz val="10"/>
        <rFont val="Century Gothic"/>
        <family val="2"/>
      </rPr>
      <t xml:space="preserve"> </t>
    </r>
    <r>
      <rPr>
        <i/>
        <sz val="10"/>
        <rFont val="Century Gothic"/>
        <family val="2"/>
      </rPr>
      <t>Chief Justice of Malaysia</t>
    </r>
  </si>
  <si>
    <r>
      <t>Presiden Mahkamah Rayuan Malaysia</t>
    </r>
    <r>
      <rPr>
        <i/>
        <sz val="10"/>
        <rFont val="Century Gothic"/>
        <family val="2"/>
      </rPr>
      <t>/ President of the Court of Appeal of Malaysia</t>
    </r>
  </si>
  <si>
    <r>
      <t>Hakim Besar Malaya</t>
    </r>
    <r>
      <rPr>
        <i/>
        <sz val="10"/>
        <rFont val="Century Gothic"/>
        <family val="2"/>
      </rPr>
      <t>/ Chief Judge of Malaya</t>
    </r>
  </si>
  <si>
    <r>
      <t>Hakim Besar Sabah dan Sarawak</t>
    </r>
    <r>
      <rPr>
        <i/>
        <sz val="10"/>
        <rFont val="Century Gothic"/>
        <family val="2"/>
      </rPr>
      <t>/ Chief Judge of Sabah and Sarawak</t>
    </r>
  </si>
  <si>
    <r>
      <t>Hakim Mahkamah Persekutuan Malaysia</t>
    </r>
    <r>
      <rPr>
        <i/>
        <sz val="10"/>
        <rFont val="Century Gothic"/>
        <family val="2"/>
      </rPr>
      <t>/ Judges of the Federal Court of Malaysia</t>
    </r>
  </si>
  <si>
    <r>
      <rPr>
        <b/>
        <sz val="10"/>
        <rFont val="Century Gothic"/>
        <family val="2"/>
      </rPr>
      <t>Hakim Mahkamah Rayuan Malaysia</t>
    </r>
    <r>
      <rPr>
        <sz val="10"/>
        <rFont val="Century Gothic"/>
        <family val="2"/>
      </rPr>
      <t xml:space="preserve">/ </t>
    </r>
    <r>
      <rPr>
        <i/>
        <sz val="10"/>
        <rFont val="Century Gothic"/>
        <family val="2"/>
      </rPr>
      <t>Judges of the Court of Appeal of Malaysia</t>
    </r>
  </si>
  <si>
    <r>
      <t>Hakim Mahkamah Tinggi</t>
    </r>
    <r>
      <rPr>
        <i/>
        <sz val="10"/>
        <rFont val="Century Gothic"/>
        <family val="2"/>
      </rPr>
      <t>/ Judges of the High Courts</t>
    </r>
  </si>
  <si>
    <r>
      <t>Pesuruhjaya Kehakiman Mahkamah Tinggi</t>
    </r>
    <r>
      <rPr>
        <sz val="10"/>
        <rFont val="Century Gothic"/>
        <family val="2"/>
      </rPr>
      <t xml:space="preserve">/ </t>
    </r>
    <r>
      <rPr>
        <i/>
        <sz val="10"/>
        <rFont val="Century Gothic"/>
        <family val="2"/>
      </rPr>
      <t>Judicial Commissioners of the High Courts</t>
    </r>
  </si>
  <si>
    <t>Sumber: Suruhanjaya Pelantikan Kehakiman</t>
  </si>
  <si>
    <t>Source: Judicial Appoiments Commission</t>
  </si>
  <si>
    <t>Jadual 28.0</t>
  </si>
  <si>
    <t>: Bilangan hakim di Kehakiman Syariah mengikut jawatan dan jantina, Malaysia, 2021 - 2023</t>
  </si>
  <si>
    <t>Table 28.0</t>
  </si>
  <si>
    <t>: Number of judges in the Syariah Judiciary by position and sex, Malaysia, 2021 - 2023</t>
  </si>
  <si>
    <r>
      <t>Ketua Pengarah/ Ketua Hakim Syarie</t>
    </r>
    <r>
      <rPr>
        <sz val="10"/>
        <rFont val="Century Gothic"/>
        <family val="2"/>
      </rPr>
      <t>/</t>
    </r>
    <r>
      <rPr>
        <b/>
        <sz val="10"/>
        <rFont val="Century Gothic"/>
        <family val="2"/>
      </rPr>
      <t xml:space="preserve"> </t>
    </r>
    <r>
      <rPr>
        <i/>
        <sz val="10"/>
        <rFont val="Century Gothic"/>
        <family val="2"/>
      </rPr>
      <t>Director General/ Syarie Chief Justice</t>
    </r>
  </si>
  <si>
    <r>
      <t>Hakim Mahkamah Rayuan Syariah</t>
    </r>
    <r>
      <rPr>
        <i/>
        <sz val="10"/>
        <rFont val="Century Gothic"/>
        <family val="2"/>
      </rPr>
      <t>/ Judges of the Court of Appeal Syarie</t>
    </r>
  </si>
  <si>
    <r>
      <t>Ketua Hakim Syarie Negeri</t>
    </r>
    <r>
      <rPr>
        <i/>
        <sz val="10"/>
        <rFont val="Century Gothic"/>
        <family val="2"/>
      </rPr>
      <t>/ State Syarie Chief Judge</t>
    </r>
  </si>
  <si>
    <r>
      <t>Ketua Pendaftar Mahkamah Syariah Negeri</t>
    </r>
    <r>
      <rPr>
        <i/>
        <sz val="10"/>
        <rFont val="Century Gothic"/>
        <family val="2"/>
      </rPr>
      <t>/ Chief Register of the State Syariah Court</t>
    </r>
  </si>
  <si>
    <r>
      <t>Hakim Syarie</t>
    </r>
    <r>
      <rPr>
        <i/>
        <sz val="10"/>
        <rFont val="Century Gothic"/>
        <family val="2"/>
      </rPr>
      <t>/ Syarie Judge</t>
    </r>
  </si>
  <si>
    <t>Sumber: Jabatan Kehakiman Syariah Malaysia</t>
  </si>
  <si>
    <t>Source: Syariah Judiciary Department Malaysia</t>
  </si>
  <si>
    <t>Jadual 29.0</t>
  </si>
  <si>
    <t>: Bilangan Ketua Setiausaha, Timbalan Ketua Setiausaha dan Ketua Pengarah mengikut jawatan dan jantina, Malaysia, 2021 - 2023</t>
  </si>
  <si>
    <t>Table 29.0</t>
  </si>
  <si>
    <t>: Number of Secretary General, Deputy Secretary General and Director General by position and sex, Malaysia, 2021 - 2023</t>
  </si>
  <si>
    <r>
      <t>Ketua Setiausaha Negara</t>
    </r>
    <r>
      <rPr>
        <sz val="10"/>
        <rFont val="Century Gothic"/>
        <family val="2"/>
      </rPr>
      <t>/</t>
    </r>
    <r>
      <rPr>
        <b/>
        <sz val="10"/>
        <rFont val="Century Gothic"/>
        <family val="2"/>
      </rPr>
      <t xml:space="preserve"> </t>
    </r>
    <r>
      <rPr>
        <i/>
        <sz val="10"/>
        <rFont val="Century Gothic"/>
        <family val="2"/>
      </rPr>
      <t>Chief Secretary to the Government</t>
    </r>
  </si>
  <si>
    <r>
      <t>Ketua Setiausaha</t>
    </r>
    <r>
      <rPr>
        <i/>
        <sz val="10"/>
        <rFont val="Century Gothic"/>
        <family val="2"/>
      </rPr>
      <t>/ Secretary General</t>
    </r>
    <r>
      <rPr>
        <b/>
        <sz val="10"/>
        <rFont val="Century Gothic"/>
        <family val="2"/>
      </rPr>
      <t xml:space="preserve"> </t>
    </r>
  </si>
  <si>
    <r>
      <t>Timbalan Ketua Setiausaha</t>
    </r>
    <r>
      <rPr>
        <i/>
        <sz val="10"/>
        <rFont val="Century Gothic"/>
        <family val="2"/>
      </rPr>
      <t>/ Deputy Secretary General</t>
    </r>
    <r>
      <rPr>
        <b/>
        <sz val="10"/>
        <rFont val="Century Gothic"/>
        <family val="2"/>
      </rPr>
      <t xml:space="preserve"> </t>
    </r>
  </si>
  <si>
    <t>Ketua-Ketua Pengarah, Pengarah dan Pengurus Besar Badan-Badan Berkanun</t>
  </si>
  <si>
    <t>Director General, Director and General Manager of Statutory Bodies</t>
  </si>
  <si>
    <r>
      <t>Ketua-Ketua Pengarah Jabatan Persekutuan</t>
    </r>
    <r>
      <rPr>
        <i/>
        <sz val="10"/>
        <rFont val="Century Gothic"/>
        <family val="2"/>
      </rPr>
      <t>/ Director General of Federal Departments</t>
    </r>
  </si>
  <si>
    <t xml:space="preserve"> Sumber: Bahagian Istiadat dan Urusetia Persidangan Antarabangsa, Jabatan Perdana Menteri</t>
  </si>
  <si>
    <t>Source: The Ceremonial &amp; International Conference Secretariat Division, Prime Minister's Department</t>
  </si>
  <si>
    <r>
      <rPr>
        <b/>
        <sz val="9"/>
        <rFont val="Century Gothic"/>
        <family val="2"/>
      </rPr>
      <t>Nota</t>
    </r>
    <r>
      <rPr>
        <sz val="9"/>
        <rFont val="Century Gothic"/>
        <family val="2"/>
      </rPr>
      <t xml:space="preserve">/ </t>
    </r>
    <r>
      <rPr>
        <i/>
        <sz val="9"/>
        <rFont val="Century Gothic"/>
        <family val="2"/>
      </rPr>
      <t>Notes:</t>
    </r>
  </si>
  <si>
    <t>1. Tidak termasuk jawatan kosong KSU (KSM)</t>
  </si>
  <si>
    <t xml:space="preserve">    Excludes KSU (KSM) vacancies</t>
  </si>
  <si>
    <t>2. Tidak termasuk jawatan kosong TKSU (KUSKOP), TKSU (MOD) dan TKSU (JPM)</t>
  </si>
  <si>
    <t xml:space="preserve">    Excludes TKSU (KUSKOP), TKSU (MOD) and TKSU (JPM) vacancies</t>
  </si>
  <si>
    <t>3. Tidak termasuk jawatan kosong KPE (MAIWP), KP (Dewan Bahasa dan Pustaka) dan KP (Lembaga Perindustrian Kayu Malaysia)</t>
  </si>
  <si>
    <t xml:space="preserve">    Excludes KPE (MAIWP), KP (Institute of Language and Literature) and KP (Malaysian Timber Industry Board) vacancies</t>
  </si>
  <si>
    <t xml:space="preserve">4. Tidak termasuk jawatan kosong KPPA, Ketua Hakim Syarie, KP (Jabatan Warisan Negara), KP (GIACC), KP (Jabatan Protokol KLN), KP (NAHRIM),
    KP (ILKAP), KP (Lembaga Perlesenan Tenaga Atom), KP (Jabatan Kerja Raya), KP (Jabatan Kimia Malaysia) dan KP (RTM)  </t>
  </si>
  <si>
    <t xml:space="preserve">    Excludes KPPA, Syarie Chief Justice, KP (Department of National Heritage), KP (GIACC), KP (Protocol and Consular Department KLN), KP (NAHRIM), KP (ILKAP),
    KP (Atomic Energy Licensing Board), KP (Public Works Department), KP (Department of Chemistry Malaysia) and KP (RTM) vacancies </t>
  </si>
  <si>
    <t>Jadual 30.0</t>
  </si>
  <si>
    <t>: Bilangan murid pelbagai peringkat dan jenis sekolah, Malaysia, 2022 - 2023</t>
  </si>
  <si>
    <t xml:space="preserve">        </t>
  </si>
  <si>
    <t>Table 30.0</t>
  </si>
  <si>
    <t>: Number of pupils of various level and types of school, Malaysia, 2022 - 2023</t>
  </si>
  <si>
    <r>
      <t xml:space="preserve">MURID
</t>
    </r>
    <r>
      <rPr>
        <i/>
        <sz val="10"/>
        <rFont val="Century Gothic"/>
        <family val="2"/>
      </rPr>
      <t>PUPILS</t>
    </r>
  </si>
  <si>
    <t>Sekolah kerajaan &amp; bantuan kerajaan</t>
  </si>
  <si>
    <t>Government school &amp; government aid</t>
  </si>
  <si>
    <t>Prasekolah</t>
  </si>
  <si>
    <t>Pre-school</t>
  </si>
  <si>
    <t>Rendah</t>
  </si>
  <si>
    <t>Primary</t>
  </si>
  <si>
    <t>Menengah rendah</t>
  </si>
  <si>
    <t>Lower secondary</t>
  </si>
  <si>
    <t xml:space="preserve">Menengah atas
</t>
  </si>
  <si>
    <t>Upper secondary</t>
  </si>
  <si>
    <t xml:space="preserve">Pendidikan khas, peringkat rendah
</t>
  </si>
  <si>
    <t>Special education, primary level</t>
  </si>
  <si>
    <t xml:space="preserve">Pendidikan khas , peringkat menengah
</t>
  </si>
  <si>
    <t>Special education, secondary level</t>
  </si>
  <si>
    <t xml:space="preserve">Tadika, sekolah rendah dan menengah swasta
</t>
  </si>
  <si>
    <t>Private kindergarten, primary and secondary school</t>
  </si>
  <si>
    <t xml:space="preserve">Tadika
</t>
  </si>
  <si>
    <t>Kindergarten</t>
  </si>
  <si>
    <t xml:space="preserve">Rendah
</t>
  </si>
  <si>
    <t xml:space="preserve">Menengah
</t>
  </si>
  <si>
    <t>Secondary</t>
  </si>
  <si>
    <t xml:space="preserve">Sekolah Pendidikan Khas
</t>
  </si>
  <si>
    <t>Special Education School</t>
  </si>
  <si>
    <t xml:space="preserve">Sekolah Antarabangsa
</t>
  </si>
  <si>
    <t>International School</t>
  </si>
  <si>
    <t>Sekolah Ekspatriat</t>
  </si>
  <si>
    <t>Expatriate School</t>
  </si>
  <si>
    <t xml:space="preserve"> Sumber:  Jabatan Kebajikan Masyarakat</t>
  </si>
  <si>
    <t>Kementerian Pendidikan Malaysia</t>
  </si>
  <si>
    <t>Source: Department of Social Welfare</t>
  </si>
  <si>
    <t>Ministry of Education Malaysia</t>
  </si>
  <si>
    <t>Data pada 30 Jun</t>
  </si>
  <si>
    <t>Data as at 30 June</t>
  </si>
  <si>
    <t>Jadual 31.0</t>
  </si>
  <si>
    <t>: Jenayah kekerasan mengikut negeri dan jenis jenayah, Malaysia, 2022 - 2024</t>
  </si>
  <si>
    <t>Table 31.0</t>
  </si>
  <si>
    <t xml:space="preserve">: Assault crime by state and type of crime, Malaysia, 2022 - 2024
                  </t>
  </si>
  <si>
    <r>
      <rPr>
        <b/>
        <sz val="10"/>
        <rFont val="Century Gothic"/>
        <family val="2"/>
      </rPr>
      <t>Negeri/ Kontinjen</t>
    </r>
    <r>
      <rPr>
        <i/>
        <sz val="10"/>
        <rFont val="Century Gothic"/>
        <family val="2"/>
      </rPr>
      <t xml:space="preserve">         </t>
    </r>
  </si>
  <si>
    <t>Tahun</t>
  </si>
  <si>
    <t>Bunuh</t>
  </si>
  <si>
    <t>Rogol</t>
  </si>
  <si>
    <r>
      <rPr>
        <b/>
        <sz val="10"/>
        <color theme="1"/>
        <rFont val="Century Gothic"/>
        <family val="2"/>
      </rPr>
      <t xml:space="preserve">    Samun</t>
    </r>
    <r>
      <rPr>
        <b/>
        <vertAlign val="superscript"/>
        <sz val="10"/>
        <color theme="1"/>
        <rFont val="Century Gothic"/>
        <family val="2"/>
      </rPr>
      <t>a</t>
    </r>
  </si>
  <si>
    <t>Mencederakan</t>
  </si>
  <si>
    <t>State/ Contingent</t>
  </si>
  <si>
    <t>Year</t>
  </si>
  <si>
    <t>Murder</t>
  </si>
  <si>
    <t>Raped</t>
  </si>
  <si>
    <t>Robbery</t>
  </si>
  <si>
    <t>Injury</t>
  </si>
  <si>
    <t>MALAYSIA</t>
  </si>
  <si>
    <r>
      <rPr>
        <sz val="10"/>
        <rFont val="Century Gothic"/>
        <family val="2"/>
      </rPr>
      <t>Sabah</t>
    </r>
    <r>
      <rPr>
        <vertAlign val="superscript"/>
        <sz val="10"/>
        <rFont val="Century Gothic"/>
        <family val="2"/>
      </rPr>
      <t>b</t>
    </r>
  </si>
  <si>
    <r>
      <rPr>
        <sz val="10"/>
        <rFont val="Century Gothic"/>
        <family val="2"/>
      </rPr>
      <t>W.P. Kuala Lumpur</t>
    </r>
    <r>
      <rPr>
        <vertAlign val="superscript"/>
        <sz val="10"/>
        <rFont val="Century Gothic"/>
        <family val="2"/>
      </rPr>
      <t>c</t>
    </r>
  </si>
  <si>
    <t>Sumber: Polis Diraja Malaysia</t>
  </si>
  <si>
    <t>Source: Royal Malaysia Police</t>
  </si>
  <si>
    <r>
      <rPr>
        <b/>
        <sz val="9"/>
        <color theme="1"/>
        <rFont val="Century Gothic"/>
        <family val="2"/>
      </rPr>
      <t>Nota/</t>
    </r>
    <r>
      <rPr>
        <i/>
        <sz val="9"/>
        <color theme="1"/>
        <rFont val="Century Gothic"/>
        <family val="2"/>
      </rPr>
      <t>Notes</t>
    </r>
    <r>
      <rPr>
        <b/>
        <i/>
        <sz val="9"/>
        <color theme="1"/>
        <rFont val="Century Gothic"/>
        <family val="2"/>
      </rPr>
      <t>:</t>
    </r>
  </si>
  <si>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t>
    </r>
  </si>
  <si>
    <t xml:space="preserve">samun tidak bersenjata api </t>
  </si>
  <si>
    <t>Includes gang robbery with firearms, gang robbery without firearms, robbery with firearms and robbery without firearms</t>
  </si>
  <si>
    <r>
      <rPr>
        <b/>
        <vertAlign val="superscript"/>
        <sz val="9"/>
        <color theme="1"/>
        <rFont val="Century Gothic"/>
        <family val="2"/>
      </rPr>
      <t>b</t>
    </r>
    <r>
      <rPr>
        <b/>
        <sz val="9"/>
        <color theme="1"/>
        <rFont val="Century Gothic"/>
        <family val="2"/>
      </rPr>
      <t xml:space="preserve"> Termasuk W.P. Labuan</t>
    </r>
  </si>
  <si>
    <t xml:space="preserve">     Includes W.P. Labuan</t>
  </si>
  <si>
    <r>
      <rPr>
        <b/>
        <vertAlign val="superscript"/>
        <sz val="9"/>
        <color theme="1"/>
        <rFont val="Century Gothic"/>
        <family val="2"/>
      </rPr>
      <t xml:space="preserve">c </t>
    </r>
    <r>
      <rPr>
        <b/>
        <sz val="9"/>
        <color theme="1"/>
        <rFont val="Century Gothic"/>
        <family val="2"/>
      </rPr>
      <t>Termasuk W.P. Putrajaya</t>
    </r>
  </si>
  <si>
    <t xml:space="preserve">    Includes W.P. Putrajaya</t>
  </si>
  <si>
    <t>Jadual 31.1</t>
  </si>
  <si>
    <t>: Jenayah harta benda mengikut negeri dan jenis jenayah, Malaysia, 2022 - 2024</t>
  </si>
  <si>
    <t>Table 31.1</t>
  </si>
  <si>
    <t>: Property crime by state and type of crime, Malaysia, 2022 - 2024</t>
  </si>
  <si>
    <r>
      <rPr>
        <b/>
        <sz val="10"/>
        <color theme="1"/>
        <rFont val="Century Gothic"/>
        <family val="2"/>
      </rPr>
      <t>Negeri/ Kontinjen</t>
    </r>
    <r>
      <rPr>
        <sz val="10"/>
        <color theme="1"/>
        <rFont val="Century Gothic"/>
        <family val="2"/>
      </rPr>
      <t xml:space="preserve">           </t>
    </r>
  </si>
  <si>
    <t xml:space="preserve">Pecah rumah dan curi           </t>
  </si>
  <si>
    <t>Kecurian kenderaan</t>
  </si>
  <si>
    <t>Kecurian lain</t>
  </si>
  <si>
    <t>House break-in and thefts</t>
  </si>
  <si>
    <t>Vehicles theft</t>
  </si>
  <si>
    <t>Other thefts</t>
  </si>
  <si>
    <t>Lori/Van</t>
  </si>
  <si>
    <t>Kereta</t>
  </si>
  <si>
    <t>Motosikal/ Skuter</t>
  </si>
  <si>
    <t>Lorry/Van</t>
  </si>
  <si>
    <t>Motorcar</t>
  </si>
  <si>
    <t>Motorcycle/ Scooter</t>
  </si>
  <si>
    <t xml:space="preserve">MALAYSIA </t>
  </si>
  <si>
    <r>
      <t xml:space="preserve">Sabah </t>
    </r>
    <r>
      <rPr>
        <vertAlign val="superscript"/>
        <sz val="10"/>
        <rFont val="Century Gothic"/>
        <family val="2"/>
      </rPr>
      <t>a</t>
    </r>
  </si>
  <si>
    <r>
      <t xml:space="preserve">W.P. Kuala Lumpur </t>
    </r>
    <r>
      <rPr>
        <vertAlign val="superscript"/>
        <sz val="10"/>
        <rFont val="Century Gothic"/>
        <family val="2"/>
      </rPr>
      <t>b</t>
    </r>
  </si>
  <si>
    <r>
      <rPr>
        <b/>
        <vertAlign val="superscript"/>
        <sz val="9"/>
        <color theme="1"/>
        <rFont val="Century Gothic"/>
        <family val="2"/>
      </rPr>
      <t>a</t>
    </r>
    <r>
      <rPr>
        <b/>
        <sz val="9"/>
        <color theme="1"/>
        <rFont val="Century Gothic"/>
        <family val="2"/>
      </rPr>
      <t xml:space="preserve"> Termasuk W.P. Labuan</t>
    </r>
  </si>
  <si>
    <r>
      <rPr>
        <b/>
        <vertAlign val="superscript"/>
        <sz val="9"/>
        <color theme="1"/>
        <rFont val="Century Gothic"/>
        <family val="2"/>
      </rPr>
      <t xml:space="preserve">b </t>
    </r>
    <r>
      <rPr>
        <b/>
        <sz val="9"/>
        <color theme="1"/>
        <rFont val="Century Gothic"/>
        <family val="2"/>
      </rPr>
      <t>Termasuk W.P. Putrajaya</t>
    </r>
  </si>
  <si>
    <t>Jadual 32.0</t>
  </si>
  <si>
    <t>: Bilangan kemalangan jalan raya, kecederaan dan kematian yang dilaporkan mengikut</t>
  </si>
  <si>
    <t>negeri, Malaysia, 2021 - 2023</t>
  </si>
  <si>
    <t>Table 32.0</t>
  </si>
  <si>
    <t>: Number of road accidents, injuries and deaths reported by state, Malaysia, 2021 - 2023</t>
  </si>
  <si>
    <t>Kemalangan</t>
  </si>
  <si>
    <t>Kecederaan dan Kematian</t>
  </si>
  <si>
    <t>Negeri</t>
  </si>
  <si>
    <t>jalan raya</t>
  </si>
  <si>
    <t>Injury and Death</t>
  </si>
  <si>
    <t>State</t>
  </si>
  <si>
    <t>Road accident</t>
  </si>
  <si>
    <t xml:space="preserve">Kecederaan </t>
  </si>
  <si>
    <t>Kematian</t>
  </si>
  <si>
    <t>Death</t>
  </si>
  <si>
    <t>Sumber: Jabatan Siasatan dan Penguatkuasaan Trafik,</t>
  </si>
  <si>
    <t>Polis Diraja Malaysia</t>
  </si>
  <si>
    <t>Source: Investigation and Enforcement of the Traffic Department,</t>
  </si>
  <si>
    <t>Royal Malaysia Police</t>
  </si>
  <si>
    <t>Jadual 33.0</t>
  </si>
  <si>
    <t>: Bilangan kumulatif Orang Kurang Upaya (OKU) yang berdaftar mengikut negeri dan kategori ketidakupayaan,</t>
  </si>
  <si>
    <t xml:space="preserve">  Malaysia, 2021-2023</t>
  </si>
  <si>
    <t>Table 33.0</t>
  </si>
  <si>
    <t xml:space="preserve">: Cumulative number of registered Persons with Disabilities (PWD) cases  by state and category of disabilities, </t>
  </si>
  <si>
    <t xml:space="preserve"> </t>
  </si>
  <si>
    <t>Penglihatan</t>
  </si>
  <si>
    <t>Pendengaran</t>
  </si>
  <si>
    <r>
      <t>Fizikal</t>
    </r>
    <r>
      <rPr>
        <b/>
        <vertAlign val="superscript"/>
        <sz val="10"/>
        <rFont val="Century Gothic"/>
        <family val="2"/>
      </rPr>
      <t>a</t>
    </r>
  </si>
  <si>
    <t>Masalah</t>
  </si>
  <si>
    <t>Pertuturan</t>
  </si>
  <si>
    <t>Mental</t>
  </si>
  <si>
    <t>Ketidak</t>
  </si>
  <si>
    <t>Visually</t>
  </si>
  <si>
    <t>Hearing</t>
  </si>
  <si>
    <t>Physical</t>
  </si>
  <si>
    <t>pembelajaran</t>
  </si>
  <si>
    <t>Speech</t>
  </si>
  <si>
    <t>upayaan</t>
  </si>
  <si>
    <t>impaired</t>
  </si>
  <si>
    <t>Learning</t>
  </si>
  <si>
    <t>Pelbagai</t>
  </si>
  <si>
    <t>disability</t>
  </si>
  <si>
    <t>Multiple</t>
  </si>
  <si>
    <t>disabilities</t>
  </si>
  <si>
    <t xml:space="preserve">Selangor </t>
  </si>
  <si>
    <t xml:space="preserve">Sabah </t>
  </si>
  <si>
    <t>Sumber: Jabatan Kebajikan Masyarakat</t>
  </si>
  <si>
    <r>
      <t xml:space="preserve">Nota/ </t>
    </r>
    <r>
      <rPr>
        <i/>
        <sz val="9"/>
        <rFont val="Century Gothic"/>
        <family val="2"/>
      </rPr>
      <t>Note:</t>
    </r>
  </si>
  <si>
    <r>
      <rPr>
        <b/>
        <vertAlign val="superscript"/>
        <sz val="9"/>
        <rFont val="Century Gothic"/>
        <family val="2"/>
      </rPr>
      <t>a</t>
    </r>
    <r>
      <rPr>
        <b/>
        <sz val="9"/>
        <rFont val="Century Gothic"/>
        <family val="2"/>
      </rPr>
      <t xml:space="preserve"> Termasuk </t>
    </r>
    <r>
      <rPr>
        <b/>
        <i/>
        <sz val="9"/>
        <rFont val="Century Gothic"/>
        <family val="2"/>
      </rPr>
      <t>Cerebral Palsy</t>
    </r>
  </si>
  <si>
    <t xml:space="preserve">   Includes Cerebral Palsy</t>
  </si>
  <si>
    <t>Data OKU W.P. Putrajaya termasuk dalam W.P. Kuala Lumpur</t>
  </si>
  <si>
    <t>OKU data of W.P. Putrajaya is included in W.P. Kuala Lumpur</t>
  </si>
  <si>
    <t>Jadual 34.0</t>
  </si>
  <si>
    <t>: Peratusan capaian isi rumah terhadap perkhidmatan dan peralatan ICT mengikut strata, Malaysia, 2022 - 2024</t>
  </si>
  <si>
    <t>Table 34.0</t>
  </si>
  <si>
    <t>: Percentage of households with access to ICT services and equipment by strata, Malaysia, 2022 - 2024</t>
  </si>
  <si>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r>
      <rPr>
        <sz val="10"/>
        <rFont val="Century Gothic"/>
        <family val="2"/>
      </rPr>
      <t xml:space="preserve"> (%)</t>
    </r>
  </si>
  <si>
    <r>
      <t xml:space="preserve">Jumlah
</t>
    </r>
    <r>
      <rPr>
        <i/>
        <sz val="10"/>
        <rFont val="Century Gothic"/>
        <family val="2"/>
      </rPr>
      <t>Total</t>
    </r>
  </si>
  <si>
    <r>
      <t xml:space="preserve">Bandar
</t>
    </r>
    <r>
      <rPr>
        <i/>
        <sz val="10"/>
        <rFont val="Century Gothic"/>
        <family val="2"/>
      </rPr>
      <t>Urban</t>
    </r>
  </si>
  <si>
    <r>
      <t xml:space="preserve">Luar bandar 
</t>
    </r>
    <r>
      <rPr>
        <i/>
        <sz val="10"/>
        <rFont val="Century Gothic"/>
        <family val="2"/>
      </rPr>
      <t>Rural</t>
    </r>
  </si>
  <si>
    <t>Telefon bimbit</t>
  </si>
  <si>
    <t>Mobile phone</t>
  </si>
  <si>
    <t>Internet</t>
  </si>
  <si>
    <t>Komputer</t>
  </si>
  <si>
    <t>Computer</t>
  </si>
  <si>
    <t>Siaran TV berbayar</t>
  </si>
  <si>
    <t>Pay TV channel</t>
  </si>
  <si>
    <t>Televisyen</t>
  </si>
  <si>
    <t>Television</t>
  </si>
  <si>
    <t>Radio</t>
  </si>
  <si>
    <t>Telefon talian tetap</t>
  </si>
  <si>
    <t>Fixed-line telephone</t>
  </si>
  <si>
    <t>Jadual 35.0</t>
  </si>
  <si>
    <t>: Pendapatan, perbelanjaan dan kemiskinan, Malaysia, 2022 dan 2024</t>
  </si>
  <si>
    <t xml:space="preserve">  Table 35.0 </t>
  </si>
  <si>
    <t>: Income, expenditure and poverty, Malaysia, 2022 and 2024</t>
  </si>
  <si>
    <r>
      <t xml:space="preserve">Pendapatan
</t>
    </r>
    <r>
      <rPr>
        <i/>
        <sz val="10"/>
        <rFont val="Century Gothic"/>
        <family val="2"/>
      </rPr>
      <t>Income</t>
    </r>
  </si>
  <si>
    <r>
      <t xml:space="preserve">Perbelanjaan
</t>
    </r>
    <r>
      <rPr>
        <i/>
        <sz val="10"/>
        <rFont val="Century Gothic"/>
        <family val="2"/>
      </rPr>
      <t>Expenditure</t>
    </r>
  </si>
  <si>
    <r>
      <t xml:space="preserve">Kemiskinan
</t>
    </r>
    <r>
      <rPr>
        <i/>
        <sz val="10"/>
        <rFont val="Century Gothic"/>
        <family val="2"/>
      </rPr>
      <t>Poverty</t>
    </r>
  </si>
  <si>
    <r>
      <rPr>
        <b/>
        <sz val="10"/>
        <color rgb="FF000000"/>
        <rFont val="Century Gothic"/>
        <family val="2"/>
      </rPr>
      <t>Negeri</t>
    </r>
    <r>
      <rPr>
        <i/>
        <sz val="10"/>
        <color indexed="8"/>
        <rFont val="Century Gothic"/>
        <family val="2"/>
      </rPr>
      <t xml:space="preserve">
State</t>
    </r>
  </si>
  <si>
    <r>
      <t xml:space="preserve">Tahun
</t>
    </r>
    <r>
      <rPr>
        <i/>
        <sz val="10"/>
        <rFont val="Century Gothic"/>
        <family val="2"/>
      </rPr>
      <t>Year</t>
    </r>
  </si>
  <si>
    <r>
      <t xml:space="preserve">Purata
</t>
    </r>
    <r>
      <rPr>
        <i/>
        <sz val="10"/>
        <rFont val="Century Gothic"/>
        <family val="2"/>
      </rPr>
      <t>Mean</t>
    </r>
  </si>
  <si>
    <r>
      <t xml:space="preserve">Penengah
</t>
    </r>
    <r>
      <rPr>
        <i/>
        <sz val="10"/>
        <rFont val="Century Gothic"/>
        <family val="2"/>
      </rPr>
      <t>Median</t>
    </r>
  </si>
  <si>
    <r>
      <t>Penggunaan isi rumah bulanan purata</t>
    </r>
    <r>
      <rPr>
        <i/>
        <sz val="10"/>
        <rFont val="Century Gothic"/>
        <family val="2"/>
      </rPr>
      <t xml:space="preserve">
Mean monthly households consumption</t>
    </r>
  </si>
  <si>
    <r>
      <t xml:space="preserve">Insiden miskin mutlak
</t>
    </r>
    <r>
      <rPr>
        <i/>
        <sz val="10"/>
        <rFont val="Century Gothic"/>
        <family val="2"/>
      </rPr>
      <t>Incidence of absolute poverty</t>
    </r>
  </si>
  <si>
    <r>
      <t xml:space="preserve">Pekali gini
</t>
    </r>
    <r>
      <rPr>
        <i/>
        <sz val="10"/>
        <rFont val="Century Gothic"/>
        <family val="2"/>
      </rPr>
      <t>Gini coefficient</t>
    </r>
  </si>
  <si>
    <t>(RM)</t>
  </si>
  <si>
    <t>(%)</t>
  </si>
  <si>
    <t xml:space="preserve">Jadual 36.0 </t>
  </si>
  <si>
    <t>: Statistik Penggunaan Per Kapita, Kadar Sara Diri dan Kadar Kebergantungan Import Item Pertanian,</t>
  </si>
  <si>
    <t xml:space="preserve">  Malaysia, 2023</t>
  </si>
  <si>
    <t xml:space="preserve">Table 36.0 </t>
  </si>
  <si>
    <t xml:space="preserve">: Statistics of Per Capita Consumption, Self-Sufficiency Ratio and Import Dependency Ratio of </t>
  </si>
  <si>
    <t xml:space="preserve">  Agricultural Items, Malaysia, 2023</t>
  </si>
  <si>
    <r>
      <t xml:space="preserve">ITEM PERTANIAN TERPILIH
</t>
    </r>
    <r>
      <rPr>
        <i/>
        <sz val="10"/>
        <color theme="1"/>
        <rFont val="Century Gothic"/>
        <family val="2"/>
      </rPr>
      <t>SELECTED AGRICULTURAL ITEM</t>
    </r>
  </si>
  <si>
    <t>PCC (KG/ Tahun)</t>
  </si>
  <si>
    <t>SSR (%)</t>
  </si>
  <si>
    <t>IDR (%)</t>
  </si>
  <si>
    <t>PCC (KG/ Year)</t>
  </si>
  <si>
    <r>
      <t xml:space="preserve">Daging ayam/ </t>
    </r>
    <r>
      <rPr>
        <i/>
        <sz val="10"/>
        <color theme="1"/>
        <rFont val="Century Gothic"/>
        <family val="2"/>
      </rPr>
      <t>Chicken meat</t>
    </r>
  </si>
  <si>
    <r>
      <t xml:space="preserve">Telur ayam/ itik/ </t>
    </r>
    <r>
      <rPr>
        <i/>
        <sz val="10"/>
        <color theme="1"/>
        <rFont val="Century Gothic"/>
        <family val="2"/>
      </rPr>
      <t xml:space="preserve">Chicken/ duck egg </t>
    </r>
    <r>
      <rPr>
        <i/>
        <vertAlign val="superscript"/>
        <sz val="10"/>
        <color theme="1"/>
        <rFont val="Century Gothic"/>
        <family val="2"/>
      </rPr>
      <t>a</t>
    </r>
  </si>
  <si>
    <r>
      <rPr>
        <b/>
        <sz val="10"/>
        <color theme="1"/>
        <rFont val="Century Gothic"/>
        <family val="2"/>
      </rPr>
      <t>Kelapa</t>
    </r>
    <r>
      <rPr>
        <i/>
        <sz val="10"/>
        <color theme="1"/>
        <rFont val="Century Gothic"/>
        <family val="2"/>
      </rPr>
      <t>/ Coconut</t>
    </r>
  </si>
  <si>
    <r>
      <t xml:space="preserve">Daging babi/ </t>
    </r>
    <r>
      <rPr>
        <i/>
        <sz val="10"/>
        <color theme="1"/>
        <rFont val="Century Gothic"/>
        <family val="2"/>
      </rPr>
      <t>Pork</t>
    </r>
  </si>
  <si>
    <t>Durian</t>
  </si>
  <si>
    <r>
      <t xml:space="preserve">Bawang besar/ </t>
    </r>
    <r>
      <rPr>
        <i/>
        <sz val="10"/>
        <color theme="1"/>
        <rFont val="Century Gothic"/>
        <family val="2"/>
      </rPr>
      <t>Onions</t>
    </r>
  </si>
  <si>
    <r>
      <t xml:space="preserve">Pisang/ </t>
    </r>
    <r>
      <rPr>
        <i/>
        <sz val="10"/>
        <color theme="1"/>
        <rFont val="Century Gothic"/>
        <family val="2"/>
      </rPr>
      <t>Banana</t>
    </r>
  </si>
  <si>
    <r>
      <t xml:space="preserve">Nanas/ </t>
    </r>
    <r>
      <rPr>
        <i/>
        <sz val="10"/>
        <color theme="1"/>
        <rFont val="Century Gothic"/>
        <family val="2"/>
      </rPr>
      <t>Pineapple</t>
    </r>
  </si>
  <si>
    <r>
      <t xml:space="preserve">Kobis bulat/ </t>
    </r>
    <r>
      <rPr>
        <i/>
        <sz val="10"/>
        <color theme="1"/>
        <rFont val="Century Gothic"/>
        <family val="2"/>
      </rPr>
      <t>Round Cabbage</t>
    </r>
  </si>
  <si>
    <r>
      <t xml:space="preserve">Daging lembu/ kerbau/ </t>
    </r>
    <r>
      <rPr>
        <i/>
        <sz val="10"/>
        <color theme="1"/>
        <rFont val="Century Gothic"/>
        <family val="2"/>
      </rPr>
      <t>Beef</t>
    </r>
  </si>
  <si>
    <r>
      <t xml:space="preserve">Bawang putih/ </t>
    </r>
    <r>
      <rPr>
        <i/>
        <sz val="10"/>
        <color theme="1"/>
        <rFont val="Century Gothic"/>
        <family val="2"/>
      </rPr>
      <t>Garlic</t>
    </r>
  </si>
  <si>
    <t>Mackerel</t>
  </si>
  <si>
    <r>
      <t xml:space="preserve">Sawi/ </t>
    </r>
    <r>
      <rPr>
        <i/>
        <sz val="10"/>
        <rFont val="Century Gothic"/>
        <family val="2"/>
      </rPr>
      <t>Mustard</t>
    </r>
  </si>
  <si>
    <r>
      <t xml:space="preserve">Udang/ </t>
    </r>
    <r>
      <rPr>
        <i/>
        <sz val="10"/>
        <rFont val="Century Gothic"/>
        <family val="2"/>
      </rPr>
      <t>Prawn</t>
    </r>
  </si>
  <si>
    <t>Tomato</t>
  </si>
  <si>
    <r>
      <t xml:space="preserve">Timun/ </t>
    </r>
    <r>
      <rPr>
        <i/>
        <sz val="10"/>
        <color theme="1"/>
        <rFont val="Century Gothic"/>
        <family val="2"/>
      </rPr>
      <t>Cucumber</t>
    </r>
  </si>
  <si>
    <r>
      <t xml:space="preserve">Tembikai/ </t>
    </r>
    <r>
      <rPr>
        <i/>
        <sz val="10"/>
        <color theme="1"/>
        <rFont val="Century Gothic"/>
        <family val="2"/>
      </rPr>
      <t>Watermelon</t>
    </r>
  </si>
  <si>
    <r>
      <t xml:space="preserve">Epal/ </t>
    </r>
    <r>
      <rPr>
        <i/>
        <sz val="10"/>
        <color theme="1"/>
        <rFont val="Century Gothic"/>
        <family val="2"/>
      </rPr>
      <t>Apple</t>
    </r>
  </si>
  <si>
    <t>Salad</t>
  </si>
  <si>
    <r>
      <t xml:space="preserve">Selayang/ </t>
    </r>
    <r>
      <rPr>
        <i/>
        <sz val="10"/>
        <color theme="1"/>
        <rFont val="Century Gothic"/>
        <family val="2"/>
      </rPr>
      <t xml:space="preserve">Sardine </t>
    </r>
  </si>
  <si>
    <r>
      <t xml:space="preserve">Sotong/ </t>
    </r>
    <r>
      <rPr>
        <i/>
        <sz val="10"/>
        <color theme="1"/>
        <rFont val="Century Gothic"/>
        <family val="2"/>
      </rPr>
      <t xml:space="preserve">Cuttlefish </t>
    </r>
  </si>
  <si>
    <r>
      <t xml:space="preserve">Nota/ </t>
    </r>
    <r>
      <rPr>
        <i/>
        <sz val="9"/>
        <color theme="1"/>
        <rFont val="Century Gothic"/>
        <family val="2"/>
      </rPr>
      <t>Notes</t>
    </r>
    <r>
      <rPr>
        <sz val="9"/>
        <color theme="1"/>
        <rFont val="Century Gothic"/>
        <family val="2"/>
      </rPr>
      <t>:</t>
    </r>
  </si>
  <si>
    <r>
      <rPr>
        <b/>
        <vertAlign val="superscript"/>
        <sz val="9"/>
        <color theme="1"/>
        <rFont val="Century Gothic"/>
        <family val="2"/>
      </rPr>
      <t>a</t>
    </r>
    <r>
      <rPr>
        <b/>
        <sz val="9"/>
        <color theme="1"/>
        <rFont val="Century Gothic"/>
        <family val="2"/>
      </rPr>
      <t xml:space="preserve"> Satu biji telur bersamaan 60 gram</t>
    </r>
  </si>
  <si>
    <t>One piece egg equal to 60 grams</t>
  </si>
  <si>
    <t>Penggunaan Per Kapita (PCC) merujuk kepada amaun penggunaan makanan oleh setiap penduduk dalam setahun</t>
  </si>
  <si>
    <t>Per Capita Consumption (PCC ) refers to the amount of food consumed by each person per year</t>
  </si>
  <si>
    <t>Kadar Sara Diri (SSR) yang mencapai 100.0 peratus atau lebih menunjukkan bekalan atau pengeluaran bagi sesuatu komoditi pertanian adalah mencukupi untuk memenuhi keperluan dalam negara, dan sebaliknya</t>
  </si>
  <si>
    <t>The Self-Sufficiency Ratio (SSR) which obtained 100.0 per cent or more indicates the supply or production of agricultural commodities is sufficient to meet the country’s demands and vice versa</t>
  </si>
  <si>
    <t>4.</t>
  </si>
  <si>
    <t>Kadar Kebergantungan Import (IDR) menerangkan kebergantungan sesebuah negara kepada import komoditi pertanian dalam memenuhi keperluan domestik. Semakin tinggi IDR menunjukkan semakin banyak bekalan komoditi pertanian yang diimport</t>
  </si>
  <si>
    <t>Import Dependency Ratio (IDR) explains a country's dependence on imports of agricultural commodities to meet domestic needs. The higher IDR shows the more supply of agricultural commodities to be imported</t>
  </si>
  <si>
    <t>Jadual 36.1</t>
  </si>
  <si>
    <t>: Statistik terpilih Penggunaan Per Kapita item pertanian mengikut negeri, Malaysia, 2023</t>
  </si>
  <si>
    <t>Table 36.1</t>
  </si>
  <si>
    <t>: Selected statistics of Per Capita Consumption of agricultural item by state, Malaysia, 2023</t>
  </si>
  <si>
    <r>
      <rPr>
        <b/>
        <sz val="10"/>
        <rFont val="Century Gothic"/>
        <family val="2"/>
      </rPr>
      <t>Negeri</t>
    </r>
    <r>
      <rPr>
        <sz val="10"/>
        <rFont val="Century Gothic"/>
        <family val="2"/>
      </rPr>
      <t xml:space="preserve">
</t>
    </r>
    <r>
      <rPr>
        <i/>
        <sz val="10"/>
        <rFont val="Century Gothic"/>
        <family val="2"/>
      </rPr>
      <t>State</t>
    </r>
  </si>
  <si>
    <r>
      <t xml:space="preserve">ITEM PERTANIAN TERPILIH
</t>
    </r>
    <r>
      <rPr>
        <i/>
        <sz val="10"/>
        <rFont val="Century Gothic"/>
        <family val="2"/>
      </rPr>
      <t>SELECTED AGRICULTURAL ITEM</t>
    </r>
  </si>
  <si>
    <t>Mangga</t>
  </si>
  <si>
    <t>Nanas</t>
  </si>
  <si>
    <r>
      <t xml:space="preserve">Cili </t>
    </r>
    <r>
      <rPr>
        <b/>
        <vertAlign val="superscript"/>
        <sz val="10"/>
        <rFont val="Century Gothic"/>
        <family val="2"/>
      </rPr>
      <t>a</t>
    </r>
  </si>
  <si>
    <t>Kobis bulat</t>
  </si>
  <si>
    <t>Timun</t>
  </si>
  <si>
    <t>Sawi</t>
  </si>
  <si>
    <t>Mango</t>
  </si>
  <si>
    <t>Pineapple</t>
  </si>
  <si>
    <t>Chilli</t>
  </si>
  <si>
    <t>Round cabbage</t>
  </si>
  <si>
    <t>Cucumber</t>
  </si>
  <si>
    <t>Mustard</t>
  </si>
  <si>
    <t>Malaysia</t>
  </si>
  <si>
    <r>
      <rPr>
        <b/>
        <vertAlign val="superscript"/>
        <sz val="9"/>
        <rFont val="Century Gothic"/>
        <family val="2"/>
      </rPr>
      <t xml:space="preserve">a </t>
    </r>
    <r>
      <rPr>
        <b/>
        <sz val="9"/>
        <rFont val="Century Gothic"/>
        <family val="2"/>
      </rPr>
      <t>Tidak termasuk cili padi</t>
    </r>
  </si>
  <si>
    <r>
      <rPr>
        <vertAlign val="superscript"/>
        <sz val="9"/>
        <rFont val="Century Gothic"/>
        <family val="2"/>
      </rPr>
      <t xml:space="preserve">  </t>
    </r>
    <r>
      <rPr>
        <i/>
        <sz val="9"/>
        <rFont val="Century Gothic"/>
        <family val="2"/>
      </rPr>
      <t>Not included hot chilli</t>
    </r>
  </si>
  <si>
    <t>Penggunaan Per Kapita 2024 dikira menggunakan proksi data Survei Pendapatan, Perbelanjaan Isi Rumah dan Kemudahan Asas (HIES/BA) 2024</t>
  </si>
  <si>
    <t xml:space="preserve">Per Capita Consumption 2024 is calculated based on proxy of Household Income, Expenditure and Basic Amenities (HIES/BA) Survey 2024 data </t>
  </si>
  <si>
    <t>Jadual 37.0</t>
  </si>
  <si>
    <t>: Purata suhu, Malaysia, 2021 - 2023</t>
  </si>
  <si>
    <t>Table 37.0</t>
  </si>
  <si>
    <t>: Mean temperature, Malaysia, 2021 - 2023</t>
  </si>
  <si>
    <r>
      <t xml:space="preserve">STESEN METEOROLOGI TERPILIH (KETINGGIAN DARI PURATA PARAS LAUT DALAM METER) 
</t>
    </r>
    <r>
      <rPr>
        <i/>
        <sz val="10"/>
        <color theme="1"/>
        <rFont val="Century Gothic"/>
        <family val="2"/>
      </rPr>
      <t xml:space="preserve">SELECTED METEOROLOGICAL STATION (HEIGHT ABOVE MEAN SEA LEVEL IN METRES) </t>
    </r>
  </si>
  <si>
    <r>
      <rPr>
        <b/>
        <sz val="10"/>
        <color theme="1"/>
        <rFont val="Century Gothic"/>
        <family val="2"/>
      </rPr>
      <t xml:space="preserve">Daerah
</t>
    </r>
    <r>
      <rPr>
        <i/>
        <sz val="10"/>
        <color theme="1"/>
        <rFont val="Century Gothic"/>
        <family val="2"/>
      </rPr>
      <t>District</t>
    </r>
  </si>
  <si>
    <r>
      <rPr>
        <b/>
        <sz val="10"/>
        <color theme="1"/>
        <rFont val="Century Gothic"/>
        <family val="2"/>
      </rPr>
      <t>Suhu</t>
    </r>
    <r>
      <rPr>
        <sz val="10"/>
        <color theme="1"/>
        <rFont val="Century Gothic"/>
        <family val="2"/>
      </rPr>
      <t xml:space="preserve">
</t>
    </r>
    <r>
      <rPr>
        <i/>
        <sz val="10"/>
        <color theme="1"/>
        <rFont val="Century Gothic"/>
        <family val="2"/>
      </rPr>
      <t>Temperature</t>
    </r>
    <r>
      <rPr>
        <sz val="10"/>
        <color theme="1"/>
        <rFont val="Century Gothic"/>
        <family val="2"/>
      </rPr>
      <t xml:space="preserve"> </t>
    </r>
  </si>
  <si>
    <r>
      <t>2021
(</t>
    </r>
    <r>
      <rPr>
        <b/>
        <vertAlign val="superscript"/>
        <sz val="10"/>
        <color theme="1"/>
        <rFont val="Century Gothic"/>
        <family val="2"/>
      </rPr>
      <t>o</t>
    </r>
    <r>
      <rPr>
        <b/>
        <sz val="10"/>
        <color theme="1"/>
        <rFont val="Century Gothic"/>
        <family val="2"/>
      </rPr>
      <t>C)</t>
    </r>
  </si>
  <si>
    <r>
      <t>2022
(</t>
    </r>
    <r>
      <rPr>
        <b/>
        <vertAlign val="superscript"/>
        <sz val="10"/>
        <rFont val="Century Gothic"/>
        <family val="2"/>
      </rPr>
      <t>o</t>
    </r>
    <r>
      <rPr>
        <b/>
        <sz val="10"/>
        <rFont val="Century Gothic"/>
        <family val="2"/>
      </rPr>
      <t>C)</t>
    </r>
  </si>
  <si>
    <r>
      <t>2023
(</t>
    </r>
    <r>
      <rPr>
        <b/>
        <vertAlign val="superscript"/>
        <sz val="10"/>
        <rFont val="Century Gothic"/>
        <family val="2"/>
      </rPr>
      <t>o</t>
    </r>
    <r>
      <rPr>
        <b/>
        <sz val="10"/>
        <rFont val="Century Gothic"/>
        <family val="2"/>
      </rPr>
      <t>C)</t>
    </r>
  </si>
  <si>
    <t>Batu Pahat
(6.3 m)</t>
  </si>
  <si>
    <t>Batu Pahat</t>
  </si>
  <si>
    <t>Min.</t>
  </si>
  <si>
    <r>
      <t xml:space="preserve">Maks.
</t>
    </r>
    <r>
      <rPr>
        <i/>
        <sz val="10"/>
        <color theme="1"/>
        <rFont val="Century Gothic"/>
        <family val="2"/>
      </rPr>
      <t>Max.</t>
    </r>
  </si>
  <si>
    <t>Kluang 
(88.1 m)</t>
  </si>
  <si>
    <t>Kluang</t>
  </si>
  <si>
    <r>
      <rPr>
        <b/>
        <sz val="10"/>
        <color theme="1"/>
        <rFont val="Century Gothic"/>
        <family val="2"/>
      </rPr>
      <t>Maks</t>
    </r>
    <r>
      <rPr>
        <sz val="10"/>
        <color theme="1"/>
        <rFont val="Century Gothic"/>
        <family val="2"/>
      </rPr>
      <t xml:space="preserve">.
</t>
    </r>
    <r>
      <rPr>
        <i/>
        <sz val="10"/>
        <color theme="1"/>
        <rFont val="Century Gothic"/>
        <family val="2"/>
      </rPr>
      <t>Max.</t>
    </r>
  </si>
  <si>
    <t>Mersing
(43.6 m)</t>
  </si>
  <si>
    <t>Mersing</t>
  </si>
  <si>
    <t>Senai 
(37.8 m)</t>
  </si>
  <si>
    <t>Senai</t>
  </si>
  <si>
    <t>Alor Setar
(3.9 m)</t>
  </si>
  <si>
    <t>Alor Setar</t>
  </si>
  <si>
    <t>Pulau Langkawi
(6.4 m)</t>
  </si>
  <si>
    <t>Langkawi</t>
  </si>
  <si>
    <t>Kota Bharu
(4.4 m)</t>
  </si>
  <si>
    <t>Kota Bharu</t>
  </si>
  <si>
    <t>Kuala Krai
(34.9 m)</t>
  </si>
  <si>
    <t>Kuala Krai</t>
  </si>
  <si>
    <t>Gong Kedak
(6.0 m)</t>
  </si>
  <si>
    <t>Pasir Puteh</t>
  </si>
  <si>
    <t>Melaka
(8.5 m)</t>
  </si>
  <si>
    <t>Melaka Tengah</t>
  </si>
  <si>
    <t>Kuala Pilah
(144.0 m)</t>
  </si>
  <si>
    <t>Kuala Pilah</t>
  </si>
  <si>
    <r>
      <t>Cameron Highlands</t>
    </r>
    <r>
      <rPr>
        <vertAlign val="superscript"/>
        <sz val="10"/>
        <color theme="1"/>
        <rFont val="Century Gothic"/>
        <family val="2"/>
      </rPr>
      <t>1</t>
    </r>
    <r>
      <rPr>
        <sz val="10"/>
        <color theme="1"/>
        <rFont val="Century Gothic"/>
        <family val="2"/>
      </rPr>
      <t xml:space="preserve">
(1,545.0 m)</t>
    </r>
  </si>
  <si>
    <t>Cameron Highlands</t>
  </si>
  <si>
    <t>Batu Embun, Jerantut
(59.5 m)</t>
  </si>
  <si>
    <t>Jerantut</t>
  </si>
  <si>
    <t>Sumber: Jabatan Meteorologi Malaysia</t>
  </si>
  <si>
    <t>Source: Malaysia Meteorological Department</t>
  </si>
  <si>
    <r>
      <t xml:space="preserve">Nota/ </t>
    </r>
    <r>
      <rPr>
        <i/>
        <sz val="9"/>
        <color theme="1"/>
        <rFont val="Century Gothic"/>
        <family val="2"/>
      </rPr>
      <t>Notes</t>
    </r>
    <r>
      <rPr>
        <sz val="9"/>
        <color theme="1"/>
        <rFont val="Century Gothic"/>
        <family val="2"/>
      </rPr>
      <t>:</t>
    </r>
    <r>
      <rPr>
        <b/>
        <sz val="9"/>
        <color theme="1"/>
        <rFont val="Century Gothic"/>
        <family val="2"/>
      </rPr>
      <t xml:space="preserve"> </t>
    </r>
  </si>
  <si>
    <r>
      <rPr>
        <b/>
        <vertAlign val="superscript"/>
        <sz val="9"/>
        <color theme="1"/>
        <rFont val="Century Gothic"/>
        <family val="2"/>
      </rPr>
      <t xml:space="preserve">1 </t>
    </r>
    <r>
      <rPr>
        <b/>
        <sz val="9"/>
        <color theme="1"/>
        <rFont val="Century Gothic"/>
        <family val="2"/>
      </rPr>
      <t xml:space="preserve">Stesen bukit/ </t>
    </r>
    <r>
      <rPr>
        <i/>
        <sz val="9"/>
        <color theme="1"/>
        <rFont val="Century Gothic"/>
        <family val="2"/>
      </rPr>
      <t>Hill station</t>
    </r>
  </si>
  <si>
    <r>
      <t xml:space="preserve">Def: nilai defektif/ </t>
    </r>
    <r>
      <rPr>
        <i/>
        <sz val="9"/>
        <color theme="1"/>
        <rFont val="Century Gothic"/>
        <family val="2"/>
      </rPr>
      <t>Defective value</t>
    </r>
  </si>
  <si>
    <t>Pemboleh ubah adalah menggambarkan data dalam lingkungan radius 15 kilometer daripada stesen dan bukan mewakili keseluruhan Parlimen</t>
  </si>
  <si>
    <t>The variables are reflective of data within 15 kilometer radius of the station and are not representative of the entire Parliament</t>
  </si>
  <si>
    <t>: Purata suhu, Malaysia, 2021 - 2023 (samb.)</t>
  </si>
  <si>
    <t>: Mean temperature, Malaysia, 2021 - 2023 (cont'd)</t>
  </si>
  <si>
    <t>Kuantan
(15.2 m)</t>
  </si>
  <si>
    <t>Kuantan</t>
  </si>
  <si>
    <t>Muadzam Shah
(33.3 m)</t>
  </si>
  <si>
    <t>Rompin</t>
  </si>
  <si>
    <t>Temerloh
(39.1 m)</t>
  </si>
  <si>
    <t>Temerloh</t>
  </si>
  <si>
    <t>Bayan Lepas
(2.5 m)</t>
  </si>
  <si>
    <t>Barat Daya</t>
  </si>
  <si>
    <t>Butterworth
(3.3 m)</t>
  </si>
  <si>
    <t>Seberang Perai</t>
  </si>
  <si>
    <t>Ipoh
(40.1 m)</t>
  </si>
  <si>
    <t>Kinta</t>
  </si>
  <si>
    <t>Lubok Merbau, Kuala Kangsar
(77.5 m)</t>
  </si>
  <si>
    <t>Kuala Kangsar</t>
  </si>
  <si>
    <t>Sitiawan
(6.8 m)</t>
  </si>
  <si>
    <t>Manjung</t>
  </si>
  <si>
    <t>Chuping
(21.7 m)</t>
  </si>
  <si>
    <t>Kangar</t>
  </si>
  <si>
    <t>Petaling Jaya
(58.6 m)</t>
  </si>
  <si>
    <t xml:space="preserve">Petaling </t>
  </si>
  <si>
    <t>Subang
(16.6 m)</t>
  </si>
  <si>
    <t>KLIA Sepang
(16.1 m)</t>
  </si>
  <si>
    <t>Sepang</t>
  </si>
  <si>
    <t>Kerteh
(3.7 m)</t>
  </si>
  <si>
    <t>Kemaman</t>
  </si>
  <si>
    <t>Kuala Terengganu
(5.2 m)</t>
  </si>
  <si>
    <t>Kuala Terengganu</t>
  </si>
  <si>
    <t>Keningau
(319.0 m)</t>
  </si>
  <si>
    <t>Keningau</t>
  </si>
  <si>
    <t>Kota Kinabalu
(2.1 m)</t>
  </si>
  <si>
    <t>Kota Kinabalu</t>
  </si>
  <si>
    <t>Kudat
(3.5 m)</t>
  </si>
  <si>
    <t>Kudat</t>
  </si>
  <si>
    <t>Ranau
(501.0 m)</t>
  </si>
  <si>
    <t>Ranau</t>
  </si>
  <si>
    <t>Sandakan
(12.1 m)</t>
  </si>
  <si>
    <t>Sandakan</t>
  </si>
  <si>
    <t>Tawau
(17.5 m)</t>
  </si>
  <si>
    <t>Tawau</t>
  </si>
  <si>
    <t>Bintulu
(24.3 m)</t>
  </si>
  <si>
    <t>Bintulu</t>
  </si>
  <si>
    <t>Kapit
(35.0 m)</t>
  </si>
  <si>
    <t>Kapit</t>
  </si>
  <si>
    <t>Kuching
(20.9 m)</t>
  </si>
  <si>
    <t>Kuching</t>
  </si>
  <si>
    <t>Limbang
(3.6 m)</t>
  </si>
  <si>
    <t>Limbang</t>
  </si>
  <si>
    <t>Miri
(17.0 m)</t>
  </si>
  <si>
    <t>Miri</t>
  </si>
  <si>
    <t>Mulu
(26.2 m)</t>
  </si>
  <si>
    <t>Sibu
(30.9 m)</t>
  </si>
  <si>
    <t>Sibu</t>
  </si>
  <si>
    <t>Sri Aman
(9.6 m)</t>
  </si>
  <si>
    <t>Sri Aman</t>
  </si>
  <si>
    <r>
      <t xml:space="preserve">Pemboleh ubah adalah menggambarkan data dalam lingkungan radius 15 kilometer daripada stesen dan bukan mewakili keseluruhan Parlimen
</t>
    </r>
    <r>
      <rPr>
        <i/>
        <sz val="9"/>
        <color theme="1"/>
        <rFont val="Century Gothic"/>
        <family val="2"/>
      </rPr>
      <t>The variables are reflective of data within 15 kilometer radius of the station and are not representative of the entire Parliament</t>
    </r>
  </si>
  <si>
    <t>: Mean temperature, Malaysia,2021 - 2023 (cont'd)</t>
  </si>
  <si>
    <t>Labuan
(27.9 m)</t>
  </si>
  <si>
    <t>Labuan</t>
  </si>
  <si>
    <t>Jadual 38.0</t>
  </si>
  <si>
    <t>: Volum hujan, Malaysia, 2021 - 2023</t>
  </si>
  <si>
    <t>Table 38.0</t>
  </si>
  <si>
    <t>: Rainfall volume, Malaysia, 2021 - 2023</t>
  </si>
  <si>
    <r>
      <t xml:space="preserve">Jumlah (mm)
</t>
    </r>
    <r>
      <rPr>
        <i/>
        <sz val="10"/>
        <color theme="1"/>
        <rFont val="Century Gothic"/>
        <family val="2"/>
      </rPr>
      <t>Total</t>
    </r>
  </si>
  <si>
    <r>
      <rPr>
        <b/>
        <sz val="10"/>
        <color theme="1"/>
        <rFont val="Century Gothic"/>
        <family val="2"/>
      </rPr>
      <t>Bil. Hari</t>
    </r>
    <r>
      <rPr>
        <sz val="10"/>
        <color theme="1"/>
        <rFont val="Century Gothic"/>
        <family val="2"/>
      </rPr>
      <t xml:space="preserve">
</t>
    </r>
    <r>
      <rPr>
        <i/>
        <sz val="10"/>
        <color theme="1"/>
        <rFont val="Century Gothic"/>
        <family val="2"/>
      </rPr>
      <t>No. of days</t>
    </r>
  </si>
  <si>
    <t>Kluang
(88.1 m)</t>
  </si>
  <si>
    <t>Senai
(37.8 m)</t>
  </si>
  <si>
    <t>Def.</t>
  </si>
  <si>
    <t xml:space="preserve">Melaka </t>
  </si>
  <si>
    <t>Melaka 
(8.5 m)</t>
  </si>
  <si>
    <t>: Volum hujan, Malaysia, 2021 - 2023 (samb.)</t>
  </si>
  <si>
    <t>: Rainfall volume, Malaysia, 2021 - 2023 (cont'd)</t>
  </si>
  <si>
    <t>Chuping  
(21.7 m)</t>
  </si>
  <si>
    <t xml:space="preserve">Labuan
(27.9 m)
</t>
  </si>
  <si>
    <t>Jadual 39.0</t>
  </si>
  <si>
    <t>: Purata kelembapan relatif, Malaysia, 2021 - 2023</t>
  </si>
  <si>
    <t>Table 39.0</t>
  </si>
  <si>
    <t>: Mean relative humidity, Malaysia, 2021 - 2023</t>
  </si>
  <si>
    <r>
      <rPr>
        <b/>
        <sz val="10"/>
        <color theme="1"/>
        <rFont val="Century Gothic"/>
        <family val="2"/>
      </rPr>
      <t>Daerah</t>
    </r>
    <r>
      <rPr>
        <sz val="10"/>
        <color theme="1"/>
        <rFont val="Century Gothic"/>
        <family val="2"/>
      </rPr>
      <t xml:space="preserve">
</t>
    </r>
    <r>
      <rPr>
        <i/>
        <sz val="10"/>
        <color theme="1"/>
        <rFont val="Century Gothic"/>
        <family val="2"/>
      </rPr>
      <t>District</t>
    </r>
  </si>
  <si>
    <t>2021
(%)</t>
  </si>
  <si>
    <t>2022
(%)</t>
  </si>
  <si>
    <t>2023
(%)</t>
  </si>
  <si>
    <t xml:space="preserve">Def. </t>
  </si>
  <si>
    <t>: Purata kelembapan relatif Malaysia, 2021 - 2023 (samb.)</t>
  </si>
  <si>
    <t>: Mean relative humidity, Malaysia, 2021 - 2023 (cont'd)</t>
  </si>
  <si>
    <t>Jadual 40.0</t>
  </si>
  <si>
    <t>: Bilangan kes positif dan kematian disebabkan COVID-19 mengikut negeri, Malaysia, 2021 - 2023</t>
  </si>
  <si>
    <t>Table 40.0</t>
  </si>
  <si>
    <t>: Number of positive cases and deaths due to COVID-19 by state, Malaysia, 2021 - 2023</t>
  </si>
  <si>
    <r>
      <rPr>
        <b/>
        <sz val="10"/>
        <rFont val="Century Gothic"/>
        <family val="2"/>
      </rPr>
      <t>Tahun</t>
    </r>
    <r>
      <rPr>
        <sz val="10"/>
        <rFont val="Century Gothic"/>
        <family val="2"/>
      </rPr>
      <t xml:space="preserve">
</t>
    </r>
    <r>
      <rPr>
        <i/>
        <sz val="10"/>
        <rFont val="Century Gothic"/>
        <family val="2"/>
      </rPr>
      <t>Year</t>
    </r>
  </si>
  <si>
    <t>Bilangan kes positif</t>
  </si>
  <si>
    <t>Bilangan kematian</t>
  </si>
  <si>
    <t xml:space="preserve">Number of positive cases </t>
  </si>
  <si>
    <t>Number of deaths</t>
  </si>
  <si>
    <t>Sumber: Kementerian Kesihatan Malaysia</t>
  </si>
  <si>
    <t>Source: Ministry of Health Malaysia</t>
  </si>
  <si>
    <t>Jadual 40.1</t>
  </si>
  <si>
    <t>: Statistik penerima vaksin COVID-19 mengikut umur, Malaysia, 2023</t>
  </si>
  <si>
    <t>Table 40.1</t>
  </si>
  <si>
    <t>: Statistics of COVID-19 vaccine recipient by age, Malaysia, 2023</t>
  </si>
  <si>
    <r>
      <t xml:space="preserve">Negeri
</t>
    </r>
    <r>
      <rPr>
        <i/>
        <sz val="10"/>
        <rFont val="Century Gothic"/>
        <family val="2"/>
      </rPr>
      <t>State</t>
    </r>
  </si>
  <si>
    <r>
      <t xml:space="preserve">Umur 5 - 17 tahun
</t>
    </r>
    <r>
      <rPr>
        <i/>
        <sz val="10"/>
        <rFont val="Century Gothic"/>
        <family val="2"/>
      </rPr>
      <t>Age 5 - 17</t>
    </r>
    <r>
      <rPr>
        <b/>
        <sz val="10"/>
        <rFont val="Century Gothic"/>
        <family val="2"/>
      </rPr>
      <t xml:space="preserve"> </t>
    </r>
    <r>
      <rPr>
        <i/>
        <sz val="10"/>
        <rFont val="Century Gothic"/>
        <family val="2"/>
      </rPr>
      <t>years</t>
    </r>
  </si>
  <si>
    <r>
      <t xml:space="preserve">Umur 18 - 59 tahun
</t>
    </r>
    <r>
      <rPr>
        <i/>
        <sz val="10"/>
        <rFont val="Century Gothic"/>
        <family val="2"/>
      </rPr>
      <t>Age 18 - 59 years</t>
    </r>
  </si>
  <si>
    <r>
      <t xml:space="preserve">Umur 60 dan lebih
</t>
    </r>
    <r>
      <rPr>
        <sz val="10"/>
        <rFont val="Century Gothic"/>
        <family val="2"/>
      </rPr>
      <t>Age 60</t>
    </r>
    <r>
      <rPr>
        <i/>
        <sz val="10"/>
        <rFont val="Century Gothic"/>
        <family val="2"/>
      </rPr>
      <t xml:space="preserve"> and over</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</si>
  <si>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</si>
  <si>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</si>
  <si>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Penggalak 1</t>
    </r>
    <r>
      <rPr>
        <sz val="10"/>
        <rFont val="Century Gothic"/>
        <family val="2"/>
      </rPr>
      <t xml:space="preserve">
</t>
    </r>
    <r>
      <rPr>
        <i/>
        <sz val="10"/>
        <rFont val="Century Gothic"/>
        <family val="2"/>
      </rPr>
      <t>Booster 1</t>
    </r>
  </si>
  <si>
    <r>
      <rPr>
        <b/>
        <sz val="10"/>
        <rFont val="Century Gothic"/>
        <family val="2"/>
      </rPr>
      <t>Penggalak 2</t>
    </r>
    <r>
      <rPr>
        <sz val="10"/>
        <rFont val="Century Gothic"/>
        <family val="2"/>
      </rPr>
      <t xml:space="preserve">
</t>
    </r>
    <r>
      <rPr>
        <i/>
        <sz val="10"/>
        <rFont val="Century Gothic"/>
        <family val="2"/>
      </rPr>
      <t>Booster 2</t>
    </r>
  </si>
  <si>
    <t>Jadual 41.0</t>
  </si>
  <si>
    <t>: Statistik kutipan dan agihan zakat mengikut negeri, Malaysia, 2022 - 2024</t>
  </si>
  <si>
    <t>Table 41.0</t>
  </si>
  <si>
    <t>: Zakat collection and distribution statistics by state, Malaysia, 2022 - 2024</t>
  </si>
  <si>
    <t>ZAKAT</t>
  </si>
  <si>
    <t>Kutipan zakat</t>
  </si>
  <si>
    <t>Zakat collection</t>
  </si>
  <si>
    <t>Wilayah Persekutuan</t>
  </si>
  <si>
    <t>Agihan zakat</t>
  </si>
  <si>
    <t>Zakat distribution</t>
  </si>
  <si>
    <t>Sumber: Majlis Agama Islam Negeri-Negeri</t>
  </si>
  <si>
    <t>Source: State Islamic Religious Council</t>
  </si>
  <si>
    <t>Nilai kutipan dan agihan dalam Ringgit Malaysia (RM)</t>
  </si>
  <si>
    <t>Collection and distribution value in Ringgit Malaysia (RM)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</si>
</sst>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409]#,##0.00;[Red]&quot;-&quot;[$$-409]#,##0.00"/>
    <numFmt numFmtId="165" formatCode="#,##0.0"/>
    <numFmt numFmtId="166" formatCode="General&quot; &quot;"/>
    <numFmt numFmtId="167" formatCode="0.0"/>
    <numFmt numFmtId="168" formatCode="[$-409]mmm\-yy;@"/>
    <numFmt numFmtId="169" formatCode="_(* #,##0_);_(* \(#,##0\);_(* &quot;-&quot;??_);_(@_)"/>
    <numFmt numFmtId="170" formatCode="_(* #,##0.0_);_(* \(#,##0.0\);_(* &quot;-&quot;??_);_(@_)"/>
    <numFmt numFmtId="171" formatCode="#,##0_ ;\-#,##0\ "/>
    <numFmt numFmtId="172" formatCode="#,##0.0_ ;\-#,##0.0\ "/>
    <numFmt numFmtId="173" formatCode="_-* #,##0_-;\-* #,##0_-;_-* &quot;-&quot;??_-;_-@_-"/>
    <numFmt numFmtId="174" formatCode="_(* #,##0.0_);_(* \(#,##0.0\);_(* &quot;-&quot;_);_(@_)"/>
    <numFmt numFmtId="175" formatCode="_-* #,##0.0_-;\-* #,##0.0_-;_-* &quot;-&quot;??_-;_-@_-"/>
    <numFmt numFmtId="176" formatCode="General_)"/>
    <numFmt numFmtId="177" formatCode="0.0%"/>
    <numFmt numFmtId="178" formatCode="0;[Red]0"/>
    <numFmt numFmtId="179" formatCode="#,##0.000"/>
  </numFmts>
  <fonts count="103">
    <font>
      <sz val="11"/>
      <color theme="1"/>
      <name val="Calibri"/>
      <family val="2"/>
      <scheme val="minor"/>
    </font>
    <font>
      <sz val="11"/>
      <color theme="1"/>
      <name val="Calibri"/>
      <family val="2"/>
      <scheme val="minor"/>
    </font>
    <font>
      <b/>
      <sz val="11"/>
      <color theme="1"/>
      <name val="Calibri"/>
      <family val="2"/>
      <scheme val="minor"/>
    </font>
    <font>
      <sz val="11"/>
      <name val="Century Gothic"/>
      <family val="2"/>
    </font>
    <font>
      <b/>
      <sz val="11"/>
      <name val="Century Gothic"/>
      <family val="2"/>
    </font>
    <font>
      <sz val="11"/>
      <color indexed="8"/>
      <name val="Calibri"/>
      <family val="2"/>
    </font>
    <font>
      <i/>
      <sz val="11"/>
      <name val="Century Gothic"/>
      <family val="2"/>
    </font>
    <font>
      <sz val="10"/>
      <name val="Century Gothic"/>
      <family val="2"/>
    </font>
    <font>
      <b/>
      <sz val="10"/>
      <name val="Century Gothic"/>
      <family val="2"/>
    </font>
    <font>
      <sz val="11"/>
      <color theme="1"/>
      <name val="Arial"/>
      <family val="2"/>
    </font>
    <font>
      <i/>
      <sz val="10"/>
      <name val="Century Gothic"/>
      <family val="2"/>
    </font>
    <font>
      <sz val="10"/>
      <name val="Arial"/>
      <family val="2"/>
    </font>
    <font>
      <b/>
      <sz val="10"/>
      <color theme="1"/>
      <name val="Century Gothic"/>
      <family val="2"/>
    </font>
    <font>
      <i/>
      <sz val="10"/>
      <color theme="1"/>
      <name val="Century Gothic"/>
      <family val="2"/>
    </font>
    <font>
      <b/>
      <sz val="11"/>
      <color theme="1"/>
      <name val="Century Gothic"/>
      <family val="2"/>
    </font>
    <font>
      <i/>
      <sz val="11"/>
      <color theme="1"/>
      <name val="Century Gothic"/>
      <family val="2"/>
    </font>
    <font>
      <sz val="10"/>
      <color theme="1"/>
      <name val="Century Gothic"/>
      <family val="2"/>
    </font>
    <font>
      <b/>
      <i/>
      <sz val="10"/>
      <color theme="1"/>
      <name val="Century Gothic"/>
      <family val="2"/>
    </font>
    <font>
      <b/>
      <sz val="9"/>
      <name val="Century Gothic"/>
      <family val="2"/>
    </font>
    <font>
      <i/>
      <sz val="9"/>
      <name val="Century Gothic"/>
      <family val="2"/>
    </font>
    <font>
      <sz val="9"/>
      <name val="Century Gothic"/>
      <family val="2"/>
    </font>
    <font>
      <sz val="13"/>
      <color theme="1"/>
      <name val="Calibri"/>
      <family val="2"/>
      <scheme val="minor"/>
    </font>
    <font>
      <sz val="10"/>
      <name val="MS Sans Serif"/>
      <charset val="134"/>
    </font>
    <font>
      <sz val="13"/>
      <color theme="1"/>
      <name val="Century Gothic"/>
      <family val="2"/>
    </font>
    <font>
      <b/>
      <sz val="13"/>
      <color theme="1"/>
      <name val="Century Gothic"/>
      <family val="2"/>
    </font>
    <font>
      <b/>
      <i/>
      <sz val="13"/>
      <color theme="1"/>
      <name val="Century Gothic"/>
      <family val="2"/>
    </font>
    <font>
      <b/>
      <i/>
      <sz val="10"/>
      <name val="Century Gothic"/>
      <family val="2"/>
    </font>
    <font>
      <sz val="10"/>
      <color rgb="FF0000FF"/>
      <name val="Century Gothic"/>
      <family val="2"/>
    </font>
    <font>
      <sz val="11"/>
      <name val="Calibri"/>
      <family val="2"/>
      <scheme val="minor"/>
    </font>
    <font>
      <sz val="12"/>
      <color theme="1"/>
      <name val="Helv"/>
      <charset val="134"/>
    </font>
    <font>
      <sz val="10"/>
      <color rgb="FF000000"/>
      <name val="Times New Roman"/>
      <family val="1"/>
    </font>
    <font>
      <b/>
      <vertAlign val="superscript"/>
      <sz val="10"/>
      <name val="Century Gothic"/>
      <family val="2"/>
    </font>
    <font>
      <sz val="10"/>
      <color rgb="FFFF0000"/>
      <name val="Century Gothic"/>
      <family val="2"/>
    </font>
    <font>
      <b/>
      <i/>
      <vertAlign val="superscript"/>
      <sz val="10"/>
      <name val="Century Gothic"/>
      <family val="2"/>
    </font>
    <font>
      <b/>
      <vertAlign val="superscript"/>
      <sz val="9"/>
      <name val="Century Gothic"/>
      <family val="2"/>
    </font>
    <font>
      <i/>
      <vertAlign val="superscript"/>
      <sz val="9"/>
      <name val="Century Gothic"/>
      <family val="2"/>
    </font>
    <font>
      <sz val="11"/>
      <color rgb="FFFF0000"/>
      <name val="Century Gothic"/>
      <family val="2"/>
    </font>
    <font>
      <b/>
      <sz val="10"/>
      <color rgb="FFFF0000"/>
      <name val="Century Gothic"/>
      <family val="2"/>
    </font>
    <font>
      <b/>
      <sz val="11"/>
      <color rgb="FFFF0000"/>
      <name val="Century Gothic"/>
      <family val="2"/>
    </font>
    <font>
      <i/>
      <sz val="10"/>
      <color rgb="FFFF0000"/>
      <name val="Century Gothic"/>
      <family val="2"/>
    </font>
    <font>
      <sz val="8"/>
      <color rgb="FFFF0000"/>
      <name val="Century Gothic"/>
      <family val="2"/>
    </font>
    <font>
      <sz val="8"/>
      <name val="Century Gothic"/>
      <family val="2"/>
    </font>
    <font>
      <sz val="9"/>
      <color rgb="FFFF0000"/>
      <name val="Century Gothic"/>
      <family val="2"/>
    </font>
    <font>
      <b/>
      <sz val="9"/>
      <color rgb="FFFF0000"/>
      <name val="Century Gothic"/>
      <family val="2"/>
    </font>
    <font>
      <i/>
      <sz val="9"/>
      <color rgb="FFFF0000"/>
      <name val="Century Gothic"/>
      <family val="2"/>
    </font>
    <font>
      <sz val="11"/>
      <color theme="1"/>
      <name val="Century Gothic"/>
      <family val="2"/>
    </font>
    <font>
      <b/>
      <sz val="10"/>
      <color rgb="FF000000"/>
      <name val="Century Gothic"/>
      <family val="2"/>
    </font>
    <font>
      <i/>
      <sz val="10"/>
      <color rgb="FF000000"/>
      <name val="Century Gothic"/>
      <family val="2"/>
    </font>
    <font>
      <sz val="10"/>
      <color rgb="FF000000"/>
      <name val="Century Gothic"/>
      <family val="2"/>
    </font>
    <font>
      <b/>
      <sz val="9"/>
      <name val="Arial"/>
      <family val="2"/>
    </font>
    <font>
      <i/>
      <sz val="10"/>
      <name val="Century Gothic"/>
      <family val="1"/>
    </font>
    <font>
      <i/>
      <sz val="10"/>
      <color theme="1"/>
      <name val="Century Gothic"/>
      <family val="1"/>
    </font>
    <font>
      <sz val="10"/>
      <color theme="1"/>
      <name val="Century Gothic"/>
      <family val="1"/>
    </font>
    <font>
      <b/>
      <sz val="10"/>
      <color theme="1"/>
      <name val="Century Gothic"/>
      <family val="1"/>
    </font>
    <font>
      <sz val="10"/>
      <name val="Century Gothic"/>
      <family val="1"/>
    </font>
    <font>
      <b/>
      <sz val="10"/>
      <name val="Century Gothic"/>
      <family val="1"/>
    </font>
    <font>
      <sz val="7"/>
      <name val="Helv"/>
      <charset val="134"/>
    </font>
    <font>
      <sz val="9"/>
      <color theme="1"/>
      <name val="Century Gothic"/>
      <family val="2"/>
    </font>
    <font>
      <b/>
      <sz val="8"/>
      <name val="Century Gothic"/>
      <family val="2"/>
    </font>
    <font>
      <i/>
      <sz val="8"/>
      <color theme="1"/>
      <name val="Century Gothic"/>
      <family val="1"/>
    </font>
    <font>
      <b/>
      <vertAlign val="superscript"/>
      <sz val="10"/>
      <color theme="1"/>
      <name val="Century Gothic"/>
      <family val="1"/>
    </font>
    <font>
      <b/>
      <sz val="9"/>
      <color theme="1"/>
      <name val="Century Gothic"/>
      <family val="1"/>
    </font>
    <font>
      <b/>
      <i/>
      <sz val="9"/>
      <color theme="1"/>
      <name val="Century Gothic"/>
      <family val="1"/>
    </font>
    <font>
      <i/>
      <sz val="9"/>
      <color theme="1"/>
      <name val="Century Gothic"/>
      <family val="1"/>
    </font>
    <font>
      <b/>
      <sz val="9"/>
      <color theme="1"/>
      <name val="Century Gothic"/>
      <family val="2"/>
    </font>
    <font>
      <i/>
      <sz val="9"/>
      <color theme="1"/>
      <name val="Century Gothic"/>
      <family val="2"/>
    </font>
    <font>
      <b/>
      <vertAlign val="superscript"/>
      <sz val="9"/>
      <color theme="1"/>
      <name val="Century Gothic"/>
      <family val="2"/>
    </font>
    <font>
      <i/>
      <vertAlign val="superscript"/>
      <sz val="9"/>
      <color theme="1"/>
      <name val="Century Gothic"/>
      <family val="2"/>
    </font>
    <font>
      <i/>
      <sz val="8"/>
      <name val="Century Gothic"/>
      <family val="2"/>
    </font>
    <font>
      <b/>
      <sz val="8"/>
      <color theme="1"/>
      <name val="Century Gothic"/>
      <family val="1"/>
    </font>
    <font>
      <b/>
      <sz val="11"/>
      <color rgb="FF000000"/>
      <name val="Century Gothic"/>
      <family val="2"/>
    </font>
    <font>
      <i/>
      <sz val="11"/>
      <color rgb="FF000000"/>
      <name val="Century Gothic"/>
      <family val="2"/>
    </font>
    <font>
      <i/>
      <sz val="1"/>
      <color rgb="FF000000"/>
      <name val="Century Gothic"/>
      <family val="2"/>
    </font>
    <font>
      <sz val="11"/>
      <color theme="1"/>
      <name val="Calibri"/>
      <family val="2"/>
    </font>
    <font>
      <sz val="8.5"/>
      <name val="Arial"/>
      <family val="2"/>
    </font>
    <font>
      <sz val="12"/>
      <name val="Segoe UI"/>
      <family val="2"/>
    </font>
    <font>
      <sz val="10"/>
      <name val="Helv"/>
      <charset val="134"/>
    </font>
    <font>
      <b/>
      <vertAlign val="superscript"/>
      <sz val="10"/>
      <color theme="1"/>
      <name val="Century Gothic"/>
      <family val="2"/>
    </font>
    <font>
      <b/>
      <sz val="10"/>
      <color theme="3" tint="0.39994506668294322"/>
      <name val="Century Gothic"/>
      <family val="2"/>
    </font>
    <font>
      <sz val="10"/>
      <color theme="3" tint="0.39994506668294322"/>
      <name val="Century Gothic"/>
      <family val="2"/>
    </font>
    <font>
      <vertAlign val="superscript"/>
      <sz val="10"/>
      <name val="Century Gothic"/>
      <family val="2"/>
    </font>
    <font>
      <sz val="11"/>
      <color rgb="FF000000"/>
      <name val="Calibri"/>
      <family val="2"/>
    </font>
    <font>
      <b/>
      <i/>
      <sz val="9"/>
      <color theme="1"/>
      <name val="Century Gothic"/>
      <family val="2"/>
    </font>
    <font>
      <sz val="10"/>
      <color theme="8"/>
      <name val="Century Gothic"/>
      <family val="2"/>
    </font>
    <font>
      <b/>
      <sz val="10"/>
      <color theme="8"/>
      <name val="Century Gothic"/>
      <family val="2"/>
    </font>
    <font>
      <b/>
      <i/>
      <sz val="9"/>
      <name val="Century Gothic"/>
      <family val="2"/>
    </font>
    <font>
      <sz val="10"/>
      <color theme="1"/>
      <name val="Tahoma"/>
      <family val="2"/>
    </font>
    <font>
      <i/>
      <sz val="11"/>
      <color indexed="8"/>
      <name val="Century Gothic"/>
      <family val="2"/>
    </font>
    <font>
      <i/>
      <sz val="10"/>
      <color indexed="8"/>
      <name val="Century Gothic"/>
      <family val="2"/>
    </font>
    <font>
      <sz val="10"/>
      <color indexed="8"/>
      <name val="Century Gothic"/>
      <family val="2"/>
    </font>
    <font>
      <b/>
      <sz val="10"/>
      <color indexed="8"/>
      <name val="Century Gothic"/>
      <family val="2"/>
    </font>
    <font>
      <sz val="10"/>
      <color theme="1"/>
      <name val="Calibri"/>
      <family val="2"/>
      <scheme val="minor"/>
    </font>
    <font>
      <i/>
      <vertAlign val="superscript"/>
      <sz val="10"/>
      <color theme="1"/>
      <name val="Century Gothic"/>
      <family val="2"/>
    </font>
    <font>
      <sz val="9"/>
      <color theme="1"/>
      <name val="Calibri"/>
      <family val="2"/>
    </font>
    <font>
      <sz val="11"/>
      <name val="Calibri"/>
      <family val="2"/>
    </font>
    <font>
      <sz val="10"/>
      <name val="Calibri"/>
      <family val="2"/>
    </font>
    <font>
      <vertAlign val="superscript"/>
      <sz val="9"/>
      <name val="Century Gothic"/>
      <family val="2"/>
    </font>
    <font>
      <sz val="9"/>
      <name val="Calibri"/>
      <family val="2"/>
    </font>
    <font>
      <vertAlign val="superscript"/>
      <sz val="10"/>
      <color theme="1"/>
      <name val="Century Gothic"/>
      <family val="2"/>
    </font>
    <font>
      <sz val="10"/>
      <color theme="0"/>
      <name val="Century Gothic"/>
      <family val="2"/>
    </font>
    <font>
      <sz val="12"/>
      <name val="Calibri"/>
      <family val="2"/>
      <scheme val="minor"/>
    </font>
    <font>
      <b/>
      <sz val="12"/>
      <name val="Calibri"/>
      <family val="2"/>
      <scheme val="minor"/>
    </font>
    <font>
      <sz val="10"/>
      <name val="Helv"/>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auto="1"/>
      </top>
      <bottom style="medium">
        <color auto="1"/>
      </bottom>
      <diagonal/>
    </border>
    <border>
      <left/>
      <right/>
      <top style="medium">
        <color indexed="64"/>
      </top>
      <bottom/>
      <diagonal/>
    </border>
    <border>
      <left/>
      <right/>
      <top/>
      <bottom style="thick">
        <color auto="1"/>
      </bottom>
      <diagonal/>
    </border>
    <border>
      <left/>
      <right/>
      <top style="thick">
        <color auto="1"/>
      </top>
      <bottom/>
      <diagonal/>
    </border>
    <border>
      <left/>
      <right/>
      <top/>
      <bottom style="medium">
        <color rgb="FF000000"/>
      </bottom>
      <diagonal/>
    </border>
    <border>
      <left/>
      <right/>
      <top/>
      <bottom style="thin">
        <color indexed="64"/>
      </bottom>
      <diagonal/>
    </border>
    <border>
      <left/>
      <right/>
      <top/>
      <bottom style="medium">
        <color rgb="FF351553"/>
      </bottom>
      <diagonal/>
    </border>
    <border>
      <left/>
      <right/>
      <top style="medium">
        <color rgb="FF351553"/>
      </top>
      <bottom/>
      <diagonal/>
    </border>
    <border>
      <left/>
      <right/>
      <top/>
      <bottom style="thick">
        <color theme="0"/>
      </bottom>
      <diagonal/>
    </border>
    <border>
      <left/>
      <right/>
      <top/>
      <bottom style="thick">
        <color rgb="FF000000"/>
      </bottom>
      <diagonal/>
    </border>
    <border>
      <left/>
      <right/>
      <top style="thick">
        <color rgb="FF000000"/>
      </top>
      <bottom/>
      <diagonal/>
    </border>
  </borders>
  <cellStyleXfs count="67">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164" fontId="5" fillId="0" borderId="0">
      <alignment vertical="center"/>
    </xf>
    <xf numFmtId="0" fontId="1" fillId="0" borderId="0"/>
    <xf numFmtId="0" fontId="9" fillId="0" borderId="0"/>
    <xf numFmtId="43" fontId="1" fillId="0" borderId="0" applyFont="0" applyFill="0" applyBorder="0" applyAlignment="0" applyProtection="0">
      <alignment vertical="center"/>
    </xf>
    <xf numFmtId="0" fontId="11" fillId="0" borderId="0"/>
    <xf numFmtId="43" fontId="1" fillId="0" borderId="0" applyFont="0" applyFill="0" applyBorder="0" applyAlignment="0" applyProtection="0"/>
    <xf numFmtId="0" fontId="11" fillId="0" borderId="0"/>
    <xf numFmtId="0" fontId="1" fillId="0" borderId="0"/>
    <xf numFmtId="0" fontId="1" fillId="0" borderId="0"/>
    <xf numFmtId="168" fontId="22" fillId="0" borderId="0"/>
    <xf numFmtId="9" fontId="1" fillId="0" borderId="0" applyFont="0" applyFill="0" applyBorder="0" applyAlignment="0" applyProtection="0"/>
    <xf numFmtId="166" fontId="29" fillId="0" borderId="0"/>
    <xf numFmtId="41" fontId="3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0" fontId="1" fillId="0" borderId="0"/>
    <xf numFmtId="168" fontId="22" fillId="0" borderId="0"/>
    <xf numFmtId="168" fontId="1" fillId="0" borderId="0"/>
    <xf numFmtId="43" fontId="1" fillId="0" borderId="0" applyFont="0" applyFill="0" applyBorder="0" applyAlignment="0" applyProtection="0">
      <alignment vertical="center"/>
    </xf>
    <xf numFmtId="0" fontId="1" fillId="0" borderId="0"/>
    <xf numFmtId="0" fontId="1" fillId="0" borderId="0"/>
    <xf numFmtId="164" fontId="1" fillId="0" borderId="0"/>
    <xf numFmtId="43" fontId="1" fillId="0" borderId="0" applyFont="0" applyFill="0" applyBorder="0" applyAlignment="0" applyProtection="0"/>
    <xf numFmtId="41" fontId="11" fillId="0" borderId="0" applyFont="0" applyFill="0" applyBorder="0" applyAlignment="0" applyProtection="0"/>
    <xf numFmtId="176" fontId="56" fillId="0" borderId="0"/>
    <xf numFmtId="0" fontId="11" fillId="0" borderId="0"/>
    <xf numFmtId="0" fontId="73" fillId="0" borderId="0"/>
    <xf numFmtId="0" fontId="73" fillId="0" borderId="0"/>
    <xf numFmtId="43" fontId="1" fillId="0" borderId="0" applyFont="0" applyFill="0" applyBorder="0" applyAlignment="0" applyProtection="0"/>
    <xf numFmtId="43" fontId="56" fillId="0" borderId="0" applyFont="0" applyFill="0" applyBorder="0" applyAlignment="0" applyProtection="0"/>
    <xf numFmtId="43" fontId="1" fillId="0" borderId="0" applyFont="0" applyFill="0" applyBorder="0" applyAlignment="0" applyProtection="0"/>
    <xf numFmtId="164" fontId="1" fillId="0" borderId="0"/>
    <xf numFmtId="0" fontId="1" fillId="0" borderId="0"/>
    <xf numFmtId="178" fontId="76" fillId="0" borderId="0"/>
    <xf numFmtId="0" fontId="1" fillId="0" borderId="0"/>
    <xf numFmtId="0" fontId="11" fillId="0" borderId="0"/>
    <xf numFmtId="0" fontId="1" fillId="0" borderId="0"/>
    <xf numFmtId="0" fontId="81" fillId="0" borderId="0"/>
    <xf numFmtId="0" fontId="1" fillId="0" borderId="0"/>
    <xf numFmtId="0" fontId="5" fillId="0" borderId="0">
      <alignment vertical="center"/>
    </xf>
    <xf numFmtId="0" fontId="11" fillId="0" borderId="0"/>
    <xf numFmtId="43" fontId="1" fillId="0" borderId="0" applyFont="0" applyFill="0" applyBorder="0" applyAlignment="0" applyProtection="0"/>
    <xf numFmtId="176" fontId="76" fillId="0" borderId="0"/>
    <xf numFmtId="41" fontId="1" fillId="0" borderId="0" applyFont="0" applyFill="0" applyBorder="0" applyAlignment="0" applyProtection="0"/>
    <xf numFmtId="178" fontId="76" fillId="0" borderId="0"/>
    <xf numFmtId="168" fontId="86" fillId="0" borderId="0"/>
    <xf numFmtId="0" fontId="1" fillId="0" borderId="0"/>
    <xf numFmtId="0" fontId="1" fillId="0" borderId="0"/>
    <xf numFmtId="43" fontId="1" fillId="0" borderId="0" applyFont="0" applyFill="0" applyBorder="0" applyAlignment="0" applyProtection="0"/>
    <xf numFmtId="178" fontId="76" fillId="0" borderId="0"/>
    <xf numFmtId="0" fontId="1" fillId="0" borderId="0"/>
    <xf numFmtId="0" fontId="5" fillId="0" borderId="0">
      <alignment vertical="center"/>
    </xf>
    <xf numFmtId="164" fontId="1" fillId="0" borderId="0"/>
    <xf numFmtId="0" fontId="1" fillId="0" borderId="0"/>
    <xf numFmtId="43" fontId="1" fillId="0" borderId="0" applyFont="0" applyFill="0" applyBorder="0" applyAlignment="0" applyProtection="0"/>
    <xf numFmtId="0" fontId="11" fillId="0" borderId="0"/>
    <xf numFmtId="0" fontId="86" fillId="0" borderId="0"/>
    <xf numFmtId="43" fontId="1" fillId="0" borderId="0" applyFont="0" applyFill="0" applyBorder="0" applyAlignment="0" applyProtection="0">
      <alignment vertical="center"/>
    </xf>
    <xf numFmtId="0" fontId="102" fillId="0" borderId="0"/>
    <xf numFmtId="0" fontId="1" fillId="0" borderId="0"/>
    <xf numFmtId="0" fontId="1" fillId="0" borderId="0"/>
    <xf numFmtId="164" fontId="1" fillId="0" borderId="0"/>
    <xf numFmtId="0" fontId="1" fillId="0" borderId="0"/>
  </cellStyleXfs>
  <cellXfs count="1430">
    <xf numFmtId="0" fontId="0" fillId="0" borderId="0" xfId="0"/>
    <xf numFmtId="0" fontId="3" fillId="0" borderId="0" xfId="3" applyFont="1"/>
    <xf numFmtId="0" fontId="4" fillId="0" borderId="0" xfId="3" applyFont="1" applyAlignment="1">
      <alignment horizontal="right" vertical="center"/>
    </xf>
    <xf numFmtId="164" fontId="4" fillId="0" borderId="0" xfId="4" applyFont="1">
      <alignment vertical="center"/>
    </xf>
    <xf numFmtId="165" fontId="4" fillId="0" borderId="0" xfId="3" applyNumberFormat="1" applyFont="1"/>
    <xf numFmtId="0" fontId="6" fillId="0" borderId="0" xfId="3" applyFont="1" applyAlignment="1">
      <alignment horizontal="right" vertical="center"/>
    </xf>
    <xf numFmtId="164" fontId="6" fillId="0" borderId="0" xfId="4" applyFont="1">
      <alignment vertical="center"/>
    </xf>
    <xf numFmtId="0" fontId="3" fillId="0" borderId="0" xfId="5" applyFont="1" applyAlignment="1">
      <alignment vertical="center"/>
    </xf>
    <xf numFmtId="0" fontId="7" fillId="0" borderId="0" xfId="5" applyFont="1" applyAlignment="1">
      <alignment vertical="center"/>
    </xf>
    <xf numFmtId="0" fontId="7" fillId="0" borderId="1" xfId="5" applyFont="1" applyBorder="1" applyAlignment="1">
      <alignment vertical="center"/>
    </xf>
    <xf numFmtId="0" fontId="8" fillId="0" borderId="1" xfId="6" applyFont="1" applyBorder="1" applyAlignment="1">
      <alignment horizontal="right" vertical="center"/>
    </xf>
    <xf numFmtId="166" fontId="8" fillId="0" borderId="2" xfId="7" applyNumberFormat="1" applyFont="1" applyBorder="1" applyAlignment="1">
      <alignment horizontal="right" vertical="center"/>
    </xf>
    <xf numFmtId="0" fontId="7" fillId="0" borderId="0" xfId="3" applyFont="1"/>
    <xf numFmtId="0" fontId="8" fillId="0" borderId="0" xfId="6" applyFont="1" applyAlignment="1">
      <alignment horizontal="right" vertical="center"/>
    </xf>
    <xf numFmtId="166" fontId="8" fillId="0" borderId="0" xfId="7" applyNumberFormat="1" applyFont="1" applyBorder="1" applyAlignment="1">
      <alignment horizontal="right" vertical="center"/>
    </xf>
    <xf numFmtId="0" fontId="13" fillId="0" borderId="0" xfId="0" applyFont="1" applyAlignment="1">
      <alignment horizontal="left" vertical="top"/>
    </xf>
    <xf numFmtId="0" fontId="7" fillId="0" borderId="0" xfId="3" applyFont="1" applyAlignment="1">
      <alignment vertical="center"/>
    </xf>
    <xf numFmtId="0" fontId="8" fillId="0" borderId="0" xfId="5" applyFont="1" applyAlignment="1">
      <alignment horizontal="right" vertical="center"/>
    </xf>
    <xf numFmtId="0" fontId="12" fillId="0" borderId="0" xfId="0" applyFont="1" applyAlignment="1">
      <alignment horizontal="left" vertical="center" wrapText="1"/>
    </xf>
    <xf numFmtId="3" fontId="12" fillId="0" borderId="0" xfId="9" applyNumberFormat="1" applyFont="1" applyFill="1" applyBorder="1" applyAlignment="1">
      <alignment horizontal="right" vertical="center"/>
    </xf>
    <xf numFmtId="3" fontId="7" fillId="0" borderId="0" xfId="9" applyNumberFormat="1" applyFont="1" applyAlignment="1">
      <alignment horizontal="right" vertical="center"/>
    </xf>
    <xf numFmtId="165" fontId="7" fillId="0" borderId="0" xfId="3" applyNumberFormat="1" applyFont="1" applyAlignment="1">
      <alignment horizontal="right" vertical="center" indent="1"/>
    </xf>
    <xf numFmtId="165" fontId="7" fillId="0" borderId="0" xfId="3" applyNumberFormat="1" applyFont="1" applyAlignment="1">
      <alignment horizontal="right" vertical="center"/>
    </xf>
    <xf numFmtId="3" fontId="7" fillId="0" borderId="0" xfId="3" applyNumberFormat="1" applyFont="1" applyAlignment="1">
      <alignment horizontal="right" vertical="center"/>
    </xf>
    <xf numFmtId="3" fontId="7" fillId="0" borderId="0" xfId="7" applyNumberFormat="1" applyFont="1" applyAlignment="1">
      <alignment horizontal="right" vertical="center"/>
    </xf>
    <xf numFmtId="167" fontId="7" fillId="0" borderId="0" xfId="3" applyNumberFormat="1" applyFont="1" applyAlignment="1">
      <alignment vertical="center"/>
    </xf>
    <xf numFmtId="165" fontId="12" fillId="0" borderId="0" xfId="9" applyNumberFormat="1" applyFont="1" applyFill="1" applyBorder="1" applyAlignment="1">
      <alignment horizontal="right" vertical="center"/>
    </xf>
    <xf numFmtId="165" fontId="16" fillId="0" borderId="0" xfId="9" applyNumberFormat="1" applyFont="1" applyFill="1" applyBorder="1" applyAlignment="1">
      <alignment horizontal="right" vertical="center"/>
    </xf>
    <xf numFmtId="0" fontId="8" fillId="0" borderId="0" xfId="3" applyFont="1" applyAlignment="1">
      <alignment horizontal="left" vertical="center" indent="2"/>
    </xf>
    <xf numFmtId="165" fontId="7" fillId="0" borderId="0" xfId="3" applyNumberFormat="1" applyFont="1" applyAlignment="1">
      <alignment horizontal="right" indent="1"/>
    </xf>
    <xf numFmtId="165" fontId="7" fillId="0" borderId="0" xfId="7" applyNumberFormat="1" applyFont="1" applyAlignment="1">
      <alignment horizontal="right" vertical="top"/>
    </xf>
    <xf numFmtId="0" fontId="12" fillId="0" borderId="0" xfId="8" applyFont="1"/>
    <xf numFmtId="165" fontId="8" fillId="0" borderId="0" xfId="3" applyNumberFormat="1" applyFont="1" applyAlignment="1">
      <alignment horizontal="right"/>
    </xf>
    <xf numFmtId="165" fontId="7" fillId="0" borderId="0" xfId="3" applyNumberFormat="1" applyFont="1" applyAlignment="1">
      <alignment horizontal="right"/>
    </xf>
    <xf numFmtId="0" fontId="13" fillId="0" borderId="0" xfId="0" applyFont="1" applyAlignment="1">
      <alignment vertical="top"/>
    </xf>
    <xf numFmtId="165" fontId="7" fillId="0" borderId="0" xfId="7" applyNumberFormat="1" applyFont="1" applyAlignment="1">
      <alignment horizontal="right"/>
    </xf>
    <xf numFmtId="167" fontId="7" fillId="0" borderId="0" xfId="3" applyNumberFormat="1" applyFont="1"/>
    <xf numFmtId="0" fontId="8" fillId="0" borderId="0" xfId="5" applyFont="1" applyAlignment="1">
      <alignment vertical="center"/>
    </xf>
    <xf numFmtId="3" fontId="16" fillId="0" borderId="0" xfId="9" applyNumberFormat="1" applyFont="1" applyFill="1" applyBorder="1" applyAlignment="1">
      <alignment horizontal="right" vertical="center"/>
    </xf>
    <xf numFmtId="0" fontId="7" fillId="0" borderId="0" xfId="10" applyFont="1" applyAlignment="1">
      <alignment vertical="center"/>
    </xf>
    <xf numFmtId="0" fontId="14" fillId="0" borderId="0" xfId="0" applyFont="1" applyAlignment="1">
      <alignment horizontal="right"/>
    </xf>
    <xf numFmtId="0" fontId="3" fillId="0" borderId="4" xfId="3" applyFont="1" applyBorder="1" applyAlignment="1">
      <alignment vertical="center"/>
    </xf>
    <xf numFmtId="0" fontId="3" fillId="0" borderId="0" xfId="3" applyFont="1" applyAlignment="1">
      <alignment vertical="center"/>
    </xf>
    <xf numFmtId="0" fontId="18" fillId="0" borderId="0" xfId="11" applyFont="1" applyAlignment="1">
      <alignment horizontal="right" vertical="center"/>
    </xf>
    <xf numFmtId="0" fontId="19" fillId="0" borderId="0" xfId="11" applyFont="1" applyAlignment="1">
      <alignment horizontal="right" vertical="center"/>
    </xf>
    <xf numFmtId="0" fontId="20" fillId="0" borderId="0" xfId="3" quotePrefix="1" applyFont="1" applyAlignment="1">
      <alignment vertical="center"/>
    </xf>
    <xf numFmtId="0" fontId="20" fillId="0" borderId="0" xfId="10" applyFont="1" applyAlignment="1">
      <alignment vertical="center"/>
    </xf>
    <xf numFmtId="0" fontId="20" fillId="0" borderId="0" xfId="11" applyFont="1" applyAlignment="1">
      <alignment vertical="center"/>
    </xf>
    <xf numFmtId="0" fontId="20" fillId="0" borderId="0" xfId="12" applyFont="1" applyAlignment="1">
      <alignment vertical="center"/>
    </xf>
    <xf numFmtId="0" fontId="20" fillId="0" borderId="0" xfId="3" applyFont="1" applyAlignment="1">
      <alignment vertical="center"/>
    </xf>
    <xf numFmtId="0" fontId="21" fillId="0" borderId="0" xfId="0" applyFont="1"/>
    <xf numFmtId="0" fontId="18" fillId="0" borderId="0" xfId="3" quotePrefix="1" applyFont="1" applyAlignment="1">
      <alignment horizontal="right" vertical="center"/>
    </xf>
    <xf numFmtId="0" fontId="19" fillId="0" borderId="0" xfId="10" applyFont="1" applyAlignment="1">
      <alignment vertical="center"/>
    </xf>
    <xf numFmtId="0" fontId="18" fillId="0" borderId="0" xfId="10" applyFont="1" applyAlignment="1">
      <alignment vertical="center"/>
    </xf>
    <xf numFmtId="0" fontId="3" fillId="0" borderId="0" xfId="11" applyFont="1"/>
    <xf numFmtId="0" fontId="19" fillId="0" borderId="0" xfId="13" applyNumberFormat="1" applyFont="1" applyAlignment="1">
      <alignment horizontal="left" vertical="center"/>
    </xf>
    <xf numFmtId="0" fontId="23" fillId="0" borderId="0" xfId="0" applyFont="1"/>
    <xf numFmtId="0" fontId="24" fillId="0" borderId="0" xfId="8" applyFont="1"/>
    <xf numFmtId="0" fontId="25" fillId="0" borderId="0" xfId="0" applyFont="1" applyAlignment="1">
      <alignment vertical="top"/>
    </xf>
    <xf numFmtId="3" fontId="24" fillId="0" borderId="0" xfId="9" applyNumberFormat="1" applyFont="1" applyFill="1" applyBorder="1" applyAlignment="1">
      <alignment horizontal="right" vertical="center"/>
    </xf>
    <xf numFmtId="0" fontId="8" fillId="0" borderId="0" xfId="6" applyFont="1" applyAlignment="1">
      <alignment horizontal="left" vertical="top"/>
    </xf>
    <xf numFmtId="166" fontId="8" fillId="0" borderId="0" xfId="7" applyNumberFormat="1" applyFont="1" applyBorder="1" applyAlignment="1">
      <alignment horizontal="left" vertical="top"/>
    </xf>
    <xf numFmtId="0" fontId="7" fillId="0" borderId="0" xfId="3" applyFont="1" applyAlignment="1">
      <alignment horizontal="left" vertical="top"/>
    </xf>
    <xf numFmtId="3" fontId="24" fillId="0" borderId="0" xfId="9" applyNumberFormat="1" applyFont="1" applyFill="1" applyBorder="1" applyAlignment="1">
      <alignment horizontal="left" vertical="top"/>
    </xf>
    <xf numFmtId="3" fontId="24" fillId="0" borderId="0" xfId="9" applyNumberFormat="1" applyFont="1" applyFill="1" applyBorder="1" applyAlignment="1">
      <alignment horizontal="right" vertical="top"/>
    </xf>
    <xf numFmtId="3" fontId="16" fillId="0" borderId="0" xfId="9" applyNumberFormat="1" applyFont="1" applyFill="1" applyBorder="1" applyAlignment="1">
      <alignment horizontal="right" vertical="top"/>
    </xf>
    <xf numFmtId="169" fontId="7" fillId="0" borderId="0" xfId="7" applyNumberFormat="1" applyFont="1" applyAlignment="1">
      <alignment horizontal="right" vertical="top"/>
    </xf>
    <xf numFmtId="165" fontId="24" fillId="0" borderId="0" xfId="9" applyNumberFormat="1" applyFont="1" applyFill="1" applyBorder="1" applyAlignment="1">
      <alignment horizontal="right" vertical="center"/>
    </xf>
    <xf numFmtId="165" fontId="24" fillId="0" borderId="0" xfId="9" applyNumberFormat="1" applyFont="1" applyFill="1" applyBorder="1" applyAlignment="1">
      <alignment horizontal="right" vertical="top"/>
    </xf>
    <xf numFmtId="165" fontId="16" fillId="0" borderId="0" xfId="9" applyNumberFormat="1" applyFont="1" applyFill="1" applyBorder="1" applyAlignment="1">
      <alignment horizontal="right" vertical="top"/>
    </xf>
    <xf numFmtId="3" fontId="25" fillId="0" borderId="0" xfId="0" applyNumberFormat="1" applyFont="1" applyAlignment="1">
      <alignment vertical="top"/>
    </xf>
    <xf numFmtId="0" fontId="24" fillId="0" borderId="0" xfId="0" applyFont="1"/>
    <xf numFmtId="0" fontId="24" fillId="0" borderId="0" xfId="0" applyFont="1" applyAlignment="1">
      <alignment horizontal="right"/>
    </xf>
    <xf numFmtId="0" fontId="7" fillId="0" borderId="0" xfId="3" applyFont="1" applyAlignment="1">
      <alignment horizontal="center" vertical="center"/>
    </xf>
    <xf numFmtId="0" fontId="8" fillId="0" borderId="0" xfId="3" applyFont="1" applyAlignment="1">
      <alignment horizontal="center" vertical="center"/>
    </xf>
    <xf numFmtId="165" fontId="8" fillId="0" borderId="0" xfId="3" applyNumberFormat="1" applyFont="1" applyAlignment="1">
      <alignment horizontal="right" vertical="center"/>
    </xf>
    <xf numFmtId="3" fontId="8" fillId="0" borderId="0" xfId="3" applyNumberFormat="1" applyFont="1" applyAlignment="1">
      <alignment horizontal="right" vertical="center"/>
    </xf>
    <xf numFmtId="3" fontId="8" fillId="0" borderId="0" xfId="7" applyNumberFormat="1" applyFont="1" applyFill="1" applyAlignment="1">
      <alignment horizontal="right" vertical="center"/>
    </xf>
    <xf numFmtId="0" fontId="10" fillId="0" borderId="0" xfId="5" applyFont="1" applyAlignment="1">
      <alignment vertical="center"/>
    </xf>
    <xf numFmtId="169" fontId="7" fillId="0" borderId="0" xfId="7" applyNumberFormat="1" applyFont="1" applyFill="1" applyAlignment="1">
      <alignment horizontal="right" vertical="top"/>
    </xf>
    <xf numFmtId="0" fontId="7" fillId="0" borderId="0" xfId="3" applyFont="1" applyAlignment="1">
      <alignment horizontal="right" vertical="center"/>
    </xf>
    <xf numFmtId="0" fontId="8" fillId="0" borderId="0" xfId="3" applyFont="1" applyAlignment="1">
      <alignment vertical="center" wrapText="1"/>
    </xf>
    <xf numFmtId="3" fontId="7" fillId="0" borderId="0" xfId="7" applyNumberFormat="1" applyFont="1" applyFill="1" applyAlignment="1">
      <alignment horizontal="right" vertical="center"/>
    </xf>
    <xf numFmtId="3" fontId="7" fillId="0" borderId="0" xfId="7" applyNumberFormat="1" applyFont="1" applyFill="1" applyAlignment="1">
      <alignment horizontal="right" vertical="top"/>
    </xf>
    <xf numFmtId="167" fontId="8" fillId="0" borderId="0" xfId="9" applyNumberFormat="1" applyFont="1" applyFill="1" applyBorder="1" applyAlignment="1">
      <alignment vertical="center"/>
    </xf>
    <xf numFmtId="165" fontId="8" fillId="0" borderId="0" xfId="9" applyNumberFormat="1" applyFont="1" applyFill="1" applyBorder="1" applyAlignment="1">
      <alignment horizontal="right" vertical="center"/>
    </xf>
    <xf numFmtId="3" fontId="7" fillId="0" borderId="0" xfId="7" applyNumberFormat="1" applyFont="1" applyAlignment="1">
      <alignment horizontal="right" vertical="top"/>
    </xf>
    <xf numFmtId="167" fontId="7" fillId="0" borderId="0" xfId="9" applyNumberFormat="1" applyFont="1" applyFill="1" applyBorder="1" applyAlignment="1">
      <alignment vertical="center"/>
    </xf>
    <xf numFmtId="165" fontId="7" fillId="0" borderId="0" xfId="9" applyNumberFormat="1" applyFont="1" applyFill="1" applyBorder="1" applyAlignment="1">
      <alignment horizontal="right" vertical="center"/>
    </xf>
    <xf numFmtId="170" fontId="7" fillId="0" borderId="0" xfId="7" applyNumberFormat="1" applyFont="1" applyAlignment="1">
      <alignment horizontal="right" vertical="top"/>
    </xf>
    <xf numFmtId="3" fontId="8" fillId="0" borderId="0" xfId="7" applyNumberFormat="1" applyFont="1" applyAlignment="1">
      <alignment horizontal="right" vertical="center"/>
    </xf>
    <xf numFmtId="165" fontId="8" fillId="0" borderId="0" xfId="7" applyNumberFormat="1" applyFont="1" applyAlignment="1">
      <alignment horizontal="right" vertical="center"/>
    </xf>
    <xf numFmtId="0" fontId="10" fillId="0" borderId="0" xfId="0" applyFont="1" applyAlignment="1">
      <alignment horizontal="left" vertical="center" indent="2"/>
    </xf>
    <xf numFmtId="165" fontId="7" fillId="0" borderId="0" xfId="7" applyNumberFormat="1" applyFont="1" applyAlignment="1">
      <alignment horizontal="right" vertical="center"/>
    </xf>
    <xf numFmtId="0" fontId="7" fillId="0" borderId="0" xfId="3" applyFont="1" applyAlignment="1">
      <alignment horizontal="right" vertical="center" indent="1"/>
    </xf>
    <xf numFmtId="165" fontId="27" fillId="0" borderId="0" xfId="3" applyNumberFormat="1" applyFont="1" applyAlignment="1">
      <alignment horizontal="right" vertical="center"/>
    </xf>
    <xf numFmtId="165" fontId="27" fillId="0" borderId="0" xfId="7" applyNumberFormat="1" applyFont="1" applyAlignment="1">
      <alignment horizontal="right" vertical="top"/>
    </xf>
    <xf numFmtId="0" fontId="27" fillId="0" borderId="0" xfId="3" applyFont="1" applyAlignment="1">
      <alignment vertical="center"/>
    </xf>
    <xf numFmtId="167" fontId="7" fillId="0" borderId="0" xfId="14" applyNumberFormat="1" applyFont="1" applyFill="1" applyAlignment="1">
      <alignment vertical="center"/>
    </xf>
    <xf numFmtId="0" fontId="8" fillId="0" borderId="0" xfId="3" applyFont="1" applyAlignment="1">
      <alignment vertical="center"/>
    </xf>
    <xf numFmtId="165" fontId="7" fillId="0" borderId="0" xfId="3" applyNumberFormat="1" applyFont="1" applyAlignment="1">
      <alignment vertical="center"/>
    </xf>
    <xf numFmtId="0" fontId="7" fillId="0" borderId="0" xfId="3" applyFont="1" applyAlignment="1">
      <alignment horizontal="left" vertical="center" indent="2"/>
    </xf>
    <xf numFmtId="1" fontId="7" fillId="0" borderId="0" xfId="3" applyNumberFormat="1" applyFont="1" applyAlignment="1">
      <alignment horizontal="right" indent="1"/>
    </xf>
    <xf numFmtId="3" fontId="7" fillId="0" borderId="0" xfId="3" applyNumberFormat="1" applyFont="1" applyAlignment="1">
      <alignment vertical="center"/>
    </xf>
    <xf numFmtId="0" fontId="10" fillId="0" borderId="0" xfId="3" applyFont="1" applyAlignment="1">
      <alignment vertical="center"/>
    </xf>
    <xf numFmtId="0" fontId="18" fillId="0" borderId="0" xfId="10" applyFont="1"/>
    <xf numFmtId="0" fontId="18" fillId="0" borderId="0" xfId="3" applyFont="1" applyAlignment="1">
      <alignment vertical="center"/>
    </xf>
    <xf numFmtId="0" fontId="19" fillId="0" borderId="0" xfId="10" applyFont="1" applyAlignment="1">
      <alignment vertical="top"/>
    </xf>
    <xf numFmtId="164" fontId="3" fillId="0" borderId="0" xfId="4" applyFont="1">
      <alignment vertical="center"/>
    </xf>
    <xf numFmtId="0" fontId="7" fillId="0" borderId="0" xfId="11" applyFont="1"/>
    <xf numFmtId="0" fontId="7" fillId="0" borderId="0" xfId="11" applyFont="1" applyAlignment="1">
      <alignment horizontal="left" vertical="center" wrapText="1"/>
    </xf>
    <xf numFmtId="0" fontId="7" fillId="0" borderId="0" xfId="11" applyFont="1" applyAlignment="1">
      <alignment horizontal="left" indent="2"/>
    </xf>
    <xf numFmtId="171" fontId="7" fillId="0" borderId="0" xfId="7" applyNumberFormat="1" applyFont="1" applyFill="1" applyAlignment="1"/>
    <xf numFmtId="171" fontId="7" fillId="0" borderId="0" xfId="7" applyNumberFormat="1" applyFont="1" applyFill="1" applyAlignment="1">
      <alignment horizontal="right" vertical="center"/>
    </xf>
    <xf numFmtId="171" fontId="7" fillId="0" borderId="0" xfId="7" applyNumberFormat="1" applyFont="1" applyFill="1" applyAlignment="1">
      <alignment vertical="center"/>
    </xf>
    <xf numFmtId="171" fontId="7" fillId="0" borderId="0" xfId="7" applyNumberFormat="1" applyFont="1" applyFill="1" applyAlignment="1">
      <alignment horizontal="right"/>
    </xf>
    <xf numFmtId="172" fontId="7" fillId="0" borderId="0" xfId="7" applyNumberFormat="1" applyFont="1" applyFill="1" applyAlignment="1"/>
    <xf numFmtId="172" fontId="7" fillId="0" borderId="0" xfId="7" applyNumberFormat="1" applyFont="1" applyFill="1" applyAlignment="1">
      <alignment horizontal="right" vertical="center"/>
    </xf>
    <xf numFmtId="0" fontId="7" fillId="0" borderId="0" xfId="11" applyFont="1" applyAlignment="1">
      <alignment horizontal="left" indent="1"/>
    </xf>
    <xf numFmtId="173" fontId="8" fillId="0" borderId="0" xfId="7" applyNumberFormat="1" applyFont="1" applyFill="1" applyAlignment="1">
      <alignment vertical="center"/>
    </xf>
    <xf numFmtId="171" fontId="8" fillId="0" borderId="0" xfId="7" applyNumberFormat="1" applyFont="1" applyFill="1" applyAlignment="1">
      <alignment horizontal="right" vertical="center"/>
    </xf>
    <xf numFmtId="173" fontId="7" fillId="0" borderId="0" xfId="7" applyNumberFormat="1" applyFont="1" applyFill="1" applyAlignment="1"/>
    <xf numFmtId="173" fontId="8" fillId="0" borderId="0" xfId="7" applyNumberFormat="1" applyFont="1" applyFill="1" applyAlignment="1"/>
    <xf numFmtId="3" fontId="28" fillId="0" borderId="0" xfId="0" applyNumberFormat="1" applyFont="1"/>
    <xf numFmtId="173" fontId="7" fillId="0" borderId="0" xfId="7" applyNumberFormat="1" applyFont="1" applyAlignment="1"/>
    <xf numFmtId="0" fontId="8" fillId="0" borderId="0" xfId="11" applyFont="1"/>
    <xf numFmtId="173" fontId="7" fillId="0" borderId="0" xfId="3" applyNumberFormat="1" applyFont="1"/>
    <xf numFmtId="173" fontId="7" fillId="0" borderId="0" xfId="7" applyNumberFormat="1" applyFont="1" applyAlignment="1">
      <alignment horizontal="right" vertical="center"/>
    </xf>
    <xf numFmtId="2" fontId="7" fillId="0" borderId="0" xfId="11" applyNumberFormat="1" applyFont="1" applyAlignment="1">
      <alignment vertical="center"/>
    </xf>
    <xf numFmtId="3" fontId="7" fillId="0" borderId="0" xfId="11" applyNumberFormat="1" applyFont="1" applyAlignment="1">
      <alignment horizontal="right" vertical="center"/>
    </xf>
    <xf numFmtId="0" fontId="8" fillId="0" borderId="0" xfId="5" applyFont="1" applyAlignment="1">
      <alignment horizontal="left" vertical="center" indent="2"/>
    </xf>
    <xf numFmtId="165" fontId="7" fillId="0" borderId="0" xfId="11" applyNumberFormat="1" applyFont="1" applyAlignment="1">
      <alignment horizontal="right" vertical="center"/>
    </xf>
    <xf numFmtId="165" fontId="7" fillId="0" borderId="0" xfId="7" applyNumberFormat="1" applyFont="1" applyFill="1" applyAlignment="1">
      <alignment horizontal="right" vertical="top"/>
    </xf>
    <xf numFmtId="174" fontId="7" fillId="0" borderId="0" xfId="16" applyNumberFormat="1" applyFont="1" applyFill="1" applyBorder="1" applyAlignment="1">
      <alignment vertical="center"/>
    </xf>
    <xf numFmtId="165" fontId="7" fillId="0" borderId="0" xfId="16" applyNumberFormat="1" applyFont="1" applyFill="1" applyBorder="1" applyAlignment="1">
      <alignment horizontal="right" vertical="center"/>
    </xf>
    <xf numFmtId="165" fontId="7" fillId="0" borderId="0" xfId="17" applyNumberFormat="1" applyFont="1" applyFill="1" applyBorder="1" applyAlignment="1">
      <alignment horizontal="right" vertical="center"/>
    </xf>
    <xf numFmtId="165" fontId="7" fillId="0" borderId="0" xfId="18" applyNumberFormat="1" applyFont="1" applyFill="1" applyAlignment="1">
      <alignment horizontal="right" vertical="center"/>
    </xf>
    <xf numFmtId="0" fontId="18" fillId="0" borderId="0" xfId="3" applyFont="1" applyAlignment="1">
      <alignment horizontal="right" vertical="center"/>
    </xf>
    <xf numFmtId="0" fontId="19" fillId="0" borderId="0" xfId="3" applyFont="1" applyAlignment="1">
      <alignment horizontal="right" vertical="center"/>
    </xf>
    <xf numFmtId="0" fontId="18" fillId="0" borderId="0" xfId="19" applyFont="1" applyAlignment="1">
      <alignment vertical="center"/>
    </xf>
    <xf numFmtId="0" fontId="20" fillId="0" borderId="0" xfId="3" applyFont="1"/>
    <xf numFmtId="0" fontId="19" fillId="0" borderId="0" xfId="3" applyFont="1"/>
    <xf numFmtId="0" fontId="18" fillId="0" borderId="0" xfId="20" applyNumberFormat="1" applyFont="1" applyAlignment="1">
      <alignment horizontal="left" vertical="center"/>
    </xf>
    <xf numFmtId="0" fontId="19" fillId="0" borderId="0" xfId="3" applyFont="1" applyAlignment="1">
      <alignment horizontal="right"/>
    </xf>
    <xf numFmtId="0" fontId="8" fillId="0" borderId="1" xfId="6" applyFont="1" applyBorder="1" applyAlignment="1">
      <alignment horizontal="right" vertical="center" wrapText="1"/>
    </xf>
    <xf numFmtId="169" fontId="8" fillId="0" borderId="0" xfId="9" applyNumberFormat="1" applyFont="1" applyBorder="1" applyAlignment="1">
      <alignment vertical="center"/>
    </xf>
    <xf numFmtId="169" fontId="7" fillId="0" borderId="0" xfId="9" applyNumberFormat="1" applyFont="1" applyBorder="1" applyAlignment="1">
      <alignment vertical="center"/>
    </xf>
    <xf numFmtId="3" fontId="7" fillId="0" borderId="0" xfId="9" applyNumberFormat="1" applyFont="1" applyBorder="1" applyAlignment="1">
      <alignment horizontal="right" vertical="center"/>
    </xf>
    <xf numFmtId="0" fontId="8" fillId="0" borderId="0" xfId="0" applyFont="1" applyAlignment="1">
      <alignment horizontal="left" vertical="center" wrapText="1" indent="1"/>
    </xf>
    <xf numFmtId="0" fontId="10" fillId="0" borderId="0" xfId="5" applyFont="1" applyAlignment="1">
      <alignment horizontal="left" vertical="center" indent="2"/>
    </xf>
    <xf numFmtId="3" fontId="8" fillId="0" borderId="0" xfId="9" applyNumberFormat="1" applyFont="1" applyBorder="1" applyAlignment="1">
      <alignment horizontal="right" vertical="center"/>
    </xf>
    <xf numFmtId="165" fontId="7" fillId="0" borderId="0" xfId="9" applyNumberFormat="1" applyFont="1" applyBorder="1" applyAlignment="1">
      <alignment horizontal="right" vertical="center"/>
    </xf>
    <xf numFmtId="165" fontId="8" fillId="0" borderId="0" xfId="9" applyNumberFormat="1" applyFont="1" applyBorder="1" applyAlignment="1">
      <alignment horizontal="right" vertical="center"/>
    </xf>
    <xf numFmtId="167" fontId="8" fillId="0" borderId="0" xfId="9" applyNumberFormat="1" applyFont="1" applyBorder="1" applyAlignment="1">
      <alignment vertical="center"/>
    </xf>
    <xf numFmtId="0" fontId="8" fillId="0" borderId="0" xfId="0" applyFont="1" applyAlignment="1">
      <alignment horizontal="left" vertical="center" indent="2"/>
    </xf>
    <xf numFmtId="0" fontId="7" fillId="0" borderId="4" xfId="3" applyFont="1" applyBorder="1" applyAlignment="1">
      <alignment vertical="center"/>
    </xf>
    <xf numFmtId="0" fontId="7" fillId="0" borderId="0" xfId="11" applyFont="1" applyAlignment="1">
      <alignment vertical="center"/>
    </xf>
    <xf numFmtId="0" fontId="7" fillId="0" borderId="0" xfId="12" applyFont="1" applyAlignment="1">
      <alignment vertical="center"/>
    </xf>
    <xf numFmtId="0" fontId="8" fillId="0" borderId="0" xfId="11" applyFont="1" applyAlignment="1">
      <alignment horizontal="right" vertical="center"/>
    </xf>
    <xf numFmtId="0" fontId="10" fillId="0" borderId="0" xfId="11" applyFont="1" applyAlignment="1">
      <alignment horizontal="right" vertical="center"/>
    </xf>
    <xf numFmtId="173" fontId="7" fillId="0" borderId="0" xfId="7" applyNumberFormat="1" applyFont="1" applyAlignment="1">
      <alignment vertical="center"/>
    </xf>
    <xf numFmtId="169" fontId="7" fillId="0" borderId="0" xfId="9" applyNumberFormat="1" applyFont="1" applyBorder="1" applyAlignment="1">
      <alignment horizontal="center" vertical="center"/>
    </xf>
    <xf numFmtId="0" fontId="10" fillId="0" borderId="0" xfId="0" applyFont="1" applyAlignment="1">
      <alignment horizontal="left" vertical="center" wrapText="1" indent="1"/>
    </xf>
    <xf numFmtId="167" fontId="7" fillId="0" borderId="0" xfId="9" applyNumberFormat="1" applyFont="1" applyBorder="1" applyAlignment="1">
      <alignment vertical="center"/>
    </xf>
    <xf numFmtId="167" fontId="7" fillId="0" borderId="0" xfId="9" applyNumberFormat="1" applyFont="1" applyAlignment="1">
      <alignment vertical="center"/>
    </xf>
    <xf numFmtId="165" fontId="7" fillId="0" borderId="0" xfId="9" applyNumberFormat="1" applyFont="1" applyAlignment="1">
      <alignment horizontal="right" vertical="center"/>
    </xf>
    <xf numFmtId="167" fontId="7" fillId="0" borderId="0" xfId="9" applyNumberFormat="1" applyFont="1" applyAlignment="1">
      <alignment horizontal="right" vertical="center"/>
    </xf>
    <xf numFmtId="167" fontId="7" fillId="0" borderId="0" xfId="9" applyNumberFormat="1" applyFont="1" applyAlignment="1">
      <alignment horizontal="right" vertical="top"/>
    </xf>
    <xf numFmtId="0" fontId="7" fillId="0" borderId="1" xfId="3" applyFont="1" applyBorder="1" applyAlignment="1">
      <alignment vertical="center"/>
    </xf>
    <xf numFmtId="0" fontId="8" fillId="0" borderId="1" xfId="3" applyFont="1" applyBorder="1" applyAlignment="1">
      <alignment horizontal="left" vertical="center" indent="2"/>
    </xf>
    <xf numFmtId="165" fontId="7" fillId="0" borderId="1" xfId="3" applyNumberFormat="1" applyFont="1" applyBorder="1" applyAlignment="1">
      <alignment horizontal="right" indent="1"/>
    </xf>
    <xf numFmtId="165" fontId="7" fillId="0" borderId="1" xfId="7" applyNumberFormat="1" applyFont="1" applyBorder="1" applyAlignment="1">
      <alignment horizontal="right" vertical="top"/>
    </xf>
    <xf numFmtId="165" fontId="18" fillId="0" borderId="0" xfId="7" applyNumberFormat="1" applyFont="1" applyBorder="1" applyAlignment="1">
      <alignment horizontal="right" vertical="top"/>
    </xf>
    <xf numFmtId="165" fontId="19" fillId="0" borderId="0" xfId="7" applyNumberFormat="1" applyFont="1" applyAlignment="1">
      <alignment horizontal="right" vertical="top"/>
    </xf>
    <xf numFmtId="0" fontId="18" fillId="0" borderId="0" xfId="21" applyNumberFormat="1" applyFont="1" applyAlignment="1">
      <alignment horizontal="left" vertical="center"/>
    </xf>
    <xf numFmtId="0" fontId="26" fillId="0" borderId="0" xfId="5" applyFont="1" applyAlignment="1">
      <alignment horizontal="left" vertical="center" indent="1"/>
    </xf>
    <xf numFmtId="0" fontId="8" fillId="0" borderId="0" xfId="3" applyFont="1" applyAlignment="1">
      <alignment horizontal="left" vertical="center" indent="1"/>
    </xf>
    <xf numFmtId="0" fontId="32" fillId="0" borderId="0" xfId="3" applyFont="1" applyAlignment="1">
      <alignment vertical="center"/>
    </xf>
    <xf numFmtId="0" fontId="8" fillId="0" borderId="0" xfId="3" applyFont="1" applyAlignment="1">
      <alignment horizontal="left" vertical="center"/>
    </xf>
    <xf numFmtId="0" fontId="8" fillId="0" borderId="0" xfId="5" applyFont="1" applyAlignment="1">
      <alignment vertical="top"/>
    </xf>
    <xf numFmtId="3" fontId="8" fillId="0" borderId="0" xfId="3" applyNumberFormat="1" applyFont="1" applyAlignment="1">
      <alignment horizontal="right" vertical="top"/>
    </xf>
    <xf numFmtId="0" fontId="8" fillId="0" borderId="0" xfId="3" applyFont="1" applyAlignment="1">
      <alignment horizontal="left" vertical="top"/>
    </xf>
    <xf numFmtId="165" fontId="7" fillId="0" borderId="0" xfId="3" applyNumberFormat="1" applyFont="1" applyAlignment="1">
      <alignment horizontal="right" vertical="top"/>
    </xf>
    <xf numFmtId="3" fontId="7" fillId="0" borderId="0" xfId="3" applyNumberFormat="1" applyFont="1" applyAlignment="1">
      <alignment horizontal="right" vertical="top"/>
    </xf>
    <xf numFmtId="3" fontId="7" fillId="0" borderId="0" xfId="22" applyNumberFormat="1" applyFont="1" applyAlignment="1">
      <alignment horizontal="right" vertical="center"/>
    </xf>
    <xf numFmtId="3" fontId="8" fillId="0" borderId="0" xfId="22" applyNumberFormat="1" applyFont="1" applyAlignment="1">
      <alignment horizontal="right" vertical="center"/>
    </xf>
    <xf numFmtId="169" fontId="7" fillId="0" borderId="0" xfId="22" applyNumberFormat="1" applyFont="1" applyAlignment="1">
      <alignment horizontal="right" vertical="top"/>
    </xf>
    <xf numFmtId="165" fontId="7" fillId="0" borderId="0" xfId="22" applyNumberFormat="1" applyFont="1" applyAlignment="1">
      <alignment horizontal="right" vertical="top"/>
    </xf>
    <xf numFmtId="3" fontId="7" fillId="0" borderId="0" xfId="22" applyNumberFormat="1" applyFont="1" applyAlignment="1">
      <alignment horizontal="right" vertical="top"/>
    </xf>
    <xf numFmtId="0" fontId="18" fillId="0" borderId="1" xfId="23" applyFont="1" applyBorder="1" applyAlignment="1">
      <alignment vertical="center"/>
    </xf>
    <xf numFmtId="0" fontId="20" fillId="0" borderId="1" xfId="3" applyFont="1" applyBorder="1" applyAlignment="1">
      <alignment vertical="center"/>
    </xf>
    <xf numFmtId="3" fontId="20" fillId="0" borderId="1" xfId="3" applyNumberFormat="1" applyFont="1" applyBorder="1" applyAlignment="1">
      <alignment horizontal="right" vertical="center"/>
    </xf>
    <xf numFmtId="0" fontId="18" fillId="0" borderId="0" xfId="24" applyFont="1" applyAlignment="1">
      <alignment horizontal="right" vertical="center"/>
    </xf>
    <xf numFmtId="0" fontId="19" fillId="0" borderId="0" xfId="24" applyFont="1" applyAlignment="1">
      <alignment horizontal="right" vertical="center"/>
    </xf>
    <xf numFmtId="0" fontId="36" fillId="0" borderId="0" xfId="11" applyFont="1"/>
    <xf numFmtId="164" fontId="4" fillId="0" borderId="0" xfId="4" applyFont="1" applyAlignment="1">
      <alignment horizontal="right"/>
    </xf>
    <xf numFmtId="164" fontId="4" fillId="0" borderId="0" xfId="4" applyFont="1" applyAlignment="1">
      <alignment horizontal="left" vertical="top"/>
    </xf>
    <xf numFmtId="165" fontId="4" fillId="0" borderId="0" xfId="11" applyNumberFormat="1" applyFont="1"/>
    <xf numFmtId="164" fontId="6" fillId="0" borderId="0" xfId="4" applyFont="1" applyAlignment="1">
      <alignment horizontal="right" vertical="top"/>
    </xf>
    <xf numFmtId="164" fontId="6" fillId="0" borderId="0" xfId="4" applyFont="1" applyAlignment="1">
      <alignment horizontal="left" vertical="top"/>
    </xf>
    <xf numFmtId="0" fontId="3" fillId="0" borderId="0" xfId="11" applyFont="1" applyAlignment="1">
      <alignment vertical="center"/>
    </xf>
    <xf numFmtId="164" fontId="6" fillId="0" borderId="0" xfId="4" applyFont="1" applyAlignment="1">
      <alignment horizontal="left" vertical="top" indent="1"/>
    </xf>
    <xf numFmtId="0" fontId="32" fillId="0" borderId="1" xfId="11" applyFont="1" applyBorder="1" applyAlignment="1">
      <alignment vertical="top"/>
    </xf>
    <xf numFmtId="0" fontId="7" fillId="0" borderId="0" xfId="11" applyFont="1" applyAlignment="1">
      <alignment vertical="top"/>
    </xf>
    <xf numFmtId="0" fontId="32" fillId="0" borderId="0" xfId="11" applyFont="1" applyAlignment="1">
      <alignment vertical="top"/>
    </xf>
    <xf numFmtId="0" fontId="37" fillId="0" borderId="1" xfId="6" applyFont="1" applyBorder="1" applyAlignment="1">
      <alignment horizontal="right" vertical="center"/>
    </xf>
    <xf numFmtId="0" fontId="32" fillId="0" borderId="0" xfId="11" applyFont="1"/>
    <xf numFmtId="0" fontId="32" fillId="0" borderId="0" xfId="11" applyFont="1" applyAlignment="1">
      <alignment horizontal="center" vertical="center"/>
    </xf>
    <xf numFmtId="0" fontId="37" fillId="0" borderId="0" xfId="11" applyFont="1" applyAlignment="1">
      <alignment horizontal="center" vertical="center"/>
    </xf>
    <xf numFmtId="165" fontId="37" fillId="0" borderId="0" xfId="11" applyNumberFormat="1" applyFont="1" applyAlignment="1">
      <alignment horizontal="right" vertical="center"/>
    </xf>
    <xf numFmtId="0" fontId="37" fillId="0" borderId="0" xfId="11" applyFont="1" applyAlignment="1">
      <alignment horizontal="right" vertical="center"/>
    </xf>
    <xf numFmtId="0" fontId="7" fillId="0" borderId="0" xfId="11" applyFont="1" applyAlignment="1">
      <alignment horizontal="right"/>
    </xf>
    <xf numFmtId="0" fontId="37" fillId="0" borderId="0" xfId="11" applyFont="1" applyAlignment="1">
      <alignment vertical="center"/>
    </xf>
    <xf numFmtId="0" fontId="8" fillId="0" borderId="0" xfId="11" applyFont="1" applyAlignment="1">
      <alignment vertical="center"/>
    </xf>
    <xf numFmtId="3" fontId="8" fillId="0" borderId="0" xfId="24" applyNumberFormat="1" applyFont="1" applyAlignment="1">
      <alignment horizontal="right" vertical="center"/>
    </xf>
    <xf numFmtId="173" fontId="8" fillId="0" borderId="0" xfId="1" applyNumberFormat="1" applyFont="1" applyAlignment="1">
      <alignment horizontal="right" vertical="center"/>
    </xf>
    <xf numFmtId="175" fontId="38" fillId="0" borderId="0" xfId="1" applyNumberFormat="1" applyFont="1" applyAlignment="1">
      <alignment vertical="center"/>
    </xf>
    <xf numFmtId="167" fontId="8" fillId="0" borderId="0" xfId="1" applyNumberFormat="1" applyFont="1" applyAlignment="1">
      <alignment horizontal="right" vertical="center"/>
    </xf>
    <xf numFmtId="0" fontId="32" fillId="0" borderId="0" xfId="11" applyFont="1" applyAlignment="1">
      <alignment vertical="center"/>
    </xf>
    <xf numFmtId="3" fontId="32" fillId="0" borderId="0" xfId="24" applyNumberFormat="1" applyFont="1" applyAlignment="1">
      <alignment horizontal="right" vertical="center"/>
    </xf>
    <xf numFmtId="173" fontId="32" fillId="0" borderId="0" xfId="1" applyNumberFormat="1" applyFont="1" applyAlignment="1">
      <alignment horizontal="right" vertical="center"/>
    </xf>
    <xf numFmtId="175" fontId="36" fillId="0" borderId="0" xfId="1" applyNumberFormat="1" applyFont="1" applyAlignment="1">
      <alignment vertical="center"/>
    </xf>
    <xf numFmtId="167" fontId="7" fillId="0" borderId="0" xfId="1" applyNumberFormat="1" applyFont="1" applyAlignment="1">
      <alignment horizontal="right" vertical="center"/>
    </xf>
    <xf numFmtId="0" fontId="39" fillId="0" borderId="0" xfId="11" applyFont="1" applyAlignment="1">
      <alignment horizontal="right" vertical="center"/>
    </xf>
    <xf numFmtId="0" fontId="7" fillId="0" borderId="0" xfId="11" applyFont="1" applyAlignment="1">
      <alignment horizontal="left" vertical="center"/>
    </xf>
    <xf numFmtId="173" fontId="7" fillId="0" borderId="0" xfId="25" applyNumberFormat="1" applyFont="1" applyAlignment="1">
      <alignment vertical="center"/>
    </xf>
    <xf numFmtId="173" fontId="7" fillId="0" borderId="0" xfId="1" applyNumberFormat="1" applyFont="1" applyAlignment="1">
      <alignment vertical="center"/>
    </xf>
    <xf numFmtId="175" fontId="32" fillId="0" borderId="0" xfId="1" applyNumberFormat="1" applyFont="1" applyAlignment="1">
      <alignment horizontal="right" vertical="center"/>
    </xf>
    <xf numFmtId="43" fontId="32" fillId="0" borderId="0" xfId="1" applyFont="1" applyAlignment="1">
      <alignment vertical="center"/>
    </xf>
    <xf numFmtId="0" fontId="37" fillId="0" borderId="0" xfId="11" applyFont="1" applyAlignment="1">
      <alignment horizontal="left" vertical="center"/>
    </xf>
    <xf numFmtId="43" fontId="40" fillId="0" borderId="0" xfId="1" applyFont="1" applyAlignment="1">
      <alignment horizontal="right" vertical="center"/>
    </xf>
    <xf numFmtId="173" fontId="40" fillId="0" borderId="0" xfId="1" applyNumberFormat="1" applyFont="1" applyFill="1" applyAlignment="1">
      <alignment horizontal="right" vertical="center"/>
    </xf>
    <xf numFmtId="0" fontId="10" fillId="0" borderId="0" xfId="11" applyFont="1" applyAlignment="1">
      <alignment vertical="center"/>
    </xf>
    <xf numFmtId="0" fontId="10" fillId="0" borderId="0" xfId="11" applyFont="1" applyAlignment="1">
      <alignment horizontal="left" vertical="center"/>
    </xf>
    <xf numFmtId="173" fontId="32" fillId="0" borderId="0" xfId="25" applyNumberFormat="1" applyFont="1" applyAlignment="1">
      <alignment vertical="center"/>
    </xf>
    <xf numFmtId="173" fontId="32" fillId="0" borderId="0" xfId="1" applyNumberFormat="1" applyFont="1" applyAlignment="1">
      <alignment vertical="center"/>
    </xf>
    <xf numFmtId="0" fontId="8" fillId="0" borderId="0" xfId="11" applyFont="1" applyAlignment="1">
      <alignment horizontal="center" vertical="center"/>
    </xf>
    <xf numFmtId="175" fontId="37" fillId="0" borderId="0" xfId="1" applyNumberFormat="1" applyFont="1" applyAlignment="1">
      <alignment horizontal="right" vertical="center"/>
    </xf>
    <xf numFmtId="43" fontId="37" fillId="0" borderId="0" xfId="1" applyFont="1" applyAlignment="1">
      <alignment vertical="center"/>
    </xf>
    <xf numFmtId="3" fontId="7" fillId="0" borderId="0" xfId="24" applyNumberFormat="1" applyFont="1" applyAlignment="1">
      <alignment horizontal="right" vertical="center"/>
    </xf>
    <xf numFmtId="173" fontId="7" fillId="0" borderId="0" xfId="1" applyNumberFormat="1" applyFont="1" applyAlignment="1">
      <alignment horizontal="right" vertical="center"/>
    </xf>
    <xf numFmtId="175" fontId="3" fillId="0" borderId="0" xfId="1" applyNumberFormat="1" applyFont="1" applyAlignment="1">
      <alignment vertical="center"/>
    </xf>
    <xf numFmtId="175" fontId="7" fillId="0" borderId="0" xfId="1" applyNumberFormat="1" applyFont="1" applyAlignment="1">
      <alignment horizontal="right" vertical="center"/>
    </xf>
    <xf numFmtId="43" fontId="7" fillId="0" borderId="0" xfId="1" applyFont="1" applyFill="1" applyAlignment="1">
      <alignment vertical="center"/>
    </xf>
    <xf numFmtId="43" fontId="41" fillId="0" borderId="0" xfId="1" applyFont="1" applyFill="1" applyAlignment="1">
      <alignment horizontal="right" vertical="center"/>
    </xf>
    <xf numFmtId="173" fontId="41" fillId="0" borderId="0" xfId="1" applyNumberFormat="1" applyFont="1" applyFill="1" applyAlignment="1">
      <alignment horizontal="right" vertical="center"/>
    </xf>
    <xf numFmtId="3" fontId="37" fillId="0" borderId="0" xfId="24" applyNumberFormat="1" applyFont="1" applyAlignment="1">
      <alignment horizontal="right" vertical="center"/>
    </xf>
    <xf numFmtId="173" fontId="37" fillId="0" borderId="0" xfId="1" applyNumberFormat="1" applyFont="1" applyAlignment="1">
      <alignment horizontal="right" vertical="center"/>
    </xf>
    <xf numFmtId="173" fontId="7" fillId="0" borderId="0" xfId="9" applyNumberFormat="1" applyFont="1" applyFill="1" applyAlignment="1">
      <alignment vertical="center"/>
    </xf>
    <xf numFmtId="173" fontId="7" fillId="0" borderId="0" xfId="1" applyNumberFormat="1" applyFont="1" applyFill="1" applyAlignment="1">
      <alignment vertical="center"/>
    </xf>
    <xf numFmtId="0" fontId="8" fillId="0" borderId="1" xfId="11" applyFont="1" applyBorder="1" applyAlignment="1">
      <alignment vertical="center"/>
    </xf>
    <xf numFmtId="0" fontId="7" fillId="0" borderId="1" xfId="11" applyFont="1" applyBorder="1" applyAlignment="1">
      <alignment vertical="center"/>
    </xf>
    <xf numFmtId="173" fontId="7" fillId="0" borderId="1" xfId="1" applyNumberFormat="1" applyFont="1" applyFill="1" applyBorder="1" applyAlignment="1">
      <alignment vertical="center"/>
    </xf>
    <xf numFmtId="175" fontId="32" fillId="0" borderId="1" xfId="1" applyNumberFormat="1" applyFont="1" applyBorder="1" applyAlignment="1">
      <alignment horizontal="right" vertical="center"/>
    </xf>
    <xf numFmtId="167" fontId="7" fillId="0" borderId="1" xfId="1" applyNumberFormat="1" applyFont="1" applyBorder="1" applyAlignment="1">
      <alignment horizontal="right" vertical="center"/>
    </xf>
    <xf numFmtId="173" fontId="32" fillId="0" borderId="0" xfId="9" applyNumberFormat="1" applyFont="1" applyFill="1" applyAlignment="1">
      <alignment vertical="center"/>
    </xf>
    <xf numFmtId="175" fontId="32" fillId="0" borderId="0" xfId="1" applyNumberFormat="1" applyFont="1" applyFill="1" applyAlignment="1">
      <alignment vertical="center"/>
    </xf>
    <xf numFmtId="0" fontId="7" fillId="0" borderId="0" xfId="11" applyFont="1" applyAlignment="1">
      <alignment vertical="center" wrapText="1"/>
    </xf>
    <xf numFmtId="165" fontId="8" fillId="0" borderId="0" xfId="24" applyNumberFormat="1" applyFont="1" applyAlignment="1">
      <alignment horizontal="right" vertical="center"/>
    </xf>
    <xf numFmtId="175" fontId="8" fillId="0" borderId="0" xfId="1" applyNumberFormat="1" applyFont="1" applyAlignment="1">
      <alignment horizontal="right" vertical="center"/>
    </xf>
    <xf numFmtId="0" fontId="36" fillId="0" borderId="4" xfId="11" applyFont="1" applyBorder="1" applyAlignment="1">
      <alignment vertical="center"/>
    </xf>
    <xf numFmtId="0" fontId="3" fillId="0" borderId="4" xfId="11" applyFont="1" applyBorder="1" applyAlignment="1">
      <alignment vertical="center"/>
    </xf>
    <xf numFmtId="0" fontId="36" fillId="0" borderId="0" xfId="11" applyFont="1" applyAlignment="1">
      <alignment vertical="center"/>
    </xf>
    <xf numFmtId="0" fontId="42" fillId="0" borderId="0" xfId="12" applyFont="1" applyAlignment="1">
      <alignment vertical="center"/>
    </xf>
    <xf numFmtId="0" fontId="42" fillId="0" borderId="0" xfId="11" applyFont="1" applyAlignment="1">
      <alignment vertical="center"/>
    </xf>
    <xf numFmtId="0" fontId="43" fillId="0" borderId="0" xfId="19" applyFont="1" applyAlignment="1">
      <alignment vertical="center"/>
    </xf>
    <xf numFmtId="0" fontId="42" fillId="0" borderId="0" xfId="11" applyFont="1"/>
    <xf numFmtId="0" fontId="43" fillId="0" borderId="0" xfId="11" applyFont="1" applyAlignment="1">
      <alignment vertical="center"/>
    </xf>
    <xf numFmtId="0" fontId="42" fillId="0" borderId="0" xfId="11" applyFont="1" applyAlignment="1">
      <alignment vertical="center" wrapText="1"/>
    </xf>
    <xf numFmtId="0" fontId="42" fillId="2" borderId="0" xfId="11" applyFont="1" applyFill="1"/>
    <xf numFmtId="0" fontId="42" fillId="0" borderId="0" xfId="11" applyFont="1" applyAlignment="1">
      <alignment horizontal="left"/>
    </xf>
    <xf numFmtId="0" fontId="44" fillId="0" borderId="0" xfId="11" applyFont="1" applyAlignment="1">
      <alignment vertical="center"/>
    </xf>
    <xf numFmtId="0" fontId="36" fillId="2" borderId="0" xfId="11" applyFont="1" applyFill="1"/>
    <xf numFmtId="0" fontId="7" fillId="0" borderId="0" xfId="3" applyFont="1" applyAlignment="1">
      <alignment horizontal="left"/>
    </xf>
    <xf numFmtId="164" fontId="4" fillId="0" borderId="0" xfId="4" applyFont="1" applyAlignment="1">
      <alignment horizontal="left" vertical="center"/>
    </xf>
    <xf numFmtId="0" fontId="3" fillId="0" borderId="0" xfId="3" applyFont="1" applyAlignment="1">
      <alignment horizontal="left"/>
    </xf>
    <xf numFmtId="165" fontId="4" fillId="0" borderId="0" xfId="3" applyNumberFormat="1" applyFont="1" applyAlignment="1">
      <alignment horizontal="left"/>
    </xf>
    <xf numFmtId="0" fontId="3" fillId="0" borderId="0" xfId="3" applyFont="1" applyAlignment="1">
      <alignment horizontal="left" vertical="top"/>
    </xf>
    <xf numFmtId="0" fontId="3" fillId="0" borderId="0" xfId="5" applyFont="1" applyAlignment="1">
      <alignment horizontal="left" vertical="center"/>
    </xf>
    <xf numFmtId="0" fontId="7" fillId="0" borderId="0" xfId="5" applyFont="1" applyAlignment="1">
      <alignment horizontal="left" vertical="center"/>
    </xf>
    <xf numFmtId="0" fontId="12" fillId="0" borderId="2" xfId="0" applyFont="1" applyBorder="1" applyAlignment="1">
      <alignment vertical="center" wrapText="1"/>
    </xf>
    <xf numFmtId="0" fontId="18" fillId="0" borderId="0" xfId="0" applyFont="1" applyAlignment="1">
      <alignment horizontal="right" vertical="center" wrapText="1" readingOrder="1"/>
    </xf>
    <xf numFmtId="0" fontId="45" fillId="0" borderId="0" xfId="0" applyFont="1"/>
    <xf numFmtId="167" fontId="20" fillId="0" borderId="0" xfId="0" applyNumberFormat="1" applyFont="1" applyAlignment="1">
      <alignment horizontal="right" vertical="center" wrapText="1" readingOrder="1"/>
    </xf>
    <xf numFmtId="167" fontId="42" fillId="0" borderId="0" xfId="0" applyNumberFormat="1" applyFont="1" applyAlignment="1">
      <alignment horizontal="right" vertical="center" wrapText="1" readingOrder="1"/>
    </xf>
    <xf numFmtId="3" fontId="46" fillId="0" borderId="0" xfId="0" applyNumberFormat="1" applyFont="1" applyAlignment="1">
      <alignment horizontal="right" vertical="top" wrapText="1"/>
    </xf>
    <xf numFmtId="3" fontId="46" fillId="0" borderId="0" xfId="0" applyNumberFormat="1" applyFont="1" applyAlignment="1">
      <alignment horizontal="right" vertical="center" wrapText="1"/>
    </xf>
    <xf numFmtId="3" fontId="8" fillId="0" borderId="0" xfId="0" applyNumberFormat="1" applyFont="1" applyAlignment="1">
      <alignment horizontal="right" vertical="center" wrapText="1"/>
    </xf>
    <xf numFmtId="3" fontId="18" fillId="0" borderId="0" xfId="0" applyNumberFormat="1" applyFont="1" applyAlignment="1">
      <alignment horizontal="right" vertical="center" wrapText="1" readingOrder="1"/>
    </xf>
    <xf numFmtId="3" fontId="43" fillId="0" borderId="0" xfId="0" applyNumberFormat="1" applyFont="1" applyAlignment="1">
      <alignment horizontal="right" vertical="center" wrapText="1" readingOrder="1"/>
    </xf>
    <xf numFmtId="0" fontId="3" fillId="0" borderId="0" xfId="0" applyFont="1"/>
    <xf numFmtId="0" fontId="10" fillId="0" borderId="0" xfId="5" applyFont="1" applyAlignment="1">
      <alignment vertical="top"/>
    </xf>
    <xf numFmtId="3" fontId="48" fillId="0" borderId="0" xfId="0" applyNumberFormat="1" applyFont="1" applyAlignment="1">
      <alignment horizontal="right" vertical="top" wrapText="1"/>
    </xf>
    <xf numFmtId="3" fontId="48" fillId="0" borderId="0" xfId="0" applyNumberFormat="1" applyFont="1" applyAlignment="1">
      <alignment horizontal="right" vertical="center" wrapText="1"/>
    </xf>
    <xf numFmtId="3" fontId="7" fillId="0" borderId="0" xfId="0" applyNumberFormat="1" applyFont="1" applyAlignment="1">
      <alignment horizontal="right" vertical="center" wrapText="1"/>
    </xf>
    <xf numFmtId="0" fontId="46" fillId="0" borderId="0" xfId="0" applyFont="1" applyAlignment="1">
      <alignment horizontal="left" vertical="top" wrapText="1" indent="2"/>
    </xf>
    <xf numFmtId="0" fontId="47" fillId="0" borderId="0" xfId="0" applyFont="1" applyAlignment="1">
      <alignment horizontal="left" vertical="top" wrapText="1" indent="2"/>
    </xf>
    <xf numFmtId="173" fontId="49" fillId="0" borderId="0" xfId="26" applyNumberFormat="1" applyFont="1" applyFill="1" applyAlignment="1">
      <alignment horizontal="right" vertical="center" wrapText="1" readingOrder="1"/>
    </xf>
    <xf numFmtId="0" fontId="45" fillId="0" borderId="1" xfId="0" applyFont="1" applyBorder="1"/>
    <xf numFmtId="0" fontId="20" fillId="0" borderId="0" xfId="24" applyFont="1" applyAlignment="1">
      <alignment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8" fillId="0" borderId="1" xfId="0" applyFont="1" applyBorder="1" applyAlignment="1">
      <alignment vertical="center" wrapText="1"/>
    </xf>
    <xf numFmtId="0" fontId="12" fillId="0" borderId="0" xfId="0" applyFont="1" applyAlignment="1">
      <alignment horizontal="center" vertical="center"/>
    </xf>
    <xf numFmtId="0" fontId="16" fillId="0" borderId="2" xfId="0" applyFont="1" applyBorder="1" applyAlignment="1">
      <alignment horizontal="center" vertical="center"/>
    </xf>
    <xf numFmtId="0" fontId="12" fillId="0" borderId="1" xfId="0" applyFont="1" applyBorder="1" applyAlignment="1">
      <alignment horizontal="right" vertical="center"/>
    </xf>
    <xf numFmtId="0" fontId="16" fillId="0" borderId="0" xfId="0" applyFont="1" applyAlignment="1">
      <alignment horizontal="center" vertical="center"/>
    </xf>
    <xf numFmtId="0" fontId="16" fillId="0" borderId="0" xfId="0" applyFont="1" applyAlignment="1">
      <alignment vertical="center"/>
    </xf>
    <xf numFmtId="0" fontId="16"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2" fillId="0" borderId="0" xfId="0" applyFont="1" applyAlignment="1">
      <alignment vertical="center"/>
    </xf>
    <xf numFmtId="0" fontId="8" fillId="0" borderId="0" xfId="0" applyFont="1" applyAlignment="1">
      <alignment vertical="center" wrapText="1"/>
    </xf>
    <xf numFmtId="174" fontId="12" fillId="0" borderId="0" xfId="0" applyNumberFormat="1" applyFont="1" applyAlignment="1">
      <alignment vertical="center"/>
    </xf>
    <xf numFmtId="165" fontId="12" fillId="0" borderId="0" xfId="0" applyNumberFormat="1" applyFont="1" applyAlignment="1">
      <alignment horizontal="right" vertical="center"/>
    </xf>
    <xf numFmtId="0" fontId="16" fillId="0" borderId="0" xfId="24" applyFont="1" applyAlignment="1">
      <alignment horizontal="left" vertical="center" wrapText="1" indent="2"/>
    </xf>
    <xf numFmtId="174" fontId="16" fillId="0" borderId="0" xfId="27" applyNumberFormat="1" applyFont="1" applyFill="1" applyBorder="1" applyAlignment="1">
      <alignment vertical="center"/>
    </xf>
    <xf numFmtId="165" fontId="16" fillId="0" borderId="0" xfId="27" applyNumberFormat="1" applyFont="1" applyFill="1" applyBorder="1" applyAlignment="1">
      <alignment horizontal="right" vertical="center"/>
    </xf>
    <xf numFmtId="0" fontId="52" fillId="0" borderId="0" xfId="24" applyFont="1" applyAlignment="1">
      <alignment horizontal="left" vertical="center" wrapText="1" indent="2"/>
    </xf>
    <xf numFmtId="0" fontId="52" fillId="0" borderId="0" xfId="24" applyFont="1" applyAlignment="1">
      <alignment horizontal="left" vertical="center"/>
    </xf>
    <xf numFmtId="0" fontId="52" fillId="0" borderId="0" xfId="24" applyFont="1" applyAlignment="1">
      <alignment vertical="center" wrapText="1"/>
    </xf>
    <xf numFmtId="174" fontId="12" fillId="0" borderId="0" xfId="27" applyNumberFormat="1" applyFont="1" applyFill="1" applyBorder="1" applyAlignment="1">
      <alignment vertical="center"/>
    </xf>
    <xf numFmtId="165" fontId="12" fillId="0" borderId="0" xfId="27" applyNumberFormat="1" applyFont="1" applyFill="1" applyBorder="1" applyAlignment="1">
      <alignment horizontal="right" vertical="center"/>
    </xf>
    <xf numFmtId="165" fontId="52" fillId="0" borderId="0" xfId="27" applyNumberFormat="1" applyFont="1" applyFill="1" applyBorder="1" applyAlignment="1">
      <alignment horizontal="right" vertical="center"/>
    </xf>
    <xf numFmtId="0" fontId="52" fillId="0" borderId="0" xfId="0" applyFont="1" applyAlignment="1">
      <alignment horizontal="left" vertical="center" wrapText="1"/>
    </xf>
    <xf numFmtId="0" fontId="16" fillId="0" borderId="0" xfId="0" applyFont="1" applyAlignment="1">
      <alignment horizontal="left" vertical="center" wrapText="1"/>
    </xf>
    <xf numFmtId="0" fontId="54" fillId="0" borderId="0" xfId="24" applyFont="1" applyAlignment="1">
      <alignment vertical="center" wrapText="1"/>
    </xf>
    <xf numFmtId="0" fontId="54" fillId="0" borderId="0" xfId="24" applyFont="1" applyAlignment="1">
      <alignment horizontal="left" vertical="center" wrapText="1" indent="2"/>
    </xf>
    <xf numFmtId="41" fontId="16" fillId="0" borderId="0" xfId="27" applyFont="1" applyFill="1" applyBorder="1" applyAlignment="1">
      <alignment vertical="center"/>
    </xf>
    <xf numFmtId="3" fontId="16" fillId="0" borderId="0" xfId="27" applyNumberFormat="1" applyFont="1" applyFill="1" applyBorder="1" applyAlignment="1">
      <alignment horizontal="right" vertical="center"/>
    </xf>
    <xf numFmtId="0" fontId="16" fillId="0" borderId="1" xfId="0" applyFont="1" applyBorder="1" applyAlignment="1">
      <alignment vertical="center"/>
    </xf>
    <xf numFmtId="0" fontId="16" fillId="0" borderId="1" xfId="0" applyFont="1" applyBorder="1" applyAlignment="1">
      <alignment horizontal="center" vertical="center"/>
    </xf>
    <xf numFmtId="0" fontId="54" fillId="0" borderId="1" xfId="24" applyFont="1" applyBorder="1" applyAlignment="1">
      <alignment horizontal="left" vertical="center" wrapText="1" indent="2"/>
    </xf>
    <xf numFmtId="41" fontId="16" fillId="0" borderId="1" xfId="27" applyFont="1" applyFill="1" applyBorder="1" applyAlignment="1">
      <alignment vertical="center"/>
    </xf>
    <xf numFmtId="3" fontId="16" fillId="0" borderId="1" xfId="27" applyNumberFormat="1" applyFont="1" applyFill="1" applyBorder="1" applyAlignment="1">
      <alignment horizontal="right" vertical="center"/>
    </xf>
    <xf numFmtId="0" fontId="52" fillId="0" borderId="0" xfId="24" applyFont="1" applyAlignment="1">
      <alignment horizontal="left" wrapText="1" indent="2"/>
    </xf>
    <xf numFmtId="0" fontId="18" fillId="3" borderId="0" xfId="0" applyFont="1" applyFill="1" applyAlignment="1">
      <alignment horizontal="right"/>
    </xf>
    <xf numFmtId="176" fontId="19" fillId="3" borderId="0" xfId="28" applyFont="1" applyFill="1" applyAlignment="1">
      <alignment horizontal="right"/>
    </xf>
    <xf numFmtId="41" fontId="20" fillId="0" borderId="0" xfId="27" applyFont="1" applyFill="1" applyBorder="1" applyAlignment="1">
      <alignment vertical="center"/>
    </xf>
    <xf numFmtId="0" fontId="57" fillId="0" borderId="0" xfId="0" applyFont="1" applyAlignment="1">
      <alignment vertical="center"/>
    </xf>
    <xf numFmtId="0" fontId="18" fillId="0" borderId="0" xfId="29" applyFont="1"/>
    <xf numFmtId="0" fontId="12" fillId="0" borderId="0" xfId="0" quotePrefix="1" applyFont="1" applyAlignment="1">
      <alignment vertical="center"/>
    </xf>
    <xf numFmtId="0" fontId="58" fillId="0" borderId="0" xfId="29" applyFont="1" applyAlignment="1">
      <alignment horizontal="left"/>
    </xf>
    <xf numFmtId="0" fontId="7" fillId="0" borderId="0" xfId="0" applyFont="1" applyAlignment="1">
      <alignment vertical="center" wrapText="1"/>
    </xf>
    <xf numFmtId="0" fontId="7" fillId="0" borderId="0" xfId="0" applyFont="1" applyAlignment="1">
      <alignment vertical="center"/>
    </xf>
    <xf numFmtId="0" fontId="59" fillId="0" borderId="0" xfId="29" applyFont="1" applyAlignment="1">
      <alignment horizontal="left"/>
    </xf>
    <xf numFmtId="0" fontId="12" fillId="0" borderId="2" xfId="0" applyFont="1" applyBorder="1" applyAlignment="1">
      <alignment horizontal="right" vertical="center"/>
    </xf>
    <xf numFmtId="0" fontId="53" fillId="0" borderId="0" xfId="24" applyFont="1" applyAlignment="1">
      <alignment vertical="center" wrapText="1"/>
    </xf>
    <xf numFmtId="165" fontId="16" fillId="0" borderId="0" xfId="0" applyNumberFormat="1" applyFont="1" applyAlignment="1">
      <alignment horizontal="right" vertical="center"/>
    </xf>
    <xf numFmtId="3" fontId="16" fillId="0" borderId="0" xfId="0" applyNumberFormat="1" applyFont="1" applyAlignment="1">
      <alignment horizontal="right" vertical="center"/>
    </xf>
    <xf numFmtId="0" fontId="52" fillId="0" borderId="0" xfId="24" applyFont="1" applyAlignment="1">
      <alignment horizontal="left" vertical="center" wrapText="1"/>
    </xf>
    <xf numFmtId="0" fontId="7" fillId="0" borderId="0" xfId="24" applyFont="1" applyAlignment="1">
      <alignment vertical="center"/>
    </xf>
    <xf numFmtId="41" fontId="53" fillId="0" borderId="0" xfId="27" applyFont="1" applyFill="1" applyBorder="1" applyAlignment="1">
      <alignment horizontal="right" vertical="center"/>
    </xf>
    <xf numFmtId="3" fontId="53" fillId="0" borderId="0" xfId="27" applyNumberFormat="1" applyFont="1" applyFill="1" applyBorder="1" applyAlignment="1">
      <alignment horizontal="right" vertical="center"/>
    </xf>
    <xf numFmtId="41" fontId="52" fillId="0" borderId="0" xfId="27" applyFont="1" applyFill="1" applyBorder="1" applyAlignment="1">
      <alignment horizontal="right" vertical="center"/>
    </xf>
    <xf numFmtId="3" fontId="52" fillId="0" borderId="0" xfId="27" applyNumberFormat="1" applyFont="1" applyFill="1" applyBorder="1" applyAlignment="1">
      <alignment horizontal="right" vertical="center"/>
    </xf>
    <xf numFmtId="0" fontId="52" fillId="0" borderId="1" xfId="24" applyFont="1" applyBorder="1" applyAlignment="1">
      <alignment horizontal="left" vertical="center" wrapText="1" indent="2"/>
    </xf>
    <xf numFmtId="41" fontId="52" fillId="0" borderId="1" xfId="27" applyFont="1" applyFill="1" applyBorder="1" applyAlignment="1">
      <alignment horizontal="right" vertical="center"/>
    </xf>
    <xf numFmtId="3" fontId="52" fillId="0" borderId="1" xfId="27" applyNumberFormat="1" applyFont="1" applyFill="1" applyBorder="1" applyAlignment="1">
      <alignment horizontal="right" vertical="center"/>
    </xf>
    <xf numFmtId="0" fontId="18" fillId="3" borderId="0" xfId="0" applyFont="1" applyFill="1" applyAlignment="1">
      <alignment horizontal="right" vertical="center"/>
    </xf>
    <xf numFmtId="0" fontId="61" fillId="0" borderId="0" xfId="24" applyFont="1" applyAlignment="1">
      <alignment horizontal="right" vertical="center"/>
    </xf>
    <xf numFmtId="176" fontId="19" fillId="3" borderId="0" xfId="28" applyFont="1" applyFill="1" applyAlignment="1">
      <alignment horizontal="right" vertical="center"/>
    </xf>
    <xf numFmtId="0" fontId="63" fillId="0" borderId="0" xfId="24" applyFont="1" applyAlignment="1">
      <alignment horizontal="right" vertical="center"/>
    </xf>
    <xf numFmtId="41" fontId="57" fillId="0" borderId="0" xfId="27" applyFont="1" applyFill="1" applyBorder="1" applyAlignment="1">
      <alignment vertical="center"/>
    </xf>
    <xf numFmtId="0" fontId="12" fillId="0" borderId="0" xfId="0" quotePrefix="1" applyFont="1" applyAlignment="1">
      <alignment horizontal="right" vertical="center"/>
    </xf>
    <xf numFmtId="0" fontId="58" fillId="0" borderId="0" xfId="29" applyFont="1" applyAlignment="1">
      <alignment horizontal="left" vertical="center"/>
    </xf>
    <xf numFmtId="0" fontId="68" fillId="0" borderId="0" xfId="29" applyFont="1" applyAlignment="1">
      <alignment horizontal="left" vertical="center"/>
    </xf>
    <xf numFmtId="0" fontId="69" fillId="0" borderId="0" xfId="29" applyFont="1" applyAlignment="1">
      <alignment horizontal="left"/>
    </xf>
    <xf numFmtId="0" fontId="70" fillId="0" borderId="0" xfId="0" applyFont="1" applyAlignment="1">
      <alignment horizontal="right" vertical="center"/>
    </xf>
    <xf numFmtId="0" fontId="70" fillId="0" borderId="0" xfId="0" applyFont="1" applyAlignment="1">
      <alignment vertical="center"/>
    </xf>
    <xf numFmtId="0" fontId="71" fillId="0" borderId="0" xfId="0" applyFont="1" applyAlignment="1">
      <alignment horizontal="right" vertical="center"/>
    </xf>
    <xf numFmtId="0" fontId="71" fillId="0" borderId="0" xfId="0" applyFont="1" applyAlignment="1">
      <alignment vertical="center"/>
    </xf>
    <xf numFmtId="0" fontId="72" fillId="0" borderId="0" xfId="0" applyFont="1" applyAlignment="1">
      <alignment vertical="center"/>
    </xf>
    <xf numFmtId="0" fontId="46" fillId="0" borderId="3" xfId="0" applyFont="1" applyBorder="1" applyAlignment="1">
      <alignment vertical="center"/>
    </xf>
    <xf numFmtId="0" fontId="46" fillId="0" borderId="3" xfId="0" applyFont="1" applyBorder="1" applyAlignment="1">
      <alignment horizontal="center" vertical="center" wrapText="1"/>
    </xf>
    <xf numFmtId="0" fontId="46" fillId="0" borderId="3" xfId="0" applyFont="1" applyBorder="1" applyAlignment="1">
      <alignment horizontal="right" vertical="center" wrapText="1"/>
    </xf>
    <xf numFmtId="0" fontId="8" fillId="0" borderId="3" xfId="0" applyFont="1" applyBorder="1" applyAlignment="1">
      <alignment horizontal="right" vertical="center" wrapText="1"/>
    </xf>
    <xf numFmtId="0" fontId="16" fillId="0" borderId="0" xfId="0" applyFont="1"/>
    <xf numFmtId="0" fontId="47" fillId="0" borderId="1" xfId="0" applyFont="1" applyBorder="1" applyAlignment="1">
      <alignment vertical="center"/>
    </xf>
    <xf numFmtId="0" fontId="46" fillId="0" borderId="1" xfId="0" applyFont="1" applyBorder="1" applyAlignment="1">
      <alignment vertical="center" wrapText="1"/>
    </xf>
    <xf numFmtId="0" fontId="46" fillId="0" borderId="0" xfId="0" applyFont="1" applyAlignment="1">
      <alignment vertical="center"/>
    </xf>
    <xf numFmtId="0" fontId="47" fillId="0" borderId="0" xfId="0" applyFont="1" applyAlignment="1">
      <alignment vertical="center" wrapText="1"/>
    </xf>
    <xf numFmtId="0" fontId="46" fillId="0" borderId="0" xfId="0" applyFont="1" applyAlignment="1">
      <alignment vertical="center" wrapText="1"/>
    </xf>
    <xf numFmtId="0" fontId="46" fillId="0" borderId="0" xfId="0" applyFont="1" applyAlignment="1">
      <alignment horizontal="center" vertical="center" wrapText="1"/>
    </xf>
    <xf numFmtId="165" fontId="46" fillId="0" borderId="0" xfId="0" applyNumberFormat="1" applyFont="1" applyAlignment="1">
      <alignment horizontal="right" vertical="center" wrapText="1"/>
    </xf>
    <xf numFmtId="165" fontId="8" fillId="0" borderId="0" xfId="0" applyNumberFormat="1" applyFont="1" applyAlignment="1">
      <alignment horizontal="right" vertical="center" wrapText="1"/>
    </xf>
    <xf numFmtId="0" fontId="47" fillId="0" borderId="0" xfId="0" applyFont="1" applyAlignment="1">
      <alignment vertical="center"/>
    </xf>
    <xf numFmtId="0" fontId="46" fillId="0" borderId="0" xfId="0" applyFont="1" applyAlignment="1">
      <alignment horizontal="left" vertical="center" indent="2"/>
    </xf>
    <xf numFmtId="0" fontId="16" fillId="0" borderId="0" xfId="0" applyFont="1" applyAlignment="1">
      <alignment vertical="top" wrapText="1"/>
    </xf>
    <xf numFmtId="167" fontId="46" fillId="0" borderId="0" xfId="0" applyNumberFormat="1" applyFont="1" applyAlignment="1">
      <alignment horizontal="center" vertical="center" wrapText="1"/>
    </xf>
    <xf numFmtId="165" fontId="12" fillId="0" borderId="0" xfId="0" applyNumberFormat="1" applyFont="1" applyAlignment="1">
      <alignment horizontal="right" vertical="center" wrapText="1"/>
    </xf>
    <xf numFmtId="0" fontId="13" fillId="0" borderId="0" xfId="0" applyFont="1" applyAlignment="1">
      <alignment horizontal="left" vertical="center" indent="2"/>
    </xf>
    <xf numFmtId="0" fontId="13" fillId="0" borderId="0" xfId="0" applyFont="1" applyAlignment="1">
      <alignment vertical="center"/>
    </xf>
    <xf numFmtId="167" fontId="48" fillId="0" borderId="0" xfId="0" applyNumberFormat="1" applyFont="1" applyAlignment="1">
      <alignment horizontal="center" vertical="center" wrapText="1"/>
    </xf>
    <xf numFmtId="165" fontId="16" fillId="0" borderId="0" xfId="0" applyNumberFormat="1" applyFont="1" applyAlignment="1">
      <alignment horizontal="right" vertical="center" wrapText="1"/>
    </xf>
    <xf numFmtId="165" fontId="7" fillId="0" borderId="0" xfId="0" applyNumberFormat="1" applyFont="1" applyAlignment="1">
      <alignment horizontal="right" vertical="center" wrapText="1"/>
    </xf>
    <xf numFmtId="0" fontId="47" fillId="0" borderId="0" xfId="0" applyFont="1" applyAlignment="1">
      <alignment horizontal="left" vertical="center" indent="2"/>
    </xf>
    <xf numFmtId="0" fontId="48" fillId="0" borderId="0" xfId="0" applyFont="1" applyAlignment="1">
      <alignment vertical="center"/>
    </xf>
    <xf numFmtId="165" fontId="48" fillId="0" borderId="0" xfId="0" applyNumberFormat="1" applyFont="1" applyAlignment="1">
      <alignment horizontal="right" vertical="center"/>
    </xf>
    <xf numFmtId="165" fontId="7" fillId="0" borderId="0" xfId="0" applyNumberFormat="1" applyFont="1" applyAlignment="1">
      <alignment horizontal="right" vertical="center"/>
    </xf>
    <xf numFmtId="165" fontId="46" fillId="0" borderId="0" xfId="0" applyNumberFormat="1" applyFont="1" applyAlignment="1">
      <alignment horizontal="right" vertical="center"/>
    </xf>
    <xf numFmtId="165" fontId="8" fillId="0" borderId="0" xfId="0" applyNumberFormat="1" applyFont="1" applyAlignment="1">
      <alignment horizontal="right" vertical="center"/>
    </xf>
    <xf numFmtId="0" fontId="16" fillId="0" borderId="1" xfId="0" applyFont="1" applyBorder="1"/>
    <xf numFmtId="0" fontId="3" fillId="0" borderId="1" xfId="0" applyFont="1" applyBorder="1"/>
    <xf numFmtId="0" fontId="28" fillId="0" borderId="0" xfId="0" applyFont="1"/>
    <xf numFmtId="0" fontId="45" fillId="0" borderId="0" xfId="30" applyFont="1"/>
    <xf numFmtId="0" fontId="14" fillId="0" borderId="0" xfId="30" applyFont="1"/>
    <xf numFmtId="0" fontId="45" fillId="0" borderId="0" xfId="30" applyFont="1" applyAlignment="1">
      <alignment horizontal="right"/>
    </xf>
    <xf numFmtId="0" fontId="3" fillId="0" borderId="0" xfId="30" applyFont="1"/>
    <xf numFmtId="0" fontId="14" fillId="0" borderId="0" xfId="30" applyFont="1" applyAlignment="1">
      <alignment horizontal="right" vertical="top"/>
    </xf>
    <xf numFmtId="0" fontId="14" fillId="0" borderId="0" xfId="30" applyFont="1" applyAlignment="1">
      <alignment horizontal="right" vertical="center"/>
    </xf>
    <xf numFmtId="0" fontId="15" fillId="0" borderId="0" xfId="30" applyFont="1" applyAlignment="1">
      <alignment horizontal="right" vertical="center"/>
    </xf>
    <xf numFmtId="0" fontId="45" fillId="0" borderId="6" xfId="30" applyFont="1" applyBorder="1"/>
    <xf numFmtId="0" fontId="14" fillId="0" borderId="6" xfId="30" applyFont="1" applyBorder="1"/>
    <xf numFmtId="0" fontId="45" fillId="0" borderId="6" xfId="30" applyFont="1" applyBorder="1" applyAlignment="1">
      <alignment horizontal="right"/>
    </xf>
    <xf numFmtId="0" fontId="3" fillId="0" borderId="6" xfId="30" applyFont="1" applyBorder="1"/>
    <xf numFmtId="0" fontId="16" fillId="0" borderId="0" xfId="30" applyFont="1"/>
    <xf numFmtId="0" fontId="12" fillId="0" borderId="0" xfId="30" applyFont="1"/>
    <xf numFmtId="0" fontId="16" fillId="0" borderId="0" xfId="30" applyFont="1" applyAlignment="1">
      <alignment horizontal="right"/>
    </xf>
    <xf numFmtId="0" fontId="7" fillId="0" borderId="0" xfId="30" applyFont="1"/>
    <xf numFmtId="176" fontId="12" fillId="0" borderId="0" xfId="30" applyNumberFormat="1" applyFont="1" applyAlignment="1">
      <alignment horizontal="right" vertical="top" wrapText="1"/>
    </xf>
    <xf numFmtId="0" fontId="12" fillId="0" borderId="0" xfId="30" applyFont="1" applyAlignment="1">
      <alignment vertical="center" wrapText="1"/>
    </xf>
    <xf numFmtId="0" fontId="12" fillId="0" borderId="0" xfId="30" applyFont="1" applyAlignment="1">
      <alignment horizontal="right" vertical="center" wrapText="1"/>
    </xf>
    <xf numFmtId="0" fontId="8" fillId="0" borderId="0" xfId="30" applyFont="1" applyAlignment="1">
      <alignment horizontal="right" vertical="center" wrapText="1"/>
    </xf>
    <xf numFmtId="0" fontId="12" fillId="0" borderId="0" xfId="30" applyFont="1" applyAlignment="1">
      <alignment horizontal="right" vertical="center"/>
    </xf>
    <xf numFmtId="176" fontId="12" fillId="0" borderId="6" xfId="30" applyNumberFormat="1" applyFont="1" applyBorder="1" applyAlignment="1">
      <alignment horizontal="right" vertical="top" wrapText="1"/>
    </xf>
    <xf numFmtId="0" fontId="16" fillId="0" borderId="6" xfId="30" applyFont="1" applyBorder="1" applyAlignment="1">
      <alignment horizontal="right" vertical="center"/>
    </xf>
    <xf numFmtId="0" fontId="12" fillId="0" borderId="6" xfId="30" applyFont="1" applyBorder="1" applyAlignment="1">
      <alignment horizontal="right" vertical="center"/>
    </xf>
    <xf numFmtId="0" fontId="7" fillId="0" borderId="6" xfId="30" applyFont="1" applyBorder="1" applyAlignment="1">
      <alignment vertical="center"/>
    </xf>
    <xf numFmtId="0" fontId="16" fillId="0" borderId="0" xfId="30" applyFont="1" applyAlignment="1">
      <alignment horizontal="center" vertical="center"/>
    </xf>
    <xf numFmtId="176" fontId="16" fillId="0" borderId="0" xfId="30" applyNumberFormat="1" applyFont="1" applyAlignment="1">
      <alignment horizontal="right" vertical="top" wrapText="1"/>
    </xf>
    <xf numFmtId="0" fontId="12" fillId="0" borderId="0" xfId="30" applyFont="1" applyAlignment="1">
      <alignment horizontal="left" vertical="center"/>
    </xf>
    <xf numFmtId="4" fontId="16" fillId="0" borderId="0" xfId="30" applyNumberFormat="1" applyFont="1" applyAlignment="1">
      <alignment horizontal="right" vertical="center" wrapText="1"/>
    </xf>
    <xf numFmtId="4" fontId="7" fillId="0" borderId="0" xfId="30" applyNumberFormat="1" applyFont="1" applyAlignment="1">
      <alignment horizontal="right" vertical="center"/>
    </xf>
    <xf numFmtId="0" fontId="13" fillId="0" borderId="0" xfId="30" applyFont="1" applyAlignment="1">
      <alignment horizontal="left" vertical="center"/>
    </xf>
    <xf numFmtId="0" fontId="13" fillId="0" borderId="0" xfId="30" applyFont="1" applyAlignment="1">
      <alignment horizontal="left" vertical="center" indent="2"/>
    </xf>
    <xf numFmtId="0" fontId="12" fillId="0" borderId="0" xfId="30" applyFont="1" applyAlignment="1">
      <alignment horizontal="center" vertical="center"/>
    </xf>
    <xf numFmtId="4" fontId="16" fillId="0" borderId="0" xfId="30" applyNumberFormat="1" applyFont="1" applyAlignment="1">
      <alignment horizontal="right" vertical="center"/>
    </xf>
    <xf numFmtId="0" fontId="16" fillId="0" borderId="0" xfId="30" applyFont="1" applyAlignment="1">
      <alignment vertical="center"/>
    </xf>
    <xf numFmtId="165" fontId="16" fillId="0" borderId="0" xfId="30" applyNumberFormat="1" applyFont="1" applyAlignment="1">
      <alignment horizontal="right" vertical="center"/>
    </xf>
    <xf numFmtId="2" fontId="16" fillId="0" borderId="0" xfId="30" applyNumberFormat="1" applyFont="1" applyAlignment="1">
      <alignment horizontal="right" vertical="center"/>
    </xf>
    <xf numFmtId="0" fontId="12" fillId="0" borderId="0" xfId="30" applyFont="1" applyAlignment="1">
      <alignment horizontal="left" vertical="center" indent="2"/>
    </xf>
    <xf numFmtId="165" fontId="12" fillId="0" borderId="0" xfId="30" applyNumberFormat="1" applyFont="1" applyAlignment="1">
      <alignment horizontal="right" vertical="center"/>
    </xf>
    <xf numFmtId="4" fontId="7" fillId="0" borderId="0" xfId="31" applyNumberFormat="1" applyFont="1" applyAlignment="1">
      <alignment horizontal="right" vertical="center"/>
    </xf>
    <xf numFmtId="2" fontId="16" fillId="0" borderId="0" xfId="30" applyNumberFormat="1" applyFont="1" applyAlignment="1">
      <alignment horizontal="left"/>
    </xf>
    <xf numFmtId="0" fontId="17" fillId="0" borderId="0" xfId="30" applyFont="1" applyAlignment="1">
      <alignment horizontal="left" vertical="center"/>
    </xf>
    <xf numFmtId="165" fontId="16" fillId="0" borderId="0" xfId="30" applyNumberFormat="1" applyFont="1" applyAlignment="1">
      <alignment horizontal="right"/>
    </xf>
    <xf numFmtId="0" fontId="13" fillId="0" borderId="0" xfId="30" applyFont="1" applyAlignment="1">
      <alignment horizontal="right" vertical="center"/>
    </xf>
    <xf numFmtId="164" fontId="17" fillId="0" borderId="0" xfId="30" applyNumberFormat="1" applyFont="1"/>
    <xf numFmtId="0" fontId="12" fillId="0" borderId="0" xfId="30" applyFont="1" applyAlignment="1">
      <alignment vertical="center"/>
    </xf>
    <xf numFmtId="0" fontId="13" fillId="0" borderId="0" xfId="30" applyFont="1" applyAlignment="1">
      <alignment vertical="center"/>
    </xf>
    <xf numFmtId="164" fontId="12" fillId="0" borderId="0" xfId="30" applyNumberFormat="1" applyFont="1" applyAlignment="1">
      <alignment vertical="center" wrapText="1"/>
    </xf>
    <xf numFmtId="0" fontId="16" fillId="0" borderId="0" xfId="30" applyFont="1" applyAlignment="1">
      <alignment horizontal="right" vertical="center"/>
    </xf>
    <xf numFmtId="164" fontId="13" fillId="0" borderId="0" xfId="30" applyNumberFormat="1" applyFont="1" applyAlignment="1">
      <alignment wrapText="1"/>
    </xf>
    <xf numFmtId="0" fontId="13" fillId="0" borderId="0" xfId="30" applyFont="1"/>
    <xf numFmtId="0" fontId="45" fillId="0" borderId="1" xfId="30" applyFont="1" applyBorder="1"/>
    <xf numFmtId="0" fontId="14" fillId="0" borderId="1" xfId="30" applyFont="1" applyBorder="1"/>
    <xf numFmtId="0" fontId="45" fillId="0" borderId="1" xfId="30" applyFont="1" applyBorder="1" applyAlignment="1">
      <alignment horizontal="right"/>
    </xf>
    <xf numFmtId="0" fontId="3" fillId="0" borderId="1" xfId="30" applyFont="1" applyBorder="1"/>
    <xf numFmtId="0" fontId="64" fillId="0" borderId="0" xfId="30" applyFont="1" applyAlignment="1">
      <alignment vertical="center"/>
    </xf>
    <xf numFmtId="0" fontId="65" fillId="0" borderId="0" xfId="30" applyFont="1" applyAlignment="1">
      <alignment vertical="center"/>
    </xf>
    <xf numFmtId="0" fontId="19" fillId="0" borderId="0" xfId="10" applyFont="1"/>
    <xf numFmtId="0" fontId="45" fillId="0" borderId="0" xfId="0" applyFont="1" applyAlignment="1">
      <alignment vertical="center"/>
    </xf>
    <xf numFmtId="0" fontId="3" fillId="0" borderId="0" xfId="0" applyFont="1" applyAlignment="1">
      <alignment vertical="center"/>
    </xf>
    <xf numFmtId="0" fontId="12" fillId="0" borderId="0" xfId="30" applyFont="1" applyAlignment="1">
      <alignment horizontal="center" vertical="center" wrapText="1"/>
    </xf>
    <xf numFmtId="0" fontId="16" fillId="0" borderId="6" xfId="30" applyFont="1" applyBorder="1" applyAlignment="1">
      <alignment vertical="center"/>
    </xf>
    <xf numFmtId="0" fontId="10" fillId="0" borderId="0" xfId="30" applyFont="1"/>
    <xf numFmtId="2" fontId="16" fillId="0" borderId="0" xfId="30" applyNumberFormat="1" applyFont="1"/>
    <xf numFmtId="0" fontId="12" fillId="0" borderId="0" xfId="30" applyFont="1" applyAlignment="1">
      <alignment horizontal="left" vertical="top"/>
    </xf>
    <xf numFmtId="0" fontId="13" fillId="0" borderId="0" xfId="30" applyFont="1" applyAlignment="1">
      <alignment horizontal="left" vertical="top"/>
    </xf>
    <xf numFmtId="0" fontId="17" fillId="0" borderId="0" xfId="30" applyFont="1" applyAlignment="1">
      <alignment horizontal="left" vertical="top"/>
    </xf>
    <xf numFmtId="2" fontId="16" fillId="0" borderId="0" xfId="30" applyNumberFormat="1" applyFont="1" applyAlignment="1">
      <alignment horizontal="right" vertical="center" wrapText="1"/>
    </xf>
    <xf numFmtId="0" fontId="16" fillId="0" borderId="1" xfId="30" applyFont="1" applyBorder="1"/>
    <xf numFmtId="0" fontId="13" fillId="0" borderId="1" xfId="30" applyFont="1" applyBorder="1" applyAlignment="1">
      <alignment horizontal="left" vertical="center" indent="2"/>
    </xf>
    <xf numFmtId="0" fontId="17" fillId="0" borderId="1" xfId="30" applyFont="1" applyBorder="1" applyAlignment="1">
      <alignment horizontal="left" vertical="center"/>
    </xf>
    <xf numFmtId="0" fontId="12" fillId="0" borderId="1" xfId="30" applyFont="1" applyBorder="1" applyAlignment="1">
      <alignment horizontal="center" vertical="center"/>
    </xf>
    <xf numFmtId="4" fontId="16" fillId="0" borderId="1" xfId="30" applyNumberFormat="1" applyFont="1" applyBorder="1" applyAlignment="1">
      <alignment horizontal="right"/>
    </xf>
    <xf numFmtId="0" fontId="64" fillId="0" borderId="0" xfId="30" applyFont="1" applyAlignment="1">
      <alignment horizontal="right" vertical="center"/>
    </xf>
    <xf numFmtId="164" fontId="6" fillId="0" borderId="0" xfId="4" applyFont="1" applyAlignment="1">
      <alignment vertical="top"/>
    </xf>
    <xf numFmtId="0" fontId="15" fillId="0" borderId="0" xfId="0" applyFont="1"/>
    <xf numFmtId="0" fontId="7" fillId="0" borderId="0" xfId="0" applyFont="1"/>
    <xf numFmtId="0" fontId="8" fillId="0" borderId="3"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10"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left" vertical="center" wrapText="1" indent="2"/>
    </xf>
    <xf numFmtId="0" fontId="7" fillId="0" borderId="0" xfId="0" applyFont="1" applyAlignment="1">
      <alignment vertical="top" wrapText="1"/>
    </xf>
    <xf numFmtId="167" fontId="8" fillId="0" borderId="0" xfId="0" applyNumberFormat="1" applyFont="1" applyAlignment="1">
      <alignment horizontal="center" vertical="center"/>
    </xf>
    <xf numFmtId="0" fontId="8" fillId="0" borderId="0" xfId="0" applyFont="1" applyAlignment="1">
      <alignment horizontal="left" indent="2"/>
    </xf>
    <xf numFmtId="167" fontId="7" fillId="0" borderId="0" xfId="0" applyNumberFormat="1" applyFont="1" applyAlignment="1">
      <alignment horizontal="center" vertical="center"/>
    </xf>
    <xf numFmtId="0" fontId="10" fillId="0" borderId="0" xfId="0" applyFont="1" applyAlignment="1">
      <alignment horizontal="left" indent="2"/>
    </xf>
    <xf numFmtId="167" fontId="74" fillId="0" borderId="0" xfId="0" applyNumberFormat="1" applyFont="1" applyAlignment="1">
      <alignment horizontal="center" vertical="center"/>
    </xf>
    <xf numFmtId="165" fontId="74" fillId="0" borderId="0" xfId="0" applyNumberFormat="1" applyFont="1" applyAlignment="1">
      <alignment horizontal="right" vertical="center" wrapText="1"/>
    </xf>
    <xf numFmtId="165" fontId="3" fillId="0" borderId="0" xfId="0" applyNumberFormat="1" applyFont="1" applyAlignment="1">
      <alignment horizontal="right" vertical="center"/>
    </xf>
    <xf numFmtId="0" fontId="8" fillId="0" borderId="0" xfId="0" applyFont="1"/>
    <xf numFmtId="0" fontId="10" fillId="0" borderId="0" xfId="0" applyFont="1" applyAlignment="1">
      <alignment vertical="center"/>
    </xf>
    <xf numFmtId="0" fontId="6" fillId="0" borderId="0" xfId="0" applyFont="1" applyAlignment="1">
      <alignment vertical="center"/>
    </xf>
    <xf numFmtId="177" fontId="7" fillId="0" borderId="0" xfId="2" applyNumberFormat="1" applyFont="1"/>
    <xf numFmtId="167" fontId="7" fillId="0" borderId="0" xfId="0" applyNumberFormat="1" applyFont="1" applyAlignment="1">
      <alignment horizontal="center" vertical="center" wrapText="1"/>
    </xf>
    <xf numFmtId="167" fontId="74" fillId="0" borderId="0" xfId="0" applyNumberFormat="1" applyFont="1" applyAlignment="1">
      <alignment horizontal="center" vertical="center" wrapText="1"/>
    </xf>
    <xf numFmtId="0" fontId="4" fillId="0" borderId="0" xfId="3" applyFont="1" applyAlignment="1">
      <alignment vertical="center"/>
    </xf>
    <xf numFmtId="0" fontId="6" fillId="0" borderId="0" xfId="3" applyFont="1" applyAlignment="1">
      <alignment vertical="top"/>
    </xf>
    <xf numFmtId="3" fontId="8" fillId="0" borderId="0" xfId="7" applyNumberFormat="1" applyFont="1" applyAlignment="1">
      <alignment horizontal="right" vertical="top"/>
    </xf>
    <xf numFmtId="165" fontId="10" fillId="0" borderId="0" xfId="3" applyNumberFormat="1" applyFont="1" applyAlignment="1">
      <alignment horizontal="right" vertical="center"/>
    </xf>
    <xf numFmtId="169" fontId="10" fillId="0" borderId="0" xfId="7" applyNumberFormat="1" applyFont="1" applyAlignment="1">
      <alignment horizontal="right" vertical="top"/>
    </xf>
    <xf numFmtId="3" fontId="10" fillId="0" borderId="0" xfId="3" applyNumberFormat="1" applyFont="1" applyAlignment="1">
      <alignment horizontal="right" vertical="center"/>
    </xf>
    <xf numFmtId="0" fontId="10" fillId="0" borderId="0" xfId="3" applyFont="1" applyAlignment="1">
      <alignment horizontal="right" vertical="center"/>
    </xf>
    <xf numFmtId="3" fontId="7" fillId="0" borderId="0" xfId="3" applyNumberFormat="1" applyFont="1" applyAlignment="1">
      <alignment horizontal="center" vertical="center"/>
    </xf>
    <xf numFmtId="3" fontId="8" fillId="0" borderId="0" xfId="32" applyNumberFormat="1" applyFont="1" applyAlignment="1">
      <alignment horizontal="right" vertical="center"/>
    </xf>
    <xf numFmtId="3" fontId="8" fillId="0" borderId="0" xfId="33" applyNumberFormat="1" applyFont="1" applyAlignment="1">
      <alignment horizontal="right" vertical="center"/>
    </xf>
    <xf numFmtId="0" fontId="8" fillId="0" borderId="0" xfId="3" applyFont="1" applyAlignment="1">
      <alignment horizontal="left" vertical="center" indent="4"/>
    </xf>
    <xf numFmtId="3" fontId="7" fillId="0" borderId="0" xfId="32" applyNumberFormat="1" applyFont="1" applyAlignment="1">
      <alignment horizontal="right" vertical="center"/>
    </xf>
    <xf numFmtId="3" fontId="7" fillId="0" borderId="0" xfId="33" applyNumberFormat="1" applyFont="1" applyAlignment="1">
      <alignment horizontal="right" vertical="center"/>
    </xf>
    <xf numFmtId="43" fontId="7" fillId="0" borderId="0" xfId="34" applyFont="1" applyAlignment="1">
      <alignment vertical="center"/>
    </xf>
    <xf numFmtId="0" fontId="7" fillId="0" borderId="0" xfId="3" applyFont="1" applyAlignment="1">
      <alignment horizontal="left" vertical="center" indent="1"/>
    </xf>
    <xf numFmtId="0" fontId="10" fillId="0" borderId="0" xfId="3" applyFont="1" applyAlignment="1">
      <alignment horizontal="left" vertical="center" indent="2"/>
    </xf>
    <xf numFmtId="0" fontId="8" fillId="0" borderId="0" xfId="0" applyFont="1" applyAlignment="1">
      <alignment horizontal="left" vertical="center" indent="4"/>
    </xf>
    <xf numFmtId="0" fontId="8" fillId="0" borderId="0" xfId="24" applyFont="1" applyAlignment="1">
      <alignment horizontal="left" vertical="center" indent="4"/>
    </xf>
    <xf numFmtId="0" fontId="10" fillId="0" borderId="0" xfId="0" applyFont="1" applyAlignment="1">
      <alignment horizontal="left" vertical="center" indent="4"/>
    </xf>
    <xf numFmtId="0" fontId="10" fillId="0" borderId="0" xfId="0" applyFont="1" applyAlignment="1">
      <alignment horizontal="left" vertical="center" indent="3"/>
    </xf>
    <xf numFmtId="3" fontId="3" fillId="0" borderId="0" xfId="3" applyNumberFormat="1" applyFont="1" applyAlignment="1">
      <alignment vertical="center"/>
    </xf>
    <xf numFmtId="3" fontId="3" fillId="0" borderId="0" xfId="3" applyNumberFormat="1" applyFont="1" applyAlignment="1">
      <alignment horizontal="right" vertical="center"/>
    </xf>
    <xf numFmtId="0" fontId="10" fillId="0" borderId="3" xfId="3" applyFont="1" applyBorder="1" applyAlignment="1">
      <alignment vertical="center"/>
    </xf>
    <xf numFmtId="1" fontId="7" fillId="0" borderId="3" xfId="3" applyNumberFormat="1" applyFont="1" applyBorder="1" applyAlignment="1">
      <alignment horizontal="right" indent="1"/>
    </xf>
    <xf numFmtId="3" fontId="7" fillId="0" borderId="3" xfId="3" applyNumberFormat="1" applyFont="1" applyBorder="1" applyAlignment="1">
      <alignment vertical="center"/>
    </xf>
    <xf numFmtId="3" fontId="7" fillId="0" borderId="3" xfId="3" applyNumberFormat="1" applyFont="1" applyBorder="1" applyAlignment="1">
      <alignment horizontal="right" vertical="center"/>
    </xf>
    <xf numFmtId="3" fontId="3" fillId="0" borderId="3" xfId="3" applyNumberFormat="1" applyFont="1" applyBorder="1" applyAlignment="1">
      <alignment horizontal="right" vertical="center"/>
    </xf>
    <xf numFmtId="3" fontId="10" fillId="0" borderId="0" xfId="7" applyNumberFormat="1" applyFont="1" applyAlignment="1">
      <alignment horizontal="right" vertical="top"/>
    </xf>
    <xf numFmtId="3" fontId="10" fillId="0" borderId="0" xfId="7" applyNumberFormat="1" applyFont="1" applyAlignment="1">
      <alignment horizontal="right" vertical="center"/>
    </xf>
    <xf numFmtId="0" fontId="3" fillId="0" borderId="1" xfId="3" applyFont="1" applyBorder="1" applyAlignment="1">
      <alignment vertical="center"/>
    </xf>
    <xf numFmtId="3" fontId="3" fillId="0" borderId="1" xfId="3" applyNumberFormat="1" applyFont="1" applyBorder="1" applyAlignment="1">
      <alignment vertical="center"/>
    </xf>
    <xf numFmtId="0" fontId="4" fillId="0" borderId="0" xfId="3" applyFont="1"/>
    <xf numFmtId="0" fontId="6" fillId="0" borderId="0" xfId="3" applyFont="1"/>
    <xf numFmtId="4" fontId="8" fillId="0" borderId="0" xfId="3" applyNumberFormat="1" applyFont="1" applyAlignment="1">
      <alignment horizontal="right" vertical="center"/>
    </xf>
    <xf numFmtId="4" fontId="7" fillId="0" borderId="0" xfId="3" applyNumberFormat="1" applyFont="1" applyAlignment="1">
      <alignment horizontal="right" vertical="center"/>
    </xf>
    <xf numFmtId="4" fontId="8" fillId="0" borderId="0" xfId="7" applyNumberFormat="1" applyFont="1" applyAlignment="1">
      <alignment horizontal="right" vertical="center"/>
    </xf>
    <xf numFmtId="4" fontId="10" fillId="0" borderId="0" xfId="7" applyNumberFormat="1" applyFont="1" applyAlignment="1">
      <alignment horizontal="right" vertical="center"/>
    </xf>
    <xf numFmtId="4" fontId="10" fillId="0" borderId="0" xfId="3" applyNumberFormat="1" applyFont="1" applyAlignment="1">
      <alignment horizontal="right" vertical="center"/>
    </xf>
    <xf numFmtId="4" fontId="7" fillId="0" borderId="0" xfId="3" applyNumberFormat="1" applyFont="1" applyAlignment="1">
      <alignment horizontal="center" vertical="center"/>
    </xf>
    <xf numFmtId="4" fontId="3" fillId="0" borderId="1" xfId="3" applyNumberFormat="1" applyFont="1" applyBorder="1" applyAlignment="1">
      <alignment horizontal="right" vertical="center"/>
    </xf>
    <xf numFmtId="165" fontId="26" fillId="0" borderId="0" xfId="3" applyNumberFormat="1" applyFont="1" applyAlignment="1">
      <alignment horizontal="right" vertical="center"/>
    </xf>
    <xf numFmtId="4" fontId="26" fillId="0" borderId="0" xfId="3" applyNumberFormat="1" applyFont="1" applyAlignment="1">
      <alignment horizontal="right" vertical="center"/>
    </xf>
    <xf numFmtId="0" fontId="42" fillId="0" borderId="0" xfId="3" applyFont="1" applyAlignment="1">
      <alignment vertical="center"/>
    </xf>
    <xf numFmtId="0" fontId="36" fillId="0" borderId="0" xfId="3" applyFont="1"/>
    <xf numFmtId="0" fontId="3" fillId="0" borderId="0" xfId="24" applyFont="1"/>
    <xf numFmtId="0" fontId="4" fillId="0" borderId="0" xfId="24" applyFont="1" applyAlignment="1">
      <alignment horizontal="right" vertical="center"/>
    </xf>
    <xf numFmtId="165" fontId="4" fillId="0" borderId="0" xfId="24" applyNumberFormat="1" applyFont="1"/>
    <xf numFmtId="0" fontId="6" fillId="0" borderId="0" xfId="24" applyFont="1" applyAlignment="1">
      <alignment horizontal="right" vertical="center"/>
    </xf>
    <xf numFmtId="0" fontId="3" fillId="0" borderId="0" xfId="24" applyFont="1" applyAlignment="1">
      <alignment vertical="center"/>
    </xf>
    <xf numFmtId="0" fontId="7" fillId="0" borderId="1" xfId="24" applyFont="1" applyBorder="1" applyAlignment="1">
      <alignment vertical="center"/>
    </xf>
    <xf numFmtId="0" fontId="7" fillId="0" borderId="0" xfId="24" applyFont="1"/>
    <xf numFmtId="0" fontId="7" fillId="0" borderId="0" xfId="24" applyFont="1" applyAlignment="1">
      <alignment horizontal="center" vertical="center"/>
    </xf>
    <xf numFmtId="0" fontId="8" fillId="0" borderId="0" xfId="24" applyFont="1" applyAlignment="1">
      <alignment horizontal="center" vertical="center"/>
    </xf>
    <xf numFmtId="0" fontId="7" fillId="0" borderId="0" xfId="24" applyFont="1" applyAlignment="1">
      <alignment horizontal="right"/>
    </xf>
    <xf numFmtId="0" fontId="8" fillId="0" borderId="0" xfId="24" applyFont="1" applyAlignment="1">
      <alignment vertical="center"/>
    </xf>
    <xf numFmtId="0" fontId="8" fillId="0" borderId="0" xfId="24" applyFont="1" applyAlignment="1">
      <alignment horizontal="left" vertical="center" indent="2"/>
    </xf>
    <xf numFmtId="165" fontId="7" fillId="0" borderId="0" xfId="24" applyNumberFormat="1" applyFont="1" applyAlignment="1">
      <alignment horizontal="right"/>
    </xf>
    <xf numFmtId="165" fontId="7" fillId="0" borderId="0" xfId="24" applyNumberFormat="1" applyFont="1" applyAlignment="1">
      <alignment horizontal="right" vertical="center"/>
    </xf>
    <xf numFmtId="3" fontId="7" fillId="0" borderId="0" xfId="24" applyNumberFormat="1" applyFont="1" applyAlignment="1">
      <alignment horizontal="right"/>
    </xf>
    <xf numFmtId="1" fontId="7" fillId="0" borderId="0" xfId="24" applyNumberFormat="1" applyFont="1" applyAlignment="1">
      <alignment horizontal="right" indent="1"/>
    </xf>
    <xf numFmtId="165" fontId="7" fillId="0" borderId="0" xfId="24" applyNumberFormat="1" applyFont="1" applyAlignment="1">
      <alignment horizontal="right" vertical="center" indent="1"/>
    </xf>
    <xf numFmtId="0" fontId="8" fillId="0" borderId="0" xfId="24" applyFont="1" applyAlignment="1">
      <alignment horizontal="left" vertical="center" indent="1"/>
    </xf>
    <xf numFmtId="0" fontId="3" fillId="0" borderId="0" xfId="24" applyFont="1" applyAlignment="1">
      <alignment horizontal="right"/>
    </xf>
    <xf numFmtId="0" fontId="3" fillId="0" borderId="0" xfId="24" applyFont="1" applyAlignment="1">
      <alignment horizontal="right" vertical="center"/>
    </xf>
    <xf numFmtId="165" fontId="3" fillId="0" borderId="0" xfId="24" applyNumberFormat="1" applyFont="1" applyAlignment="1">
      <alignment horizontal="right" vertical="center" indent="1"/>
    </xf>
    <xf numFmtId="0" fontId="3" fillId="0" borderId="4" xfId="24" applyFont="1" applyBorder="1" applyAlignment="1">
      <alignment vertical="center"/>
    </xf>
    <xf numFmtId="0" fontId="3" fillId="0" borderId="4" xfId="24" applyFont="1" applyBorder="1" applyAlignment="1">
      <alignment horizontal="right" vertical="center"/>
    </xf>
    <xf numFmtId="0" fontId="20" fillId="0" borderId="0" xfId="24" applyFont="1" applyAlignment="1">
      <alignment horizontal="right" vertical="center"/>
    </xf>
    <xf numFmtId="0" fontId="20" fillId="0" borderId="0" xfId="12" applyFont="1" applyAlignment="1">
      <alignment horizontal="right" vertical="center"/>
    </xf>
    <xf numFmtId="0" fontId="18" fillId="0" borderId="0" xfId="24" applyFont="1" applyAlignment="1">
      <alignment vertical="center"/>
    </xf>
    <xf numFmtId="0" fontId="20" fillId="0" borderId="0" xfId="24" applyFont="1" applyAlignment="1">
      <alignment horizontal="left" vertical="center"/>
    </xf>
    <xf numFmtId="0" fontId="18" fillId="0" borderId="0" xfId="24" applyFont="1" applyAlignment="1">
      <alignment horizontal="left"/>
    </xf>
    <xf numFmtId="0" fontId="20" fillId="0" borderId="0" xfId="24" applyFont="1" applyAlignment="1">
      <alignment vertical="center" wrapText="1"/>
    </xf>
    <xf numFmtId="0" fontId="3" fillId="2" borderId="0" xfId="24" applyFont="1" applyFill="1"/>
    <xf numFmtId="0" fontId="19" fillId="0" borderId="0" xfId="24" applyFont="1" applyAlignment="1">
      <alignment horizontal="left"/>
    </xf>
    <xf numFmtId="0" fontId="8" fillId="0" borderId="0" xfId="24" applyFont="1" applyAlignment="1">
      <alignment horizontal="right"/>
    </xf>
    <xf numFmtId="3" fontId="8" fillId="0" borderId="0" xfId="11" applyNumberFormat="1" applyFont="1" applyAlignment="1">
      <alignment horizontal="right" vertical="center"/>
    </xf>
    <xf numFmtId="3" fontId="8" fillId="0" borderId="0" xfId="24" applyNumberFormat="1" applyFont="1" applyAlignment="1">
      <alignment horizontal="right"/>
    </xf>
    <xf numFmtId="3" fontId="7" fillId="0" borderId="0" xfId="24" quotePrefix="1" applyNumberFormat="1" applyFont="1" applyAlignment="1">
      <alignment horizontal="right"/>
    </xf>
    <xf numFmtId="3" fontId="7" fillId="0" borderId="0" xfId="24" quotePrefix="1" applyNumberFormat="1" applyFont="1" applyAlignment="1">
      <alignment horizontal="right" vertical="center"/>
    </xf>
    <xf numFmtId="3" fontId="7" fillId="0" borderId="0" xfId="11" quotePrefix="1" applyNumberFormat="1" applyFont="1" applyAlignment="1">
      <alignment horizontal="right" vertical="center"/>
    </xf>
    <xf numFmtId="3" fontId="3" fillId="0" borderId="0" xfId="24" applyNumberFormat="1" applyFont="1" applyAlignment="1">
      <alignment horizontal="right" vertical="center"/>
    </xf>
    <xf numFmtId="0" fontId="3" fillId="0" borderId="1" xfId="24" applyFont="1" applyBorder="1" applyAlignment="1">
      <alignment vertical="center"/>
    </xf>
    <xf numFmtId="0" fontId="3" fillId="0" borderId="1" xfId="24" applyFont="1" applyBorder="1" applyAlignment="1">
      <alignment horizontal="right" vertical="center"/>
    </xf>
    <xf numFmtId="0" fontId="18" fillId="0" borderId="0" xfId="24" applyFont="1"/>
    <xf numFmtId="0" fontId="19" fillId="0" borderId="0" xfId="24" applyFont="1"/>
    <xf numFmtId="0" fontId="8" fillId="0" borderId="0" xfId="24" applyFont="1" applyAlignment="1">
      <alignment horizontal="right" vertical="center"/>
    </xf>
    <xf numFmtId="0" fontId="7" fillId="0" borderId="0" xfId="24" applyFont="1" applyAlignment="1">
      <alignment horizontal="right" vertical="center"/>
    </xf>
    <xf numFmtId="0" fontId="4" fillId="0" borderId="0" xfId="24" applyFont="1" applyAlignment="1">
      <alignment horizontal="right" vertical="top"/>
    </xf>
    <xf numFmtId="0" fontId="6" fillId="0" borderId="0" xfId="24" applyFont="1" applyAlignment="1">
      <alignment horizontal="right" vertical="top"/>
    </xf>
    <xf numFmtId="3" fontId="7" fillId="0" borderId="0" xfId="11" quotePrefix="1" applyNumberFormat="1" applyFont="1" applyAlignment="1">
      <alignment horizontal="right"/>
    </xf>
    <xf numFmtId="0" fontId="10" fillId="0" borderId="0" xfId="24" applyFont="1" applyAlignment="1">
      <alignment vertical="center"/>
    </xf>
    <xf numFmtId="164" fontId="18" fillId="0" borderId="0" xfId="35" applyFont="1"/>
    <xf numFmtId="164" fontId="20" fillId="0" borderId="0" xfId="35" applyFont="1"/>
    <xf numFmtId="164" fontId="20" fillId="0" borderId="0" xfId="35" applyFont="1" applyAlignment="1">
      <alignment horizontal="center"/>
    </xf>
    <xf numFmtId="167" fontId="20" fillId="0" borderId="0" xfId="35" applyNumberFormat="1" applyFont="1"/>
    <xf numFmtId="164" fontId="75" fillId="0" borderId="0" xfId="35" applyFont="1"/>
    <xf numFmtId="164" fontId="75" fillId="0" borderId="0" xfId="35" applyFont="1" applyAlignment="1">
      <alignment horizontal="center"/>
    </xf>
    <xf numFmtId="167" fontId="75" fillId="0" borderId="0" xfId="35" applyNumberFormat="1" applyFont="1"/>
    <xf numFmtId="164" fontId="19" fillId="0" borderId="0" xfId="35" applyFont="1" applyAlignment="1">
      <alignment horizontal="left" vertical="top"/>
    </xf>
    <xf numFmtId="164" fontId="18" fillId="0" borderId="0" xfId="35" applyFont="1" applyAlignment="1">
      <alignment horizontal="left" vertical="center"/>
    </xf>
    <xf numFmtId="0" fontId="7" fillId="0" borderId="0" xfId="0"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xf>
    <xf numFmtId="0" fontId="4" fillId="0" borderId="0" xfId="0" applyFont="1" applyAlignment="1">
      <alignment horizontal="right" vertical="center"/>
    </xf>
    <xf numFmtId="0" fontId="4" fillId="0" borderId="0" xfId="36" applyFont="1" applyAlignment="1">
      <alignment vertical="center"/>
    </xf>
    <xf numFmtId="0" fontId="4" fillId="0" borderId="0" xfId="36" applyFont="1"/>
    <xf numFmtId="0" fontId="10" fillId="0" borderId="0" xfId="0" applyFont="1" applyAlignment="1">
      <alignment horizontal="left" vertical="top"/>
    </xf>
    <xf numFmtId="0" fontId="6" fillId="0" borderId="0" xfId="36" applyFont="1" applyAlignment="1">
      <alignment vertical="center"/>
    </xf>
    <xf numFmtId="0" fontId="6" fillId="0" borderId="0" xfId="36" applyFont="1" applyAlignment="1">
      <alignment horizontal="right" vertical="center"/>
    </xf>
    <xf numFmtId="0" fontId="7" fillId="0" borderId="0" xfId="36" applyFont="1" applyAlignment="1">
      <alignment vertical="center"/>
    </xf>
    <xf numFmtId="0" fontId="8" fillId="0" borderId="0" xfId="36" applyFont="1" applyAlignment="1">
      <alignment vertical="center"/>
    </xf>
    <xf numFmtId="0" fontId="8" fillId="0" borderId="0" xfId="36" applyFont="1" applyAlignment="1">
      <alignment horizontal="right" vertical="center"/>
    </xf>
    <xf numFmtId="0" fontId="7" fillId="0" borderId="0" xfId="36" applyFont="1" applyAlignment="1">
      <alignment horizontal="center" vertical="center"/>
    </xf>
    <xf numFmtId="0" fontId="8" fillId="0" borderId="0" xfId="36" applyFont="1" applyAlignment="1">
      <alignment vertical="center" wrapText="1"/>
    </xf>
    <xf numFmtId="0" fontId="8" fillId="0" borderId="3" xfId="36" applyFont="1" applyBorder="1" applyAlignment="1">
      <alignment vertical="center" wrapText="1"/>
    </xf>
    <xf numFmtId="0" fontId="8" fillId="0" borderId="3" xfId="36" applyFont="1" applyBorder="1" applyAlignment="1">
      <alignment horizontal="center" vertical="center" wrapText="1"/>
    </xf>
    <xf numFmtId="0" fontId="8" fillId="0" borderId="3" xfId="36" applyFont="1" applyBorder="1" applyAlignment="1">
      <alignment vertical="center"/>
    </xf>
    <xf numFmtId="0" fontId="8" fillId="4" borderId="0" xfId="36" applyFont="1" applyFill="1" applyAlignment="1">
      <alignment vertical="center"/>
    </xf>
    <xf numFmtId="0" fontId="8" fillId="0" borderId="0" xfId="36" applyFont="1" applyAlignment="1">
      <alignment vertical="top" wrapText="1"/>
    </xf>
    <xf numFmtId="0" fontId="8" fillId="0" borderId="1" xfId="36" applyFont="1" applyBorder="1" applyAlignment="1">
      <alignment vertical="top" wrapText="1"/>
    </xf>
    <xf numFmtId="0" fontId="8" fillId="0" borderId="1" xfId="36" applyFont="1" applyBorder="1" applyAlignment="1">
      <alignment horizontal="right" vertical="center" wrapText="1"/>
    </xf>
    <xf numFmtId="0" fontId="7" fillId="4" borderId="0" xfId="36" applyFont="1" applyFill="1" applyAlignment="1">
      <alignment vertical="center"/>
    </xf>
    <xf numFmtId="0" fontId="7" fillId="0" borderId="0" xfId="0" applyFont="1" applyAlignment="1">
      <alignment horizontal="left"/>
    </xf>
    <xf numFmtId="0" fontId="8" fillId="0" borderId="0" xfId="36" applyFont="1" applyAlignment="1">
      <alignment horizontal="center" vertical="top" wrapText="1"/>
    </xf>
    <xf numFmtId="0" fontId="8" fillId="0" borderId="0" xfId="36" applyFont="1" applyAlignment="1">
      <alignment horizontal="right" vertical="top" wrapText="1"/>
    </xf>
    <xf numFmtId="169" fontId="7" fillId="0" borderId="0" xfId="7" applyNumberFormat="1" applyFont="1" applyAlignment="1">
      <alignment horizontal="right" wrapText="1"/>
    </xf>
    <xf numFmtId="3" fontId="7" fillId="0" borderId="0" xfId="7" applyNumberFormat="1" applyFont="1" applyAlignment="1">
      <alignment horizontal="right" vertical="center" wrapText="1"/>
    </xf>
    <xf numFmtId="3" fontId="10" fillId="0" borderId="0" xfId="7" applyNumberFormat="1" applyFont="1" applyAlignment="1">
      <alignment horizontal="right" vertical="center" wrapText="1"/>
    </xf>
    <xf numFmtId="14" fontId="10" fillId="0" borderId="0" xfId="0" applyNumberFormat="1" applyFont="1" applyAlignment="1">
      <alignment horizontal="left" vertical="top"/>
    </xf>
    <xf numFmtId="3" fontId="7" fillId="0" borderId="0" xfId="36" applyNumberFormat="1" applyFont="1" applyAlignment="1">
      <alignment horizontal="right" vertical="center" wrapText="1"/>
    </xf>
    <xf numFmtId="3" fontId="10" fillId="0" borderId="0" xfId="36" applyNumberFormat="1" applyFont="1" applyAlignment="1">
      <alignment horizontal="right" vertical="center" wrapText="1"/>
    </xf>
    <xf numFmtId="0" fontId="32" fillId="0" borderId="0" xfId="0" applyFont="1" applyAlignment="1">
      <alignment horizontal="left" vertical="top"/>
    </xf>
    <xf numFmtId="3" fontId="32" fillId="0" borderId="0" xfId="7" applyNumberFormat="1" applyFont="1" applyAlignment="1">
      <alignment horizontal="right" vertical="center" wrapText="1"/>
    </xf>
    <xf numFmtId="0" fontId="39" fillId="0" borderId="0" xfId="0" applyFont="1" applyAlignment="1">
      <alignment horizontal="left" vertical="top"/>
    </xf>
    <xf numFmtId="3" fontId="10" fillId="0" borderId="0" xfId="0" applyNumberFormat="1" applyFont="1" applyAlignment="1">
      <alignment horizontal="right" vertical="center"/>
    </xf>
    <xf numFmtId="3" fontId="7" fillId="0" borderId="0" xfId="36" applyNumberFormat="1" applyFont="1" applyAlignment="1">
      <alignment vertical="center"/>
    </xf>
    <xf numFmtId="0" fontId="20" fillId="0" borderId="0" xfId="0" applyFont="1" applyAlignment="1">
      <alignment horizontal="left" vertical="top"/>
    </xf>
    <xf numFmtId="3" fontId="7" fillId="0" borderId="1" xfId="36" applyNumberFormat="1" applyFont="1" applyBorder="1" applyAlignment="1">
      <alignment horizontal="right" vertical="center"/>
    </xf>
    <xf numFmtId="0" fontId="7" fillId="0" borderId="1" xfId="36" applyFont="1" applyBorder="1" applyAlignment="1">
      <alignment vertical="center"/>
    </xf>
    <xf numFmtId="0" fontId="20" fillId="0" borderId="0" xfId="36" applyFont="1" applyAlignment="1">
      <alignment vertical="center"/>
    </xf>
    <xf numFmtId="178" fontId="19" fillId="0" borderId="0" xfId="37" applyFont="1" applyAlignment="1">
      <alignment horizontal="right" vertical="top"/>
    </xf>
    <xf numFmtId="0" fontId="18" fillId="0" borderId="0" xfId="36" applyFont="1" applyAlignment="1">
      <alignment vertical="center"/>
    </xf>
    <xf numFmtId="0" fontId="20" fillId="0" borderId="0" xfId="0" applyFont="1" applyAlignment="1">
      <alignment horizontal="left" vertical="top" wrapText="1"/>
    </xf>
    <xf numFmtId="0" fontId="19" fillId="0" borderId="0" xfId="36" applyFont="1" applyAlignment="1">
      <alignment vertical="center"/>
    </xf>
    <xf numFmtId="0" fontId="16" fillId="0" borderId="0" xfId="0" applyFont="1" applyAlignment="1">
      <alignment horizontal="left" indent="1"/>
    </xf>
    <xf numFmtId="0" fontId="16" fillId="0" borderId="0" xfId="0" applyFont="1" applyAlignment="1">
      <alignment horizontal="center"/>
    </xf>
    <xf numFmtId="0" fontId="12" fillId="0" borderId="0" xfId="0" applyFont="1" applyAlignment="1">
      <alignment horizontal="right" indent="1"/>
    </xf>
    <xf numFmtId="0" fontId="16" fillId="0" borderId="0" xfId="0" applyFont="1" applyAlignment="1">
      <alignment horizontal="right" indent="1"/>
    </xf>
    <xf numFmtId="0" fontId="16" fillId="0" borderId="0" xfId="0" applyFont="1" applyAlignment="1">
      <alignment horizontal="right" indent="2"/>
    </xf>
    <xf numFmtId="0" fontId="4" fillId="0" borderId="0" xfId="0" applyFont="1" applyAlignment="1">
      <alignment horizontal="right"/>
    </xf>
    <xf numFmtId="0" fontId="4" fillId="0" borderId="0" xfId="0" applyFont="1" applyAlignment="1">
      <alignment vertical="top"/>
    </xf>
    <xf numFmtId="0" fontId="45" fillId="0" borderId="0" xfId="0" applyFont="1" applyAlignment="1">
      <alignment horizontal="center"/>
    </xf>
    <xf numFmtId="0" fontId="14" fillId="0" borderId="0" xfId="0" applyFont="1" applyAlignment="1">
      <alignment horizontal="right" indent="1"/>
    </xf>
    <xf numFmtId="0" fontId="6" fillId="0" borderId="0" xfId="0" applyFont="1" applyAlignment="1">
      <alignment horizontal="right" vertical="center"/>
    </xf>
    <xf numFmtId="0" fontId="16" fillId="0" borderId="1" xfId="0" applyFont="1" applyBorder="1" applyAlignment="1">
      <alignment horizontal="center"/>
    </xf>
    <xf numFmtId="0" fontId="12" fillId="0" borderId="1" xfId="0" applyFont="1" applyBorder="1" applyAlignment="1">
      <alignment horizontal="right" indent="1"/>
    </xf>
    <xf numFmtId="0" fontId="10" fillId="0" borderId="1" xfId="0" applyFont="1" applyBorder="1"/>
    <xf numFmtId="0" fontId="10" fillId="0" borderId="1" xfId="0" applyFont="1" applyBorder="1" applyAlignment="1">
      <alignment vertical="top"/>
    </xf>
    <xf numFmtId="0" fontId="10" fillId="0" borderId="0" xfId="0" applyFont="1"/>
    <xf numFmtId="0" fontId="10" fillId="0" borderId="0" xfId="0" applyFont="1" applyAlignment="1">
      <alignment horizontal="left"/>
    </xf>
    <xf numFmtId="0" fontId="10" fillId="0" borderId="0" xfId="0" applyFont="1" applyAlignment="1">
      <alignment horizontal="left" wrapText="1"/>
    </xf>
    <xf numFmtId="0" fontId="8" fillId="0" borderId="0" xfId="0" applyFont="1" applyAlignment="1">
      <alignment horizontal="center"/>
    </xf>
    <xf numFmtId="49" fontId="12" fillId="0" borderId="0" xfId="0" applyNumberFormat="1" applyFont="1" applyAlignment="1">
      <alignment horizontal="right"/>
    </xf>
    <xf numFmtId="49" fontId="12" fillId="0" borderId="0" xfId="0" applyNumberFormat="1" applyFont="1" applyAlignment="1">
      <alignment horizontal="right" wrapText="1"/>
    </xf>
    <xf numFmtId="0" fontId="12" fillId="0" borderId="0" xfId="0" applyFont="1" applyAlignment="1">
      <alignment horizontal="right" wrapText="1"/>
    </xf>
    <xf numFmtId="0" fontId="12" fillId="0" borderId="0" xfId="0" applyFont="1"/>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top"/>
    </xf>
    <xf numFmtId="0" fontId="13" fillId="0" borderId="1" xfId="0" applyFont="1" applyBorder="1" applyAlignment="1">
      <alignment horizontal="right" vertical="top" wrapText="1"/>
    </xf>
    <xf numFmtId="49" fontId="13" fillId="0" borderId="1" xfId="0" applyNumberFormat="1" applyFont="1" applyBorder="1" applyAlignment="1">
      <alignment horizontal="right" vertical="top"/>
    </xf>
    <xf numFmtId="49" fontId="13" fillId="0" borderId="1" xfId="0" applyNumberFormat="1" applyFont="1" applyBorder="1" applyAlignment="1">
      <alignment horizontal="right" vertical="top" wrapText="1"/>
    </xf>
    <xf numFmtId="0" fontId="12" fillId="0" borderId="0" xfId="0" applyFont="1" applyAlignment="1">
      <alignment vertical="top"/>
    </xf>
    <xf numFmtId="0" fontId="16" fillId="0" borderId="0" xfId="0" applyFont="1" applyAlignment="1">
      <alignment vertical="top"/>
    </xf>
    <xf numFmtId="0" fontId="78" fillId="0" borderId="0" xfId="0" applyFont="1"/>
    <xf numFmtId="0" fontId="78" fillId="0" borderId="0" xfId="38" applyFont="1" applyAlignment="1">
      <alignment vertical="center"/>
    </xf>
    <xf numFmtId="3" fontId="78" fillId="0" borderId="0" xfId="0" applyNumberFormat="1" applyFont="1" applyAlignment="1">
      <alignment horizontal="right" vertical="center" indent="1"/>
    </xf>
    <xf numFmtId="0" fontId="12" fillId="0" borderId="0" xfId="38" applyFont="1" applyAlignment="1">
      <alignment vertical="center"/>
    </xf>
    <xf numFmtId="3" fontId="12" fillId="0" borderId="0" xfId="0" applyNumberFormat="1" applyFont="1" applyAlignment="1">
      <alignment horizontal="right" vertical="center"/>
    </xf>
    <xf numFmtId="0" fontId="78" fillId="0" borderId="0" xfId="38" applyFont="1" applyAlignment="1">
      <alignment horizontal="left" vertical="center" indent="1"/>
    </xf>
    <xf numFmtId="0" fontId="7" fillId="0" borderId="0" xfId="0" applyFont="1" applyAlignment="1">
      <alignment horizontal="center" vertical="center"/>
    </xf>
    <xf numFmtId="3" fontId="7" fillId="0" borderId="0" xfId="0" applyNumberFormat="1" applyFont="1" applyAlignment="1">
      <alignment horizontal="right" vertical="center"/>
    </xf>
    <xf numFmtId="0" fontId="79" fillId="0" borderId="0" xfId="0" applyFont="1"/>
    <xf numFmtId="0" fontId="7" fillId="0" borderId="0" xfId="38" applyFont="1" applyAlignment="1">
      <alignment horizontal="left" vertical="center" indent="1"/>
    </xf>
    <xf numFmtId="0" fontId="79" fillId="0" borderId="0" xfId="38" applyFont="1" applyAlignment="1">
      <alignment horizontal="left" vertical="center" indent="1"/>
    </xf>
    <xf numFmtId="3" fontId="79" fillId="0" borderId="0" xfId="0" applyNumberFormat="1" applyFont="1"/>
    <xf numFmtId="0" fontId="16" fillId="0" borderId="0" xfId="0" applyFont="1" applyAlignment="1">
      <alignment horizontal="left" vertical="center" indent="1"/>
    </xf>
    <xf numFmtId="3" fontId="16" fillId="0" borderId="0" xfId="0" applyNumberFormat="1" applyFont="1"/>
    <xf numFmtId="176" fontId="7" fillId="0" borderId="0" xfId="29" applyNumberFormat="1" applyFont="1" applyAlignment="1">
      <alignment horizontal="left" vertical="center" indent="1"/>
    </xf>
    <xf numFmtId="0" fontId="16" fillId="0" borderId="0" xfId="0" applyFont="1" applyAlignment="1">
      <alignment horizontal="left" vertical="center" wrapText="1" indent="1"/>
    </xf>
    <xf numFmtId="0" fontId="7" fillId="0" borderId="0" xfId="39" applyFont="1" applyAlignment="1">
      <alignment horizontal="left" vertical="center" indent="1"/>
    </xf>
    <xf numFmtId="0" fontId="7" fillId="0" borderId="0" xfId="40" applyFont="1" applyAlignment="1">
      <alignment horizontal="left" vertical="center" wrapText="1" indent="1"/>
    </xf>
    <xf numFmtId="0" fontId="7" fillId="0" borderId="0" xfId="0" applyFont="1" applyAlignment="1">
      <alignment horizontal="left" vertical="center" indent="1"/>
    </xf>
    <xf numFmtId="3" fontId="16" fillId="0" borderId="0" xfId="0" applyNumberFormat="1" applyFont="1" applyAlignment="1">
      <alignment horizontal="right" vertical="center" wrapText="1"/>
    </xf>
    <xf numFmtId="0" fontId="16" fillId="0" borderId="1" xfId="0" applyFont="1" applyBorder="1" applyAlignment="1">
      <alignment horizontal="left" indent="1"/>
    </xf>
    <xf numFmtId="3" fontId="16" fillId="0" borderId="1" xfId="0" applyNumberFormat="1" applyFont="1" applyBorder="1" applyAlignment="1">
      <alignment horizontal="right" vertical="center"/>
    </xf>
    <xf numFmtId="0" fontId="57" fillId="0" borderId="0" xfId="0" applyFont="1"/>
    <xf numFmtId="0" fontId="57" fillId="0" borderId="0" xfId="0" applyFont="1" applyAlignment="1">
      <alignment horizontal="center"/>
    </xf>
    <xf numFmtId="0" fontId="18" fillId="0" borderId="0" xfId="41" applyFont="1" applyAlignment="1">
      <alignment horizontal="right"/>
    </xf>
    <xf numFmtId="0" fontId="18" fillId="0" borderId="3" xfId="41" applyFont="1" applyBorder="1" applyAlignment="1">
      <alignment horizontal="right"/>
    </xf>
    <xf numFmtId="0" fontId="19" fillId="0" borderId="0" xfId="0" applyFont="1" applyAlignment="1">
      <alignment horizontal="right" vertical="top"/>
    </xf>
    <xf numFmtId="0" fontId="64" fillId="0" borderId="0" xfId="0" applyFont="1"/>
    <xf numFmtId="0" fontId="64" fillId="0" borderId="0" xfId="0" quotePrefix="1" applyFont="1"/>
    <xf numFmtId="0" fontId="64" fillId="0" borderId="0" xfId="0" applyFont="1" applyAlignment="1">
      <alignment horizontal="left" indent="1"/>
    </xf>
    <xf numFmtId="0" fontId="64" fillId="0" borderId="0" xfId="0" applyFont="1" applyAlignment="1">
      <alignment horizontal="center"/>
    </xf>
    <xf numFmtId="0" fontId="64" fillId="0" borderId="0" xfId="0" applyFont="1" applyAlignment="1">
      <alignment horizontal="left" vertical="top" indent="1"/>
    </xf>
    <xf numFmtId="0" fontId="65" fillId="0" borderId="0" xfId="0" applyFont="1" applyAlignment="1">
      <alignment horizontal="left" vertical="top"/>
    </xf>
    <xf numFmtId="0" fontId="65" fillId="0" borderId="0" xfId="0" applyFont="1" applyAlignment="1">
      <alignment horizontal="center" vertical="top"/>
    </xf>
    <xf numFmtId="0" fontId="57" fillId="0" borderId="0" xfId="0" applyFont="1" applyAlignment="1">
      <alignment horizontal="right" indent="2"/>
    </xf>
    <xf numFmtId="0" fontId="57" fillId="0" borderId="0" xfId="0" applyFont="1" applyAlignment="1">
      <alignment horizontal="right" indent="1"/>
    </xf>
    <xf numFmtId="0" fontId="65" fillId="0" borderId="0" xfId="0" applyFont="1" applyAlignment="1">
      <alignment horizontal="left" vertical="top" indent="1"/>
    </xf>
    <xf numFmtId="0" fontId="64" fillId="0" borderId="0" xfId="0" applyFont="1" applyAlignment="1">
      <alignment horizontal="left" vertical="center"/>
    </xf>
    <xf numFmtId="0" fontId="57" fillId="0" borderId="0" xfId="0" applyFont="1" applyAlignment="1">
      <alignment horizontal="left" vertical="center"/>
    </xf>
    <xf numFmtId="0" fontId="57" fillId="0" borderId="0" xfId="0" applyFont="1" applyAlignment="1">
      <alignment horizontal="center" vertical="center"/>
    </xf>
    <xf numFmtId="0" fontId="64" fillId="0" borderId="0" xfId="0" applyFont="1" applyAlignment="1">
      <alignment horizontal="right" vertical="center"/>
    </xf>
    <xf numFmtId="0" fontId="57" fillId="0" borderId="0" xfId="0" applyFont="1" applyAlignment="1">
      <alignment horizontal="right"/>
    </xf>
    <xf numFmtId="0" fontId="64" fillId="0" borderId="0" xfId="0" applyFont="1" applyAlignment="1">
      <alignment horizontal="right"/>
    </xf>
    <xf numFmtId="0" fontId="65" fillId="0" borderId="0" xfId="0" applyFont="1" applyAlignment="1">
      <alignment horizontal="left" vertical="center"/>
    </xf>
    <xf numFmtId="0" fontId="66" fillId="0" borderId="0" xfId="0" applyFont="1" applyAlignment="1">
      <alignment horizontal="left" vertical="center"/>
    </xf>
    <xf numFmtId="0" fontId="12" fillId="0" borderId="0" xfId="0" applyFont="1" applyAlignment="1">
      <alignment horizontal="right"/>
    </xf>
    <xf numFmtId="0" fontId="16" fillId="0" borderId="0" xfId="0" applyFont="1" applyAlignment="1">
      <alignment horizontal="right"/>
    </xf>
    <xf numFmtId="0" fontId="4" fillId="0" borderId="0" xfId="0" applyFont="1"/>
    <xf numFmtId="0" fontId="3" fillId="0" borderId="0" xfId="0" applyFont="1" applyAlignment="1">
      <alignment horizontal="center"/>
    </xf>
    <xf numFmtId="0" fontId="3" fillId="0" borderId="0" xfId="0" applyFont="1" applyAlignment="1">
      <alignment horizontal="right"/>
    </xf>
    <xf numFmtId="0" fontId="4" fillId="0" borderId="0" xfId="0" applyFont="1" applyAlignment="1">
      <alignment wrapText="1"/>
    </xf>
    <xf numFmtId="0" fontId="3" fillId="0" borderId="0" xfId="0" applyFont="1" applyAlignment="1">
      <alignment vertical="top"/>
    </xf>
    <xf numFmtId="0" fontId="6" fillId="0" borderId="0" xfId="0" applyFont="1" applyAlignment="1">
      <alignment horizontal="right" vertical="top"/>
    </xf>
    <xf numFmtId="0" fontId="6" fillId="0" borderId="0" xfId="0" applyFont="1"/>
    <xf numFmtId="0" fontId="6" fillId="0" borderId="0" xfId="0" applyFont="1" applyAlignment="1">
      <alignment vertical="top"/>
    </xf>
    <xf numFmtId="0" fontId="4" fillId="0" borderId="0" xfId="0" applyFont="1" applyAlignment="1">
      <alignment vertical="top" wrapText="1"/>
    </xf>
    <xf numFmtId="0" fontId="39" fillId="0" borderId="1" xfId="0" applyFont="1" applyBorder="1" applyAlignment="1">
      <alignment horizontal="left"/>
    </xf>
    <xf numFmtId="0" fontId="16" fillId="0" borderId="1" xfId="0" applyFont="1" applyBorder="1" applyAlignment="1">
      <alignment horizontal="right"/>
    </xf>
    <xf numFmtId="0" fontId="83" fillId="0" borderId="0" xfId="0" applyFont="1"/>
    <xf numFmtId="0" fontId="12" fillId="0" borderId="0" xfId="0" applyFont="1" applyAlignment="1">
      <alignment horizontal="center"/>
    </xf>
    <xf numFmtId="0" fontId="84" fillId="0" borderId="0" xfId="0" applyFont="1" applyAlignment="1">
      <alignment vertical="top"/>
    </xf>
    <xf numFmtId="0" fontId="13" fillId="0" borderId="0" xfId="0" applyFont="1" applyAlignment="1">
      <alignment horizontal="center" vertical="top"/>
    </xf>
    <xf numFmtId="0" fontId="13" fillId="0" borderId="0" xfId="0" applyFont="1" applyAlignment="1">
      <alignment horizontal="right" vertical="top"/>
    </xf>
    <xf numFmtId="0" fontId="13" fillId="0" borderId="0" xfId="0" applyFont="1" applyAlignment="1">
      <alignment horizontal="right" vertical="top" wrapText="1"/>
    </xf>
    <xf numFmtId="0" fontId="13" fillId="0" borderId="1" xfId="0" applyFont="1" applyBorder="1" applyAlignment="1">
      <alignment horizontal="center" vertical="top"/>
    </xf>
    <xf numFmtId="0" fontId="13" fillId="0" borderId="0" xfId="0" applyFont="1" applyAlignment="1">
      <alignment horizontal="center" vertical="top" wrapText="1"/>
    </xf>
    <xf numFmtId="0" fontId="84" fillId="0" borderId="0" xfId="0" applyFont="1"/>
    <xf numFmtId="0" fontId="12" fillId="0" borderId="0" xfId="0" applyFont="1" applyAlignment="1">
      <alignment wrapText="1"/>
    </xf>
    <xf numFmtId="3" fontId="12" fillId="0" borderId="0" xfId="0" applyNumberFormat="1" applyFont="1"/>
    <xf numFmtId="0" fontId="84" fillId="0" borderId="1" xfId="0" applyFont="1" applyBorder="1" applyAlignment="1">
      <alignment vertical="top"/>
    </xf>
    <xf numFmtId="0" fontId="13" fillId="0" borderId="1" xfId="0" applyFont="1" applyBorder="1" applyAlignment="1">
      <alignment vertical="top"/>
    </xf>
    <xf numFmtId="0" fontId="13" fillId="0" borderId="1" xfId="0" applyFont="1" applyBorder="1" applyAlignment="1">
      <alignment horizontal="right" vertical="top"/>
    </xf>
    <xf numFmtId="3" fontId="12" fillId="0" borderId="0" xfId="0" applyNumberFormat="1" applyFont="1" applyAlignment="1">
      <alignment vertical="top"/>
    </xf>
    <xf numFmtId="0" fontId="12" fillId="0" borderId="0" xfId="0" applyFont="1" applyAlignment="1">
      <alignment horizontal="right" vertical="top" wrapText="1"/>
    </xf>
    <xf numFmtId="0" fontId="16" fillId="0" borderId="0" xfId="0" applyFont="1" applyAlignment="1">
      <alignment horizontal="right" vertical="top" wrapText="1"/>
    </xf>
    <xf numFmtId="0" fontId="12" fillId="0" borderId="0" xfId="0" applyFont="1" applyAlignment="1">
      <alignment horizontal="left"/>
    </xf>
    <xf numFmtId="3" fontId="7" fillId="0" borderId="0" xfId="26" applyNumberFormat="1" applyFont="1" applyFill="1" applyBorder="1" applyAlignment="1">
      <alignment horizontal="right" vertical="center"/>
    </xf>
    <xf numFmtId="0" fontId="7" fillId="0" borderId="0" xfId="38" applyFont="1" applyAlignment="1">
      <alignment vertical="center"/>
    </xf>
    <xf numFmtId="0" fontId="79" fillId="0" borderId="0" xfId="38" applyFont="1" applyAlignment="1">
      <alignment vertical="center"/>
    </xf>
    <xf numFmtId="176" fontId="7" fillId="0" borderId="0" xfId="29" applyNumberFormat="1" applyFont="1" applyAlignment="1">
      <alignment vertical="center"/>
    </xf>
    <xf numFmtId="3" fontId="7" fillId="0" borderId="0" xfId="0" quotePrefix="1" applyNumberFormat="1" applyFont="1" applyAlignment="1">
      <alignment horizontal="right" vertical="center"/>
    </xf>
    <xf numFmtId="0" fontId="7" fillId="0" borderId="0" xfId="39" applyFont="1" applyAlignment="1">
      <alignment vertical="center"/>
    </xf>
    <xf numFmtId="0" fontId="16" fillId="0" borderId="0" xfId="0" applyFont="1" applyAlignment="1">
      <alignment horizontal="left" vertical="center" indent="2"/>
    </xf>
    <xf numFmtId="0" fontId="7" fillId="0" borderId="1" xfId="0" applyFont="1" applyBorder="1" applyAlignment="1">
      <alignment horizontal="center" vertical="center"/>
    </xf>
    <xf numFmtId="0" fontId="12" fillId="0" borderId="1" xfId="0" applyFont="1" applyBorder="1" applyAlignment="1">
      <alignment horizontal="right"/>
    </xf>
    <xf numFmtId="0" fontId="16" fillId="0" borderId="1" xfId="0" applyFont="1" applyBorder="1" applyAlignment="1">
      <alignment horizontal="right" indent="1"/>
    </xf>
    <xf numFmtId="0" fontId="16" fillId="0" borderId="1" xfId="0" applyFont="1" applyBorder="1" applyAlignment="1">
      <alignment horizontal="right" indent="2"/>
    </xf>
    <xf numFmtId="0" fontId="20" fillId="0" borderId="0" xfId="0" applyFont="1" applyAlignment="1">
      <alignment horizontal="center" vertical="center"/>
    </xf>
    <xf numFmtId="0" fontId="18" fillId="0" borderId="0" xfId="0" applyFont="1" applyAlignment="1">
      <alignment horizontal="right"/>
    </xf>
    <xf numFmtId="0" fontId="57" fillId="0" borderId="0" xfId="0" applyFont="1" applyAlignment="1">
      <alignment horizontal="left" indent="1"/>
    </xf>
    <xf numFmtId="0" fontId="4" fillId="0" borderId="0" xfId="0" applyFont="1" applyAlignment="1">
      <alignment horizontal="center"/>
    </xf>
    <xf numFmtId="0" fontId="4" fillId="0" borderId="0" xfId="0" applyFont="1" applyAlignment="1">
      <alignment horizontal="left" indent="1"/>
    </xf>
    <xf numFmtId="0" fontId="6" fillId="0" borderId="0" xfId="0" applyFont="1" applyAlignment="1">
      <alignment horizontal="right"/>
    </xf>
    <xf numFmtId="0" fontId="6" fillId="0" borderId="0" xfId="0" applyFont="1" applyAlignment="1">
      <alignment horizontal="center"/>
    </xf>
    <xf numFmtId="0" fontId="10" fillId="0" borderId="1" xfId="0" applyFont="1" applyBorder="1" applyAlignment="1">
      <alignment horizontal="center"/>
    </xf>
    <xf numFmtId="0" fontId="10" fillId="0" borderId="1" xfId="0" applyFont="1" applyBorder="1" applyAlignment="1">
      <alignment horizontal="right"/>
    </xf>
    <xf numFmtId="0" fontId="8" fillId="0" borderId="3" xfId="0" applyFont="1" applyBorder="1" applyAlignment="1">
      <alignment wrapText="1"/>
    </xf>
    <xf numFmtId="0" fontId="10" fillId="0" borderId="3" xfId="0" applyFont="1" applyBorder="1" applyAlignment="1">
      <alignment vertical="center" wrapText="1"/>
    </xf>
    <xf numFmtId="0" fontId="8" fillId="0" borderId="3" xfId="0" applyFont="1" applyBorder="1" applyAlignment="1">
      <alignment vertical="center" wrapText="1"/>
    </xf>
    <xf numFmtId="0" fontId="10" fillId="0" borderId="3" xfId="0" applyFont="1" applyBorder="1" applyAlignment="1">
      <alignment wrapText="1"/>
    </xf>
    <xf numFmtId="0" fontId="8" fillId="0" borderId="3" xfId="0" applyFont="1" applyBorder="1" applyAlignment="1">
      <alignment horizontal="right" wrapText="1"/>
    </xf>
    <xf numFmtId="0" fontId="8" fillId="0" borderId="0" xfId="0" applyFont="1" applyAlignment="1">
      <alignment horizontal="center" wrapText="1"/>
    </xf>
    <xf numFmtId="0" fontId="7" fillId="0" borderId="0" xfId="0" applyFont="1" applyAlignment="1">
      <alignment wrapText="1"/>
    </xf>
    <xf numFmtId="0" fontId="8" fillId="0" borderId="0" xfId="0" applyFont="1" applyAlignment="1">
      <alignment wrapText="1"/>
    </xf>
    <xf numFmtId="0" fontId="8" fillId="0" borderId="0" xfId="0" applyFont="1" applyAlignment="1">
      <alignment horizontal="right" vertical="top" wrapText="1"/>
    </xf>
    <xf numFmtId="0" fontId="10" fillId="0" borderId="1" xfId="0" applyFont="1" applyBorder="1" applyAlignment="1">
      <alignment horizontal="right" wrapText="1"/>
    </xf>
    <xf numFmtId="0" fontId="10" fillId="0" borderId="1" xfId="0" applyFont="1" applyBorder="1" applyAlignment="1">
      <alignment horizontal="right" vertical="top"/>
    </xf>
    <xf numFmtId="0" fontId="8" fillId="0" borderId="0" xfId="0" applyFont="1" applyAlignment="1">
      <alignment horizontal="center" vertical="top" wrapText="1"/>
    </xf>
    <xf numFmtId="0" fontId="10" fillId="0" borderId="0" xfId="0" applyFont="1" applyAlignment="1">
      <alignment wrapText="1"/>
    </xf>
    <xf numFmtId="0" fontId="10" fillId="0" borderId="0" xfId="0" applyFont="1" applyAlignment="1">
      <alignment vertical="top"/>
    </xf>
    <xf numFmtId="0" fontId="10" fillId="0" borderId="0" xfId="0" applyFont="1" applyAlignment="1">
      <alignment horizontal="center" vertical="top" wrapText="1"/>
    </xf>
    <xf numFmtId="0" fontId="10" fillId="0" borderId="0" xfId="0" applyFont="1" applyAlignment="1">
      <alignment horizontal="right" vertical="top" wrapText="1"/>
    </xf>
    <xf numFmtId="0" fontId="10" fillId="0" borderId="0" xfId="0" applyFont="1" applyAlignment="1">
      <alignment horizontal="right" wrapText="1"/>
    </xf>
    <xf numFmtId="0" fontId="8" fillId="0" borderId="0" xfId="0" applyFont="1" applyAlignment="1">
      <alignment horizontal="right" wrapText="1"/>
    </xf>
    <xf numFmtId="0" fontId="10" fillId="0" borderId="0" xfId="0" applyFont="1" applyAlignment="1">
      <alignment horizontal="center" wrapText="1"/>
    </xf>
    <xf numFmtId="0" fontId="10" fillId="0" borderId="1" xfId="0" applyFont="1" applyBorder="1" applyAlignment="1">
      <alignment vertical="top" wrapText="1"/>
    </xf>
    <xf numFmtId="0" fontId="10" fillId="0" borderId="1" xfId="0" applyFont="1" applyBorder="1" applyAlignment="1">
      <alignment vertical="center" wrapText="1"/>
    </xf>
    <xf numFmtId="0" fontId="10" fillId="0" borderId="1" xfId="0" applyFont="1" applyBorder="1" applyAlignment="1">
      <alignment horizontal="center" vertical="top" wrapText="1"/>
    </xf>
    <xf numFmtId="0" fontId="10" fillId="0" borderId="1" xfId="0" applyFont="1" applyBorder="1" applyAlignment="1">
      <alignment horizontal="right" vertical="top" wrapText="1"/>
    </xf>
    <xf numFmtId="0" fontId="7" fillId="0" borderId="0" xfId="0" applyFont="1" applyAlignment="1">
      <alignment vertical="top"/>
    </xf>
    <xf numFmtId="0" fontId="8" fillId="0" borderId="0" xfId="0" applyFont="1" applyAlignment="1">
      <alignment vertical="center"/>
    </xf>
    <xf numFmtId="3" fontId="8" fillId="0" borderId="0" xfId="0" applyNumberFormat="1" applyFont="1" applyAlignment="1">
      <alignment horizontal="right" vertical="center"/>
    </xf>
    <xf numFmtId="0" fontId="7" fillId="0" borderId="0" xfId="0" applyFont="1" applyAlignment="1">
      <alignment horizontal="left" indent="1"/>
    </xf>
    <xf numFmtId="0" fontId="7" fillId="0" borderId="0" xfId="0" applyFont="1" applyAlignment="1">
      <alignment horizontal="left" vertical="center" wrapText="1" indent="1"/>
    </xf>
    <xf numFmtId="0" fontId="7" fillId="0" borderId="0" xfId="0" applyFont="1" applyAlignment="1">
      <alignment horizontal="right"/>
    </xf>
    <xf numFmtId="3" fontId="7" fillId="0" borderId="0" xfId="26" applyNumberFormat="1" applyFont="1" applyFill="1" applyAlignment="1">
      <alignment horizontal="right" vertical="center"/>
    </xf>
    <xf numFmtId="0" fontId="7" fillId="0" borderId="0" xfId="0" applyFont="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indent="1"/>
    </xf>
    <xf numFmtId="0" fontId="7" fillId="0" borderId="1" xfId="0" applyFont="1" applyBorder="1" applyAlignment="1">
      <alignment horizontal="right"/>
    </xf>
    <xf numFmtId="0" fontId="20" fillId="0" borderId="0" xfId="0" applyFont="1" applyAlignment="1">
      <alignment horizontal="left" vertical="center"/>
    </xf>
    <xf numFmtId="0" fontId="20" fillId="0" borderId="0" xfId="0" applyFont="1" applyAlignment="1">
      <alignment horizontal="left" indent="1"/>
    </xf>
    <xf numFmtId="0" fontId="20" fillId="0" borderId="0" xfId="0" applyFont="1" applyAlignment="1">
      <alignment horizontal="right"/>
    </xf>
    <xf numFmtId="176" fontId="18" fillId="0" borderId="0" xfId="29" applyNumberFormat="1" applyFont="1"/>
    <xf numFmtId="0" fontId="20" fillId="0" borderId="0" xfId="0" applyFont="1"/>
    <xf numFmtId="0" fontId="20" fillId="0" borderId="0" xfId="0" applyFont="1" applyAlignment="1">
      <alignment horizontal="center"/>
    </xf>
    <xf numFmtId="176" fontId="19" fillId="0" borderId="0" xfId="29" applyNumberFormat="1" applyFont="1" applyAlignment="1">
      <alignment horizontal="right"/>
    </xf>
    <xf numFmtId="176" fontId="19" fillId="0" borderId="0" xfId="29" applyNumberFormat="1" applyFont="1"/>
    <xf numFmtId="0" fontId="19" fillId="0" borderId="0" xfId="0" applyFont="1" applyAlignment="1">
      <alignment horizontal="right"/>
    </xf>
    <xf numFmtId="0" fontId="45" fillId="0" borderId="0" xfId="42" applyFont="1"/>
    <xf numFmtId="0" fontId="4" fillId="0" borderId="0" xfId="43" applyFont="1" applyAlignment="1">
      <alignment horizontal="right"/>
    </xf>
    <xf numFmtId="0" fontId="4" fillId="0" borderId="0" xfId="43" applyFont="1" applyAlignment="1"/>
    <xf numFmtId="0" fontId="4" fillId="0" borderId="0" xfId="43" applyFont="1" applyAlignment="1">
      <alignment horizontal="center"/>
    </xf>
    <xf numFmtId="0" fontId="4" fillId="0" borderId="0" xfId="43" applyFont="1">
      <alignment vertical="center"/>
    </xf>
    <xf numFmtId="0" fontId="4" fillId="0" borderId="0" xfId="43" applyFont="1" applyAlignment="1">
      <alignment horizontal="left"/>
    </xf>
    <xf numFmtId="0" fontId="4" fillId="0" borderId="0" xfId="43" applyFont="1" applyAlignment="1">
      <alignment vertical="top"/>
    </xf>
    <xf numFmtId="0" fontId="6" fillId="0" borderId="0" xfId="42" applyFont="1" applyAlignment="1">
      <alignment horizontal="right"/>
    </xf>
    <xf numFmtId="0" fontId="6" fillId="0" borderId="0" xfId="42" applyFont="1"/>
    <xf numFmtId="0" fontId="3" fillId="0" borderId="0" xfId="42" applyFont="1" applyAlignment="1">
      <alignment horizontal="center"/>
    </xf>
    <xf numFmtId="0" fontId="3" fillId="0" borderId="0" xfId="42" applyFont="1"/>
    <xf numFmtId="0" fontId="6" fillId="0" borderId="0" xfId="42" applyFont="1" applyAlignment="1">
      <alignment vertical="top"/>
    </xf>
    <xf numFmtId="0" fontId="7" fillId="0" borderId="1" xfId="42" applyFont="1" applyBorder="1"/>
    <xf numFmtId="0" fontId="45" fillId="0" borderId="1" xfId="42" applyFont="1" applyBorder="1"/>
    <xf numFmtId="0" fontId="7" fillId="0" borderId="1" xfId="42" applyFont="1" applyBorder="1" applyAlignment="1">
      <alignment horizontal="center"/>
    </xf>
    <xf numFmtId="0" fontId="3" fillId="0" borderId="1" xfId="42" applyFont="1" applyBorder="1"/>
    <xf numFmtId="0" fontId="3" fillId="0" borderId="3" xfId="44" applyFont="1" applyBorder="1"/>
    <xf numFmtId="0" fontId="4" fillId="0" borderId="3" xfId="44" applyFont="1" applyBorder="1" applyAlignment="1">
      <alignment horizontal="left"/>
    </xf>
    <xf numFmtId="0" fontId="4" fillId="0" borderId="3" xfId="44" applyFont="1" applyBorder="1" applyAlignment="1">
      <alignment horizontal="center"/>
    </xf>
    <xf numFmtId="0" fontId="4" fillId="0" borderId="3" xfId="44" applyFont="1" applyBorder="1" applyAlignment="1">
      <alignment horizontal="right"/>
    </xf>
    <xf numFmtId="0" fontId="7" fillId="0" borderId="0" xfId="44" applyFont="1"/>
    <xf numFmtId="0" fontId="8" fillId="0" borderId="0" xfId="44" applyFont="1" applyAlignment="1">
      <alignment horizontal="left"/>
    </xf>
    <xf numFmtId="0" fontId="8" fillId="0" borderId="0" xfId="44" applyFont="1" applyAlignment="1">
      <alignment horizontal="center"/>
    </xf>
    <xf numFmtId="0" fontId="8" fillId="0" borderId="0" xfId="44" applyFont="1" applyAlignment="1">
      <alignment horizontal="right"/>
    </xf>
    <xf numFmtId="0" fontId="16" fillId="0" borderId="0" xfId="42" applyFont="1"/>
    <xf numFmtId="0" fontId="8" fillId="0" borderId="0" xfId="44" applyFont="1"/>
    <xf numFmtId="0" fontId="10" fillId="0" borderId="0" xfId="44" applyFont="1" applyAlignment="1">
      <alignment horizontal="left"/>
    </xf>
    <xf numFmtId="0" fontId="10" fillId="0" borderId="0" xfId="44" applyFont="1" applyAlignment="1">
      <alignment horizontal="center"/>
    </xf>
    <xf numFmtId="0" fontId="10" fillId="0" borderId="0" xfId="44" applyFont="1" applyAlignment="1">
      <alignment horizontal="right"/>
    </xf>
    <xf numFmtId="0" fontId="7" fillId="0" borderId="0" xfId="44" applyFont="1" applyAlignment="1">
      <alignment horizontal="center"/>
    </xf>
    <xf numFmtId="0" fontId="7" fillId="0" borderId="0" xfId="44" applyFont="1" applyAlignment="1">
      <alignment horizontal="right"/>
    </xf>
    <xf numFmtId="37" fontId="10" fillId="0" borderId="0" xfId="44" applyNumberFormat="1" applyFont="1" applyAlignment="1">
      <alignment horizontal="right"/>
    </xf>
    <xf numFmtId="0" fontId="7" fillId="0" borderId="7" xfId="44" applyFont="1" applyBorder="1"/>
    <xf numFmtId="0" fontId="7" fillId="0" borderId="7" xfId="44" applyFont="1" applyBorder="1" applyAlignment="1">
      <alignment horizontal="center"/>
    </xf>
    <xf numFmtId="0" fontId="7" fillId="0" borderId="7" xfId="44" applyFont="1" applyBorder="1" applyAlignment="1">
      <alignment horizontal="right"/>
    </xf>
    <xf numFmtId="0" fontId="10" fillId="0" borderId="7" xfId="44" applyFont="1" applyBorder="1" applyAlignment="1">
      <alignment horizontal="right"/>
    </xf>
    <xf numFmtId="3" fontId="7" fillId="0" borderId="0" xfId="44" applyNumberFormat="1" applyFont="1" applyAlignment="1">
      <alignment horizontal="right"/>
    </xf>
    <xf numFmtId="0" fontId="8" fillId="0" borderId="0" xfId="42" applyFont="1"/>
    <xf numFmtId="3" fontId="8" fillId="0" borderId="0" xfId="45" applyNumberFormat="1" applyFont="1" applyFill="1" applyBorder="1" applyAlignment="1">
      <alignment horizontal="right" vertical="center"/>
    </xf>
    <xf numFmtId="0" fontId="7" fillId="0" borderId="0" xfId="42" applyFont="1"/>
    <xf numFmtId="165" fontId="7" fillId="0" borderId="0" xfId="42" applyNumberFormat="1" applyFont="1"/>
    <xf numFmtId="0" fontId="8" fillId="0" borderId="0" xfId="42" applyFont="1" applyAlignment="1">
      <alignment horizontal="center" wrapText="1"/>
    </xf>
    <xf numFmtId="0" fontId="8" fillId="0" borderId="0" xfId="42" applyFont="1" applyAlignment="1">
      <alignment horizontal="left" wrapText="1"/>
    </xf>
    <xf numFmtId="0" fontId="7" fillId="0" borderId="0" xfId="42" applyFont="1" applyAlignment="1">
      <alignment horizontal="center"/>
    </xf>
    <xf numFmtId="3" fontId="7" fillId="0" borderId="0" xfId="45" applyNumberFormat="1" applyFont="1" applyFill="1" applyBorder="1" applyAlignment="1">
      <alignment horizontal="right" vertical="center"/>
    </xf>
    <xf numFmtId="0" fontId="7" fillId="0" borderId="0" xfId="42" applyFont="1" applyAlignment="1">
      <alignment horizontal="left" indent="1"/>
    </xf>
    <xf numFmtId="0" fontId="7" fillId="0" borderId="0" xfId="42" applyFont="1" applyAlignment="1">
      <alignment horizontal="left"/>
    </xf>
    <xf numFmtId="3" fontId="7" fillId="0" borderId="0" xfId="42" applyNumberFormat="1" applyFont="1" applyAlignment="1">
      <alignment horizontal="right" vertical="center"/>
    </xf>
    <xf numFmtId="0" fontId="7" fillId="0" borderId="0" xfId="42" applyFont="1" applyAlignment="1">
      <alignment horizontal="left" wrapText="1"/>
    </xf>
    <xf numFmtId="0" fontId="8" fillId="0" borderId="0" xfId="42" applyFont="1" applyAlignment="1">
      <alignment horizontal="left"/>
    </xf>
    <xf numFmtId="3" fontId="16" fillId="0" borderId="0" xfId="42" applyNumberFormat="1" applyFont="1" applyAlignment="1">
      <alignment horizontal="right" vertical="center"/>
    </xf>
    <xf numFmtId="0" fontId="8" fillId="0" borderId="1" xfId="42" applyFont="1" applyBorder="1" applyAlignment="1">
      <alignment horizontal="left" indent="1"/>
    </xf>
    <xf numFmtId="169" fontId="7" fillId="0" borderId="1" xfId="45" applyNumberFormat="1" applyFont="1" applyFill="1" applyBorder="1" applyAlignment="1">
      <alignment horizontal="right" vertical="center" wrapText="1"/>
    </xf>
    <xf numFmtId="0" fontId="20" fillId="0" borderId="0" xfId="44" applyFont="1"/>
    <xf numFmtId="0" fontId="20" fillId="0" borderId="0" xfId="44" applyFont="1" applyAlignment="1">
      <alignment horizontal="center"/>
    </xf>
    <xf numFmtId="0" fontId="41" fillId="0" borderId="0" xfId="44" applyFont="1" applyAlignment="1">
      <alignment horizontal="right"/>
    </xf>
    <xf numFmtId="0" fontId="68" fillId="0" borderId="0" xfId="44" applyFont="1"/>
    <xf numFmtId="0" fontId="41" fillId="0" borderId="0" xfId="44" applyFont="1"/>
    <xf numFmtId="176" fontId="18" fillId="0" borderId="0" xfId="46" applyFont="1" applyAlignment="1">
      <alignment horizontal="right"/>
    </xf>
    <xf numFmtId="0" fontId="41" fillId="0" borderId="0" xfId="44" applyFont="1" applyAlignment="1">
      <alignment vertical="top"/>
    </xf>
    <xf numFmtId="0" fontId="41" fillId="0" borderId="0" xfId="44" applyFont="1" applyAlignment="1">
      <alignment horizontal="right" vertical="top"/>
    </xf>
    <xf numFmtId="176" fontId="19" fillId="0" borderId="0" xfId="46" applyFont="1" applyAlignment="1">
      <alignment horizontal="right" vertical="top"/>
    </xf>
    <xf numFmtId="0" fontId="18" fillId="0" borderId="0" xfId="42" applyFont="1" applyAlignment="1">
      <alignment horizontal="left" indent="1"/>
    </xf>
    <xf numFmtId="0" fontId="18" fillId="0" borderId="0" xfId="44" applyFont="1" applyAlignment="1">
      <alignment horizontal="left" vertical="top" indent="1"/>
    </xf>
    <xf numFmtId="0" fontId="18" fillId="0" borderId="0" xfId="44" applyFont="1" applyAlignment="1">
      <alignment horizontal="center"/>
    </xf>
    <xf numFmtId="0" fontId="14" fillId="0" borderId="0" xfId="42" quotePrefix="1" applyFont="1"/>
    <xf numFmtId="0" fontId="18" fillId="0" borderId="0" xfId="44" applyFont="1" applyAlignment="1">
      <alignment horizontal="left" vertical="top"/>
    </xf>
    <xf numFmtId="0" fontId="20" fillId="0" borderId="0" xfId="44" applyFont="1" applyAlignment="1">
      <alignment horizontal="left" vertical="top" indent="1"/>
    </xf>
    <xf numFmtId="176" fontId="41" fillId="0" borderId="0" xfId="46" applyFont="1" applyAlignment="1">
      <alignment horizontal="right"/>
    </xf>
    <xf numFmtId="176" fontId="41" fillId="0" borderId="0" xfId="46" applyFont="1"/>
    <xf numFmtId="0" fontId="19" fillId="0" borderId="0" xfId="44" applyFont="1" applyAlignment="1">
      <alignment vertical="top"/>
    </xf>
    <xf numFmtId="0" fontId="20" fillId="0" borderId="0" xfId="44" applyFont="1" applyAlignment="1">
      <alignment horizontal="right"/>
    </xf>
    <xf numFmtId="176" fontId="7" fillId="0" borderId="0" xfId="46" applyFont="1"/>
    <xf numFmtId="0" fontId="19" fillId="0" borderId="0" xfId="44" applyFont="1" applyAlignment="1">
      <alignment horizontal="left"/>
    </xf>
    <xf numFmtId="176" fontId="20" fillId="0" borderId="0" xfId="46" applyFont="1" applyAlignment="1">
      <alignment horizontal="center"/>
    </xf>
    <xf numFmtId="176" fontId="20" fillId="0" borderId="0" xfId="46" applyFont="1" applyAlignment="1">
      <alignment horizontal="left"/>
    </xf>
    <xf numFmtId="0" fontId="4" fillId="0" borderId="0" xfId="11" quotePrefix="1" applyFont="1"/>
    <xf numFmtId="0" fontId="7" fillId="0" borderId="0" xfId="42" applyFont="1" applyAlignment="1">
      <alignment horizontal="left" vertical="center" indent="1"/>
    </xf>
    <xf numFmtId="0" fontId="8" fillId="0" borderId="0" xfId="42" applyFont="1" applyAlignment="1">
      <alignment horizontal="center"/>
    </xf>
    <xf numFmtId="0" fontId="7" fillId="0" borderId="0" xfId="42" applyFont="1" applyAlignment="1">
      <alignment vertical="center"/>
    </xf>
    <xf numFmtId="0" fontId="7" fillId="0" borderId="0" xfId="47" applyNumberFormat="1" applyFont="1" applyFill="1" applyBorder="1" applyAlignment="1">
      <alignment vertical="center"/>
    </xf>
    <xf numFmtId="0" fontId="7" fillId="0" borderId="0" xfId="47" applyNumberFormat="1" applyFont="1" applyFill="1" applyBorder="1" applyAlignment="1">
      <alignment horizontal="right" vertical="center"/>
    </xf>
    <xf numFmtId="0" fontId="10" fillId="0" borderId="0" xfId="42" applyFont="1" applyAlignment="1">
      <alignment horizontal="left" indent="3"/>
    </xf>
    <xf numFmtId="0" fontId="10" fillId="0" borderId="0" xfId="42" applyFont="1" applyAlignment="1">
      <alignment horizontal="center"/>
    </xf>
    <xf numFmtId="0" fontId="10" fillId="0" borderId="0" xfId="42" applyFont="1" applyAlignment="1">
      <alignment vertical="center"/>
    </xf>
    <xf numFmtId="0" fontId="4" fillId="0" borderId="0" xfId="3" applyFont="1" applyAlignment="1">
      <alignment horizontal="left" vertical="center"/>
    </xf>
    <xf numFmtId="0" fontId="6" fillId="0" borderId="0" xfId="0" applyFont="1" applyAlignment="1">
      <alignment horizontal="left" vertical="top"/>
    </xf>
    <xf numFmtId="178" fontId="8" fillId="0" borderId="1" xfId="48" applyFont="1" applyBorder="1" applyAlignment="1">
      <alignment vertical="center"/>
    </xf>
    <xf numFmtId="178" fontId="4" fillId="0" borderId="0" xfId="48" applyFont="1" applyAlignment="1">
      <alignment horizontal="center" vertical="center"/>
    </xf>
    <xf numFmtId="178" fontId="4" fillId="0" borderId="0" xfId="48" applyFont="1" applyAlignment="1">
      <alignment horizontal="right" vertical="center"/>
    </xf>
    <xf numFmtId="178" fontId="4" fillId="0" borderId="0" xfId="48" applyFont="1" applyAlignment="1">
      <alignment vertical="center"/>
    </xf>
    <xf numFmtId="178" fontId="8" fillId="0" borderId="0" xfId="48" applyFont="1" applyAlignment="1">
      <alignment vertical="center"/>
    </xf>
    <xf numFmtId="178" fontId="7" fillId="0" borderId="0" xfId="48" applyFont="1" applyAlignment="1">
      <alignment vertical="center"/>
    </xf>
    <xf numFmtId="178" fontId="7" fillId="0" borderId="9" xfId="48" applyFont="1" applyBorder="1" applyAlignment="1">
      <alignment horizontal="left" vertical="center" wrapText="1"/>
    </xf>
    <xf numFmtId="178" fontId="8" fillId="0" borderId="9" xfId="48" applyFont="1" applyBorder="1" applyAlignment="1">
      <alignment horizontal="center" vertical="center" wrapText="1"/>
    </xf>
    <xf numFmtId="178" fontId="7" fillId="0" borderId="0" xfId="48" applyFont="1" applyAlignment="1">
      <alignment horizontal="left" vertical="center" wrapText="1"/>
    </xf>
    <xf numFmtId="178" fontId="8" fillId="0" borderId="0" xfId="48" applyFont="1" applyAlignment="1">
      <alignment horizontal="center" vertical="center" wrapText="1"/>
    </xf>
    <xf numFmtId="178" fontId="7" fillId="0" borderId="1" xfId="48" applyFont="1" applyBorder="1" applyAlignment="1">
      <alignment vertical="center"/>
    </xf>
    <xf numFmtId="178" fontId="7" fillId="0" borderId="8" xfId="48" applyFont="1" applyBorder="1" applyAlignment="1">
      <alignment horizontal="left" vertical="center" wrapText="1"/>
    </xf>
    <xf numFmtId="178" fontId="8" fillId="0" borderId="8" xfId="48" applyFont="1" applyBorder="1" applyAlignment="1">
      <alignment horizontal="center" vertical="center" wrapText="1"/>
    </xf>
    <xf numFmtId="168" fontId="8" fillId="0" borderId="0" xfId="49" applyFont="1" applyAlignment="1">
      <alignment horizontal="left" vertical="center" wrapText="1"/>
    </xf>
    <xf numFmtId="168" fontId="8" fillId="0" borderId="0" xfId="49" applyFont="1" applyAlignment="1">
      <alignment horizontal="right" vertical="center" wrapText="1"/>
    </xf>
    <xf numFmtId="178" fontId="8" fillId="0" borderId="0" xfId="48" applyFont="1" applyAlignment="1">
      <alignment horizontal="left" vertical="center" wrapText="1"/>
    </xf>
    <xf numFmtId="165" fontId="7" fillId="0" borderId="10" xfId="48" applyNumberFormat="1" applyFont="1" applyBorder="1" applyAlignment="1">
      <alignment horizontal="right" vertical="center"/>
    </xf>
    <xf numFmtId="165" fontId="7" fillId="0" borderId="0" xfId="48" applyNumberFormat="1" applyFont="1" applyAlignment="1">
      <alignment horizontal="right" vertical="center"/>
    </xf>
    <xf numFmtId="178" fontId="10" fillId="0" borderId="0" xfId="48" applyFont="1" applyAlignment="1">
      <alignment horizontal="left" vertical="center" wrapText="1"/>
    </xf>
    <xf numFmtId="167" fontId="7" fillId="0" borderId="0" xfId="48" applyNumberFormat="1" applyFont="1" applyAlignment="1">
      <alignment horizontal="center" vertical="center"/>
    </xf>
    <xf numFmtId="178" fontId="7" fillId="0" borderId="1" xfId="48" applyFont="1" applyBorder="1" applyAlignment="1">
      <alignment horizontal="left" vertical="center"/>
    </xf>
    <xf numFmtId="167" fontId="7" fillId="0" borderId="1" xfId="48" applyNumberFormat="1" applyFont="1" applyBorder="1" applyAlignment="1">
      <alignment horizontal="center" vertical="center"/>
    </xf>
    <xf numFmtId="0" fontId="18" fillId="0" borderId="0" xfId="50" applyFont="1" applyAlignment="1">
      <alignment horizontal="right" vertical="center"/>
    </xf>
    <xf numFmtId="0" fontId="19" fillId="0" borderId="0" xfId="50" applyFont="1" applyAlignment="1">
      <alignment horizontal="right" vertical="center"/>
    </xf>
    <xf numFmtId="0" fontId="14" fillId="0" borderId="0" xfId="51" applyFont="1" applyAlignment="1">
      <alignment horizontal="right"/>
    </xf>
    <xf numFmtId="0" fontId="14" fillId="0" borderId="0" xfId="51" applyFont="1" applyAlignment="1">
      <alignment horizontal="left"/>
    </xf>
    <xf numFmtId="0" fontId="14" fillId="0" borderId="0" xfId="51" applyFont="1"/>
    <xf numFmtId="0" fontId="87" fillId="0" borderId="0" xfId="23" applyFont="1" applyAlignment="1">
      <alignment vertical="center"/>
    </xf>
    <xf numFmtId="0" fontId="45" fillId="0" borderId="0" xfId="51" applyFont="1"/>
    <xf numFmtId="0" fontId="15" fillId="0" borderId="0" xfId="51" applyFont="1" applyAlignment="1">
      <alignment horizontal="right"/>
    </xf>
    <xf numFmtId="0" fontId="15" fillId="0" borderId="0" xfId="51" applyFont="1" applyAlignment="1">
      <alignment horizontal="left"/>
    </xf>
    <xf numFmtId="0" fontId="15" fillId="0" borderId="0" xfId="51" applyFont="1"/>
    <xf numFmtId="0" fontId="87" fillId="0" borderId="1" xfId="23" applyFont="1" applyBorder="1" applyAlignment="1">
      <alignment vertical="center"/>
    </xf>
    <xf numFmtId="173" fontId="88" fillId="0" borderId="1" xfId="52" applyNumberFormat="1" applyFont="1" applyFill="1" applyBorder="1" applyAlignment="1">
      <alignment vertical="center"/>
    </xf>
    <xf numFmtId="0" fontId="0" fillId="0" borderId="1" xfId="0" applyBorder="1"/>
    <xf numFmtId="0" fontId="88" fillId="0" borderId="1" xfId="23" applyFont="1" applyBorder="1" applyAlignment="1">
      <alignment vertical="center"/>
    </xf>
    <xf numFmtId="0" fontId="16" fillId="0" borderId="0" xfId="51" applyFont="1"/>
    <xf numFmtId="0" fontId="88" fillId="0" borderId="0" xfId="23" applyFont="1" applyAlignment="1">
      <alignment vertical="center"/>
    </xf>
    <xf numFmtId="0" fontId="88" fillId="0" borderId="0" xfId="23" applyFont="1" applyAlignment="1">
      <alignment vertical="center" wrapText="1"/>
    </xf>
    <xf numFmtId="176" fontId="8" fillId="0" borderId="0" xfId="54" applyNumberFormat="1" applyFont="1" applyAlignment="1">
      <alignment horizontal="center" vertical="center" wrapText="1"/>
    </xf>
    <xf numFmtId="178" fontId="8" fillId="0" borderId="3" xfId="53" applyFont="1" applyBorder="1" applyAlignment="1">
      <alignment horizontal="right" vertical="center" wrapText="1"/>
    </xf>
    <xf numFmtId="178" fontId="8" fillId="0" borderId="0" xfId="53" applyFont="1" applyAlignment="1">
      <alignment horizontal="right" vertical="center" wrapText="1"/>
    </xf>
    <xf numFmtId="0" fontId="16" fillId="0" borderId="0" xfId="51" applyFont="1" applyAlignment="1">
      <alignment vertical="center"/>
    </xf>
    <xf numFmtId="0" fontId="89" fillId="0" borderId="1" xfId="23" applyFont="1" applyBorder="1"/>
    <xf numFmtId="0" fontId="12" fillId="0" borderId="1" xfId="23" applyFont="1" applyBorder="1" applyAlignment="1">
      <alignment horizontal="right" vertical="center" wrapText="1"/>
    </xf>
    <xf numFmtId="0" fontId="8" fillId="0" borderId="1" xfId="55" applyFont="1" applyBorder="1" applyAlignment="1">
      <alignment horizontal="right" vertical="center" wrapText="1"/>
    </xf>
    <xf numFmtId="0" fontId="16" fillId="0" borderId="0" xfId="23" applyFont="1"/>
    <xf numFmtId="0" fontId="16" fillId="0" borderId="0" xfId="52" applyNumberFormat="1" applyFont="1" applyFill="1" applyAlignment="1">
      <alignment vertical="center"/>
    </xf>
    <xf numFmtId="0" fontId="16" fillId="0" borderId="3" xfId="51" applyFont="1" applyBorder="1" applyAlignment="1">
      <alignment vertical="center"/>
    </xf>
    <xf numFmtId="0" fontId="16" fillId="0" borderId="0" xfId="23" applyFont="1" applyAlignment="1">
      <alignment vertical="center"/>
    </xf>
    <xf numFmtId="0" fontId="90" fillId="0" borderId="0" xfId="23" applyFont="1" applyAlignment="1">
      <alignment vertical="center"/>
    </xf>
    <xf numFmtId="1" fontId="8" fillId="0" borderId="0" xfId="56" applyNumberFormat="1" applyFont="1" applyAlignment="1">
      <alignment horizontal="center" vertical="center"/>
    </xf>
    <xf numFmtId="3" fontId="8" fillId="0" borderId="0" xfId="52" applyNumberFormat="1" applyFont="1" applyFill="1" applyBorder="1" applyAlignment="1">
      <alignment horizontal="right" vertical="center"/>
    </xf>
    <xf numFmtId="165" fontId="12" fillId="0" borderId="0" xfId="52" applyNumberFormat="1" applyFont="1" applyFill="1" applyAlignment="1">
      <alignment horizontal="right" vertical="center"/>
    </xf>
    <xf numFmtId="179" fontId="8" fillId="0" borderId="0" xfId="23" applyNumberFormat="1" applyFont="1" applyAlignment="1">
      <alignment horizontal="right" vertical="center"/>
    </xf>
    <xf numFmtId="3" fontId="16" fillId="0" borderId="0" xfId="51" applyNumberFormat="1" applyFont="1" applyAlignment="1">
      <alignment horizontal="right" vertical="center"/>
    </xf>
    <xf numFmtId="165" fontId="16" fillId="0" borderId="0" xfId="51" applyNumberFormat="1" applyFont="1" applyAlignment="1">
      <alignment horizontal="right" vertical="center"/>
    </xf>
    <xf numFmtId="179" fontId="16" fillId="0" borderId="0" xfId="51" applyNumberFormat="1" applyFont="1" applyAlignment="1">
      <alignment horizontal="right" vertical="center"/>
    </xf>
    <xf numFmtId="0" fontId="48" fillId="0" borderId="0" xfId="51" applyFont="1" applyAlignment="1">
      <alignment horizontal="left" vertical="center" indent="1"/>
    </xf>
    <xf numFmtId="1" fontId="7" fillId="0" borderId="0" xfId="56" applyNumberFormat="1" applyFont="1" applyAlignment="1">
      <alignment horizontal="center" vertical="center"/>
    </xf>
    <xf numFmtId="3" fontId="7" fillId="0" borderId="0" xfId="52" quotePrefix="1" applyNumberFormat="1" applyFont="1" applyFill="1" applyBorder="1" applyAlignment="1">
      <alignment horizontal="right" vertical="center"/>
    </xf>
    <xf numFmtId="165" fontId="16" fillId="0" borderId="0" xfId="52" applyNumberFormat="1" applyFont="1" applyFill="1" applyAlignment="1">
      <alignment horizontal="right" vertical="center"/>
    </xf>
    <xf numFmtId="179" fontId="7" fillId="0" borderId="0" xfId="23" applyNumberFormat="1" applyFont="1" applyAlignment="1">
      <alignment horizontal="right" vertical="center"/>
    </xf>
    <xf numFmtId="0" fontId="16" fillId="0" borderId="1" xfId="51" applyFont="1" applyBorder="1" applyAlignment="1">
      <alignment horizontal="left" vertical="center"/>
    </xf>
    <xf numFmtId="3" fontId="7" fillId="0" borderId="1" xfId="52" applyNumberFormat="1" applyFont="1" applyFill="1" applyBorder="1" applyAlignment="1">
      <alignment vertical="center"/>
    </xf>
    <xf numFmtId="165" fontId="16" fillId="0" borderId="1" xfId="52" applyNumberFormat="1" applyFont="1" applyFill="1" applyBorder="1" applyAlignment="1">
      <alignment vertical="center"/>
    </xf>
    <xf numFmtId="165" fontId="7" fillId="0" borderId="1" xfId="23" applyNumberFormat="1" applyFont="1" applyBorder="1" applyAlignment="1">
      <alignment vertical="center"/>
    </xf>
    <xf numFmtId="179" fontId="7" fillId="0" borderId="1" xfId="23" applyNumberFormat="1" applyFont="1" applyBorder="1" applyAlignment="1">
      <alignment vertical="center"/>
    </xf>
    <xf numFmtId="173" fontId="16" fillId="0" borderId="0" xfId="52" applyNumberFormat="1" applyFont="1" applyAlignment="1"/>
    <xf numFmtId="0" fontId="91" fillId="0" borderId="0" xfId="51" applyFont="1"/>
    <xf numFmtId="0" fontId="28" fillId="0" borderId="0" xfId="0" applyFont="1" applyAlignment="1">
      <alignment horizontal="right"/>
    </xf>
    <xf numFmtId="0" fontId="4" fillId="0" borderId="0" xfId="0" applyFont="1" applyAlignment="1">
      <alignment horizontal="right" vertical="top"/>
    </xf>
    <xf numFmtId="0" fontId="4"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vertical="top" wrapText="1"/>
    </xf>
    <xf numFmtId="0" fontId="6" fillId="0" borderId="0" xfId="0" applyFont="1" applyAlignment="1">
      <alignment horizontal="right" vertical="top" wrapText="1"/>
    </xf>
    <xf numFmtId="0" fontId="16" fillId="0" borderId="6" xfId="0" applyFont="1" applyBorder="1"/>
    <xf numFmtId="0" fontId="16" fillId="0" borderId="6" xfId="0" applyFont="1" applyBorder="1" applyAlignment="1">
      <alignment horizontal="right"/>
    </xf>
    <xf numFmtId="176" fontId="12" fillId="0" borderId="0" xfId="0" applyNumberFormat="1" applyFont="1" applyAlignment="1">
      <alignment horizontal="right" vertical="top" wrapText="1"/>
    </xf>
    <xf numFmtId="0" fontId="12" fillId="0" borderId="0" xfId="0" applyFont="1" applyAlignment="1">
      <alignment vertical="center" wrapText="1"/>
    </xf>
    <xf numFmtId="0" fontId="12" fillId="0" borderId="0" xfId="0" applyFont="1" applyAlignment="1">
      <alignment horizontal="right" vertical="center"/>
    </xf>
    <xf numFmtId="0" fontId="0" fillId="0" borderId="0" xfId="0" applyAlignment="1">
      <alignment horizontal="right"/>
    </xf>
    <xf numFmtId="0" fontId="73" fillId="0" borderId="0" xfId="0" applyFont="1" applyAlignment="1">
      <alignment vertical="center"/>
    </xf>
    <xf numFmtId="0" fontId="13" fillId="0" borderId="0" xfId="0" applyFont="1" applyAlignment="1">
      <alignment horizontal="left" vertical="center"/>
    </xf>
    <xf numFmtId="176" fontId="12" fillId="0" borderId="6" xfId="0" applyNumberFormat="1" applyFont="1" applyBorder="1" applyAlignment="1">
      <alignment horizontal="right" vertical="top" wrapText="1"/>
    </xf>
    <xf numFmtId="176" fontId="12" fillId="0" borderId="6" xfId="0" applyNumberFormat="1" applyFont="1" applyBorder="1" applyAlignment="1">
      <alignment vertical="center" wrapText="1"/>
    </xf>
    <xf numFmtId="0" fontId="16" fillId="0" borderId="6" xfId="0" applyFont="1" applyBorder="1" applyAlignment="1">
      <alignment horizontal="right" vertical="center"/>
    </xf>
    <xf numFmtId="176" fontId="16" fillId="0" borderId="0" xfId="0" applyNumberFormat="1" applyFont="1" applyAlignment="1">
      <alignment horizontal="right" vertical="top" wrapText="1"/>
    </xf>
    <xf numFmtId="0" fontId="12" fillId="0" borderId="0" xfId="0" applyFont="1" applyAlignment="1">
      <alignment horizontal="left" vertical="center"/>
    </xf>
    <xf numFmtId="0" fontId="2" fillId="0" borderId="0" xfId="57" applyFont="1" applyAlignment="1">
      <alignment horizontal="left" vertical="center"/>
    </xf>
    <xf numFmtId="165" fontId="16" fillId="0" borderId="0" xfId="0" applyNumberFormat="1" applyFont="1" applyAlignment="1">
      <alignment horizontal="center" vertical="center"/>
    </xf>
    <xf numFmtId="165" fontId="73" fillId="0" borderId="0" xfId="0" applyNumberFormat="1" applyFont="1" applyAlignment="1">
      <alignment horizontal="right" vertical="center"/>
    </xf>
    <xf numFmtId="2" fontId="16" fillId="0" borderId="0" xfId="0" applyNumberFormat="1" applyFont="1" applyAlignment="1">
      <alignment horizontal="right" vertical="center"/>
    </xf>
    <xf numFmtId="2" fontId="16" fillId="0" borderId="0" xfId="0" applyNumberFormat="1" applyFont="1" applyAlignment="1">
      <alignment horizontal="left"/>
    </xf>
    <xf numFmtId="165" fontId="16" fillId="0" borderId="0" xfId="0" applyNumberFormat="1" applyFont="1" applyAlignment="1">
      <alignment horizontal="right"/>
    </xf>
    <xf numFmtId="0" fontId="8" fillId="0" borderId="0" xfId="0" applyFont="1" applyAlignment="1">
      <alignment horizontal="left" vertical="center"/>
    </xf>
    <xf numFmtId="165" fontId="7" fillId="0" borderId="0" xfId="0" applyNumberFormat="1" applyFont="1" applyAlignment="1">
      <alignment horizontal="center" vertical="center"/>
    </xf>
    <xf numFmtId="2" fontId="7" fillId="0" borderId="0" xfId="0" applyNumberFormat="1" applyFont="1" applyAlignment="1">
      <alignment horizontal="right" vertical="center"/>
    </xf>
    <xf numFmtId="2" fontId="7" fillId="0" borderId="0" xfId="0" applyNumberFormat="1" applyFont="1" applyAlignment="1">
      <alignment horizontal="left"/>
    </xf>
    <xf numFmtId="0" fontId="10" fillId="0" borderId="0" xfId="0" applyFont="1" applyAlignment="1">
      <alignment horizontal="left" vertical="center"/>
    </xf>
    <xf numFmtId="0" fontId="16" fillId="0" borderId="11" xfId="0" applyFont="1" applyBorder="1" applyAlignment="1">
      <alignment vertical="center"/>
    </xf>
    <xf numFmtId="0" fontId="16" fillId="0" borderId="11" xfId="0" applyFont="1" applyBorder="1" applyAlignment="1">
      <alignment horizontal="right" vertical="center"/>
    </xf>
    <xf numFmtId="0" fontId="64" fillId="0" borderId="0" xfId="0" applyFont="1" applyAlignment="1">
      <alignment vertical="center"/>
    </xf>
    <xf numFmtId="0" fontId="65" fillId="0" borderId="0" xfId="0" applyFont="1" applyAlignment="1">
      <alignment horizontal="right" vertical="center"/>
    </xf>
    <xf numFmtId="0" fontId="65" fillId="0" borderId="0" xfId="0" applyFont="1" applyAlignment="1">
      <alignment vertical="center"/>
    </xf>
    <xf numFmtId="0" fontId="93" fillId="0" borderId="0" xfId="0" applyFont="1"/>
    <xf numFmtId="164" fontId="64" fillId="0" borderId="0" xfId="0" applyNumberFormat="1" applyFont="1" applyAlignment="1">
      <alignment vertical="center"/>
    </xf>
    <xf numFmtId="164" fontId="65" fillId="0" borderId="0" xfId="0" applyNumberFormat="1" applyFont="1" applyAlignment="1">
      <alignment vertical="center"/>
    </xf>
    <xf numFmtId="0" fontId="57" fillId="0" borderId="0" xfId="0" applyFont="1" applyAlignment="1">
      <alignment horizontal="right" vertical="center"/>
    </xf>
    <xf numFmtId="164" fontId="65" fillId="0" borderId="0" xfId="0" applyNumberFormat="1" applyFont="1" applyAlignment="1">
      <alignment horizontal="left" vertical="top"/>
    </xf>
    <xf numFmtId="164" fontId="65" fillId="0" borderId="0" xfId="0" applyNumberFormat="1" applyFont="1" applyAlignment="1">
      <alignment horizontal="right" vertical="top"/>
    </xf>
    <xf numFmtId="0" fontId="65" fillId="0" borderId="0" xfId="0" applyFont="1" applyAlignment="1">
      <alignment horizontal="left" vertical="top" wrapText="1"/>
    </xf>
    <xf numFmtId="0" fontId="65" fillId="0" borderId="0" xfId="0" applyFont="1" applyAlignment="1">
      <alignment horizontal="right" vertical="top" wrapText="1"/>
    </xf>
    <xf numFmtId="0" fontId="7" fillId="0" borderId="6" xfId="0" applyFont="1" applyBorder="1"/>
    <xf numFmtId="176" fontId="8" fillId="0" borderId="0" xfId="0" applyNumberFormat="1" applyFont="1" applyAlignment="1">
      <alignment horizontal="right" vertical="top" wrapText="1"/>
    </xf>
    <xf numFmtId="0" fontId="94" fillId="0" borderId="0" xfId="0" applyFont="1" applyAlignment="1">
      <alignment vertical="center"/>
    </xf>
    <xf numFmtId="0" fontId="8" fillId="0" borderId="0" xfId="0" applyFont="1" applyAlignment="1">
      <alignment horizontal="right" vertical="center"/>
    </xf>
    <xf numFmtId="0" fontId="7" fillId="0" borderId="0" xfId="0" applyFont="1" applyAlignment="1">
      <alignment horizontal="right" vertical="center"/>
    </xf>
    <xf numFmtId="0" fontId="8" fillId="0" borderId="0" xfId="0" applyFont="1" applyAlignment="1">
      <alignment horizontal="right" vertical="top"/>
    </xf>
    <xf numFmtId="0" fontId="7" fillId="0" borderId="0" xfId="0" applyFont="1" applyAlignment="1">
      <alignment horizontal="right" vertical="top"/>
    </xf>
    <xf numFmtId="176" fontId="8" fillId="0" borderId="6" xfId="0" applyNumberFormat="1" applyFont="1" applyBorder="1" applyAlignment="1">
      <alignment horizontal="right" vertical="top" wrapText="1"/>
    </xf>
    <xf numFmtId="0" fontId="7" fillId="0" borderId="6" xfId="0" applyFont="1" applyBorder="1" applyAlignment="1">
      <alignment horizontal="right" vertical="top"/>
    </xf>
    <xf numFmtId="0" fontId="10" fillId="0" borderId="6" xfId="0" applyFont="1" applyBorder="1" applyAlignment="1">
      <alignment horizontal="right" vertical="top"/>
    </xf>
    <xf numFmtId="0" fontId="10" fillId="0" borderId="6" xfId="0" applyFont="1" applyBorder="1" applyAlignment="1">
      <alignment horizontal="right" vertical="top" wrapText="1"/>
    </xf>
    <xf numFmtId="176" fontId="7" fillId="0" borderId="0" xfId="0" applyNumberFormat="1" applyFont="1" applyAlignment="1">
      <alignment horizontal="right" vertical="top" wrapText="1"/>
    </xf>
    <xf numFmtId="0" fontId="95" fillId="0" borderId="0" xfId="0" applyFont="1"/>
    <xf numFmtId="0" fontId="95" fillId="0" borderId="0" xfId="0" applyFont="1" applyAlignment="1">
      <alignment horizontal="left" indent="1"/>
    </xf>
    <xf numFmtId="0" fontId="10" fillId="0" borderId="0" xfId="0" applyFont="1" applyAlignment="1">
      <alignment horizontal="left" vertical="center" indent="1"/>
    </xf>
    <xf numFmtId="0" fontId="7" fillId="0" borderId="11" xfId="0" applyFont="1" applyBorder="1" applyAlignment="1">
      <alignment vertical="center"/>
    </xf>
    <xf numFmtId="0" fontId="20" fillId="0" borderId="0" xfId="0" applyFont="1" applyAlignment="1">
      <alignment vertical="center"/>
    </xf>
    <xf numFmtId="0" fontId="18" fillId="0" borderId="12" xfId="0" applyFont="1" applyBorder="1" applyAlignment="1">
      <alignment horizontal="right" vertical="center"/>
    </xf>
    <xf numFmtId="0" fontId="18" fillId="0" borderId="0" xfId="0" applyFont="1" applyAlignment="1">
      <alignment vertical="center"/>
    </xf>
    <xf numFmtId="0" fontId="19" fillId="0" borderId="0" xfId="0" applyFont="1" applyAlignment="1">
      <alignment vertical="center"/>
    </xf>
    <xf numFmtId="0" fontId="19" fillId="0" borderId="0" xfId="0" applyFont="1" applyAlignment="1">
      <alignment horizontal="right" vertical="center"/>
    </xf>
    <xf numFmtId="0" fontId="10" fillId="0" borderId="0" xfId="0" applyFont="1" applyAlignment="1">
      <alignment horizontal="right" vertical="center"/>
    </xf>
    <xf numFmtId="164" fontId="18" fillId="0" borderId="0" xfId="0" applyNumberFormat="1" applyFont="1"/>
    <xf numFmtId="164" fontId="20" fillId="0" borderId="0" xfId="0" applyNumberFormat="1" applyFont="1"/>
    <xf numFmtId="164" fontId="18" fillId="0" borderId="0" xfId="0" applyNumberFormat="1" applyFont="1" applyAlignment="1">
      <alignment vertical="center"/>
    </xf>
    <xf numFmtId="164" fontId="19" fillId="0" borderId="0" xfId="0" applyNumberFormat="1" applyFont="1"/>
    <xf numFmtId="164" fontId="19" fillId="0" borderId="0" xfId="0" applyNumberFormat="1" applyFont="1" applyAlignment="1">
      <alignment wrapText="1"/>
    </xf>
    <xf numFmtId="0" fontId="97" fillId="0" borderId="0" xfId="0" applyFont="1"/>
    <xf numFmtId="175" fontId="16" fillId="0" borderId="0" xfId="52" applyNumberFormat="1" applyFont="1"/>
    <xf numFmtId="175" fontId="7" fillId="0" borderId="0" xfId="52" applyNumberFormat="1" applyFont="1"/>
    <xf numFmtId="0" fontId="14" fillId="0" borderId="0" xfId="0" applyFont="1" applyAlignment="1">
      <alignment horizontal="left"/>
    </xf>
    <xf numFmtId="0" fontId="14" fillId="0" borderId="0" xfId="0" applyFont="1" applyAlignment="1">
      <alignment horizontal="left" vertical="top"/>
    </xf>
    <xf numFmtId="0" fontId="4" fillId="0" borderId="0" xfId="0" applyFont="1" applyAlignment="1">
      <alignment horizontal="left" vertical="top"/>
    </xf>
    <xf numFmtId="0" fontId="16" fillId="0" borderId="0" xfId="0" applyFont="1" applyAlignment="1">
      <alignment horizontal="left" vertical="top"/>
    </xf>
    <xf numFmtId="0" fontId="15" fillId="0" borderId="0" xfId="0" applyFont="1" applyAlignment="1">
      <alignment horizontal="right"/>
    </xf>
    <xf numFmtId="0" fontId="15" fillId="0" borderId="0" xfId="0" applyFont="1" applyAlignment="1">
      <alignment horizontal="left"/>
    </xf>
    <xf numFmtId="0" fontId="15" fillId="0" borderId="0" xfId="0" applyFont="1" applyAlignment="1">
      <alignment horizontal="left" vertical="center"/>
    </xf>
    <xf numFmtId="0" fontId="6" fillId="0" borderId="0" xfId="0" applyFont="1" applyAlignment="1">
      <alignment horizontal="left" vertical="center"/>
    </xf>
    <xf numFmtId="0" fontId="16" fillId="0" borderId="0" xfId="0" applyFont="1" applyAlignment="1">
      <alignment horizontal="left"/>
    </xf>
    <xf numFmtId="175" fontId="16" fillId="0" borderId="0" xfId="52" applyNumberFormat="1" applyFont="1" applyAlignment="1">
      <alignment horizontal="right"/>
    </xf>
    <xf numFmtId="0" fontId="16" fillId="0" borderId="2" xfId="0" applyFont="1" applyBorder="1" applyAlignment="1">
      <alignment horizontal="left" vertical="center" wrapText="1"/>
    </xf>
    <xf numFmtId="0" fontId="16" fillId="0" borderId="2" xfId="52" applyNumberFormat="1" applyFont="1" applyBorder="1" applyAlignment="1">
      <alignment vertical="center" wrapText="1"/>
    </xf>
    <xf numFmtId="0" fontId="12" fillId="0" borderId="2" xfId="52" applyNumberFormat="1" applyFont="1" applyBorder="1" applyAlignment="1">
      <alignment horizontal="right" vertical="center" wrapText="1"/>
    </xf>
    <xf numFmtId="0" fontId="8" fillId="0" borderId="2" xfId="52" applyNumberFormat="1" applyFont="1" applyBorder="1" applyAlignment="1">
      <alignment horizontal="right" vertical="center" wrapText="1"/>
    </xf>
    <xf numFmtId="0" fontId="12" fillId="0" borderId="0" xfId="0" applyFont="1" applyAlignment="1">
      <alignment vertical="top" wrapText="1"/>
    </xf>
    <xf numFmtId="175" fontId="16" fillId="0" borderId="0" xfId="52" applyNumberFormat="1" applyFont="1" applyFill="1" applyBorder="1" applyAlignment="1">
      <alignment vertical="center" wrapText="1"/>
    </xf>
    <xf numFmtId="175" fontId="16" fillId="0" borderId="0" xfId="52" applyNumberFormat="1" applyFont="1" applyFill="1" applyBorder="1" applyAlignment="1">
      <alignment horizontal="right" vertical="center" wrapText="1"/>
    </xf>
    <xf numFmtId="175" fontId="7" fillId="0" borderId="0" xfId="52" applyNumberFormat="1" applyFont="1" applyFill="1" applyBorder="1" applyAlignment="1">
      <alignment horizontal="right" vertical="center" wrapText="1"/>
    </xf>
    <xf numFmtId="175" fontId="16" fillId="0" borderId="0" xfId="52" applyNumberFormat="1" applyFont="1" applyBorder="1" applyAlignment="1">
      <alignment horizontal="right" vertical="top" wrapText="1"/>
    </xf>
    <xf numFmtId="175" fontId="7" fillId="0" borderId="0" xfId="52" applyNumberFormat="1" applyFont="1" applyBorder="1" applyAlignment="1">
      <alignment horizontal="right" vertical="top" wrapText="1"/>
    </xf>
    <xf numFmtId="172" fontId="7" fillId="0" borderId="0" xfId="52" applyNumberFormat="1" applyFont="1" applyBorder="1" applyAlignment="1">
      <alignment horizontal="right" vertical="top" wrapText="1"/>
    </xf>
    <xf numFmtId="175" fontId="16" fillId="0" borderId="0" xfId="52" applyNumberFormat="1" applyFont="1" applyFill="1" applyBorder="1" applyAlignment="1">
      <alignment vertical="top" wrapText="1"/>
    </xf>
    <xf numFmtId="175" fontId="7" fillId="0" borderId="0" xfId="52" applyNumberFormat="1" applyFont="1" applyFill="1" applyBorder="1" applyAlignment="1">
      <alignment vertical="top" wrapText="1"/>
    </xf>
    <xf numFmtId="172" fontId="7" fillId="0" borderId="0" xfId="52" applyNumberFormat="1" applyFont="1" applyFill="1" applyBorder="1" applyAlignment="1">
      <alignment horizontal="right" vertical="top" wrapText="1"/>
    </xf>
    <xf numFmtId="0" fontId="16" fillId="0" borderId="0" xfId="42" applyFont="1" applyAlignment="1">
      <alignment horizontal="left" vertical="top" wrapText="1"/>
    </xf>
    <xf numFmtId="0" fontId="16" fillId="0" borderId="1" xfId="0" applyFont="1" applyBorder="1" applyAlignment="1">
      <alignment vertical="top" wrapText="1"/>
    </xf>
    <xf numFmtId="175" fontId="16" fillId="0" borderId="1" xfId="52" applyNumberFormat="1" applyFont="1" applyBorder="1" applyAlignment="1">
      <alignment horizontal="right" vertical="top" wrapText="1"/>
    </xf>
    <xf numFmtId="175" fontId="7" fillId="0" borderId="1" xfId="52" applyNumberFormat="1" applyFont="1" applyBorder="1" applyAlignment="1">
      <alignment horizontal="right" vertical="top" wrapText="1"/>
    </xf>
    <xf numFmtId="172" fontId="7" fillId="0" borderId="1" xfId="52" applyNumberFormat="1" applyFont="1" applyBorder="1" applyAlignment="1">
      <alignment horizontal="right" vertical="top" wrapText="1"/>
    </xf>
    <xf numFmtId="0" fontId="8" fillId="0" borderId="0" xfId="0" applyFont="1" applyAlignment="1">
      <alignment horizontal="right"/>
    </xf>
    <xf numFmtId="0" fontId="10" fillId="0" borderId="0" xfId="0" applyFont="1" applyAlignment="1">
      <alignment horizontal="right"/>
    </xf>
    <xf numFmtId="0" fontId="12" fillId="0" borderId="0" xfId="0" quotePrefix="1" applyFont="1"/>
    <xf numFmtId="0" fontId="2" fillId="0" borderId="0" xfId="0" quotePrefix="1" applyFont="1"/>
    <xf numFmtId="0" fontId="65" fillId="0" borderId="0" xfId="0" applyFont="1" applyAlignment="1">
      <alignment vertical="top"/>
    </xf>
    <xf numFmtId="0" fontId="65" fillId="0" borderId="0" xfId="0" applyFont="1"/>
    <xf numFmtId="0" fontId="14" fillId="0" borderId="0" xfId="0" applyFont="1" applyAlignment="1">
      <alignment horizontal="left" vertical="center"/>
    </xf>
    <xf numFmtId="0" fontId="16" fillId="0" borderId="2" xfId="0" applyFont="1" applyBorder="1" applyAlignment="1">
      <alignment vertical="center" wrapText="1"/>
    </xf>
    <xf numFmtId="172" fontId="7" fillId="0" borderId="0" xfId="52" applyNumberFormat="1" applyFont="1" applyFill="1" applyBorder="1" applyAlignment="1">
      <alignment horizontal="right" vertical="center" wrapText="1"/>
    </xf>
    <xf numFmtId="172" fontId="7" fillId="0" borderId="0" xfId="52" applyNumberFormat="1" applyFont="1" applyBorder="1" applyAlignment="1">
      <alignment horizontal="right" vertical="center" wrapText="1"/>
    </xf>
    <xf numFmtId="0" fontId="12" fillId="0" borderId="1" xfId="0" applyFont="1" applyBorder="1" applyAlignment="1">
      <alignment vertical="top" wrapText="1"/>
    </xf>
    <xf numFmtId="0" fontId="2" fillId="0" borderId="0" xfId="0" quotePrefix="1" applyFont="1" applyAlignment="1">
      <alignment vertical="top"/>
    </xf>
    <xf numFmtId="0" fontId="16" fillId="0" borderId="1" xfId="0" applyFont="1" applyBorder="1" applyAlignment="1">
      <alignment vertical="center" wrapText="1"/>
    </xf>
    <xf numFmtId="175" fontId="16" fillId="0" borderId="1" xfId="52" applyNumberFormat="1" applyFont="1" applyBorder="1" applyAlignment="1">
      <alignment horizontal="right" vertical="center" wrapText="1"/>
    </xf>
    <xf numFmtId="175" fontId="7" fillId="0" borderId="1" xfId="52" applyNumberFormat="1" applyFont="1" applyBorder="1" applyAlignment="1">
      <alignment horizontal="right" vertical="center" wrapText="1"/>
    </xf>
    <xf numFmtId="0" fontId="0" fillId="0" borderId="0" xfId="0" applyAlignment="1">
      <alignment horizontal="left" vertical="center"/>
    </xf>
    <xf numFmtId="175" fontId="0" fillId="0" borderId="0" xfId="58" applyNumberFormat="1" applyFont="1" applyFill="1" applyBorder="1"/>
    <xf numFmtId="0" fontId="14" fillId="0" borderId="0" xfId="0" applyFont="1" applyAlignment="1">
      <alignment horizontal="right" vertical="center"/>
    </xf>
    <xf numFmtId="0" fontId="15" fillId="0" borderId="0" xfId="0" applyFont="1" applyAlignment="1">
      <alignment horizontal="right" vertical="top"/>
    </xf>
    <xf numFmtId="175" fontId="0" fillId="0" borderId="0" xfId="58" applyNumberFormat="1" applyFont="1" applyFill="1" applyBorder="1" applyAlignment="1">
      <alignment horizontal="right"/>
    </xf>
    <xf numFmtId="0" fontId="16" fillId="0" borderId="2" xfId="58" applyNumberFormat="1" applyFont="1" applyFill="1" applyBorder="1" applyAlignment="1">
      <alignment vertical="center" wrapText="1"/>
    </xf>
    <xf numFmtId="0" fontId="12" fillId="0" borderId="2" xfId="52" applyNumberFormat="1" applyFont="1" applyBorder="1" applyAlignment="1">
      <alignment vertical="center" wrapText="1"/>
    </xf>
    <xf numFmtId="175" fontId="12" fillId="0" borderId="0" xfId="58" applyNumberFormat="1" applyFont="1" applyFill="1" applyBorder="1" applyAlignment="1">
      <alignment vertical="center" wrapText="1"/>
    </xf>
    <xf numFmtId="175" fontId="12" fillId="0" borderId="0" xfId="58" applyNumberFormat="1" applyFont="1" applyFill="1" applyBorder="1" applyAlignment="1">
      <alignment horizontal="right" vertical="center" wrapText="1"/>
    </xf>
    <xf numFmtId="0" fontId="16" fillId="0" borderId="0" xfId="0" applyFont="1" applyAlignment="1">
      <alignment horizontal="left" vertical="top" wrapText="1"/>
    </xf>
    <xf numFmtId="0" fontId="12" fillId="0" borderId="0" xfId="0" applyFont="1" applyAlignment="1">
      <alignment horizontal="left" vertical="top" wrapText="1"/>
    </xf>
    <xf numFmtId="175" fontId="16" fillId="0" borderId="0" xfId="58" applyNumberFormat="1" applyFont="1" applyFill="1" applyBorder="1" applyAlignment="1">
      <alignment horizontal="right" vertical="top" wrapText="1"/>
    </xf>
    <xf numFmtId="165" fontId="16" fillId="0" borderId="0" xfId="58" applyNumberFormat="1" applyFont="1" applyFill="1" applyBorder="1" applyAlignment="1">
      <alignment horizontal="right" vertical="top" wrapText="1"/>
    </xf>
    <xf numFmtId="173" fontId="16" fillId="0" borderId="0" xfId="58" applyNumberFormat="1" applyFont="1" applyFill="1" applyBorder="1" applyAlignment="1">
      <alignment horizontal="right" vertical="top" wrapText="1"/>
    </xf>
    <xf numFmtId="0" fontId="12" fillId="0" borderId="0" xfId="0" applyFont="1" applyAlignment="1">
      <alignment horizontal="left" vertical="top"/>
    </xf>
    <xf numFmtId="175" fontId="12" fillId="0" borderId="0" xfId="58" applyNumberFormat="1" applyFont="1" applyFill="1" applyBorder="1" applyAlignment="1">
      <alignment horizontal="right" vertical="top" wrapText="1"/>
    </xf>
    <xf numFmtId="165" fontId="12" fillId="0" borderId="0" xfId="58" applyNumberFormat="1" applyFont="1" applyFill="1" applyBorder="1" applyAlignment="1">
      <alignment horizontal="right" vertical="top" wrapText="1"/>
    </xf>
    <xf numFmtId="175" fontId="16" fillId="0" borderId="0" xfId="58" applyNumberFormat="1" applyFont="1" applyBorder="1" applyAlignment="1">
      <alignment horizontal="right" vertical="top" wrapText="1"/>
    </xf>
    <xf numFmtId="0" fontId="12" fillId="0" borderId="0" xfId="42" applyFont="1" applyAlignment="1">
      <alignment horizontal="left" vertical="top" wrapText="1"/>
    </xf>
    <xf numFmtId="165" fontId="16" fillId="0" borderId="0" xfId="58" applyNumberFormat="1" applyFont="1" applyFill="1" applyBorder="1" applyAlignment="1">
      <alignment horizontal="right" vertical="center" wrapText="1"/>
    </xf>
    <xf numFmtId="0" fontId="1" fillId="0" borderId="0" xfId="42"/>
    <xf numFmtId="0" fontId="16" fillId="0" borderId="1" xfId="42" applyFont="1" applyBorder="1" applyAlignment="1">
      <alignment horizontal="left" vertical="top" wrapText="1"/>
    </xf>
    <xf numFmtId="173" fontId="16" fillId="0" borderId="1" xfId="58" applyNumberFormat="1" applyFont="1" applyFill="1" applyBorder="1" applyAlignment="1">
      <alignment horizontal="right" vertical="top" wrapText="1"/>
    </xf>
    <xf numFmtId="165" fontId="16" fillId="0" borderId="1" xfId="58" applyNumberFormat="1" applyFont="1" applyFill="1" applyBorder="1" applyAlignment="1">
      <alignment horizontal="right" vertical="center" wrapText="1"/>
    </xf>
    <xf numFmtId="165" fontId="16" fillId="0" borderId="1" xfId="58" applyNumberFormat="1" applyFont="1" applyFill="1" applyBorder="1" applyAlignment="1">
      <alignment horizontal="right" vertical="top" wrapText="1"/>
    </xf>
    <xf numFmtId="0" fontId="1" fillId="0" borderId="0" xfId="42" applyAlignment="1">
      <alignment horizontal="left" vertical="center"/>
    </xf>
    <xf numFmtId="0" fontId="64" fillId="0" borderId="0" xfId="42" applyFont="1" applyAlignment="1">
      <alignment horizontal="right"/>
    </xf>
    <xf numFmtId="0" fontId="65" fillId="0" borderId="0" xfId="42" applyFont="1" applyAlignment="1">
      <alignment horizontal="right"/>
    </xf>
    <xf numFmtId="0" fontId="64" fillId="0" borderId="0" xfId="42" applyFont="1"/>
    <xf numFmtId="0" fontId="12" fillId="0" borderId="0" xfId="42" applyFont="1"/>
    <xf numFmtId="0" fontId="64" fillId="0" borderId="0" xfId="42" applyFont="1" applyAlignment="1">
      <alignment vertical="center"/>
    </xf>
    <xf numFmtId="0" fontId="12" fillId="0" borderId="0" xfId="42" applyFont="1" applyAlignment="1">
      <alignment vertical="center"/>
    </xf>
    <xf numFmtId="0" fontId="65" fillId="0" borderId="0" xfId="42" applyFont="1" applyAlignment="1">
      <alignment vertical="top"/>
    </xf>
    <xf numFmtId="0" fontId="65" fillId="0" borderId="0" xfId="42" applyFont="1"/>
    <xf numFmtId="0" fontId="14" fillId="0" borderId="0" xfId="42" applyFont="1" applyAlignment="1">
      <alignment horizontal="right" vertical="center"/>
    </xf>
    <xf numFmtId="0" fontId="14" fillId="0" borderId="0" xfId="42" applyFont="1" applyAlignment="1">
      <alignment horizontal="left" vertical="center"/>
    </xf>
    <xf numFmtId="0" fontId="15" fillId="0" borderId="0" xfId="42" applyFont="1" applyAlignment="1">
      <alignment horizontal="right" vertical="top"/>
    </xf>
    <xf numFmtId="0" fontId="15" fillId="0" borderId="0" xfId="42" applyFont="1" applyAlignment="1">
      <alignment horizontal="left" vertical="center"/>
    </xf>
    <xf numFmtId="0" fontId="1" fillId="0" borderId="0" xfId="42" applyAlignment="1">
      <alignment horizontal="right"/>
    </xf>
    <xf numFmtId="0" fontId="16" fillId="0" borderId="2" xfId="42" applyFont="1" applyBorder="1" applyAlignment="1">
      <alignment horizontal="left" vertical="center" wrapText="1"/>
    </xf>
    <xf numFmtId="0" fontId="16" fillId="0" borderId="2" xfId="42" applyFont="1" applyBorder="1" applyAlignment="1">
      <alignment vertical="center" wrapText="1"/>
    </xf>
    <xf numFmtId="0" fontId="16" fillId="0" borderId="0" xfId="42" applyFont="1" applyAlignment="1">
      <alignment horizontal="left" vertical="center" wrapText="1"/>
    </xf>
    <xf numFmtId="0" fontId="12" fillId="0" borderId="0" xfId="42" applyFont="1" applyAlignment="1">
      <alignment horizontal="left" vertical="center" wrapText="1"/>
    </xf>
    <xf numFmtId="0" fontId="16" fillId="0" borderId="0" xfId="42" applyFont="1" applyAlignment="1">
      <alignment vertical="center" wrapText="1"/>
    </xf>
    <xf numFmtId="0" fontId="12" fillId="0" borderId="0" xfId="42" applyFont="1" applyAlignment="1">
      <alignment horizontal="left" vertical="top"/>
    </xf>
    <xf numFmtId="0" fontId="16" fillId="0" borderId="0" xfId="42" applyFont="1" applyAlignment="1">
      <alignment vertical="top" wrapText="1"/>
    </xf>
    <xf numFmtId="0" fontId="16" fillId="0" borderId="1" xfId="42" applyFont="1" applyBorder="1" applyAlignment="1">
      <alignment horizontal="left" vertical="center" wrapText="1"/>
    </xf>
    <xf numFmtId="0" fontId="1" fillId="0" borderId="1" xfId="42" applyBorder="1" applyAlignment="1">
      <alignment horizontal="left" vertical="center"/>
    </xf>
    <xf numFmtId="175" fontId="16" fillId="0" borderId="1" xfId="58" applyNumberFormat="1" applyFont="1" applyFill="1" applyBorder="1" applyAlignment="1">
      <alignment horizontal="right" vertical="center" wrapText="1"/>
    </xf>
    <xf numFmtId="0" fontId="99" fillId="0" borderId="0" xfId="42" applyFont="1"/>
    <xf numFmtId="175" fontId="16" fillId="0" borderId="0" xfId="58" applyNumberFormat="1" applyFont="1"/>
    <xf numFmtId="0" fontId="14" fillId="0" borderId="0" xfId="42" applyFont="1" applyAlignment="1">
      <alignment vertical="center"/>
    </xf>
    <xf numFmtId="0" fontId="15" fillId="0" borderId="0" xfId="42" applyFont="1" applyAlignment="1">
      <alignment vertical="center"/>
    </xf>
    <xf numFmtId="175" fontId="16" fillId="0" borderId="1" xfId="58" applyNumberFormat="1" applyFont="1" applyBorder="1" applyAlignment="1">
      <alignment horizontal="right"/>
    </xf>
    <xf numFmtId="175" fontId="12" fillId="0" borderId="1" xfId="58" applyNumberFormat="1" applyFont="1" applyBorder="1" applyAlignment="1">
      <alignment horizontal="right" vertical="center" wrapText="1"/>
    </xf>
    <xf numFmtId="0" fontId="16" fillId="0" borderId="3" xfId="42" applyFont="1" applyBorder="1" applyAlignment="1">
      <alignment vertical="center" wrapText="1"/>
    </xf>
    <xf numFmtId="0" fontId="16" fillId="0" borderId="1" xfId="42" applyFont="1" applyBorder="1" applyAlignment="1">
      <alignment vertical="center" wrapText="1"/>
    </xf>
    <xf numFmtId="0" fontId="12" fillId="0" borderId="1" xfId="58" applyNumberFormat="1" applyFont="1" applyBorder="1" applyAlignment="1">
      <alignment horizontal="right" vertical="center" wrapText="1"/>
    </xf>
    <xf numFmtId="0" fontId="12" fillId="0" borderId="0" xfId="42" applyFont="1" applyAlignment="1">
      <alignment vertical="center" wrapText="1"/>
    </xf>
    <xf numFmtId="0" fontId="12" fillId="0" borderId="0" xfId="42" applyFont="1" applyAlignment="1">
      <alignment vertical="top" wrapText="1"/>
    </xf>
    <xf numFmtId="175" fontId="16" fillId="0" borderId="0" xfId="58" applyNumberFormat="1" applyFont="1" applyFill="1" applyBorder="1" applyAlignment="1">
      <alignment vertical="center" wrapText="1"/>
    </xf>
    <xf numFmtId="175" fontId="16" fillId="0" borderId="3" xfId="58" applyNumberFormat="1" applyFont="1" applyFill="1" applyBorder="1" applyAlignment="1">
      <alignment horizontal="right" vertical="center" wrapText="1"/>
    </xf>
    <xf numFmtId="172" fontId="16" fillId="0" borderId="0" xfId="58" applyNumberFormat="1" applyFont="1" applyBorder="1" applyAlignment="1">
      <alignment horizontal="right" vertical="top" wrapText="1"/>
    </xf>
    <xf numFmtId="0" fontId="99" fillId="0" borderId="0" xfId="42" applyFont="1" applyAlignment="1">
      <alignment horizontal="left" vertical="center" wrapText="1"/>
    </xf>
    <xf numFmtId="172" fontId="16" fillId="0" borderId="0" xfId="58" applyNumberFormat="1" applyFont="1" applyFill="1" applyBorder="1" applyAlignment="1">
      <alignment horizontal="right" vertical="top" wrapText="1"/>
    </xf>
    <xf numFmtId="0" fontId="99" fillId="0" borderId="0" xfId="42" applyFont="1" applyAlignment="1">
      <alignment vertical="center" wrapText="1"/>
    </xf>
    <xf numFmtId="175" fontId="16" fillId="0" borderId="0" xfId="58" applyNumberFormat="1" applyFont="1" applyFill="1" applyBorder="1" applyAlignment="1">
      <alignment vertical="top" wrapText="1"/>
    </xf>
    <xf numFmtId="0" fontId="16" fillId="0" borderId="1" xfId="42" applyFont="1" applyBorder="1" applyAlignment="1">
      <alignment vertical="top" wrapText="1"/>
    </xf>
    <xf numFmtId="172" fontId="16" fillId="0" borderId="1" xfId="58" applyNumberFormat="1" applyFont="1" applyBorder="1" applyAlignment="1">
      <alignment horizontal="right" vertical="top" wrapText="1"/>
    </xf>
    <xf numFmtId="0" fontId="12" fillId="0" borderId="0" xfId="42" applyFont="1" applyAlignment="1">
      <alignment horizontal="right"/>
    </xf>
    <xf numFmtId="0" fontId="13" fillId="0" borderId="0" xfId="42" applyFont="1" applyAlignment="1">
      <alignment horizontal="right"/>
    </xf>
    <xf numFmtId="175" fontId="57" fillId="0" borderId="0" xfId="58" applyNumberFormat="1" applyFont="1"/>
    <xf numFmtId="172" fontId="16" fillId="0" borderId="0" xfId="58" applyNumberFormat="1" applyFont="1" applyFill="1" applyBorder="1" applyAlignment="1">
      <alignment horizontal="right" vertical="center" wrapText="1"/>
    </xf>
    <xf numFmtId="0" fontId="16" fillId="0" borderId="1" xfId="42" applyFont="1" applyBorder="1" applyAlignment="1">
      <alignment wrapText="1"/>
    </xf>
    <xf numFmtId="175" fontId="16" fillId="0" borderId="1" xfId="58" applyNumberFormat="1" applyFont="1" applyBorder="1" applyAlignment="1">
      <alignment horizontal="right" vertical="center" wrapText="1"/>
    </xf>
    <xf numFmtId="0" fontId="7" fillId="0" borderId="0" xfId="59" applyFont="1"/>
    <xf numFmtId="165" fontId="7" fillId="0" borderId="0" xfId="59" applyNumberFormat="1" applyFont="1" applyAlignment="1">
      <alignment horizontal="right"/>
    </xf>
    <xf numFmtId="0" fontId="7" fillId="0" borderId="0" xfId="59" applyFont="1" applyAlignment="1">
      <alignment horizontal="right"/>
    </xf>
    <xf numFmtId="165" fontId="4" fillId="0" borderId="0" xfId="43" applyNumberFormat="1" applyFont="1" applyAlignment="1">
      <alignment horizontal="right"/>
    </xf>
    <xf numFmtId="0" fontId="3" fillId="0" borderId="0" xfId="59" applyFont="1"/>
    <xf numFmtId="0" fontId="6" fillId="0" borderId="0" xfId="43" applyFont="1" applyAlignment="1">
      <alignment horizontal="right" vertical="top"/>
    </xf>
    <xf numFmtId="0" fontId="6" fillId="0" borderId="0" xfId="43" applyFont="1" applyAlignment="1">
      <alignment vertical="top"/>
    </xf>
    <xf numFmtId="165" fontId="4" fillId="0" borderId="0" xfId="43" applyNumberFormat="1" applyFont="1" applyAlignment="1">
      <alignment horizontal="right" vertical="top"/>
    </xf>
    <xf numFmtId="0" fontId="4" fillId="0" borderId="0" xfId="43" applyFont="1" applyAlignment="1">
      <alignment horizontal="right" vertical="top"/>
    </xf>
    <xf numFmtId="0" fontId="3" fillId="0" borderId="0" xfId="59" applyFont="1" applyAlignment="1">
      <alignment vertical="top"/>
    </xf>
    <xf numFmtId="0" fontId="8" fillId="0" borderId="0" xfId="59" applyFont="1" applyAlignment="1">
      <alignment horizontal="right"/>
    </xf>
    <xf numFmtId="0" fontId="7" fillId="0" borderId="3" xfId="59" applyFont="1" applyBorder="1" applyAlignment="1">
      <alignment wrapText="1"/>
    </xf>
    <xf numFmtId="0" fontId="8" fillId="0" borderId="3" xfId="59" applyFont="1" applyBorder="1" applyAlignment="1">
      <alignment wrapText="1"/>
    </xf>
    <xf numFmtId="0" fontId="7" fillId="0" borderId="3" xfId="59" applyFont="1" applyBorder="1" applyAlignment="1">
      <alignment horizontal="left" vertical="top" wrapText="1"/>
    </xf>
    <xf numFmtId="165" fontId="8" fillId="0" borderId="3" xfId="59" applyNumberFormat="1" applyFont="1" applyBorder="1" applyAlignment="1">
      <alignment horizontal="right" wrapText="1"/>
    </xf>
    <xf numFmtId="0" fontId="7" fillId="0" borderId="0" xfId="59" applyFont="1" applyAlignment="1">
      <alignment horizontal="right" wrapText="1"/>
    </xf>
    <xf numFmtId="0" fontId="10" fillId="0" borderId="1" xfId="59" applyFont="1" applyBorder="1" applyAlignment="1">
      <alignment vertical="top" wrapText="1"/>
    </xf>
    <xf numFmtId="0" fontId="10" fillId="0" borderId="1" xfId="59" applyFont="1" applyBorder="1" applyAlignment="1">
      <alignment horizontal="left" vertical="top" wrapText="1"/>
    </xf>
    <xf numFmtId="165" fontId="10" fillId="0" borderId="1" xfId="59" applyNumberFormat="1" applyFont="1" applyBorder="1" applyAlignment="1">
      <alignment horizontal="right" vertical="top" wrapText="1"/>
    </xf>
    <xf numFmtId="0" fontId="10" fillId="0" borderId="0" xfId="59" applyFont="1" applyAlignment="1">
      <alignment horizontal="right" vertical="top" wrapText="1"/>
    </xf>
    <xf numFmtId="0" fontId="10" fillId="0" borderId="0" xfId="59" applyFont="1" applyAlignment="1">
      <alignment horizontal="left" vertical="top" wrapText="1"/>
    </xf>
    <xf numFmtId="165" fontId="10" fillId="0" borderId="0" xfId="59" applyNumberFormat="1" applyFont="1" applyAlignment="1">
      <alignment horizontal="right" vertical="top" wrapText="1"/>
    </xf>
    <xf numFmtId="3" fontId="8" fillId="0" borderId="0" xfId="60" applyNumberFormat="1" applyFont="1" applyAlignment="1">
      <alignment vertical="center"/>
    </xf>
    <xf numFmtId="0" fontId="8" fillId="0" borderId="0" xfId="59" applyFont="1" applyAlignment="1">
      <alignment vertical="center"/>
    </xf>
    <xf numFmtId="3" fontId="8" fillId="0" borderId="0" xfId="59" applyNumberFormat="1" applyFont="1" applyAlignment="1">
      <alignment horizontal="right" vertical="center"/>
    </xf>
    <xf numFmtId="0" fontId="8" fillId="0" borderId="0" xfId="59" applyFont="1" applyAlignment="1">
      <alignment horizontal="right" vertical="center"/>
    </xf>
    <xf numFmtId="3" fontId="10" fillId="0" borderId="0" xfId="59" applyNumberFormat="1" applyFont="1" applyAlignment="1">
      <alignment horizontal="right" vertical="center" wrapText="1"/>
    </xf>
    <xf numFmtId="0" fontId="7" fillId="0" borderId="0" xfId="59" applyFont="1" applyAlignment="1">
      <alignment horizontal="left" vertical="center" indent="1"/>
    </xf>
    <xf numFmtId="0" fontId="7" fillId="0" borderId="0" xfId="59" applyFont="1" applyAlignment="1">
      <alignment vertical="center"/>
    </xf>
    <xf numFmtId="3" fontId="7" fillId="0" borderId="0" xfId="59" applyNumberFormat="1" applyFont="1" applyAlignment="1">
      <alignment horizontal="right" vertical="center"/>
    </xf>
    <xf numFmtId="0" fontId="100" fillId="0" borderId="0" xfId="59" applyFont="1" applyAlignment="1">
      <alignment vertical="center"/>
    </xf>
    <xf numFmtId="0" fontId="7" fillId="0" borderId="0" xfId="59" applyFont="1" applyAlignment="1">
      <alignment horizontal="right" vertical="center"/>
    </xf>
    <xf numFmtId="0" fontId="10" fillId="0" borderId="0" xfId="59" applyFont="1" applyAlignment="1">
      <alignment horizontal="left" vertical="top" wrapText="1" indent="1"/>
    </xf>
    <xf numFmtId="0" fontId="7" fillId="0" borderId="0" xfId="59" applyFont="1" applyAlignment="1">
      <alignment horizontal="left" indent="1"/>
    </xf>
    <xf numFmtId="3" fontId="8" fillId="0" borderId="0" xfId="60" applyNumberFormat="1" applyFont="1"/>
    <xf numFmtId="3" fontId="7" fillId="0" borderId="0" xfId="61" applyNumberFormat="1" applyFont="1" applyBorder="1" applyAlignment="1">
      <alignment horizontal="right" vertical="center" wrapText="1"/>
    </xf>
    <xf numFmtId="0" fontId="101" fillId="0" borderId="0" xfId="59" applyFont="1" applyAlignment="1">
      <alignment vertical="center"/>
    </xf>
    <xf numFmtId="176" fontId="7" fillId="0" borderId="0" xfId="62" applyNumberFormat="1" applyFont="1" applyAlignment="1">
      <alignment horizontal="left" indent="1"/>
    </xf>
    <xf numFmtId="3" fontId="7" fillId="0" borderId="0" xfId="59" quotePrefix="1" applyNumberFormat="1" applyFont="1" applyAlignment="1">
      <alignment horizontal="right" vertical="center"/>
    </xf>
    <xf numFmtId="169" fontId="7" fillId="0" borderId="0" xfId="61" applyNumberFormat="1" applyFont="1" applyBorder="1" applyAlignment="1">
      <alignment horizontal="right" vertical="center" wrapText="1"/>
    </xf>
    <xf numFmtId="176" fontId="7" fillId="0" borderId="0" xfId="28" applyFont="1"/>
    <xf numFmtId="176" fontId="7" fillId="0" borderId="0" xfId="62" applyNumberFormat="1" applyFont="1"/>
    <xf numFmtId="0" fontId="7" fillId="0" borderId="1" xfId="59" applyFont="1" applyBorder="1"/>
    <xf numFmtId="165" fontId="7" fillId="0" borderId="1" xfId="59" applyNumberFormat="1" applyFont="1" applyBorder="1" applyAlignment="1">
      <alignment horizontal="right"/>
    </xf>
    <xf numFmtId="0" fontId="20" fillId="0" borderId="0" xfId="59" applyFont="1"/>
    <xf numFmtId="0" fontId="18" fillId="0" borderId="0" xfId="59" applyFont="1" applyAlignment="1">
      <alignment vertical="center"/>
    </xf>
    <xf numFmtId="0" fontId="18" fillId="0" borderId="0" xfId="59" applyFont="1"/>
    <xf numFmtId="176" fontId="20" fillId="0" borderId="0" xfId="28" applyFont="1"/>
    <xf numFmtId="0" fontId="19" fillId="0" borderId="0" xfId="59" applyFont="1" applyAlignment="1">
      <alignment vertical="center"/>
    </xf>
    <xf numFmtId="0" fontId="7" fillId="0" borderId="0" xfId="0" applyFont="1" applyAlignment="1">
      <alignment horizontal="center"/>
    </xf>
    <xf numFmtId="0" fontId="45" fillId="0" borderId="0" xfId="0" applyFont="1" applyAlignment="1">
      <alignment horizontal="right"/>
    </xf>
    <xf numFmtId="0" fontId="3" fillId="0" borderId="0" xfId="0" applyFont="1" applyAlignment="1">
      <alignment horizontal="center" vertical="center"/>
    </xf>
    <xf numFmtId="0" fontId="14" fillId="0" borderId="0" xfId="0" applyFont="1" applyAlignment="1">
      <alignment vertical="center"/>
    </xf>
    <xf numFmtId="0" fontId="4" fillId="0" borderId="0" xfId="0" applyFont="1" applyAlignment="1">
      <alignment vertical="center"/>
    </xf>
    <xf numFmtId="0" fontId="6" fillId="0" borderId="0" xfId="0" applyFont="1" applyAlignment="1">
      <alignment horizontal="center" vertical="center"/>
    </xf>
    <xf numFmtId="0" fontId="13" fillId="0" borderId="0" xfId="0" applyFont="1"/>
    <xf numFmtId="0" fontId="13" fillId="0" borderId="0" xfId="0" applyFont="1" applyAlignment="1">
      <alignment horizontal="right"/>
    </xf>
    <xf numFmtId="0" fontId="7" fillId="0" borderId="1" xfId="0" applyFont="1" applyBorder="1" applyAlignment="1">
      <alignment horizontal="center"/>
    </xf>
    <xf numFmtId="0" fontId="13" fillId="0" borderId="1" xfId="0" applyFont="1" applyBorder="1"/>
    <xf numFmtId="0" fontId="13" fillId="0" borderId="1" xfId="0" applyFont="1" applyBorder="1" applyAlignment="1">
      <alignment horizontal="right"/>
    </xf>
    <xf numFmtId="0" fontId="7" fillId="0" borderId="1" xfId="0" applyFont="1" applyBorder="1" applyAlignment="1">
      <alignment vertical="center"/>
    </xf>
    <xf numFmtId="3" fontId="10" fillId="0" borderId="1" xfId="60" applyNumberFormat="1" applyFont="1" applyBorder="1" applyAlignment="1">
      <alignment vertical="top"/>
    </xf>
    <xf numFmtId="0" fontId="8" fillId="0" borderId="1" xfId="0" applyFont="1" applyBorder="1" applyAlignment="1">
      <alignment vertical="center"/>
    </xf>
    <xf numFmtId="0" fontId="7" fillId="0" borderId="1" xfId="63" applyFont="1" applyBorder="1" applyAlignment="1">
      <alignment horizontal="right" vertical="top" wrapText="1"/>
    </xf>
    <xf numFmtId="0" fontId="7" fillId="0" borderId="1" xfId="0" applyFont="1" applyBorder="1" applyAlignment="1">
      <alignment horizontal="center" vertical="top" wrapText="1"/>
    </xf>
    <xf numFmtId="0" fontId="7" fillId="0" borderId="1" xfId="0" applyFont="1" applyBorder="1" applyAlignment="1">
      <alignment horizontal="right" vertical="top" wrapText="1"/>
    </xf>
    <xf numFmtId="0" fontId="8" fillId="0" borderId="0" xfId="0" applyFont="1" applyAlignment="1">
      <alignment vertical="top" wrapText="1"/>
    </xf>
    <xf numFmtId="0" fontId="8" fillId="0" borderId="0" xfId="64" applyFont="1" applyAlignment="1">
      <alignment vertical="center"/>
    </xf>
    <xf numFmtId="0" fontId="8" fillId="0" borderId="0" xfId="64" applyFont="1" applyAlignment="1">
      <alignment horizontal="left" vertical="center"/>
    </xf>
    <xf numFmtId="3" fontId="8" fillId="0" borderId="0" xfId="64" applyNumberFormat="1" applyFont="1" applyAlignment="1">
      <alignment horizontal="right" vertical="center"/>
    </xf>
    <xf numFmtId="3" fontId="73" fillId="0" borderId="0" xfId="0" applyNumberFormat="1" applyFont="1" applyAlignment="1">
      <alignment horizontal="right" vertical="center"/>
    </xf>
    <xf numFmtId="0" fontId="7" fillId="0" borderId="0" xfId="64" applyFont="1" applyAlignment="1">
      <alignment vertical="center"/>
    </xf>
    <xf numFmtId="0" fontId="7" fillId="0" borderId="0" xfId="64" applyFont="1" applyAlignment="1">
      <alignment horizontal="left" vertical="center"/>
    </xf>
    <xf numFmtId="3" fontId="7" fillId="0" borderId="0" xfId="64" applyNumberFormat="1" applyFont="1" applyAlignment="1">
      <alignment horizontal="right" vertical="center"/>
    </xf>
    <xf numFmtId="0" fontId="7" fillId="0" borderId="0" xfId="64" applyFont="1" applyAlignment="1">
      <alignment horizontal="left" vertical="center" indent="1"/>
    </xf>
    <xf numFmtId="3" fontId="48" fillId="0" borderId="0" xfId="65" applyNumberFormat="1" applyFont="1" applyAlignment="1">
      <alignment horizontal="right" vertical="center" wrapText="1"/>
    </xf>
    <xf numFmtId="3" fontId="48" fillId="0" borderId="0" xfId="65" applyNumberFormat="1" applyFont="1" applyAlignment="1">
      <alignment horizontal="right" vertical="center"/>
    </xf>
    <xf numFmtId="164" fontId="48" fillId="0" borderId="0" xfId="65" applyFont="1" applyAlignment="1">
      <alignment vertical="center"/>
    </xf>
    <xf numFmtId="164" fontId="48" fillId="0" borderId="0" xfId="65" applyFont="1" applyAlignment="1">
      <alignment vertical="center" wrapText="1"/>
    </xf>
    <xf numFmtId="0" fontId="48" fillId="0" borderId="0" xfId="66" applyFont="1" applyAlignment="1">
      <alignment horizontal="left" vertical="center" wrapText="1" indent="1"/>
    </xf>
    <xf numFmtId="0" fontId="48" fillId="0" borderId="0" xfId="66" applyFont="1" applyAlignment="1">
      <alignment horizontal="center" wrapText="1"/>
    </xf>
    <xf numFmtId="3" fontId="48" fillId="0" borderId="0" xfId="66" applyNumberFormat="1" applyFont="1" applyAlignment="1">
      <alignment horizontal="right" vertical="center" wrapText="1"/>
    </xf>
    <xf numFmtId="3" fontId="16" fillId="0" borderId="0" xfId="26" applyNumberFormat="1" applyFont="1" applyFill="1" applyAlignment="1">
      <alignment horizontal="right" vertical="center" wrapText="1"/>
    </xf>
    <xf numFmtId="3" fontId="45" fillId="0" borderId="0" xfId="26" applyNumberFormat="1" applyFont="1" applyAlignment="1">
      <alignment horizontal="right" vertical="center" wrapText="1"/>
    </xf>
    <xf numFmtId="169" fontId="16" fillId="0" borderId="0" xfId="26" applyNumberFormat="1" applyFont="1" applyFill="1"/>
    <xf numFmtId="0" fontId="7" fillId="0" borderId="1" xfId="0" applyFont="1" applyBorder="1" applyAlignment="1">
      <alignment horizontal="left"/>
    </xf>
    <xf numFmtId="3" fontId="7" fillId="0" borderId="1" xfId="0" applyNumberFormat="1" applyFont="1" applyBorder="1" applyAlignment="1">
      <alignment horizontal="right" vertical="center"/>
    </xf>
    <xf numFmtId="169" fontId="7" fillId="0" borderId="1" xfId="26" applyNumberFormat="1" applyFont="1" applyFill="1" applyBorder="1" applyAlignment="1">
      <alignment horizontal="right"/>
    </xf>
    <xf numFmtId="0" fontId="8" fillId="0" borderId="0" xfId="24" applyFont="1"/>
    <xf numFmtId="0" fontId="10" fillId="0" borderId="0" xfId="24" applyFont="1"/>
    <xf numFmtId="0" fontId="7" fillId="0" borderId="0" xfId="24" applyFont="1" applyAlignment="1">
      <alignment horizontal="left" vertical="center" indent="2"/>
    </xf>
    <xf numFmtId="173" fontId="7" fillId="0" borderId="0" xfId="52" applyNumberFormat="1" applyFont="1" applyAlignment="1">
      <alignment horizontal="right"/>
    </xf>
    <xf numFmtId="3" fontId="7" fillId="0" borderId="0" xfId="52" applyNumberFormat="1" applyFont="1" applyAlignment="1">
      <alignment horizontal="right" vertical="center"/>
    </xf>
    <xf numFmtId="173" fontId="7" fillId="0" borderId="0" xfId="52" applyNumberFormat="1" applyFont="1" applyAlignment="1">
      <alignment horizontal="right" vertical="center"/>
    </xf>
    <xf numFmtId="0" fontId="19" fillId="0" borderId="0" xfId="24" applyFont="1" applyAlignment="1">
      <alignment vertical="center"/>
    </xf>
    <xf numFmtId="0" fontId="4" fillId="0" borderId="0" xfId="24" quotePrefix="1" applyFont="1"/>
    <xf numFmtId="0" fontId="12" fillId="0" borderId="0" xfId="0" applyFont="1" applyAlignment="1">
      <alignment horizontal="left" vertical="top" wrapText="1" indent="2"/>
    </xf>
    <xf numFmtId="3" fontId="12" fillId="0" borderId="0" xfId="0" applyNumberFormat="1" applyFont="1" applyAlignment="1">
      <alignment horizontal="left" vertical="top" wrapText="1" indent="2"/>
    </xf>
    <xf numFmtId="0" fontId="12" fillId="0" borderId="0" xfId="8" applyFont="1" applyAlignment="1">
      <alignment horizontal="left" wrapText="1"/>
    </xf>
    <xf numFmtId="0" fontId="13" fillId="0" borderId="0" xfId="0" applyFont="1" applyAlignment="1">
      <alignment horizontal="left" vertical="top" wrapText="1"/>
    </xf>
    <xf numFmtId="0" fontId="8" fillId="0" borderId="0" xfId="5" applyFont="1" applyAlignment="1">
      <alignment horizontal="left" vertical="center" wrapText="1"/>
    </xf>
    <xf numFmtId="0" fontId="14" fillId="0" borderId="0" xfId="8" applyFont="1" applyAlignment="1">
      <alignment horizontal="left" wrapText="1"/>
    </xf>
    <xf numFmtId="0" fontId="15" fillId="0" borderId="0" xfId="0" applyFont="1" applyAlignment="1">
      <alignment horizontal="left" wrapText="1"/>
    </xf>
    <xf numFmtId="0" fontId="12" fillId="0" borderId="0" xfId="8" applyFont="1" applyAlignment="1">
      <alignment horizontal="left" vertical="center" wrapText="1"/>
    </xf>
    <xf numFmtId="3" fontId="14" fillId="0" borderId="0" xfId="8" applyNumberFormat="1" applyFont="1" applyAlignment="1">
      <alignment horizontal="right" vertical="center" wrapText="1"/>
    </xf>
    <xf numFmtId="3" fontId="15" fillId="0" borderId="0" xfId="0" applyNumberFormat="1" applyFont="1" applyAlignment="1">
      <alignment horizontal="right" vertical="center" wrapText="1"/>
    </xf>
    <xf numFmtId="0" fontId="8" fillId="0" borderId="0" xfId="5" applyFont="1" applyAlignment="1">
      <alignment horizontal="right" vertical="center"/>
    </xf>
    <xf numFmtId="0" fontId="12" fillId="0" borderId="0" xfId="0" applyFont="1" applyAlignment="1">
      <alignment horizontal="left" vertical="center" wrapText="1"/>
    </xf>
    <xf numFmtId="0" fontId="8" fillId="0" borderId="1" xfId="5" applyFont="1" applyBorder="1" applyAlignment="1">
      <alignment horizontal="right" vertical="center"/>
    </xf>
    <xf numFmtId="0" fontId="8" fillId="0" borderId="2" xfId="6" applyFont="1" applyBorder="1" applyAlignment="1">
      <alignment horizontal="left" vertical="center" wrapText="1"/>
    </xf>
    <xf numFmtId="0" fontId="12" fillId="0" borderId="3" xfId="8" applyFont="1" applyBorder="1" applyAlignment="1">
      <alignment horizontal="left" vertical="center"/>
    </xf>
    <xf numFmtId="0" fontId="13" fillId="0" borderId="0" xfId="0" applyFont="1" applyAlignment="1">
      <alignment horizontal="left" vertical="top"/>
    </xf>
    <xf numFmtId="0" fontId="24" fillId="0" borderId="0" xfId="0" quotePrefix="1" applyFont="1" applyAlignment="1">
      <alignment horizontal="right" vertical="center"/>
    </xf>
    <xf numFmtId="0" fontId="24" fillId="0" borderId="0" xfId="0" applyFont="1" applyAlignment="1">
      <alignment horizontal="right" vertical="center"/>
    </xf>
    <xf numFmtId="0" fontId="13" fillId="0" borderId="0" xfId="0" applyFont="1" applyAlignment="1">
      <alignment horizontal="left" vertical="center" wrapText="1"/>
    </xf>
    <xf numFmtId="0" fontId="15" fillId="0" borderId="0" xfId="0" applyFont="1" applyAlignment="1">
      <alignment horizontal="left" vertical="top" wrapText="1"/>
    </xf>
    <xf numFmtId="0" fontId="12" fillId="0" borderId="3" xfId="0" quotePrefix="1" applyFont="1" applyBorder="1" applyAlignment="1">
      <alignment horizontal="left"/>
    </xf>
    <xf numFmtId="0" fontId="13" fillId="0" borderId="0" xfId="0" quotePrefix="1" applyFont="1" applyAlignment="1">
      <alignment horizontal="left" vertical="top"/>
    </xf>
    <xf numFmtId="0" fontId="19" fillId="0" borderId="0" xfId="3" applyFont="1" applyAlignment="1">
      <alignment horizontal="right" vertical="center"/>
    </xf>
    <xf numFmtId="166" fontId="7" fillId="0" borderId="0" xfId="15" applyFont="1" applyAlignment="1">
      <alignment horizontal="left" vertical="top" wrapText="1" indent="2"/>
    </xf>
    <xf numFmtId="166" fontId="7" fillId="0" borderId="0" xfId="15" applyFont="1" applyAlignment="1">
      <alignment horizontal="left" vertical="top" indent="2"/>
    </xf>
    <xf numFmtId="0" fontId="18" fillId="0" borderId="5" xfId="3" applyFont="1" applyBorder="1" applyAlignment="1">
      <alignment horizontal="right" vertical="center"/>
    </xf>
    <xf numFmtId="0" fontId="18" fillId="0" borderId="0" xfId="3" applyFont="1" applyAlignment="1">
      <alignment horizontal="right" vertical="center"/>
    </xf>
    <xf numFmtId="0" fontId="7" fillId="0" borderId="0" xfId="11" applyFont="1" applyAlignment="1">
      <alignment horizontal="left" vertical="center" wrapText="1"/>
    </xf>
    <xf numFmtId="0" fontId="7" fillId="0" borderId="0" xfId="11" applyFont="1" applyAlignment="1">
      <alignment horizontal="left" vertical="center" wrapText="1" indent="2"/>
    </xf>
    <xf numFmtId="166" fontId="8" fillId="0" borderId="0" xfId="15" applyFont="1" applyAlignment="1">
      <alignment horizontal="left" vertical="center"/>
    </xf>
    <xf numFmtId="166" fontId="8" fillId="0" borderId="0" xfId="15" applyFont="1" applyAlignment="1">
      <alignment horizontal="left" vertical="top" indent="2"/>
    </xf>
    <xf numFmtId="0" fontId="7" fillId="0" borderId="0" xfId="11" applyFont="1" applyAlignment="1">
      <alignment horizontal="left" wrapText="1" indent="2"/>
    </xf>
    <xf numFmtId="0" fontId="8" fillId="0" borderId="0" xfId="11" applyFont="1" applyAlignment="1">
      <alignment horizontal="left" vertical="center" wrapText="1" indent="1"/>
    </xf>
    <xf numFmtId="0" fontId="8" fillId="0" borderId="2" xfId="6" applyFont="1" applyBorder="1" applyAlignment="1">
      <alignment horizontal="left" vertical="center"/>
    </xf>
    <xf numFmtId="0" fontId="10" fillId="0" borderId="0" xfId="5" applyFont="1" applyAlignment="1">
      <alignment horizontal="left" vertical="center" wrapText="1" indent="2"/>
    </xf>
    <xf numFmtId="0" fontId="8" fillId="0" borderId="0" xfId="5" applyFont="1" applyAlignment="1">
      <alignment horizontal="left" vertical="top" wrapText="1"/>
    </xf>
    <xf numFmtId="0" fontId="8" fillId="0" borderId="0" xfId="3" applyFont="1" applyAlignment="1">
      <alignment horizontal="left" vertical="top" wrapText="1"/>
    </xf>
    <xf numFmtId="0" fontId="8" fillId="0" borderId="1" xfId="11" applyFont="1" applyBorder="1" applyAlignment="1">
      <alignment horizontal="right" vertical="top" wrapText="1"/>
    </xf>
    <xf numFmtId="0" fontId="10" fillId="0" borderId="0" xfId="11" applyFont="1" applyAlignment="1">
      <alignment horizontal="left" vertical="center" wrapText="1"/>
    </xf>
    <xf numFmtId="0" fontId="46" fillId="0" borderId="0" xfId="0" applyFont="1" applyAlignment="1">
      <alignment horizontal="left" vertical="top" wrapText="1" indent="2"/>
    </xf>
    <xf numFmtId="0" fontId="8" fillId="0" borderId="2" xfId="0" applyFont="1" applyBorder="1" applyAlignment="1">
      <alignment horizontal="left" wrapText="1"/>
    </xf>
    <xf numFmtId="0" fontId="8" fillId="0" borderId="0" xfId="5" applyFont="1" applyAlignment="1">
      <alignment horizontal="left" wrapText="1"/>
    </xf>
    <xf numFmtId="0" fontId="46" fillId="0" borderId="0" xfId="3" applyFont="1" applyAlignment="1">
      <alignment horizontal="left" vertical="top" wrapText="1" indent="2"/>
    </xf>
    <xf numFmtId="0" fontId="8" fillId="0" borderId="0" xfId="3" applyFont="1" applyAlignment="1">
      <alignment horizontal="left" vertical="top" wrapText="1" indent="2"/>
    </xf>
    <xf numFmtId="0" fontId="10" fillId="0" borderId="0" xfId="3" applyFont="1" applyAlignment="1">
      <alignment horizontal="left" vertical="center" wrapText="1" indent="2"/>
    </xf>
    <xf numFmtId="0" fontId="4" fillId="0" borderId="0" xfId="3" applyFont="1" applyAlignment="1">
      <alignment horizontal="right" vertical="center"/>
    </xf>
    <xf numFmtId="0" fontId="6" fillId="0" borderId="0" xfId="3" applyFont="1" applyAlignment="1">
      <alignment horizontal="right" vertical="center"/>
    </xf>
    <xf numFmtId="0" fontId="12" fillId="0" borderId="2" xfId="0" applyFont="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20" fillId="0" borderId="0" xfId="29" applyFont="1" applyAlignment="1">
      <alignment horizontal="left"/>
    </xf>
    <xf numFmtId="0" fontId="19" fillId="0" borderId="0" xfId="29" applyFont="1" applyAlignment="1">
      <alignment horizontal="left"/>
    </xf>
    <xf numFmtId="0" fontId="57" fillId="0" borderId="0" xfId="29" applyFont="1" applyAlignment="1">
      <alignment horizontal="left" vertical="center"/>
    </xf>
    <xf numFmtId="0" fontId="64" fillId="0" borderId="0" xfId="29" applyFont="1" applyAlignment="1">
      <alignment horizontal="left" vertical="center"/>
    </xf>
    <xf numFmtId="0" fontId="65" fillId="0" borderId="0" xfId="29" applyFont="1" applyAlignment="1">
      <alignment horizontal="left" vertical="center"/>
    </xf>
    <xf numFmtId="0" fontId="46" fillId="0" borderId="3" xfId="0" applyFont="1" applyBorder="1" applyAlignment="1">
      <alignment horizontal="left" vertical="center" wrapText="1"/>
    </xf>
    <xf numFmtId="0" fontId="47" fillId="0" borderId="1" xfId="0" applyFont="1" applyBorder="1" applyAlignment="1">
      <alignment horizontal="left" vertical="center" wrapText="1"/>
    </xf>
    <xf numFmtId="0" fontId="46" fillId="0" borderId="1" xfId="0" applyFont="1" applyBorder="1" applyAlignment="1">
      <alignment horizontal="center" vertical="center" wrapText="1"/>
    </xf>
    <xf numFmtId="0" fontId="14" fillId="0" borderId="0" xfId="30" applyFont="1" applyAlignment="1">
      <alignment horizontal="left" vertical="top" wrapText="1"/>
    </xf>
    <xf numFmtId="0" fontId="15" fillId="0" borderId="0" xfId="30" applyFont="1" applyAlignment="1">
      <alignment horizontal="left" vertical="top" wrapText="1"/>
    </xf>
    <xf numFmtId="176" fontId="12" fillId="0" borderId="0" xfId="30" applyNumberFormat="1" applyFont="1" applyAlignment="1">
      <alignment vertical="center" wrapText="1"/>
    </xf>
    <xf numFmtId="176" fontId="12" fillId="0" borderId="6" xfId="30" applyNumberFormat="1" applyFont="1" applyBorder="1" applyAlignment="1">
      <alignment vertical="center" wrapText="1"/>
    </xf>
    <xf numFmtId="0" fontId="64" fillId="0" borderId="3" xfId="30" applyFont="1" applyBorder="1" applyAlignment="1">
      <alignment horizontal="right" vertical="center"/>
    </xf>
    <xf numFmtId="0" fontId="65" fillId="0" borderId="0" xfId="30" applyFont="1" applyAlignment="1">
      <alignment horizontal="right" vertical="center"/>
    </xf>
    <xf numFmtId="0" fontId="13" fillId="0" borderId="0" xfId="30" applyFont="1" applyAlignment="1">
      <alignment horizontal="left" vertical="center" wrapText="1" indent="2"/>
    </xf>
    <xf numFmtId="0" fontId="8" fillId="0" borderId="3" xfId="0" applyFont="1" applyBorder="1" applyAlignment="1">
      <alignment horizontal="left" vertical="center" wrapText="1"/>
    </xf>
    <xf numFmtId="0" fontId="10" fillId="0" borderId="1" xfId="0" applyFont="1" applyBorder="1" applyAlignment="1">
      <alignment horizontal="left" vertic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wrapText="1" indent="2"/>
    </xf>
    <xf numFmtId="0" fontId="18" fillId="0" borderId="3" xfId="24" applyFont="1" applyBorder="1" applyAlignment="1">
      <alignment horizontal="right" vertical="center"/>
    </xf>
    <xf numFmtId="0" fontId="18" fillId="0" borderId="0" xfId="24" applyFont="1" applyAlignment="1">
      <alignment horizontal="right" vertical="center"/>
    </xf>
    <xf numFmtId="0" fontId="19" fillId="0" borderId="0" xfId="24" applyFont="1" applyAlignment="1">
      <alignment horizontal="right" vertical="center"/>
    </xf>
    <xf numFmtId="0" fontId="4" fillId="0" borderId="0" xfId="24" applyFont="1" applyAlignment="1">
      <alignment horizontal="right" vertical="center"/>
    </xf>
    <xf numFmtId="0" fontId="6" fillId="0" borderId="0" xfId="24" applyFont="1" applyAlignment="1">
      <alignment horizontal="right" vertical="center"/>
    </xf>
    <xf numFmtId="164" fontId="4" fillId="0" borderId="0" xfId="4" applyFont="1" applyAlignment="1">
      <alignment horizontal="left" vertical="top" wrapText="1"/>
    </xf>
    <xf numFmtId="164" fontId="6" fillId="0" borderId="0" xfId="4" applyFont="1" applyAlignment="1">
      <alignment horizontal="left" vertical="top" wrapText="1"/>
    </xf>
    <xf numFmtId="0" fontId="20" fillId="0" borderId="0" xfId="24" applyFont="1" applyAlignment="1">
      <alignment horizontal="left" vertical="center"/>
    </xf>
    <xf numFmtId="164" fontId="18" fillId="0" borderId="0" xfId="35" applyFont="1" applyAlignment="1">
      <alignment horizontal="left" wrapText="1"/>
    </xf>
    <xf numFmtId="164" fontId="19" fillId="0" borderId="0" xfId="35" applyFont="1" applyAlignment="1">
      <alignment horizontal="left" vertical="top" wrapText="1"/>
    </xf>
    <xf numFmtId="0" fontId="10" fillId="0" borderId="0" xfId="0" applyFont="1" applyAlignment="1">
      <alignment horizontal="left" vertical="top" wrapText="1" indent="2"/>
    </xf>
    <xf numFmtId="0" fontId="20" fillId="0" borderId="1" xfId="0" applyFont="1" applyBorder="1" applyAlignment="1">
      <alignment horizontal="left" vertical="top"/>
    </xf>
    <xf numFmtId="178" fontId="18" fillId="0" borderId="3" xfId="37" applyFont="1" applyBorder="1" applyAlignment="1">
      <alignment horizontal="right" vertical="center"/>
    </xf>
    <xf numFmtId="178" fontId="18" fillId="0" borderId="0" xfId="37" applyFont="1" applyAlignment="1">
      <alignment horizontal="right" vertical="top"/>
    </xf>
    <xf numFmtId="178" fontId="19" fillId="0" borderId="0" xfId="37" applyFont="1" applyAlignment="1">
      <alignment horizontal="right" vertical="top"/>
    </xf>
    <xf numFmtId="0" fontId="7" fillId="0" borderId="0" xfId="0" applyFont="1" applyAlignment="1">
      <alignment horizontal="left" vertical="top" indent="2"/>
    </xf>
    <xf numFmtId="0" fontId="8" fillId="0" borderId="0" xfId="0" applyFont="1" applyAlignment="1">
      <alignment horizontal="left" vertical="top" wrapText="1" indent="2"/>
    </xf>
    <xf numFmtId="0" fontId="8" fillId="0" borderId="0" xfId="0" applyFont="1" applyAlignment="1">
      <alignment horizontal="left" vertical="top" wrapText="1"/>
    </xf>
    <xf numFmtId="0" fontId="10" fillId="0" borderId="0" xfId="0" applyFont="1" applyAlignment="1">
      <alignment horizontal="left" vertical="top"/>
    </xf>
    <xf numFmtId="0" fontId="7" fillId="0" borderId="0" xfId="0" applyFont="1" applyAlignment="1">
      <alignment horizontal="left" vertical="top"/>
    </xf>
    <xf numFmtId="0" fontId="8" fillId="0" borderId="1" xfId="36" applyFont="1" applyBorder="1" applyAlignment="1">
      <alignment horizontal="center" vertical="center"/>
    </xf>
    <xf numFmtId="0" fontId="8" fillId="0" borderId="0" xfId="36" applyFont="1" applyAlignment="1">
      <alignment horizontal="center" vertical="center" wrapText="1"/>
    </xf>
    <xf numFmtId="0" fontId="8" fillId="0" borderId="1" xfId="36" applyFont="1" applyBorder="1" applyAlignment="1">
      <alignment horizontal="left" vertical="center" wrapText="1"/>
    </xf>
    <xf numFmtId="0" fontId="7" fillId="0" borderId="3" xfId="0" applyFont="1" applyBorder="1" applyAlignment="1">
      <alignment horizontal="center"/>
    </xf>
    <xf numFmtId="0" fontId="8" fillId="0" borderId="0" xfId="0" applyFont="1" applyAlignment="1">
      <alignment horizontal="left" wrapText="1"/>
    </xf>
    <xf numFmtId="0" fontId="6" fillId="0" borderId="0" xfId="0" applyFont="1" applyAlignment="1">
      <alignment horizontal="left" vertical="top" wrapText="1"/>
    </xf>
    <xf numFmtId="0" fontId="12" fillId="0" borderId="0" xfId="0" applyFont="1" applyAlignment="1">
      <alignment horizontal="center" wrapText="1"/>
    </xf>
    <xf numFmtId="0" fontId="13" fillId="0" borderId="0" xfId="0" applyFont="1" applyAlignment="1">
      <alignment horizontal="right" vertical="top" wrapText="1"/>
    </xf>
    <xf numFmtId="0" fontId="45" fillId="0" borderId="0" xfId="0" applyFont="1" applyAlignment="1">
      <alignment horizontal="right" wrapText="1"/>
    </xf>
    <xf numFmtId="0" fontId="13" fillId="0" borderId="1" xfId="0" applyFont="1" applyBorder="1" applyAlignment="1">
      <alignment horizontal="center" vertical="top"/>
    </xf>
    <xf numFmtId="0" fontId="8" fillId="0" borderId="3" xfId="0" applyFont="1" applyBorder="1" applyAlignment="1">
      <alignment horizontal="center" vertical="center" wrapText="1"/>
    </xf>
    <xf numFmtId="176" fontId="18" fillId="0" borderId="3" xfId="29" applyNumberFormat="1" applyFont="1" applyBorder="1" applyAlignment="1">
      <alignment horizontal="right"/>
    </xf>
    <xf numFmtId="176" fontId="18" fillId="0" borderId="0" xfId="29" applyNumberFormat="1" applyFont="1" applyAlignment="1">
      <alignment horizontal="right"/>
    </xf>
    <xf numFmtId="176" fontId="19" fillId="0" borderId="0" xfId="29" applyNumberFormat="1" applyFont="1" applyAlignment="1">
      <alignment horizontal="right"/>
    </xf>
    <xf numFmtId="178" fontId="8" fillId="0" borderId="0" xfId="48" applyFont="1" applyAlignment="1">
      <alignment horizontal="left" vertical="center" wrapText="1"/>
    </xf>
    <xf numFmtId="178" fontId="10" fillId="0" borderId="0" xfId="48" applyFont="1" applyAlignment="1">
      <alignment horizontal="left" vertical="center" wrapText="1"/>
    </xf>
    <xf numFmtId="178" fontId="8" fillId="0" borderId="9" xfId="48" applyFont="1" applyBorder="1" applyAlignment="1">
      <alignment horizontal="right" vertical="center" wrapText="1"/>
    </xf>
    <xf numFmtId="178" fontId="8" fillId="0" borderId="0" xfId="48" applyFont="1" applyAlignment="1">
      <alignment horizontal="right" vertical="center" wrapText="1"/>
    </xf>
    <xf numFmtId="178" fontId="8" fillId="0" borderId="8" xfId="48" applyFont="1" applyBorder="1" applyAlignment="1">
      <alignment horizontal="right" vertical="center" wrapText="1"/>
    </xf>
    <xf numFmtId="178" fontId="4" fillId="0" borderId="8" xfId="48" applyFont="1" applyBorder="1" applyAlignment="1">
      <alignment horizontal="center" vertical="center"/>
    </xf>
    <xf numFmtId="178" fontId="7" fillId="0" borderId="9" xfId="48" applyFont="1" applyBorder="1" applyAlignment="1">
      <alignment horizontal="left" vertical="center" wrapText="1"/>
    </xf>
    <xf numFmtId="178" fontId="7" fillId="0" borderId="0" xfId="48" applyFont="1" applyAlignment="1">
      <alignment horizontal="left" vertical="center" wrapText="1"/>
    </xf>
    <xf numFmtId="178" fontId="7" fillId="0" borderId="8" xfId="48" applyFont="1" applyBorder="1" applyAlignment="1">
      <alignment horizontal="left" vertical="center" wrapText="1"/>
    </xf>
    <xf numFmtId="178" fontId="8" fillId="0" borderId="9" xfId="48" applyFont="1" applyBorder="1" applyAlignment="1">
      <alignment horizontal="center" vertical="center" wrapText="1"/>
    </xf>
    <xf numFmtId="178" fontId="10" fillId="0" borderId="9" xfId="48" applyFont="1" applyBorder="1" applyAlignment="1">
      <alignment horizontal="center" vertical="center" wrapText="1"/>
    </xf>
    <xf numFmtId="178" fontId="8" fillId="0" borderId="0" xfId="53" applyFont="1" applyAlignment="1">
      <alignment horizontal="center" vertical="center" wrapText="1"/>
    </xf>
    <xf numFmtId="178" fontId="8" fillId="0" borderId="0" xfId="53" applyFont="1" applyAlignment="1">
      <alignment horizontal="center" vertical="center"/>
    </xf>
    <xf numFmtId="178" fontId="8" fillId="0" borderId="1" xfId="53" applyFont="1" applyBorder="1" applyAlignment="1">
      <alignment horizontal="center" vertical="center"/>
    </xf>
    <xf numFmtId="178" fontId="8" fillId="0" borderId="1" xfId="53" applyFont="1" applyBorder="1" applyAlignment="1">
      <alignment horizontal="center" vertical="center" wrapText="1"/>
    </xf>
    <xf numFmtId="164" fontId="65" fillId="0" borderId="0" xfId="0" applyNumberFormat="1" applyFont="1" applyAlignment="1">
      <alignment horizontal="left" vertical="top"/>
    </xf>
    <xf numFmtId="0" fontId="64" fillId="0" borderId="0" xfId="0" applyFont="1" applyAlignment="1">
      <alignment horizontal="left" vertical="top" wrapText="1"/>
    </xf>
    <xf numFmtId="0" fontId="65" fillId="0" borderId="0" xfId="0" applyFont="1" applyAlignment="1">
      <alignment horizontal="left" vertical="top" wrapText="1"/>
    </xf>
    <xf numFmtId="176" fontId="12" fillId="0" borderId="0" xfId="0" applyNumberFormat="1" applyFont="1" applyAlignment="1">
      <alignment horizontal="left" vertical="center" wrapText="1"/>
    </xf>
    <xf numFmtId="0" fontId="12" fillId="0" borderId="0" xfId="0" applyFont="1" applyAlignment="1">
      <alignment horizontal="right" vertical="center" wrapText="1"/>
    </xf>
    <xf numFmtId="0" fontId="64" fillId="0" borderId="12" xfId="0" applyFont="1" applyBorder="1" applyAlignment="1">
      <alignment horizontal="right" vertical="center"/>
    </xf>
    <xf numFmtId="0" fontId="65" fillId="0" borderId="0" xfId="0" applyFont="1" applyAlignment="1">
      <alignment horizontal="right" vertical="center"/>
    </xf>
    <xf numFmtId="164" fontId="64" fillId="0" borderId="0" xfId="0" applyNumberFormat="1"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176" fontId="8" fillId="0" borderId="0" xfId="0" applyNumberFormat="1" applyFont="1" applyAlignment="1">
      <alignment horizontal="center" vertical="center" wrapText="1"/>
    </xf>
    <xf numFmtId="0" fontId="8" fillId="0" borderId="0" xfId="0" applyFont="1" applyAlignment="1">
      <alignment horizontal="right" vertical="top"/>
    </xf>
    <xf numFmtId="0" fontId="8" fillId="0" borderId="6" xfId="0" applyFont="1" applyBorder="1" applyAlignment="1">
      <alignment horizontal="right" vertical="top"/>
    </xf>
    <xf numFmtId="0" fontId="16" fillId="0" borderId="0" xfId="42" applyFont="1" applyAlignment="1">
      <alignment horizontal="left" vertical="top" wrapText="1"/>
    </xf>
    <xf numFmtId="0" fontId="16" fillId="0" borderId="0" xfId="0" applyFont="1" applyAlignment="1">
      <alignment vertical="top" wrapText="1"/>
    </xf>
    <xf numFmtId="0" fontId="16" fillId="0" borderId="1" xfId="0" applyFont="1" applyBorder="1" applyAlignment="1">
      <alignment vertical="top" wrapText="1"/>
    </xf>
    <xf numFmtId="0" fontId="64" fillId="0" borderId="0" xfId="0" applyFont="1" applyAlignment="1">
      <alignment vertical="center" wrapText="1"/>
    </xf>
    <xf numFmtId="0" fontId="12" fillId="0" borderId="0" xfId="52" applyNumberFormat="1" applyFont="1" applyBorder="1" applyAlignment="1">
      <alignment horizontal="right" vertical="center" wrapText="1"/>
    </xf>
    <xf numFmtId="0" fontId="16" fillId="0" borderId="0" xfId="0" applyFont="1" applyAlignment="1">
      <alignment vertical="top"/>
    </xf>
    <xf numFmtId="0" fontId="64" fillId="0" borderId="0" xfId="0" applyFont="1" applyAlignment="1">
      <alignment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1" xfId="42" applyFont="1" applyBorder="1" applyAlignment="1">
      <alignment horizontal="left" vertical="top" wrapText="1"/>
    </xf>
    <xf numFmtId="0" fontId="64" fillId="0" borderId="0" xfId="42" applyFont="1" applyAlignment="1">
      <alignment horizontal="left" vertical="top" wrapText="1"/>
    </xf>
    <xf numFmtId="0" fontId="16" fillId="0" borderId="0" xfId="0" applyFont="1" applyAlignment="1">
      <alignment vertical="center" wrapText="1"/>
    </xf>
    <xf numFmtId="175" fontId="16" fillId="0" borderId="0" xfId="58" applyNumberFormat="1" applyFont="1" applyFill="1" applyBorder="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left" vertical="top"/>
    </xf>
    <xf numFmtId="0" fontId="16" fillId="0" borderId="0" xfId="42" applyFont="1" applyAlignment="1">
      <alignment horizontal="left" vertical="center" wrapText="1"/>
    </xf>
    <xf numFmtId="0" fontId="16" fillId="0" borderId="0" xfId="42" applyFont="1" applyAlignment="1">
      <alignment vertical="center"/>
    </xf>
    <xf numFmtId="0" fontId="16" fillId="0" borderId="0" xfId="42" applyFont="1" applyAlignment="1">
      <alignment horizontal="left" vertical="top"/>
    </xf>
    <xf numFmtId="0" fontId="16" fillId="0" borderId="0" xfId="42" applyFont="1" applyAlignment="1">
      <alignment horizontal="left" vertical="center"/>
    </xf>
    <xf numFmtId="0" fontId="12" fillId="0" borderId="2" xfId="42" applyFont="1" applyBorder="1" applyAlignment="1">
      <alignment horizontal="left" vertical="center" wrapText="1"/>
    </xf>
    <xf numFmtId="0" fontId="16" fillId="0" borderId="0" xfId="42" applyFont="1" applyAlignment="1">
      <alignment vertical="top" wrapText="1"/>
    </xf>
    <xf numFmtId="0" fontId="16" fillId="0" borderId="0" xfId="42" applyFont="1" applyAlignment="1">
      <alignment vertical="center" wrapText="1"/>
    </xf>
    <xf numFmtId="0" fontId="16" fillId="0" borderId="0" xfId="42" applyFont="1" applyAlignment="1">
      <alignment horizontal="center" vertical="center" wrapText="1"/>
    </xf>
    <xf numFmtId="0" fontId="12" fillId="0" borderId="0" xfId="42" applyFont="1" applyAlignment="1">
      <alignment horizontal="left" vertical="center" wrapText="1"/>
    </xf>
    <xf numFmtId="175" fontId="12" fillId="0" borderId="1" xfId="58" applyNumberFormat="1" applyFont="1" applyBorder="1" applyAlignment="1">
      <alignment horizontal="right" vertical="center" wrapText="1"/>
    </xf>
    <xf numFmtId="0" fontId="12" fillId="0" borderId="3" xfId="42" applyFont="1" applyBorder="1" applyAlignment="1">
      <alignment horizontal="left" vertical="center" wrapText="1"/>
    </xf>
    <xf numFmtId="0" fontId="12" fillId="0" borderId="1" xfId="42" applyFont="1" applyBorder="1" applyAlignment="1">
      <alignment horizontal="left" vertical="center" wrapText="1"/>
    </xf>
    <xf numFmtId="0" fontId="16" fillId="0" borderId="3" xfId="42" applyFont="1" applyBorder="1" applyAlignment="1">
      <alignment vertical="center" wrapText="1"/>
    </xf>
    <xf numFmtId="0" fontId="16" fillId="0" borderId="1" xfId="42" applyFont="1" applyBorder="1" applyAlignment="1">
      <alignment vertical="center" wrapText="1"/>
    </xf>
    <xf numFmtId="0" fontId="12" fillId="0" borderId="3" xfId="58" applyNumberFormat="1" applyFont="1" applyBorder="1" applyAlignment="1">
      <alignment horizontal="center" vertical="center" wrapText="1"/>
    </xf>
    <xf numFmtId="0" fontId="7" fillId="0" borderId="3" xfId="59" applyFont="1" applyBorder="1" applyAlignment="1">
      <alignment horizontal="right" vertical="center" wrapText="1"/>
    </xf>
    <xf numFmtId="0" fontId="7" fillId="0" borderId="1" xfId="59" applyFont="1" applyBorder="1" applyAlignment="1">
      <alignment horizontal="right" vertical="center" wrapText="1"/>
    </xf>
    <xf numFmtId="0" fontId="18" fillId="0" borderId="3" xfId="59" applyFont="1" applyBorder="1" applyAlignment="1">
      <alignment horizontal="right" vertical="center"/>
    </xf>
    <xf numFmtId="0" fontId="19" fillId="0" borderId="0" xfId="59" applyFont="1" applyAlignment="1">
      <alignment horizontal="right" vertical="center"/>
    </xf>
    <xf numFmtId="0" fontId="8" fillId="0" borderId="1" xfId="63" applyFont="1" applyBorder="1" applyAlignment="1">
      <alignment horizontal="center" vertical="center" wrapText="1"/>
    </xf>
    <xf numFmtId="0" fontId="8" fillId="0" borderId="1" xfId="0" applyFont="1" applyBorder="1" applyAlignment="1">
      <alignment horizontal="center" vertical="center" wrapText="1"/>
    </xf>
    <xf numFmtId="0" fontId="18" fillId="0" borderId="5" xfId="24" applyFont="1" applyBorder="1" applyAlignment="1">
      <alignment horizontal="right" vertical="center"/>
    </xf>
  </cellXfs>
  <cellStyles count="67">
    <cellStyle name="Comma" xfId="1" builtinId="3"/>
    <cellStyle name="Comma [0] 14" xfId="47" xr:uid="{176CAB8F-54A5-4373-94BE-33DCD17D5911}"/>
    <cellStyle name="Comma [0] 2" xfId="27" xr:uid="{FEA4E19C-C3D9-46D7-83B4-5580F68F007F}"/>
    <cellStyle name="Comma [0] 2 2" xfId="16" xr:uid="{C6EAD460-4A3E-4393-AD70-8F3B611A82F6}"/>
    <cellStyle name="Comma [0] 2 2 6" xfId="17" xr:uid="{3E779F1C-E623-4C1C-94A5-413F58C0DD28}"/>
    <cellStyle name="Comma 2 147 2 2" xfId="26" xr:uid="{85496EED-2D63-403A-A092-EE059EBE089B}"/>
    <cellStyle name="Comma 2 2 262" xfId="9" xr:uid="{0B657C4F-97FE-4E11-9BFD-16F272D93AC0}"/>
    <cellStyle name="Comma 2 2 263" xfId="52" xr:uid="{49E27CA5-47D2-43BF-9A92-90367527A11B}"/>
    <cellStyle name="Comma 2 2 265" xfId="58" xr:uid="{38679CF7-88FC-48B9-9CD3-A5AF52C45AC7}"/>
    <cellStyle name="Comma 3 200" xfId="33" xr:uid="{4EAE55B3-DE9F-4740-A86D-1F9DF8EE8180}"/>
    <cellStyle name="Comma 3 202" xfId="32" xr:uid="{ED6548FD-10A1-42EA-9547-E21DBD37805D}"/>
    <cellStyle name="Comma 857" xfId="61" xr:uid="{CAEF8561-5B92-4C33-A28A-3A6B746FB248}"/>
    <cellStyle name="Comma 870 2 2" xfId="7" xr:uid="{8D584C0F-F38F-4890-87D6-C4D6436F6F7A}"/>
    <cellStyle name="Comma 870 2 2 2" xfId="22" xr:uid="{BC39090A-23F7-496E-8041-9F3109AC62BB}"/>
    <cellStyle name="Comma 870 2 2 3" xfId="18" xr:uid="{31D9E5F9-E971-48D0-B806-033C6B000C65}"/>
    <cellStyle name="Comma 873" xfId="34" xr:uid="{95939941-0CDB-4DBA-98D3-8259D2D161C5}"/>
    <cellStyle name="Comma 876" xfId="45" xr:uid="{4413071A-608A-4BB2-8C21-591B411406E3}"/>
    <cellStyle name="Normal" xfId="0" builtinId="0"/>
    <cellStyle name="Normal 10 11 2 2 2 3" xfId="11" xr:uid="{4C4D44B1-50C4-4FE9-B540-D5A0751943BB}"/>
    <cellStyle name="Normal 10 11 2 2 2 3 2" xfId="24" xr:uid="{08160BA3-1CA6-4C17-A54C-E30412E4C772}"/>
    <cellStyle name="Normal 10 11 2 2 2 3 2 5" xfId="63" xr:uid="{6FC79506-8F76-46A2-A53D-F9236CD8EA9E}"/>
    <cellStyle name="Normal 10 11 2 8 2" xfId="5" xr:uid="{CF45FD6A-08A6-40A8-B9C1-CD05EF31B344}"/>
    <cellStyle name="Normal 10 2" xfId="15" xr:uid="{44ED8B46-F41C-4BC5-AED3-3268E5949146}"/>
    <cellStyle name="Normal 11" xfId="46" xr:uid="{5D17CE86-175D-436F-B4D6-5B2A3F0EE9D9}"/>
    <cellStyle name="Normal 13 2" xfId="20" xr:uid="{F405CE3E-B849-46D3-9CE7-AF19129A89F7}"/>
    <cellStyle name="Normal 13 2 2" xfId="21" xr:uid="{5DE24382-28AA-476A-9280-8BF30592EFC7}"/>
    <cellStyle name="Normal 13 2 5" xfId="41" xr:uid="{0C0B3CF6-B731-4648-96B7-125A0214ECCB}"/>
    <cellStyle name="Normal 2" xfId="25" xr:uid="{C1E7C9B1-4341-4680-87F9-05A345344409}"/>
    <cellStyle name="Normal 2 2 2 2 2 4 2 2 5" xfId="57" xr:uid="{F128F016-4340-4013-B052-52153AC4A6D7}"/>
    <cellStyle name="Normal 2 2 2 2 2 4 4 2" xfId="12" xr:uid="{5F2BDE67-D571-44AB-8EA2-FA09DF6144A5}"/>
    <cellStyle name="Normal 2 2 2 7" xfId="44" xr:uid="{B5B6E9A4-DDA2-4323-8834-AD73EAE83B5A}"/>
    <cellStyle name="Normal 2 2 85 2 3 3 2" xfId="51" xr:uid="{E8C5F59F-D3CB-4B74-98D4-0FE99E3248B4}"/>
    <cellStyle name="Normal 2 258" xfId="55" xr:uid="{2CF9CF3B-9577-4EF5-B592-7BF0114C35A2}"/>
    <cellStyle name="Normal 2 262 3" xfId="50" xr:uid="{60E5CBBE-387F-4A03-9101-21FB49CBC461}"/>
    <cellStyle name="Normal 2 3" xfId="60" xr:uid="{CB833F36-EBC3-4200-876F-D4FF6B727384}"/>
    <cellStyle name="Normal 27" xfId="49" xr:uid="{CFCE9630-27B1-4993-A2A1-7FF64978B607}"/>
    <cellStyle name="Normal 3" xfId="35" xr:uid="{5DB03FFD-7EBE-4641-86E2-104B7284AEEF}"/>
    <cellStyle name="Normal 3 2 3 13" xfId="19" xr:uid="{CF4A0F15-7AAB-4F91-BF60-7AEB0C444A7E}"/>
    <cellStyle name="Normal 3 2 3 13 2" xfId="23" xr:uid="{9669F28E-4597-4EDA-B021-82ECBD68CF87}"/>
    <cellStyle name="Normal 3 2 3 13 3 2" xfId="64" xr:uid="{FAA10E57-B67F-4AF7-A175-6060980892D7}"/>
    <cellStyle name="Normal 3 2 3 3" xfId="13" xr:uid="{9B641513-F142-451C-9354-2F5FC491F8FF}"/>
    <cellStyle name="Normal 3 3 10" xfId="43" xr:uid="{1622EE07-1CA4-48A1-BEC8-97B90B96AA10}"/>
    <cellStyle name="Normal 3 3 3" xfId="4" xr:uid="{B8BC6AED-AD68-4135-86E4-7840A7620085}"/>
    <cellStyle name="Normal 3 5 2 5 6" xfId="66" xr:uid="{609EA279-E79C-4F1F-9505-B7FFE632200C}"/>
    <cellStyle name="Normal 3 5 8" xfId="65" xr:uid="{D687F204-3685-4F27-BA71-97BE08697009}"/>
    <cellStyle name="Normal 3 85" xfId="6" xr:uid="{B0C28A31-E34D-49C4-8146-C7E925A74A77}"/>
    <cellStyle name="Normal 4 2" xfId="29" xr:uid="{71139743-17ED-46BB-BF4C-41AE2C2F1C44}"/>
    <cellStyle name="Normal 4 2 10 2" xfId="62" xr:uid="{37CB5E44-2F9F-4ECF-AA9F-0F0AEA2528F6}"/>
    <cellStyle name="Normal 4 2 9 2 3" xfId="54" xr:uid="{E71FD3DB-B25E-4AB4-A8C7-67CDCE6734F0}"/>
    <cellStyle name="Normal 4 4 2 2" xfId="40" xr:uid="{6929DA11-CC8E-42DB-9B76-13737411476A}"/>
    <cellStyle name="Normal 4 4 2 8" xfId="56" xr:uid="{808932AC-C115-4826-A00A-BD45E6F1B44A}"/>
    <cellStyle name="Normal 5 13" xfId="39" xr:uid="{7FB2DA32-4689-4738-8342-D621E7B3E978}"/>
    <cellStyle name="Normal 6" xfId="48" xr:uid="{066A8A02-3A14-426E-82CD-F8EF4EE7B271}"/>
    <cellStyle name="Normal 6 57" xfId="38" xr:uid="{BD4FC55A-B6B1-4969-892F-2FA383D28423}"/>
    <cellStyle name="Normal 7 2 9" xfId="53" xr:uid="{7493ECD7-C843-4284-B550-C049BEFD877D}"/>
    <cellStyle name="Normal 724 2" xfId="28" xr:uid="{CB4E393B-A5A7-46F5-A92A-41022AF8199C}"/>
    <cellStyle name="Normal 725" xfId="59" xr:uid="{E520463E-2E07-4618-A3E4-D22F1A4D0B7F}"/>
    <cellStyle name="Normal 8" xfId="37" xr:uid="{E27CC957-A324-4445-9C38-155EB2464E85}"/>
    <cellStyle name="Normal 8 45" xfId="36" xr:uid="{1588C444-DEFE-4E45-8451-7CCB63C61469}"/>
    <cellStyle name="Normal 805 2" xfId="3" xr:uid="{1E5BB153-8C41-46E2-A75B-D60127C32EEC}"/>
    <cellStyle name="Normal 808" xfId="30" xr:uid="{E854EE20-2022-4DDE-86D8-99B65A9F2391}"/>
    <cellStyle name="Normal 808 2" xfId="31" xr:uid="{FDDD5B8B-679B-40DC-9D0E-06BF55A7A0CD}"/>
    <cellStyle name="Normal 809 2" xfId="42" xr:uid="{CC9C1C3D-C86E-4068-BA29-306D1584FEC3}"/>
    <cellStyle name="Normal_TABLE1A" xfId="8" xr:uid="{3125EFAB-4168-4869-AC41-C35734C836CA}"/>
    <cellStyle name="Normal_TABLE5(A),(B)&amp;(C)" xfId="10" xr:uid="{F29A2CDB-C6F4-4B6B-9576-DC75B747E8FF}"/>
    <cellStyle name="Per cent" xfId="2" builtinId="5"/>
    <cellStyle name="Percent 16" xfId="14" xr:uid="{FD372544-BE1A-4AF7-AC80-78B7AE143DA0}"/>
  </cellStyles>
  <dxfs count="54">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3.xml"/><Relationship Id="rId63" Type="http://schemas.openxmlformats.org/officeDocument/2006/relationships/externalLink" Target="externalLinks/externalLink19.xml"/><Relationship Id="rId68" Type="http://schemas.openxmlformats.org/officeDocument/2006/relationships/externalLink" Target="externalLinks/externalLink24.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externalLink" Target="externalLinks/externalLink9.xml"/><Relationship Id="rId58" Type="http://schemas.openxmlformats.org/officeDocument/2006/relationships/externalLink" Target="externalLinks/externalLink14.xml"/><Relationship Id="rId66" Type="http://schemas.openxmlformats.org/officeDocument/2006/relationships/externalLink" Target="externalLinks/externalLink22.xml"/><Relationship Id="rId74" Type="http://schemas.openxmlformats.org/officeDocument/2006/relationships/externalLink" Target="externalLinks/externalLink30.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1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56" Type="http://schemas.openxmlformats.org/officeDocument/2006/relationships/externalLink" Target="externalLinks/externalLink12.xml"/><Relationship Id="rId64" Type="http://schemas.openxmlformats.org/officeDocument/2006/relationships/externalLink" Target="externalLinks/externalLink20.xml"/><Relationship Id="rId69" Type="http://schemas.openxmlformats.org/officeDocument/2006/relationships/externalLink" Target="externalLinks/externalLink25.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7.xml"/><Relationship Id="rId72"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59" Type="http://schemas.openxmlformats.org/officeDocument/2006/relationships/externalLink" Target="externalLinks/externalLink15.xml"/><Relationship Id="rId67" Type="http://schemas.openxmlformats.org/officeDocument/2006/relationships/externalLink" Target="externalLinks/externalLink2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0.xml"/><Relationship Id="rId62" Type="http://schemas.openxmlformats.org/officeDocument/2006/relationships/externalLink" Target="externalLinks/externalLink18.xml"/><Relationship Id="rId70" Type="http://schemas.openxmlformats.org/officeDocument/2006/relationships/externalLink" Target="externalLinks/externalLink26.xml"/><Relationship Id="rId75"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5.xml"/><Relationship Id="rId57" Type="http://schemas.openxmlformats.org/officeDocument/2006/relationships/externalLink" Target="externalLinks/externalLink1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8.xml"/><Relationship Id="rId60" Type="http://schemas.openxmlformats.org/officeDocument/2006/relationships/externalLink" Target="externalLinks/externalLink16.xml"/><Relationship Id="rId65" Type="http://schemas.openxmlformats.org/officeDocument/2006/relationships/externalLink" Target="externalLinks/externalLink21.xml"/><Relationship Id="rId73" Type="http://schemas.openxmlformats.org/officeDocument/2006/relationships/externalLink" Target="externalLinks/externalLink29.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6.xml"/><Relationship Id="rId55" Type="http://schemas.openxmlformats.org/officeDocument/2006/relationships/externalLink" Target="externalLinks/externalLink11.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7.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94627D91/Tab4-1--4.18-new.xls" TargetMode="External"/><Relationship Id="rId1" Type="http://schemas.openxmlformats.org/officeDocument/2006/relationships/externalLinkPath" Target="/94627D91/Tab4-1--4.18-new.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3AE38973/5.2-5.20.xls" TargetMode="External"/><Relationship Id="rId1" Type="http://schemas.openxmlformats.org/officeDocument/2006/relationships/externalLinkPath" Target="/3AE38973/5.2-5.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AB320F7/Table%20Publication%20of%20GDP%202013p_100914.xlsx" TargetMode="External"/><Relationship Id="rId1" Type="http://schemas.openxmlformats.org/officeDocument/2006/relationships/externalLinkPath" Target="/DAB320F7/Table%20Publication%20of%20GDP%202013p_100914.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 Id="rId1" Type="http://schemas.openxmlformats.org/officeDocument/2006/relationships/externalLinkPath" Target="/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DF4AAA00/Table%20Publication%20of%20GDP%202013p_100914.xlsx" TargetMode="External"/><Relationship Id="rId1" Type="http://schemas.openxmlformats.org/officeDocument/2006/relationships/externalLinkPath" Target="/DF4AAA00/Table%20Publication%20of%20GDP%202013p_10091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10.21.45.70/Parlimen%202024/2013/4-5%20kesihatan/Bab%204%20-%20Kesihatan%202013(TAB%204%201-4%2011)%20hantar%20DOSM.xls" TargetMode="External"/><Relationship Id="rId1" Type="http://schemas.openxmlformats.org/officeDocument/2006/relationships/externalLinkPath" Target="/10.21.45.70/Parlimen%202024/2013/4-5%20kesihatan/Bab%204%20-%20Kesihatan%202013(TAB%204%201-4%2011)%20hantar%20DOSM.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10.21.45.70/Parlimen%202024/Users/nurdiyana/AppData/Local/Microsoft/Windows/Temporary%20Internet%20Files/Content.Outlook/6TCJTEX0/2013/4-5%20kesihatan/Bab%204%20-%20Kesihatan%202013(TAB%204%201-4%2011)%20hantar%20DOSM.xls" TargetMode="External"/><Relationship Id="rId1" Type="http://schemas.openxmlformats.org/officeDocument/2006/relationships/externalLinkPath" Target="/10.21.45.70/Parlimen%202024/Users/nurdiyana/AppData/Local/Microsoft/Windows/Temporary%20Internet%20Files/Content.Outlook/6TCJTEX0/2013/4-5%20kesihatan/Bab%204%20-%20Kesihatan%202013(TAB%204%201-4%2011)%20hantar%20DOSM.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 Id="rId1" Type="http://schemas.openxmlformats.org/officeDocument/2006/relationships/externalLinkPath" Target="/10.21.45.70/Parlimen%202024/JOHOR/compile/SAS%20State/compile/SAS%20State/compile/SAS%20State/Users/nurul.iman/Desktop/buku%20sas/Documents%20and%20Settings/nurdiyana/My%20Documents/BPS%202012/Tab4-1--4.18-new.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Johor/Documents%20and%20Settings/rosnani/Local%20Settings/Temporary%20Internet%20Files/Content.Outlook/NRZDZE5N/Buletin%20Perangkaan%20Sosial,%20Malaysia%202013/Jadual/Jadual/Bab%207-%20Guna%20Tenaga%202013.xlsx"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9%20JAnuari%202018/JOHOR%2026.11.2017/FULL%20MALAYSIA-SAS/JOHOR/compile/SAS%20State/compile/SAS%20State/compile/SAS%20State/Documents%20and%20Settings/nurdiyana/My%20Documents/BPS%202012/Tab4-1--4.18-ne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10.21.45.70/Parlimen%202024/utk%20email/2013/4-5%20kesihatan/Bab%204%20-%20Kesihatan%202013(TAB%204%201-4%2011)%20hantar%20DOSM.xls" TargetMode="External"/><Relationship Id="rId1" Type="http://schemas.openxmlformats.org/officeDocument/2006/relationships/externalLinkPath" Target="/10.21.45.70/Parlimen%202024/utk%20email/2013/4-5%20kesihatan/Bab%204%20-%20Kesihatan%202013(TAB%204%201-4%2011)%20hantar%20DOSM.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30C2DD45/Malaysia%20HES%202014.xlsx" TargetMode="External"/><Relationship Id="rId1" Type="http://schemas.openxmlformats.org/officeDocument/2006/relationships/externalLinkPath" Target="/30C2DD45/Malaysia%20HES%2020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30C2DD45/7.1%20&amp;%207.4_MSIA.xls" TargetMode="External"/><Relationship Id="rId1" Type="http://schemas.openxmlformats.org/officeDocument/2006/relationships/externalLinkPath" Target="/30C2DD45/7.1%20&amp;%207.4_MSIA.xls"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ADMINI~1.ICU/AppData/Local/Temp/Rar$DI00.384/Mastercopy%20Penerbitan%20KDNK%20Negeri%202015/Mastercopy%20Publication%20KDNK%20Negeri%202010-2014/Table%20Publication%20of%20GDP%202013p_100914.xlsx"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 Id="rId1" Type="http://schemas.openxmlformats.org/officeDocument/2006/relationships/externalLinkPath" Target="/10.21.45.70/Parlimen%202024/Users/ADMINI~1.ICU/AppData/Local/Temp/Rar$DI00.384/Mastercopy%20Penerbitan%20KDNK%20Negeri%202015/Mastercopy%20Publication%20KDNK%20Negeri%202010-2014/Table%20Publication%20of%20GDP%202013p_1009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norul.aziemah/Desktop/buku%20sas/Users/roziana/AppData/Local/Microsoft/Windows/Temporary%20Internet%20Files/Content.Outlook/OXSTD2JP/Jad.%205.10-5.11-new.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10.21.45.70/Parlimen%202024/Users/norul.aziemah/Desktop/buku%20sas/Users/roziana/AppData/Local/Microsoft/Windows/Temporary%20Internet%20Files/Content.Outlook/OXSTD2JP/Jad.%205.10-5.11-new.xls" TargetMode="External"/><Relationship Id="rId1" Type="http://schemas.openxmlformats.org/officeDocument/2006/relationships/externalLinkPath" Target="/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4.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2A (2)"/>
      <sheetName val="5.2B (2)"/>
      <sheetName val="5.2C (2)"/>
      <sheetName val="5.2D (2)"/>
      <sheetName val="5.5"/>
      <sheetName val="5.7"/>
      <sheetName val="5.8 (2)"/>
      <sheetName val="5.9"/>
      <sheetName val="5.10"/>
      <sheetName val="5.11"/>
      <sheetName val="5.12"/>
      <sheetName val="5.13"/>
      <sheetName val="5.15"/>
      <sheetName val="5.16"/>
      <sheetName val="5.17 "/>
      <sheetName val="5.18"/>
      <sheetName val="5.19"/>
      <sheetName val="5.20"/>
      <sheetName val="5.21"/>
      <sheetName val="5.22"/>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sheetData sheetId="17"/>
      <sheetData sheetId="18" refreshError="1"/>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s>
    <sheetDataSet>
      <sheetData sheetId="0"/>
      <sheetData sheetId="1"/>
      <sheetData sheetId="2"/>
      <sheetData sheetId="3"/>
      <sheetData sheetId="4"/>
      <sheetData sheetId="5"/>
      <sheetData sheetId="6"/>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43.1 (T1) (RM)"/>
      <sheetName val="43.1 (T2) (RM)"/>
      <sheetName val="43.1 (T3) (RM)"/>
      <sheetName val="43.2 (U1) (RM)"/>
      <sheetName val="43.2 (U2) (RM)"/>
      <sheetName val="43.2 (U3) (RM)"/>
      <sheetName val="43.3 (R1) (RM)"/>
      <sheetName val="43.3 (R2) (RM)"/>
      <sheetName val="43.3 (R3) (RM)"/>
      <sheetName val="48.1 (T1) (RM)"/>
      <sheetName val="48.1 (T2) (RM)"/>
      <sheetName val="48.1 (T3) (RM)"/>
      <sheetName val="48.2 (U1) (RM)"/>
      <sheetName val="48.2 (U2) (RM)"/>
      <sheetName val="48.2 (U3) (RM)"/>
      <sheetName val="48.3 (R1) (RM)"/>
      <sheetName val="48.3 (R2) (RM)"/>
      <sheetName val="48.3 (R3) (RM)"/>
      <sheetName val="48.4 (T1) (%)"/>
      <sheetName val="48.4 (T2) (%)"/>
      <sheetName val="48.4 (T3) (%)"/>
      <sheetName val="48.5 (U1) (%)"/>
      <sheetName val="48.5 (U2) (%)"/>
      <sheetName val="48.5 (U3) (%)"/>
      <sheetName val="48.6 (R1) (%)"/>
      <sheetName val="48.6 (R2) (%)"/>
      <sheetName val="48.6 (R3) (%)"/>
      <sheetName val="Wsheet"/>
      <sheetName val="Sheet2"/>
      <sheetName val="1.1 (RM) &amp; (%)"/>
      <sheetName val="1.2 (T1) (RM) &amp; (%)"/>
      <sheetName val="1.2 (T2) (RM) &amp; (%)"/>
      <sheetName val="1.2 (T3) (RM) &amp; (%)"/>
      <sheetName val="1.3 (U1) (RM) &amp; (%)"/>
      <sheetName val="1.3 (U2) (RM) &amp; (%)"/>
      <sheetName val="1.3 (U3) (RM) &amp; (%)"/>
      <sheetName val="1.4 (R1) (RM) &amp; (%)"/>
      <sheetName val="1.4 (R2) (RM) &amp; (%)"/>
      <sheetName val="1.4 (R3) (RM) &amp; (%)"/>
      <sheetName val="4.1 T (RM)"/>
      <sheetName val="4.2 U (RM)"/>
      <sheetName val="4.3 R (RM)"/>
      <sheetName val="4.4 T (%)"/>
      <sheetName val="4.5 U (%)"/>
      <sheetName val="4.6 R (%)"/>
      <sheetName val="6.1 T (RM &amp; %)"/>
      <sheetName val="6.2 U (RM &amp; %)"/>
      <sheetName val="6.3 R (RM &amp; %)"/>
      <sheetName val="5.1 T (RM)"/>
      <sheetName val="5.2 U (RM)"/>
      <sheetName val="5.3 R (RM)"/>
      <sheetName val="5.4 T (%)"/>
      <sheetName val="5.5 U (%)"/>
      <sheetName val="5.6 R (%)"/>
      <sheetName val="3.1 T (RM)"/>
      <sheetName val="3.2 U (RM)"/>
      <sheetName val="3.3 R (RM)"/>
      <sheetName val="3.4 T (%)"/>
      <sheetName val="3.5 U (%)"/>
      <sheetName val="3.6 R (%)"/>
      <sheetName val="7.1 T (RM)"/>
      <sheetName val="7.2 U (RM)"/>
      <sheetName val="7.3 R (RM)"/>
      <sheetName val="7.4 T (%)"/>
      <sheetName val="7.5 U (%)"/>
      <sheetName val="7.6 R (%)"/>
      <sheetName val="46.1 T (RM)"/>
      <sheetName val="46.2 U (RM)"/>
      <sheetName val="46.3 R (RM)"/>
      <sheetName val="46.4 T (%)"/>
      <sheetName val="46.5 U (%)"/>
      <sheetName val="46.6 R (%)"/>
      <sheetName val="50.1 T (RM)"/>
      <sheetName val="50.2 U (RM)"/>
      <sheetName val="50.3 R (RM)"/>
      <sheetName val="50.4 T (%)"/>
      <sheetName val="50.5 U (%)"/>
      <sheetName val="50.6 R (%)"/>
      <sheetName val="2.1 T (RM)"/>
      <sheetName val="2.2 U (RM)"/>
      <sheetName val="2.3 R (RM)"/>
      <sheetName val="2.4 T (%)"/>
      <sheetName val="2.5 U (%)"/>
      <sheetName val="2.6 R (%)"/>
      <sheetName val="47.1"/>
      <sheetName val="45.1"/>
      <sheetName val="49.1"/>
      <sheetName val="1.7(ab)"/>
      <sheetName val="1.9"/>
      <sheetName val="1.15(T)"/>
      <sheetName val="1.15(U)"/>
      <sheetName val="1.15(R)"/>
      <sheetName val="1.17(T1)"/>
      <sheetName val="1.17(T2)"/>
      <sheetName val="1.17(U1)"/>
      <sheetName val="1.17(U2)"/>
      <sheetName val="1.17(R1)"/>
      <sheetName val="1.17(R2)"/>
      <sheetName val="1.10(T)"/>
      <sheetName val="1.10(U)"/>
      <sheetName val="1.10(R)"/>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2">
          <cell r="B2" t="str">
            <v>MALAYSIA - TUR</v>
          </cell>
        </row>
        <row r="3">
          <cell r="B3" t="str">
            <v>PEN. MSIA - TUR</v>
          </cell>
        </row>
        <row r="4">
          <cell r="B4" t="str">
            <v>SABAH (w/o Labuan) - TUR</v>
          </cell>
        </row>
        <row r="5">
          <cell r="B5" t="str">
            <v>SABAH (with Labuan) - TUR</v>
          </cell>
        </row>
        <row r="6">
          <cell r="B6" t="str">
            <v>SARAWAK - TUR</v>
          </cell>
        </row>
        <row r="7">
          <cell r="B7" t="str">
            <v>W.P. LABUAN - TUR</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sheet"/>
      <sheetName val="Sheet1"/>
      <sheetName val="Sheet2"/>
    </sheetNames>
    <sheetDataSet>
      <sheetData sheetId="0" refreshError="1"/>
      <sheetData sheetId="1">
        <row r="2">
          <cell r="B2" t="str">
            <v>MALAYSIA - Total</v>
          </cell>
        </row>
        <row r="3">
          <cell r="B3" t="str">
            <v>MALAYSIA - Urban</v>
          </cell>
        </row>
        <row r="4">
          <cell r="B4" t="str">
            <v>MALAYSIA - Rural</v>
          </cell>
        </row>
        <row r="5">
          <cell r="B5" t="str">
            <v>PEN. MSIA - Total</v>
          </cell>
        </row>
        <row r="6">
          <cell r="B6" t="str">
            <v>PEN. MSIA - Urban</v>
          </cell>
        </row>
        <row r="7">
          <cell r="B7" t="str">
            <v>PEN. MSIA - Rural</v>
          </cell>
        </row>
        <row r="8">
          <cell r="B8" t="str">
            <v>SABAH (w/o Labuan) - Total</v>
          </cell>
        </row>
        <row r="9">
          <cell r="B9" t="str">
            <v>SABAH (w/o Labuan) - Urban</v>
          </cell>
        </row>
        <row r="10">
          <cell r="B10" t="str">
            <v>SABAH (w/o Labuan) - Rural</v>
          </cell>
        </row>
        <row r="11">
          <cell r="B11" t="str">
            <v>SABAH (with Labuan) - Total</v>
          </cell>
        </row>
        <row r="12">
          <cell r="B12" t="str">
            <v>SABAH (with Labuan) - Urban</v>
          </cell>
        </row>
        <row r="13">
          <cell r="B13" t="str">
            <v>SABAH (with Labuan) - Rural</v>
          </cell>
        </row>
        <row r="14">
          <cell r="B14" t="str">
            <v>SARAWAK - Total</v>
          </cell>
        </row>
        <row r="15">
          <cell r="B15" t="str">
            <v>SARAWAK - Urban</v>
          </cell>
        </row>
        <row r="16">
          <cell r="B16" t="str">
            <v>SARAWAK - Rural</v>
          </cell>
        </row>
        <row r="17">
          <cell r="B17" t="str">
            <v>W.P. LABUAN - Total</v>
          </cell>
        </row>
        <row r="18">
          <cell r="B18" t="str">
            <v>W.P. LABUAN - Urban</v>
          </cell>
        </row>
        <row r="19">
          <cell r="B19" t="str">
            <v>W.P. LABUAN - Rural</v>
          </cell>
        </row>
      </sheetData>
      <sheetData sheetId="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 val="Control"/>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2C57-4A50-49D4-9597-C4B9131AA1FF}">
  <sheetPr codeName="Sheet27">
    <pageSetUpPr fitToPage="1"/>
  </sheetPr>
  <dimension ref="A1:M57"/>
  <sheetViews>
    <sheetView tabSelected="1" view="pageBreakPreview" zoomScaleNormal="70" zoomScaleSheetLayoutView="100" workbookViewId="0">
      <selection activeCell="D60" sqref="D60"/>
    </sheetView>
  </sheetViews>
  <sheetFormatPr baseColWidth="10" defaultColWidth="8.83203125" defaultRowHeight="15"/>
  <cols>
    <col min="1" max="1" width="3.5" customWidth="1"/>
    <col min="3" max="3" width="21.5" customWidth="1"/>
    <col min="4" max="4" width="60.33203125" customWidth="1"/>
    <col min="5" max="5" width="14.5" customWidth="1"/>
    <col min="6" max="6" width="15.5" customWidth="1"/>
    <col min="7" max="7" width="15.33203125" customWidth="1"/>
  </cols>
  <sheetData>
    <row r="1" spans="1:8" s="1" customFormat="1" ht="8.25" customHeight="1"/>
    <row r="2" spans="1:8" s="1" customFormat="1" ht="8.25" customHeight="1"/>
    <row r="3" spans="1:8" s="1" customFormat="1" ht="16.5" customHeight="1">
      <c r="A3"/>
      <c r="B3" s="2" t="s">
        <v>0</v>
      </c>
      <c r="C3" s="3" t="s">
        <v>1</v>
      </c>
      <c r="D3"/>
      <c r="E3"/>
      <c r="F3" s="4"/>
      <c r="G3"/>
      <c r="H3"/>
    </row>
    <row r="4" spans="1:8" s="1" customFormat="1" ht="16.5" customHeight="1">
      <c r="A4"/>
      <c r="B4" s="5" t="s">
        <v>2</v>
      </c>
      <c r="C4" s="6" t="s">
        <v>3</v>
      </c>
      <c r="D4" s="7"/>
      <c r="E4" s="8"/>
      <c r="F4" s="4"/>
      <c r="G4"/>
      <c r="H4"/>
    </row>
    <row r="5" spans="1:8" s="1" customFormat="1" ht="13.25" customHeight="1" thickBot="1">
      <c r="A5" s="9"/>
      <c r="B5" s="1272"/>
      <c r="C5" s="1272"/>
      <c r="D5" s="1272"/>
      <c r="E5" s="1272"/>
      <c r="F5" s="1272"/>
      <c r="G5"/>
      <c r="H5"/>
    </row>
    <row r="6" spans="1:8" s="12" customFormat="1" ht="51.5" customHeight="1" thickBot="1">
      <c r="A6" s="10"/>
      <c r="B6" s="1273" t="s">
        <v>4</v>
      </c>
      <c r="C6" s="1273"/>
      <c r="D6" s="1273"/>
      <c r="E6" s="11">
        <v>2022</v>
      </c>
      <c r="F6" s="11">
        <v>2023</v>
      </c>
      <c r="G6" s="11">
        <v>2024</v>
      </c>
    </row>
    <row r="7" spans="1:8" s="12" customFormat="1" ht="20" customHeight="1">
      <c r="A7" s="13"/>
      <c r="B7" s="1274" t="s">
        <v>5</v>
      </c>
      <c r="C7" s="1274"/>
      <c r="D7" s="1274"/>
      <c r="E7" s="14"/>
      <c r="F7" s="14"/>
    </row>
    <row r="8" spans="1:8" s="12" customFormat="1" ht="20" customHeight="1">
      <c r="A8" s="13"/>
      <c r="B8" s="1275" t="s">
        <v>6</v>
      </c>
      <c r="C8" s="1275"/>
      <c r="D8" s="1275"/>
      <c r="E8" s="14"/>
      <c r="F8" s="14"/>
    </row>
    <row r="9" spans="1:8" s="16" customFormat="1" ht="15.25" customHeight="1">
      <c r="B9" s="1270"/>
      <c r="C9" s="1270"/>
      <c r="D9" s="1270"/>
      <c r="E9" s="1270"/>
      <c r="F9" s="1270"/>
    </row>
    <row r="10" spans="1:8" s="16" customFormat="1" ht="31.25" customHeight="1">
      <c r="B10" s="1271" t="s">
        <v>7</v>
      </c>
      <c r="C10" s="1271"/>
      <c r="D10" s="1271"/>
      <c r="E10" s="19">
        <v>1513157</v>
      </c>
      <c r="F10" s="19">
        <v>1416605</v>
      </c>
      <c r="G10" s="19">
        <v>1544214</v>
      </c>
    </row>
    <row r="11" spans="1:8" s="16" customFormat="1" ht="20.25" customHeight="1">
      <c r="B11" s="1260" t="s">
        <v>8</v>
      </c>
      <c r="C11" s="1260"/>
      <c r="D11" s="1260"/>
      <c r="E11" s="20">
        <v>109549</v>
      </c>
      <c r="F11" s="20">
        <v>116084</v>
      </c>
      <c r="G11" s="20">
        <v>148449</v>
      </c>
    </row>
    <row r="12" spans="1:8" s="16" customFormat="1" ht="20.25" customHeight="1">
      <c r="B12" s="1260" t="s">
        <v>9</v>
      </c>
      <c r="C12" s="1260"/>
      <c r="D12" s="1260"/>
      <c r="E12" s="20">
        <v>131117</v>
      </c>
      <c r="F12" s="20">
        <v>95328</v>
      </c>
      <c r="G12" s="20">
        <v>122801</v>
      </c>
    </row>
    <row r="13" spans="1:8" s="16" customFormat="1" ht="20.25" customHeight="1">
      <c r="B13" s="1260" t="s">
        <v>10</v>
      </c>
      <c r="C13" s="1260"/>
      <c r="D13" s="1260"/>
      <c r="E13" s="20">
        <v>323862</v>
      </c>
      <c r="F13" s="20">
        <v>315608</v>
      </c>
      <c r="G13" s="20">
        <v>362757</v>
      </c>
    </row>
    <row r="14" spans="1:8" s="16" customFormat="1" ht="20.25" customHeight="1">
      <c r="B14" s="1260" t="s">
        <v>11</v>
      </c>
      <c r="C14" s="1260"/>
      <c r="D14" s="1260"/>
      <c r="E14" s="20">
        <v>71067</v>
      </c>
      <c r="F14" s="20">
        <v>57537</v>
      </c>
      <c r="G14" s="20">
        <v>55538</v>
      </c>
    </row>
    <row r="15" spans="1:8" s="16" customFormat="1" ht="20.25" customHeight="1">
      <c r="B15" s="1260" t="s">
        <v>12</v>
      </c>
      <c r="C15" s="1260"/>
      <c r="D15" s="1260"/>
      <c r="E15" s="20">
        <v>860497</v>
      </c>
      <c r="F15" s="20">
        <v>816292</v>
      </c>
      <c r="G15" s="20">
        <v>837586</v>
      </c>
    </row>
    <row r="16" spans="1:8" s="16" customFormat="1" ht="20.25" customHeight="1">
      <c r="B16" s="1260" t="s">
        <v>13</v>
      </c>
      <c r="C16" s="1260"/>
      <c r="D16" s="1260"/>
      <c r="E16" s="20">
        <v>17065</v>
      </c>
      <c r="F16" s="20">
        <v>15755</v>
      </c>
      <c r="G16" s="20">
        <v>17084</v>
      </c>
    </row>
    <row r="17" spans="2:8" s="16" customFormat="1" ht="15.25" customHeight="1">
      <c r="C17" s="21"/>
      <c r="D17" s="22"/>
      <c r="E17" s="23"/>
      <c r="F17" s="24"/>
      <c r="G17" s="23"/>
    </row>
    <row r="18" spans="2:8" s="16" customFormat="1" ht="20" customHeight="1">
      <c r="B18" s="1267" t="s">
        <v>14</v>
      </c>
      <c r="C18" s="1267"/>
      <c r="D18" s="1267"/>
      <c r="E18" s="1268"/>
      <c r="F18" s="1268"/>
      <c r="G18" s="23"/>
    </row>
    <row r="19" spans="2:8" s="16" customFormat="1" ht="20" customHeight="1">
      <c r="B19" s="1263" t="s">
        <v>15</v>
      </c>
      <c r="C19" s="1263"/>
      <c r="D19" s="1263"/>
      <c r="E19" s="1269"/>
      <c r="F19" s="1269"/>
      <c r="G19" s="23"/>
      <c r="H19" s="25"/>
    </row>
    <row r="20" spans="2:8" s="16" customFormat="1" ht="15.75" customHeight="1">
      <c r="B20" s="1270"/>
      <c r="C20" s="1270"/>
      <c r="D20" s="1270"/>
      <c r="E20" s="1270"/>
      <c r="F20" s="1270"/>
    </row>
    <row r="21" spans="2:8" s="16" customFormat="1" ht="27.25" customHeight="1">
      <c r="B21" s="1271" t="s">
        <v>7</v>
      </c>
      <c r="C21" s="1271"/>
      <c r="D21" s="1271"/>
      <c r="E21" s="26">
        <v>4.5</v>
      </c>
      <c r="F21" s="26">
        <v>-6.4</v>
      </c>
      <c r="G21" s="26">
        <v>9</v>
      </c>
    </row>
    <row r="22" spans="2:8" s="16" customFormat="1" ht="20.25" customHeight="1">
      <c r="B22" s="1260" t="s">
        <v>8</v>
      </c>
      <c r="C22" s="1260"/>
      <c r="D22" s="1260"/>
      <c r="E22" s="27">
        <v>0.7</v>
      </c>
      <c r="F22" s="27">
        <v>6</v>
      </c>
      <c r="G22" s="27">
        <v>27.9</v>
      </c>
    </row>
    <row r="23" spans="2:8" s="16" customFormat="1" ht="20.25" customHeight="1">
      <c r="B23" s="1260" t="s">
        <v>9</v>
      </c>
      <c r="C23" s="1260"/>
      <c r="D23" s="1260"/>
      <c r="E23" s="27">
        <v>-2.8</v>
      </c>
      <c r="F23" s="27">
        <v>-27.3</v>
      </c>
      <c r="G23" s="27">
        <v>28.8</v>
      </c>
    </row>
    <row r="24" spans="2:8" s="16" customFormat="1" ht="20.25" customHeight="1">
      <c r="B24" s="1260" t="s">
        <v>10</v>
      </c>
      <c r="C24" s="1260"/>
      <c r="D24" s="1260"/>
      <c r="E24" s="27">
        <v>3.9</v>
      </c>
      <c r="F24" s="27">
        <v>-2.5</v>
      </c>
      <c r="G24" s="27">
        <v>14.9</v>
      </c>
    </row>
    <row r="25" spans="2:8" s="16" customFormat="1" ht="20.25" customHeight="1">
      <c r="B25" s="1260" t="s">
        <v>11</v>
      </c>
      <c r="C25" s="1260"/>
      <c r="D25" s="1260"/>
      <c r="E25" s="27">
        <v>1.5</v>
      </c>
      <c r="F25" s="27">
        <v>-19</v>
      </c>
      <c r="G25" s="27">
        <v>-3.5</v>
      </c>
    </row>
    <row r="26" spans="2:8" s="16" customFormat="1" ht="20.25" customHeight="1">
      <c r="B26" s="1260" t="s">
        <v>12</v>
      </c>
      <c r="C26" s="1260"/>
      <c r="D26" s="1260"/>
      <c r="E26" s="27">
        <v>6.9</v>
      </c>
      <c r="F26" s="27">
        <v>-5.0999999999999996</v>
      </c>
      <c r="G26" s="27">
        <v>2.6</v>
      </c>
    </row>
    <row r="27" spans="2:8" s="16" customFormat="1" ht="20.25" customHeight="1">
      <c r="B27" s="1260" t="s">
        <v>13</v>
      </c>
      <c r="C27" s="1260"/>
      <c r="D27" s="1260"/>
      <c r="E27" s="27">
        <v>-2.2000000000000002</v>
      </c>
      <c r="F27" s="27">
        <v>-7.7</v>
      </c>
      <c r="G27" s="27">
        <v>8.4</v>
      </c>
    </row>
    <row r="28" spans="2:8" s="16" customFormat="1" ht="15.25" customHeight="1">
      <c r="B28" s="28"/>
      <c r="C28" s="29"/>
      <c r="D28" s="30"/>
      <c r="E28" s="30"/>
      <c r="F28" s="30"/>
      <c r="H28" s="25"/>
    </row>
    <row r="29" spans="2:8" s="12" customFormat="1" ht="14.75" customHeight="1">
      <c r="B29" s="31" t="s">
        <v>16</v>
      </c>
      <c r="C29" s="32"/>
      <c r="D29" s="33"/>
      <c r="E29" s="1265"/>
      <c r="F29" s="1265"/>
    </row>
    <row r="30" spans="2:8" s="12" customFormat="1" ht="14.75" customHeight="1">
      <c r="B30" s="34" t="s">
        <v>17</v>
      </c>
      <c r="C30" s="33"/>
      <c r="D30" s="35"/>
      <c r="E30" s="1266"/>
      <c r="F30" s="1266"/>
      <c r="H30" s="36"/>
    </row>
    <row r="31" spans="2:8" s="16" customFormat="1" ht="17.25" customHeight="1">
      <c r="C31" s="37"/>
      <c r="D31" s="37"/>
      <c r="E31" s="37"/>
      <c r="F31" s="17"/>
    </row>
    <row r="32" spans="2:8" s="16" customFormat="1" ht="27.25" customHeight="1">
      <c r="B32" s="1264" t="s">
        <v>18</v>
      </c>
      <c r="C32" s="1264"/>
      <c r="D32" s="1264"/>
      <c r="E32" s="19">
        <v>1513157</v>
      </c>
      <c r="F32" s="19">
        <v>1416605</v>
      </c>
      <c r="G32" s="19">
        <v>1544214</v>
      </c>
    </row>
    <row r="33" spans="2:7" s="16" customFormat="1" ht="27.25" customHeight="1">
      <c r="B33" s="1260" t="s">
        <v>19</v>
      </c>
      <c r="C33" s="1260"/>
      <c r="D33" s="1260"/>
      <c r="E33" s="38">
        <v>904158</v>
      </c>
      <c r="F33" s="38">
        <v>861758</v>
      </c>
      <c r="G33" s="38">
        <v>893627</v>
      </c>
    </row>
    <row r="34" spans="2:7" s="16" customFormat="1" ht="27.25" customHeight="1">
      <c r="B34" s="1261" t="s">
        <v>20</v>
      </c>
      <c r="C34" s="1261"/>
      <c r="D34" s="1261"/>
      <c r="E34" s="38">
        <v>176710</v>
      </c>
      <c r="F34" s="38">
        <v>184043</v>
      </c>
      <c r="G34" s="38">
        <v>197525</v>
      </c>
    </row>
    <row r="35" spans="2:7" s="16" customFormat="1" ht="27.25" customHeight="1">
      <c r="B35" s="1261" t="s">
        <v>21</v>
      </c>
      <c r="C35" s="1261"/>
      <c r="D35" s="1261"/>
      <c r="E35" s="38">
        <v>347022</v>
      </c>
      <c r="F35" s="38">
        <v>296558</v>
      </c>
      <c r="G35" s="38">
        <v>297916</v>
      </c>
    </row>
    <row r="36" spans="2:7" s="16" customFormat="1" ht="27.25" customHeight="1">
      <c r="B36" s="1261" t="s">
        <v>22</v>
      </c>
      <c r="C36" s="1261"/>
      <c r="D36" s="1261"/>
      <c r="E36" s="38">
        <v>-28596</v>
      </c>
      <c r="F36" s="38">
        <v>-17016</v>
      </c>
      <c r="G36" s="38">
        <v>45995</v>
      </c>
    </row>
    <row r="37" spans="2:7" s="16" customFormat="1" ht="27.25" customHeight="1">
      <c r="B37" s="1261" t="s">
        <v>23</v>
      </c>
      <c r="C37" s="1261"/>
      <c r="D37" s="1261"/>
      <c r="E37" s="38">
        <v>987481</v>
      </c>
      <c r="F37" s="38">
        <v>870272</v>
      </c>
      <c r="G37" s="38">
        <v>1063934</v>
      </c>
    </row>
    <row r="38" spans="2:7" s="16" customFormat="1" ht="27.25" customHeight="1">
      <c r="B38" s="1261" t="s">
        <v>24</v>
      </c>
      <c r="C38" s="1261"/>
      <c r="D38" s="1261"/>
      <c r="E38" s="38">
        <v>873618</v>
      </c>
      <c r="F38" s="38">
        <v>779011</v>
      </c>
      <c r="G38" s="38">
        <v>954783</v>
      </c>
    </row>
    <row r="39" spans="2:7" s="16" customFormat="1" ht="17.75" customHeight="1">
      <c r="B39" s="39"/>
      <c r="C39" s="29"/>
      <c r="D39" s="30"/>
      <c r="E39" s="30"/>
      <c r="F39" s="30"/>
    </row>
    <row r="40" spans="2:7" s="16" customFormat="1" ht="27.75" customHeight="1">
      <c r="B40" s="1262" t="s">
        <v>25</v>
      </c>
      <c r="C40" s="1262"/>
      <c r="D40" s="1262"/>
      <c r="E40" s="30"/>
      <c r="F40" s="30"/>
    </row>
    <row r="41" spans="2:7" s="16" customFormat="1" ht="27.75" customHeight="1">
      <c r="B41" s="1263" t="s">
        <v>26</v>
      </c>
      <c r="C41" s="1263"/>
      <c r="D41" s="1263"/>
      <c r="E41" s="30"/>
      <c r="F41" s="30"/>
    </row>
    <row r="42" spans="2:7" s="16" customFormat="1" ht="12.75" customHeight="1">
      <c r="C42" s="8"/>
      <c r="D42" s="8"/>
      <c r="E42" s="37"/>
      <c r="F42" s="40"/>
    </row>
    <row r="43" spans="2:7" s="16" customFormat="1" ht="27.25" customHeight="1">
      <c r="B43" s="1264" t="s">
        <v>27</v>
      </c>
      <c r="C43" s="1264"/>
      <c r="D43" s="1264"/>
      <c r="E43" s="26">
        <v>4.5</v>
      </c>
      <c r="F43" s="26">
        <v>-6.4</v>
      </c>
      <c r="G43" s="26">
        <v>9</v>
      </c>
    </row>
    <row r="44" spans="2:7" s="16" customFormat="1" ht="27.25" customHeight="1">
      <c r="B44" s="1260" t="s">
        <v>19</v>
      </c>
      <c r="C44" s="1260"/>
      <c r="D44" s="1260"/>
      <c r="E44" s="27">
        <v>8.8000000000000007</v>
      </c>
      <c r="F44" s="27">
        <v>-4.7</v>
      </c>
      <c r="G44" s="27">
        <v>3.7</v>
      </c>
    </row>
    <row r="45" spans="2:7" s="16" customFormat="1" ht="27.25" customHeight="1">
      <c r="B45" s="1261" t="s">
        <v>28</v>
      </c>
      <c r="C45" s="1261"/>
      <c r="D45" s="1261"/>
      <c r="E45" s="27">
        <v>2</v>
      </c>
      <c r="F45" s="27">
        <v>4.2</v>
      </c>
      <c r="G45" s="27">
        <v>7.3</v>
      </c>
    </row>
    <row r="46" spans="2:7" s="16" customFormat="1" ht="27.25" customHeight="1">
      <c r="B46" s="1261" t="s">
        <v>21</v>
      </c>
      <c r="C46" s="1261"/>
      <c r="D46" s="1261"/>
      <c r="E46" s="27">
        <v>-1</v>
      </c>
      <c r="F46" s="27">
        <v>-14.5</v>
      </c>
      <c r="G46" s="27">
        <v>0.5</v>
      </c>
    </row>
    <row r="47" spans="2:7" s="16" customFormat="1" ht="27.25" customHeight="1">
      <c r="B47" s="1261" t="s">
        <v>22</v>
      </c>
      <c r="C47" s="1261"/>
      <c r="D47" s="1261"/>
      <c r="E47" s="27" t="s">
        <v>29</v>
      </c>
      <c r="F47" s="27" t="s">
        <v>29</v>
      </c>
      <c r="G47" s="27" t="s">
        <v>29</v>
      </c>
    </row>
    <row r="48" spans="2:7" s="16" customFormat="1" ht="27.25" customHeight="1">
      <c r="B48" s="1261" t="s">
        <v>30</v>
      </c>
      <c r="C48" s="1261"/>
      <c r="D48" s="1261"/>
      <c r="E48" s="27">
        <v>-0.5</v>
      </c>
      <c r="F48" s="27">
        <v>-11.9</v>
      </c>
      <c r="G48" s="27">
        <v>22.3</v>
      </c>
    </row>
    <row r="49" spans="1:13" s="16" customFormat="1" ht="27.25" customHeight="1">
      <c r="B49" s="1261" t="s">
        <v>31</v>
      </c>
      <c r="C49" s="1261"/>
      <c r="D49" s="1261"/>
      <c r="E49" s="27">
        <v>-2.4</v>
      </c>
      <c r="F49" s="27">
        <v>-10.8</v>
      </c>
      <c r="G49" s="27">
        <v>22.6</v>
      </c>
    </row>
    <row r="50" spans="1:13" s="42" customFormat="1" ht="8.25" customHeight="1" thickBot="1">
      <c r="A50" s="41"/>
      <c r="B50" s="41"/>
      <c r="C50" s="41"/>
      <c r="D50" s="41"/>
      <c r="E50" s="41"/>
      <c r="F50" s="41"/>
      <c r="G50" s="41"/>
      <c r="H50" s="16"/>
    </row>
    <row r="51" spans="1:13" s="42" customFormat="1" thickTop="1">
      <c r="G51" s="43" t="s">
        <v>32</v>
      </c>
      <c r="H51" s="16"/>
    </row>
    <row r="52" spans="1:13" s="42" customFormat="1" ht="14">
      <c r="G52" s="44" t="s">
        <v>33</v>
      </c>
      <c r="H52" s="16"/>
    </row>
    <row r="53" spans="1:13" s="42" customFormat="1" ht="15.25" customHeight="1">
      <c r="A53" s="45"/>
      <c r="B53" s="46" t="s">
        <v>34</v>
      </c>
      <c r="D53" s="47"/>
      <c r="E53" s="48"/>
      <c r="F53" s="49"/>
      <c r="H53" s="16"/>
      <c r="I53" s="50"/>
      <c r="J53" s="50"/>
      <c r="K53" s="50"/>
      <c r="L53" s="50"/>
      <c r="M53" s="50"/>
    </row>
    <row r="54" spans="1:13" s="42" customFormat="1" ht="15.25" customHeight="1">
      <c r="A54" s="51" t="s">
        <v>35</v>
      </c>
      <c r="B54" s="46" t="s">
        <v>36</v>
      </c>
      <c r="D54" s="47"/>
      <c r="E54" s="47"/>
      <c r="F54" s="49"/>
      <c r="I54" s="50"/>
      <c r="J54" s="50"/>
      <c r="K54" s="50"/>
      <c r="L54" s="50"/>
      <c r="M54" s="50"/>
    </row>
    <row r="55" spans="1:13" s="42" customFormat="1" ht="15.25" customHeight="1">
      <c r="A55" s="51"/>
      <c r="B55" s="52" t="s">
        <v>37</v>
      </c>
      <c r="D55" s="47"/>
      <c r="E55" s="47"/>
      <c r="F55" s="49"/>
      <c r="I55" s="50"/>
      <c r="J55" s="50"/>
      <c r="K55" s="50"/>
      <c r="L55" s="50"/>
      <c r="M55" s="50"/>
    </row>
    <row r="56" spans="1:13" s="54" customFormat="1" ht="14">
      <c r="A56" s="51" t="s">
        <v>38</v>
      </c>
      <c r="B56" s="53" t="s">
        <v>39</v>
      </c>
    </row>
    <row r="57" spans="1:13" s="54" customFormat="1" ht="14">
      <c r="B57" s="55" t="s">
        <v>40</v>
      </c>
    </row>
  </sheetData>
  <mergeCells count="42">
    <mergeCell ref="B10:D10"/>
    <mergeCell ref="B5:F5"/>
    <mergeCell ref="B6:D6"/>
    <mergeCell ref="B7:D7"/>
    <mergeCell ref="B8:D8"/>
    <mergeCell ref="B9:F9"/>
    <mergeCell ref="B21:D21"/>
    <mergeCell ref="B11:D11"/>
    <mergeCell ref="B12:D12"/>
    <mergeCell ref="B13:D13"/>
    <mergeCell ref="B14:D14"/>
    <mergeCell ref="B15:D15"/>
    <mergeCell ref="B16:D16"/>
    <mergeCell ref="B18:D18"/>
    <mergeCell ref="E18:F18"/>
    <mergeCell ref="B19:D19"/>
    <mergeCell ref="E19:F19"/>
    <mergeCell ref="B20:F20"/>
    <mergeCell ref="B35:D35"/>
    <mergeCell ref="B22:D22"/>
    <mergeCell ref="B23:D23"/>
    <mergeCell ref="B24:D24"/>
    <mergeCell ref="B25:D25"/>
    <mergeCell ref="B26:D26"/>
    <mergeCell ref="B27:D27"/>
    <mergeCell ref="E29:F29"/>
    <mergeCell ref="E30:F30"/>
    <mergeCell ref="B32:D32"/>
    <mergeCell ref="B33:D33"/>
    <mergeCell ref="B34:D34"/>
    <mergeCell ref="B49:D49"/>
    <mergeCell ref="B36:D36"/>
    <mergeCell ref="B37:D37"/>
    <mergeCell ref="B38:D38"/>
    <mergeCell ref="B40:D40"/>
    <mergeCell ref="B41:D41"/>
    <mergeCell ref="B43:D43"/>
    <mergeCell ref="B44:D44"/>
    <mergeCell ref="B45:D45"/>
    <mergeCell ref="B46:D46"/>
    <mergeCell ref="B47:D47"/>
    <mergeCell ref="B48:D48"/>
  </mergeCells>
  <conditionalFormatting sqref="C28 C39">
    <cfRule type="cellIs" dxfId="53" priority="2" stopIfTrue="1" operator="lessThan">
      <formula>0</formula>
    </cfRule>
  </conditionalFormatting>
  <conditionalFormatting sqref="C30">
    <cfRule type="cellIs" dxfId="52" priority="1" stopIfTrue="1" operator="lessThan">
      <formula>0</formula>
    </cfRule>
  </conditionalFormatting>
  <pageMargins left="0.55118110236220474" right="0.55118110236220474" top="0.55118110236220474" bottom="0.55118110236220474" header="0.31496062992125984" footer="0.31496062992125984"/>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0DBE-CB5E-4C7F-9680-F391F49E5684}">
  <sheetPr codeName="Sheet28">
    <pageSetUpPr fitToPage="1"/>
  </sheetPr>
  <dimension ref="A1:N58"/>
  <sheetViews>
    <sheetView view="pageBreakPreview" zoomScale="90" zoomScaleNormal="100" zoomScaleSheetLayoutView="90" workbookViewId="0">
      <selection activeCell="D60" sqref="D60"/>
    </sheetView>
  </sheetViews>
  <sheetFormatPr baseColWidth="10" defaultColWidth="8.83203125" defaultRowHeight="15"/>
  <cols>
    <col min="1" max="1" width="3.33203125" customWidth="1"/>
    <col min="3" max="3" width="24.6640625" customWidth="1"/>
    <col min="4" max="4" width="55.5" customWidth="1"/>
    <col min="5" max="5" width="3" customWidth="1"/>
    <col min="6" max="6" width="13.33203125" customWidth="1"/>
    <col min="7" max="7" width="14.5" customWidth="1"/>
    <col min="8" max="8" width="14.33203125" customWidth="1"/>
  </cols>
  <sheetData>
    <row r="1" spans="1:14" s="1" customFormat="1" ht="8.25" customHeight="1">
      <c r="J1" s="56"/>
      <c r="K1" s="56"/>
      <c r="L1" s="56"/>
      <c r="M1" s="56"/>
      <c r="N1" s="56"/>
    </row>
    <row r="2" spans="1:14" s="1" customFormat="1" ht="8.25" customHeight="1">
      <c r="J2" s="57"/>
      <c r="K2" s="57"/>
      <c r="L2" s="57"/>
      <c r="M2" s="57"/>
      <c r="N2" s="57"/>
    </row>
    <row r="3" spans="1:14" s="1" customFormat="1" ht="16.5" customHeight="1">
      <c r="B3" s="2" t="s">
        <v>0</v>
      </c>
      <c r="C3" s="3" t="s">
        <v>41</v>
      </c>
      <c r="G3" s="4"/>
      <c r="J3" s="58"/>
      <c r="K3" s="58"/>
      <c r="L3" s="58"/>
      <c r="M3" s="58"/>
      <c r="N3" s="58"/>
    </row>
    <row r="4" spans="1:14" s="1" customFormat="1" ht="16.5" customHeight="1">
      <c r="B4" s="5" t="s">
        <v>2</v>
      </c>
      <c r="C4" s="6" t="s">
        <v>42</v>
      </c>
      <c r="D4" s="7"/>
      <c r="E4" s="8"/>
      <c r="F4" s="8"/>
      <c r="G4" s="4"/>
    </row>
    <row r="5" spans="1:14" s="1" customFormat="1" ht="13.25" customHeight="1" thickBot="1">
      <c r="A5" s="9"/>
      <c r="B5" s="1272"/>
      <c r="C5" s="1272"/>
      <c r="D5" s="1272"/>
      <c r="E5" s="1272"/>
      <c r="F5" s="1272"/>
      <c r="G5" s="1272"/>
      <c r="J5" s="1276"/>
      <c r="K5" s="1276"/>
      <c r="L5" s="1276"/>
      <c r="M5" s="1276"/>
      <c r="N5" s="1276"/>
    </row>
    <row r="6" spans="1:14" s="12" customFormat="1" ht="43.25" customHeight="1" thickBot="1">
      <c r="A6" s="10"/>
      <c r="B6" s="1273" t="s">
        <v>4</v>
      </c>
      <c r="C6" s="1273"/>
      <c r="D6" s="1273"/>
      <c r="E6" s="11"/>
      <c r="F6" s="11">
        <v>2022</v>
      </c>
      <c r="G6" s="11">
        <v>2023</v>
      </c>
      <c r="H6" s="11">
        <v>2024</v>
      </c>
      <c r="J6" s="1277"/>
      <c r="K6" s="1277"/>
      <c r="L6" s="1277"/>
      <c r="M6" s="1277"/>
      <c r="N6" s="1277"/>
    </row>
    <row r="7" spans="1:14" s="12" customFormat="1" ht="22.5" customHeight="1">
      <c r="A7" s="13"/>
      <c r="B7" s="1280" t="s">
        <v>43</v>
      </c>
      <c r="C7" s="1280"/>
      <c r="D7" s="1280"/>
      <c r="E7" s="14"/>
      <c r="F7" s="14"/>
      <c r="G7" s="14"/>
      <c r="J7" s="59"/>
      <c r="K7" s="59"/>
      <c r="L7" s="59"/>
      <c r="M7" s="59"/>
      <c r="N7" s="59"/>
    </row>
    <row r="8" spans="1:14" s="62" customFormat="1" ht="22.5" customHeight="1">
      <c r="A8" s="60"/>
      <c r="B8" s="1281" t="s">
        <v>44</v>
      </c>
      <c r="C8" s="1281"/>
      <c r="D8" s="1281"/>
      <c r="E8" s="61"/>
      <c r="F8" s="61"/>
      <c r="G8" s="61"/>
      <c r="J8" s="63"/>
      <c r="K8" s="63"/>
      <c r="L8" s="63"/>
      <c r="M8" s="63"/>
      <c r="N8" s="63"/>
    </row>
    <row r="9" spans="1:14" s="16" customFormat="1" ht="15.25" customHeight="1">
      <c r="B9" s="1270"/>
      <c r="C9" s="1270"/>
      <c r="D9" s="1270"/>
      <c r="E9" s="1270"/>
      <c r="F9" s="1270"/>
      <c r="G9" s="1270"/>
      <c r="J9" s="64"/>
      <c r="K9" s="64"/>
      <c r="L9" s="64"/>
      <c r="M9" s="64"/>
      <c r="N9" s="64"/>
    </row>
    <row r="10" spans="1:14" s="16" customFormat="1" ht="27.25" customHeight="1">
      <c r="B10" s="1271" t="s">
        <v>7</v>
      </c>
      <c r="C10" s="1271"/>
      <c r="D10" s="1271"/>
      <c r="E10" s="19"/>
      <c r="F10" s="19">
        <v>1424310</v>
      </c>
      <c r="G10" s="19">
        <v>1343880</v>
      </c>
      <c r="H10" s="19">
        <v>1385978</v>
      </c>
      <c r="J10" s="64"/>
      <c r="K10" s="64"/>
      <c r="L10" s="64"/>
      <c r="M10" s="64"/>
      <c r="N10" s="64"/>
    </row>
    <row r="11" spans="1:14" s="16" customFormat="1" ht="20.25" customHeight="1">
      <c r="B11" s="1260" t="s">
        <v>8</v>
      </c>
      <c r="C11" s="1260"/>
      <c r="D11" s="1260"/>
      <c r="E11" s="65"/>
      <c r="F11" s="38">
        <v>101580</v>
      </c>
      <c r="G11" s="38">
        <v>99367</v>
      </c>
      <c r="H11" s="38">
        <v>99186</v>
      </c>
      <c r="J11" s="64"/>
      <c r="K11" s="64"/>
      <c r="L11" s="64"/>
      <c r="M11" s="64"/>
      <c r="N11" s="64"/>
    </row>
    <row r="12" spans="1:14" s="16" customFormat="1" ht="20.25" customHeight="1">
      <c r="B12" s="1260" t="s">
        <v>9</v>
      </c>
      <c r="C12" s="1260"/>
      <c r="D12" s="1260"/>
      <c r="E12" s="65"/>
      <c r="F12" s="38">
        <v>102897</v>
      </c>
      <c r="G12" s="38">
        <v>91993</v>
      </c>
      <c r="H12" s="38">
        <v>92654</v>
      </c>
      <c r="J12" s="64"/>
      <c r="K12" s="64"/>
      <c r="L12" s="64"/>
      <c r="M12" s="64"/>
      <c r="N12" s="64"/>
    </row>
    <row r="13" spans="1:14" s="16" customFormat="1" ht="20.25" customHeight="1">
      <c r="B13" s="1260" t="s">
        <v>10</v>
      </c>
      <c r="C13" s="1260"/>
      <c r="D13" s="1260"/>
      <c r="E13" s="65"/>
      <c r="F13" s="38">
        <v>316283</v>
      </c>
      <c r="G13" s="38">
        <v>307924</v>
      </c>
      <c r="H13" s="38">
        <v>337295</v>
      </c>
      <c r="J13" s="64"/>
      <c r="K13" s="64"/>
      <c r="L13" s="64"/>
      <c r="M13" s="64"/>
      <c r="N13" s="64"/>
    </row>
    <row r="14" spans="1:14" s="16" customFormat="1" ht="20.25" customHeight="1">
      <c r="B14" s="1260" t="s">
        <v>11</v>
      </c>
      <c r="C14" s="1260"/>
      <c r="D14" s="1260"/>
      <c r="E14" s="65"/>
      <c r="F14" s="38">
        <v>66453</v>
      </c>
      <c r="G14" s="38">
        <v>53556</v>
      </c>
      <c r="H14" s="38">
        <v>50767</v>
      </c>
      <c r="J14" s="56"/>
      <c r="K14" s="56"/>
      <c r="L14" s="56"/>
      <c r="M14" s="56"/>
      <c r="N14" s="56"/>
    </row>
    <row r="15" spans="1:14" s="16" customFormat="1" ht="20.25" customHeight="1">
      <c r="B15" s="1260" t="s">
        <v>12</v>
      </c>
      <c r="C15" s="1260"/>
      <c r="D15" s="1260"/>
      <c r="E15" s="65"/>
      <c r="F15" s="38">
        <v>820857</v>
      </c>
      <c r="G15" s="38">
        <v>775717</v>
      </c>
      <c r="H15" s="38">
        <v>790421</v>
      </c>
      <c r="J15" s="57"/>
      <c r="K15" s="57"/>
      <c r="L15" s="57"/>
      <c r="M15" s="57"/>
      <c r="N15" s="57"/>
    </row>
    <row r="16" spans="1:14" s="16" customFormat="1" ht="20.25" customHeight="1">
      <c r="B16" s="1260" t="s">
        <v>13</v>
      </c>
      <c r="C16" s="1260"/>
      <c r="D16" s="1260"/>
      <c r="E16" s="65"/>
      <c r="F16" s="38">
        <v>16240</v>
      </c>
      <c r="G16" s="38">
        <v>15324</v>
      </c>
      <c r="H16" s="38">
        <v>15656</v>
      </c>
      <c r="J16" s="58"/>
      <c r="K16" s="58"/>
      <c r="L16" s="58"/>
      <c r="M16" s="58"/>
      <c r="N16" s="58"/>
    </row>
    <row r="17" spans="2:14" s="16" customFormat="1" ht="15.25" customHeight="1">
      <c r="C17" s="21"/>
      <c r="D17" s="22"/>
      <c r="E17" s="22"/>
      <c r="F17" s="22"/>
      <c r="G17" s="66"/>
    </row>
    <row r="18" spans="2:14" s="16" customFormat="1" ht="28.25" customHeight="1">
      <c r="B18" s="1262" t="s">
        <v>45</v>
      </c>
      <c r="C18" s="1262"/>
      <c r="D18" s="1262"/>
      <c r="E18" s="1265"/>
      <c r="F18" s="1265"/>
      <c r="G18" s="1265"/>
      <c r="J18" s="1276"/>
      <c r="K18" s="1276"/>
      <c r="L18" s="1276"/>
      <c r="M18" s="1276"/>
      <c r="N18" s="1276"/>
    </row>
    <row r="19" spans="2:14" s="16" customFormat="1" ht="17.25" customHeight="1">
      <c r="B19" s="1263" t="s">
        <v>46</v>
      </c>
      <c r="C19" s="1263"/>
      <c r="D19" s="1263"/>
      <c r="E19" s="1279"/>
      <c r="F19" s="1279"/>
      <c r="G19" s="1279"/>
      <c r="I19" s="25"/>
      <c r="J19" s="1277"/>
      <c r="K19" s="1277"/>
      <c r="L19" s="1277"/>
      <c r="M19" s="1277"/>
      <c r="N19" s="1277"/>
    </row>
    <row r="20" spans="2:14" s="16" customFormat="1" ht="15.25" customHeight="1">
      <c r="B20" s="1270"/>
      <c r="C20" s="1270"/>
      <c r="D20" s="1270"/>
      <c r="E20" s="1270"/>
      <c r="F20" s="1270"/>
      <c r="G20" s="1270"/>
      <c r="J20" s="67"/>
      <c r="K20" s="67"/>
      <c r="L20" s="67"/>
      <c r="M20" s="67"/>
      <c r="N20" s="67"/>
    </row>
    <row r="21" spans="2:14" s="16" customFormat="1" ht="27.25" customHeight="1">
      <c r="B21" s="1271" t="s">
        <v>7</v>
      </c>
      <c r="C21" s="1271"/>
      <c r="D21" s="1271"/>
      <c r="E21" s="26"/>
      <c r="F21" s="26">
        <v>4.4000000000000004</v>
      </c>
      <c r="G21" s="26">
        <v>-5.6</v>
      </c>
      <c r="H21" s="26">
        <v>3.1</v>
      </c>
      <c r="J21" s="68"/>
      <c r="K21" s="68"/>
      <c r="L21" s="68"/>
      <c r="M21" s="68"/>
      <c r="N21" s="68"/>
    </row>
    <row r="22" spans="2:14" s="16" customFormat="1" ht="20.25" customHeight="1">
      <c r="B22" s="1260" t="s">
        <v>8</v>
      </c>
      <c r="C22" s="1260"/>
      <c r="D22" s="1260"/>
      <c r="E22" s="69"/>
      <c r="F22" s="27">
        <v>2</v>
      </c>
      <c r="G22" s="27">
        <v>-2.2000000000000002</v>
      </c>
      <c r="H22" s="27">
        <v>-0.2</v>
      </c>
      <c r="J22" s="68"/>
      <c r="K22" s="68"/>
      <c r="L22" s="68"/>
      <c r="M22" s="68"/>
      <c r="N22" s="68"/>
    </row>
    <row r="23" spans="2:14" s="16" customFormat="1" ht="20.25" customHeight="1">
      <c r="B23" s="1260" t="s">
        <v>9</v>
      </c>
      <c r="C23" s="1260"/>
      <c r="D23" s="1260"/>
      <c r="E23" s="69"/>
      <c r="F23" s="27">
        <v>-0.6</v>
      </c>
      <c r="G23" s="27">
        <v>-10.6</v>
      </c>
      <c r="H23" s="27">
        <v>0.7</v>
      </c>
      <c r="J23" s="68"/>
      <c r="K23" s="68"/>
      <c r="L23" s="68"/>
      <c r="M23" s="68"/>
      <c r="N23" s="68"/>
    </row>
    <row r="24" spans="2:14" s="16" customFormat="1" ht="20.25" customHeight="1">
      <c r="B24" s="1260" t="s">
        <v>10</v>
      </c>
      <c r="C24" s="1260"/>
      <c r="D24" s="1260"/>
      <c r="E24" s="69"/>
      <c r="F24" s="27">
        <v>3.8</v>
      </c>
      <c r="G24" s="27">
        <v>-2.6</v>
      </c>
      <c r="H24" s="27">
        <v>9.5</v>
      </c>
      <c r="J24" s="68"/>
      <c r="K24" s="68"/>
      <c r="L24" s="68"/>
      <c r="M24" s="68"/>
      <c r="N24" s="68"/>
    </row>
    <row r="25" spans="2:14" s="16" customFormat="1" ht="20.25" customHeight="1">
      <c r="B25" s="1260" t="s">
        <v>11</v>
      </c>
      <c r="C25" s="1260"/>
      <c r="D25" s="1260"/>
      <c r="E25" s="69"/>
      <c r="F25" s="27">
        <v>0.4</v>
      </c>
      <c r="G25" s="27">
        <v>-19.399999999999999</v>
      </c>
      <c r="H25" s="27">
        <v>-5.2</v>
      </c>
      <c r="J25" s="68"/>
      <c r="K25" s="68"/>
      <c r="L25" s="68"/>
      <c r="M25" s="68"/>
      <c r="N25" s="68"/>
    </row>
    <row r="26" spans="2:14" s="16" customFormat="1" ht="20.25" customHeight="1">
      <c r="B26" s="1260" t="s">
        <v>12</v>
      </c>
      <c r="C26" s="1260"/>
      <c r="D26" s="1260"/>
      <c r="E26" s="69"/>
      <c r="F26" s="27">
        <v>6.2</v>
      </c>
      <c r="G26" s="27">
        <v>-5.5</v>
      </c>
      <c r="H26" s="27">
        <v>1.9</v>
      </c>
      <c r="J26" s="68"/>
      <c r="K26" s="68"/>
      <c r="L26" s="68"/>
      <c r="M26" s="68"/>
      <c r="N26" s="68"/>
    </row>
    <row r="27" spans="2:14" s="16" customFormat="1" ht="20.25" customHeight="1">
      <c r="B27" s="1260" t="s">
        <v>13</v>
      </c>
      <c r="C27" s="1260"/>
      <c r="D27" s="1260"/>
      <c r="E27" s="69"/>
      <c r="F27" s="27">
        <v>-1.8</v>
      </c>
      <c r="G27" s="27">
        <v>-5.6</v>
      </c>
      <c r="H27" s="27">
        <v>2.2000000000000002</v>
      </c>
      <c r="J27" s="57"/>
      <c r="K27" s="57"/>
      <c r="L27" s="57"/>
      <c r="M27" s="57"/>
      <c r="N27" s="57"/>
    </row>
    <row r="28" spans="2:14" s="16" customFormat="1" ht="9" customHeight="1">
      <c r="B28" s="28"/>
      <c r="C28" s="29"/>
      <c r="D28" s="30"/>
      <c r="E28" s="30"/>
      <c r="F28" s="30"/>
      <c r="G28" s="30"/>
      <c r="I28" s="25"/>
      <c r="J28" s="56"/>
      <c r="K28" s="56"/>
      <c r="L28" s="56"/>
      <c r="M28" s="56"/>
      <c r="N28" s="56"/>
    </row>
    <row r="29" spans="2:14" s="16" customFormat="1" ht="14.75" customHeight="1">
      <c r="B29" s="1267" t="s">
        <v>47</v>
      </c>
      <c r="C29" s="1267"/>
      <c r="D29" s="1267"/>
      <c r="E29" s="1265"/>
      <c r="F29" s="1265"/>
      <c r="G29" s="1265"/>
      <c r="J29" s="57"/>
      <c r="K29" s="57"/>
      <c r="L29" s="57"/>
      <c r="M29" s="57"/>
      <c r="N29" s="57"/>
    </row>
    <row r="30" spans="2:14" s="16" customFormat="1" ht="14.75" customHeight="1">
      <c r="B30" s="1278" t="s">
        <v>48</v>
      </c>
      <c r="C30" s="1278"/>
      <c r="D30" s="1278"/>
      <c r="E30" s="1279"/>
      <c r="F30" s="1279"/>
      <c r="G30" s="1279"/>
      <c r="I30" s="25"/>
      <c r="J30" s="58"/>
      <c r="K30" s="70"/>
      <c r="L30" s="70"/>
      <c r="M30" s="58"/>
      <c r="N30" s="58"/>
    </row>
    <row r="31" spans="2:14" s="16" customFormat="1" ht="15.25" customHeight="1">
      <c r="C31" s="37"/>
      <c r="D31" s="37"/>
      <c r="E31" s="37"/>
      <c r="F31" s="37"/>
      <c r="G31" s="17"/>
    </row>
    <row r="32" spans="2:14" s="16" customFormat="1" ht="27.25" customHeight="1">
      <c r="B32" s="1264" t="s">
        <v>49</v>
      </c>
      <c r="C32" s="1264"/>
      <c r="D32" s="1264"/>
      <c r="E32" s="19"/>
      <c r="F32" s="19">
        <v>1424310</v>
      </c>
      <c r="G32" s="19">
        <v>1343880</v>
      </c>
      <c r="H32" s="19">
        <v>1385978</v>
      </c>
      <c r="J32" s="1276"/>
      <c r="K32" s="1276"/>
      <c r="L32" s="1276"/>
      <c r="M32" s="1276"/>
      <c r="N32" s="1276"/>
    </row>
    <row r="33" spans="2:14" s="16" customFormat="1" ht="27.25" customHeight="1">
      <c r="B33" s="1260" t="s">
        <v>19</v>
      </c>
      <c r="C33" s="1260"/>
      <c r="D33" s="1260"/>
      <c r="E33" s="65"/>
      <c r="F33" s="38">
        <v>835711</v>
      </c>
      <c r="G33" s="38">
        <v>799447</v>
      </c>
      <c r="H33" s="38">
        <v>814289</v>
      </c>
      <c r="J33" s="1277"/>
      <c r="K33" s="1277"/>
      <c r="L33" s="1277"/>
      <c r="M33" s="1277"/>
      <c r="N33" s="1277"/>
    </row>
    <row r="34" spans="2:14" s="16" customFormat="1" ht="27.25" customHeight="1">
      <c r="B34" s="1261" t="s">
        <v>50</v>
      </c>
      <c r="C34" s="1261"/>
      <c r="D34" s="1261"/>
      <c r="E34" s="65"/>
      <c r="F34" s="38">
        <v>173080</v>
      </c>
      <c r="G34" s="38">
        <v>179913</v>
      </c>
      <c r="H34" s="38">
        <v>191844</v>
      </c>
      <c r="J34" s="59"/>
      <c r="K34" s="59"/>
      <c r="L34" s="59"/>
      <c r="M34" s="59"/>
      <c r="N34" s="59"/>
    </row>
    <row r="35" spans="2:14" s="16" customFormat="1" ht="27.25" customHeight="1">
      <c r="B35" s="1261" t="s">
        <v>21</v>
      </c>
      <c r="C35" s="1261"/>
      <c r="D35" s="1261"/>
      <c r="E35" s="65"/>
      <c r="F35" s="38">
        <v>328581</v>
      </c>
      <c r="G35" s="38">
        <v>281060</v>
      </c>
      <c r="H35" s="38">
        <v>278516</v>
      </c>
      <c r="J35" s="64"/>
      <c r="K35" s="64"/>
      <c r="L35" s="64"/>
      <c r="M35" s="64"/>
      <c r="N35" s="64"/>
    </row>
    <row r="36" spans="2:14" s="16" customFormat="1" ht="27.25" customHeight="1">
      <c r="B36" s="1261" t="s">
        <v>51</v>
      </c>
      <c r="C36" s="1261"/>
      <c r="D36" s="1261"/>
      <c r="E36" s="65"/>
      <c r="F36" s="38">
        <v>-13987</v>
      </c>
      <c r="G36" s="38">
        <v>-4346</v>
      </c>
      <c r="H36" s="38">
        <v>18631</v>
      </c>
      <c r="J36" s="64"/>
      <c r="K36" s="64"/>
      <c r="L36" s="64"/>
      <c r="M36" s="64"/>
      <c r="N36" s="64"/>
    </row>
    <row r="37" spans="2:14" s="16" customFormat="1" ht="27.25" customHeight="1">
      <c r="B37" s="1261" t="s">
        <v>52</v>
      </c>
      <c r="C37" s="1261"/>
      <c r="D37" s="1261"/>
      <c r="E37" s="65"/>
      <c r="F37" s="38">
        <v>907877</v>
      </c>
      <c r="G37" s="38">
        <v>827086</v>
      </c>
      <c r="H37" s="38">
        <v>958455</v>
      </c>
      <c r="J37" s="64"/>
      <c r="K37" s="64"/>
      <c r="L37" s="64"/>
      <c r="M37" s="64"/>
      <c r="N37" s="64"/>
    </row>
    <row r="38" spans="2:14" s="16" customFormat="1" ht="27.25" customHeight="1">
      <c r="B38" s="1261" t="s">
        <v>24</v>
      </c>
      <c r="C38" s="1261"/>
      <c r="D38" s="1261"/>
      <c r="E38" s="65"/>
      <c r="F38" s="38">
        <v>806952</v>
      </c>
      <c r="G38" s="38">
        <v>739280</v>
      </c>
      <c r="H38" s="38">
        <v>875756</v>
      </c>
      <c r="J38" s="64"/>
      <c r="K38" s="64"/>
      <c r="L38" s="64"/>
      <c r="M38" s="64"/>
      <c r="N38" s="64"/>
    </row>
    <row r="39" spans="2:14" s="16" customFormat="1" ht="12.75" customHeight="1">
      <c r="B39" s="39"/>
      <c r="C39" s="29"/>
      <c r="D39" s="30"/>
      <c r="E39" s="30"/>
      <c r="F39" s="30"/>
      <c r="G39" s="30"/>
      <c r="J39" s="64"/>
      <c r="K39" s="64"/>
      <c r="L39" s="64"/>
      <c r="M39" s="64"/>
      <c r="N39" s="64"/>
    </row>
    <row r="40" spans="2:14" s="16" customFormat="1" ht="9" customHeight="1">
      <c r="B40" s="39"/>
      <c r="C40" s="29"/>
      <c r="D40" s="30"/>
      <c r="E40" s="30"/>
      <c r="F40" s="30"/>
      <c r="G40" s="30"/>
      <c r="J40" s="64"/>
      <c r="K40" s="64"/>
      <c r="L40" s="64"/>
      <c r="M40" s="64"/>
      <c r="N40" s="64"/>
    </row>
    <row r="41" spans="2:14" s="16" customFormat="1" ht="27.75" customHeight="1">
      <c r="B41" s="1262" t="s">
        <v>53</v>
      </c>
      <c r="C41" s="1262"/>
      <c r="D41" s="1262"/>
      <c r="E41" s="30"/>
      <c r="F41" s="30"/>
      <c r="G41" s="30"/>
      <c r="J41" s="56"/>
      <c r="K41" s="56"/>
      <c r="L41" s="56"/>
      <c r="M41" s="56"/>
      <c r="N41" s="56"/>
    </row>
    <row r="42" spans="2:14" s="16" customFormat="1" ht="18.75" customHeight="1">
      <c r="B42" s="1263" t="s">
        <v>54</v>
      </c>
      <c r="C42" s="1263"/>
      <c r="D42" s="1263"/>
      <c r="E42" s="30"/>
      <c r="F42" s="30"/>
      <c r="G42" s="30"/>
      <c r="J42" s="56"/>
      <c r="K42" s="56"/>
      <c r="L42" s="56"/>
      <c r="M42" s="56"/>
      <c r="N42" s="56"/>
    </row>
    <row r="43" spans="2:14" s="16" customFormat="1" ht="12" customHeight="1">
      <c r="C43" s="37"/>
      <c r="D43" s="37"/>
      <c r="E43" s="37"/>
      <c r="F43" s="37"/>
      <c r="G43" s="40"/>
      <c r="J43" s="56"/>
      <c r="K43" s="56"/>
      <c r="L43" s="56"/>
      <c r="M43" s="56"/>
      <c r="N43" s="56"/>
    </row>
    <row r="44" spans="2:14" s="16" customFormat="1" ht="27.25" customHeight="1">
      <c r="B44" s="1264" t="s">
        <v>18</v>
      </c>
      <c r="C44" s="1264"/>
      <c r="D44" s="1264"/>
      <c r="E44" s="26"/>
      <c r="F44" s="26">
        <v>4.4000000000000004</v>
      </c>
      <c r="G44" s="26">
        <v>-5.6</v>
      </c>
      <c r="H44" s="26">
        <v>3.1</v>
      </c>
      <c r="J44" s="57"/>
      <c r="K44" s="57"/>
      <c r="L44" s="57"/>
      <c r="M44" s="57"/>
      <c r="N44" s="57"/>
    </row>
    <row r="45" spans="2:14" s="16" customFormat="1" ht="27.25" customHeight="1">
      <c r="B45" s="1260" t="s">
        <v>19</v>
      </c>
      <c r="C45" s="1260"/>
      <c r="D45" s="1260"/>
      <c r="E45" s="69"/>
      <c r="F45" s="27">
        <v>7.7</v>
      </c>
      <c r="G45" s="27">
        <v>-4.3</v>
      </c>
      <c r="H45" s="27">
        <v>1.9</v>
      </c>
      <c r="J45" s="58"/>
      <c r="K45" s="58"/>
      <c r="L45" s="58"/>
      <c r="M45" s="58"/>
      <c r="N45" s="58"/>
    </row>
    <row r="46" spans="2:14" s="16" customFormat="1" ht="27.25" customHeight="1">
      <c r="B46" s="1261" t="s">
        <v>50</v>
      </c>
      <c r="C46" s="1261"/>
      <c r="D46" s="1261"/>
      <c r="E46" s="69"/>
      <c r="F46" s="27">
        <v>1.8</v>
      </c>
      <c r="G46" s="27">
        <v>3.9</v>
      </c>
      <c r="H46" s="27">
        <v>6.6</v>
      </c>
      <c r="J46" s="71"/>
      <c r="K46" s="71"/>
      <c r="L46" s="71"/>
      <c r="M46" s="71"/>
      <c r="N46" s="72"/>
    </row>
    <row r="47" spans="2:14" s="16" customFormat="1" ht="27.25" customHeight="1">
      <c r="B47" s="1261" t="s">
        <v>21</v>
      </c>
      <c r="C47" s="1261"/>
      <c r="D47" s="1261"/>
      <c r="E47" s="69"/>
      <c r="F47" s="27">
        <v>-2.1</v>
      </c>
      <c r="G47" s="27">
        <v>-14.5</v>
      </c>
      <c r="H47" s="27">
        <v>-0.9</v>
      </c>
      <c r="J47" s="1276"/>
      <c r="K47" s="1276"/>
      <c r="L47" s="1276"/>
      <c r="M47" s="1276"/>
      <c r="N47" s="1276"/>
    </row>
    <row r="48" spans="2:14" s="16" customFormat="1" ht="27.25" customHeight="1">
      <c r="B48" s="1261" t="s">
        <v>51</v>
      </c>
      <c r="C48" s="1261"/>
      <c r="D48" s="1261"/>
      <c r="E48" s="65"/>
      <c r="F48" s="27" t="s">
        <v>29</v>
      </c>
      <c r="G48" s="27" t="s">
        <v>29</v>
      </c>
      <c r="H48" s="27" t="s">
        <v>29</v>
      </c>
      <c r="J48" s="1277"/>
      <c r="K48" s="1277"/>
      <c r="L48" s="1277"/>
      <c r="M48" s="1277"/>
      <c r="N48" s="1277"/>
    </row>
    <row r="49" spans="1:14" s="16" customFormat="1" ht="27.25" customHeight="1">
      <c r="B49" s="1261" t="s">
        <v>52</v>
      </c>
      <c r="C49" s="1261"/>
      <c r="D49" s="1261"/>
      <c r="E49" s="69"/>
      <c r="F49" s="27">
        <v>-1</v>
      </c>
      <c r="G49" s="27">
        <v>-8.9</v>
      </c>
      <c r="H49" s="27">
        <v>15.9</v>
      </c>
      <c r="J49" s="67"/>
      <c r="K49" s="67"/>
      <c r="L49" s="67"/>
      <c r="M49" s="67"/>
      <c r="N49" s="67"/>
    </row>
    <row r="50" spans="1:14" s="16" customFormat="1" ht="27.25" customHeight="1">
      <c r="B50" s="1261" t="s">
        <v>24</v>
      </c>
      <c r="C50" s="1261"/>
      <c r="D50" s="1261"/>
      <c r="E50" s="69"/>
      <c r="F50" s="27">
        <v>-2.4</v>
      </c>
      <c r="G50" s="27">
        <v>-8.4</v>
      </c>
      <c r="H50" s="27">
        <v>18.5</v>
      </c>
      <c r="J50" s="68"/>
      <c r="K50" s="68"/>
      <c r="L50" s="68"/>
      <c r="M50" s="68"/>
      <c r="N50" s="68"/>
    </row>
    <row r="51" spans="1:14" s="42" customFormat="1" ht="8.25" customHeight="1" thickBot="1">
      <c r="A51" s="41"/>
      <c r="B51" s="41"/>
      <c r="C51" s="41"/>
      <c r="D51" s="41"/>
      <c r="E51" s="41"/>
      <c r="F51" s="41"/>
      <c r="G51" s="41"/>
      <c r="H51" s="41"/>
      <c r="I51" s="16"/>
      <c r="J51" s="56"/>
      <c r="K51" s="56"/>
      <c r="L51" s="56"/>
      <c r="M51" s="56"/>
      <c r="N51" s="56"/>
    </row>
    <row r="52" spans="1:14" s="42" customFormat="1" ht="18" thickTop="1">
      <c r="H52" s="43" t="s">
        <v>32</v>
      </c>
      <c r="I52" s="16"/>
      <c r="J52" s="56"/>
      <c r="K52" s="56"/>
      <c r="L52" s="56"/>
      <c r="M52" s="56"/>
      <c r="N52" s="56"/>
    </row>
    <row r="53" spans="1:14" s="42" customFormat="1" ht="17">
      <c r="H53" s="44" t="s">
        <v>33</v>
      </c>
      <c r="I53" s="16"/>
      <c r="J53" s="56"/>
      <c r="K53" s="56"/>
      <c r="L53" s="56"/>
      <c r="M53" s="56"/>
      <c r="N53" s="56"/>
    </row>
    <row r="54" spans="1:14" s="42" customFormat="1" ht="15.25" customHeight="1">
      <c r="A54" s="45"/>
      <c r="B54" s="46" t="s">
        <v>34</v>
      </c>
      <c r="D54" s="47"/>
      <c r="E54" s="48"/>
      <c r="F54" s="49"/>
      <c r="H54" s="16"/>
      <c r="I54" s="50"/>
      <c r="J54" s="50"/>
      <c r="K54" s="50"/>
      <c r="L54" s="50"/>
      <c r="M54" s="50"/>
    </row>
    <row r="55" spans="1:14" s="42" customFormat="1" ht="15.25" customHeight="1">
      <c r="A55" s="51" t="s">
        <v>35</v>
      </c>
      <c r="B55" s="46" t="s">
        <v>36</v>
      </c>
      <c r="D55" s="47"/>
      <c r="E55" s="47"/>
      <c r="F55" s="49"/>
      <c r="I55" s="50"/>
      <c r="J55" s="50"/>
      <c r="K55" s="50"/>
      <c r="L55" s="50"/>
      <c r="M55" s="50"/>
    </row>
    <row r="56" spans="1:14" s="42" customFormat="1" ht="15.25" customHeight="1">
      <c r="A56" s="51"/>
      <c r="B56" s="52" t="s">
        <v>37</v>
      </c>
      <c r="D56" s="47"/>
      <c r="E56" s="47"/>
      <c r="F56" s="49"/>
      <c r="I56" s="50"/>
      <c r="J56" s="50"/>
      <c r="K56" s="50"/>
      <c r="L56" s="50"/>
      <c r="M56" s="50"/>
    </row>
    <row r="57" spans="1:14" s="54" customFormat="1" ht="14">
      <c r="A57" s="51" t="s">
        <v>38</v>
      </c>
      <c r="B57" s="53" t="s">
        <v>39</v>
      </c>
    </row>
    <row r="58" spans="1:14" s="54" customFormat="1" ht="14">
      <c r="B58" s="55" t="s">
        <v>40</v>
      </c>
    </row>
  </sheetData>
  <mergeCells count="64">
    <mergeCell ref="M5:M6"/>
    <mergeCell ref="N5:N6"/>
    <mergeCell ref="B6:D6"/>
    <mergeCell ref="B12:D12"/>
    <mergeCell ref="B5:G5"/>
    <mergeCell ref="J5:J6"/>
    <mergeCell ref="K5:K6"/>
    <mergeCell ref="L5:L6"/>
    <mergeCell ref="B7:D7"/>
    <mergeCell ref="B8:D8"/>
    <mergeCell ref="B9:G9"/>
    <mergeCell ref="B10:D10"/>
    <mergeCell ref="B11:D11"/>
    <mergeCell ref="N18:N19"/>
    <mergeCell ref="B19:D19"/>
    <mergeCell ref="E19:G19"/>
    <mergeCell ref="B13:D13"/>
    <mergeCell ref="B14:D14"/>
    <mergeCell ref="B15:D15"/>
    <mergeCell ref="B16:D16"/>
    <mergeCell ref="B18:D18"/>
    <mergeCell ref="E18:G18"/>
    <mergeCell ref="B25:D25"/>
    <mergeCell ref="J18:J19"/>
    <mergeCell ref="K18:K19"/>
    <mergeCell ref="L18:L19"/>
    <mergeCell ref="M18:M19"/>
    <mergeCell ref="B20:G20"/>
    <mergeCell ref="B21:D21"/>
    <mergeCell ref="B22:D22"/>
    <mergeCell ref="B23:D23"/>
    <mergeCell ref="B24:D24"/>
    <mergeCell ref="M32:M33"/>
    <mergeCell ref="N32:N33"/>
    <mergeCell ref="B33:D33"/>
    <mergeCell ref="B26:D26"/>
    <mergeCell ref="B27:D27"/>
    <mergeCell ref="B29:D29"/>
    <mergeCell ref="E29:G29"/>
    <mergeCell ref="B30:D30"/>
    <mergeCell ref="E30:G30"/>
    <mergeCell ref="B41:D41"/>
    <mergeCell ref="B32:D32"/>
    <mergeCell ref="J32:J33"/>
    <mergeCell ref="K32:K33"/>
    <mergeCell ref="L32:L33"/>
    <mergeCell ref="B34:D34"/>
    <mergeCell ref="B35:D35"/>
    <mergeCell ref="B36:D36"/>
    <mergeCell ref="B37:D37"/>
    <mergeCell ref="B38:D38"/>
    <mergeCell ref="B42:D42"/>
    <mergeCell ref="B44:D44"/>
    <mergeCell ref="B45:D45"/>
    <mergeCell ref="B46:D46"/>
    <mergeCell ref="B47:D47"/>
    <mergeCell ref="B50:D50"/>
    <mergeCell ref="K47:K48"/>
    <mergeCell ref="L47:L48"/>
    <mergeCell ref="M47:M48"/>
    <mergeCell ref="N47:N48"/>
    <mergeCell ref="B48:D48"/>
    <mergeCell ref="B49:D49"/>
    <mergeCell ref="J47:J48"/>
  </mergeCells>
  <conditionalFormatting sqref="C28 C39:C40">
    <cfRule type="cellIs" dxfId="51"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F0C0B-5EF7-46CA-841C-492D7008F963}">
  <sheetPr codeName="Sheet29">
    <pageSetUpPr fitToPage="1"/>
  </sheetPr>
  <dimension ref="A1:N74"/>
  <sheetViews>
    <sheetView view="pageBreakPreview" topLeftCell="A46" zoomScaleNormal="100" zoomScaleSheetLayoutView="100" workbookViewId="0">
      <selection activeCell="D60" sqref="D60"/>
    </sheetView>
  </sheetViews>
  <sheetFormatPr baseColWidth="10" defaultColWidth="8.83203125" defaultRowHeight="15"/>
  <cols>
    <col min="1" max="1" width="3.5" customWidth="1"/>
    <col min="3" max="3" width="22.33203125" customWidth="1"/>
    <col min="4" max="4" width="63.83203125" customWidth="1"/>
    <col min="5" max="5" width="2" customWidth="1"/>
    <col min="6" max="6" width="3" customWidth="1"/>
    <col min="7" max="7" width="10.1640625" customWidth="1"/>
    <col min="8" max="8" width="11.33203125" customWidth="1"/>
    <col min="9" max="9" width="12.6640625" customWidth="1"/>
    <col min="10" max="10" width="10.1640625" customWidth="1"/>
  </cols>
  <sheetData>
    <row r="1" spans="1:14" s="1" customFormat="1" ht="8.25" customHeight="1"/>
    <row r="2" spans="1:14" s="1" customFormat="1" ht="8.25" customHeight="1"/>
    <row r="3" spans="1:14" s="1" customFormat="1" ht="8.25" customHeight="1"/>
    <row r="4" spans="1:14" s="1" customFormat="1" ht="16.5" customHeight="1">
      <c r="B4" s="2" t="s">
        <v>0</v>
      </c>
      <c r="C4" s="3" t="s">
        <v>41</v>
      </c>
      <c r="I4" s="4"/>
    </row>
    <row r="5" spans="1:14" s="1" customFormat="1" ht="16.5" customHeight="1">
      <c r="B5" s="5" t="s">
        <v>2</v>
      </c>
      <c r="C5" s="6" t="s">
        <v>42</v>
      </c>
      <c r="D5" s="7"/>
      <c r="E5" s="7"/>
      <c r="F5" s="8"/>
      <c r="G5" s="8"/>
      <c r="H5" s="8"/>
      <c r="I5" s="4"/>
    </row>
    <row r="6" spans="1:14" s="1" customFormat="1" ht="13.25" customHeight="1" thickBot="1">
      <c r="A6" s="9"/>
      <c r="B6" s="9"/>
      <c r="C6" s="9"/>
      <c r="D6" s="9"/>
      <c r="E6" s="9"/>
      <c r="F6" s="8"/>
      <c r="G6" s="8"/>
      <c r="H6" s="8"/>
      <c r="I6" s="8"/>
    </row>
    <row r="7" spans="1:14" s="12" customFormat="1" ht="43" customHeight="1" thickBot="1">
      <c r="A7" s="10"/>
      <c r="B7" s="1273" t="s">
        <v>4</v>
      </c>
      <c r="C7" s="1273"/>
      <c r="D7" s="1273"/>
      <c r="E7" s="10"/>
      <c r="F7" s="11"/>
      <c r="G7" s="11"/>
      <c r="H7" s="11">
        <v>2022</v>
      </c>
      <c r="I7" s="11">
        <v>2023</v>
      </c>
      <c r="J7" s="11">
        <v>2024</v>
      </c>
    </row>
    <row r="8" spans="1:14" s="12" customFormat="1" ht="16.5" customHeight="1">
      <c r="B8" s="73"/>
      <c r="C8" s="74"/>
      <c r="D8" s="75"/>
      <c r="E8" s="75"/>
      <c r="F8" s="75"/>
      <c r="G8" s="75"/>
      <c r="H8" s="75"/>
      <c r="I8" s="75"/>
    </row>
    <row r="9" spans="1:14" s="16" customFormat="1" ht="15.25" customHeight="1">
      <c r="B9" s="37" t="s">
        <v>55</v>
      </c>
      <c r="D9" s="76"/>
      <c r="E9" s="76"/>
      <c r="F9" s="76"/>
      <c r="G9" s="76"/>
      <c r="H9" s="76">
        <v>1512738</v>
      </c>
      <c r="I9" s="77">
        <v>1418000</v>
      </c>
      <c r="J9" s="77">
        <v>1545372</v>
      </c>
    </row>
    <row r="10" spans="1:14" s="16" customFormat="1" ht="15.25" customHeight="1">
      <c r="B10" s="78" t="s">
        <v>56</v>
      </c>
      <c r="D10" s="22"/>
      <c r="E10" s="22"/>
      <c r="F10" s="22"/>
      <c r="G10" s="22"/>
      <c r="H10" s="22"/>
      <c r="I10" s="79"/>
      <c r="N10" s="80"/>
    </row>
    <row r="11" spans="1:14" s="16" customFormat="1" ht="8.25" customHeight="1">
      <c r="B11" s="81"/>
      <c r="D11" s="22"/>
      <c r="E11" s="22"/>
      <c r="F11" s="22"/>
      <c r="G11" s="22"/>
      <c r="H11" s="22"/>
      <c r="I11" s="79"/>
    </row>
    <row r="12" spans="1:14" s="16" customFormat="1" ht="15.25" customHeight="1">
      <c r="B12" s="28" t="s">
        <v>57</v>
      </c>
      <c r="C12" s="29"/>
      <c r="D12" s="22"/>
      <c r="E12" s="22"/>
      <c r="F12" s="22"/>
      <c r="G12" s="23"/>
      <c r="H12" s="23">
        <v>542658</v>
      </c>
      <c r="I12" s="82">
        <v>526588</v>
      </c>
      <c r="J12" s="82">
        <v>537916</v>
      </c>
    </row>
    <row r="13" spans="1:14" s="16" customFormat="1" ht="15.25" customHeight="1">
      <c r="B13" s="28" t="s">
        <v>58</v>
      </c>
      <c r="C13" s="29"/>
      <c r="D13" s="22"/>
      <c r="E13" s="22"/>
      <c r="F13" s="22"/>
      <c r="G13" s="23"/>
      <c r="H13" s="23">
        <v>914477</v>
      </c>
      <c r="I13" s="82">
        <v>852606</v>
      </c>
      <c r="J13" s="82">
        <v>971736</v>
      </c>
    </row>
    <row r="14" spans="1:14" s="16" customFormat="1" ht="15.25" customHeight="1">
      <c r="B14" s="28" t="s">
        <v>59</v>
      </c>
      <c r="C14" s="29"/>
      <c r="D14" s="23"/>
      <c r="E14" s="23"/>
      <c r="F14" s="23"/>
      <c r="G14" s="23"/>
      <c r="H14" s="23">
        <v>55603</v>
      </c>
      <c r="I14" s="82">
        <v>38807</v>
      </c>
      <c r="J14" s="82">
        <v>35720</v>
      </c>
    </row>
    <row r="15" spans="1:14" s="16" customFormat="1" ht="7.5" customHeight="1">
      <c r="C15" s="21"/>
      <c r="D15" s="23"/>
      <c r="E15" s="23"/>
      <c r="F15" s="23"/>
      <c r="G15" s="23"/>
      <c r="H15" s="23"/>
      <c r="I15" s="83"/>
    </row>
    <row r="16" spans="1:14" s="16" customFormat="1" ht="15.25" customHeight="1">
      <c r="B16" s="37" t="s">
        <v>60</v>
      </c>
      <c r="D16" s="23"/>
      <c r="E16" s="23"/>
      <c r="F16" s="84"/>
      <c r="G16" s="84"/>
      <c r="H16" s="85">
        <v>4.5</v>
      </c>
      <c r="I16" s="85">
        <v>-6.3</v>
      </c>
      <c r="J16" s="75">
        <v>9</v>
      </c>
    </row>
    <row r="17" spans="2:11" s="16" customFormat="1" ht="15.25" customHeight="1">
      <c r="B17" s="78" t="s">
        <v>61</v>
      </c>
      <c r="D17" s="23"/>
      <c r="E17" s="23"/>
      <c r="F17" s="23"/>
      <c r="G17" s="23"/>
      <c r="H17" s="23"/>
      <c r="I17" s="86"/>
    </row>
    <row r="18" spans="2:11" s="16" customFormat="1" ht="7.5" customHeight="1">
      <c r="B18" s="81"/>
      <c r="D18" s="22"/>
      <c r="E18" s="22"/>
      <c r="F18" s="22"/>
      <c r="G18" s="22"/>
      <c r="H18" s="22"/>
      <c r="I18" s="66"/>
    </row>
    <row r="19" spans="2:11" s="16" customFormat="1" ht="15.25" customHeight="1">
      <c r="B19" s="28" t="s">
        <v>57</v>
      </c>
      <c r="C19" s="29"/>
      <c r="D19" s="22"/>
      <c r="E19" s="22"/>
      <c r="F19" s="87"/>
      <c r="G19" s="87"/>
      <c r="H19" s="88">
        <v>4.8</v>
      </c>
      <c r="I19" s="88">
        <v>-3</v>
      </c>
      <c r="J19" s="22">
        <v>2.2000000000000002</v>
      </c>
    </row>
    <row r="20" spans="2:11" s="16" customFormat="1" ht="15.25" customHeight="1">
      <c r="B20" s="28" t="s">
        <v>58</v>
      </c>
      <c r="C20" s="29"/>
      <c r="D20" s="30"/>
      <c r="E20" s="30"/>
      <c r="F20" s="87"/>
      <c r="G20" s="87"/>
      <c r="H20" s="88">
        <v>3.7</v>
      </c>
      <c r="I20" s="88">
        <v>-6.8</v>
      </c>
      <c r="J20" s="22">
        <v>14</v>
      </c>
      <c r="K20" s="25"/>
    </row>
    <row r="21" spans="2:11" s="16" customFormat="1" ht="15.25" customHeight="1">
      <c r="B21" s="28" t="s">
        <v>59</v>
      </c>
      <c r="C21" s="29"/>
      <c r="D21" s="30"/>
      <c r="E21" s="30"/>
      <c r="F21" s="87"/>
      <c r="G21" s="87"/>
      <c r="H21" s="88">
        <v>16.100000000000001</v>
      </c>
      <c r="I21" s="88">
        <v>-30.2</v>
      </c>
      <c r="J21" s="22">
        <v>-8</v>
      </c>
      <c r="K21" s="25"/>
    </row>
    <row r="22" spans="2:11" s="16" customFormat="1" ht="8.25" customHeight="1">
      <c r="B22" s="28"/>
      <c r="C22" s="29"/>
      <c r="D22" s="30"/>
      <c r="E22" s="30"/>
      <c r="F22" s="30"/>
      <c r="G22" s="30"/>
      <c r="H22" s="30"/>
      <c r="I22" s="30"/>
    </row>
    <row r="23" spans="2:11" s="16" customFormat="1" ht="15.25" customHeight="1">
      <c r="B23" s="37" t="s">
        <v>62</v>
      </c>
      <c r="D23" s="30"/>
      <c r="E23" s="30"/>
      <c r="F23" s="84"/>
      <c r="G23" s="84"/>
      <c r="H23" s="85">
        <v>100</v>
      </c>
      <c r="I23" s="85">
        <v>100</v>
      </c>
      <c r="J23" s="85">
        <v>100</v>
      </c>
    </row>
    <row r="24" spans="2:11" s="16" customFormat="1" ht="15.25" customHeight="1">
      <c r="B24" s="78" t="s">
        <v>63</v>
      </c>
      <c r="D24" s="30"/>
      <c r="E24" s="30"/>
      <c r="F24" s="30"/>
      <c r="G24" s="30"/>
      <c r="H24" s="30"/>
      <c r="I24" s="30"/>
    </row>
    <row r="25" spans="2:11" s="16" customFormat="1" ht="8.25" customHeight="1">
      <c r="B25" s="81"/>
      <c r="D25" s="22"/>
      <c r="E25" s="22"/>
      <c r="F25" s="22"/>
      <c r="G25" s="22"/>
      <c r="H25" s="22"/>
      <c r="I25" s="89"/>
    </row>
    <row r="26" spans="2:11" s="16" customFormat="1" ht="15.25" customHeight="1">
      <c r="B26" s="28" t="s">
        <v>57</v>
      </c>
      <c r="C26" s="29"/>
      <c r="D26" s="22"/>
      <c r="E26" s="22"/>
      <c r="F26" s="87"/>
      <c r="G26" s="87"/>
      <c r="H26" s="88">
        <v>35.9</v>
      </c>
      <c r="I26" s="88">
        <v>37.1</v>
      </c>
      <c r="J26" s="22">
        <v>34.799999999999997</v>
      </c>
    </row>
    <row r="27" spans="2:11" s="16" customFormat="1" ht="15.25" customHeight="1">
      <c r="B27" s="28" t="s">
        <v>58</v>
      </c>
      <c r="C27" s="29"/>
      <c r="D27" s="22"/>
      <c r="E27" s="22"/>
      <c r="F27" s="87"/>
      <c r="G27" s="87"/>
      <c r="H27" s="88">
        <v>60.5</v>
      </c>
      <c r="I27" s="88">
        <v>60.1</v>
      </c>
      <c r="J27" s="22">
        <v>62.9</v>
      </c>
    </row>
    <row r="28" spans="2:11" s="16" customFormat="1" ht="15.25" customHeight="1">
      <c r="B28" s="28" t="s">
        <v>59</v>
      </c>
      <c r="C28" s="29"/>
      <c r="D28" s="30"/>
      <c r="E28" s="30"/>
      <c r="F28" s="87"/>
      <c r="G28" s="87"/>
      <c r="H28" s="88">
        <v>3.7</v>
      </c>
      <c r="I28" s="88">
        <v>2.7</v>
      </c>
      <c r="J28" s="22">
        <v>2.2999999999999998</v>
      </c>
    </row>
    <row r="29" spans="2:11" s="16" customFormat="1" ht="15.25" customHeight="1">
      <c r="B29" s="28"/>
      <c r="C29" s="29"/>
      <c r="D29" s="30"/>
      <c r="E29" s="30"/>
      <c r="F29" s="30"/>
      <c r="G29" s="30"/>
      <c r="H29" s="30"/>
      <c r="I29" s="30"/>
    </row>
    <row r="30" spans="2:11" s="16" customFormat="1" ht="15.25" customHeight="1">
      <c r="B30" s="37" t="s">
        <v>64</v>
      </c>
      <c r="D30" s="30"/>
      <c r="E30" s="30"/>
      <c r="F30" s="76"/>
      <c r="G30" s="76"/>
      <c r="H30" s="76">
        <v>553426</v>
      </c>
      <c r="I30" s="90">
        <v>512922</v>
      </c>
      <c r="J30" s="90">
        <v>518075</v>
      </c>
    </row>
    <row r="31" spans="2:11" s="16" customFormat="1" ht="15.25" customHeight="1">
      <c r="B31" s="78" t="s">
        <v>65</v>
      </c>
      <c r="D31" s="30"/>
      <c r="E31" s="30"/>
      <c r="F31" s="30"/>
      <c r="G31" s="30"/>
      <c r="H31" s="30"/>
      <c r="I31" s="30"/>
    </row>
    <row r="32" spans="2:11" s="16" customFormat="1" ht="8.25" customHeight="1">
      <c r="B32" s="28"/>
      <c r="C32" s="29"/>
      <c r="D32" s="22"/>
      <c r="E32" s="22"/>
      <c r="F32" s="22"/>
      <c r="G32" s="22"/>
      <c r="H32" s="22"/>
      <c r="I32" s="89"/>
    </row>
    <row r="33" spans="2:10" s="16" customFormat="1" ht="15.25" customHeight="1">
      <c r="B33" s="37" t="s">
        <v>66</v>
      </c>
      <c r="D33" s="30"/>
      <c r="E33" s="30"/>
      <c r="F33" s="75"/>
      <c r="G33" s="75"/>
      <c r="H33" s="75">
        <v>176.3</v>
      </c>
      <c r="I33" s="91">
        <v>117.8</v>
      </c>
      <c r="J33" s="91">
        <v>124.3</v>
      </c>
    </row>
    <row r="34" spans="2:10" s="16" customFormat="1" ht="15.25" customHeight="1">
      <c r="B34" s="78" t="s">
        <v>67</v>
      </c>
      <c r="D34" s="30"/>
      <c r="E34" s="30"/>
      <c r="F34" s="30"/>
      <c r="G34" s="30"/>
      <c r="H34" s="30"/>
      <c r="I34" s="30"/>
    </row>
    <row r="35" spans="2:10" s="16" customFormat="1" ht="8.25" customHeight="1">
      <c r="B35" s="28"/>
      <c r="C35" s="29"/>
      <c r="D35" s="22"/>
      <c r="E35" s="22"/>
      <c r="F35" s="22"/>
      <c r="G35" s="22"/>
      <c r="H35" s="22"/>
      <c r="I35" s="89"/>
    </row>
    <row r="36" spans="2:10" s="16" customFormat="1" ht="15.25" customHeight="1">
      <c r="B36" s="37" t="s">
        <v>68</v>
      </c>
      <c r="D36" s="30"/>
      <c r="E36" s="30"/>
      <c r="F36" s="76"/>
      <c r="G36" s="76"/>
      <c r="H36" s="76">
        <v>7318</v>
      </c>
      <c r="I36" s="90">
        <v>7253</v>
      </c>
      <c r="J36" s="90">
        <v>7315</v>
      </c>
    </row>
    <row r="37" spans="2:10" s="16" customFormat="1" ht="15.25" customHeight="1">
      <c r="B37" s="78" t="s">
        <v>69</v>
      </c>
      <c r="D37" s="30"/>
      <c r="E37" s="30"/>
      <c r="F37" s="30"/>
      <c r="G37" s="30"/>
      <c r="H37" s="30"/>
      <c r="I37" s="30"/>
    </row>
    <row r="38" spans="2:10" s="16" customFormat="1" ht="15.25" customHeight="1">
      <c r="B38" s="92"/>
      <c r="C38" s="29"/>
      <c r="D38" s="30"/>
      <c r="E38" s="30"/>
      <c r="F38" s="30"/>
      <c r="G38" s="30"/>
      <c r="H38" s="30"/>
      <c r="I38" s="30"/>
    </row>
    <row r="39" spans="2:10" s="16" customFormat="1" ht="15.25" customHeight="1">
      <c r="B39" s="37" t="s">
        <v>70</v>
      </c>
      <c r="D39" s="30"/>
      <c r="E39" s="30"/>
      <c r="F39" s="75"/>
      <c r="G39" s="75"/>
      <c r="H39" s="75">
        <v>5.9</v>
      </c>
      <c r="I39" s="91">
        <v>-7.3</v>
      </c>
      <c r="J39" s="91">
        <v>1</v>
      </c>
    </row>
    <row r="40" spans="2:10" s="16" customFormat="1" ht="15.25" customHeight="1">
      <c r="B40" s="78" t="s">
        <v>71</v>
      </c>
      <c r="D40" s="30"/>
      <c r="E40" s="30"/>
      <c r="F40" s="30"/>
      <c r="G40" s="30"/>
      <c r="H40" s="93"/>
      <c r="I40" s="93"/>
      <c r="J40" s="22"/>
    </row>
    <row r="41" spans="2:10" s="16" customFormat="1" ht="8.25" customHeight="1">
      <c r="B41" s="28"/>
      <c r="C41" s="29"/>
      <c r="D41" s="22"/>
      <c r="E41" s="22"/>
      <c r="F41" s="22"/>
      <c r="G41" s="22"/>
      <c r="H41" s="22"/>
      <c r="I41" s="93"/>
      <c r="J41" s="22"/>
    </row>
    <row r="42" spans="2:10" s="16" customFormat="1" ht="15.25" customHeight="1">
      <c r="B42" s="37" t="s">
        <v>72</v>
      </c>
      <c r="D42" s="30"/>
      <c r="E42" s="30"/>
      <c r="F42" s="75"/>
      <c r="G42" s="75"/>
      <c r="H42" s="75">
        <v>2.6</v>
      </c>
      <c r="I42" s="91">
        <v>-33.1</v>
      </c>
      <c r="J42" s="91">
        <v>5.4</v>
      </c>
    </row>
    <row r="43" spans="2:10" s="16" customFormat="1" ht="15.25" customHeight="1">
      <c r="B43" s="78" t="s">
        <v>73</v>
      </c>
      <c r="D43" s="30"/>
      <c r="E43" s="30"/>
      <c r="F43" s="30"/>
      <c r="G43" s="30"/>
      <c r="H43" s="93"/>
      <c r="I43" s="93"/>
      <c r="J43" s="22"/>
    </row>
    <row r="44" spans="2:10" s="16" customFormat="1" ht="8.25" customHeight="1">
      <c r="B44" s="28"/>
      <c r="C44" s="29"/>
      <c r="D44" s="22"/>
      <c r="E44" s="22"/>
      <c r="F44" s="22"/>
      <c r="G44" s="22"/>
      <c r="H44" s="22"/>
      <c r="I44" s="93"/>
      <c r="J44" s="22"/>
    </row>
    <row r="45" spans="2:10" s="16" customFormat="1" ht="15.25" customHeight="1">
      <c r="B45" s="37" t="s">
        <v>74</v>
      </c>
      <c r="D45" s="30"/>
      <c r="E45" s="30"/>
      <c r="F45" s="75"/>
      <c r="G45" s="75"/>
      <c r="H45" s="75">
        <v>3</v>
      </c>
      <c r="I45" s="91">
        <v>-0.9</v>
      </c>
      <c r="J45" s="91">
        <v>0.9</v>
      </c>
    </row>
    <row r="46" spans="2:10" s="16" customFormat="1" ht="15.25" customHeight="1">
      <c r="B46" s="78" t="s">
        <v>75</v>
      </c>
      <c r="D46" s="30"/>
      <c r="E46" s="30"/>
      <c r="F46" s="30"/>
      <c r="G46" s="30"/>
      <c r="H46" s="93"/>
      <c r="I46" s="93"/>
      <c r="J46" s="22"/>
    </row>
    <row r="47" spans="2:10" s="16" customFormat="1" ht="15.25" customHeight="1">
      <c r="B47" s="28"/>
      <c r="C47" s="29"/>
      <c r="D47" s="30"/>
      <c r="E47" s="30"/>
      <c r="F47" s="30"/>
      <c r="G47" s="30"/>
      <c r="H47" s="93"/>
      <c r="I47" s="93"/>
      <c r="J47" s="22"/>
    </row>
    <row r="48" spans="2:10" s="16" customFormat="1" ht="15.25" customHeight="1">
      <c r="B48" s="37" t="s">
        <v>76</v>
      </c>
      <c r="D48" s="30"/>
      <c r="E48" s="30"/>
      <c r="F48" s="75"/>
      <c r="G48" s="75"/>
      <c r="H48" s="75">
        <v>38.9</v>
      </c>
      <c r="I48" s="91">
        <v>38.1</v>
      </c>
      <c r="J48" s="91">
        <v>37.4</v>
      </c>
    </row>
    <row r="49" spans="2:11" s="16" customFormat="1" ht="15.25" customHeight="1">
      <c r="B49" s="78" t="s">
        <v>77</v>
      </c>
      <c r="D49" s="30"/>
      <c r="E49" s="30"/>
      <c r="F49" s="30"/>
      <c r="G49" s="30"/>
      <c r="H49" s="93"/>
      <c r="I49" s="93"/>
      <c r="J49" s="22"/>
    </row>
    <row r="50" spans="2:11" s="16" customFormat="1" ht="8.25" customHeight="1">
      <c r="B50" s="28"/>
      <c r="C50" s="29"/>
      <c r="D50" s="22"/>
      <c r="E50" s="22"/>
      <c r="F50" s="22"/>
      <c r="G50" s="22"/>
      <c r="H50" s="22"/>
      <c r="I50" s="93"/>
      <c r="J50" s="22"/>
    </row>
    <row r="51" spans="2:11" s="16" customFormat="1" ht="15.25" customHeight="1">
      <c r="B51" s="37" t="s">
        <v>78</v>
      </c>
      <c r="D51" s="30"/>
      <c r="E51" s="30"/>
      <c r="F51" s="75"/>
      <c r="G51" s="75"/>
      <c r="H51" s="75">
        <v>17.899999999999999</v>
      </c>
      <c r="I51" s="91">
        <v>13.5</v>
      </c>
      <c r="J51" s="91">
        <v>11.7</v>
      </c>
    </row>
    <row r="52" spans="2:11" s="16" customFormat="1" ht="15.25" customHeight="1">
      <c r="B52" s="78" t="s">
        <v>79</v>
      </c>
      <c r="D52" s="30"/>
      <c r="E52" s="30"/>
      <c r="F52" s="30"/>
      <c r="G52" s="30"/>
      <c r="H52" s="93"/>
      <c r="I52" s="93"/>
      <c r="J52" s="22"/>
    </row>
    <row r="53" spans="2:11" s="16" customFormat="1" ht="8.25" customHeight="1">
      <c r="B53" s="28"/>
      <c r="C53" s="29"/>
      <c r="D53" s="22"/>
      <c r="E53" s="22"/>
      <c r="F53" s="22"/>
      <c r="G53" s="22"/>
      <c r="H53" s="22"/>
      <c r="I53" s="93"/>
      <c r="J53" s="22"/>
    </row>
    <row r="54" spans="2:11" s="16" customFormat="1" ht="15.25" customHeight="1">
      <c r="B54" s="37" t="s">
        <v>80</v>
      </c>
      <c r="D54" s="30"/>
      <c r="E54" s="30"/>
      <c r="F54" s="75"/>
      <c r="G54" s="75"/>
      <c r="H54" s="75">
        <v>48.4</v>
      </c>
      <c r="I54" s="91">
        <v>48</v>
      </c>
      <c r="J54" s="91">
        <v>47.8</v>
      </c>
    </row>
    <row r="55" spans="2:11" s="16" customFormat="1" ht="15.25" customHeight="1">
      <c r="B55" s="78" t="s">
        <v>81</v>
      </c>
      <c r="D55" s="30"/>
      <c r="E55" s="30"/>
      <c r="F55" s="30"/>
      <c r="G55" s="30"/>
      <c r="H55" s="30"/>
      <c r="I55" s="30"/>
    </row>
    <row r="56" spans="2:11" s="16" customFormat="1" ht="15.25" customHeight="1">
      <c r="B56" s="28"/>
      <c r="C56" s="94"/>
      <c r="D56" s="22"/>
      <c r="E56" s="22"/>
      <c r="F56" s="22"/>
      <c r="G56" s="22"/>
      <c r="H56" s="95"/>
      <c r="I56" s="96"/>
      <c r="J56" s="97"/>
      <c r="K56" s="98"/>
    </row>
    <row r="57" spans="2:11" s="16" customFormat="1" ht="8.25" customHeight="1">
      <c r="B57" s="99"/>
      <c r="C57" s="94"/>
      <c r="D57" s="22"/>
      <c r="E57" s="22"/>
      <c r="F57" s="22"/>
      <c r="G57" s="22"/>
      <c r="H57" s="95"/>
      <c r="I57" s="96"/>
      <c r="J57" s="97"/>
      <c r="K57" s="98"/>
    </row>
    <row r="58" spans="2:11" s="16" customFormat="1" ht="15.25" customHeight="1">
      <c r="B58" s="37" t="s">
        <v>82</v>
      </c>
      <c r="D58" s="30"/>
      <c r="E58" s="30"/>
      <c r="F58" s="76"/>
      <c r="G58" s="76"/>
      <c r="H58" s="76">
        <v>328536</v>
      </c>
      <c r="I58" s="77">
        <v>281173</v>
      </c>
      <c r="J58" s="77">
        <v>278703</v>
      </c>
    </row>
    <row r="59" spans="2:11" s="16" customFormat="1" ht="15.25" customHeight="1">
      <c r="B59" s="78" t="s">
        <v>83</v>
      </c>
      <c r="D59" s="30"/>
      <c r="E59" s="30"/>
      <c r="F59" s="30"/>
      <c r="G59" s="30"/>
      <c r="H59" s="30"/>
      <c r="I59" s="30"/>
    </row>
    <row r="60" spans="2:11" s="16" customFormat="1" ht="15.25" customHeight="1">
      <c r="B60" s="28"/>
      <c r="C60" s="94"/>
      <c r="D60" s="22"/>
      <c r="E60" s="22"/>
      <c r="F60" s="22"/>
      <c r="G60" s="22"/>
      <c r="H60" s="22"/>
      <c r="I60" s="30"/>
      <c r="K60" s="98"/>
    </row>
    <row r="61" spans="2:11" s="16" customFormat="1" ht="15" customHeight="1">
      <c r="B61" s="37" t="s">
        <v>84</v>
      </c>
      <c r="C61" s="94"/>
      <c r="D61" s="22"/>
      <c r="E61" s="22"/>
      <c r="F61" s="22"/>
      <c r="G61" s="22"/>
      <c r="H61" s="22">
        <v>-2.1</v>
      </c>
      <c r="I61" s="93">
        <v>-14.4</v>
      </c>
      <c r="J61" s="22">
        <v>-0.9</v>
      </c>
      <c r="K61" s="98"/>
    </row>
    <row r="62" spans="2:11" s="16" customFormat="1" ht="15.25" customHeight="1">
      <c r="B62" s="78" t="s">
        <v>85</v>
      </c>
      <c r="C62" s="94"/>
      <c r="D62" s="22"/>
      <c r="E62" s="22"/>
      <c r="F62" s="22"/>
      <c r="G62" s="22"/>
      <c r="H62" s="22"/>
      <c r="I62" s="30"/>
      <c r="K62" s="98"/>
    </row>
    <row r="63" spans="2:11" s="16" customFormat="1" ht="15.25" customHeight="1">
      <c r="B63" s="28"/>
      <c r="C63" s="94"/>
      <c r="D63" s="100"/>
      <c r="E63" s="100"/>
      <c r="F63" s="100"/>
      <c r="G63" s="100"/>
      <c r="H63" s="100"/>
      <c r="I63" s="30"/>
      <c r="K63" s="98"/>
    </row>
    <row r="64" spans="2:11" s="16" customFormat="1" ht="15.25" customHeight="1">
      <c r="B64" s="28"/>
      <c r="C64" s="94"/>
      <c r="D64" s="100"/>
      <c r="E64" s="100"/>
      <c r="F64" s="100"/>
      <c r="G64" s="100"/>
      <c r="H64" s="100"/>
      <c r="I64" s="30"/>
      <c r="K64" s="98"/>
    </row>
    <row r="65" spans="1:12" s="16" customFormat="1" ht="8.25" customHeight="1">
      <c r="B65" s="101"/>
      <c r="C65" s="102"/>
      <c r="D65" s="100"/>
      <c r="E65" s="100"/>
      <c r="F65" s="100"/>
      <c r="G65" s="100"/>
      <c r="H65" s="100"/>
      <c r="I65" s="66"/>
    </row>
    <row r="66" spans="1:12" s="16" customFormat="1" ht="15.25" customHeight="1">
      <c r="B66" s="99"/>
      <c r="C66" s="102"/>
      <c r="D66" s="103"/>
      <c r="E66" s="103"/>
      <c r="F66" s="103"/>
      <c r="G66" s="103"/>
      <c r="H66" s="103"/>
      <c r="I66" s="86"/>
      <c r="K66" s="25"/>
    </row>
    <row r="67" spans="1:12" s="16" customFormat="1" ht="15.25" customHeight="1">
      <c r="B67" s="104"/>
      <c r="C67" s="102"/>
      <c r="D67" s="100"/>
      <c r="E67" s="100"/>
      <c r="F67" s="100"/>
      <c r="G67" s="100"/>
      <c r="H67" s="100"/>
      <c r="I67" s="100"/>
    </row>
    <row r="68" spans="1:12" s="42" customFormat="1" ht="8.25" customHeight="1">
      <c r="B68" s="104"/>
      <c r="C68" s="102"/>
      <c r="D68" s="100"/>
      <c r="E68" s="100"/>
      <c r="F68" s="100"/>
      <c r="G68" s="100"/>
      <c r="H68" s="100"/>
      <c r="I68" s="100"/>
      <c r="K68" s="16"/>
      <c r="L68" s="16"/>
    </row>
    <row r="69" spans="1:12" s="42" customFormat="1" ht="8.25" customHeight="1" thickBot="1">
      <c r="A69" s="41"/>
      <c r="B69" s="41"/>
      <c r="C69" s="41"/>
      <c r="D69" s="41"/>
      <c r="E69" s="41"/>
      <c r="F69" s="41"/>
      <c r="G69" s="41"/>
      <c r="H69" s="41"/>
      <c r="I69" s="41"/>
      <c r="J69" s="41"/>
      <c r="K69" s="16"/>
      <c r="L69" s="16"/>
    </row>
    <row r="70" spans="1:12" s="42" customFormat="1" ht="15.25" customHeight="1" thickTop="1">
      <c r="B70" s="105"/>
      <c r="D70" s="47"/>
      <c r="E70" s="48"/>
      <c r="F70" s="48"/>
      <c r="G70" s="48"/>
      <c r="H70" s="48"/>
      <c r="I70" s="49"/>
      <c r="J70" s="43" t="s">
        <v>32</v>
      </c>
      <c r="K70" s="16"/>
      <c r="L70" s="16"/>
    </row>
    <row r="71" spans="1:12" s="42" customFormat="1" ht="15.25" customHeight="1">
      <c r="B71" s="106"/>
      <c r="C71" s="49"/>
      <c r="D71" s="47"/>
      <c r="E71" s="47"/>
      <c r="F71" s="47"/>
      <c r="G71" s="47"/>
      <c r="H71" s="47"/>
      <c r="I71" s="49"/>
      <c r="J71" s="44" t="s">
        <v>33</v>
      </c>
    </row>
    <row r="72" spans="1:12" s="42" customFormat="1" ht="14">
      <c r="B72" s="107" t="s">
        <v>86</v>
      </c>
      <c r="C72" s="49"/>
      <c r="D72" s="49"/>
      <c r="E72" s="49"/>
      <c r="F72" s="49"/>
      <c r="G72" s="49"/>
      <c r="H72" s="49"/>
      <c r="I72" s="49"/>
      <c r="J72" s="49"/>
    </row>
    <row r="73" spans="1:12" s="54" customFormat="1" ht="14">
      <c r="A73" s="51" t="s">
        <v>35</v>
      </c>
      <c r="B73" s="53" t="s">
        <v>39</v>
      </c>
    </row>
    <row r="74" spans="1:12" s="54" customFormat="1" ht="14">
      <c r="B74" s="55" t="s">
        <v>40</v>
      </c>
    </row>
  </sheetData>
  <mergeCells count="1">
    <mergeCell ref="B7:D7"/>
  </mergeCells>
  <conditionalFormatting sqref="C12:C14">
    <cfRule type="cellIs" dxfId="50" priority="12" stopIfTrue="1" operator="lessThan">
      <formula>0</formula>
    </cfRule>
  </conditionalFormatting>
  <conditionalFormatting sqref="C19:C22">
    <cfRule type="cellIs" dxfId="49" priority="7" stopIfTrue="1" operator="lessThan">
      <formula>0</formula>
    </cfRule>
  </conditionalFormatting>
  <conditionalFormatting sqref="C26:C29">
    <cfRule type="cellIs" dxfId="48" priority="6" stopIfTrue="1" operator="lessThan">
      <formula>0</formula>
    </cfRule>
  </conditionalFormatting>
  <conditionalFormatting sqref="C32">
    <cfRule type="cellIs" dxfId="47" priority="11" stopIfTrue="1" operator="lessThan">
      <formula>0</formula>
    </cfRule>
  </conditionalFormatting>
  <conditionalFormatting sqref="C35">
    <cfRule type="cellIs" dxfId="46" priority="5" stopIfTrue="1" operator="lessThan">
      <formula>0</formula>
    </cfRule>
  </conditionalFormatting>
  <conditionalFormatting sqref="C38">
    <cfRule type="cellIs" dxfId="45" priority="9" stopIfTrue="1" operator="lessThan">
      <formula>0</formula>
    </cfRule>
  </conditionalFormatting>
  <conditionalFormatting sqref="C41">
    <cfRule type="cellIs" dxfId="44" priority="4" stopIfTrue="1" operator="lessThan">
      <formula>0</formula>
    </cfRule>
  </conditionalFormatting>
  <conditionalFormatting sqref="C44">
    <cfRule type="cellIs" dxfId="43" priority="3" stopIfTrue="1" operator="lessThan">
      <formula>0</formula>
    </cfRule>
  </conditionalFormatting>
  <conditionalFormatting sqref="C47">
    <cfRule type="cellIs" dxfId="42" priority="8" stopIfTrue="1" operator="lessThan">
      <formula>0</formula>
    </cfRule>
  </conditionalFormatting>
  <conditionalFormatting sqref="C50">
    <cfRule type="cellIs" dxfId="41" priority="2" stopIfTrue="1" operator="lessThan">
      <formula>0</formula>
    </cfRule>
  </conditionalFormatting>
  <conditionalFormatting sqref="C53">
    <cfRule type="cellIs" dxfId="40" priority="1" stopIfTrue="1" operator="lessThan">
      <formula>0</formula>
    </cfRule>
  </conditionalFormatting>
  <conditionalFormatting sqref="C65:C68">
    <cfRule type="cellIs" dxfId="39" priority="10"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5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C665-E47C-442B-8B50-77B0D5305E48}">
  <sheetPr codeName="Sheet30">
    <pageSetUpPr fitToPage="1"/>
  </sheetPr>
  <dimension ref="A1:O68"/>
  <sheetViews>
    <sheetView view="pageBreakPreview" zoomScaleNormal="100" zoomScaleSheetLayoutView="100" workbookViewId="0">
      <selection activeCell="D60" sqref="D60"/>
    </sheetView>
  </sheetViews>
  <sheetFormatPr baseColWidth="10" defaultColWidth="8.83203125" defaultRowHeight="15"/>
  <cols>
    <col min="1" max="1" width="4.33203125" customWidth="1"/>
    <col min="3" max="3" width="45.1640625" customWidth="1"/>
    <col min="4" max="4" width="17.5" customWidth="1"/>
    <col min="5" max="5" width="21.5" customWidth="1"/>
    <col min="6" max="6" width="14.5" customWidth="1"/>
    <col min="7" max="7" width="13.5" customWidth="1"/>
    <col min="8" max="8" width="13.6640625" customWidth="1"/>
  </cols>
  <sheetData>
    <row r="1" spans="1:8" s="1" customFormat="1" ht="8.25" customHeight="1"/>
    <row r="2" spans="1:8" s="1" customFormat="1" ht="8.25" customHeight="1"/>
    <row r="3" spans="1:8" s="1" customFormat="1" ht="16.5" customHeight="1">
      <c r="B3" s="2" t="s">
        <v>87</v>
      </c>
      <c r="C3" s="3" t="s">
        <v>88</v>
      </c>
      <c r="G3" s="4"/>
      <c r="H3" s="4"/>
    </row>
    <row r="4" spans="1:8" s="1" customFormat="1" ht="16.5" customHeight="1">
      <c r="B4" s="5" t="s">
        <v>89</v>
      </c>
      <c r="C4" s="108" t="s">
        <v>90</v>
      </c>
      <c r="D4" s="7"/>
      <c r="E4" s="8"/>
      <c r="F4" s="8"/>
      <c r="G4" s="4"/>
      <c r="H4" s="4"/>
    </row>
    <row r="5" spans="1:8" s="1" customFormat="1" ht="13.5" customHeight="1" thickBot="1">
      <c r="A5" s="9"/>
      <c r="B5" s="9"/>
      <c r="C5" s="9"/>
      <c r="D5" s="9"/>
      <c r="E5" s="8"/>
      <c r="F5" s="8"/>
      <c r="G5" s="8"/>
      <c r="H5" s="8"/>
    </row>
    <row r="6" spans="1:8" s="12" customFormat="1" ht="43.25" customHeight="1" thickBot="1">
      <c r="A6" s="10"/>
      <c r="B6" s="1273" t="s">
        <v>91</v>
      </c>
      <c r="C6" s="1273"/>
      <c r="D6" s="1273"/>
      <c r="E6" s="11"/>
      <c r="F6" s="11">
        <v>2022</v>
      </c>
      <c r="G6" s="11">
        <v>2023</v>
      </c>
      <c r="H6" s="11">
        <v>2024</v>
      </c>
    </row>
    <row r="7" spans="1:8" s="12" customFormat="1" ht="7.5" customHeight="1">
      <c r="B7" s="73"/>
      <c r="C7" s="74"/>
      <c r="D7" s="75"/>
      <c r="E7" s="75"/>
      <c r="F7" s="75"/>
      <c r="G7" s="75"/>
      <c r="H7" s="75"/>
    </row>
    <row r="8" spans="1:8" s="12" customFormat="1" ht="16.5" customHeight="1">
      <c r="B8" s="109" t="s">
        <v>92</v>
      </c>
      <c r="C8" s="74"/>
      <c r="D8" s="75"/>
      <c r="E8" s="75"/>
      <c r="F8" s="75"/>
      <c r="G8" s="75"/>
      <c r="H8" s="75"/>
    </row>
    <row r="9" spans="1:8" s="12" customFormat="1" ht="12.75" customHeight="1">
      <c r="B9" s="1287"/>
      <c r="C9" s="1287"/>
      <c r="D9" s="75"/>
      <c r="E9" s="75"/>
      <c r="F9" s="75"/>
      <c r="G9" s="75"/>
      <c r="H9" s="75"/>
    </row>
    <row r="10" spans="1:8" s="12" customFormat="1" ht="16.5" customHeight="1">
      <c r="B10" s="111" t="s">
        <v>93</v>
      </c>
      <c r="C10" s="74"/>
      <c r="D10" s="75"/>
      <c r="E10" s="112"/>
      <c r="F10" s="113">
        <v>225075</v>
      </c>
      <c r="G10" s="113">
        <v>233752</v>
      </c>
      <c r="H10" s="113">
        <v>285217</v>
      </c>
    </row>
    <row r="11" spans="1:8" s="12" customFormat="1" ht="16.5" customHeight="1">
      <c r="B11" s="111" t="s">
        <v>94</v>
      </c>
      <c r="C11" s="74"/>
      <c r="D11" s="75"/>
      <c r="E11" s="112"/>
      <c r="F11" s="113">
        <v>224600</v>
      </c>
      <c r="G11" s="113">
        <v>231516</v>
      </c>
      <c r="H11" s="113">
        <v>284700</v>
      </c>
    </row>
    <row r="12" spans="1:8" s="12" customFormat="1" ht="16.5" customHeight="1">
      <c r="B12" s="111" t="s">
        <v>95</v>
      </c>
      <c r="C12" s="74"/>
      <c r="D12" s="75"/>
      <c r="E12" s="112"/>
      <c r="F12" s="113">
        <v>475</v>
      </c>
      <c r="G12" s="113">
        <v>2236</v>
      </c>
      <c r="H12" s="113">
        <v>517</v>
      </c>
    </row>
    <row r="13" spans="1:8" s="12" customFormat="1" ht="30.75" customHeight="1">
      <c r="B13" s="1291" t="s">
        <v>96</v>
      </c>
      <c r="C13" s="1291"/>
      <c r="D13" s="1291"/>
      <c r="E13" s="114"/>
      <c r="F13" s="113">
        <v>50100.85576346</v>
      </c>
      <c r="G13" s="113">
        <v>63267</v>
      </c>
      <c r="H13" s="113">
        <v>71200</v>
      </c>
    </row>
    <row r="14" spans="1:8" s="12" customFormat="1" ht="16.5" customHeight="1">
      <c r="B14" s="111" t="s">
        <v>97</v>
      </c>
      <c r="C14" s="74"/>
      <c r="D14" s="75"/>
      <c r="E14" s="115"/>
      <c r="F14" s="113">
        <v>38019.199999999997</v>
      </c>
      <c r="G14" s="113">
        <v>37711</v>
      </c>
      <c r="H14" s="113">
        <v>28800</v>
      </c>
    </row>
    <row r="15" spans="1:8" s="12" customFormat="1" ht="16.5" customHeight="1">
      <c r="B15" s="111" t="s">
        <v>98</v>
      </c>
      <c r="C15" s="74"/>
      <c r="D15" s="75"/>
      <c r="E15" s="112"/>
      <c r="F15" s="113">
        <v>-87645</v>
      </c>
      <c r="G15" s="113">
        <v>-98742</v>
      </c>
      <c r="H15" s="113">
        <v>-99483</v>
      </c>
    </row>
    <row r="16" spans="1:8" s="12" customFormat="1" ht="16.5" customHeight="1">
      <c r="B16" s="111" t="s">
        <v>99</v>
      </c>
      <c r="C16" s="74"/>
      <c r="D16" s="75"/>
      <c r="E16" s="116"/>
      <c r="F16" s="117">
        <v>-6.2</v>
      </c>
      <c r="G16" s="117">
        <v>-6.4</v>
      </c>
      <c r="H16" s="117">
        <v>-5.8</v>
      </c>
    </row>
    <row r="17" spans="2:13" s="12" customFormat="1" ht="16.5" customHeight="1">
      <c r="B17" s="118"/>
      <c r="C17" s="74"/>
      <c r="D17" s="75"/>
      <c r="E17" s="75"/>
      <c r="F17" s="75"/>
      <c r="G17" s="75"/>
      <c r="H17" s="75"/>
    </row>
    <row r="18" spans="2:13" s="12" customFormat="1" ht="48" customHeight="1">
      <c r="B18" s="1292" t="s">
        <v>100</v>
      </c>
      <c r="C18" s="1292"/>
      <c r="D18" s="75"/>
      <c r="E18" s="119"/>
      <c r="F18" s="120">
        <v>225074.96793169001</v>
      </c>
      <c r="G18" s="120">
        <v>233752</v>
      </c>
      <c r="H18" s="120">
        <v>285217</v>
      </c>
    </row>
    <row r="19" spans="2:13" s="12" customFormat="1" ht="16.5" customHeight="1">
      <c r="B19" s="111"/>
      <c r="C19" s="74"/>
      <c r="D19" s="75"/>
      <c r="E19" s="121"/>
      <c r="F19" s="121"/>
      <c r="G19" s="121"/>
      <c r="H19" s="121"/>
    </row>
    <row r="20" spans="2:13" s="12" customFormat="1" ht="16.5" customHeight="1">
      <c r="B20" s="111" t="s">
        <v>101</v>
      </c>
      <c r="C20" s="74"/>
      <c r="D20" s="75"/>
      <c r="E20" s="122"/>
      <c r="F20" s="77">
        <v>112511.15106439001</v>
      </c>
      <c r="G20" s="77">
        <v>130116</v>
      </c>
      <c r="H20" s="77">
        <v>147206</v>
      </c>
    </row>
    <row r="21" spans="2:13" s="12" customFormat="1" ht="16.5" customHeight="1">
      <c r="B21" s="111"/>
      <c r="C21" s="109" t="s">
        <v>102</v>
      </c>
      <c r="D21" s="75"/>
      <c r="E21" s="121"/>
      <c r="F21" s="82">
        <v>38953.123958889999</v>
      </c>
      <c r="G21" s="82">
        <v>27051</v>
      </c>
      <c r="H21" s="82">
        <v>30640</v>
      </c>
    </row>
    <row r="22" spans="2:13" s="12" customFormat="1" ht="16.5" customHeight="1">
      <c r="B22" s="111"/>
      <c r="C22" s="109" t="s">
        <v>103</v>
      </c>
      <c r="D22" s="75"/>
      <c r="E22" s="121"/>
      <c r="F22" s="82">
        <v>50065.452924010002</v>
      </c>
      <c r="G22" s="82">
        <v>79829</v>
      </c>
      <c r="H22" s="82">
        <v>84760</v>
      </c>
    </row>
    <row r="23" spans="2:13" s="12" customFormat="1" ht="16.5" customHeight="1">
      <c r="B23" s="111"/>
      <c r="C23" s="109" t="s">
        <v>104</v>
      </c>
      <c r="D23" s="75"/>
      <c r="E23" s="121"/>
      <c r="F23" s="82">
        <v>12771.538290660001</v>
      </c>
      <c r="G23" s="82">
        <v>11570</v>
      </c>
      <c r="H23" s="82">
        <v>19302</v>
      </c>
    </row>
    <row r="24" spans="2:13" s="12" customFormat="1" ht="16.5" customHeight="1">
      <c r="B24" s="111"/>
      <c r="C24" s="109" t="s">
        <v>105</v>
      </c>
      <c r="D24" s="75"/>
      <c r="E24" s="121"/>
      <c r="F24" s="82">
        <v>58.64587281</v>
      </c>
      <c r="G24" s="82">
        <v>142</v>
      </c>
      <c r="H24" s="82">
        <v>94</v>
      </c>
      <c r="J24" s="123"/>
    </row>
    <row r="25" spans="2:13" s="12" customFormat="1" ht="16.5" customHeight="1">
      <c r="B25" s="111"/>
      <c r="C25" s="109" t="s">
        <v>106</v>
      </c>
      <c r="D25" s="75"/>
      <c r="E25" s="121"/>
      <c r="F25" s="82">
        <v>2992.9348780500004</v>
      </c>
      <c r="G25" s="82">
        <v>3035</v>
      </c>
      <c r="H25" s="82">
        <v>3460</v>
      </c>
      <c r="K25" s="124"/>
      <c r="L25" s="124"/>
      <c r="M25" s="124"/>
    </row>
    <row r="26" spans="2:13" s="12" customFormat="1" ht="16.5" customHeight="1">
      <c r="B26" s="111"/>
      <c r="C26" s="109" t="s">
        <v>107</v>
      </c>
      <c r="D26" s="75"/>
      <c r="E26" s="121"/>
      <c r="F26" s="82">
        <v>7669.4551399700003</v>
      </c>
      <c r="G26" s="82">
        <v>8489</v>
      </c>
      <c r="H26" s="82">
        <v>8950</v>
      </c>
    </row>
    <row r="27" spans="2:13" s="12" customFormat="1" ht="16.5" customHeight="1">
      <c r="B27" s="111"/>
      <c r="C27" s="74"/>
      <c r="D27" s="75"/>
      <c r="E27" s="121"/>
      <c r="F27" s="82"/>
      <c r="G27" s="82"/>
      <c r="H27" s="82"/>
    </row>
    <row r="28" spans="2:13" s="12" customFormat="1" ht="16.5" customHeight="1">
      <c r="B28" s="111" t="s">
        <v>108</v>
      </c>
      <c r="C28" s="74"/>
      <c r="D28" s="75"/>
      <c r="E28" s="122"/>
      <c r="F28" s="77">
        <v>41886.816867300004</v>
      </c>
      <c r="G28" s="77">
        <v>43588</v>
      </c>
      <c r="H28" s="77">
        <v>51021</v>
      </c>
      <c r="K28" s="124"/>
      <c r="L28" s="124"/>
      <c r="M28" s="124"/>
    </row>
    <row r="29" spans="2:13" s="12" customFormat="1" ht="16.5" customHeight="1">
      <c r="B29" s="111"/>
      <c r="C29" s="125" t="s">
        <v>109</v>
      </c>
      <c r="D29" s="75"/>
      <c r="E29" s="121"/>
      <c r="F29" s="82">
        <v>26773</v>
      </c>
      <c r="G29" s="82">
        <v>25616</v>
      </c>
      <c r="H29" s="82">
        <v>29710</v>
      </c>
    </row>
    <row r="30" spans="2:13" s="12" customFormat="1" ht="16.5" customHeight="1">
      <c r="B30" s="111"/>
      <c r="C30" s="109" t="s">
        <v>110</v>
      </c>
      <c r="D30" s="75"/>
      <c r="E30" s="121"/>
      <c r="F30" s="82">
        <v>9855</v>
      </c>
      <c r="G30" s="82">
        <v>10241</v>
      </c>
      <c r="H30" s="82">
        <v>10720</v>
      </c>
    </row>
    <row r="31" spans="2:13" s="12" customFormat="1" ht="16.5" customHeight="1">
      <c r="B31" s="111"/>
      <c r="C31" s="109" t="s">
        <v>111</v>
      </c>
      <c r="D31" s="75"/>
      <c r="E31" s="121"/>
      <c r="F31" s="82">
        <v>2346</v>
      </c>
      <c r="G31" s="82">
        <v>2645</v>
      </c>
      <c r="H31" s="82">
        <v>3020</v>
      </c>
    </row>
    <row r="32" spans="2:13" s="12" customFormat="1" ht="16.5" customHeight="1">
      <c r="B32" s="111"/>
      <c r="C32" s="109" t="s">
        <v>112</v>
      </c>
      <c r="D32" s="75"/>
      <c r="E32" s="121"/>
      <c r="F32" s="82">
        <v>746</v>
      </c>
      <c r="G32" s="82">
        <v>2057</v>
      </c>
      <c r="H32" s="82">
        <v>2200</v>
      </c>
    </row>
    <row r="33" spans="2:15" s="12" customFormat="1" ht="16.5" customHeight="1">
      <c r="B33" s="111"/>
      <c r="C33" s="109" t="s">
        <v>107</v>
      </c>
      <c r="D33" s="75"/>
      <c r="E33" s="121"/>
      <c r="F33" s="82">
        <v>2166.8168673000037</v>
      </c>
      <c r="G33" s="82">
        <v>3029</v>
      </c>
      <c r="H33" s="82">
        <v>5371</v>
      </c>
      <c r="I33" s="126"/>
    </row>
    <row r="34" spans="2:15" s="12" customFormat="1" ht="16.5" customHeight="1">
      <c r="B34" s="111"/>
      <c r="C34" s="74"/>
      <c r="D34" s="75"/>
      <c r="E34" s="121"/>
      <c r="F34" s="82"/>
      <c r="G34" s="82"/>
      <c r="H34" s="82"/>
    </row>
    <row r="35" spans="2:15" s="12" customFormat="1" ht="16.5" customHeight="1">
      <c r="B35" s="111" t="s">
        <v>113</v>
      </c>
      <c r="C35" s="74"/>
      <c r="D35" s="75"/>
      <c r="E35" s="122"/>
      <c r="F35" s="77">
        <v>70677</v>
      </c>
      <c r="G35" s="77">
        <v>60048</v>
      </c>
      <c r="H35" s="77">
        <v>86990</v>
      </c>
    </row>
    <row r="36" spans="2:15" s="12" customFormat="1" ht="16.5" customHeight="1">
      <c r="B36" s="111"/>
      <c r="C36" s="109" t="s">
        <v>114</v>
      </c>
      <c r="D36" s="75"/>
      <c r="E36" s="121"/>
      <c r="F36" s="82">
        <v>10931</v>
      </c>
      <c r="G36" s="82">
        <v>10578</v>
      </c>
      <c r="H36" s="82">
        <v>13331</v>
      </c>
      <c r="M36" s="124"/>
      <c r="N36" s="124"/>
      <c r="O36" s="124"/>
    </row>
    <row r="37" spans="2:15" s="12" customFormat="1" ht="16.5" customHeight="1">
      <c r="B37" s="111"/>
      <c r="C37" s="109" t="s">
        <v>115</v>
      </c>
      <c r="D37" s="75"/>
      <c r="E37" s="121"/>
      <c r="F37" s="82">
        <v>46067</v>
      </c>
      <c r="G37" s="82">
        <v>35018</v>
      </c>
      <c r="H37" s="82">
        <v>63442</v>
      </c>
      <c r="M37" s="124"/>
      <c r="N37" s="124"/>
      <c r="O37" s="124"/>
    </row>
    <row r="38" spans="2:15" s="12" customFormat="1" ht="16.5" customHeight="1">
      <c r="B38" s="111"/>
      <c r="C38" s="109" t="s">
        <v>107</v>
      </c>
      <c r="D38" s="75"/>
      <c r="E38" s="121"/>
      <c r="F38" s="82">
        <v>13679</v>
      </c>
      <c r="G38" s="82">
        <v>14452</v>
      </c>
      <c r="H38" s="82">
        <v>10217</v>
      </c>
      <c r="M38" s="124"/>
      <c r="N38" s="124"/>
      <c r="O38" s="124"/>
    </row>
    <row r="39" spans="2:15" s="12" customFormat="1" ht="16.5" customHeight="1">
      <c r="B39" s="118"/>
      <c r="C39" s="74"/>
      <c r="D39" s="75"/>
      <c r="E39" s="127"/>
      <c r="F39" s="24"/>
      <c r="G39" s="24"/>
      <c r="H39" s="24"/>
      <c r="I39" s="126"/>
    </row>
    <row r="40" spans="2:15" s="16" customFormat="1" ht="28.5" customHeight="1">
      <c r="B40" s="1287" t="s">
        <v>116</v>
      </c>
      <c r="C40" s="1287"/>
      <c r="D40" s="22"/>
      <c r="E40" s="128"/>
      <c r="F40" s="129"/>
      <c r="G40" s="24"/>
      <c r="H40" s="24"/>
    </row>
    <row r="41" spans="2:15" s="16" customFormat="1" ht="15.25" customHeight="1">
      <c r="B41" s="130" t="s">
        <v>117</v>
      </c>
      <c r="D41" s="22"/>
      <c r="E41" s="23"/>
      <c r="F41" s="23">
        <v>523663</v>
      </c>
      <c r="G41" s="24">
        <v>578302</v>
      </c>
      <c r="H41" s="24" t="s">
        <v>29</v>
      </c>
      <c r="I41" s="103"/>
      <c r="J41" s="103"/>
      <c r="K41" s="103"/>
      <c r="L41" s="103"/>
      <c r="M41" s="103"/>
    </row>
    <row r="42" spans="2:15" s="16" customFormat="1" ht="15.25" customHeight="1">
      <c r="B42" s="28" t="s">
        <v>118</v>
      </c>
      <c r="C42" s="29"/>
      <c r="D42" s="22"/>
      <c r="E42" s="23"/>
      <c r="F42" s="23">
        <v>2037481</v>
      </c>
      <c r="G42" s="24">
        <v>2165807</v>
      </c>
      <c r="H42" s="24" t="s">
        <v>29</v>
      </c>
      <c r="I42" s="103"/>
      <c r="J42" s="103"/>
      <c r="K42" s="103"/>
      <c r="L42" s="103"/>
      <c r="M42" s="103"/>
    </row>
    <row r="43" spans="2:15" s="16" customFormat="1" ht="15.25" customHeight="1">
      <c r="B43" s="28" t="s">
        <v>119</v>
      </c>
      <c r="C43" s="29"/>
      <c r="D43" s="22"/>
      <c r="E43" s="23"/>
      <c r="F43" s="23">
        <v>2040994</v>
      </c>
      <c r="G43" s="24">
        <v>2171799</v>
      </c>
      <c r="H43" s="24" t="s">
        <v>29</v>
      </c>
      <c r="I43" s="103"/>
      <c r="J43" s="103"/>
      <c r="K43" s="103"/>
      <c r="L43" s="103"/>
      <c r="M43" s="103"/>
    </row>
    <row r="44" spans="2:15" s="16" customFormat="1" ht="15.25" customHeight="1">
      <c r="B44" s="28"/>
      <c r="C44" s="29"/>
      <c r="D44" s="22"/>
      <c r="E44" s="22"/>
      <c r="F44" s="22"/>
      <c r="G44" s="66"/>
      <c r="H44" s="66"/>
    </row>
    <row r="45" spans="2:15" s="16" customFormat="1" ht="28.5" customHeight="1">
      <c r="B45" s="1287" t="s">
        <v>120</v>
      </c>
      <c r="C45" s="1287"/>
      <c r="D45" s="22"/>
      <c r="E45" s="128"/>
      <c r="F45" s="131">
        <v>1.75</v>
      </c>
      <c r="G45" s="131">
        <v>1.75</v>
      </c>
      <c r="H45" s="131">
        <v>2.75</v>
      </c>
    </row>
    <row r="46" spans="2:15" s="16" customFormat="1" ht="16.5" customHeight="1">
      <c r="B46" s="110"/>
      <c r="C46" s="110"/>
      <c r="D46" s="22"/>
      <c r="E46" s="128"/>
      <c r="F46" s="131"/>
      <c r="G46" s="131"/>
      <c r="H46" s="131"/>
    </row>
    <row r="47" spans="2:15" s="16" customFormat="1" ht="34.5" customHeight="1">
      <c r="B47" s="1287" t="s">
        <v>121</v>
      </c>
      <c r="C47" s="1287"/>
      <c r="D47" s="22"/>
      <c r="E47" s="22"/>
      <c r="F47" s="22"/>
      <c r="G47" s="93"/>
      <c r="H47" s="93"/>
    </row>
    <row r="48" spans="2:15" s="16" customFormat="1" ht="29.25" customHeight="1">
      <c r="B48" s="1288" t="s">
        <v>122</v>
      </c>
      <c r="C48" s="1288"/>
      <c r="D48" s="1288"/>
      <c r="E48" s="128"/>
      <c r="F48" s="131">
        <v>0.61</v>
      </c>
      <c r="G48" s="131">
        <v>0.54</v>
      </c>
      <c r="H48" s="93" t="s">
        <v>29</v>
      </c>
    </row>
    <row r="49" spans="1:13" s="16" customFormat="1" ht="29.25" customHeight="1">
      <c r="B49" s="1288" t="s">
        <v>123</v>
      </c>
      <c r="C49" s="1288"/>
      <c r="D49" s="22"/>
      <c r="E49" s="128"/>
      <c r="F49" s="131">
        <v>2.13</v>
      </c>
      <c r="G49" s="131">
        <v>1.72</v>
      </c>
      <c r="H49" s="93" t="s">
        <v>29</v>
      </c>
    </row>
    <row r="50" spans="1:13" s="16" customFormat="1" ht="38.25" customHeight="1">
      <c r="B50" s="1288" t="s">
        <v>124</v>
      </c>
      <c r="C50" s="1288"/>
      <c r="D50" s="1288"/>
      <c r="E50" s="128"/>
      <c r="F50" s="131">
        <v>3.94</v>
      </c>
      <c r="G50" s="131">
        <v>3.44</v>
      </c>
      <c r="H50" s="93" t="s">
        <v>29</v>
      </c>
    </row>
    <row r="51" spans="1:13" s="16" customFormat="1" ht="15.25" customHeight="1">
      <c r="B51" s="37"/>
      <c r="D51" s="132"/>
      <c r="E51" s="84"/>
      <c r="F51" s="85"/>
      <c r="G51" s="85"/>
      <c r="H51" s="85"/>
    </row>
    <row r="52" spans="1:13" s="16" customFormat="1" ht="15.25" customHeight="1">
      <c r="B52" s="1289" t="s">
        <v>125</v>
      </c>
      <c r="C52" s="1289"/>
      <c r="D52" s="1289"/>
      <c r="E52" s="87"/>
      <c r="F52" s="88"/>
      <c r="G52" s="88"/>
      <c r="H52" s="88"/>
    </row>
    <row r="53" spans="1:13" s="16" customFormat="1" ht="16.5" customHeight="1">
      <c r="B53" s="1290" t="s">
        <v>126</v>
      </c>
      <c r="C53" s="1290"/>
      <c r="D53" s="1290"/>
      <c r="E53" s="133"/>
      <c r="F53" s="134">
        <v>1627.2</v>
      </c>
      <c r="G53" s="135">
        <v>1567.5</v>
      </c>
      <c r="H53" s="135">
        <v>1495.49</v>
      </c>
      <c r="I53" s="100"/>
      <c r="J53" s="100"/>
      <c r="K53" s="100"/>
      <c r="L53" s="100"/>
      <c r="M53" s="100"/>
    </row>
    <row r="54" spans="1:13" s="16" customFormat="1" ht="15.25" customHeight="1">
      <c r="B54" s="1283" t="s">
        <v>127</v>
      </c>
      <c r="C54" s="1284"/>
      <c r="D54" s="1284"/>
      <c r="E54" s="133"/>
      <c r="F54" s="134">
        <v>1817.29</v>
      </c>
      <c r="G54" s="136">
        <v>1789.2</v>
      </c>
      <c r="H54" s="136">
        <v>1736.21</v>
      </c>
    </row>
    <row r="55" spans="1:13" s="16" customFormat="1" ht="15.25" customHeight="1">
      <c r="B55" s="1284" t="s">
        <v>128</v>
      </c>
      <c r="C55" s="1284"/>
      <c r="D55" s="1284"/>
      <c r="E55" s="133"/>
      <c r="F55" s="134">
        <v>1068.0096299999998</v>
      </c>
      <c r="G55" s="136">
        <v>897.04391999999996</v>
      </c>
      <c r="H55" s="136">
        <v>530.85597999999993</v>
      </c>
    </row>
    <row r="56" spans="1:13" s="16" customFormat="1" ht="15.25" customHeight="1">
      <c r="B56" s="1284" t="s">
        <v>129</v>
      </c>
      <c r="C56" s="1284"/>
      <c r="D56" s="1284"/>
      <c r="E56" s="133"/>
      <c r="F56" s="134">
        <v>1855.79468</v>
      </c>
      <c r="G56" s="136">
        <v>1433.3585500000002</v>
      </c>
      <c r="H56" s="136">
        <v>729.2958000000001</v>
      </c>
    </row>
    <row r="57" spans="1:13" s="42" customFormat="1" ht="8.25" customHeight="1">
      <c r="B57" s="104"/>
      <c r="C57" s="102"/>
      <c r="D57" s="100"/>
      <c r="E57" s="100"/>
      <c r="F57" s="22"/>
      <c r="G57" s="22"/>
      <c r="H57" s="22"/>
    </row>
    <row r="58" spans="1:13" s="42" customFormat="1" ht="8.25" customHeight="1" thickBot="1">
      <c r="A58" s="41"/>
      <c r="B58" s="41"/>
      <c r="C58" s="41"/>
      <c r="D58" s="41"/>
      <c r="E58" s="41"/>
      <c r="F58" s="41"/>
      <c r="G58" s="41"/>
      <c r="H58" s="41"/>
    </row>
    <row r="59" spans="1:13" s="49" customFormat="1" ht="14.25" customHeight="1" thickTop="1">
      <c r="D59" s="1285" t="s">
        <v>130</v>
      </c>
      <c r="E59" s="1285"/>
      <c r="F59" s="1285"/>
      <c r="G59" s="1285"/>
      <c r="H59" s="1285"/>
    </row>
    <row r="60" spans="1:13" s="49" customFormat="1" ht="14.25" customHeight="1">
      <c r="D60" s="1286" t="s">
        <v>131</v>
      </c>
      <c r="E60" s="1286"/>
      <c r="F60" s="1286"/>
      <c r="G60" s="1286"/>
      <c r="H60" s="1286"/>
    </row>
    <row r="61" spans="1:13" s="49" customFormat="1" ht="14.25" customHeight="1">
      <c r="D61" s="137"/>
      <c r="E61" s="137"/>
      <c r="F61" s="137"/>
      <c r="G61" s="137"/>
      <c r="H61" s="137" t="s">
        <v>132</v>
      </c>
    </row>
    <row r="62" spans="1:13" s="49" customFormat="1" ht="15.25" customHeight="1">
      <c r="B62" s="106"/>
      <c r="D62" s="1282" t="s">
        <v>133</v>
      </c>
      <c r="E62" s="1282"/>
      <c r="F62" s="1282"/>
      <c r="G62" s="1282"/>
      <c r="H62" s="1282"/>
    </row>
    <row r="63" spans="1:13" s="49" customFormat="1" ht="15.25" customHeight="1">
      <c r="B63" s="106"/>
      <c r="D63" s="138"/>
      <c r="E63" s="138"/>
      <c r="F63" s="138"/>
      <c r="G63" s="138"/>
      <c r="H63" s="138" t="s">
        <v>134</v>
      </c>
    </row>
    <row r="64" spans="1:13" s="49" customFormat="1" ht="15.75" customHeight="1">
      <c r="B64" s="139"/>
      <c r="D64" s="1282" t="s">
        <v>132</v>
      </c>
      <c r="E64" s="1282"/>
      <c r="F64" s="1282"/>
      <c r="G64" s="1282"/>
      <c r="H64" s="1282"/>
    </row>
    <row r="65" spans="2:8" s="140" customFormat="1" ht="12">
      <c r="B65" s="140" t="s">
        <v>135</v>
      </c>
      <c r="E65" s="141"/>
      <c r="F65" s="141"/>
      <c r="G65" s="141"/>
      <c r="H65" s="141"/>
    </row>
    <row r="66" spans="2:8" s="140" customFormat="1" ht="12">
      <c r="B66" s="142" t="s">
        <v>136</v>
      </c>
      <c r="E66" s="141"/>
      <c r="F66" s="141"/>
      <c r="G66" s="141"/>
      <c r="H66" s="141"/>
    </row>
    <row r="67" spans="2:8" s="140" customFormat="1" ht="12">
      <c r="B67" s="141" t="s">
        <v>137</v>
      </c>
      <c r="E67" s="141"/>
      <c r="F67" s="141"/>
      <c r="G67" s="141"/>
      <c r="H67" s="141"/>
    </row>
    <row r="68" spans="2:8" s="1" customFormat="1">
      <c r="B68" s="141"/>
      <c r="E68"/>
      <c r="F68"/>
      <c r="G68" s="143"/>
    </row>
  </sheetData>
  <mergeCells count="19">
    <mergeCell ref="B53:D53"/>
    <mergeCell ref="B6:D6"/>
    <mergeCell ref="B9:C9"/>
    <mergeCell ref="B13:D13"/>
    <mergeCell ref="B18:C18"/>
    <mergeCell ref="B40:C40"/>
    <mergeCell ref="B45:C45"/>
    <mergeCell ref="B47:C47"/>
    <mergeCell ref="B48:D48"/>
    <mergeCell ref="B49:C49"/>
    <mergeCell ref="B50:D50"/>
    <mergeCell ref="B52:D52"/>
    <mergeCell ref="D64:H64"/>
    <mergeCell ref="B54:D54"/>
    <mergeCell ref="B55:D55"/>
    <mergeCell ref="B56:D56"/>
    <mergeCell ref="D59:H59"/>
    <mergeCell ref="D60:H60"/>
    <mergeCell ref="D62:H62"/>
  </mergeCells>
  <conditionalFormatting sqref="C42:C44">
    <cfRule type="cellIs" dxfId="38" priority="2" stopIfTrue="1" operator="lessThan">
      <formula>0</formula>
    </cfRule>
  </conditionalFormatting>
  <conditionalFormatting sqref="C52:C57">
    <cfRule type="cellIs" dxfId="37" priority="1" stopIfTrue="1" operator="lessThan">
      <formula>0</formula>
    </cfRule>
  </conditionalFormatting>
  <pageMargins left="0.55118110236220474" right="0.55118110236220474" top="0.55118110236220474" bottom="0.55118110236220474" header="0.31496062992125984" footer="0.31496062992125984"/>
  <pageSetup paperSize="9" scale="6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E64B5-F8B4-4A4D-9428-E5D2872A5F81}">
  <sheetPr codeName="Sheet31">
    <pageSetUpPr fitToPage="1"/>
  </sheetPr>
  <dimension ref="A1:L74"/>
  <sheetViews>
    <sheetView view="pageBreakPreview" zoomScaleNormal="100" zoomScaleSheetLayoutView="100" workbookViewId="0">
      <selection activeCell="D60" sqref="D60"/>
    </sheetView>
  </sheetViews>
  <sheetFormatPr baseColWidth="10" defaultColWidth="8.83203125" defaultRowHeight="15"/>
  <cols>
    <col min="1" max="1" width="4.33203125" customWidth="1"/>
    <col min="2" max="2" width="8.83203125" customWidth="1"/>
    <col min="3" max="3" width="39" customWidth="1"/>
    <col min="5" max="5" width="20.5" customWidth="1"/>
    <col min="6" max="6" width="14.33203125" customWidth="1"/>
    <col min="7" max="7" width="14.6640625" customWidth="1"/>
    <col min="8" max="8" width="13.83203125" customWidth="1"/>
  </cols>
  <sheetData>
    <row r="1" spans="1:12" s="12" customFormat="1" ht="8.25" customHeight="1"/>
    <row r="2" spans="1:12" s="12" customFormat="1" ht="8.25" customHeight="1"/>
    <row r="3" spans="1:12" s="1" customFormat="1" ht="16.5" customHeight="1">
      <c r="B3" s="2" t="s">
        <v>138</v>
      </c>
      <c r="C3" s="3" t="s">
        <v>139</v>
      </c>
      <c r="G3" s="4"/>
    </row>
    <row r="4" spans="1:12" s="1" customFormat="1" ht="16.5" customHeight="1">
      <c r="B4" s="5" t="s">
        <v>140</v>
      </c>
      <c r="C4" s="6" t="s">
        <v>141</v>
      </c>
      <c r="D4" s="7"/>
      <c r="E4" s="7"/>
      <c r="F4" s="7"/>
      <c r="G4" s="4"/>
    </row>
    <row r="5" spans="1:12" s="12" customFormat="1" ht="13.25" customHeight="1" thickBot="1">
      <c r="A5" s="9"/>
      <c r="B5" s="9"/>
      <c r="C5" s="9"/>
      <c r="D5" s="9"/>
      <c r="E5" s="9"/>
      <c r="F5" s="8"/>
      <c r="G5" s="8"/>
    </row>
    <row r="6" spans="1:12" s="12" customFormat="1" ht="43" customHeight="1" thickBot="1">
      <c r="A6" s="10"/>
      <c r="B6" s="1273" t="s">
        <v>142</v>
      </c>
      <c r="C6" s="1293"/>
      <c r="D6" s="10"/>
      <c r="E6" s="144"/>
      <c r="F6" s="11">
        <v>2022</v>
      </c>
      <c r="G6" s="11">
        <v>2023</v>
      </c>
      <c r="H6" s="11">
        <v>2024</v>
      </c>
    </row>
    <row r="7" spans="1:12" s="12" customFormat="1" ht="15.25" customHeight="1">
      <c r="B7" s="73"/>
      <c r="C7" s="74"/>
      <c r="D7" s="75"/>
      <c r="E7" s="75"/>
      <c r="F7" s="75"/>
      <c r="G7" s="75"/>
    </row>
    <row r="8" spans="1:12" s="16" customFormat="1" ht="15.25" customHeight="1">
      <c r="B8" s="37" t="s">
        <v>143</v>
      </c>
    </row>
    <row r="9" spans="1:12" s="16" customFormat="1" ht="15.25" customHeight="1">
      <c r="B9" s="78" t="s">
        <v>144</v>
      </c>
      <c r="F9" s="145"/>
      <c r="G9" s="145"/>
      <c r="H9" s="145"/>
      <c r="L9" s="80"/>
    </row>
    <row r="10" spans="1:12" s="16" customFormat="1" ht="15.25" customHeight="1">
      <c r="F10" s="146"/>
      <c r="G10" s="146"/>
      <c r="H10" s="145"/>
    </row>
    <row r="11" spans="1:12" s="16" customFormat="1" ht="15.25" customHeight="1">
      <c r="B11" s="130" t="s">
        <v>145</v>
      </c>
      <c r="F11" s="147">
        <v>240029.5</v>
      </c>
      <c r="G11" s="147">
        <v>199667.6</v>
      </c>
      <c r="H11" s="147">
        <v>197884.2</v>
      </c>
      <c r="I11" s="148"/>
    </row>
    <row r="12" spans="1:12" s="16" customFormat="1" ht="15.25" customHeight="1">
      <c r="B12" s="149" t="s">
        <v>146</v>
      </c>
      <c r="F12" s="147"/>
      <c r="G12" s="147"/>
      <c r="H12" s="150"/>
      <c r="I12" s="148"/>
    </row>
    <row r="13" spans="1:12" s="16" customFormat="1" ht="7.5" customHeight="1">
      <c r="B13" s="149"/>
      <c r="F13" s="147"/>
      <c r="G13" s="147"/>
      <c r="H13" s="150"/>
      <c r="I13" s="148"/>
    </row>
    <row r="14" spans="1:12" s="16" customFormat="1" ht="15.25" customHeight="1">
      <c r="B14" s="130" t="s">
        <v>147</v>
      </c>
      <c r="F14" s="147">
        <v>102272.3</v>
      </c>
      <c r="G14" s="147">
        <v>28442.6</v>
      </c>
      <c r="H14" s="147">
        <v>13128.8</v>
      </c>
      <c r="I14" s="148"/>
    </row>
    <row r="15" spans="1:12" s="16" customFormat="1" ht="15.25" customHeight="1">
      <c r="B15" s="149" t="s">
        <v>148</v>
      </c>
      <c r="F15" s="147"/>
      <c r="G15" s="147"/>
      <c r="H15" s="150"/>
      <c r="I15" s="148"/>
    </row>
    <row r="16" spans="1:12" s="16" customFormat="1" ht="7.5" customHeight="1">
      <c r="B16" s="149"/>
      <c r="F16" s="147"/>
      <c r="G16" s="147"/>
      <c r="H16" s="150"/>
      <c r="I16" s="148"/>
    </row>
    <row r="17" spans="2:12" s="16" customFormat="1" ht="15.25" customHeight="1">
      <c r="B17" s="130" t="s">
        <v>149</v>
      </c>
      <c r="F17" s="147">
        <v>89421</v>
      </c>
      <c r="G17" s="147">
        <v>13693.7</v>
      </c>
      <c r="H17" s="147">
        <v>469.4</v>
      </c>
      <c r="I17" s="148"/>
    </row>
    <row r="18" spans="2:12" s="16" customFormat="1" ht="15.25" customHeight="1">
      <c r="B18" s="149" t="s">
        <v>150</v>
      </c>
      <c r="F18" s="147"/>
      <c r="G18" s="147"/>
      <c r="H18" s="147"/>
      <c r="I18" s="148"/>
    </row>
    <row r="19" spans="2:12" s="16" customFormat="1" ht="7.5" customHeight="1">
      <c r="B19" s="149"/>
      <c r="F19" s="147"/>
      <c r="G19" s="147"/>
      <c r="H19" s="147"/>
      <c r="I19" s="148"/>
    </row>
    <row r="20" spans="2:12" s="16" customFormat="1" ht="15.25" customHeight="1">
      <c r="B20" s="130" t="s">
        <v>151</v>
      </c>
      <c r="F20" s="147">
        <v>92638.2</v>
      </c>
      <c r="G20" s="147">
        <v>38634.6</v>
      </c>
      <c r="H20" s="147">
        <v>17451</v>
      </c>
      <c r="I20" s="148"/>
    </row>
    <row r="21" spans="2:12" s="16" customFormat="1" ht="15.25" customHeight="1">
      <c r="B21" s="149" t="s">
        <v>152</v>
      </c>
      <c r="F21" s="147"/>
      <c r="G21" s="147"/>
      <c r="H21" s="147"/>
      <c r="I21" s="148"/>
    </row>
    <row r="22" spans="2:12" s="16" customFormat="1" ht="7.5" customHeight="1">
      <c r="B22" s="149"/>
      <c r="F22" s="147"/>
      <c r="G22" s="147"/>
      <c r="H22" s="147"/>
      <c r="I22" s="148"/>
    </row>
    <row r="23" spans="2:12" s="16" customFormat="1" ht="15.25" customHeight="1">
      <c r="B23" s="130" t="s">
        <v>153</v>
      </c>
      <c r="F23" s="147">
        <v>44800.1</v>
      </c>
      <c r="G23" s="147">
        <v>17219.2</v>
      </c>
      <c r="H23" s="147">
        <v>10281.200000000001</v>
      </c>
      <c r="I23" s="148"/>
    </row>
    <row r="24" spans="2:12" s="16" customFormat="1" ht="15.25" customHeight="1">
      <c r="B24" s="149" t="s">
        <v>154</v>
      </c>
      <c r="F24" s="147"/>
      <c r="G24" s="147"/>
      <c r="H24" s="147"/>
      <c r="I24" s="148"/>
    </row>
    <row r="25" spans="2:12" s="16" customFormat="1" ht="7.5" customHeight="1">
      <c r="B25" s="149"/>
      <c r="F25" s="147"/>
      <c r="G25" s="147"/>
      <c r="H25" s="147"/>
      <c r="I25" s="148"/>
    </row>
    <row r="26" spans="2:12" s="16" customFormat="1" ht="15.25" customHeight="1">
      <c r="B26" s="130" t="s">
        <v>155</v>
      </c>
      <c r="F26" s="147">
        <v>3561.8</v>
      </c>
      <c r="G26" s="147">
        <v>3457.5</v>
      </c>
      <c r="H26" s="147">
        <v>3520.2</v>
      </c>
      <c r="I26" s="148"/>
    </row>
    <row r="27" spans="2:12" s="16" customFormat="1" ht="15.25" customHeight="1">
      <c r="B27" s="149" t="s">
        <v>156</v>
      </c>
      <c r="I27" s="148"/>
    </row>
    <row r="28" spans="2:12" s="16" customFormat="1" ht="15.25" customHeight="1">
      <c r="B28" s="130"/>
      <c r="I28" s="148"/>
    </row>
    <row r="29" spans="2:12" s="16" customFormat="1" ht="15.25" customHeight="1">
      <c r="B29" s="37" t="s">
        <v>157</v>
      </c>
    </row>
    <row r="30" spans="2:12" s="16" customFormat="1" ht="15.25" customHeight="1">
      <c r="B30" s="78" t="s">
        <v>158</v>
      </c>
      <c r="F30" s="146"/>
      <c r="G30" s="146"/>
      <c r="H30" s="145"/>
      <c r="L30" s="80"/>
    </row>
    <row r="31" spans="2:12" s="16" customFormat="1" ht="15.25" customHeight="1">
      <c r="F31" s="146"/>
      <c r="G31" s="146"/>
      <c r="H31" s="145"/>
    </row>
    <row r="32" spans="2:12" s="16" customFormat="1" ht="15.25" customHeight="1">
      <c r="B32" s="130" t="s">
        <v>159</v>
      </c>
      <c r="F32" s="151">
        <v>8.9</v>
      </c>
      <c r="G32" s="151">
        <v>-16.8</v>
      </c>
      <c r="H32" s="151">
        <v>-0.9</v>
      </c>
      <c r="I32" s="148"/>
    </row>
    <row r="33" spans="2:9" s="16" customFormat="1" ht="15.25" customHeight="1">
      <c r="B33" s="149" t="s">
        <v>160</v>
      </c>
      <c r="F33" s="151"/>
      <c r="G33" s="151"/>
      <c r="H33" s="152"/>
      <c r="I33" s="148"/>
    </row>
    <row r="34" spans="2:9" s="16" customFormat="1" ht="7.5" customHeight="1">
      <c r="B34" s="149"/>
      <c r="F34" s="151"/>
      <c r="G34" s="151"/>
      <c r="H34" s="152"/>
      <c r="I34" s="148"/>
    </row>
    <row r="35" spans="2:9" s="16" customFormat="1" ht="15.25" customHeight="1">
      <c r="B35" s="130" t="s">
        <v>161</v>
      </c>
      <c r="F35" s="151">
        <v>8.1</v>
      </c>
      <c r="G35" s="151">
        <v>-72.2</v>
      </c>
      <c r="H35" s="151">
        <v>-53.8</v>
      </c>
      <c r="I35" s="148"/>
    </row>
    <row r="36" spans="2:9" s="16" customFormat="1" ht="15.25" customHeight="1">
      <c r="B36" s="149" t="s">
        <v>162</v>
      </c>
      <c r="F36" s="151"/>
      <c r="G36" s="151"/>
      <c r="H36" s="152"/>
      <c r="I36" s="148"/>
    </row>
    <row r="37" spans="2:9" s="16" customFormat="1" ht="7.5" customHeight="1">
      <c r="B37" s="149"/>
      <c r="F37" s="151"/>
      <c r="G37" s="151"/>
      <c r="H37" s="152"/>
      <c r="I37" s="148"/>
    </row>
    <row r="38" spans="2:9" s="16" customFormat="1" ht="15.25" customHeight="1">
      <c r="B38" s="130" t="s">
        <v>163</v>
      </c>
      <c r="E38" s="153"/>
      <c r="F38" s="151">
        <v>2</v>
      </c>
      <c r="G38" s="151">
        <v>-84.7</v>
      </c>
      <c r="H38" s="151">
        <v>-96.6</v>
      </c>
      <c r="I38" s="148"/>
    </row>
    <row r="39" spans="2:9" s="16" customFormat="1" ht="15.25" customHeight="1">
      <c r="B39" s="149" t="s">
        <v>164</v>
      </c>
      <c r="F39" s="151"/>
      <c r="G39" s="151"/>
      <c r="H39" s="152"/>
      <c r="I39" s="148"/>
    </row>
    <row r="40" spans="2:9" s="16" customFormat="1" ht="7.5" customHeight="1">
      <c r="B40" s="149"/>
      <c r="F40" s="151"/>
      <c r="G40" s="151"/>
      <c r="H40" s="152"/>
      <c r="I40" s="148"/>
    </row>
    <row r="41" spans="2:9" s="16" customFormat="1" ht="15.25" customHeight="1">
      <c r="B41" s="130" t="s">
        <v>165</v>
      </c>
      <c r="F41" s="151">
        <v>12</v>
      </c>
      <c r="G41" s="151">
        <v>-58.3</v>
      </c>
      <c r="H41" s="151">
        <v>-54.8</v>
      </c>
      <c r="I41" s="148"/>
    </row>
    <row r="42" spans="2:9" s="16" customFormat="1" ht="15.25" customHeight="1">
      <c r="B42" s="149" t="s">
        <v>166</v>
      </c>
      <c r="F42" s="151"/>
      <c r="G42" s="151"/>
      <c r="H42" s="152"/>
      <c r="I42" s="148"/>
    </row>
    <row r="43" spans="2:9" s="16" customFormat="1" ht="7.5" customHeight="1">
      <c r="B43" s="149"/>
      <c r="F43" s="151"/>
      <c r="G43" s="151"/>
      <c r="H43" s="152"/>
      <c r="I43" s="148"/>
    </row>
    <row r="44" spans="2:9" s="16" customFormat="1" ht="15.25" customHeight="1">
      <c r="B44" s="130" t="s">
        <v>167</v>
      </c>
      <c r="F44" s="151">
        <v>8.9</v>
      </c>
      <c r="G44" s="151">
        <v>-61.6</v>
      </c>
      <c r="H44" s="151">
        <v>-40.299999999999997</v>
      </c>
      <c r="I44" s="148"/>
    </row>
    <row r="45" spans="2:9" s="16" customFormat="1" ht="15.25" customHeight="1">
      <c r="B45" s="149" t="s">
        <v>168</v>
      </c>
      <c r="F45" s="151"/>
      <c r="G45" s="151"/>
      <c r="H45" s="152"/>
      <c r="I45" s="148"/>
    </row>
    <row r="46" spans="2:9" s="16" customFormat="1" ht="7.5" customHeight="1">
      <c r="B46" s="149"/>
      <c r="F46" s="151"/>
      <c r="G46" s="151"/>
      <c r="H46" s="152"/>
      <c r="I46" s="148"/>
    </row>
    <row r="47" spans="2:9" s="16" customFormat="1" ht="15.25" customHeight="1">
      <c r="B47" s="130" t="s">
        <v>169</v>
      </c>
      <c r="F47" s="151">
        <v>2.6</v>
      </c>
      <c r="G47" s="151">
        <v>-2.9</v>
      </c>
      <c r="H47" s="151">
        <v>1.8</v>
      </c>
      <c r="I47" s="148"/>
    </row>
    <row r="48" spans="2:9" s="16" customFormat="1" ht="15.25" customHeight="1">
      <c r="B48" s="149" t="s">
        <v>170</v>
      </c>
      <c r="F48" s="151"/>
      <c r="G48" s="151"/>
      <c r="H48" s="22"/>
      <c r="I48" s="148"/>
    </row>
    <row r="49" spans="2:12" s="16" customFormat="1" ht="15.25" customHeight="1">
      <c r="B49" s="92"/>
      <c r="C49" s="21"/>
      <c r="D49" s="22"/>
      <c r="E49" s="22"/>
      <c r="F49" s="22"/>
      <c r="G49" s="22"/>
      <c r="H49" s="22"/>
    </row>
    <row r="50" spans="2:12" s="16" customFormat="1" ht="7.5" customHeight="1">
      <c r="B50" s="154"/>
      <c r="C50" s="21"/>
      <c r="D50" s="22"/>
      <c r="E50" s="22"/>
      <c r="F50" s="22"/>
      <c r="G50" s="22"/>
      <c r="H50" s="22"/>
    </row>
    <row r="51" spans="2:12" s="16" customFormat="1" ht="15.25" customHeight="1">
      <c r="B51" s="37" t="s">
        <v>171</v>
      </c>
      <c r="F51" s="22"/>
      <c r="G51" s="22"/>
      <c r="H51" s="22"/>
    </row>
    <row r="52" spans="2:12" s="16" customFormat="1" ht="15.25" customHeight="1">
      <c r="B52" s="78" t="s">
        <v>172</v>
      </c>
      <c r="F52" s="151"/>
      <c r="G52" s="151"/>
      <c r="H52" s="152"/>
      <c r="L52" s="80"/>
    </row>
    <row r="53" spans="2:12" s="16" customFormat="1" ht="15.25" customHeight="1">
      <c r="F53" s="151"/>
      <c r="G53" s="151"/>
      <c r="H53" s="152"/>
    </row>
    <row r="54" spans="2:12" s="16" customFormat="1" ht="15.25" customHeight="1">
      <c r="B54" s="130" t="s">
        <v>159</v>
      </c>
      <c r="F54" s="151">
        <v>15.9</v>
      </c>
      <c r="G54" s="151">
        <v>14.1</v>
      </c>
      <c r="H54" s="151">
        <v>12.8</v>
      </c>
      <c r="I54" s="148"/>
    </row>
    <row r="55" spans="2:12" s="16" customFormat="1" ht="15.25" customHeight="1">
      <c r="B55" s="149" t="s">
        <v>160</v>
      </c>
      <c r="F55" s="151"/>
      <c r="G55" s="151"/>
      <c r="H55" s="152"/>
      <c r="I55" s="148"/>
    </row>
    <row r="56" spans="2:12" s="16" customFormat="1" ht="7.5" customHeight="1">
      <c r="B56" s="149"/>
      <c r="F56" s="151"/>
      <c r="G56" s="151"/>
      <c r="H56" s="152"/>
      <c r="I56" s="148"/>
    </row>
    <row r="57" spans="2:12" s="16" customFormat="1" ht="15.25" customHeight="1">
      <c r="B57" s="130" t="s">
        <v>161</v>
      </c>
      <c r="F57" s="151">
        <v>6.8</v>
      </c>
      <c r="G57" s="151">
        <v>2</v>
      </c>
      <c r="H57" s="151">
        <v>0.8</v>
      </c>
      <c r="I57" s="148"/>
    </row>
    <row r="58" spans="2:12" s="16" customFormat="1" ht="15.25" customHeight="1">
      <c r="B58" s="149" t="s">
        <v>162</v>
      </c>
      <c r="F58" s="151"/>
      <c r="G58" s="151"/>
      <c r="H58" s="152"/>
      <c r="I58" s="148"/>
    </row>
    <row r="59" spans="2:12" s="16" customFormat="1" ht="7.5" customHeight="1">
      <c r="B59" s="149"/>
      <c r="F59" s="151"/>
      <c r="G59" s="151"/>
      <c r="H59" s="152"/>
      <c r="I59" s="148"/>
    </row>
    <row r="60" spans="2:12" s="16" customFormat="1" ht="15.25" customHeight="1">
      <c r="B60" s="104"/>
      <c r="C60" s="21"/>
      <c r="D60" s="22"/>
      <c r="E60" s="22"/>
      <c r="F60" s="22"/>
      <c r="G60" s="22"/>
      <c r="H60" s="22"/>
    </row>
    <row r="61" spans="2:12" s="16" customFormat="1" ht="15.25" customHeight="1">
      <c r="B61" s="28"/>
      <c r="C61" s="29"/>
      <c r="D61" s="30"/>
      <c r="E61" s="30"/>
      <c r="F61" s="93"/>
      <c r="G61" s="93"/>
      <c r="H61" s="22"/>
    </row>
    <row r="62" spans="2:12" s="16" customFormat="1" ht="15.25" customHeight="1">
      <c r="B62" s="28"/>
      <c r="C62" s="29"/>
      <c r="D62" s="30"/>
      <c r="E62" s="30"/>
      <c r="F62" s="93"/>
      <c r="G62" s="93"/>
      <c r="H62" s="22"/>
    </row>
    <row r="63" spans="2:12" s="16" customFormat="1" ht="15.25" customHeight="1">
      <c r="B63" s="28"/>
      <c r="C63" s="29"/>
      <c r="D63" s="30"/>
      <c r="E63" s="30"/>
      <c r="F63" s="93"/>
      <c r="G63" s="93"/>
      <c r="H63" s="22"/>
    </row>
    <row r="64" spans="2:12" s="16" customFormat="1" ht="7.5" customHeight="1">
      <c r="C64" s="21"/>
      <c r="D64" s="22"/>
      <c r="E64" s="22"/>
      <c r="F64" s="22"/>
      <c r="G64" s="93"/>
      <c r="H64" s="22"/>
    </row>
    <row r="65" spans="1:9" s="16" customFormat="1" ht="15.25" customHeight="1">
      <c r="B65" s="99"/>
      <c r="C65" s="94"/>
      <c r="D65" s="23"/>
      <c r="E65" s="23"/>
      <c r="F65" s="22"/>
      <c r="G65" s="93"/>
      <c r="H65" s="22"/>
      <c r="I65" s="98"/>
    </row>
    <row r="66" spans="1:9" s="16" customFormat="1" ht="8.25" customHeight="1">
      <c r="B66" s="99"/>
      <c r="C66" s="94"/>
      <c r="D66" s="23"/>
      <c r="E66" s="23"/>
      <c r="F66" s="23"/>
      <c r="G66" s="86"/>
      <c r="I66" s="98"/>
    </row>
    <row r="67" spans="1:9" s="16" customFormat="1" ht="15.25" customHeight="1">
      <c r="B67" s="28"/>
      <c r="C67" s="94"/>
      <c r="D67" s="22"/>
      <c r="E67" s="22"/>
      <c r="F67" s="22"/>
      <c r="G67" s="30"/>
      <c r="I67" s="98"/>
    </row>
    <row r="68" spans="1:9" s="16" customFormat="1" ht="8.25" customHeight="1" thickBot="1">
      <c r="A68" s="155"/>
      <c r="B68" s="155"/>
      <c r="C68" s="155"/>
      <c r="D68" s="155"/>
      <c r="E68" s="155"/>
      <c r="F68" s="155"/>
      <c r="G68" s="155"/>
      <c r="H68" s="155"/>
    </row>
    <row r="69" spans="1:9" s="16" customFormat="1" ht="15.25" customHeight="1" thickTop="1">
      <c r="D69" s="156"/>
      <c r="E69" s="157"/>
      <c r="F69" s="157"/>
      <c r="G69" s="157"/>
      <c r="H69" s="158" t="s">
        <v>32</v>
      </c>
    </row>
    <row r="70" spans="1:9" s="16" customFormat="1" ht="15.25" customHeight="1">
      <c r="D70" s="156"/>
      <c r="E70" s="156"/>
      <c r="F70" s="156"/>
      <c r="G70" s="156"/>
      <c r="H70" s="159" t="s">
        <v>33</v>
      </c>
    </row>
    <row r="71" spans="1:9" s="12" customFormat="1" ht="13">
      <c r="B71" s="46" t="s">
        <v>173</v>
      </c>
    </row>
    <row r="72" spans="1:9" s="12" customFormat="1" ht="13">
      <c r="B72" s="105" t="s">
        <v>174</v>
      </c>
    </row>
    <row r="73" spans="1:9" s="12" customFormat="1" ht="13">
      <c r="B73" s="107" t="s">
        <v>175</v>
      </c>
    </row>
    <row r="74" spans="1:9" s="12" customFormat="1" ht="13"/>
  </sheetData>
  <mergeCells count="1">
    <mergeCell ref="B6:C6"/>
  </mergeCells>
  <conditionalFormatting sqref="C61:C63">
    <cfRule type="cellIs" dxfId="3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1EFD-AC1A-4EB1-92C4-F1431FD8D8C4}">
  <sheetPr codeName="Sheet32">
    <pageSetUpPr fitToPage="1"/>
  </sheetPr>
  <dimension ref="A1:O72"/>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3" max="3" width="37.5" customWidth="1"/>
    <col min="4" max="4" width="10.6640625" customWidth="1"/>
    <col min="5" max="5" width="32.6640625" customWidth="1"/>
    <col min="6" max="6" width="4.6640625" customWidth="1"/>
    <col min="7" max="7" width="14.6640625" customWidth="1"/>
    <col min="8" max="8" width="15" customWidth="1"/>
    <col min="9" max="9" width="13.5" customWidth="1"/>
  </cols>
  <sheetData>
    <row r="1" spans="1:15" s="12" customFormat="1" ht="8.25" customHeight="1"/>
    <row r="2" spans="1:15" s="12" customFormat="1" ht="8.25" customHeight="1"/>
    <row r="3" spans="1:15" s="1" customFormat="1" ht="16.5" customHeight="1">
      <c r="B3" s="2" t="s">
        <v>176</v>
      </c>
      <c r="C3" s="3" t="s">
        <v>177</v>
      </c>
    </row>
    <row r="4" spans="1:15" s="1" customFormat="1" ht="16.5" customHeight="1">
      <c r="B4" s="5" t="s">
        <v>178</v>
      </c>
      <c r="C4" s="6" t="s">
        <v>179</v>
      </c>
      <c r="D4" s="7"/>
      <c r="E4" s="7"/>
      <c r="F4" s="7"/>
      <c r="G4" s="7"/>
      <c r="H4" s="7"/>
    </row>
    <row r="5" spans="1:15" s="12" customFormat="1" ht="13.25" customHeight="1" thickBot="1">
      <c r="A5" s="9"/>
      <c r="B5" s="9"/>
      <c r="C5" s="9"/>
      <c r="D5" s="9"/>
      <c r="E5" s="9"/>
      <c r="F5" s="8"/>
      <c r="G5" s="8"/>
      <c r="H5" s="8"/>
    </row>
    <row r="6" spans="1:15" s="12" customFormat="1" ht="43" customHeight="1" thickBot="1">
      <c r="A6" s="10"/>
      <c r="B6" s="1273" t="s">
        <v>180</v>
      </c>
      <c r="C6" s="1273"/>
      <c r="D6" s="1273"/>
      <c r="E6" s="1273"/>
      <c r="F6" s="11"/>
      <c r="G6" s="11">
        <v>2022</v>
      </c>
      <c r="H6" s="11">
        <v>2023</v>
      </c>
      <c r="I6" s="11">
        <v>2024</v>
      </c>
    </row>
    <row r="7" spans="1:15" s="12" customFormat="1" ht="15.25" customHeight="1">
      <c r="B7" s="73"/>
      <c r="C7" s="74"/>
      <c r="D7" s="75"/>
      <c r="E7" s="75"/>
      <c r="F7" s="75"/>
      <c r="G7" s="75"/>
      <c r="H7" s="75"/>
    </row>
    <row r="8" spans="1:15" s="16" customFormat="1" ht="15.25" customHeight="1">
      <c r="B8" s="37" t="s">
        <v>181</v>
      </c>
    </row>
    <row r="9" spans="1:15" s="16" customFormat="1" ht="15.25" customHeight="1">
      <c r="B9" s="78" t="s">
        <v>182</v>
      </c>
      <c r="F9" s="146"/>
      <c r="G9" s="146"/>
      <c r="H9" s="146"/>
      <c r="I9" s="146"/>
      <c r="M9" s="80"/>
    </row>
    <row r="10" spans="1:15" s="16" customFormat="1" ht="15.25" customHeight="1">
      <c r="F10" s="146"/>
      <c r="G10" s="146"/>
      <c r="H10" s="146"/>
      <c r="I10" s="146"/>
    </row>
    <row r="11" spans="1:15" s="16" customFormat="1" ht="15.25" customHeight="1">
      <c r="B11" s="130" t="s">
        <v>183</v>
      </c>
      <c r="F11" s="146"/>
      <c r="G11" s="147">
        <v>195122.9</v>
      </c>
      <c r="H11" s="147">
        <v>201429.92</v>
      </c>
      <c r="I11" s="147">
        <v>217084.94</v>
      </c>
      <c r="J11" s="148"/>
      <c r="K11" s="160"/>
      <c r="L11" s="160"/>
      <c r="M11" s="160"/>
      <c r="N11" s="160"/>
      <c r="O11" s="160"/>
    </row>
    <row r="12" spans="1:15" s="16" customFormat="1" ht="15.25" customHeight="1">
      <c r="B12" s="149" t="s">
        <v>184</v>
      </c>
      <c r="F12" s="146"/>
      <c r="G12" s="147"/>
      <c r="H12" s="147"/>
      <c r="I12" s="147"/>
      <c r="J12" s="148"/>
    </row>
    <row r="13" spans="1:15" s="16" customFormat="1" ht="7.5" customHeight="1">
      <c r="B13" s="149"/>
      <c r="F13" s="146"/>
      <c r="G13" s="147"/>
      <c r="H13" s="147"/>
      <c r="I13" s="147"/>
      <c r="J13" s="148"/>
    </row>
    <row r="14" spans="1:15" s="16" customFormat="1" ht="15.25" customHeight="1">
      <c r="B14" s="130" t="s">
        <v>185</v>
      </c>
      <c r="F14" s="161"/>
      <c r="G14" s="147">
        <v>296133.08</v>
      </c>
      <c r="H14" s="147">
        <v>314770.92</v>
      </c>
      <c r="I14" s="147">
        <v>360836.58</v>
      </c>
      <c r="J14" s="162"/>
      <c r="K14" s="160"/>
      <c r="L14" s="160"/>
      <c r="M14" s="160"/>
      <c r="N14" s="160"/>
      <c r="O14" s="160"/>
    </row>
    <row r="15" spans="1:15" s="16" customFormat="1" ht="15.25" customHeight="1">
      <c r="B15" s="149" t="s">
        <v>186</v>
      </c>
      <c r="G15" s="23"/>
      <c r="H15" s="23"/>
      <c r="I15" s="23"/>
      <c r="J15" s="162"/>
    </row>
    <row r="16" spans="1:15" s="16" customFormat="1" ht="7.5" customHeight="1">
      <c r="B16" s="149"/>
      <c r="F16" s="146"/>
      <c r="G16" s="147"/>
      <c r="H16" s="147"/>
      <c r="I16" s="147"/>
      <c r="J16" s="148"/>
    </row>
    <row r="17" spans="2:15" s="16" customFormat="1" ht="15.25" customHeight="1">
      <c r="B17" s="130" t="s">
        <v>187</v>
      </c>
      <c r="F17" s="161"/>
      <c r="G17" s="147">
        <v>204608.22</v>
      </c>
      <c r="H17" s="147">
        <v>215789.79</v>
      </c>
      <c r="I17" s="147">
        <v>261176.6</v>
      </c>
      <c r="J17" s="148"/>
      <c r="K17" s="160"/>
      <c r="L17" s="160"/>
      <c r="M17" s="160"/>
      <c r="N17" s="160"/>
      <c r="O17" s="160"/>
    </row>
    <row r="18" spans="2:15" s="16" customFormat="1" ht="15.25" customHeight="1">
      <c r="B18" s="149" t="s">
        <v>188</v>
      </c>
      <c r="F18" s="146"/>
      <c r="G18" s="147"/>
      <c r="H18" s="147"/>
      <c r="I18" s="147"/>
      <c r="J18" s="148"/>
    </row>
    <row r="19" spans="2:15" s="16" customFormat="1" ht="7.5" customHeight="1">
      <c r="B19" s="149"/>
      <c r="F19" s="146"/>
      <c r="G19" s="147"/>
      <c r="H19" s="147"/>
      <c r="I19" s="147"/>
      <c r="J19" s="148"/>
    </row>
    <row r="20" spans="2:15" s="16" customFormat="1" ht="15.25" customHeight="1">
      <c r="B20" s="130" t="s">
        <v>189</v>
      </c>
      <c r="F20" s="146"/>
      <c r="G20" s="147">
        <v>129350.93</v>
      </c>
      <c r="H20" s="147">
        <v>163836.98000000001</v>
      </c>
      <c r="I20" s="147">
        <v>201074.86</v>
      </c>
      <c r="J20" s="148"/>
      <c r="K20" s="160"/>
      <c r="L20" s="160"/>
      <c r="M20" s="160"/>
      <c r="N20" s="160"/>
      <c r="O20" s="160"/>
    </row>
    <row r="21" spans="2:15" s="16" customFormat="1" ht="15.25" customHeight="1">
      <c r="B21" s="149" t="s">
        <v>190</v>
      </c>
      <c r="F21" s="146"/>
      <c r="G21" s="147"/>
      <c r="H21" s="147"/>
      <c r="I21" s="147"/>
      <c r="J21" s="148"/>
    </row>
    <row r="22" spans="2:15" s="16" customFormat="1" ht="7.5" customHeight="1">
      <c r="B22" s="149"/>
      <c r="F22" s="146"/>
      <c r="G22" s="147"/>
      <c r="H22" s="147"/>
      <c r="I22" s="147"/>
      <c r="J22" s="148"/>
    </row>
    <row r="23" spans="2:15" s="16" customFormat="1" ht="15.25" customHeight="1">
      <c r="B23" s="130" t="s">
        <v>191</v>
      </c>
      <c r="F23" s="146"/>
      <c r="G23" s="147">
        <v>289966.96999999997</v>
      </c>
      <c r="H23" s="147">
        <v>320364.59999999998</v>
      </c>
      <c r="I23" s="147">
        <v>359283.01</v>
      </c>
      <c r="J23" s="148"/>
      <c r="K23" s="160"/>
      <c r="L23" s="160"/>
      <c r="M23" s="160"/>
      <c r="N23" s="160"/>
      <c r="O23" s="160"/>
    </row>
    <row r="24" spans="2:15" s="16" customFormat="1" ht="15.25" customHeight="1">
      <c r="B24" s="149" t="s">
        <v>192</v>
      </c>
      <c r="F24" s="146"/>
      <c r="G24" s="147"/>
      <c r="H24" s="147"/>
      <c r="I24" s="147"/>
      <c r="J24" s="148"/>
    </row>
    <row r="25" spans="2:15" s="16" customFormat="1" ht="7.5" customHeight="1">
      <c r="B25" s="149"/>
      <c r="F25" s="146"/>
      <c r="G25" s="147"/>
      <c r="H25" s="147"/>
      <c r="I25" s="147"/>
      <c r="J25" s="148"/>
    </row>
    <row r="26" spans="2:15" s="16" customFormat="1" ht="15.25" customHeight="1">
      <c r="B26" s="130" t="s">
        <v>193</v>
      </c>
      <c r="F26" s="161"/>
      <c r="G26" s="147">
        <v>1135.51</v>
      </c>
      <c r="H26" s="147">
        <v>1158.1400000000001</v>
      </c>
      <c r="I26" s="147">
        <v>1205.56</v>
      </c>
      <c r="J26" s="148"/>
      <c r="K26" s="160"/>
      <c r="L26" s="160"/>
      <c r="M26" s="160"/>
      <c r="N26" s="160"/>
      <c r="O26" s="160"/>
    </row>
    <row r="27" spans="2:15" s="16" customFormat="1" ht="15.25" customHeight="1">
      <c r="B27" s="1294" t="s">
        <v>194</v>
      </c>
      <c r="C27" s="1294"/>
      <c r="F27" s="146"/>
      <c r="G27" s="146"/>
      <c r="H27" s="146"/>
      <c r="I27" s="146"/>
      <c r="J27" s="148"/>
    </row>
    <row r="28" spans="2:15" s="16" customFormat="1" ht="15.25" customHeight="1">
      <c r="F28" s="146"/>
      <c r="G28" s="146"/>
      <c r="H28" s="146"/>
      <c r="I28" s="146"/>
      <c r="J28" s="148"/>
    </row>
    <row r="29" spans="2:15" s="16" customFormat="1" ht="15.25" customHeight="1">
      <c r="B29" s="37" t="s">
        <v>195</v>
      </c>
    </row>
    <row r="30" spans="2:15" s="16" customFormat="1" ht="15.25" customHeight="1">
      <c r="B30" s="78" t="s">
        <v>196</v>
      </c>
      <c r="F30" s="146"/>
      <c r="G30" s="146"/>
      <c r="H30" s="146"/>
      <c r="I30" s="146"/>
      <c r="M30" s="80"/>
    </row>
    <row r="31" spans="2:15" s="16" customFormat="1" ht="15.25" customHeight="1">
      <c r="F31" s="146"/>
      <c r="G31" s="146"/>
      <c r="H31" s="146"/>
      <c r="I31" s="146"/>
    </row>
    <row r="32" spans="2:15" s="16" customFormat="1" ht="15.25" customHeight="1">
      <c r="B32" s="130" t="s">
        <v>197</v>
      </c>
      <c r="F32" s="163"/>
      <c r="G32" s="151">
        <v>6.61</v>
      </c>
      <c r="H32" s="151">
        <v>3.2</v>
      </c>
      <c r="I32" s="151">
        <v>7.8</v>
      </c>
      <c r="J32" s="148"/>
    </row>
    <row r="33" spans="2:10" s="16" customFormat="1" ht="15.25" customHeight="1">
      <c r="B33" s="149" t="s">
        <v>198</v>
      </c>
      <c r="F33" s="163"/>
      <c r="G33" s="151"/>
      <c r="H33" s="151"/>
      <c r="I33" s="151"/>
      <c r="J33" s="148"/>
    </row>
    <row r="34" spans="2:10" s="16" customFormat="1" ht="7.5" customHeight="1">
      <c r="B34" s="149"/>
      <c r="F34" s="163"/>
      <c r="G34" s="151"/>
      <c r="H34" s="151"/>
      <c r="I34" s="151"/>
      <c r="J34" s="148"/>
    </row>
    <row r="35" spans="2:10" s="16" customFormat="1" ht="15.25" customHeight="1">
      <c r="B35" s="130" t="s">
        <v>199</v>
      </c>
      <c r="F35" s="163"/>
      <c r="G35" s="151">
        <v>-2.2400000000000002</v>
      </c>
      <c r="H35" s="151">
        <v>6.3</v>
      </c>
      <c r="I35" s="151">
        <v>14.6</v>
      </c>
      <c r="J35" s="162"/>
    </row>
    <row r="36" spans="2:10" s="16" customFormat="1" ht="15.25" customHeight="1">
      <c r="B36" s="149" t="s">
        <v>200</v>
      </c>
      <c r="F36" s="164"/>
      <c r="G36" s="165"/>
      <c r="H36" s="165"/>
      <c r="I36" s="165"/>
      <c r="J36" s="162"/>
    </row>
    <row r="37" spans="2:10" s="16" customFormat="1" ht="7.5" customHeight="1">
      <c r="B37" s="149"/>
      <c r="F37" s="163"/>
      <c r="G37" s="151"/>
      <c r="H37" s="151"/>
      <c r="I37" s="151"/>
      <c r="J37" s="148"/>
    </row>
    <row r="38" spans="2:10" s="16" customFormat="1" ht="15.25" customHeight="1">
      <c r="B38" s="130" t="s">
        <v>201</v>
      </c>
      <c r="F38" s="163"/>
      <c r="G38" s="151">
        <v>-4.82</v>
      </c>
      <c r="H38" s="151">
        <v>5.5</v>
      </c>
      <c r="I38" s="151">
        <v>21</v>
      </c>
      <c r="J38" s="148"/>
    </row>
    <row r="39" spans="2:10" s="16" customFormat="1" ht="15.25" customHeight="1">
      <c r="B39" s="149" t="s">
        <v>202</v>
      </c>
      <c r="F39" s="163"/>
      <c r="G39" s="151"/>
      <c r="H39" s="151"/>
      <c r="I39" s="151"/>
      <c r="J39" s="148"/>
    </row>
    <row r="40" spans="2:10" s="16" customFormat="1" ht="7.5" customHeight="1">
      <c r="B40" s="149"/>
      <c r="F40" s="163"/>
      <c r="G40" s="151"/>
      <c r="H40" s="151"/>
      <c r="I40" s="151"/>
      <c r="J40" s="148"/>
    </row>
    <row r="41" spans="2:10" s="16" customFormat="1" ht="15.25" customHeight="1">
      <c r="B41" s="130" t="s">
        <v>203</v>
      </c>
      <c r="F41" s="163"/>
      <c r="G41" s="151">
        <v>10.1</v>
      </c>
      <c r="H41" s="151">
        <v>26.7</v>
      </c>
      <c r="I41" s="151">
        <v>22.7</v>
      </c>
      <c r="J41" s="148"/>
    </row>
    <row r="42" spans="2:10" s="16" customFormat="1" ht="15.25" customHeight="1">
      <c r="B42" s="149" t="s">
        <v>204</v>
      </c>
      <c r="F42" s="163"/>
      <c r="G42" s="151"/>
      <c r="H42" s="151"/>
      <c r="I42" s="151"/>
      <c r="J42" s="148"/>
    </row>
    <row r="43" spans="2:10" s="16" customFormat="1" ht="7.5" customHeight="1">
      <c r="B43" s="149"/>
      <c r="F43" s="163"/>
      <c r="G43" s="151"/>
      <c r="H43" s="151"/>
      <c r="I43" s="151"/>
      <c r="J43" s="148"/>
    </row>
    <row r="44" spans="2:10" s="16" customFormat="1" ht="15.25" customHeight="1">
      <c r="B44" s="130" t="s">
        <v>205</v>
      </c>
      <c r="F44" s="163"/>
      <c r="G44" s="151">
        <v>7.3</v>
      </c>
      <c r="H44" s="151">
        <v>10.5</v>
      </c>
      <c r="I44" s="151">
        <v>12.1</v>
      </c>
      <c r="J44" s="148"/>
    </row>
    <row r="45" spans="2:10" s="16" customFormat="1" ht="15.25" customHeight="1">
      <c r="B45" s="149" t="s">
        <v>206</v>
      </c>
      <c r="F45" s="163"/>
      <c r="G45" s="151"/>
      <c r="H45" s="151"/>
      <c r="I45" s="151"/>
      <c r="J45" s="148"/>
    </row>
    <row r="46" spans="2:10" s="16" customFormat="1" ht="7.5" customHeight="1">
      <c r="B46" s="149"/>
      <c r="F46" s="163"/>
      <c r="G46" s="151"/>
      <c r="H46" s="151"/>
      <c r="I46" s="151"/>
      <c r="J46" s="148"/>
    </row>
    <row r="47" spans="2:10" s="16" customFormat="1" ht="15.25" customHeight="1">
      <c r="B47" s="130" t="s">
        <v>207</v>
      </c>
      <c r="F47" s="163"/>
      <c r="G47" s="151">
        <v>1.17</v>
      </c>
      <c r="H47" s="151">
        <v>2.0099999999999998</v>
      </c>
      <c r="I47" s="151">
        <v>4.0999999999999996</v>
      </c>
      <c r="J47" s="148"/>
    </row>
    <row r="48" spans="2:10" s="16" customFormat="1" ht="15.25" customHeight="1">
      <c r="B48" s="149" t="s">
        <v>208</v>
      </c>
      <c r="F48" s="163"/>
      <c r="G48" s="151"/>
      <c r="H48" s="151"/>
      <c r="I48" s="151"/>
      <c r="J48" s="148"/>
    </row>
    <row r="49" spans="2:13" s="16" customFormat="1" ht="15.25" customHeight="1">
      <c r="B49" s="92"/>
      <c r="C49" s="21"/>
      <c r="D49" s="22"/>
      <c r="E49" s="22"/>
      <c r="F49" s="166"/>
      <c r="G49" s="165"/>
      <c r="H49" s="165"/>
      <c r="I49" s="165"/>
    </row>
    <row r="50" spans="2:13" s="16" customFormat="1" ht="7.5" customHeight="1">
      <c r="B50" s="154"/>
      <c r="C50" s="21"/>
      <c r="D50" s="22"/>
      <c r="E50" s="22"/>
      <c r="F50" s="166"/>
      <c r="G50" s="165"/>
      <c r="H50" s="165"/>
      <c r="I50" s="165"/>
    </row>
    <row r="51" spans="2:13" s="16" customFormat="1" ht="15.25" customHeight="1">
      <c r="B51" s="37" t="s">
        <v>209</v>
      </c>
      <c r="F51" s="164"/>
      <c r="G51" s="165"/>
      <c r="H51" s="165"/>
      <c r="I51" s="165"/>
    </row>
    <row r="52" spans="2:13" s="16" customFormat="1" ht="15.25" customHeight="1">
      <c r="B52" s="78" t="s">
        <v>210</v>
      </c>
      <c r="F52" s="163"/>
      <c r="G52" s="151"/>
      <c r="H52" s="151"/>
      <c r="I52" s="151"/>
      <c r="M52" s="80"/>
    </row>
    <row r="53" spans="2:13" s="16" customFormat="1" ht="15.25" customHeight="1">
      <c r="F53" s="163"/>
      <c r="G53" s="151"/>
      <c r="H53" s="151"/>
      <c r="I53" s="151"/>
    </row>
    <row r="54" spans="2:13" s="16" customFormat="1" ht="15.25" customHeight="1">
      <c r="B54" s="130" t="s">
        <v>197</v>
      </c>
      <c r="F54" s="163"/>
      <c r="G54" s="151">
        <v>12.9</v>
      </c>
      <c r="H54" s="151">
        <v>14.23</v>
      </c>
      <c r="I54" s="151">
        <v>14</v>
      </c>
      <c r="J54" s="148"/>
    </row>
    <row r="55" spans="2:13" s="16" customFormat="1" ht="15.25" customHeight="1">
      <c r="B55" s="149" t="s">
        <v>198</v>
      </c>
      <c r="F55" s="163"/>
      <c r="G55" s="151"/>
      <c r="H55" s="151"/>
      <c r="I55" s="151"/>
      <c r="J55" s="148"/>
    </row>
    <row r="56" spans="2:13" s="16" customFormat="1" ht="7.5" customHeight="1">
      <c r="B56" s="149"/>
      <c r="F56" s="163"/>
      <c r="G56" s="151"/>
      <c r="H56" s="151"/>
      <c r="I56" s="151"/>
      <c r="J56" s="148"/>
    </row>
    <row r="57" spans="2:13" s="16" customFormat="1" ht="15.25" customHeight="1">
      <c r="B57" s="130" t="s">
        <v>203</v>
      </c>
      <c r="F57" s="163"/>
      <c r="G57" s="151">
        <v>8.6</v>
      </c>
      <c r="H57" s="151">
        <v>11.6</v>
      </c>
      <c r="I57" s="151">
        <v>13</v>
      </c>
      <c r="J57" s="148"/>
    </row>
    <row r="58" spans="2:13" s="16" customFormat="1" ht="15.25" customHeight="1">
      <c r="B58" s="149" t="s">
        <v>204</v>
      </c>
      <c r="F58" s="163"/>
      <c r="G58" s="151"/>
      <c r="H58" s="151"/>
      <c r="I58" s="151"/>
      <c r="J58" s="148"/>
    </row>
    <row r="59" spans="2:13" s="16" customFormat="1" ht="7.5" customHeight="1">
      <c r="B59" s="149"/>
      <c r="F59" s="163"/>
      <c r="G59" s="151"/>
      <c r="H59" s="151"/>
      <c r="I59" s="151"/>
      <c r="J59" s="148"/>
    </row>
    <row r="60" spans="2:13" s="16" customFormat="1" ht="15.25" customHeight="1">
      <c r="B60" s="130" t="s">
        <v>205</v>
      </c>
      <c r="C60" s="29"/>
      <c r="D60" s="30"/>
      <c r="E60" s="30"/>
      <c r="F60" s="163"/>
      <c r="G60" s="151">
        <v>19.2</v>
      </c>
      <c r="H60" s="151">
        <v>22.6</v>
      </c>
      <c r="I60" s="151">
        <v>23.2</v>
      </c>
    </row>
    <row r="61" spans="2:13" s="16" customFormat="1" ht="15.25" customHeight="1">
      <c r="B61" s="149" t="s">
        <v>206</v>
      </c>
      <c r="C61" s="29"/>
      <c r="D61" s="30"/>
      <c r="E61" s="30"/>
      <c r="F61" s="167"/>
      <c r="G61" s="165"/>
      <c r="H61" s="165"/>
      <c r="I61" s="165"/>
    </row>
    <row r="62" spans="2:13" s="16" customFormat="1" ht="15.25" customHeight="1">
      <c r="B62" s="28"/>
      <c r="C62" s="29"/>
      <c r="D62" s="30"/>
      <c r="E62" s="30"/>
      <c r="F62" s="167"/>
      <c r="G62" s="165"/>
      <c r="H62" s="165"/>
      <c r="I62" s="22"/>
    </row>
    <row r="63" spans="2:13" s="16" customFormat="1" ht="7.5" customHeight="1">
      <c r="C63" s="21"/>
      <c r="D63" s="22"/>
      <c r="E63" s="22"/>
      <c r="F63" s="166"/>
      <c r="G63" s="165"/>
      <c r="H63" s="165"/>
      <c r="I63" s="22"/>
    </row>
    <row r="64" spans="2:13" s="16" customFormat="1" ht="8.25" customHeight="1">
      <c r="B64" s="99"/>
      <c r="C64" s="94"/>
      <c r="D64" s="23"/>
      <c r="E64" s="23"/>
      <c r="F64" s="23"/>
      <c r="G64" s="22"/>
      <c r="H64" s="22"/>
      <c r="I64" s="22"/>
      <c r="J64" s="98"/>
    </row>
    <row r="65" spans="1:10" s="16" customFormat="1" ht="15.25" customHeight="1">
      <c r="B65" s="28"/>
      <c r="C65" s="94"/>
      <c r="D65" s="22"/>
      <c r="E65" s="22"/>
      <c r="F65" s="22"/>
      <c r="G65" s="22"/>
      <c r="H65" s="22"/>
      <c r="I65" s="22"/>
      <c r="J65" s="98"/>
    </row>
    <row r="66" spans="1:10" s="16" customFormat="1" ht="8.25" customHeight="1" thickBot="1">
      <c r="A66" s="155"/>
      <c r="B66" s="155"/>
      <c r="C66" s="155"/>
      <c r="D66" s="155"/>
      <c r="E66" s="155"/>
      <c r="F66" s="155"/>
      <c r="G66" s="155"/>
      <c r="H66" s="155"/>
      <c r="I66" s="155"/>
    </row>
    <row r="67" spans="1:10" s="16" customFormat="1" ht="15.25" customHeight="1" thickTop="1">
      <c r="D67" s="156"/>
      <c r="E67" s="157"/>
      <c r="F67" s="157"/>
      <c r="G67" s="157"/>
      <c r="H67" s="157"/>
      <c r="I67" s="158" t="s">
        <v>32</v>
      </c>
    </row>
    <row r="68" spans="1:10" s="16" customFormat="1" ht="15.25" customHeight="1">
      <c r="B68" s="99"/>
      <c r="D68" s="156"/>
      <c r="E68" s="156"/>
      <c r="F68" s="156"/>
      <c r="G68" s="156"/>
      <c r="H68" s="156"/>
      <c r="I68" s="159" t="s">
        <v>33</v>
      </c>
    </row>
    <row r="69" spans="1:10" s="16" customFormat="1" ht="13">
      <c r="B69" s="142" t="s">
        <v>211</v>
      </c>
    </row>
    <row r="70" spans="1:10" s="12" customFormat="1" ht="13">
      <c r="B70" s="105" t="s">
        <v>174</v>
      </c>
    </row>
    <row r="71" spans="1:10" s="12" customFormat="1" ht="13">
      <c r="B71" s="107" t="s">
        <v>175</v>
      </c>
    </row>
    <row r="72" spans="1:10" s="12" customFormat="1" ht="13"/>
  </sheetData>
  <mergeCells count="2">
    <mergeCell ref="B6:E6"/>
    <mergeCell ref="B27:C27"/>
  </mergeCells>
  <conditionalFormatting sqref="C60:C62">
    <cfRule type="cellIs" dxfId="3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FD88-738D-4615-952B-16AE5382C7E7}">
  <sheetPr codeName="Sheet33">
    <pageSetUpPr fitToPage="1"/>
  </sheetPr>
  <dimension ref="A1:L67"/>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3" max="3" width="23.1640625" customWidth="1"/>
    <col min="5" max="5" width="32.6640625" customWidth="1"/>
    <col min="6" max="8" width="17.5" customWidth="1"/>
  </cols>
  <sheetData>
    <row r="1" spans="1:12" s="12" customFormat="1" ht="8.25" customHeight="1"/>
    <row r="2" spans="1:12" s="12" customFormat="1" ht="8.25" customHeight="1"/>
    <row r="3" spans="1:12" s="1" customFormat="1" ht="16.5" customHeight="1">
      <c r="B3" s="2" t="s">
        <v>212</v>
      </c>
      <c r="C3" s="3" t="s">
        <v>213</v>
      </c>
      <c r="G3" s="4"/>
    </row>
    <row r="4" spans="1:12" s="1" customFormat="1" ht="16.5" customHeight="1">
      <c r="B4" s="5" t="s">
        <v>214</v>
      </c>
      <c r="C4" s="6" t="s">
        <v>215</v>
      </c>
      <c r="D4" s="7"/>
      <c r="E4" s="7"/>
      <c r="F4" s="7"/>
      <c r="G4" s="4"/>
    </row>
    <row r="5" spans="1:12" s="12" customFormat="1" ht="13.25" customHeight="1" thickBot="1">
      <c r="A5" s="9"/>
      <c r="B5" s="9"/>
      <c r="C5" s="9"/>
      <c r="D5" s="9"/>
      <c r="E5" s="9"/>
      <c r="F5" s="8"/>
      <c r="G5" s="8"/>
    </row>
    <row r="6" spans="1:12" s="12" customFormat="1" ht="43" customHeight="1" thickBot="1">
      <c r="A6" s="10"/>
      <c r="B6" s="1273" t="s">
        <v>216</v>
      </c>
      <c r="C6" s="1273"/>
      <c r="D6" s="1273"/>
      <c r="E6" s="10"/>
      <c r="F6" s="11">
        <v>2022</v>
      </c>
      <c r="G6" s="11">
        <v>2023</v>
      </c>
      <c r="H6" s="11">
        <v>2024</v>
      </c>
    </row>
    <row r="7" spans="1:12" s="12" customFormat="1" ht="15.25" customHeight="1">
      <c r="B7" s="73"/>
      <c r="C7" s="74"/>
      <c r="D7" s="75"/>
      <c r="E7" s="75"/>
      <c r="F7" s="75"/>
      <c r="G7" s="75"/>
    </row>
    <row r="8" spans="1:12" s="16" customFormat="1" ht="15.25" customHeight="1">
      <c r="B8" s="37" t="s">
        <v>217</v>
      </c>
    </row>
    <row r="9" spans="1:12" s="16" customFormat="1" ht="15.25" customHeight="1">
      <c r="B9" s="78" t="s">
        <v>218</v>
      </c>
      <c r="F9" s="145"/>
      <c r="G9" s="145"/>
      <c r="H9" s="145"/>
      <c r="L9" s="80"/>
    </row>
    <row r="10" spans="1:12" s="16" customFormat="1" ht="15.25" customHeight="1">
      <c r="F10" s="145"/>
      <c r="G10" s="145"/>
      <c r="H10" s="145"/>
    </row>
    <row r="11" spans="1:12" s="16" customFormat="1" ht="15.25" customHeight="1">
      <c r="B11" s="130" t="s">
        <v>219</v>
      </c>
      <c r="F11" s="147">
        <v>5039741</v>
      </c>
      <c r="G11" s="147">
        <v>5173755</v>
      </c>
      <c r="H11" s="147">
        <v>5302173</v>
      </c>
      <c r="I11" s="148"/>
    </row>
    <row r="12" spans="1:12" s="16" customFormat="1" ht="15.25" customHeight="1">
      <c r="B12" s="149" t="s">
        <v>220</v>
      </c>
      <c r="F12" s="147"/>
      <c r="G12" s="147"/>
      <c r="H12" s="147"/>
      <c r="I12" s="148"/>
    </row>
    <row r="13" spans="1:12" s="16" customFormat="1" ht="7.5" customHeight="1">
      <c r="B13" s="149"/>
      <c r="F13" s="147"/>
      <c r="G13" s="147"/>
      <c r="H13" s="147"/>
      <c r="I13" s="148"/>
    </row>
    <row r="14" spans="1:12" s="16" customFormat="1" ht="15.25" customHeight="1">
      <c r="B14" s="130" t="s">
        <v>221</v>
      </c>
      <c r="F14" s="147">
        <v>3164749</v>
      </c>
      <c r="G14" s="147">
        <v>3222069</v>
      </c>
      <c r="H14" s="147">
        <v>3279505</v>
      </c>
      <c r="I14" s="148"/>
    </row>
    <row r="15" spans="1:12" s="16" customFormat="1" ht="15.25" customHeight="1">
      <c r="B15" s="149" t="s">
        <v>222</v>
      </c>
      <c r="F15" s="147"/>
      <c r="G15" s="147"/>
      <c r="H15" s="147"/>
      <c r="I15" s="148"/>
    </row>
    <row r="16" spans="1:12" s="16" customFormat="1" ht="7.5" customHeight="1">
      <c r="B16" s="149"/>
      <c r="F16" s="147"/>
      <c r="G16" s="147"/>
      <c r="H16" s="147"/>
      <c r="I16" s="148"/>
    </row>
    <row r="17" spans="2:12" s="16" customFormat="1" ht="15.25" customHeight="1">
      <c r="B17" s="130" t="s">
        <v>223</v>
      </c>
      <c r="F17" s="147">
        <v>4144907</v>
      </c>
      <c r="G17" s="147">
        <v>4241025</v>
      </c>
      <c r="H17" s="147">
        <v>4334863</v>
      </c>
      <c r="I17" s="148"/>
    </row>
    <row r="18" spans="2:12" s="16" customFormat="1" ht="15.25" customHeight="1">
      <c r="B18" s="149" t="s">
        <v>224</v>
      </c>
      <c r="F18" s="147"/>
      <c r="G18" s="147"/>
      <c r="H18" s="147"/>
      <c r="I18" s="148"/>
    </row>
    <row r="19" spans="2:12" s="16" customFormat="1" ht="7.5" customHeight="1">
      <c r="B19" s="149"/>
      <c r="F19" s="147"/>
      <c r="G19" s="147"/>
      <c r="H19" s="147"/>
      <c r="I19" s="148"/>
    </row>
    <row r="20" spans="2:12" s="16" customFormat="1" ht="15.25" customHeight="1">
      <c r="B20" s="130" t="s">
        <v>225</v>
      </c>
      <c r="F20" s="147">
        <v>222818</v>
      </c>
      <c r="G20" s="147">
        <v>226951</v>
      </c>
      <c r="H20" s="147">
        <v>229010</v>
      </c>
      <c r="I20" s="148"/>
    </row>
    <row r="21" spans="2:12" s="16" customFormat="1" ht="15.25" customHeight="1">
      <c r="B21" s="149" t="s">
        <v>226</v>
      </c>
      <c r="F21" s="146"/>
      <c r="G21" s="146"/>
      <c r="H21" s="145"/>
      <c r="I21" s="148"/>
    </row>
    <row r="22" spans="2:12" s="16" customFormat="1" ht="7.5" customHeight="1">
      <c r="B22" s="149"/>
      <c r="F22" s="146"/>
      <c r="G22" s="146"/>
      <c r="H22" s="145"/>
      <c r="I22" s="148"/>
    </row>
    <row r="23" spans="2:12" s="16" customFormat="1" ht="15.25" customHeight="1">
      <c r="B23" s="130"/>
      <c r="I23" s="148"/>
    </row>
    <row r="24" spans="2:12" s="16" customFormat="1" ht="15.25" customHeight="1">
      <c r="B24" s="37" t="s">
        <v>227</v>
      </c>
    </row>
    <row r="25" spans="2:12" s="16" customFormat="1" ht="15.25" customHeight="1">
      <c r="B25" s="78" t="s">
        <v>228</v>
      </c>
      <c r="F25" s="146"/>
      <c r="G25" s="146"/>
      <c r="H25" s="145"/>
      <c r="L25" s="80"/>
    </row>
    <row r="26" spans="2:12" s="16" customFormat="1" ht="15.25" customHeight="1">
      <c r="F26" s="146"/>
      <c r="G26" s="146"/>
      <c r="H26" s="145"/>
    </row>
    <row r="27" spans="2:12" s="16" customFormat="1" ht="15.25" customHeight="1">
      <c r="B27" s="130" t="s">
        <v>219</v>
      </c>
      <c r="F27" s="22">
        <v>2.6591445869936559</v>
      </c>
      <c r="G27" s="22">
        <f>((G11/F11)-1)*100</f>
        <v>2.6591445869936559</v>
      </c>
      <c r="H27" s="22">
        <f>((H11/G11)-1)*100</f>
        <v>2.4821043903315854</v>
      </c>
      <c r="I27" s="148"/>
    </row>
    <row r="28" spans="2:12" s="16" customFormat="1" ht="15.25" customHeight="1">
      <c r="B28" s="149" t="s">
        <v>220</v>
      </c>
      <c r="F28" s="151"/>
      <c r="G28" s="151"/>
      <c r="H28" s="151"/>
      <c r="I28" s="148"/>
    </row>
    <row r="29" spans="2:12" s="16" customFormat="1" ht="7.5" customHeight="1">
      <c r="B29" s="149"/>
      <c r="F29" s="151"/>
      <c r="G29" s="151"/>
      <c r="H29" s="151"/>
      <c r="I29" s="148"/>
    </row>
    <row r="30" spans="2:12" s="16" customFormat="1" ht="15.25" customHeight="1">
      <c r="B30" s="130" t="s">
        <v>221</v>
      </c>
      <c r="F30" s="151">
        <v>1.8112020890124203</v>
      </c>
      <c r="G30" s="151">
        <f>((G14/F14)-1)*100</f>
        <v>1.8112020890124203</v>
      </c>
      <c r="H30" s="151">
        <f>((H14/G14)-1)*100</f>
        <v>1.7825813165391446</v>
      </c>
      <c r="I30" s="148"/>
    </row>
    <row r="31" spans="2:12" s="16" customFormat="1" ht="15.25" customHeight="1">
      <c r="B31" s="149" t="s">
        <v>222</v>
      </c>
      <c r="F31" s="151"/>
      <c r="G31" s="151"/>
      <c r="H31" s="151"/>
      <c r="I31" s="148"/>
    </row>
    <row r="32" spans="2:12" s="16" customFormat="1" ht="7.5" customHeight="1">
      <c r="B32" s="149"/>
      <c r="F32" s="151"/>
      <c r="G32" s="151"/>
      <c r="H32" s="151"/>
      <c r="I32" s="148"/>
    </row>
    <row r="33" spans="2:12" s="16" customFormat="1" ht="15.25" customHeight="1">
      <c r="B33" s="130" t="s">
        <v>223</v>
      </c>
      <c r="E33" s="153"/>
      <c r="F33" s="22">
        <v>2.2999999999999998</v>
      </c>
      <c r="G33" s="151">
        <f>((G17/F17)-1)*100</f>
        <v>2.3189422585355945</v>
      </c>
      <c r="H33" s="151">
        <f>((H17/G17)-1)*100</f>
        <v>2.2126254855842742</v>
      </c>
      <c r="I33" s="148"/>
    </row>
    <row r="34" spans="2:12" s="16" customFormat="1" ht="15.25" customHeight="1">
      <c r="B34" s="149" t="s">
        <v>224</v>
      </c>
      <c r="F34" s="151"/>
      <c r="G34" s="151"/>
      <c r="H34" s="151"/>
      <c r="I34" s="148"/>
    </row>
    <row r="35" spans="2:12" s="16" customFormat="1" ht="7.5" customHeight="1">
      <c r="B35" s="149"/>
      <c r="F35" s="151"/>
      <c r="G35" s="151"/>
      <c r="H35" s="151"/>
      <c r="I35" s="148"/>
    </row>
    <row r="36" spans="2:12" s="16" customFormat="1" ht="15.25" customHeight="1">
      <c r="B36" s="130" t="s">
        <v>225</v>
      </c>
      <c r="F36" s="151">
        <v>1.85807616863556</v>
      </c>
      <c r="G36" s="151">
        <v>1.85807616863556</v>
      </c>
      <c r="H36" s="151">
        <f t="shared" ref="H36" si="0">((H20/G20)-1)*100</f>
        <v>0.90724429502404558</v>
      </c>
      <c r="I36" s="148"/>
    </row>
    <row r="37" spans="2:12" s="16" customFormat="1" ht="15.25" customHeight="1">
      <c r="B37" s="149" t="s">
        <v>226</v>
      </c>
      <c r="F37" s="151"/>
      <c r="G37" s="152"/>
      <c r="H37" s="152"/>
      <c r="I37" s="148"/>
    </row>
    <row r="38" spans="2:12" s="16" customFormat="1" ht="7.5" customHeight="1">
      <c r="B38" s="149"/>
      <c r="F38" s="153"/>
      <c r="G38" s="153"/>
      <c r="H38" s="145"/>
      <c r="I38" s="148"/>
    </row>
    <row r="39" spans="2:12" s="16" customFormat="1" ht="15.25" customHeight="1">
      <c r="B39" s="130"/>
      <c r="F39" s="153"/>
      <c r="G39" s="153"/>
      <c r="H39" s="145"/>
      <c r="I39" s="148"/>
    </row>
    <row r="40" spans="2:12" s="16" customFormat="1" ht="15.25" customHeight="1">
      <c r="B40" s="149"/>
      <c r="F40" s="153"/>
      <c r="G40" s="153"/>
      <c r="H40" s="145"/>
      <c r="I40" s="148"/>
    </row>
    <row r="41" spans="2:12" s="16" customFormat="1" ht="7.5" customHeight="1">
      <c r="B41" s="149"/>
      <c r="F41" s="153"/>
      <c r="G41" s="153"/>
      <c r="H41" s="145"/>
      <c r="I41" s="148"/>
    </row>
    <row r="42" spans="2:12" s="16" customFormat="1" ht="15.25" customHeight="1">
      <c r="B42" s="130"/>
      <c r="F42" s="153"/>
      <c r="G42" s="153"/>
      <c r="H42" s="145"/>
      <c r="I42" s="148"/>
    </row>
    <row r="43" spans="2:12" s="16" customFormat="1" ht="15.25" customHeight="1">
      <c r="B43" s="149"/>
      <c r="F43" s="153"/>
      <c r="G43" s="153"/>
      <c r="I43" s="148"/>
    </row>
    <row r="44" spans="2:12" s="16" customFormat="1" ht="15.25" customHeight="1">
      <c r="B44" s="92"/>
      <c r="C44" s="21"/>
      <c r="D44" s="22"/>
      <c r="E44" s="22"/>
      <c r="F44" s="22"/>
      <c r="G44" s="22"/>
    </row>
    <row r="45" spans="2:12" s="16" customFormat="1" ht="7.5" customHeight="1">
      <c r="B45" s="154"/>
      <c r="C45" s="21"/>
      <c r="D45" s="22"/>
      <c r="E45" s="22"/>
      <c r="F45" s="22"/>
      <c r="G45" s="22"/>
    </row>
    <row r="46" spans="2:12" s="16" customFormat="1" ht="15.25" customHeight="1">
      <c r="B46" s="37"/>
    </row>
    <row r="47" spans="2:12" s="16" customFormat="1" ht="15.25" customHeight="1">
      <c r="B47" s="78"/>
      <c r="F47" s="145"/>
      <c r="G47" s="145"/>
      <c r="H47" s="145"/>
      <c r="L47" s="80"/>
    </row>
    <row r="48" spans="2:12" s="16" customFormat="1" ht="15.25" customHeight="1">
      <c r="F48" s="145"/>
      <c r="G48" s="145"/>
      <c r="H48" s="145"/>
    </row>
    <row r="49" spans="1:9" s="16" customFormat="1" ht="15.25" customHeight="1">
      <c r="B49" s="130"/>
      <c r="F49" s="153"/>
      <c r="G49" s="153"/>
      <c r="H49" s="145"/>
      <c r="I49" s="148"/>
    </row>
    <row r="50" spans="1:9" s="16" customFormat="1" ht="15.25" customHeight="1">
      <c r="B50" s="130"/>
      <c r="F50" s="153"/>
      <c r="G50" s="153"/>
      <c r="H50" s="145"/>
      <c r="I50" s="148"/>
    </row>
    <row r="51" spans="1:9" s="16" customFormat="1" ht="15.25" customHeight="1">
      <c r="B51" s="130"/>
      <c r="F51" s="153"/>
      <c r="G51" s="153"/>
      <c r="H51" s="145"/>
      <c r="I51" s="148"/>
    </row>
    <row r="52" spans="1:9" s="16" customFormat="1" ht="15.25" customHeight="1">
      <c r="B52" s="130"/>
      <c r="F52" s="153"/>
      <c r="G52" s="153"/>
      <c r="H52" s="145"/>
      <c r="I52" s="148"/>
    </row>
    <row r="53" spans="1:9" s="16" customFormat="1" ht="15.25" customHeight="1">
      <c r="B53" s="130"/>
      <c r="F53" s="153"/>
      <c r="G53" s="153"/>
      <c r="H53" s="145"/>
      <c r="I53" s="148"/>
    </row>
    <row r="54" spans="1:9" s="16" customFormat="1" ht="15.25" customHeight="1">
      <c r="B54" s="130"/>
      <c r="F54" s="153"/>
      <c r="G54" s="153"/>
      <c r="H54" s="145"/>
      <c r="I54" s="148"/>
    </row>
    <row r="55" spans="1:9" s="16" customFormat="1" ht="15.25" customHeight="1">
      <c r="B55" s="149"/>
      <c r="F55" s="153"/>
      <c r="G55" s="153"/>
      <c r="H55" s="145"/>
      <c r="I55" s="148"/>
    </row>
    <row r="56" spans="1:9" s="16" customFormat="1" ht="7.5" customHeight="1">
      <c r="B56" s="149"/>
      <c r="F56" s="153"/>
      <c r="G56" s="153"/>
      <c r="H56" s="145"/>
      <c r="I56" s="148"/>
    </row>
    <row r="57" spans="1:9" s="16" customFormat="1" ht="15.25" customHeight="1">
      <c r="B57" s="130"/>
      <c r="F57" s="153"/>
      <c r="G57" s="153"/>
      <c r="H57" s="145"/>
      <c r="I57" s="148"/>
    </row>
    <row r="58" spans="1:9" s="16" customFormat="1" ht="15.25" customHeight="1">
      <c r="B58" s="149"/>
      <c r="F58" s="153"/>
      <c r="G58" s="153"/>
      <c r="H58" s="145"/>
      <c r="I58" s="148"/>
    </row>
    <row r="59" spans="1:9" s="16" customFormat="1" ht="7.5" customHeight="1">
      <c r="B59" s="149"/>
      <c r="F59" s="153"/>
      <c r="G59" s="153"/>
      <c r="H59" s="145"/>
      <c r="I59" s="148"/>
    </row>
    <row r="60" spans="1:9" s="16" customFormat="1" ht="15.25" customHeight="1">
      <c r="B60" s="104"/>
      <c r="C60" s="21"/>
      <c r="D60" s="22"/>
      <c r="E60" s="22"/>
      <c r="F60" s="22"/>
      <c r="G60" s="22"/>
    </row>
    <row r="61" spans="1:9" s="16" customFormat="1" ht="15.25" customHeight="1" thickBot="1">
      <c r="A61" s="168"/>
      <c r="B61" s="169"/>
      <c r="C61" s="170"/>
      <c r="D61" s="171"/>
      <c r="E61" s="171"/>
      <c r="F61" s="171"/>
      <c r="G61" s="171"/>
      <c r="H61" s="168"/>
    </row>
    <row r="62" spans="1:9" s="16" customFormat="1" ht="15.25" customHeight="1">
      <c r="B62" s="28"/>
      <c r="C62" s="29"/>
      <c r="D62" s="30"/>
      <c r="E62" s="30"/>
      <c r="F62" s="30"/>
      <c r="G62" s="30"/>
      <c r="H62" s="172" t="s">
        <v>32</v>
      </c>
    </row>
    <row r="63" spans="1:9" s="16" customFormat="1" ht="12" customHeight="1">
      <c r="C63" s="21"/>
      <c r="D63" s="22"/>
      <c r="E63" s="22"/>
      <c r="F63" s="22"/>
      <c r="G63" s="66"/>
      <c r="H63" s="173" t="s">
        <v>33</v>
      </c>
    </row>
    <row r="64" spans="1:9" s="16" customFormat="1" ht="13">
      <c r="C64" s="94"/>
      <c r="D64" s="23"/>
      <c r="E64" s="23"/>
      <c r="F64" s="23"/>
      <c r="G64" s="86"/>
      <c r="I64" s="98"/>
    </row>
    <row r="65" spans="2:9" s="16" customFormat="1" ht="15.25" customHeight="1">
      <c r="B65" s="174" t="s">
        <v>211</v>
      </c>
      <c r="C65" s="94"/>
      <c r="D65" s="22"/>
      <c r="E65" s="22"/>
      <c r="F65" s="22"/>
      <c r="G65" s="30"/>
      <c r="I65" s="98"/>
    </row>
    <row r="66" spans="2:9" s="12" customFormat="1" ht="13">
      <c r="B66" s="105" t="s">
        <v>229</v>
      </c>
    </row>
    <row r="67" spans="2:9" s="12" customFormat="1" ht="13">
      <c r="B67" s="107" t="s">
        <v>230</v>
      </c>
    </row>
  </sheetData>
  <mergeCells count="1">
    <mergeCell ref="B6:D6"/>
  </mergeCells>
  <conditionalFormatting sqref="C61:C62">
    <cfRule type="cellIs" dxfId="3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6313-4DDC-45F6-BF9E-6ADF8D60BA0D}">
  <sheetPr codeName="Sheet34">
    <pageSetUpPr fitToPage="1"/>
  </sheetPr>
  <dimension ref="A1:N59"/>
  <sheetViews>
    <sheetView view="pageBreakPreview" zoomScaleNormal="100" zoomScaleSheetLayoutView="100" workbookViewId="0">
      <selection activeCell="D60" sqref="D60"/>
    </sheetView>
  </sheetViews>
  <sheetFormatPr baseColWidth="10" defaultColWidth="8.83203125" defaultRowHeight="15"/>
  <cols>
    <col min="1" max="1" width="4.5" customWidth="1"/>
    <col min="2" max="2" width="9.1640625" customWidth="1"/>
    <col min="3" max="3" width="29.6640625" customWidth="1"/>
    <col min="4" max="4" width="30.33203125" customWidth="1"/>
    <col min="5" max="5" width="2.5" customWidth="1"/>
    <col min="6" max="6" width="1.83203125" customWidth="1"/>
    <col min="7" max="7" width="1.6640625" customWidth="1"/>
    <col min="8" max="8" width="14.83203125" customWidth="1"/>
    <col min="9" max="9" width="17.5" customWidth="1"/>
    <col min="10" max="10" width="17.6640625" customWidth="1"/>
  </cols>
  <sheetData>
    <row r="1" spans="1:14" s="1" customFormat="1" ht="8.25" customHeight="1"/>
    <row r="2" spans="1:14" s="1" customFormat="1" ht="8.25" customHeight="1"/>
    <row r="3" spans="1:14" s="1" customFormat="1" ht="16.5" customHeight="1">
      <c r="A3"/>
      <c r="B3" s="2" t="s">
        <v>231</v>
      </c>
      <c r="C3" s="3" t="s">
        <v>232</v>
      </c>
      <c r="D3"/>
      <c r="E3"/>
      <c r="F3"/>
      <c r="G3"/>
      <c r="H3"/>
      <c r="I3" s="4"/>
      <c r="J3"/>
      <c r="K3"/>
      <c r="L3"/>
      <c r="M3"/>
      <c r="N3"/>
    </row>
    <row r="4" spans="1:14" s="1" customFormat="1" ht="16.5" customHeight="1">
      <c r="A4"/>
      <c r="B4" s="5" t="s">
        <v>233</v>
      </c>
      <c r="C4" s="6" t="s">
        <v>234</v>
      </c>
      <c r="D4" s="7"/>
      <c r="E4" s="7"/>
      <c r="F4" s="8"/>
      <c r="G4" s="8"/>
      <c r="H4" s="8"/>
      <c r="I4" s="4"/>
      <c r="J4"/>
      <c r="K4"/>
      <c r="L4"/>
      <c r="M4"/>
      <c r="N4"/>
    </row>
    <row r="5" spans="1:14" s="1" customFormat="1" ht="13.25" customHeight="1" thickBot="1">
      <c r="A5" s="9"/>
      <c r="B5" s="9"/>
      <c r="C5" s="9"/>
      <c r="D5" s="9"/>
      <c r="E5" s="9"/>
      <c r="F5" s="9"/>
      <c r="G5" s="9"/>
      <c r="H5" s="8"/>
      <c r="I5" s="8"/>
      <c r="J5"/>
      <c r="K5"/>
      <c r="L5"/>
      <c r="M5"/>
      <c r="N5"/>
    </row>
    <row r="6" spans="1:14" s="12" customFormat="1" ht="43.25" customHeight="1" thickBot="1">
      <c r="A6" s="10"/>
      <c r="B6" s="1273" t="s">
        <v>235</v>
      </c>
      <c r="C6" s="1273"/>
      <c r="D6" s="10"/>
      <c r="E6" s="10"/>
      <c r="F6" s="10"/>
      <c r="G6" s="11"/>
      <c r="H6" s="11">
        <v>2022</v>
      </c>
      <c r="I6" s="11">
        <v>2023</v>
      </c>
      <c r="J6" s="11">
        <v>2024</v>
      </c>
    </row>
    <row r="7" spans="1:14" s="12" customFormat="1" ht="16.5" customHeight="1">
      <c r="B7" s="73"/>
      <c r="C7" s="74"/>
      <c r="D7" s="75"/>
      <c r="E7" s="75"/>
      <c r="F7" s="75"/>
      <c r="G7" s="75"/>
      <c r="H7" s="75"/>
      <c r="I7" s="75"/>
    </row>
    <row r="8" spans="1:14" s="16" customFormat="1" ht="15.25" customHeight="1">
      <c r="B8" s="37" t="s">
        <v>236</v>
      </c>
      <c r="D8" s="23"/>
      <c r="E8" s="23"/>
      <c r="F8" s="23"/>
      <c r="G8" s="23"/>
      <c r="H8" s="23"/>
      <c r="I8" s="24"/>
      <c r="J8" s="23"/>
    </row>
    <row r="9" spans="1:14" s="16" customFormat="1" ht="15.25" customHeight="1">
      <c r="B9" s="104" t="s">
        <v>237</v>
      </c>
      <c r="D9" s="23"/>
      <c r="E9" s="22"/>
      <c r="F9" s="22"/>
      <c r="G9" s="22"/>
      <c r="H9" s="23"/>
      <c r="I9" s="24"/>
      <c r="J9" s="23"/>
      <c r="N9" s="80"/>
    </row>
    <row r="10" spans="1:14" s="16" customFormat="1" ht="15.25" customHeight="1">
      <c r="D10" s="22"/>
      <c r="E10" s="22"/>
      <c r="F10" s="22"/>
      <c r="G10" s="22"/>
      <c r="H10" s="23"/>
      <c r="I10" s="24"/>
      <c r="J10" s="23"/>
    </row>
    <row r="11" spans="1:14" s="16" customFormat="1" ht="17.25" customHeight="1">
      <c r="B11" s="175" t="s">
        <v>238</v>
      </c>
      <c r="C11" s="29"/>
      <c r="D11" s="22"/>
      <c r="E11" s="76"/>
      <c r="F11" s="76"/>
      <c r="G11" s="76"/>
      <c r="H11" s="76">
        <v>59091.07188467274</v>
      </c>
      <c r="I11" s="76">
        <v>58700.311045550363</v>
      </c>
      <c r="J11" s="90">
        <v>47204.783253476118</v>
      </c>
    </row>
    <row r="12" spans="1:14" s="16" customFormat="1" ht="17.25" customHeight="1">
      <c r="B12" s="101" t="s">
        <v>239</v>
      </c>
      <c r="C12" s="29"/>
      <c r="D12" s="23"/>
      <c r="E12" s="23"/>
      <c r="F12" s="23"/>
      <c r="G12" s="23"/>
      <c r="H12" s="23">
        <v>137486.41000000003</v>
      </c>
      <c r="I12" s="23">
        <v>170572.93999999994</v>
      </c>
      <c r="J12" s="24">
        <v>169287.99700000003</v>
      </c>
    </row>
    <row r="13" spans="1:14" s="16" customFormat="1" ht="17.25" customHeight="1">
      <c r="B13" s="101" t="s">
        <v>240</v>
      </c>
      <c r="C13" s="29"/>
      <c r="D13" s="23"/>
      <c r="E13" s="23"/>
      <c r="F13" s="23"/>
      <c r="G13" s="23"/>
      <c r="H13" s="23">
        <v>-47161.315399999999</v>
      </c>
      <c r="I13" s="23">
        <v>-60727.947499999995</v>
      </c>
      <c r="J13" s="24">
        <v>-45418.358000000007</v>
      </c>
    </row>
    <row r="14" spans="1:14" s="16" customFormat="1" ht="17.25" customHeight="1">
      <c r="B14" s="101" t="s">
        <v>241</v>
      </c>
      <c r="C14" s="21"/>
      <c r="D14" s="23"/>
      <c r="E14" s="23"/>
      <c r="F14" s="23"/>
      <c r="G14" s="23"/>
      <c r="H14" s="23">
        <v>-28520.200715327293</v>
      </c>
      <c r="I14" s="23">
        <v>-41550.525454449584</v>
      </c>
      <c r="J14" s="24">
        <v>-63554.551746523903</v>
      </c>
    </row>
    <row r="15" spans="1:14" s="16" customFormat="1" ht="17.25" customHeight="1">
      <c r="B15" s="101" t="s">
        <v>242</v>
      </c>
      <c r="C15" s="29"/>
      <c r="D15" s="23"/>
      <c r="E15" s="23"/>
      <c r="F15" s="23"/>
      <c r="G15" s="23"/>
      <c r="H15" s="23">
        <v>-2713.8220000000001</v>
      </c>
      <c r="I15" s="23">
        <v>-9594.155999999999</v>
      </c>
      <c r="J15" s="24">
        <v>-13110.304</v>
      </c>
    </row>
    <row r="16" spans="1:14" s="16" customFormat="1" ht="15.25" customHeight="1">
      <c r="B16" s="176"/>
      <c r="C16" s="29"/>
      <c r="D16" s="23"/>
      <c r="E16" s="23"/>
      <c r="F16" s="23"/>
      <c r="G16" s="23"/>
      <c r="H16" s="23"/>
      <c r="I16" s="23"/>
      <c r="J16" s="24"/>
    </row>
    <row r="17" spans="2:14" s="16" customFormat="1" ht="17.25" customHeight="1">
      <c r="B17" s="176" t="s">
        <v>243</v>
      </c>
      <c r="C17" s="29"/>
      <c r="D17" s="23"/>
      <c r="E17" s="76"/>
      <c r="F17" s="76"/>
      <c r="G17" s="76"/>
      <c r="H17" s="76">
        <v>-419.149</v>
      </c>
      <c r="I17" s="76">
        <v>-570.57600000000002</v>
      </c>
      <c r="J17" s="90">
        <v>-460.36100000000005</v>
      </c>
    </row>
    <row r="18" spans="2:14" s="16" customFormat="1" ht="15.25" customHeight="1">
      <c r="B18" s="176"/>
      <c r="C18" s="29"/>
      <c r="D18" s="23"/>
      <c r="E18" s="23"/>
      <c r="F18" s="23"/>
      <c r="G18" s="23"/>
      <c r="H18" s="23"/>
      <c r="I18" s="23"/>
      <c r="J18" s="24"/>
    </row>
    <row r="19" spans="2:14" s="16" customFormat="1" ht="17.25" customHeight="1">
      <c r="B19" s="176" t="s">
        <v>244</v>
      </c>
      <c r="C19" s="29"/>
      <c r="D19" s="23"/>
      <c r="E19" s="76"/>
      <c r="F19" s="76"/>
      <c r="G19" s="76"/>
      <c r="H19" s="76">
        <v>-77396.19</v>
      </c>
      <c r="I19" s="76">
        <v>13021.313</v>
      </c>
      <c r="J19" s="90">
        <v>14822.979999999994</v>
      </c>
    </row>
    <row r="20" spans="2:14" s="16" customFormat="1" ht="15.25" customHeight="1">
      <c r="B20" s="176"/>
      <c r="C20" s="29"/>
      <c r="D20" s="23"/>
      <c r="E20" s="23"/>
      <c r="F20" s="23"/>
      <c r="G20" s="23"/>
      <c r="H20" s="23"/>
      <c r="I20" s="23"/>
      <c r="J20" s="24"/>
    </row>
    <row r="21" spans="2:14" s="16" customFormat="1" ht="17.25" customHeight="1">
      <c r="B21" s="176" t="s">
        <v>245</v>
      </c>
      <c r="C21" s="29"/>
      <c r="D21" s="23"/>
      <c r="E21" s="23"/>
      <c r="F21" s="23"/>
      <c r="G21" s="23"/>
      <c r="H21" s="23">
        <v>3111.1150000000007</v>
      </c>
      <c r="I21" s="23">
        <v>28465.504000000001</v>
      </c>
      <c r="J21" s="23">
        <v>15971.271958419988</v>
      </c>
    </row>
    <row r="22" spans="2:14" s="16" customFormat="1" ht="17.25" customHeight="1">
      <c r="B22" s="101" t="s">
        <v>246</v>
      </c>
      <c r="C22" s="29"/>
      <c r="D22" s="23"/>
      <c r="E22" s="23"/>
      <c r="F22" s="23"/>
      <c r="G22" s="23"/>
      <c r="H22" s="23">
        <v>-10169.849</v>
      </c>
      <c r="I22" s="23">
        <v>-19678.821</v>
      </c>
      <c r="J22" s="24">
        <v>-57290.096636269976</v>
      </c>
    </row>
    <row r="23" spans="2:14" s="16" customFormat="1" ht="17.25" customHeight="1">
      <c r="B23" s="101" t="s">
        <v>247</v>
      </c>
      <c r="C23" s="29"/>
      <c r="D23" s="23"/>
      <c r="E23" s="23"/>
      <c r="F23" s="23"/>
      <c r="G23" s="23"/>
      <c r="H23" s="23">
        <v>13280.964</v>
      </c>
      <c r="I23" s="23">
        <v>48144.324999999997</v>
      </c>
      <c r="J23" s="24">
        <v>73261.368594689964</v>
      </c>
      <c r="N23" s="177"/>
    </row>
    <row r="24" spans="2:14" s="16" customFormat="1" ht="15.25" customHeight="1">
      <c r="B24" s="178"/>
      <c r="C24" s="29"/>
      <c r="D24" s="23"/>
      <c r="E24" s="23"/>
      <c r="F24" s="23"/>
      <c r="G24" s="23"/>
      <c r="H24" s="23"/>
      <c r="I24" s="23"/>
      <c r="J24" s="24"/>
    </row>
    <row r="25" spans="2:14" s="16" customFormat="1" ht="48" customHeight="1">
      <c r="B25" s="1295" t="s">
        <v>248</v>
      </c>
      <c r="C25" s="1295"/>
      <c r="D25" s="179"/>
      <c r="E25" s="180"/>
      <c r="F25" s="180"/>
      <c r="G25" s="180"/>
      <c r="H25" s="180">
        <v>80500</v>
      </c>
      <c r="I25" s="180">
        <v>84900</v>
      </c>
      <c r="J25" s="180">
        <v>63040</v>
      </c>
    </row>
    <row r="26" spans="2:14" s="16" customFormat="1" ht="15.25" customHeight="1">
      <c r="B26" s="181"/>
      <c r="C26" s="182"/>
      <c r="D26" s="183"/>
      <c r="E26" s="183"/>
      <c r="F26" s="183"/>
      <c r="G26" s="183"/>
      <c r="H26" s="23"/>
      <c r="I26" s="23"/>
      <c r="J26" s="184"/>
    </row>
    <row r="27" spans="2:14" s="16" customFormat="1" ht="29.75" customHeight="1">
      <c r="B27" s="1296" t="s">
        <v>249</v>
      </c>
      <c r="C27" s="1296"/>
      <c r="D27" s="1296"/>
      <c r="E27" s="180"/>
      <c r="F27" s="180"/>
      <c r="G27" s="180"/>
      <c r="H27" s="76">
        <v>56579.932358000005</v>
      </c>
      <c r="I27" s="76">
        <v>179599</v>
      </c>
      <c r="J27" s="185" t="s">
        <v>29</v>
      </c>
    </row>
    <row r="28" spans="2:14" s="16" customFormat="1" ht="17.25" customHeight="1">
      <c r="B28" s="101" t="s">
        <v>250</v>
      </c>
      <c r="C28" s="21"/>
      <c r="D28" s="22"/>
      <c r="E28" s="23"/>
      <c r="F28" s="23"/>
      <c r="G28" s="23"/>
      <c r="H28" s="23">
        <v>4204.8024460000006</v>
      </c>
      <c r="I28" s="23">
        <v>3848</v>
      </c>
      <c r="J28" s="184" t="s">
        <v>29</v>
      </c>
      <c r="K28" s="25"/>
    </row>
    <row r="29" spans="2:14" s="42" customFormat="1" ht="17.25" customHeight="1">
      <c r="B29" s="101" t="s">
        <v>251</v>
      </c>
      <c r="C29" s="21"/>
      <c r="D29" s="22"/>
      <c r="E29" s="23"/>
      <c r="F29" s="23"/>
      <c r="G29" s="23"/>
      <c r="H29" s="23">
        <v>2256.2000070000004</v>
      </c>
      <c r="I29" s="23">
        <v>65834</v>
      </c>
      <c r="J29" s="184" t="s">
        <v>29</v>
      </c>
    </row>
    <row r="30" spans="2:14" s="1" customFormat="1" ht="17.25" customHeight="1">
      <c r="B30" s="101" t="s">
        <v>252</v>
      </c>
      <c r="C30" s="21"/>
      <c r="D30" s="22"/>
      <c r="E30" s="186"/>
      <c r="F30" s="23"/>
      <c r="G30" s="23"/>
      <c r="H30" s="23" t="s">
        <v>29</v>
      </c>
      <c r="I30" s="184" t="s">
        <v>29</v>
      </c>
      <c r="J30" s="184" t="s">
        <v>29</v>
      </c>
    </row>
    <row r="31" spans="2:14" s="1" customFormat="1" ht="17.25" customHeight="1">
      <c r="B31" s="101" t="s">
        <v>253</v>
      </c>
      <c r="C31" s="21"/>
      <c r="D31" s="22"/>
      <c r="E31" s="23"/>
      <c r="F31" s="23"/>
      <c r="G31" s="23"/>
      <c r="H31" s="23">
        <v>1272.1534329999999</v>
      </c>
      <c r="I31" s="23">
        <v>3555</v>
      </c>
      <c r="J31" s="184" t="s">
        <v>29</v>
      </c>
    </row>
    <row r="32" spans="2:14" s="1" customFormat="1" ht="17.25" customHeight="1">
      <c r="B32" s="101" t="s">
        <v>254</v>
      </c>
      <c r="C32" s="21"/>
      <c r="D32" s="22"/>
      <c r="E32" s="23"/>
      <c r="F32" s="23"/>
      <c r="G32" s="23"/>
      <c r="H32" s="23">
        <v>3790.2228369999998</v>
      </c>
      <c r="I32" s="23">
        <v>2373</v>
      </c>
      <c r="J32" s="184" t="s">
        <v>29</v>
      </c>
    </row>
    <row r="33" spans="2:11" s="1" customFormat="1" ht="17.25" customHeight="1">
      <c r="B33" s="101" t="s">
        <v>255</v>
      </c>
      <c r="C33" s="29"/>
      <c r="D33" s="187"/>
      <c r="E33" s="188"/>
      <c r="F33" s="188"/>
      <c r="G33" s="188"/>
      <c r="H33" s="184">
        <v>3749.8658909999999</v>
      </c>
      <c r="I33" s="184">
        <v>10251</v>
      </c>
      <c r="J33" s="184" t="s">
        <v>29</v>
      </c>
      <c r="K33" s="25"/>
    </row>
    <row r="34" spans="2:11" s="1" customFormat="1" ht="17.25" customHeight="1">
      <c r="B34" s="101" t="s">
        <v>256</v>
      </c>
      <c r="C34" s="21"/>
      <c r="D34" s="22"/>
      <c r="E34" s="23"/>
      <c r="F34" s="23"/>
      <c r="G34" s="23"/>
      <c r="H34" s="23">
        <v>10550.167752000001</v>
      </c>
      <c r="I34" s="23">
        <v>74439</v>
      </c>
      <c r="J34" s="184" t="s">
        <v>29</v>
      </c>
      <c r="K34" s="16"/>
    </row>
    <row r="35" spans="2:11" s="1" customFormat="1" ht="17.25" customHeight="1">
      <c r="B35" s="101" t="s">
        <v>257</v>
      </c>
      <c r="C35" s="21"/>
      <c r="D35" s="22"/>
      <c r="E35" s="23"/>
      <c r="F35" s="23"/>
      <c r="G35" s="23"/>
      <c r="H35" s="23">
        <v>1148.786513</v>
      </c>
      <c r="I35" s="23">
        <v>4085</v>
      </c>
      <c r="J35" s="184" t="s">
        <v>29</v>
      </c>
      <c r="K35" s="16"/>
    </row>
    <row r="36" spans="2:11" s="1" customFormat="1" ht="17.25" customHeight="1">
      <c r="B36" s="101" t="s">
        <v>258</v>
      </c>
      <c r="C36" s="21"/>
      <c r="D36" s="22"/>
      <c r="E36" s="186"/>
      <c r="F36" s="186"/>
      <c r="G36" s="23"/>
      <c r="H36" s="23" t="s">
        <v>29</v>
      </c>
      <c r="I36" s="184" t="s">
        <v>29</v>
      </c>
      <c r="J36" s="184" t="s">
        <v>29</v>
      </c>
      <c r="K36" s="16"/>
    </row>
    <row r="37" spans="2:11" s="1" customFormat="1" ht="17.25" customHeight="1">
      <c r="B37" s="101" t="s">
        <v>259</v>
      </c>
      <c r="C37" s="21"/>
      <c r="D37" s="22"/>
      <c r="E37" s="23"/>
      <c r="F37" s="23"/>
      <c r="G37" s="23"/>
      <c r="H37" s="23">
        <v>11479.144002000001</v>
      </c>
      <c r="I37" s="23">
        <v>1458</v>
      </c>
      <c r="J37" s="184" t="s">
        <v>29</v>
      </c>
      <c r="K37" s="16"/>
    </row>
    <row r="38" spans="2:11" s="1" customFormat="1" ht="17.25" customHeight="1">
      <c r="B38" s="101" t="s">
        <v>260</v>
      </c>
      <c r="C38" s="21"/>
      <c r="D38" s="22"/>
      <c r="E38" s="23"/>
      <c r="F38" s="23"/>
      <c r="G38" s="23"/>
      <c r="H38" s="23">
        <v>1817.0262169999999</v>
      </c>
      <c r="I38" s="23">
        <v>3748</v>
      </c>
      <c r="J38" s="184" t="s">
        <v>29</v>
      </c>
      <c r="K38" s="16"/>
    </row>
    <row r="39" spans="2:11" s="1" customFormat="1" ht="17.25" customHeight="1">
      <c r="B39" s="101" t="s">
        <v>261</v>
      </c>
      <c r="C39" s="21"/>
      <c r="D39" s="22"/>
      <c r="E39" s="23"/>
      <c r="F39" s="23"/>
      <c r="G39" s="23"/>
      <c r="H39" s="23">
        <v>11.479357</v>
      </c>
      <c r="I39" s="23">
        <v>4379</v>
      </c>
      <c r="J39" s="184" t="s">
        <v>29</v>
      </c>
      <c r="K39" s="16"/>
    </row>
    <row r="40" spans="2:11" s="1" customFormat="1" ht="17.25" customHeight="1">
      <c r="B40" s="101" t="s">
        <v>262</v>
      </c>
      <c r="C40" s="29"/>
      <c r="D40" s="187"/>
      <c r="E40" s="188"/>
      <c r="F40" s="188"/>
      <c r="G40" s="188"/>
      <c r="H40" s="184">
        <v>15252.561797</v>
      </c>
      <c r="I40" s="184">
        <v>5618</v>
      </c>
      <c r="J40" s="184" t="s">
        <v>29</v>
      </c>
      <c r="K40" s="25"/>
    </row>
    <row r="41" spans="2:11" s="1" customFormat="1" ht="17.25" customHeight="1">
      <c r="B41" s="101" t="s">
        <v>263</v>
      </c>
      <c r="C41" s="21"/>
      <c r="D41" s="22"/>
      <c r="E41" s="23"/>
      <c r="F41" s="23"/>
      <c r="G41" s="23"/>
      <c r="H41" s="23">
        <v>1047.5221060000001</v>
      </c>
      <c r="I41" s="23">
        <v>4</v>
      </c>
      <c r="J41" s="184" t="s">
        <v>29</v>
      </c>
      <c r="K41" s="16"/>
    </row>
    <row r="42" spans="2:11" s="1" customFormat="1" ht="17.25" customHeight="1">
      <c r="B42" s="101" t="s">
        <v>264</v>
      </c>
      <c r="C42" s="21"/>
      <c r="D42" s="22"/>
      <c r="E42" s="186"/>
      <c r="F42" s="186"/>
      <c r="G42" s="186"/>
      <c r="H42" s="184" t="s">
        <v>29</v>
      </c>
      <c r="I42" s="184">
        <v>7</v>
      </c>
      <c r="J42" s="184" t="s">
        <v>29</v>
      </c>
      <c r="K42" s="16"/>
    </row>
    <row r="43" spans="2:11" s="1" customFormat="1" ht="17.25" customHeight="1">
      <c r="B43" s="101" t="s">
        <v>265</v>
      </c>
      <c r="C43" s="21"/>
      <c r="D43" s="22"/>
      <c r="E43" s="186"/>
      <c r="F43" s="186"/>
      <c r="G43" s="186"/>
      <c r="H43" s="184" t="s">
        <v>29</v>
      </c>
      <c r="I43" s="184" t="s">
        <v>29</v>
      </c>
      <c r="J43" s="184" t="s">
        <v>29</v>
      </c>
      <c r="K43" s="16"/>
    </row>
    <row r="44" spans="2:11" s="1" customFormat="1" ht="14">
      <c r="B44" s="176"/>
      <c r="C44" s="29"/>
      <c r="D44" s="187"/>
      <c r="E44" s="187"/>
      <c r="F44" s="187"/>
      <c r="G44" s="187"/>
      <c r="H44" s="184"/>
      <c r="I44" s="184"/>
      <c r="J44" s="23"/>
      <c r="K44" s="25"/>
    </row>
    <row r="45" spans="2:11" s="1" customFormat="1" thickBot="1">
      <c r="B45" s="189"/>
      <c r="C45" s="190"/>
      <c r="D45" s="190"/>
      <c r="E45" s="190"/>
      <c r="F45" s="190"/>
      <c r="G45" s="190"/>
      <c r="H45" s="191"/>
      <c r="I45" s="191"/>
      <c r="J45" s="191"/>
      <c r="K45" s="42"/>
    </row>
    <row r="46" spans="2:11" s="1" customFormat="1">
      <c r="B46"/>
      <c r="C46"/>
      <c r="D46"/>
      <c r="E46"/>
      <c r="F46"/>
      <c r="G46"/>
      <c r="H46"/>
      <c r="I46"/>
      <c r="J46" s="192" t="s">
        <v>32</v>
      </c>
      <c r="K46"/>
    </row>
    <row r="47" spans="2:11" s="1" customFormat="1">
      <c r="B47"/>
      <c r="C47"/>
      <c r="D47"/>
      <c r="E47"/>
      <c r="F47"/>
      <c r="G47"/>
      <c r="H47"/>
      <c r="I47"/>
      <c r="J47" s="192" t="s">
        <v>266</v>
      </c>
      <c r="K47"/>
    </row>
    <row r="48" spans="2:11" s="1" customFormat="1">
      <c r="B48"/>
      <c r="C48"/>
      <c r="D48"/>
      <c r="E48"/>
      <c r="F48"/>
      <c r="G48"/>
      <c r="H48"/>
      <c r="I48"/>
      <c r="J48" s="193" t="s">
        <v>33</v>
      </c>
      <c r="K48"/>
    </row>
    <row r="49" spans="1:10" s="1" customFormat="1">
      <c r="B49"/>
      <c r="C49"/>
      <c r="D49"/>
      <c r="E49"/>
      <c r="F49"/>
      <c r="G49"/>
      <c r="H49"/>
      <c r="I49"/>
      <c r="J49" s="193" t="s">
        <v>267</v>
      </c>
    </row>
    <row r="50" spans="1:10" s="1" customFormat="1" ht="14"/>
    <row r="51" spans="1:10" s="1" customFormat="1">
      <c r="B51" s="140" t="s">
        <v>268</v>
      </c>
      <c r="C51"/>
      <c r="D51"/>
      <c r="E51"/>
      <c r="F51"/>
      <c r="G51"/>
      <c r="H51"/>
      <c r="I51"/>
      <c r="J51"/>
    </row>
    <row r="52" spans="1:10" s="54" customFormat="1" ht="14">
      <c r="A52" s="51" t="s">
        <v>35</v>
      </c>
      <c r="B52" s="53" t="s">
        <v>269</v>
      </c>
    </row>
    <row r="53" spans="1:10" s="54" customFormat="1" ht="14">
      <c r="B53" s="55" t="s">
        <v>270</v>
      </c>
    </row>
    <row r="55" spans="1:10" s="54" customFormat="1" ht="14">
      <c r="A55" s="51" t="s">
        <v>38</v>
      </c>
      <c r="B55" s="53" t="s">
        <v>271</v>
      </c>
    </row>
    <row r="56" spans="1:10" s="54" customFormat="1" ht="14">
      <c r="B56" s="55" t="s">
        <v>272</v>
      </c>
    </row>
    <row r="58" spans="1:10" s="54" customFormat="1" ht="14">
      <c r="A58" s="51" t="s">
        <v>273</v>
      </c>
      <c r="B58" s="53" t="s">
        <v>274</v>
      </c>
    </row>
    <row r="59" spans="1:10" s="54" customFormat="1" ht="14">
      <c r="B59" s="55" t="s">
        <v>275</v>
      </c>
    </row>
  </sheetData>
  <mergeCells count="3">
    <mergeCell ref="B6:C6"/>
    <mergeCell ref="B25:C25"/>
    <mergeCell ref="B27:D27"/>
  </mergeCells>
  <conditionalFormatting sqref="C11:C13">
    <cfRule type="cellIs" dxfId="33" priority="4" stopIfTrue="1" operator="lessThan">
      <formula>0</formula>
    </cfRule>
  </conditionalFormatting>
  <conditionalFormatting sqref="C15:C24">
    <cfRule type="cellIs" dxfId="32" priority="1" stopIfTrue="1" operator="lessThan">
      <formula>0</formula>
    </cfRule>
  </conditionalFormatting>
  <conditionalFormatting sqref="C26">
    <cfRule type="cellIs" dxfId="31" priority="3" stopIfTrue="1" operator="lessThan">
      <formula>0</formula>
    </cfRule>
  </conditionalFormatting>
  <conditionalFormatting sqref="C28">
    <cfRule type="cellIs" dxfId="30" priority="2"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8A8C-BDE5-4167-93C7-EA0C4B7E6CBE}">
  <sheetPr codeName="Sheet35">
    <pageSetUpPr fitToPage="1"/>
  </sheetPr>
  <dimension ref="A1:AE59"/>
  <sheetViews>
    <sheetView view="pageBreakPreview" topLeftCell="A3" zoomScaleNormal="80" zoomScaleSheetLayoutView="100" workbookViewId="0">
      <selection activeCell="D60" sqref="D60"/>
    </sheetView>
  </sheetViews>
  <sheetFormatPr baseColWidth="10" defaultColWidth="9.1640625" defaultRowHeight="14"/>
  <cols>
    <col min="1" max="1" width="3" style="194" customWidth="1"/>
    <col min="2" max="2" width="9.5" style="194" customWidth="1"/>
    <col min="3" max="3" width="2.83203125" style="194" customWidth="1"/>
    <col min="4" max="4" width="50.83203125" style="194" customWidth="1"/>
    <col min="5" max="5" width="4.5" style="194" customWidth="1"/>
    <col min="6" max="6" width="13.6640625" style="194" customWidth="1"/>
    <col min="7" max="7" width="14" style="194" customWidth="1"/>
    <col min="8" max="8" width="12.83203125" style="194" customWidth="1"/>
    <col min="9" max="9" width="1.1640625" style="194" customWidth="1"/>
    <col min="10" max="11" width="10.33203125" style="54" customWidth="1"/>
    <col min="12" max="12" width="11.1640625" style="54" customWidth="1"/>
    <col min="13" max="13" width="1.5" style="194" customWidth="1"/>
    <col min="14" max="16384" width="9.1640625" style="194"/>
  </cols>
  <sheetData>
    <row r="1" spans="1:14" ht="8.25" hidden="1" customHeight="1"/>
    <row r="2" spans="1:14" ht="8.25" hidden="1" customHeight="1"/>
    <row r="3" spans="1:14" s="54" customFormat="1" ht="17.25" customHeight="1">
      <c r="B3" s="195" t="s">
        <v>276</v>
      </c>
      <c r="C3" s="196" t="s">
        <v>277</v>
      </c>
      <c r="G3" s="197"/>
    </row>
    <row r="4" spans="1:14" s="54" customFormat="1" ht="18.75" customHeight="1">
      <c r="B4" s="198" t="s">
        <v>278</v>
      </c>
      <c r="C4" s="199" t="s">
        <v>279</v>
      </c>
      <c r="E4" s="200"/>
      <c r="F4" s="200"/>
      <c r="G4" s="197"/>
    </row>
    <row r="5" spans="1:14" s="54" customFormat="1" ht="15" customHeight="1">
      <c r="B5" s="201"/>
      <c r="C5" s="201"/>
      <c r="E5" s="200"/>
      <c r="F5" s="200"/>
      <c r="G5" s="197"/>
    </row>
    <row r="6" spans="1:14" s="204" customFormat="1" ht="28.25" customHeight="1" thickBot="1">
      <c r="A6" s="202"/>
      <c r="B6" s="202"/>
      <c r="C6" s="202"/>
      <c r="D6" s="202"/>
      <c r="E6" s="202"/>
      <c r="F6" s="1297" t="s">
        <v>280</v>
      </c>
      <c r="G6" s="1297"/>
      <c r="H6" s="1297"/>
      <c r="I6" s="203"/>
      <c r="J6" s="1297" t="s">
        <v>281</v>
      </c>
      <c r="K6" s="1297"/>
      <c r="L6" s="1297"/>
    </row>
    <row r="7" spans="1:14" s="206" customFormat="1" ht="29.5" customHeight="1" thickBot="1">
      <c r="A7" s="205"/>
      <c r="B7" s="1273" t="s">
        <v>282</v>
      </c>
      <c r="C7" s="1273"/>
      <c r="D7" s="1293"/>
      <c r="E7" s="10"/>
      <c r="F7" s="10">
        <v>2022</v>
      </c>
      <c r="G7" s="11">
        <v>2023</v>
      </c>
      <c r="H7" s="11">
        <v>2024</v>
      </c>
      <c r="I7" s="54"/>
      <c r="J7" s="10">
        <v>2022</v>
      </c>
      <c r="K7" s="11">
        <v>2023</v>
      </c>
      <c r="L7" s="11">
        <v>2024</v>
      </c>
    </row>
    <row r="8" spans="1:14" s="206" customFormat="1" ht="15.5" customHeight="1">
      <c r="B8" s="207"/>
      <c r="C8" s="207"/>
      <c r="D8" s="208"/>
      <c r="E8" s="209"/>
      <c r="F8" s="209"/>
      <c r="G8" s="209"/>
      <c r="H8" s="210"/>
      <c r="I8" s="194"/>
      <c r="J8" s="211"/>
      <c r="K8" s="211"/>
      <c r="L8" s="211"/>
    </row>
    <row r="9" spans="1:14" s="212" customFormat="1" ht="16.25" customHeight="1">
      <c r="B9" s="213" t="s">
        <v>283</v>
      </c>
      <c r="C9" s="213"/>
      <c r="D9" s="208"/>
      <c r="E9" s="214"/>
      <c r="F9" s="215">
        <v>1550009.274633999</v>
      </c>
      <c r="G9" s="215">
        <v>1426198.704358001</v>
      </c>
      <c r="H9" s="215">
        <v>1509290.554015001</v>
      </c>
      <c r="I9" s="216"/>
      <c r="J9" s="217">
        <v>7.9877309318186596</v>
      </c>
      <c r="K9" s="217">
        <v>7.9877309318186596</v>
      </c>
      <c r="L9" s="217">
        <v>5.8261060960929418</v>
      </c>
    </row>
    <row r="10" spans="1:14" s="218" customFormat="1" ht="16.25" customHeight="1">
      <c r="C10" s="213" t="s">
        <v>284</v>
      </c>
      <c r="D10" s="208"/>
      <c r="E10" s="219"/>
      <c r="F10" s="220"/>
      <c r="G10" s="220"/>
      <c r="H10" s="220"/>
      <c r="I10" s="221"/>
      <c r="J10" s="222"/>
      <c r="K10" s="222"/>
      <c r="L10" s="222"/>
    </row>
    <row r="11" spans="1:14" s="218" customFormat="1" ht="16.25" customHeight="1">
      <c r="B11" s="223"/>
      <c r="C11" s="223"/>
      <c r="D11" s="224" t="s">
        <v>285</v>
      </c>
      <c r="E11" s="225"/>
      <c r="F11" s="226">
        <v>120903.07965699992</v>
      </c>
      <c r="G11" s="226">
        <v>94817.511775000021</v>
      </c>
      <c r="H11" s="226">
        <v>105785.80643699998</v>
      </c>
      <c r="I11" s="227"/>
      <c r="J11" s="222">
        <v>21.575602504091901</v>
      </c>
      <c r="K11" s="222">
        <v>21.575602504091901</v>
      </c>
      <c r="L11" s="222">
        <v>11.567794236182333</v>
      </c>
      <c r="N11" s="228"/>
    </row>
    <row r="12" spans="1:14" s="218" customFormat="1" ht="16.25" customHeight="1">
      <c r="B12" s="223"/>
      <c r="C12" s="223"/>
      <c r="D12" s="224" t="s">
        <v>286</v>
      </c>
      <c r="E12" s="225"/>
      <c r="F12" s="226">
        <v>117345.54247200002</v>
      </c>
      <c r="G12" s="226">
        <v>106078.27368100001</v>
      </c>
      <c r="H12" s="226">
        <v>103892.09354600002</v>
      </c>
      <c r="I12" s="227"/>
      <c r="J12" s="222">
        <v>9.6017867859688906</v>
      </c>
      <c r="K12" s="222">
        <v>9.6017867859688906</v>
      </c>
      <c r="L12" s="222">
        <v>2.0609122482274702</v>
      </c>
      <c r="N12" s="228"/>
    </row>
    <row r="13" spans="1:14" s="218" customFormat="1" ht="16.25" customHeight="1">
      <c r="B13" s="223"/>
      <c r="C13" s="223"/>
      <c r="D13" s="224" t="s">
        <v>287</v>
      </c>
      <c r="E13" s="225"/>
      <c r="F13" s="226">
        <v>1304668.458652999</v>
      </c>
      <c r="G13" s="226">
        <v>1216283.1764760008</v>
      </c>
      <c r="H13" s="226">
        <v>1289189.092660001</v>
      </c>
      <c r="I13" s="227"/>
      <c r="J13" s="222">
        <v>6.7745396610761404</v>
      </c>
      <c r="K13" s="222">
        <v>6.7745396610761404</v>
      </c>
      <c r="L13" s="222">
        <v>5.9941564262390132</v>
      </c>
      <c r="N13" s="228"/>
    </row>
    <row r="14" spans="1:14" s="218" customFormat="1" ht="16.25" customHeight="1">
      <c r="B14" s="223"/>
      <c r="C14" s="223"/>
      <c r="D14" s="224" t="s">
        <v>107</v>
      </c>
      <c r="E14" s="225"/>
      <c r="F14" s="226">
        <v>7092.1938520000022</v>
      </c>
      <c r="G14" s="226">
        <v>9019.7424259999989</v>
      </c>
      <c r="H14" s="226">
        <v>10423.561371999998</v>
      </c>
      <c r="I14" s="227"/>
      <c r="J14" s="222">
        <v>27.178453017840553</v>
      </c>
      <c r="K14" s="222">
        <v>27.178453017840553</v>
      </c>
      <c r="L14" s="222">
        <v>15.563847388295693</v>
      </c>
      <c r="N14" s="228"/>
    </row>
    <row r="15" spans="1:14" s="218" customFormat="1" ht="15" customHeight="1">
      <c r="B15" s="229"/>
      <c r="C15" s="229"/>
      <c r="D15" s="208"/>
      <c r="E15" s="230"/>
      <c r="F15" s="231"/>
      <c r="G15" s="231"/>
      <c r="H15" s="231"/>
      <c r="I15" s="227"/>
      <c r="J15" s="222"/>
      <c r="K15" s="222"/>
      <c r="L15" s="222"/>
    </row>
    <row r="16" spans="1:14" s="218" customFormat="1" ht="16.25" customHeight="1">
      <c r="C16" s="213" t="s">
        <v>288</v>
      </c>
      <c r="D16" s="208"/>
      <c r="E16" s="219"/>
      <c r="F16" s="220"/>
      <c r="G16" s="220"/>
      <c r="H16" s="220"/>
      <c r="I16" s="221"/>
      <c r="J16" s="222"/>
      <c r="K16" s="222"/>
      <c r="L16" s="222"/>
    </row>
    <row r="17" spans="2:14" s="218" customFormat="1" ht="16.25" customHeight="1">
      <c r="C17" s="232" t="s">
        <v>289</v>
      </c>
      <c r="D17" s="208"/>
      <c r="E17" s="219"/>
      <c r="F17" s="220"/>
      <c r="G17" s="220"/>
      <c r="H17" s="220"/>
      <c r="I17" s="221"/>
      <c r="J17" s="222"/>
      <c r="K17" s="222"/>
      <c r="L17" s="222"/>
    </row>
    <row r="18" spans="2:14" s="218" customFormat="1" ht="16.25" customHeight="1">
      <c r="B18" s="223"/>
      <c r="C18" s="223"/>
      <c r="D18" s="224" t="s">
        <v>290</v>
      </c>
      <c r="E18" s="225"/>
      <c r="F18" s="226">
        <v>592955.84293100005</v>
      </c>
      <c r="G18" s="226">
        <v>575455.29072599998</v>
      </c>
      <c r="H18" s="226">
        <v>601576.78459399997</v>
      </c>
      <c r="I18" s="227"/>
      <c r="J18" s="222">
        <v>2.9514090152977102</v>
      </c>
      <c r="K18" s="222">
        <v>2.9514090152977102</v>
      </c>
      <c r="L18" s="222">
        <v>4.5392742562232522</v>
      </c>
      <c r="N18" s="228"/>
    </row>
    <row r="19" spans="2:14" s="218" customFormat="1" ht="16.25" customHeight="1">
      <c r="B19" s="223"/>
      <c r="C19" s="223"/>
      <c r="D19" s="224" t="s">
        <v>291</v>
      </c>
      <c r="E19" s="225"/>
      <c r="F19" s="226">
        <v>149836.129739</v>
      </c>
      <c r="G19" s="226">
        <v>133870.28451899998</v>
      </c>
      <c r="H19" s="226">
        <v>117577.34405199997</v>
      </c>
      <c r="I19" s="227"/>
      <c r="J19" s="222">
        <v>10.655537651573701</v>
      </c>
      <c r="K19" s="222">
        <v>10.655537651573701</v>
      </c>
      <c r="L19" s="222">
        <v>12.1706923426218</v>
      </c>
      <c r="N19" s="228"/>
    </row>
    <row r="20" spans="2:14" s="218" customFormat="1" ht="16.25" customHeight="1">
      <c r="B20" s="223"/>
      <c r="C20" s="223"/>
      <c r="D20" s="224" t="s">
        <v>292</v>
      </c>
      <c r="E20" s="225"/>
      <c r="F20" s="226">
        <v>137985.75492400001</v>
      </c>
      <c r="G20" s="226">
        <v>102159.76746799999</v>
      </c>
      <c r="H20" s="226">
        <v>114377.863549</v>
      </c>
      <c r="I20" s="227"/>
      <c r="J20" s="222">
        <v>25.963540566729002</v>
      </c>
      <c r="K20" s="222">
        <v>25.963540566729002</v>
      </c>
      <c r="L20" s="222">
        <v>11.959792376022337</v>
      </c>
      <c r="N20" s="228"/>
    </row>
    <row r="21" spans="2:14" s="218" customFormat="1" ht="16.25" customHeight="1">
      <c r="B21" s="223"/>
      <c r="C21" s="223"/>
      <c r="D21" s="233" t="s">
        <v>293</v>
      </c>
      <c r="E21" s="234"/>
      <c r="F21" s="235"/>
      <c r="G21" s="235"/>
      <c r="H21" s="235"/>
      <c r="I21" s="227"/>
      <c r="J21" s="222"/>
      <c r="K21" s="222"/>
      <c r="L21" s="222"/>
      <c r="N21" s="228"/>
    </row>
    <row r="22" spans="2:14" s="218" customFormat="1" ht="15" customHeight="1">
      <c r="B22" s="229"/>
      <c r="C22" s="229"/>
      <c r="D22" s="208"/>
      <c r="E22" s="230"/>
      <c r="F22" s="231"/>
      <c r="G22" s="231"/>
      <c r="H22" s="231"/>
      <c r="I22" s="227"/>
      <c r="J22" s="222"/>
      <c r="K22" s="222"/>
      <c r="L22" s="222"/>
    </row>
    <row r="23" spans="2:14" s="212" customFormat="1" ht="16.25" customHeight="1">
      <c r="B23" s="213" t="s">
        <v>294</v>
      </c>
      <c r="C23" s="213"/>
      <c r="D23" s="236"/>
      <c r="E23" s="214"/>
      <c r="F23" s="215">
        <v>1293811.3921559998</v>
      </c>
      <c r="G23" s="215">
        <v>1211044.0406490001</v>
      </c>
      <c r="H23" s="215">
        <v>1370237.479546</v>
      </c>
      <c r="I23" s="237"/>
      <c r="J23" s="217">
        <v>6.3971728807455204</v>
      </c>
      <c r="K23" s="217">
        <v>6.3971728807455204</v>
      </c>
      <c r="L23" s="217">
        <v>13.145140354407586</v>
      </c>
      <c r="N23" s="238"/>
    </row>
    <row r="24" spans="2:14" s="218" customFormat="1" ht="16.25" customHeight="1">
      <c r="B24" s="213"/>
      <c r="C24" s="213" t="s">
        <v>295</v>
      </c>
      <c r="D24" s="236"/>
      <c r="E24" s="239"/>
      <c r="F24" s="240">
        <v>965836.14379200002</v>
      </c>
      <c r="G24" s="240">
        <v>895910.06112299999</v>
      </c>
      <c r="H24" s="240">
        <v>1077006.497762</v>
      </c>
      <c r="I24" s="227"/>
      <c r="J24" s="222">
        <v>7.2399529794423501</v>
      </c>
      <c r="K24" s="222">
        <v>7.2399529794423501</v>
      </c>
      <c r="L24" s="222">
        <v>20.213684888413944</v>
      </c>
      <c r="N24" s="228"/>
    </row>
    <row r="25" spans="2:14" s="218" customFormat="1" ht="16.25" customHeight="1">
      <c r="C25" s="213" t="s">
        <v>296</v>
      </c>
      <c r="D25" s="236"/>
      <c r="E25" s="219"/>
      <c r="F25" s="220"/>
      <c r="G25" s="220"/>
      <c r="H25" s="220"/>
      <c r="I25" s="227"/>
      <c r="J25" s="222"/>
      <c r="K25" s="222"/>
      <c r="L25" s="222"/>
    </row>
    <row r="26" spans="2:14" s="218" customFormat="1" ht="16.25" customHeight="1">
      <c r="B26" s="159"/>
      <c r="C26" s="159"/>
      <c r="D26" s="224" t="s">
        <v>297</v>
      </c>
      <c r="E26" s="225"/>
      <c r="F26" s="226">
        <v>120231.44983699999</v>
      </c>
      <c r="G26" s="226">
        <v>128743.418749</v>
      </c>
      <c r="H26" s="226">
        <v>166098.25771199999</v>
      </c>
      <c r="I26" s="227"/>
      <c r="J26" s="222">
        <v>7.0796525564150183</v>
      </c>
      <c r="K26" s="222">
        <v>7.0796525564150183</v>
      </c>
      <c r="L26" s="222">
        <v>29.014950298801303</v>
      </c>
      <c r="N26" s="228"/>
    </row>
    <row r="27" spans="2:14" s="218" customFormat="1" ht="16.25" customHeight="1">
      <c r="B27" s="159"/>
      <c r="C27" s="159"/>
      <c r="D27" s="224" t="s">
        <v>298</v>
      </c>
      <c r="E27" s="225"/>
      <c r="F27" s="226">
        <v>706551.23107500002</v>
      </c>
      <c r="G27" s="226">
        <v>620606.51184599998</v>
      </c>
      <c r="H27" s="226">
        <v>749247.10145299998</v>
      </c>
      <c r="I27" s="227"/>
      <c r="J27" s="222">
        <v>12.1639755829506</v>
      </c>
      <c r="K27" s="222">
        <v>12.1639755829506</v>
      </c>
      <c r="L27" s="222">
        <v>20.728204933647465</v>
      </c>
      <c r="N27" s="228"/>
    </row>
    <row r="28" spans="2:14" s="218" customFormat="1" ht="16.25" customHeight="1">
      <c r="B28" s="159"/>
      <c r="C28" s="159"/>
      <c r="D28" s="224" t="s">
        <v>299</v>
      </c>
      <c r="E28" s="225"/>
      <c r="F28" s="226">
        <v>104017.235508</v>
      </c>
      <c r="G28" s="226">
        <v>104117.734237</v>
      </c>
      <c r="H28" s="226">
        <v>117413.718655</v>
      </c>
      <c r="I28" s="227"/>
      <c r="J28" s="222">
        <v>9.661738125338816E-2</v>
      </c>
      <c r="K28" s="222">
        <v>9.661738125338816E-2</v>
      </c>
      <c r="L28" s="222">
        <v>12.770143833263569</v>
      </c>
      <c r="N28" s="228"/>
    </row>
    <row r="29" spans="2:14" s="218" customFormat="1" ht="16.25" customHeight="1">
      <c r="B29" s="223"/>
      <c r="C29" s="223"/>
      <c r="D29" s="224" t="s">
        <v>107</v>
      </c>
      <c r="E29" s="225"/>
      <c r="F29" s="226">
        <f>F24-F26-F27-F28</f>
        <v>35036.227372000008</v>
      </c>
      <c r="G29" s="226">
        <f>G24-G26-G27-G28</f>
        <v>42442.39629100007</v>
      </c>
      <c r="H29" s="226">
        <f>H24-H26-H27-H28</f>
        <v>44247.41994199992</v>
      </c>
      <c r="I29" s="227"/>
      <c r="J29" s="222">
        <v>21.138602739285989</v>
      </c>
      <c r="K29" s="222">
        <v>21.138602739285989</v>
      </c>
      <c r="L29" s="222">
        <v>4.2528787456390775</v>
      </c>
      <c r="N29" s="228"/>
    </row>
    <row r="30" spans="2:14" s="218" customFormat="1" ht="16.5" customHeight="1">
      <c r="B30" s="223"/>
      <c r="C30" s="223"/>
      <c r="D30" s="229"/>
      <c r="E30" s="219"/>
      <c r="F30" s="220"/>
      <c r="G30" s="220"/>
      <c r="H30" s="220"/>
      <c r="I30" s="227"/>
      <c r="J30" s="222"/>
      <c r="K30" s="222"/>
      <c r="L30" s="222"/>
    </row>
    <row r="31" spans="2:14" s="218" customFormat="1" ht="16.25" customHeight="1">
      <c r="C31" s="213" t="s">
        <v>288</v>
      </c>
      <c r="D31" s="208"/>
      <c r="E31" s="239"/>
      <c r="F31" s="240"/>
      <c r="G31" s="240"/>
      <c r="H31" s="240"/>
      <c r="I31" s="241"/>
      <c r="J31" s="222"/>
      <c r="K31" s="222"/>
      <c r="L31" s="222"/>
      <c r="M31" s="156"/>
      <c r="N31" s="156"/>
    </row>
    <row r="32" spans="2:14" s="218" customFormat="1" ht="16.25" customHeight="1">
      <c r="C32" s="232" t="s">
        <v>289</v>
      </c>
      <c r="D32" s="208"/>
      <c r="E32" s="239"/>
      <c r="F32" s="240"/>
      <c r="G32" s="240"/>
      <c r="H32" s="240"/>
      <c r="I32" s="241"/>
      <c r="J32" s="222"/>
      <c r="K32" s="222"/>
      <c r="L32" s="222"/>
      <c r="M32" s="156"/>
      <c r="N32" s="156"/>
    </row>
    <row r="33" spans="1:14" s="218" customFormat="1" ht="16.25" customHeight="1">
      <c r="B33" s="223"/>
      <c r="C33" s="223"/>
      <c r="D33" s="224" t="s">
        <v>290</v>
      </c>
      <c r="E33" s="225"/>
      <c r="F33" s="226">
        <v>393473.91991599998</v>
      </c>
      <c r="G33" s="226">
        <v>355944.50648100005</v>
      </c>
      <c r="H33" s="226">
        <v>455802.6407300001</v>
      </c>
      <c r="I33" s="242"/>
      <c r="J33" s="222">
        <v>9.5379672032677103</v>
      </c>
      <c r="K33" s="222">
        <v>9.5379672032677103</v>
      </c>
      <c r="L33" s="222">
        <v>28.054410850790973</v>
      </c>
      <c r="M33" s="156"/>
      <c r="N33" s="243"/>
    </row>
    <row r="34" spans="1:14" s="218" customFormat="1" ht="16.25" customHeight="1">
      <c r="B34" s="223"/>
      <c r="C34" s="223"/>
      <c r="D34" s="224" t="s">
        <v>291</v>
      </c>
      <c r="E34" s="225"/>
      <c r="F34" s="226">
        <v>136762.033788</v>
      </c>
      <c r="G34" s="226">
        <v>130253.19206999999</v>
      </c>
      <c r="H34" s="226">
        <v>121417.71246299999</v>
      </c>
      <c r="I34" s="242"/>
      <c r="J34" s="222">
        <v>4.7592460697751902</v>
      </c>
      <c r="K34" s="222">
        <v>4.7592460697751902</v>
      </c>
      <c r="L34" s="222">
        <v>6.7833113849921496</v>
      </c>
      <c r="M34" s="156"/>
      <c r="N34" s="243"/>
    </row>
    <row r="35" spans="1:14" s="218" customFormat="1" ht="16.25" customHeight="1">
      <c r="B35" s="223"/>
      <c r="C35" s="223"/>
      <c r="D35" s="224" t="s">
        <v>300</v>
      </c>
      <c r="E35" s="225"/>
      <c r="F35" s="226">
        <v>52941.408157999998</v>
      </c>
      <c r="G35" s="226">
        <v>60972.369946000006</v>
      </c>
      <c r="H35" s="226">
        <v>63166.548171999988</v>
      </c>
      <c r="I35" s="242"/>
      <c r="J35" s="222">
        <v>15.169528101768947</v>
      </c>
      <c r="K35" s="222">
        <v>15.169528101768947</v>
      </c>
      <c r="L35" s="222">
        <v>3.5986434969532084</v>
      </c>
      <c r="M35" s="156"/>
      <c r="N35" s="243"/>
    </row>
    <row r="36" spans="1:14" s="218" customFormat="1" ht="15" customHeight="1">
      <c r="B36" s="229"/>
      <c r="C36" s="229"/>
      <c r="D36" s="208"/>
      <c r="E36" s="244"/>
      <c r="F36" s="245"/>
      <c r="G36" s="245"/>
      <c r="H36" s="245"/>
      <c r="I36" s="242"/>
      <c r="J36" s="222"/>
      <c r="K36" s="222"/>
      <c r="L36" s="222"/>
      <c r="M36" s="156"/>
      <c r="N36" s="156"/>
    </row>
    <row r="37" spans="1:14" s="212" customFormat="1" ht="16.25" customHeight="1">
      <c r="A37" s="213"/>
      <c r="B37" s="213" t="s">
        <v>301</v>
      </c>
      <c r="C37" s="213"/>
      <c r="D37" s="213"/>
      <c r="E37" s="214"/>
      <c r="F37" s="215">
        <f>F9+F23</f>
        <v>2843820.6667899988</v>
      </c>
      <c r="G37" s="215">
        <f>G9+G23</f>
        <v>2637242.7450070009</v>
      </c>
      <c r="H37" s="215">
        <f>H9+H23</f>
        <v>2879528.0335610011</v>
      </c>
      <c r="I37" s="237"/>
      <c r="J37" s="217">
        <v>7.2640980563720099</v>
      </c>
      <c r="K37" s="217">
        <v>7.2640980563720099</v>
      </c>
      <c r="L37" s="217">
        <v>9.1870681609688916</v>
      </c>
    </row>
    <row r="38" spans="1:14" s="212" customFormat="1" ht="16.25" customHeight="1">
      <c r="A38" s="213"/>
      <c r="B38" s="213"/>
      <c r="C38" s="213"/>
      <c r="D38" s="213"/>
      <c r="E38" s="246"/>
      <c r="F38" s="247"/>
      <c r="G38" s="247"/>
      <c r="H38" s="247"/>
      <c r="I38" s="237"/>
      <c r="J38" s="217"/>
      <c r="K38" s="217"/>
      <c r="L38" s="217"/>
    </row>
    <row r="39" spans="1:14" s="212" customFormat="1" ht="16.25" customHeight="1">
      <c r="A39" s="213"/>
      <c r="B39" s="213" t="s">
        <v>302</v>
      </c>
      <c r="C39" s="213"/>
      <c r="D39" s="213"/>
      <c r="E39" s="214"/>
      <c r="F39" s="215">
        <f>F9-F23</f>
        <v>256197.8824779992</v>
      </c>
      <c r="G39" s="215">
        <f>G9-G23</f>
        <v>215154.66370900092</v>
      </c>
      <c r="H39" s="215">
        <f>H9-H23</f>
        <v>139053.07446900103</v>
      </c>
      <c r="I39" s="237"/>
      <c r="J39" s="217">
        <v>16.020124121253399</v>
      </c>
      <c r="K39" s="217">
        <v>16.020124121253399</v>
      </c>
      <c r="L39" s="217">
        <v>35.370643577091201</v>
      </c>
    </row>
    <row r="40" spans="1:14" s="218" customFormat="1" ht="15" customHeight="1">
      <c r="B40" s="212"/>
      <c r="C40" s="212"/>
      <c r="E40" s="214"/>
      <c r="F40" s="220"/>
      <c r="G40" s="220"/>
      <c r="H40" s="220"/>
      <c r="I40" s="227"/>
      <c r="J40" s="222"/>
      <c r="K40" s="222"/>
      <c r="L40" s="222"/>
    </row>
    <row r="41" spans="1:14" s="218" customFormat="1" ht="29" customHeight="1">
      <c r="A41" s="156"/>
      <c r="B41" s="1298" t="s">
        <v>303</v>
      </c>
      <c r="C41" s="1298"/>
      <c r="D41" s="1298"/>
      <c r="E41" s="214"/>
      <c r="F41" s="215">
        <f>SUM(F42:F46)</f>
        <v>1495525.5495340002</v>
      </c>
      <c r="G41" s="215">
        <f>SUM(G42:G46)</f>
        <v>1397114.066721</v>
      </c>
      <c r="H41" s="215">
        <f>SUM(H42:H46)</f>
        <v>1600724.294465</v>
      </c>
      <c r="I41" s="227"/>
      <c r="J41" s="217">
        <v>6.5803946207181001</v>
      </c>
      <c r="K41" s="217">
        <v>6.5803946207181001</v>
      </c>
      <c r="L41" s="217">
        <v>14.573629497687998</v>
      </c>
    </row>
    <row r="42" spans="1:14" s="218" customFormat="1" ht="16.25" customHeight="1">
      <c r="A42" s="156"/>
      <c r="B42" s="156"/>
      <c r="C42" s="156"/>
      <c r="D42" s="213" t="s">
        <v>304</v>
      </c>
      <c r="E42" s="248"/>
      <c r="F42" s="249">
        <v>486380.56942399999</v>
      </c>
      <c r="G42" s="249">
        <v>450012.12686800002</v>
      </c>
      <c r="H42" s="249">
        <v>484245.34087299998</v>
      </c>
      <c r="I42" s="227"/>
      <c r="J42" s="222">
        <v>7.4773633739254004</v>
      </c>
      <c r="K42" s="222">
        <v>7.4773633739254004</v>
      </c>
      <c r="L42" s="222">
        <v>7.6071758872936837</v>
      </c>
    </row>
    <row r="43" spans="1:14" s="218" customFormat="1" ht="16.25" customHeight="1">
      <c r="A43" s="156"/>
      <c r="B43" s="156"/>
      <c r="C43" s="156"/>
      <c r="D43" s="213" t="s">
        <v>305</v>
      </c>
      <c r="E43" s="248"/>
      <c r="F43" s="249">
        <v>367523.70898499998</v>
      </c>
      <c r="G43" s="249">
        <v>363020.74606999999</v>
      </c>
      <c r="H43" s="249">
        <v>396262.58990700002</v>
      </c>
      <c r="I43" s="227"/>
      <c r="J43" s="222">
        <v>1.22521698734374</v>
      </c>
      <c r="K43" s="222">
        <v>1.22521698734374</v>
      </c>
      <c r="L43" s="222">
        <v>9.1570093987383618</v>
      </c>
    </row>
    <row r="44" spans="1:14" s="218" customFormat="1" ht="16.25" customHeight="1">
      <c r="A44" s="156"/>
      <c r="B44" s="156"/>
      <c r="C44" s="156"/>
      <c r="D44" s="213" t="s">
        <v>306</v>
      </c>
      <c r="E44" s="248"/>
      <c r="F44" s="249">
        <v>267628.985522</v>
      </c>
      <c r="G44" s="249">
        <v>250122.732861</v>
      </c>
      <c r="H44" s="249">
        <v>325157.84817999997</v>
      </c>
      <c r="I44" s="227"/>
      <c r="J44" s="222">
        <v>6.5412394053113196</v>
      </c>
      <c r="K44" s="222">
        <v>6.5412394053113196</v>
      </c>
      <c r="L44" s="222">
        <v>29.999318518840518</v>
      </c>
    </row>
    <row r="45" spans="1:14" s="218" customFormat="1" ht="16.25" customHeight="1">
      <c r="A45" s="156"/>
      <c r="B45" s="156"/>
      <c r="C45" s="156"/>
      <c r="D45" s="213" t="s">
        <v>307</v>
      </c>
      <c r="E45" s="248"/>
      <c r="F45" s="249">
        <v>216244.06753</v>
      </c>
      <c r="G45" s="249">
        <v>206785.58747999999</v>
      </c>
      <c r="H45" s="249">
        <v>218910.33463900001</v>
      </c>
      <c r="I45" s="227"/>
      <c r="J45" s="222">
        <v>4.3739836001224903</v>
      </c>
      <c r="K45" s="222">
        <v>4.3739836001224903</v>
      </c>
      <c r="L45" s="222">
        <v>5.8634391819849192</v>
      </c>
    </row>
    <row r="46" spans="1:14" s="218" customFormat="1" ht="16.25" customHeight="1" thickBot="1">
      <c r="A46" s="156"/>
      <c r="B46" s="156"/>
      <c r="C46" s="156"/>
      <c r="D46" s="250" t="s">
        <v>308</v>
      </c>
      <c r="E46" s="251"/>
      <c r="F46" s="252">
        <v>157748.218073</v>
      </c>
      <c r="G46" s="252">
        <v>127172.873442</v>
      </c>
      <c r="H46" s="252">
        <v>176148.18086600001</v>
      </c>
      <c r="I46" s="253"/>
      <c r="J46" s="254">
        <v>19.382370846719098</v>
      </c>
      <c r="K46" s="254">
        <v>19.382370846719098</v>
      </c>
      <c r="L46" s="254">
        <v>38.510812957557562</v>
      </c>
    </row>
    <row r="47" spans="1:14" s="218" customFormat="1" ht="6.5" customHeight="1">
      <c r="A47" s="156"/>
      <c r="B47" s="156"/>
      <c r="C47" s="156"/>
      <c r="E47" s="255"/>
      <c r="F47" s="256"/>
      <c r="G47" s="256"/>
      <c r="H47" s="256"/>
      <c r="I47" s="227"/>
      <c r="J47" s="222"/>
      <c r="K47" s="222"/>
      <c r="L47" s="222"/>
    </row>
    <row r="48" spans="1:14" s="218" customFormat="1" ht="24.5" customHeight="1">
      <c r="A48" s="156"/>
      <c r="B48" s="213"/>
      <c r="C48" s="213"/>
      <c r="D48" s="257" t="s">
        <v>309</v>
      </c>
      <c r="E48" s="258"/>
      <c r="F48" s="259"/>
      <c r="G48" s="259"/>
      <c r="H48" s="259"/>
      <c r="I48" s="227"/>
      <c r="J48" s="217">
        <f>J41/J37*100</f>
        <v>90.587910152807339</v>
      </c>
      <c r="K48" s="217">
        <f>K41/K37*100</f>
        <v>90.587910152807339</v>
      </c>
      <c r="L48" s="217">
        <f>L41/L37*100</f>
        <v>158.63199491219433</v>
      </c>
    </row>
    <row r="49" spans="1:31" s="262" customFormat="1" ht="8.25" customHeight="1" thickBot="1">
      <c r="A49" s="260"/>
      <c r="B49" s="260"/>
      <c r="C49" s="260"/>
      <c r="D49" s="260"/>
      <c r="E49" s="260"/>
      <c r="F49" s="260"/>
      <c r="G49" s="260"/>
      <c r="H49" s="260"/>
      <c r="I49" s="260"/>
      <c r="J49" s="261"/>
      <c r="K49" s="261"/>
      <c r="L49" s="261"/>
    </row>
    <row r="50" spans="1:31" s="262" customFormat="1" ht="15" customHeight="1" thickTop="1">
      <c r="E50" s="263"/>
      <c r="F50" s="263"/>
      <c r="H50" s="264"/>
      <c r="I50" s="264"/>
      <c r="J50" s="47"/>
      <c r="K50" s="47"/>
      <c r="L50" s="43" t="s">
        <v>32</v>
      </c>
    </row>
    <row r="51" spans="1:31" s="262" customFormat="1">
      <c r="B51" s="265"/>
      <c r="C51" s="265"/>
      <c r="D51" s="264"/>
      <c r="E51" s="264"/>
      <c r="F51" s="264"/>
      <c r="G51" s="264"/>
      <c r="J51" s="200"/>
      <c r="K51" s="200"/>
      <c r="L51" s="44" t="s">
        <v>33</v>
      </c>
    </row>
    <row r="52" spans="1:31" s="269" customFormat="1" ht="15" customHeight="1">
      <c r="A52" s="266"/>
      <c r="B52" s="267"/>
      <c r="C52" s="267"/>
      <c r="D52" s="264"/>
      <c r="E52" s="268"/>
      <c r="F52" s="268"/>
      <c r="G52" s="268"/>
      <c r="H52" s="266"/>
      <c r="I52" s="264"/>
      <c r="J52" s="47"/>
      <c r="K52" s="47"/>
      <c r="L52" s="47"/>
      <c r="M52" s="266"/>
      <c r="N52" s="266"/>
      <c r="O52" s="266"/>
      <c r="P52" s="266"/>
      <c r="Q52" s="266"/>
      <c r="R52" s="266"/>
      <c r="S52" s="266"/>
      <c r="T52" s="266"/>
      <c r="U52" s="266"/>
      <c r="V52" s="266"/>
      <c r="W52" s="266"/>
      <c r="X52" s="266"/>
      <c r="Y52" s="266"/>
      <c r="Z52" s="266"/>
      <c r="AA52" s="266"/>
      <c r="AB52" s="266"/>
      <c r="AC52" s="266"/>
      <c r="AD52" s="266"/>
      <c r="AE52" s="266"/>
    </row>
    <row r="53" spans="1:31" s="269" customFormat="1" ht="15" customHeight="1">
      <c r="A53" s="270"/>
      <c r="B53" s="267"/>
      <c r="C53" s="267"/>
      <c r="D53" s="264"/>
      <c r="E53" s="268"/>
      <c r="F53" s="268"/>
      <c r="G53" s="268"/>
      <c r="H53" s="266"/>
      <c r="I53" s="264"/>
      <c r="J53" s="47"/>
      <c r="K53" s="47"/>
      <c r="L53" s="47"/>
      <c r="M53" s="266"/>
      <c r="N53" s="266"/>
      <c r="O53" s="266"/>
      <c r="P53" s="266"/>
      <c r="Q53" s="266"/>
      <c r="R53" s="266"/>
      <c r="S53" s="266"/>
      <c r="T53" s="266"/>
      <c r="U53" s="266"/>
      <c r="V53" s="266"/>
      <c r="W53" s="266"/>
      <c r="X53" s="266"/>
      <c r="Y53" s="266"/>
      <c r="Z53" s="266"/>
      <c r="AA53" s="266"/>
      <c r="AB53" s="266"/>
      <c r="AC53" s="266"/>
      <c r="AD53" s="266"/>
      <c r="AE53" s="266"/>
    </row>
    <row r="54" spans="1:31" s="269" customFormat="1" ht="15" customHeight="1">
      <c r="A54" s="266"/>
      <c r="B54" s="267"/>
      <c r="C54" s="267"/>
      <c r="D54" s="264"/>
      <c r="E54" s="268"/>
      <c r="F54" s="268"/>
      <c r="G54" s="268"/>
      <c r="H54" s="266"/>
      <c r="I54" s="264"/>
      <c r="J54" s="47"/>
      <c r="K54" s="47"/>
      <c r="L54" s="47"/>
      <c r="M54" s="266"/>
      <c r="N54" s="266"/>
      <c r="O54" s="266"/>
      <c r="P54" s="266"/>
      <c r="Q54" s="266"/>
      <c r="R54" s="266"/>
      <c r="S54" s="266"/>
      <c r="T54" s="266"/>
      <c r="U54" s="266"/>
      <c r="V54" s="266"/>
      <c r="W54" s="266"/>
      <c r="X54" s="266"/>
      <c r="Y54" s="266"/>
      <c r="Z54" s="266"/>
      <c r="AA54" s="266"/>
      <c r="AB54" s="266"/>
      <c r="AC54" s="266"/>
      <c r="AD54" s="266"/>
      <c r="AE54" s="266"/>
    </row>
    <row r="55" spans="1:31" s="269" customFormat="1" ht="15" customHeight="1">
      <c r="A55" s="266"/>
      <c r="B55" s="267"/>
      <c r="C55" s="267"/>
      <c r="D55" s="264"/>
      <c r="E55" s="268"/>
      <c r="F55" s="268"/>
      <c r="G55" s="268"/>
      <c r="H55" s="266"/>
      <c r="I55" s="264"/>
      <c r="J55" s="47"/>
      <c r="K55" s="47"/>
      <c r="L55" s="47"/>
      <c r="M55" s="266"/>
      <c r="N55" s="266"/>
      <c r="O55" s="266"/>
      <c r="P55" s="266"/>
      <c r="Q55" s="266"/>
      <c r="R55" s="266"/>
      <c r="S55" s="266"/>
      <c r="T55" s="266"/>
      <c r="U55" s="266"/>
      <c r="V55" s="266"/>
      <c r="W55" s="266"/>
      <c r="X55" s="266"/>
      <c r="Y55" s="266"/>
      <c r="Z55" s="266"/>
      <c r="AA55" s="266"/>
      <c r="AB55" s="266"/>
      <c r="AC55" s="266"/>
      <c r="AD55" s="266"/>
      <c r="AE55" s="266"/>
    </row>
    <row r="56" spans="1:31" s="269" customFormat="1" ht="15" customHeight="1">
      <c r="A56" s="266"/>
      <c r="B56" s="271"/>
      <c r="C56" s="271"/>
      <c r="D56" s="264"/>
      <c r="E56" s="268"/>
      <c r="F56" s="268"/>
      <c r="G56" s="268"/>
      <c r="H56" s="266"/>
      <c r="I56" s="264"/>
      <c r="J56" s="47"/>
      <c r="K56" s="47"/>
      <c r="L56" s="47"/>
      <c r="M56" s="266"/>
      <c r="N56" s="266"/>
      <c r="O56" s="266"/>
      <c r="P56" s="266"/>
      <c r="Q56" s="266"/>
      <c r="R56" s="266"/>
      <c r="S56" s="266"/>
      <c r="T56" s="266"/>
      <c r="U56" s="266"/>
      <c r="V56" s="266"/>
      <c r="W56" s="266"/>
      <c r="X56" s="266"/>
      <c r="Y56" s="266"/>
      <c r="Z56" s="266"/>
      <c r="AA56" s="266"/>
      <c r="AB56" s="266"/>
      <c r="AC56" s="266"/>
      <c r="AD56" s="266"/>
      <c r="AE56" s="266"/>
    </row>
    <row r="57" spans="1:31" s="272" customFormat="1" ht="15" customHeight="1">
      <c r="A57" s="194"/>
      <c r="B57" s="267"/>
      <c r="C57" s="267"/>
      <c r="D57" s="218"/>
      <c r="E57" s="268"/>
      <c r="F57" s="268"/>
      <c r="G57" s="268"/>
      <c r="H57" s="194"/>
      <c r="I57" s="262"/>
      <c r="J57" s="200"/>
      <c r="K57" s="200"/>
      <c r="L57" s="200"/>
      <c r="M57" s="194"/>
      <c r="N57" s="194"/>
      <c r="O57" s="194"/>
      <c r="P57" s="194"/>
      <c r="Q57" s="194"/>
      <c r="R57" s="194"/>
      <c r="S57" s="194"/>
      <c r="T57" s="194"/>
      <c r="U57" s="194"/>
      <c r="V57" s="194"/>
      <c r="W57" s="194"/>
      <c r="X57" s="194"/>
      <c r="Y57" s="194"/>
      <c r="Z57" s="194"/>
      <c r="AA57" s="194"/>
      <c r="AB57" s="194"/>
      <c r="AC57" s="194"/>
      <c r="AD57" s="194"/>
      <c r="AE57" s="194"/>
    </row>
    <row r="58" spans="1:31" s="272" customFormat="1" ht="15" customHeight="1">
      <c r="A58" s="194"/>
      <c r="B58" s="267"/>
      <c r="C58" s="267"/>
      <c r="D58" s="218"/>
      <c r="E58" s="268"/>
      <c r="F58" s="268"/>
      <c r="G58" s="268"/>
      <c r="H58" s="194"/>
      <c r="I58" s="262"/>
      <c r="J58" s="200"/>
      <c r="K58" s="200"/>
      <c r="L58" s="200"/>
      <c r="M58" s="194"/>
      <c r="N58" s="194"/>
      <c r="O58" s="194"/>
      <c r="P58" s="194"/>
      <c r="Q58" s="194"/>
      <c r="R58" s="194"/>
      <c r="S58" s="194"/>
      <c r="T58" s="194"/>
      <c r="U58" s="194"/>
      <c r="V58" s="194"/>
      <c r="W58" s="194"/>
      <c r="X58" s="194"/>
      <c r="Y58" s="194"/>
      <c r="Z58" s="194"/>
      <c r="AA58" s="194"/>
      <c r="AB58" s="194"/>
      <c r="AC58" s="194"/>
      <c r="AD58" s="194"/>
      <c r="AE58" s="194"/>
    </row>
    <row r="59" spans="1:31" s="272" customFormat="1" ht="15" customHeight="1">
      <c r="A59" s="194"/>
      <c r="B59" s="271"/>
      <c r="C59" s="271"/>
      <c r="D59" s="218"/>
      <c r="E59" s="268"/>
      <c r="F59" s="268"/>
      <c r="G59" s="268"/>
      <c r="H59" s="194"/>
      <c r="I59" s="262"/>
      <c r="J59" s="200"/>
      <c r="K59" s="200"/>
      <c r="L59" s="200"/>
      <c r="M59" s="194"/>
      <c r="N59" s="194"/>
      <c r="O59" s="194"/>
      <c r="P59" s="194"/>
      <c r="Q59" s="194"/>
      <c r="R59" s="194"/>
      <c r="S59" s="194"/>
      <c r="T59" s="194"/>
      <c r="U59" s="194"/>
      <c r="V59" s="194"/>
      <c r="W59" s="194"/>
      <c r="X59" s="194"/>
      <c r="Y59" s="194"/>
      <c r="Z59" s="194"/>
      <c r="AA59" s="194"/>
      <c r="AB59" s="194"/>
      <c r="AC59" s="194"/>
      <c r="AD59" s="194"/>
      <c r="AE59" s="194"/>
    </row>
  </sheetData>
  <mergeCells count="4">
    <mergeCell ref="F6:H6"/>
    <mergeCell ref="J6:L6"/>
    <mergeCell ref="B7:D7"/>
    <mergeCell ref="B41:D41"/>
  </mergeCells>
  <conditionalFormatting sqref="D37:D40 D42:D46 E46 D48">
    <cfRule type="cellIs" dxfId="29" priority="2" stopIfTrue="1" operator="lessThan">
      <formula>0</formula>
    </cfRule>
  </conditionalFormatting>
  <conditionalFormatting sqref="H40">
    <cfRule type="cellIs" dxfId="28" priority="1" stopIfTrue="1" operator="lessThan">
      <formula>0</formula>
    </cfRule>
  </conditionalFormatting>
  <printOptions horizontalCentered="1"/>
  <pageMargins left="0.55118110236220474" right="0.26" top="0.55118110236220474" bottom="0.55118110236220474" header="0.55118110236220474" footer="0.55118110236220474"/>
  <pageSetup paperSize="9" scale="6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C49B-53EE-4409-99A3-0B4B49C17E24}">
  <sheetPr codeName="Sheet36">
    <pageSetUpPr fitToPage="1"/>
  </sheetPr>
  <dimension ref="B1:J22"/>
  <sheetViews>
    <sheetView view="pageBreakPreview" zoomScaleNormal="100" zoomScaleSheetLayoutView="100" workbookViewId="0">
      <selection activeCell="D60" sqref="D60"/>
    </sheetView>
  </sheetViews>
  <sheetFormatPr baseColWidth="10" defaultColWidth="8.83203125" defaultRowHeight="15"/>
  <cols>
    <col min="1" max="1" width="1.6640625" customWidth="1"/>
    <col min="2" max="2" width="11.6640625" customWidth="1"/>
    <col min="3" max="3" width="40.6640625" customWidth="1"/>
    <col min="4" max="4" width="35.6640625" customWidth="1"/>
    <col min="5" max="6" width="13.33203125" customWidth="1"/>
    <col min="7" max="7" width="12.5" customWidth="1"/>
  </cols>
  <sheetData>
    <row r="1" spans="2:10" s="273" customFormat="1" ht="8.25" customHeight="1"/>
    <row r="2" spans="2:10" s="273" customFormat="1" ht="8.25" customHeight="1"/>
    <row r="3" spans="2:10" s="275" customFormat="1" ht="16.5" customHeight="1">
      <c r="B3" s="2" t="s">
        <v>310</v>
      </c>
      <c r="C3" s="274" t="s">
        <v>311</v>
      </c>
      <c r="J3" s="276"/>
    </row>
    <row r="4" spans="2:10" s="275" customFormat="1" ht="16.5" customHeight="1">
      <c r="B4" s="5" t="s">
        <v>312</v>
      </c>
      <c r="C4" s="199" t="s">
        <v>313</v>
      </c>
      <c r="D4" s="277"/>
      <c r="E4" s="278"/>
      <c r="F4" s="278"/>
      <c r="G4" s="278"/>
      <c r="H4" s="278"/>
      <c r="I4" s="278"/>
      <c r="J4" s="276"/>
    </row>
    <row r="5" spans="2:10" s="273" customFormat="1" ht="13.25" customHeight="1" thickBot="1">
      <c r="B5" s="279"/>
      <c r="C5" s="279"/>
      <c r="D5" s="279"/>
      <c r="E5" s="279"/>
      <c r="F5" s="279"/>
      <c r="G5" s="279"/>
      <c r="H5" s="279"/>
      <c r="I5" s="279"/>
      <c r="J5" s="279"/>
    </row>
    <row r="6" spans="2:10" s="282" customFormat="1" ht="35" customHeight="1" thickBot="1">
      <c r="B6" s="1300" t="s">
        <v>314</v>
      </c>
      <c r="C6" s="1300"/>
      <c r="D6" s="280"/>
      <c r="E6" s="280">
        <v>2022</v>
      </c>
      <c r="F6" s="280">
        <v>2023</v>
      </c>
      <c r="G6" s="280">
        <v>2024</v>
      </c>
      <c r="H6" s="281"/>
      <c r="I6" s="281"/>
      <c r="J6"/>
    </row>
    <row r="7" spans="2:10" s="282" customFormat="1" ht="20" customHeight="1">
      <c r="B7" s="1263"/>
      <c r="C7" s="1263"/>
      <c r="D7"/>
      <c r="E7"/>
      <c r="F7"/>
      <c r="G7"/>
      <c r="H7" s="283"/>
      <c r="I7" s="284"/>
      <c r="J7"/>
    </row>
    <row r="8" spans="2:10" s="290" customFormat="1" ht="20" customHeight="1">
      <c r="B8" s="1301" t="s">
        <v>315</v>
      </c>
      <c r="C8" s="1301"/>
      <c r="D8" s="285"/>
      <c r="E8" s="286">
        <v>103183.759714306</v>
      </c>
      <c r="F8" s="286">
        <v>40424.334334178719</v>
      </c>
      <c r="G8" s="287">
        <v>18410.1937419723</v>
      </c>
      <c r="H8" s="288"/>
      <c r="I8" s="289"/>
      <c r="J8"/>
    </row>
    <row r="9" spans="2:10" s="282" customFormat="1" ht="20" customHeight="1">
      <c r="B9" s="291" t="s">
        <v>316</v>
      </c>
      <c r="C9" s="78"/>
      <c r="D9" s="285"/>
      <c r="E9" s="286"/>
      <c r="F9" s="286"/>
      <c r="G9" s="287"/>
      <c r="H9" s="288"/>
      <c r="I9" s="289"/>
      <c r="J9"/>
    </row>
    <row r="10" spans="2:10" s="282" customFormat="1" ht="20" customHeight="1">
      <c r="B10" s="1302" t="s">
        <v>317</v>
      </c>
      <c r="C10" s="1303"/>
      <c r="D10" s="292"/>
      <c r="E10" s="293">
        <v>92638.159</v>
      </c>
      <c r="F10" s="293">
        <v>38634.646976337019</v>
      </c>
      <c r="G10" s="294">
        <v>17450.979950057801</v>
      </c>
      <c r="H10" s="283"/>
      <c r="I10" s="284"/>
      <c r="J10"/>
    </row>
    <row r="11" spans="2:10" s="282" customFormat="1" ht="20" customHeight="1">
      <c r="B11" s="1302" t="s">
        <v>318</v>
      </c>
      <c r="C11" s="1303"/>
      <c r="D11" s="292"/>
      <c r="E11" s="293">
        <v>10545.602000000001</v>
      </c>
      <c r="F11" s="293">
        <v>1789.6873578417001</v>
      </c>
      <c r="G11" s="294">
        <v>959.21379191450001</v>
      </c>
      <c r="H11" s="283"/>
      <c r="I11" s="284"/>
      <c r="J11"/>
    </row>
    <row r="12" spans="2:10" s="282" customFormat="1" ht="20" customHeight="1">
      <c r="B12" s="1304"/>
      <c r="C12" s="1304"/>
      <c r="D12" s="292"/>
      <c r="E12" s="293"/>
      <c r="F12" s="293"/>
      <c r="G12" s="294"/>
      <c r="H12" s="283"/>
      <c r="I12" s="284"/>
      <c r="J12"/>
    </row>
    <row r="13" spans="2:10" s="282" customFormat="1" ht="20" customHeight="1">
      <c r="B13" s="37" t="s">
        <v>319</v>
      </c>
      <c r="C13" s="37"/>
      <c r="D13" s="285"/>
      <c r="E13" s="286">
        <v>239120.86566456899</v>
      </c>
      <c r="F13" s="286">
        <v>131660.1507882</v>
      </c>
      <c r="G13" s="287">
        <v>65975.955000000002</v>
      </c>
      <c r="H13" s="283"/>
      <c r="I13" s="284"/>
      <c r="J13"/>
    </row>
    <row r="14" spans="2:10" s="282" customFormat="1" ht="20" customHeight="1">
      <c r="B14" s="291" t="s">
        <v>320</v>
      </c>
      <c r="C14" s="78"/>
      <c r="D14" s="285"/>
      <c r="E14" s="286"/>
      <c r="F14" s="286"/>
      <c r="G14" s="287"/>
      <c r="H14" s="283"/>
      <c r="I14" s="284"/>
      <c r="J14"/>
    </row>
    <row r="15" spans="2:10" s="282" customFormat="1" ht="20" customHeight="1">
      <c r="B15" s="1299" t="s">
        <v>321</v>
      </c>
      <c r="C15" s="1299"/>
      <c r="D15" s="292"/>
      <c r="E15" s="293">
        <v>134885</v>
      </c>
      <c r="F15" s="293">
        <v>134885</v>
      </c>
      <c r="G15" s="294">
        <v>51093.125999999997</v>
      </c>
      <c r="H15" s="283"/>
      <c r="I15" s="284"/>
      <c r="J15"/>
    </row>
    <row r="16" spans="2:10" s="282" customFormat="1" ht="20" customHeight="1">
      <c r="B16" s="1299" t="s">
        <v>322</v>
      </c>
      <c r="C16" s="1299"/>
      <c r="D16" s="292"/>
      <c r="E16" s="293">
        <v>70523</v>
      </c>
      <c r="F16" s="293">
        <v>70523</v>
      </c>
      <c r="G16" s="294">
        <v>14882.829</v>
      </c>
      <c r="H16" s="283"/>
      <c r="I16" s="284"/>
    </row>
    <row r="17" spans="2:9" s="282" customFormat="1" ht="20" customHeight="1">
      <c r="B17" s="296"/>
      <c r="C17" s="295"/>
      <c r="D17" s="292"/>
      <c r="E17" s="293"/>
      <c r="F17" s="293"/>
      <c r="G17" s="294"/>
      <c r="H17" s="283"/>
      <c r="I17" s="284"/>
    </row>
    <row r="18" spans="2:9" s="282" customFormat="1" ht="20" customHeight="1">
      <c r="B18" s="37" t="s">
        <v>323</v>
      </c>
      <c r="C18" s="37"/>
      <c r="D18" s="285"/>
      <c r="E18" s="286">
        <v>332378.00327375002</v>
      </c>
      <c r="F18" s="286">
        <v>146990.04357459999</v>
      </c>
      <c r="G18" s="287">
        <v>72398.831000000006</v>
      </c>
      <c r="H18" s="297"/>
      <c r="I18" s="289"/>
    </row>
    <row r="19" spans="2:9" s="282" customFormat="1" ht="20" customHeight="1">
      <c r="B19" s="78" t="s">
        <v>324</v>
      </c>
      <c r="C19" s="78"/>
      <c r="D19" s="285"/>
      <c r="E19" s="285"/>
      <c r="F19" s="285"/>
      <c r="G19" s="285"/>
      <c r="H19" s="297"/>
      <c r="I19" s="289"/>
    </row>
    <row r="20" spans="2:9" s="282" customFormat="1" ht="20" customHeight="1" thickBot="1">
      <c r="B20" s="298"/>
      <c r="C20" s="298"/>
      <c r="D20" s="298"/>
      <c r="E20" s="298"/>
      <c r="F20" s="298"/>
      <c r="G20" s="298"/>
      <c r="H20" s="283"/>
      <c r="I20" s="284"/>
    </row>
    <row r="21" spans="2:9" s="49" customFormat="1" ht="15.25" customHeight="1">
      <c r="D21" s="48"/>
      <c r="E21" s="48"/>
      <c r="F21" s="48"/>
      <c r="G21" s="192" t="s">
        <v>32</v>
      </c>
    </row>
    <row r="22" spans="2:9" s="49" customFormat="1" ht="15.25" customHeight="1">
      <c r="B22" s="106"/>
      <c r="D22" s="299"/>
      <c r="E22" s="299"/>
      <c r="F22" s="299"/>
      <c r="G22" s="193" t="s">
        <v>33</v>
      </c>
    </row>
  </sheetData>
  <mergeCells count="8">
    <mergeCell ref="B15:C15"/>
    <mergeCell ref="B16:C16"/>
    <mergeCell ref="B6:C6"/>
    <mergeCell ref="B7:C7"/>
    <mergeCell ref="B8:C8"/>
    <mergeCell ref="B10:C10"/>
    <mergeCell ref="B11:C11"/>
    <mergeCell ref="B12:C12"/>
  </mergeCells>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09A4-C227-4AC2-A190-BE734E2A253B}">
  <sheetPr codeName="Sheet37">
    <pageSetUpPr fitToPage="1"/>
  </sheetPr>
  <dimension ref="A1:J37"/>
  <sheetViews>
    <sheetView view="pageBreakPreview" zoomScaleNormal="100" zoomScaleSheetLayoutView="100" workbookViewId="0">
      <selection activeCell="D60" sqref="D60"/>
    </sheetView>
  </sheetViews>
  <sheetFormatPr baseColWidth="10" defaultColWidth="8.83203125" defaultRowHeight="15"/>
  <cols>
    <col min="1" max="1" width="5.83203125" customWidth="1"/>
    <col min="2" max="2" width="6.5" customWidth="1"/>
    <col min="3" max="3" width="60.83203125" customWidth="1"/>
    <col min="4" max="4" width="2.5" customWidth="1"/>
    <col min="5" max="5" width="14.1640625" customWidth="1"/>
    <col min="6" max="6" width="14.33203125" customWidth="1"/>
    <col min="7" max="7" width="13" customWidth="1"/>
  </cols>
  <sheetData>
    <row r="1" spans="1:10" s="275" customFormat="1" ht="16.5" customHeight="1">
      <c r="A1" s="1305" t="s">
        <v>325</v>
      </c>
      <c r="B1" s="1305"/>
      <c r="C1" s="274" t="s">
        <v>326</v>
      </c>
      <c r="J1" s="276"/>
    </row>
    <row r="2" spans="1:10" s="275" customFormat="1" ht="16.5" customHeight="1">
      <c r="A2" s="1306" t="s">
        <v>327</v>
      </c>
      <c r="B2" s="1306"/>
      <c r="C2" s="199" t="s">
        <v>328</v>
      </c>
      <c r="D2" s="277"/>
      <c r="E2" s="278"/>
      <c r="F2" s="278"/>
      <c r="G2" s="278"/>
      <c r="H2" s="278"/>
      <c r="I2" s="278"/>
      <c r="J2" s="276"/>
    </row>
    <row r="3" spans="1:10" s="303" customFormat="1" ht="12.75" customHeight="1" thickBot="1">
      <c r="A3" s="300"/>
      <c r="B3" s="300"/>
      <c r="C3" s="301"/>
      <c r="D3" s="302"/>
      <c r="E3" s="302"/>
      <c r="F3" s="302"/>
      <c r="G3" s="302"/>
    </row>
    <row r="4" spans="1:10" s="306" customFormat="1" ht="39.75" customHeight="1" thickBot="1">
      <c r="A4" s="304"/>
      <c r="B4" s="1307" t="s">
        <v>329</v>
      </c>
      <c r="C4" s="1307"/>
      <c r="D4" s="305"/>
      <c r="E4" s="305">
        <v>2023</v>
      </c>
      <c r="F4" s="305">
        <v>2024</v>
      </c>
      <c r="G4" s="305">
        <v>2025</v>
      </c>
    </row>
    <row r="5" spans="1:10" s="307" customFormat="1" ht="13.25" customHeight="1">
      <c r="B5" s="306"/>
      <c r="C5" s="308"/>
      <c r="D5" s="1308"/>
      <c r="E5" s="1309"/>
      <c r="F5" s="1309"/>
      <c r="G5" s="1309"/>
    </row>
    <row r="6" spans="1:10" s="311" customFormat="1" ht="30" customHeight="1">
      <c r="B6" s="303">
        <v>1</v>
      </c>
      <c r="C6" s="312" t="s">
        <v>330</v>
      </c>
      <c r="D6" s="313"/>
      <c r="E6" s="314"/>
      <c r="F6" s="314"/>
      <c r="G6" s="314"/>
    </row>
    <row r="7" spans="1:10" s="307" customFormat="1" ht="30" customHeight="1">
      <c r="B7" s="306"/>
      <c r="C7" s="315" t="s">
        <v>331</v>
      </c>
      <c r="D7" s="316"/>
      <c r="E7" s="317">
        <v>15581.6</v>
      </c>
      <c r="F7" s="317">
        <v>15667.7</v>
      </c>
      <c r="G7" s="317">
        <v>16141.9</v>
      </c>
    </row>
    <row r="8" spans="1:10" s="307" customFormat="1" ht="30" customHeight="1">
      <c r="B8" s="306"/>
      <c r="C8" s="318" t="s">
        <v>332</v>
      </c>
      <c r="D8" s="316"/>
      <c r="E8" s="317">
        <v>15073.4</v>
      </c>
      <c r="F8" s="317">
        <v>14956.7</v>
      </c>
      <c r="G8" s="317">
        <v>15400.5</v>
      </c>
    </row>
    <row r="9" spans="1:10" s="307" customFormat="1" ht="30" customHeight="1">
      <c r="B9" s="306"/>
      <c r="C9" s="318" t="s">
        <v>333</v>
      </c>
      <c r="D9" s="316"/>
      <c r="E9" s="317">
        <v>508.2</v>
      </c>
      <c r="F9" s="317">
        <v>711</v>
      </c>
      <c r="G9" s="317">
        <v>741.4</v>
      </c>
    </row>
    <row r="10" spans="1:10" s="307" customFormat="1" ht="30" customHeight="1">
      <c r="B10" s="306"/>
      <c r="C10" s="318" t="s">
        <v>334</v>
      </c>
      <c r="D10" s="316"/>
      <c r="E10" s="317">
        <v>7103.5</v>
      </c>
      <c r="F10" s="317">
        <v>7225.5</v>
      </c>
      <c r="G10" s="317">
        <v>7392.4</v>
      </c>
    </row>
    <row r="11" spans="1:10" s="307" customFormat="1" ht="30" customHeight="1">
      <c r="B11" s="306"/>
      <c r="C11" s="318" t="s">
        <v>335</v>
      </c>
      <c r="D11" s="316"/>
      <c r="E11" s="317">
        <v>68.7</v>
      </c>
      <c r="F11" s="317">
        <v>68.400000000000006</v>
      </c>
      <c r="G11" s="317">
        <v>68.599999999999994</v>
      </c>
    </row>
    <row r="12" spans="1:10" s="307" customFormat="1" ht="30" customHeight="1">
      <c r="B12" s="306"/>
      <c r="C12" s="318" t="s">
        <v>336</v>
      </c>
      <c r="D12" s="316"/>
      <c r="E12" s="317">
        <v>3.3</v>
      </c>
      <c r="F12" s="317">
        <v>4.5</v>
      </c>
      <c r="G12" s="317">
        <v>4.5999999999999996</v>
      </c>
    </row>
    <row r="13" spans="1:10" s="307" customFormat="1" ht="13">
      <c r="B13" s="306"/>
      <c r="C13" s="319"/>
      <c r="D13" s="316"/>
      <c r="E13" s="317"/>
      <c r="F13" s="317"/>
      <c r="G13" s="317"/>
    </row>
    <row r="14" spans="1:10" s="311" customFormat="1" ht="30" customHeight="1">
      <c r="B14" s="303"/>
      <c r="C14" s="320" t="s">
        <v>337</v>
      </c>
      <c r="D14" s="321"/>
      <c r="E14" s="322"/>
      <c r="F14" s="322"/>
      <c r="G14" s="322"/>
    </row>
    <row r="15" spans="1:10" s="307" customFormat="1" ht="30" customHeight="1">
      <c r="B15" s="306"/>
      <c r="C15" s="318" t="s">
        <v>338</v>
      </c>
      <c r="D15" s="316"/>
      <c r="E15" s="317">
        <v>4151.8999999999996</v>
      </c>
      <c r="F15" s="317">
        <v>4223.3</v>
      </c>
      <c r="G15" s="323">
        <v>4455.1000000000004</v>
      </c>
    </row>
    <row r="16" spans="1:10" s="307" customFormat="1" ht="30" customHeight="1">
      <c r="B16" s="306"/>
      <c r="C16" s="318" t="s">
        <v>339</v>
      </c>
      <c r="D16" s="316"/>
      <c r="E16" s="317">
        <v>9059</v>
      </c>
      <c r="F16" s="317">
        <v>8953.1</v>
      </c>
      <c r="G16" s="323">
        <v>8693.7999999999993</v>
      </c>
    </row>
    <row r="17" spans="1:7" s="307" customFormat="1" ht="30" customHeight="1">
      <c r="B17" s="306"/>
      <c r="C17" s="318" t="s">
        <v>340</v>
      </c>
      <c r="D17" s="316"/>
      <c r="E17" s="317">
        <v>1862.5</v>
      </c>
      <c r="F17" s="317">
        <v>1780.3</v>
      </c>
      <c r="G17" s="323">
        <v>1915.2</v>
      </c>
    </row>
    <row r="18" spans="1:7" s="307" customFormat="1" ht="13">
      <c r="B18" s="306"/>
      <c r="C18" s="324"/>
      <c r="D18" s="316"/>
      <c r="E18" s="317"/>
      <c r="F18" s="317"/>
      <c r="G18" s="317"/>
    </row>
    <row r="19" spans="1:7" s="307" customFormat="1" ht="30" customHeight="1">
      <c r="B19" s="306"/>
      <c r="C19" s="320" t="s">
        <v>341</v>
      </c>
      <c r="D19" s="316"/>
      <c r="E19" s="317"/>
      <c r="F19" s="317"/>
      <c r="G19" s="317"/>
    </row>
    <row r="20" spans="1:7" s="307" customFormat="1" ht="30" customHeight="1">
      <c r="B20" s="306"/>
      <c r="C20" s="318" t="s">
        <v>342</v>
      </c>
      <c r="D20" s="316"/>
      <c r="E20" s="317">
        <v>4435.2</v>
      </c>
      <c r="F20" s="317">
        <v>4778.7</v>
      </c>
      <c r="G20" s="323">
        <v>4787.8</v>
      </c>
    </row>
    <row r="21" spans="1:7" s="307" customFormat="1" ht="30" customHeight="1">
      <c r="B21" s="306"/>
      <c r="C21" s="318" t="s">
        <v>343</v>
      </c>
      <c r="D21" s="316"/>
      <c r="E21" s="317">
        <v>8375</v>
      </c>
      <c r="F21" s="317">
        <v>8313.7999999999993</v>
      </c>
      <c r="G21" s="323">
        <v>8469.2999999999993</v>
      </c>
    </row>
    <row r="22" spans="1:7" s="307" customFormat="1" ht="30" customHeight="1">
      <c r="B22" s="306"/>
      <c r="C22" s="318" t="s">
        <v>344</v>
      </c>
      <c r="D22" s="316"/>
      <c r="E22" s="317">
        <v>1821.2</v>
      </c>
      <c r="F22" s="317">
        <v>1506.3</v>
      </c>
      <c r="G22" s="323">
        <v>1293.9000000000001</v>
      </c>
    </row>
    <row r="23" spans="1:7" s="307" customFormat="1" ht="30" customHeight="1">
      <c r="B23" s="306"/>
      <c r="C23" s="318" t="s">
        <v>345</v>
      </c>
      <c r="D23" s="316"/>
      <c r="E23" s="317">
        <v>442</v>
      </c>
      <c r="F23" s="317">
        <v>358</v>
      </c>
      <c r="G23" s="323">
        <v>513.1</v>
      </c>
    </row>
    <row r="24" spans="1:7" s="307" customFormat="1" ht="13">
      <c r="B24" s="306"/>
      <c r="C24" s="325"/>
      <c r="D24" s="316"/>
      <c r="E24" s="317"/>
      <c r="F24" s="317"/>
      <c r="G24" s="317"/>
    </row>
    <row r="25" spans="1:7" s="307" customFormat="1" ht="31.5" customHeight="1">
      <c r="B25" s="303">
        <v>2</v>
      </c>
      <c r="C25" s="326" t="s">
        <v>346</v>
      </c>
      <c r="D25" s="316"/>
      <c r="E25" s="316"/>
      <c r="F25" s="316"/>
      <c r="G25" s="316"/>
    </row>
    <row r="26" spans="1:7" s="307" customFormat="1" ht="31.5" customHeight="1">
      <c r="B26" s="306"/>
      <c r="C26" s="327" t="s">
        <v>347</v>
      </c>
      <c r="D26" s="316"/>
      <c r="E26" s="317">
        <v>9195.2000000000007</v>
      </c>
      <c r="F26" s="317">
        <v>9390.7000000000007</v>
      </c>
      <c r="G26" s="317">
        <v>9711.9</v>
      </c>
    </row>
    <row r="27" spans="1:7" s="307" customFormat="1" ht="31.5" customHeight="1">
      <c r="B27" s="306"/>
      <c r="C27" s="327" t="s">
        <v>348</v>
      </c>
      <c r="D27" s="328"/>
      <c r="E27" s="329">
        <v>2442</v>
      </c>
      <c r="F27" s="329">
        <v>2062</v>
      </c>
      <c r="G27" s="329">
        <v>2250</v>
      </c>
    </row>
    <row r="28" spans="1:7" s="307" customFormat="1" ht="34.5" customHeight="1" thickBot="1">
      <c r="A28" s="330"/>
      <c r="B28" s="331"/>
      <c r="C28" s="332" t="s">
        <v>349</v>
      </c>
      <c r="D28" s="333"/>
      <c r="E28" s="334">
        <v>3224</v>
      </c>
      <c r="F28" s="334">
        <v>2933</v>
      </c>
      <c r="G28" s="334">
        <v>3037</v>
      </c>
    </row>
    <row r="29" spans="1:7" s="307" customFormat="1" ht="13">
      <c r="B29" s="306"/>
      <c r="C29" s="335"/>
      <c r="D29" s="316"/>
      <c r="E29" s="316"/>
      <c r="F29" s="316"/>
      <c r="G29" s="336" t="s">
        <v>32</v>
      </c>
    </row>
    <row r="30" spans="1:7" s="307" customFormat="1" ht="13">
      <c r="B30" s="306"/>
      <c r="C30" s="335"/>
      <c r="D30" s="316"/>
      <c r="E30" s="316"/>
      <c r="F30" s="316"/>
      <c r="G30" s="337" t="s">
        <v>33</v>
      </c>
    </row>
    <row r="31" spans="1:7" s="307" customFormat="1" ht="13">
      <c r="B31" s="306"/>
      <c r="C31" s="335"/>
      <c r="D31" s="316"/>
      <c r="E31" s="316"/>
      <c r="F31" s="316"/>
      <c r="G31" s="316"/>
    </row>
    <row r="32" spans="1:7" s="339" customFormat="1" ht="15.75" customHeight="1">
      <c r="A32" s="1310" t="s">
        <v>350</v>
      </c>
      <c r="B32" s="1310"/>
      <c r="C32" s="1310"/>
      <c r="D32" s="338"/>
      <c r="E32" s="338"/>
      <c r="F32" s="338"/>
      <c r="G32" s="338"/>
    </row>
    <row r="33" spans="1:7" s="339" customFormat="1" ht="15.25" customHeight="1">
      <c r="A33" s="340" t="s">
        <v>351</v>
      </c>
      <c r="B33" s="340"/>
      <c r="C33" s="340"/>
      <c r="D33" s="338"/>
      <c r="E33" s="338"/>
      <c r="F33" s="338"/>
      <c r="G33" s="338"/>
    </row>
    <row r="34" spans="1:7" s="339" customFormat="1" ht="15.25" customHeight="1">
      <c r="A34" s="1311" t="s">
        <v>352</v>
      </c>
      <c r="B34" s="1311"/>
      <c r="C34" s="1311"/>
      <c r="D34" s="338"/>
      <c r="E34" s="338"/>
      <c r="F34" s="338"/>
      <c r="G34" s="338"/>
    </row>
    <row r="35" spans="1:7" s="307" customFormat="1" ht="13">
      <c r="A35" s="341"/>
      <c r="B35" s="342"/>
      <c r="C35" s="343"/>
      <c r="D35" s="344"/>
      <c r="E35" s="344"/>
      <c r="F35" s="344"/>
      <c r="G35" s="344"/>
    </row>
    <row r="36" spans="1:7" s="307" customFormat="1" ht="13">
      <c r="B36" s="345"/>
      <c r="C36" s="308"/>
    </row>
    <row r="37" spans="1:7" s="307" customFormat="1" ht="13">
      <c r="B37" s="306"/>
      <c r="C37" s="308"/>
    </row>
  </sheetData>
  <mergeCells count="6">
    <mergeCell ref="A34:C34"/>
    <mergeCell ref="A1:B1"/>
    <mergeCell ref="A2:B2"/>
    <mergeCell ref="B4:C4"/>
    <mergeCell ref="D5:G5"/>
    <mergeCell ref="A32:C32"/>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47F1-5103-474B-B611-3EB7C80D7729}">
  <sheetPr codeName="Sheet38">
    <pageSetUpPr fitToPage="1"/>
  </sheetPr>
  <dimension ref="A1:J37"/>
  <sheetViews>
    <sheetView view="pageBreakPreview" topLeftCell="A22" zoomScaleNormal="100" zoomScaleSheetLayoutView="100" workbookViewId="0">
      <selection activeCell="D60" sqref="D60"/>
    </sheetView>
  </sheetViews>
  <sheetFormatPr baseColWidth="10" defaultColWidth="8.83203125" defaultRowHeight="15"/>
  <cols>
    <col min="1" max="1" width="6.1640625" customWidth="1"/>
    <col min="2" max="2" width="6.5" customWidth="1"/>
    <col min="3" max="3" width="67.1640625" customWidth="1"/>
    <col min="4" max="4" width="3.33203125" customWidth="1"/>
    <col min="5" max="5" width="14.33203125" customWidth="1"/>
    <col min="6" max="6" width="16.33203125" customWidth="1"/>
    <col min="7" max="7" width="14.1640625" customWidth="1"/>
  </cols>
  <sheetData>
    <row r="1" spans="1:10" s="275" customFormat="1" ht="16.5" customHeight="1">
      <c r="A1" s="1305" t="s">
        <v>325</v>
      </c>
      <c r="B1" s="1305"/>
      <c r="C1" s="274" t="s">
        <v>353</v>
      </c>
      <c r="J1" s="276"/>
    </row>
    <row r="2" spans="1:10" s="275" customFormat="1" ht="16.5" customHeight="1">
      <c r="A2" s="1306" t="s">
        <v>327</v>
      </c>
      <c r="B2" s="1306"/>
      <c r="C2" s="199" t="s">
        <v>354</v>
      </c>
      <c r="D2" s="277"/>
      <c r="E2" s="278"/>
      <c r="F2" s="278"/>
      <c r="G2" s="278"/>
      <c r="H2" s="278"/>
      <c r="I2" s="278"/>
      <c r="J2" s="276"/>
    </row>
    <row r="3" spans="1:10" s="303" customFormat="1" ht="12.75" customHeight="1" thickBot="1">
      <c r="A3" s="300"/>
      <c r="B3" s="300"/>
      <c r="C3" s="301"/>
      <c r="D3" s="302"/>
      <c r="E3" s="302"/>
      <c r="F3" s="302"/>
      <c r="G3" s="302"/>
    </row>
    <row r="4" spans="1:10" s="306" customFormat="1" ht="39.75" customHeight="1" thickBot="1">
      <c r="A4" s="304"/>
      <c r="B4" s="1307" t="s">
        <v>329</v>
      </c>
      <c r="C4" s="1307"/>
      <c r="D4" s="346"/>
      <c r="E4" s="346">
        <v>2023</v>
      </c>
      <c r="F4" s="346">
        <v>2024</v>
      </c>
      <c r="G4" s="346">
        <v>2025</v>
      </c>
    </row>
    <row r="5" spans="1:10" s="307" customFormat="1" ht="13.25" customHeight="1">
      <c r="B5" s="306"/>
      <c r="C5" s="319"/>
      <c r="D5" s="316"/>
      <c r="E5" s="316"/>
      <c r="F5" s="316"/>
      <c r="G5" s="316"/>
    </row>
    <row r="6" spans="1:10" s="307" customFormat="1" ht="38.25" customHeight="1">
      <c r="B6" s="303">
        <v>3</v>
      </c>
      <c r="C6" s="347" t="s">
        <v>355</v>
      </c>
      <c r="D6" s="316"/>
      <c r="E6" s="316"/>
      <c r="F6" s="316"/>
      <c r="G6" s="316"/>
    </row>
    <row r="7" spans="1:10" s="307" customFormat="1" ht="38.25" customHeight="1">
      <c r="B7" s="306"/>
      <c r="C7" s="318" t="s">
        <v>356</v>
      </c>
      <c r="D7" s="316"/>
      <c r="E7" s="317">
        <v>4286</v>
      </c>
      <c r="F7" s="317">
        <v>4555.5</v>
      </c>
      <c r="G7" s="348">
        <v>4766.5</v>
      </c>
    </row>
    <row r="8" spans="1:10" s="307" customFormat="1" ht="38.25" customHeight="1">
      <c r="B8" s="306"/>
      <c r="C8" s="318" t="s">
        <v>357</v>
      </c>
      <c r="D8" s="316"/>
      <c r="E8" s="317">
        <v>4120.8</v>
      </c>
      <c r="F8" s="317">
        <v>4353.1000000000004</v>
      </c>
      <c r="G8" s="348">
        <v>4569.1000000000004</v>
      </c>
    </row>
    <row r="9" spans="1:10" s="307" customFormat="1" ht="38.25" customHeight="1">
      <c r="B9" s="306"/>
      <c r="C9" s="318" t="s">
        <v>358</v>
      </c>
      <c r="D9" s="316"/>
      <c r="E9" s="317">
        <v>165.2</v>
      </c>
      <c r="F9" s="317">
        <v>202.4</v>
      </c>
      <c r="G9" s="348">
        <v>197.4</v>
      </c>
    </row>
    <row r="10" spans="1:10" s="307" customFormat="1" ht="38.25" customHeight="1">
      <c r="B10" s="306"/>
      <c r="C10" s="318" t="s">
        <v>334</v>
      </c>
      <c r="D10" s="316"/>
      <c r="E10" s="317">
        <v>844</v>
      </c>
      <c r="F10" s="317">
        <v>800.9</v>
      </c>
      <c r="G10" s="348">
        <v>841.3</v>
      </c>
    </row>
    <row r="11" spans="1:10" s="307" customFormat="1" ht="38.25" customHeight="1">
      <c r="B11" s="306"/>
      <c r="C11" s="318" t="s">
        <v>335</v>
      </c>
      <c r="D11" s="316"/>
      <c r="E11" s="317">
        <v>83.5</v>
      </c>
      <c r="F11" s="317">
        <v>85</v>
      </c>
      <c r="G11" s="348">
        <v>85</v>
      </c>
    </row>
    <row r="12" spans="1:10" s="307" customFormat="1" ht="38.25" customHeight="1">
      <c r="B12" s="306"/>
      <c r="C12" s="318" t="s">
        <v>359</v>
      </c>
      <c r="D12" s="316"/>
      <c r="E12" s="317">
        <v>3.9</v>
      </c>
      <c r="F12" s="317">
        <v>4.4000000000000004</v>
      </c>
      <c r="G12" s="348">
        <v>4.0999999999999996</v>
      </c>
    </row>
    <row r="13" spans="1:10" s="307" customFormat="1" ht="38.25" customHeight="1">
      <c r="B13" s="306"/>
      <c r="C13" s="318" t="s">
        <v>360</v>
      </c>
      <c r="D13" s="328"/>
      <c r="E13" s="329">
        <v>5020</v>
      </c>
      <c r="F13" s="329">
        <v>4489</v>
      </c>
      <c r="G13" s="349">
        <v>3911</v>
      </c>
    </row>
    <row r="14" spans="1:10" s="307" customFormat="1" ht="38.25" customHeight="1">
      <c r="B14" s="306"/>
      <c r="C14" s="318" t="s">
        <v>361</v>
      </c>
      <c r="D14" s="328"/>
      <c r="E14" s="329">
        <v>4300</v>
      </c>
      <c r="F14" s="329">
        <v>3815</v>
      </c>
      <c r="G14" s="349">
        <v>4582</v>
      </c>
    </row>
    <row r="15" spans="1:10" s="307" customFormat="1" ht="13">
      <c r="B15" s="306"/>
      <c r="C15" s="350"/>
      <c r="D15" s="316"/>
      <c r="E15" s="316"/>
      <c r="F15" s="316"/>
      <c r="G15" s="316"/>
    </row>
    <row r="16" spans="1:10" s="307" customFormat="1" ht="29" customHeight="1">
      <c r="B16" s="303">
        <v>4</v>
      </c>
      <c r="C16" s="350" t="s">
        <v>362</v>
      </c>
      <c r="D16" s="316"/>
      <c r="E16" s="316"/>
      <c r="F16" s="316"/>
      <c r="G16" s="316"/>
    </row>
    <row r="17" spans="1:7" s="307" customFormat="1" ht="36" customHeight="1">
      <c r="B17" s="306"/>
      <c r="C17" s="318" t="s">
        <v>363</v>
      </c>
      <c r="D17" s="316"/>
      <c r="E17" s="317">
        <v>40.700000000000003</v>
      </c>
      <c r="F17" s="317">
        <v>42</v>
      </c>
      <c r="G17" s="317">
        <v>41</v>
      </c>
    </row>
    <row r="18" spans="1:7" s="307" customFormat="1" ht="59" customHeight="1">
      <c r="B18" s="306"/>
      <c r="C18" s="318" t="s">
        <v>364</v>
      </c>
      <c r="D18" s="316"/>
      <c r="E18" s="317">
        <v>2.2999999999999998</v>
      </c>
      <c r="F18" s="317">
        <v>3.4</v>
      </c>
      <c r="G18" s="317">
        <v>-2.6</v>
      </c>
    </row>
    <row r="19" spans="1:7" s="307" customFormat="1" ht="29.5" customHeight="1">
      <c r="B19" s="306"/>
      <c r="C19" s="318" t="s">
        <v>365</v>
      </c>
      <c r="D19" s="328"/>
      <c r="E19" s="317">
        <v>94162</v>
      </c>
      <c r="F19" s="317">
        <v>89022</v>
      </c>
      <c r="G19" s="317">
        <v>90647</v>
      </c>
    </row>
    <row r="20" spans="1:7" s="307" customFormat="1" ht="58.25" customHeight="1">
      <c r="B20" s="306"/>
      <c r="C20" s="318" t="s">
        <v>366</v>
      </c>
      <c r="D20" s="316"/>
      <c r="E20" s="317">
        <v>2.2999999999999998</v>
      </c>
      <c r="F20" s="317">
        <v>-5.5</v>
      </c>
      <c r="G20" s="317">
        <v>1.8</v>
      </c>
    </row>
    <row r="21" spans="1:7" s="307" customFormat="1" ht="13">
      <c r="B21" s="306"/>
      <c r="C21" s="351"/>
      <c r="D21" s="316"/>
      <c r="E21" s="316"/>
      <c r="F21" s="316"/>
      <c r="G21" s="316"/>
    </row>
    <row r="22" spans="1:7" s="307" customFormat="1" ht="48" customHeight="1">
      <c r="B22" s="303">
        <v>5</v>
      </c>
      <c r="C22" s="350" t="s">
        <v>367</v>
      </c>
      <c r="D22" s="352"/>
      <c r="E22" s="353">
        <v>22</v>
      </c>
      <c r="F22" s="353">
        <v>27</v>
      </c>
      <c r="G22" s="353">
        <v>25</v>
      </c>
    </row>
    <row r="23" spans="1:7" s="307" customFormat="1" ht="31.25" customHeight="1">
      <c r="B23" s="306"/>
      <c r="C23" s="318" t="s">
        <v>368</v>
      </c>
      <c r="D23" s="354"/>
      <c r="E23" s="355">
        <v>11</v>
      </c>
      <c r="F23" s="329">
        <v>9</v>
      </c>
      <c r="G23" s="329">
        <v>15</v>
      </c>
    </row>
    <row r="24" spans="1:7" s="307" customFormat="1" ht="37.25" customHeight="1">
      <c r="B24" s="306"/>
      <c r="C24" s="318" t="s">
        <v>369</v>
      </c>
      <c r="D24" s="354"/>
      <c r="E24" s="355">
        <v>24</v>
      </c>
      <c r="F24" s="329">
        <v>30</v>
      </c>
      <c r="G24" s="329">
        <v>30</v>
      </c>
    </row>
    <row r="25" spans="1:7" s="307" customFormat="1" ht="37.25" customHeight="1">
      <c r="B25" s="306"/>
      <c r="C25" s="318" t="s">
        <v>370</v>
      </c>
      <c r="D25" s="354"/>
      <c r="E25" s="355">
        <v>18</v>
      </c>
      <c r="F25" s="329">
        <v>29</v>
      </c>
      <c r="G25" s="329">
        <v>24</v>
      </c>
    </row>
    <row r="26" spans="1:7" s="307" customFormat="1" ht="33.5" customHeight="1" thickBot="1">
      <c r="A26" s="330"/>
      <c r="B26" s="331"/>
      <c r="C26" s="356" t="s">
        <v>371</v>
      </c>
      <c r="D26" s="357"/>
      <c r="E26" s="358">
        <v>28</v>
      </c>
      <c r="F26" s="334">
        <v>31</v>
      </c>
      <c r="G26" s="334">
        <v>32</v>
      </c>
    </row>
    <row r="27" spans="1:7" s="307" customFormat="1" ht="13">
      <c r="B27" s="306"/>
      <c r="C27" s="350"/>
      <c r="D27" s="316"/>
      <c r="E27" s="316"/>
      <c r="F27" s="316"/>
      <c r="G27" s="359" t="s">
        <v>32</v>
      </c>
    </row>
    <row r="28" spans="1:7" s="307" customFormat="1" ht="13">
      <c r="B28" s="306"/>
      <c r="C28" s="350"/>
      <c r="D28" s="316"/>
      <c r="E28" s="316"/>
      <c r="F28" s="316"/>
      <c r="G28" s="360" t="s">
        <v>372</v>
      </c>
    </row>
    <row r="29" spans="1:7" s="307" customFormat="1" ht="13">
      <c r="B29" s="306"/>
      <c r="C29" s="350"/>
      <c r="D29" s="316"/>
      <c r="E29" s="316"/>
      <c r="F29" s="328"/>
      <c r="G29" s="361" t="s">
        <v>33</v>
      </c>
    </row>
    <row r="30" spans="1:7" s="307" customFormat="1" ht="13">
      <c r="B30" s="306"/>
      <c r="C30" s="350"/>
      <c r="D30" s="316"/>
      <c r="E30" s="316"/>
      <c r="F30" s="328"/>
      <c r="G30" s="362" t="s">
        <v>373</v>
      </c>
    </row>
    <row r="31" spans="1:7" s="307" customFormat="1" ht="13">
      <c r="B31" s="306"/>
      <c r="C31" s="350"/>
      <c r="D31" s="316"/>
      <c r="E31" s="316"/>
      <c r="F31" s="316"/>
      <c r="G31" s="316"/>
    </row>
    <row r="32" spans="1:7" s="339" customFormat="1" ht="15.75" customHeight="1">
      <c r="A32" s="1312" t="s">
        <v>374</v>
      </c>
      <c r="B32" s="1312"/>
      <c r="C32" s="1312"/>
      <c r="D32" s="363"/>
      <c r="E32" s="363"/>
      <c r="G32" s="363"/>
    </row>
    <row r="33" spans="1:6" s="339" customFormat="1" ht="15.25" customHeight="1">
      <c r="A33" s="1313" t="s">
        <v>375</v>
      </c>
      <c r="B33" s="1313"/>
      <c r="C33" s="1313"/>
    </row>
    <row r="34" spans="1:6" s="339" customFormat="1" ht="15.25" customHeight="1">
      <c r="A34" s="1314" t="s">
        <v>376</v>
      </c>
      <c r="B34" s="1314"/>
      <c r="C34" s="1314"/>
    </row>
    <row r="35" spans="1:6" s="307" customFormat="1" ht="13">
      <c r="A35" s="364"/>
      <c r="B35" s="365"/>
      <c r="C35" s="343"/>
      <c r="D35" s="344"/>
      <c r="E35" s="344"/>
      <c r="F35" s="344"/>
    </row>
    <row r="36" spans="1:6" s="307" customFormat="1" ht="13">
      <c r="B36" s="366"/>
      <c r="C36" s="343"/>
      <c r="D36" s="344"/>
      <c r="E36" s="344"/>
      <c r="F36" s="344"/>
    </row>
    <row r="37" spans="1:6" s="307" customFormat="1" ht="13">
      <c r="B37" s="367"/>
      <c r="C37" s="308"/>
    </row>
  </sheetData>
  <mergeCells count="6">
    <mergeCell ref="A34:C34"/>
    <mergeCell ref="A1:B1"/>
    <mergeCell ref="A2:B2"/>
    <mergeCell ref="B4:C4"/>
    <mergeCell ref="A32:C32"/>
    <mergeCell ref="A33:C33"/>
  </mergeCells>
  <printOptions horizontalCentered="1"/>
  <pageMargins left="0.55118110236220474" right="0.55118110236220474" top="0.55118110236220474" bottom="0.55118110236220474" header="0.31496062992125984" footer="0.31496062992125984"/>
  <pageSetup paperSize="9" scale="6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FB102-49C7-42FA-B04E-7ED2E9ECD695}">
  <sheetPr codeName="Sheet39"/>
  <dimension ref="B1:I97"/>
  <sheetViews>
    <sheetView view="pageBreakPreview" zoomScale="90" zoomScaleNormal="100" zoomScaleSheetLayoutView="90" workbookViewId="0">
      <selection activeCell="D60" sqref="D60"/>
    </sheetView>
  </sheetViews>
  <sheetFormatPr baseColWidth="10" defaultColWidth="8.83203125" defaultRowHeight="15"/>
  <cols>
    <col min="1" max="1" width="1.6640625" customWidth="1"/>
    <col min="2" max="2" width="1.83203125" customWidth="1"/>
    <col min="3" max="3" width="12.5" customWidth="1"/>
    <col min="5" max="5" width="55.83203125" customWidth="1"/>
    <col min="6" max="6" width="11.5" customWidth="1"/>
    <col min="7" max="7" width="11.6640625" customWidth="1"/>
    <col min="8" max="8" width="12.6640625" customWidth="1"/>
    <col min="9" max="9" width="13" style="404" customWidth="1"/>
  </cols>
  <sheetData>
    <row r="1" spans="2:9" s="282" customFormat="1" ht="14">
      <c r="C1" s="368" t="s">
        <v>377</v>
      </c>
      <c r="D1" s="369" t="s">
        <v>378</v>
      </c>
      <c r="I1" s="290"/>
    </row>
    <row r="2" spans="2:9" s="282" customFormat="1" ht="14">
      <c r="C2" s="370" t="s">
        <v>379</v>
      </c>
      <c r="D2" s="371" t="s">
        <v>380</v>
      </c>
      <c r="I2" s="290"/>
    </row>
    <row r="3" spans="2:9" s="282" customFormat="1" ht="10.5" customHeight="1" thickBot="1">
      <c r="B3" s="372"/>
      <c r="C3" s="372"/>
      <c r="D3" s="372"/>
      <c r="I3" s="290"/>
    </row>
    <row r="4" spans="2:9" s="377" customFormat="1" ht="19.5" customHeight="1">
      <c r="B4" s="373"/>
      <c r="C4" s="1315" t="s">
        <v>381</v>
      </c>
      <c r="D4" s="1315"/>
      <c r="E4" s="1315"/>
      <c r="F4" s="374"/>
      <c r="G4" s="375">
        <v>2022</v>
      </c>
      <c r="H4" s="375">
        <v>2023</v>
      </c>
      <c r="I4" s="376">
        <v>2024</v>
      </c>
    </row>
    <row r="5" spans="2:9" s="377" customFormat="1" ht="19.5" customHeight="1" thickBot="1">
      <c r="B5" s="378"/>
      <c r="C5" s="1316" t="s">
        <v>382</v>
      </c>
      <c r="D5" s="1316"/>
      <c r="E5" s="1316"/>
      <c r="F5" s="379"/>
      <c r="G5" s="1317" t="s">
        <v>383</v>
      </c>
      <c r="H5" s="1317"/>
      <c r="I5" s="1317"/>
    </row>
    <row r="6" spans="2:9" s="377" customFormat="1" ht="17.25" customHeight="1">
      <c r="B6" s="380" t="s">
        <v>384</v>
      </c>
      <c r="C6" s="381"/>
      <c r="D6" s="381"/>
      <c r="E6" s="382"/>
      <c r="F6" s="383"/>
      <c r="G6" s="384"/>
      <c r="H6" s="384"/>
      <c r="I6" s="385"/>
    </row>
    <row r="7" spans="2:9" s="377" customFormat="1" ht="17.25" customHeight="1">
      <c r="B7" s="386" t="s">
        <v>385</v>
      </c>
      <c r="C7" s="381"/>
      <c r="D7" s="381"/>
      <c r="E7" s="382"/>
      <c r="F7" s="383"/>
      <c r="G7" s="384"/>
      <c r="H7" s="384"/>
      <c r="I7" s="385"/>
    </row>
    <row r="8" spans="2:9" s="377" customFormat="1" ht="17.25" customHeight="1">
      <c r="B8" s="386"/>
      <c r="C8" s="381"/>
      <c r="D8" s="381"/>
      <c r="E8" s="382"/>
      <c r="F8" s="383"/>
      <c r="G8" s="384"/>
      <c r="H8" s="384"/>
      <c r="I8" s="385"/>
    </row>
    <row r="9" spans="2:9" s="377" customFormat="1" ht="13.5" customHeight="1">
      <c r="B9" s="387" t="s">
        <v>386</v>
      </c>
      <c r="C9" s="380"/>
      <c r="D9" s="380"/>
      <c r="E9" s="388"/>
      <c r="F9" s="389"/>
      <c r="G9" s="390">
        <v>120.1</v>
      </c>
      <c r="H9" s="390">
        <v>123.1</v>
      </c>
      <c r="I9" s="385">
        <v>127.2</v>
      </c>
    </row>
    <row r="10" spans="2:9" s="377" customFormat="1" ht="13.5" customHeight="1">
      <c r="B10" s="391" t="s">
        <v>387</v>
      </c>
      <c r="C10" s="392"/>
      <c r="D10" s="392"/>
      <c r="E10" s="388"/>
      <c r="F10" s="389"/>
      <c r="G10" s="390"/>
      <c r="H10" s="390"/>
      <c r="I10" s="385"/>
    </row>
    <row r="11" spans="2:9" s="377" customFormat="1" ht="13">
      <c r="B11" s="380"/>
      <c r="C11" s="380"/>
      <c r="D11" s="380"/>
      <c r="E11" s="388"/>
      <c r="F11" s="389"/>
      <c r="G11" s="390"/>
      <c r="H11" s="390"/>
      <c r="I11" s="385"/>
    </row>
    <row r="12" spans="2:9" s="377" customFormat="1" ht="13.5" customHeight="1">
      <c r="B12" s="387" t="s">
        <v>388</v>
      </c>
      <c r="C12" s="380"/>
      <c r="D12" s="380"/>
      <c r="E12" s="388"/>
      <c r="F12" s="393"/>
      <c r="G12" s="394">
        <v>134.80000000000001</v>
      </c>
      <c r="H12" s="394">
        <v>137.1</v>
      </c>
      <c r="I12" s="395">
        <v>145</v>
      </c>
    </row>
    <row r="13" spans="2:9" s="377" customFormat="1" ht="13.5" customHeight="1">
      <c r="B13" s="396" t="s">
        <v>389</v>
      </c>
      <c r="C13" s="386"/>
      <c r="D13" s="386"/>
      <c r="E13" s="388"/>
      <c r="F13" s="393"/>
      <c r="G13" s="394"/>
      <c r="H13" s="394"/>
      <c r="I13" s="395"/>
    </row>
    <row r="14" spans="2:9" s="377" customFormat="1" ht="6.75" customHeight="1">
      <c r="B14" s="397"/>
      <c r="C14" s="397"/>
      <c r="D14" s="397"/>
      <c r="E14" s="388"/>
      <c r="F14" s="393"/>
      <c r="G14" s="394"/>
      <c r="H14" s="394"/>
      <c r="I14" s="395"/>
    </row>
    <row r="15" spans="2:9" s="377" customFormat="1" ht="13.5" customHeight="1">
      <c r="B15" s="387" t="s">
        <v>390</v>
      </c>
      <c r="C15" s="380"/>
      <c r="D15" s="380"/>
      <c r="E15" s="388"/>
      <c r="F15" s="393"/>
      <c r="G15" s="394">
        <v>168.3</v>
      </c>
      <c r="H15" s="394">
        <v>169.2</v>
      </c>
      <c r="I15" s="395">
        <v>170.1</v>
      </c>
    </row>
    <row r="16" spans="2:9" s="377" customFormat="1" ht="13.5" customHeight="1">
      <c r="B16" s="391" t="s">
        <v>391</v>
      </c>
      <c r="C16" s="392"/>
      <c r="D16" s="392"/>
      <c r="E16" s="388"/>
      <c r="F16" s="393"/>
      <c r="G16" s="394"/>
      <c r="H16" s="394"/>
      <c r="I16" s="395"/>
    </row>
    <row r="17" spans="2:9" s="377" customFormat="1" ht="6.75" customHeight="1">
      <c r="B17" s="397"/>
      <c r="C17" s="397"/>
      <c r="D17" s="397"/>
      <c r="E17" s="388"/>
      <c r="F17" s="393"/>
      <c r="G17" s="394"/>
      <c r="H17" s="394"/>
      <c r="I17" s="395"/>
    </row>
    <row r="18" spans="2:9" s="377" customFormat="1" ht="13.5" customHeight="1">
      <c r="B18" s="387" t="s">
        <v>392</v>
      </c>
      <c r="C18" s="380"/>
      <c r="D18" s="380"/>
      <c r="E18" s="388"/>
      <c r="F18" s="393"/>
      <c r="G18" s="394">
        <v>93.5</v>
      </c>
      <c r="H18" s="394">
        <v>93.1</v>
      </c>
      <c r="I18" s="395">
        <v>93.2</v>
      </c>
    </row>
    <row r="19" spans="2:9" s="377" customFormat="1" ht="13.5" customHeight="1">
      <c r="B19" s="391" t="s">
        <v>393</v>
      </c>
      <c r="C19" s="392"/>
      <c r="D19" s="392"/>
      <c r="E19" s="388"/>
      <c r="F19" s="393"/>
      <c r="G19" s="394"/>
      <c r="H19" s="394"/>
      <c r="I19" s="395"/>
    </row>
    <row r="20" spans="2:9" s="377" customFormat="1" ht="6.75" customHeight="1">
      <c r="B20" s="397"/>
      <c r="C20" s="397"/>
      <c r="D20" s="397"/>
      <c r="E20" s="388"/>
      <c r="F20" s="393"/>
      <c r="G20" s="394"/>
      <c r="H20" s="394"/>
      <c r="I20" s="395"/>
    </row>
    <row r="21" spans="2:9" s="377" customFormat="1" ht="13.5" customHeight="1">
      <c r="B21" s="387" t="s">
        <v>394</v>
      </c>
      <c r="C21" s="380"/>
      <c r="D21" s="380"/>
      <c r="E21" s="388"/>
      <c r="F21" s="393"/>
      <c r="G21" s="394">
        <v>119.2</v>
      </c>
      <c r="H21" s="394">
        <v>121</v>
      </c>
      <c r="I21" s="395">
        <v>123.2</v>
      </c>
    </row>
    <row r="22" spans="2:9" s="377" customFormat="1" ht="13.5" customHeight="1">
      <c r="B22" s="391" t="s">
        <v>395</v>
      </c>
      <c r="C22" s="392"/>
      <c r="D22" s="392"/>
      <c r="E22" s="388"/>
      <c r="F22" s="393"/>
      <c r="G22" s="394"/>
      <c r="H22" s="394"/>
      <c r="I22" s="395"/>
    </row>
    <row r="23" spans="2:9" s="377" customFormat="1" ht="6.75" customHeight="1">
      <c r="B23" s="397"/>
      <c r="C23" s="397"/>
      <c r="D23" s="397"/>
      <c r="E23" s="388"/>
      <c r="F23" s="393"/>
      <c r="G23" s="394"/>
      <c r="H23" s="394"/>
      <c r="I23" s="395"/>
    </row>
    <row r="24" spans="2:9" s="377" customFormat="1" ht="13.5" customHeight="1">
      <c r="B24" s="387" t="s">
        <v>396</v>
      </c>
      <c r="C24" s="380"/>
      <c r="D24" s="380"/>
      <c r="E24" s="388"/>
      <c r="F24" s="393"/>
      <c r="G24" s="394">
        <v>116.7</v>
      </c>
      <c r="H24" s="394">
        <v>118.6</v>
      </c>
      <c r="I24" s="395">
        <v>122.8</v>
      </c>
    </row>
    <row r="25" spans="2:9" s="377" customFormat="1" ht="15.75" customHeight="1">
      <c r="B25" s="391" t="s">
        <v>397</v>
      </c>
      <c r="C25" s="392"/>
      <c r="D25" s="392"/>
      <c r="E25" s="388"/>
      <c r="F25" s="393"/>
      <c r="G25" s="394"/>
      <c r="H25" s="394"/>
      <c r="I25" s="395"/>
    </row>
    <row r="26" spans="2:9" s="377" customFormat="1" ht="6.75" customHeight="1">
      <c r="B26" s="397"/>
      <c r="C26" s="397"/>
      <c r="D26" s="397"/>
      <c r="E26" s="388"/>
      <c r="F26" s="393"/>
      <c r="G26" s="394"/>
      <c r="H26" s="394"/>
      <c r="I26" s="395"/>
    </row>
    <row r="27" spans="2:9" s="377" customFormat="1" ht="13.5" customHeight="1">
      <c r="B27" s="387" t="s">
        <v>398</v>
      </c>
      <c r="C27" s="380"/>
      <c r="D27" s="380"/>
      <c r="E27" s="388"/>
      <c r="F27" s="393"/>
      <c r="G27" s="394">
        <v>124.1</v>
      </c>
      <c r="H27" s="394">
        <v>124.6</v>
      </c>
      <c r="I27" s="395">
        <v>125.5</v>
      </c>
    </row>
    <row r="28" spans="2:9" s="377" customFormat="1" ht="13.5" customHeight="1">
      <c r="B28" s="391" t="s">
        <v>399</v>
      </c>
      <c r="C28" s="392"/>
      <c r="D28" s="392"/>
      <c r="E28" s="388"/>
      <c r="F28" s="393"/>
      <c r="G28" s="394"/>
      <c r="H28" s="394"/>
      <c r="I28" s="395"/>
    </row>
    <row r="29" spans="2:9" s="377" customFormat="1" ht="6.75" customHeight="1">
      <c r="B29" s="397"/>
      <c r="C29" s="397"/>
      <c r="D29" s="397"/>
      <c r="E29" s="388"/>
      <c r="F29" s="393"/>
      <c r="G29" s="394"/>
      <c r="H29" s="394"/>
      <c r="I29" s="395"/>
    </row>
    <row r="30" spans="2:9" s="377" customFormat="1" ht="13.5" customHeight="1">
      <c r="B30" s="387" t="s">
        <v>400</v>
      </c>
      <c r="C30" s="380"/>
      <c r="D30" s="380"/>
      <c r="E30" s="388"/>
      <c r="F30" s="393"/>
      <c r="G30" s="394">
        <v>102.6</v>
      </c>
      <c r="H30" s="394">
        <v>113.9</v>
      </c>
      <c r="I30" s="395">
        <v>119.2</v>
      </c>
    </row>
    <row r="31" spans="2:9" s="377" customFormat="1" ht="13.5" customHeight="1">
      <c r="B31" s="391" t="s">
        <v>401</v>
      </c>
      <c r="C31" s="392"/>
      <c r="D31" s="392"/>
      <c r="E31" s="388"/>
      <c r="F31" s="393"/>
      <c r="G31" s="394"/>
      <c r="H31" s="394"/>
      <c r="I31" s="395"/>
    </row>
    <row r="32" spans="2:9" s="377" customFormat="1" ht="6.75" customHeight="1">
      <c r="B32" s="397"/>
      <c r="C32" s="397"/>
      <c r="D32" s="397"/>
      <c r="E32" s="388"/>
      <c r="F32" s="393"/>
      <c r="G32" s="394"/>
      <c r="H32" s="394"/>
      <c r="I32" s="395"/>
    </row>
    <row r="33" spans="2:9" s="377" customFormat="1" ht="13.5" customHeight="1">
      <c r="B33" s="387" t="s">
        <v>402</v>
      </c>
      <c r="C33" s="380"/>
      <c r="D33" s="380"/>
      <c r="E33" s="388"/>
      <c r="F33" s="393"/>
      <c r="G33" s="394">
        <v>97.5</v>
      </c>
      <c r="H33" s="394">
        <v>97.5</v>
      </c>
      <c r="I33" s="395">
        <v>97.5</v>
      </c>
    </row>
    <row r="34" spans="2:9" s="377" customFormat="1" ht="13.5" customHeight="1">
      <c r="B34" s="391" t="s">
        <v>403</v>
      </c>
      <c r="C34" s="392"/>
      <c r="D34" s="392"/>
      <c r="E34" s="388"/>
      <c r="F34" s="393"/>
      <c r="G34" s="394"/>
      <c r="H34" s="394"/>
      <c r="I34" s="395"/>
    </row>
    <row r="35" spans="2:9" s="377" customFormat="1" ht="6.75" customHeight="1">
      <c r="B35" s="397"/>
      <c r="C35" s="397"/>
      <c r="D35" s="397"/>
      <c r="E35" s="388"/>
      <c r="F35" s="393"/>
      <c r="G35" s="394"/>
      <c r="H35" s="394"/>
      <c r="I35" s="395"/>
    </row>
    <row r="36" spans="2:9" s="377" customFormat="1" ht="13.5" customHeight="1">
      <c r="B36" s="387" t="s">
        <v>404</v>
      </c>
      <c r="C36" s="380"/>
      <c r="D36" s="380"/>
      <c r="E36" s="388"/>
      <c r="F36" s="393"/>
      <c r="G36" s="394">
        <v>112.3</v>
      </c>
      <c r="H36" s="394">
        <v>112.8</v>
      </c>
      <c r="I36" s="395">
        <v>115.4</v>
      </c>
    </row>
    <row r="37" spans="2:9" s="377" customFormat="1" ht="13.5" customHeight="1">
      <c r="B37" s="391" t="s">
        <v>405</v>
      </c>
      <c r="C37" s="392"/>
      <c r="D37" s="392"/>
      <c r="E37" s="388"/>
      <c r="F37" s="393"/>
      <c r="G37" s="394"/>
      <c r="H37" s="394"/>
      <c r="I37" s="395"/>
    </row>
    <row r="38" spans="2:9" s="377" customFormat="1" ht="6.75" customHeight="1">
      <c r="B38" s="397"/>
      <c r="C38" s="397"/>
      <c r="D38" s="397"/>
      <c r="E38" s="388"/>
      <c r="F38" s="393"/>
      <c r="G38" s="394"/>
      <c r="H38" s="394"/>
      <c r="I38" s="395"/>
    </row>
    <row r="39" spans="2:9" s="377" customFormat="1" ht="13.5" customHeight="1">
      <c r="B39" s="387" t="s">
        <v>406</v>
      </c>
      <c r="C39" s="380"/>
      <c r="D39" s="380"/>
      <c r="E39" s="388"/>
      <c r="F39" s="393"/>
      <c r="G39" s="394">
        <v>120.9</v>
      </c>
      <c r="H39" s="394">
        <v>121.1</v>
      </c>
      <c r="I39" s="395">
        <v>122.4</v>
      </c>
    </row>
    <row r="40" spans="2:9" s="377" customFormat="1" ht="13.5" customHeight="1">
      <c r="B40" s="391" t="s">
        <v>407</v>
      </c>
      <c r="C40" s="392"/>
      <c r="D40" s="392"/>
      <c r="E40" s="388"/>
      <c r="F40" s="393"/>
      <c r="G40" s="394"/>
      <c r="H40" s="394"/>
      <c r="I40" s="395"/>
    </row>
    <row r="41" spans="2:9" s="377" customFormat="1" ht="6.75" customHeight="1">
      <c r="B41" s="392"/>
      <c r="C41" s="392"/>
      <c r="D41" s="392"/>
      <c r="E41" s="388"/>
      <c r="F41" s="393"/>
      <c r="G41" s="394"/>
      <c r="H41" s="394"/>
      <c r="I41" s="395"/>
    </row>
    <row r="42" spans="2:9" s="377" customFormat="1" ht="13">
      <c r="B42" s="387" t="s">
        <v>408</v>
      </c>
      <c r="C42" s="380"/>
      <c r="D42" s="380"/>
      <c r="E42" s="388"/>
      <c r="F42" s="393"/>
      <c r="G42" s="394">
        <v>132.4</v>
      </c>
      <c r="H42" s="394">
        <v>132.9</v>
      </c>
      <c r="I42" s="395">
        <v>139.5</v>
      </c>
    </row>
    <row r="43" spans="2:9" s="377" customFormat="1" ht="13">
      <c r="B43" s="391" t="s">
        <v>409</v>
      </c>
      <c r="C43" s="392"/>
      <c r="D43" s="392"/>
      <c r="E43" s="388"/>
      <c r="F43" s="393"/>
      <c r="G43" s="394"/>
      <c r="H43" s="394"/>
      <c r="I43" s="395"/>
    </row>
    <row r="44" spans="2:9" s="377" customFormat="1" ht="6.75" customHeight="1">
      <c r="B44" s="397"/>
      <c r="C44" s="397"/>
      <c r="D44" s="397"/>
      <c r="E44" s="388"/>
      <c r="F44" s="393"/>
      <c r="G44" s="394"/>
      <c r="H44" s="394"/>
      <c r="I44" s="395"/>
    </row>
    <row r="45" spans="2:9" s="377" customFormat="1" ht="13">
      <c r="B45" s="387" t="s">
        <v>410</v>
      </c>
      <c r="C45" s="380"/>
      <c r="D45" s="380"/>
      <c r="E45" s="388"/>
      <c r="F45" s="393"/>
      <c r="G45" s="394">
        <v>116</v>
      </c>
      <c r="H45" s="394">
        <v>116.6</v>
      </c>
      <c r="I45" s="395">
        <v>118.9</v>
      </c>
    </row>
    <row r="46" spans="2:9" s="377" customFormat="1" ht="15.75" customHeight="1">
      <c r="B46" s="391" t="s">
        <v>411</v>
      </c>
      <c r="C46" s="392"/>
      <c r="D46" s="392"/>
      <c r="E46" s="388"/>
      <c r="F46" s="393"/>
      <c r="G46" s="398"/>
      <c r="H46" s="398"/>
      <c r="I46" s="399"/>
    </row>
    <row r="47" spans="2:9" s="377" customFormat="1" ht="6.75" customHeight="1">
      <c r="B47" s="397"/>
      <c r="C47" s="397"/>
      <c r="D47" s="397"/>
      <c r="E47" s="388"/>
      <c r="F47" s="393"/>
      <c r="G47" s="394"/>
      <c r="H47" s="394"/>
      <c r="I47" s="395"/>
    </row>
    <row r="48" spans="2:9" s="377" customFormat="1" ht="13">
      <c r="B48" s="387" t="s">
        <v>412</v>
      </c>
      <c r="C48" s="380"/>
      <c r="D48" s="380"/>
      <c r="E48" s="388"/>
      <c r="F48" s="393"/>
      <c r="G48" s="394">
        <v>116</v>
      </c>
      <c r="H48" s="394">
        <v>116.6</v>
      </c>
      <c r="I48" s="395">
        <v>118.9</v>
      </c>
    </row>
    <row r="49" spans="2:9" s="377" customFormat="1" ht="15.75" customHeight="1">
      <c r="B49" s="391" t="s">
        <v>413</v>
      </c>
      <c r="C49" s="392"/>
      <c r="D49" s="392"/>
      <c r="E49" s="388"/>
      <c r="F49" s="393"/>
      <c r="G49" s="398"/>
      <c r="H49" s="398"/>
      <c r="I49" s="399"/>
    </row>
    <row r="50" spans="2:9" s="377" customFormat="1" ht="15.75" customHeight="1">
      <c r="B50" s="392"/>
      <c r="C50" s="392"/>
      <c r="D50" s="392"/>
      <c r="E50" s="388"/>
      <c r="F50" s="393"/>
      <c r="G50" s="398"/>
      <c r="H50" s="398"/>
      <c r="I50" s="399"/>
    </row>
    <row r="51" spans="2:9" s="377" customFormat="1" ht="15.75" customHeight="1">
      <c r="B51" s="311" t="s">
        <v>414</v>
      </c>
      <c r="C51" s="392"/>
      <c r="D51" s="392"/>
      <c r="E51" s="388"/>
      <c r="F51" s="393"/>
      <c r="G51" s="398"/>
      <c r="H51" s="398"/>
      <c r="I51" s="399"/>
    </row>
    <row r="52" spans="2:9" s="377" customFormat="1" ht="15.75" customHeight="1">
      <c r="B52" s="392" t="s">
        <v>415</v>
      </c>
      <c r="C52" s="392"/>
      <c r="D52" s="392"/>
      <c r="E52" s="388"/>
      <c r="F52" s="393"/>
      <c r="G52" s="398"/>
      <c r="H52" s="398"/>
      <c r="I52" s="399"/>
    </row>
    <row r="53" spans="2:9" s="377" customFormat="1" ht="15.75" customHeight="1">
      <c r="B53" s="392"/>
      <c r="C53" s="392"/>
      <c r="D53" s="392"/>
      <c r="E53" s="388"/>
      <c r="F53" s="393"/>
      <c r="G53" s="398"/>
      <c r="H53" s="398"/>
      <c r="I53" s="399"/>
    </row>
    <row r="54" spans="2:9" s="377" customFormat="1" ht="13.5" customHeight="1">
      <c r="B54" s="387" t="s">
        <v>386</v>
      </c>
      <c r="C54" s="380"/>
      <c r="D54" s="380"/>
      <c r="E54" s="388"/>
      <c r="F54" s="389"/>
      <c r="G54" s="400">
        <v>-1.2</v>
      </c>
      <c r="H54" s="400">
        <v>2.5</v>
      </c>
      <c r="I54" s="401">
        <v>3.3</v>
      </c>
    </row>
    <row r="55" spans="2:9" s="377" customFormat="1" ht="13.5" customHeight="1">
      <c r="B55" s="391" t="s">
        <v>387</v>
      </c>
      <c r="C55" s="392"/>
      <c r="D55" s="392"/>
      <c r="E55" s="388"/>
      <c r="F55" s="389"/>
      <c r="G55" s="400"/>
      <c r="H55" s="400"/>
      <c r="I55" s="401"/>
    </row>
    <row r="56" spans="2:9" s="377" customFormat="1" ht="10.5" customHeight="1">
      <c r="B56" s="380"/>
      <c r="C56" s="380"/>
      <c r="D56" s="380"/>
      <c r="E56" s="388"/>
      <c r="F56" s="389"/>
      <c r="G56" s="400"/>
      <c r="H56" s="400"/>
      <c r="I56" s="401"/>
    </row>
    <row r="57" spans="2:9" s="377" customFormat="1" ht="13.5" customHeight="1">
      <c r="B57" s="387" t="s">
        <v>388</v>
      </c>
      <c r="C57" s="380"/>
      <c r="D57" s="380"/>
      <c r="E57" s="388"/>
      <c r="F57" s="393"/>
      <c r="G57" s="398">
        <v>1.3</v>
      </c>
      <c r="H57" s="398">
        <v>1.7</v>
      </c>
      <c r="I57" s="399">
        <v>5.8</v>
      </c>
    </row>
    <row r="58" spans="2:9" s="377" customFormat="1" ht="13.5" customHeight="1">
      <c r="B58" s="396" t="s">
        <v>389</v>
      </c>
      <c r="C58" s="386"/>
      <c r="D58" s="386"/>
      <c r="E58" s="388"/>
      <c r="F58" s="393"/>
      <c r="G58" s="398"/>
      <c r="H58" s="398"/>
      <c r="I58" s="399"/>
    </row>
    <row r="59" spans="2:9" s="377" customFormat="1" ht="6.75" customHeight="1">
      <c r="B59" s="397"/>
      <c r="C59" s="397"/>
      <c r="D59" s="397"/>
      <c r="E59" s="388"/>
      <c r="F59" s="393"/>
      <c r="G59" s="398"/>
      <c r="H59" s="398"/>
      <c r="I59" s="399"/>
    </row>
    <row r="60" spans="2:9" s="377" customFormat="1" ht="13.5" customHeight="1">
      <c r="B60" s="387" t="s">
        <v>390</v>
      </c>
      <c r="C60" s="380"/>
      <c r="D60" s="380"/>
      <c r="E60" s="388"/>
      <c r="F60" s="393"/>
      <c r="G60" s="398">
        <v>0.3</v>
      </c>
      <c r="H60" s="398">
        <v>0.5</v>
      </c>
      <c r="I60" s="399">
        <v>0.5</v>
      </c>
    </row>
    <row r="61" spans="2:9" s="377" customFormat="1" ht="13.5" customHeight="1">
      <c r="B61" s="391" t="s">
        <v>391</v>
      </c>
      <c r="C61" s="392"/>
      <c r="D61" s="392"/>
      <c r="E61" s="388"/>
      <c r="F61" s="393"/>
      <c r="G61" s="398"/>
      <c r="H61" s="398"/>
      <c r="I61" s="399"/>
    </row>
    <row r="62" spans="2:9" s="377" customFormat="1" ht="6.75" customHeight="1">
      <c r="B62" s="397"/>
      <c r="C62" s="397"/>
      <c r="D62" s="397"/>
      <c r="E62" s="388"/>
      <c r="F62" s="393"/>
      <c r="G62" s="398"/>
      <c r="H62" s="398"/>
      <c r="I62" s="399"/>
    </row>
    <row r="63" spans="2:9" s="377" customFormat="1" ht="13.5" customHeight="1">
      <c r="B63" s="387" t="s">
        <v>392</v>
      </c>
      <c r="C63" s="380"/>
      <c r="D63" s="380"/>
      <c r="E63" s="388"/>
      <c r="F63" s="393"/>
      <c r="G63" s="398">
        <v>-0.8</v>
      </c>
      <c r="H63" s="398">
        <v>-0.4</v>
      </c>
      <c r="I63" s="399">
        <v>0.1</v>
      </c>
    </row>
    <row r="64" spans="2:9" s="377" customFormat="1" ht="13.5" customHeight="1">
      <c r="B64" s="391" t="s">
        <v>393</v>
      </c>
      <c r="C64" s="392"/>
      <c r="D64" s="392"/>
      <c r="E64" s="388"/>
      <c r="F64" s="393"/>
      <c r="G64" s="398"/>
      <c r="H64" s="398"/>
      <c r="I64" s="399"/>
    </row>
    <row r="65" spans="2:9" s="377" customFormat="1" ht="6.75" customHeight="1">
      <c r="B65" s="397"/>
      <c r="C65" s="397"/>
      <c r="D65" s="397"/>
      <c r="E65" s="388"/>
      <c r="F65" s="393"/>
      <c r="G65" s="398"/>
      <c r="H65" s="398"/>
      <c r="I65" s="399"/>
    </row>
    <row r="66" spans="2:9" s="377" customFormat="1" ht="13.5" customHeight="1">
      <c r="B66" s="387" t="s">
        <v>394</v>
      </c>
      <c r="C66" s="380"/>
      <c r="D66" s="380"/>
      <c r="E66" s="388"/>
      <c r="F66" s="393"/>
      <c r="G66" s="398">
        <v>-1.7</v>
      </c>
      <c r="H66" s="398">
        <v>1.5</v>
      </c>
      <c r="I66" s="399">
        <v>1.8</v>
      </c>
    </row>
    <row r="67" spans="2:9" s="377" customFormat="1" ht="13.5" customHeight="1">
      <c r="B67" s="391" t="s">
        <v>395</v>
      </c>
      <c r="C67" s="392"/>
      <c r="D67" s="392"/>
      <c r="E67" s="388"/>
      <c r="F67" s="393"/>
      <c r="G67" s="398"/>
      <c r="H67" s="398"/>
      <c r="I67" s="399"/>
    </row>
    <row r="68" spans="2:9" s="377" customFormat="1" ht="6.75" customHeight="1">
      <c r="B68" s="397"/>
      <c r="C68" s="397"/>
      <c r="D68" s="397"/>
      <c r="E68" s="388"/>
      <c r="F68" s="393"/>
      <c r="G68" s="398"/>
      <c r="H68" s="398"/>
      <c r="I68" s="399"/>
    </row>
    <row r="69" spans="2:9" s="377" customFormat="1" ht="13.5" customHeight="1">
      <c r="B69" s="387" t="s">
        <v>396</v>
      </c>
      <c r="C69" s="380"/>
      <c r="D69" s="380"/>
      <c r="E69" s="388"/>
      <c r="F69" s="393"/>
      <c r="G69" s="398">
        <v>0.3</v>
      </c>
      <c r="H69" s="398">
        <v>1.6</v>
      </c>
      <c r="I69" s="399">
        <v>3.5</v>
      </c>
    </row>
    <row r="70" spans="2:9" s="377" customFormat="1" ht="15.75" customHeight="1">
      <c r="B70" s="391" t="s">
        <v>397</v>
      </c>
      <c r="C70" s="392"/>
      <c r="D70" s="392"/>
      <c r="E70" s="388"/>
      <c r="F70" s="393"/>
      <c r="G70" s="398"/>
      <c r="H70" s="398"/>
      <c r="I70" s="399"/>
    </row>
    <row r="71" spans="2:9" s="377" customFormat="1" ht="6.75" customHeight="1">
      <c r="B71" s="397"/>
      <c r="C71" s="397"/>
      <c r="D71" s="397"/>
      <c r="E71" s="388"/>
      <c r="F71" s="393"/>
      <c r="G71" s="398"/>
      <c r="H71" s="398"/>
      <c r="I71" s="399"/>
    </row>
    <row r="72" spans="2:9" s="377" customFormat="1" ht="13.5" customHeight="1">
      <c r="B72" s="387" t="s">
        <v>398</v>
      </c>
      <c r="C72" s="380"/>
      <c r="D72" s="380"/>
      <c r="E72" s="388"/>
      <c r="F72" s="393"/>
      <c r="G72" s="398">
        <v>1.1000000000000001</v>
      </c>
      <c r="H72" s="398">
        <v>0.4</v>
      </c>
      <c r="I72" s="399">
        <v>0.7</v>
      </c>
    </row>
    <row r="73" spans="2:9" s="377" customFormat="1" ht="13.5" customHeight="1">
      <c r="B73" s="391" t="s">
        <v>399</v>
      </c>
      <c r="C73" s="392"/>
      <c r="D73" s="392"/>
      <c r="E73" s="388"/>
      <c r="F73" s="393"/>
      <c r="G73" s="398"/>
      <c r="H73" s="398"/>
      <c r="I73" s="399"/>
    </row>
    <row r="74" spans="2:9" s="377" customFormat="1" ht="6.75" customHeight="1">
      <c r="B74" s="397"/>
      <c r="C74" s="397"/>
      <c r="D74" s="397"/>
      <c r="E74" s="388"/>
      <c r="F74" s="393"/>
      <c r="G74" s="398"/>
      <c r="H74" s="398"/>
      <c r="I74" s="399"/>
    </row>
    <row r="75" spans="2:9" s="377" customFormat="1" ht="13.5" customHeight="1">
      <c r="B75" s="387" t="s">
        <v>400</v>
      </c>
      <c r="C75" s="380"/>
      <c r="D75" s="380"/>
      <c r="E75" s="388"/>
      <c r="F75" s="393"/>
      <c r="G75" s="398">
        <v>-10</v>
      </c>
      <c r="H75" s="398">
        <v>11</v>
      </c>
      <c r="I75" s="399">
        <v>4.7</v>
      </c>
    </row>
    <row r="76" spans="2:9" s="377" customFormat="1" ht="13.5" customHeight="1">
      <c r="B76" s="391" t="s">
        <v>401</v>
      </c>
      <c r="C76" s="392"/>
      <c r="D76" s="392"/>
      <c r="E76" s="388"/>
      <c r="F76" s="393"/>
      <c r="G76" s="398"/>
      <c r="H76" s="398"/>
      <c r="I76" s="399"/>
    </row>
    <row r="77" spans="2:9" s="377" customFormat="1" ht="6.75" customHeight="1">
      <c r="B77" s="397"/>
      <c r="C77" s="397"/>
      <c r="D77" s="397"/>
      <c r="E77" s="388"/>
      <c r="F77" s="393"/>
      <c r="G77" s="398"/>
      <c r="H77" s="398"/>
      <c r="I77" s="399"/>
    </row>
    <row r="78" spans="2:9" s="377" customFormat="1" ht="13.5" customHeight="1">
      <c r="B78" s="387" t="s">
        <v>402</v>
      </c>
      <c r="C78" s="380"/>
      <c r="D78" s="380"/>
      <c r="E78" s="388"/>
      <c r="F78" s="393"/>
      <c r="G78" s="398">
        <v>1.1000000000000001</v>
      </c>
      <c r="H78" s="398">
        <v>0</v>
      </c>
      <c r="I78" s="399">
        <v>0</v>
      </c>
    </row>
    <row r="79" spans="2:9" s="377" customFormat="1" ht="13.5" customHeight="1">
      <c r="B79" s="391" t="s">
        <v>403</v>
      </c>
      <c r="C79" s="392"/>
      <c r="D79" s="392"/>
      <c r="E79" s="388"/>
      <c r="F79" s="393"/>
      <c r="G79" s="398"/>
      <c r="H79" s="398"/>
      <c r="I79" s="399"/>
    </row>
    <row r="80" spans="2:9" s="377" customFormat="1" ht="6.75" customHeight="1">
      <c r="B80" s="397"/>
      <c r="C80" s="397"/>
      <c r="D80" s="397"/>
      <c r="E80" s="388"/>
      <c r="F80" s="393"/>
      <c r="G80" s="398"/>
      <c r="H80" s="398"/>
      <c r="I80" s="399"/>
    </row>
    <row r="81" spans="2:9" s="377" customFormat="1" ht="13.5" customHeight="1">
      <c r="B81" s="387" t="s">
        <v>404</v>
      </c>
      <c r="C81" s="380"/>
      <c r="D81" s="380"/>
      <c r="E81" s="388"/>
      <c r="F81" s="393"/>
      <c r="G81" s="398">
        <v>0.4</v>
      </c>
      <c r="H81" s="398">
        <v>0.4</v>
      </c>
      <c r="I81" s="399">
        <v>2.2999999999999998</v>
      </c>
    </row>
    <row r="82" spans="2:9" s="377" customFormat="1" ht="13.5" customHeight="1">
      <c r="B82" s="391" t="s">
        <v>405</v>
      </c>
      <c r="C82" s="392"/>
      <c r="D82" s="392"/>
      <c r="E82" s="388"/>
      <c r="F82" s="393"/>
      <c r="G82" s="398"/>
      <c r="H82" s="398"/>
      <c r="I82" s="399"/>
    </row>
    <row r="83" spans="2:9" s="377" customFormat="1" ht="6.75" customHeight="1">
      <c r="B83" s="397"/>
      <c r="C83" s="397"/>
      <c r="D83" s="397"/>
      <c r="E83" s="388"/>
      <c r="F83" s="393"/>
      <c r="G83" s="398"/>
      <c r="H83" s="398"/>
      <c r="I83" s="399"/>
    </row>
    <row r="84" spans="2:9" s="377" customFormat="1" ht="13.5" customHeight="1">
      <c r="B84" s="387" t="s">
        <v>406</v>
      </c>
      <c r="C84" s="380"/>
      <c r="D84" s="380"/>
      <c r="E84" s="388"/>
      <c r="F84" s="393"/>
      <c r="G84" s="398">
        <v>1</v>
      </c>
      <c r="H84" s="398">
        <v>0.2</v>
      </c>
      <c r="I84" s="399">
        <v>1.1000000000000001</v>
      </c>
    </row>
    <row r="85" spans="2:9" s="377" customFormat="1" ht="13.5" customHeight="1">
      <c r="B85" s="391" t="s">
        <v>407</v>
      </c>
      <c r="C85" s="392"/>
      <c r="D85" s="392"/>
      <c r="E85" s="388"/>
      <c r="F85" s="393"/>
      <c r="G85" s="398"/>
      <c r="H85" s="398"/>
      <c r="I85" s="399"/>
    </row>
    <row r="86" spans="2:9" s="377" customFormat="1" ht="6.75" customHeight="1">
      <c r="B86" s="392"/>
      <c r="C86" s="392"/>
      <c r="D86" s="392"/>
      <c r="E86" s="388"/>
      <c r="F86" s="393"/>
      <c r="G86" s="398"/>
      <c r="H86" s="398"/>
      <c r="I86" s="399"/>
    </row>
    <row r="87" spans="2:9" s="377" customFormat="1" ht="13">
      <c r="B87" s="387" t="s">
        <v>408</v>
      </c>
      <c r="C87" s="380"/>
      <c r="D87" s="380"/>
      <c r="E87" s="388"/>
      <c r="F87" s="393"/>
      <c r="G87" s="398">
        <v>0.5</v>
      </c>
      <c r="H87" s="398">
        <v>0.4</v>
      </c>
      <c r="I87" s="399">
        <v>5</v>
      </c>
    </row>
    <row r="88" spans="2:9" s="377" customFormat="1" ht="13">
      <c r="B88" s="391" t="s">
        <v>409</v>
      </c>
      <c r="C88" s="392"/>
      <c r="D88" s="392"/>
      <c r="E88" s="388"/>
      <c r="F88" s="393"/>
      <c r="G88" s="398"/>
      <c r="H88" s="398"/>
      <c r="I88" s="399"/>
    </row>
    <row r="89" spans="2:9" s="377" customFormat="1" ht="6.75" customHeight="1">
      <c r="B89" s="391"/>
      <c r="C89" s="392"/>
      <c r="D89" s="392"/>
      <c r="E89" s="388"/>
      <c r="F89" s="393"/>
      <c r="G89" s="398"/>
      <c r="H89" s="398"/>
      <c r="I89" s="399"/>
    </row>
    <row r="90" spans="2:9" s="377" customFormat="1" ht="13">
      <c r="B90" s="387" t="s">
        <v>410</v>
      </c>
      <c r="C90" s="380"/>
      <c r="D90" s="380"/>
      <c r="E90" s="388"/>
      <c r="F90" s="393"/>
      <c r="G90" s="394">
        <v>116</v>
      </c>
      <c r="H90" s="394">
        <v>116.6</v>
      </c>
      <c r="I90" s="395">
        <v>118.9</v>
      </c>
    </row>
    <row r="91" spans="2:9" s="377" customFormat="1" ht="15.75" customHeight="1">
      <c r="B91" s="391" t="s">
        <v>411</v>
      </c>
      <c r="C91" s="392"/>
      <c r="D91" s="392"/>
      <c r="E91" s="388"/>
      <c r="F91" s="393"/>
      <c r="G91" s="398"/>
      <c r="H91" s="398"/>
      <c r="I91" s="399"/>
    </row>
    <row r="92" spans="2:9" s="377" customFormat="1" ht="6.75" customHeight="1">
      <c r="B92" s="397"/>
      <c r="C92" s="397"/>
      <c r="D92" s="397"/>
      <c r="E92" s="388"/>
      <c r="F92" s="393"/>
      <c r="G92" s="398"/>
      <c r="H92" s="398"/>
      <c r="I92" s="399"/>
    </row>
    <row r="93" spans="2:9" s="377" customFormat="1" ht="13">
      <c r="B93" s="387" t="s">
        <v>412</v>
      </c>
      <c r="C93" s="380"/>
      <c r="D93" s="380"/>
      <c r="E93" s="388"/>
      <c r="F93" s="393"/>
      <c r="G93" s="398">
        <v>2.7</v>
      </c>
      <c r="H93" s="398">
        <v>0.5</v>
      </c>
      <c r="I93" s="399">
        <v>2</v>
      </c>
    </row>
    <row r="94" spans="2:9" s="377" customFormat="1" ht="13">
      <c r="B94" s="391" t="s">
        <v>413</v>
      </c>
      <c r="C94" s="392"/>
      <c r="D94" s="392"/>
      <c r="E94" s="388"/>
      <c r="F94" s="393"/>
      <c r="G94" s="398"/>
      <c r="H94" s="398"/>
      <c r="I94" s="399"/>
    </row>
    <row r="95" spans="2:9" s="282" customFormat="1" ht="8.25" customHeight="1" thickBot="1">
      <c r="B95" s="402"/>
      <c r="C95" s="402"/>
      <c r="D95" s="402"/>
      <c r="E95" s="298"/>
      <c r="F95" s="298"/>
      <c r="G95" s="298"/>
      <c r="H95" s="298"/>
      <c r="I95" s="403"/>
    </row>
    <row r="96" spans="2:9" s="282" customFormat="1" ht="14">
      <c r="I96" s="192" t="s">
        <v>32</v>
      </c>
    </row>
    <row r="97" spans="9:9" s="282" customFormat="1" ht="14">
      <c r="I97" s="193" t="s">
        <v>33</v>
      </c>
    </row>
  </sheetData>
  <mergeCells count="3">
    <mergeCell ref="C4:E4"/>
    <mergeCell ref="C5:E5"/>
    <mergeCell ref="G5:I5"/>
  </mergeCells>
  <printOptions horizontalCentered="1"/>
  <pageMargins left="0.55118110236220474" right="0.55118110236220474" top="0.55118110236220474" bottom="0.55118110236220474" header="0.31496062992125984" footer="0.31496062992125984"/>
  <pageSetup paperSize="9" scale="65" fitToWidth="0"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7DA1A-B970-49BB-9F02-8C86BF38DCE5}">
  <sheetPr codeName="Sheet40"/>
  <dimension ref="A1:P101"/>
  <sheetViews>
    <sheetView view="pageBreakPreview" zoomScale="90" zoomScaleNormal="80" zoomScaleSheetLayoutView="90" workbookViewId="0">
      <selection activeCell="D60" sqref="D60"/>
    </sheetView>
  </sheetViews>
  <sheetFormatPr baseColWidth="10" defaultColWidth="9.1640625" defaultRowHeight="14"/>
  <cols>
    <col min="1" max="1" width="2.83203125" style="282" customWidth="1"/>
    <col min="2" max="3" width="9.1640625" style="282"/>
    <col min="4" max="4" width="39.5" style="282" customWidth="1"/>
    <col min="5" max="5" width="9.1640625" style="282"/>
    <col min="6" max="6" width="17.6640625" style="282" customWidth="1"/>
    <col min="7" max="7" width="14.6640625" style="282" customWidth="1"/>
    <col min="8" max="8" width="5.33203125" style="282" customWidth="1"/>
    <col min="9" max="9" width="14.6640625" style="282" customWidth="1"/>
    <col min="10" max="10" width="5.33203125" style="282" customWidth="1"/>
    <col min="11" max="11" width="14.6640625" style="290" customWidth="1"/>
    <col min="12" max="16384" width="9.1640625" style="282"/>
  </cols>
  <sheetData>
    <row r="1" spans="1:13" s="405" customFormat="1" ht="4" customHeight="1">
      <c r="F1" s="406"/>
      <c r="H1" s="407"/>
      <c r="J1" s="407"/>
      <c r="K1" s="408"/>
    </row>
    <row r="2" spans="1:13" s="405" customFormat="1" ht="4" customHeight="1">
      <c r="F2" s="406"/>
      <c r="H2" s="407"/>
      <c r="J2" s="407"/>
      <c r="K2" s="408"/>
    </row>
    <row r="3" spans="1:13" s="405" customFormat="1" ht="14.25" customHeight="1">
      <c r="A3" s="407"/>
      <c r="B3" s="409" t="s">
        <v>416</v>
      </c>
      <c r="C3" s="1318" t="s">
        <v>417</v>
      </c>
      <c r="D3" s="1318"/>
      <c r="E3" s="1318"/>
      <c r="F3" s="1318"/>
      <c r="G3" s="1318"/>
      <c r="H3" s="1318"/>
      <c r="I3" s="1318"/>
      <c r="J3" s="1318"/>
      <c r="K3" s="408"/>
    </row>
    <row r="4" spans="1:13" s="405" customFormat="1" ht="3.5" customHeight="1">
      <c r="A4" s="407"/>
      <c r="B4" s="410"/>
      <c r="C4" s="1318"/>
      <c r="D4" s="1318"/>
      <c r="E4" s="1318"/>
      <c r="F4" s="1318"/>
      <c r="G4" s="1318"/>
      <c r="H4" s="1318"/>
      <c r="I4" s="1318"/>
      <c r="J4" s="1318"/>
      <c r="K4" s="408"/>
    </row>
    <row r="5" spans="1:13" s="405" customFormat="1" ht="14.25" customHeight="1">
      <c r="B5" s="411" t="s">
        <v>418</v>
      </c>
      <c r="C5" s="1319" t="s">
        <v>419</v>
      </c>
      <c r="D5" s="1319"/>
      <c r="E5" s="1319"/>
      <c r="F5" s="1319"/>
      <c r="G5" s="1319"/>
      <c r="H5" s="1319"/>
      <c r="I5" s="1319"/>
      <c r="J5" s="1319"/>
      <c r="K5" s="408"/>
    </row>
    <row r="6" spans="1:13" s="405" customFormat="1" ht="5" customHeight="1">
      <c r="B6" s="411"/>
      <c r="C6" s="1319"/>
      <c r="D6" s="1319"/>
      <c r="E6" s="1319"/>
      <c r="F6" s="1319"/>
      <c r="G6" s="1319"/>
      <c r="H6" s="1319"/>
      <c r="I6" s="1319"/>
      <c r="J6" s="1319"/>
      <c r="K6" s="408"/>
    </row>
    <row r="7" spans="1:13" s="405" customFormat="1" ht="4.5" customHeight="1" thickBot="1">
      <c r="A7" s="412"/>
      <c r="B7" s="412"/>
      <c r="C7" s="412"/>
      <c r="D7" s="412"/>
      <c r="E7" s="412"/>
      <c r="F7" s="413"/>
      <c r="G7" s="412"/>
      <c r="H7" s="414"/>
      <c r="I7" s="412"/>
      <c r="J7" s="414"/>
      <c r="K7" s="415"/>
    </row>
    <row r="8" spans="1:13" s="416" customFormat="1" ht="5.25" customHeight="1">
      <c r="F8" s="417"/>
      <c r="H8" s="418"/>
      <c r="J8" s="418"/>
      <c r="K8" s="419"/>
    </row>
    <row r="9" spans="1:13" s="416" customFormat="1" ht="14.25" customHeight="1">
      <c r="A9" s="420"/>
      <c r="B9" s="1320" t="s">
        <v>420</v>
      </c>
      <c r="C9" s="1320"/>
      <c r="D9" s="421"/>
      <c r="E9" s="421"/>
      <c r="F9" s="421"/>
      <c r="G9" s="422">
        <v>2022</v>
      </c>
      <c r="H9" s="422"/>
      <c r="I9" s="422">
        <v>2023</v>
      </c>
      <c r="J9" s="422"/>
      <c r="K9" s="423">
        <v>2024</v>
      </c>
      <c r="L9" s="424"/>
    </row>
    <row r="10" spans="1:13" s="416" customFormat="1" ht="5" customHeight="1">
      <c r="A10" s="420"/>
      <c r="B10" s="1320"/>
      <c r="C10" s="1320"/>
      <c r="D10" s="421"/>
      <c r="E10" s="421"/>
      <c r="F10" s="421"/>
      <c r="G10" s="422"/>
      <c r="H10" s="422"/>
      <c r="I10" s="422"/>
      <c r="J10" s="422"/>
      <c r="K10" s="423"/>
      <c r="L10" s="424"/>
    </row>
    <row r="11" spans="1:13" s="416" customFormat="1" ht="8.25" customHeight="1" thickBot="1">
      <c r="A11" s="425"/>
      <c r="B11" s="1321"/>
      <c r="C11" s="1321"/>
      <c r="D11" s="426"/>
      <c r="E11" s="426"/>
      <c r="F11" s="427"/>
      <c r="G11" s="426"/>
      <c r="H11" s="426"/>
      <c r="I11" s="426"/>
      <c r="J11" s="426"/>
      <c r="K11" s="428"/>
      <c r="L11" s="424"/>
    </row>
    <row r="12" spans="1:13" s="416" customFormat="1" ht="8" customHeight="1">
      <c r="B12" s="429"/>
      <c r="C12" s="424"/>
      <c r="D12" s="424"/>
      <c r="E12" s="424"/>
      <c r="F12" s="424"/>
      <c r="G12" s="430"/>
      <c r="H12" s="430"/>
      <c r="I12" s="430"/>
      <c r="J12" s="430"/>
      <c r="K12" s="419"/>
      <c r="L12" s="424"/>
    </row>
    <row r="13" spans="1:13" s="416" customFormat="1" ht="13.75" customHeight="1">
      <c r="B13" s="431" t="s">
        <v>421</v>
      </c>
      <c r="C13" s="424"/>
      <c r="D13" s="424"/>
      <c r="E13" s="424"/>
      <c r="F13" s="424"/>
      <c r="G13" s="432"/>
      <c r="H13" s="432"/>
      <c r="I13" s="432"/>
      <c r="J13" s="432"/>
      <c r="K13" s="433"/>
      <c r="L13" s="424"/>
    </row>
    <row r="14" spans="1:13" s="416" customFormat="1" ht="13.75" customHeight="1">
      <c r="B14" s="434" t="s">
        <v>422</v>
      </c>
      <c r="C14" s="424"/>
      <c r="D14" s="424"/>
      <c r="E14" s="424"/>
      <c r="F14" s="424"/>
      <c r="G14" s="432"/>
      <c r="H14" s="432"/>
      <c r="I14" s="432"/>
      <c r="J14" s="432"/>
      <c r="K14" s="433"/>
      <c r="L14" s="424"/>
    </row>
    <row r="15" spans="1:13" s="416" customFormat="1" ht="7" customHeight="1">
      <c r="B15" s="434"/>
      <c r="C15" s="424"/>
      <c r="D15" s="424"/>
      <c r="E15" s="424"/>
      <c r="F15" s="424"/>
      <c r="G15" s="432"/>
      <c r="H15" s="432"/>
      <c r="I15" s="432"/>
      <c r="J15" s="432"/>
      <c r="K15" s="433"/>
      <c r="L15" s="424"/>
    </row>
    <row r="16" spans="1:13" s="416" customFormat="1" ht="15.5" customHeight="1">
      <c r="B16" s="435" t="s">
        <v>423</v>
      </c>
      <c r="C16" s="424"/>
      <c r="D16" s="424"/>
      <c r="E16" s="436" t="s">
        <v>424</v>
      </c>
      <c r="F16" s="436"/>
      <c r="G16" s="437">
        <v>5.66</v>
      </c>
      <c r="H16" s="437"/>
      <c r="I16" s="437">
        <v>5.75</v>
      </c>
      <c r="J16" s="437"/>
      <c r="K16" s="437">
        <v>5.81</v>
      </c>
      <c r="M16" s="434"/>
    </row>
    <row r="17" spans="2:13" s="416" customFormat="1" ht="15.5" customHeight="1">
      <c r="B17" s="435" t="s">
        <v>425</v>
      </c>
      <c r="D17" s="424"/>
      <c r="E17" s="436" t="s">
        <v>424</v>
      </c>
      <c r="F17" s="436"/>
      <c r="G17" s="437">
        <v>9.0399999999999991</v>
      </c>
      <c r="H17" s="437"/>
      <c r="I17" s="437">
        <v>8.8699999999999992</v>
      </c>
      <c r="J17" s="437"/>
      <c r="K17" s="437">
        <v>8.89</v>
      </c>
      <c r="L17" s="438"/>
      <c r="M17" s="434"/>
    </row>
    <row r="18" spans="2:13" s="416" customFormat="1" ht="15.5" customHeight="1">
      <c r="B18" s="435" t="s">
        <v>426</v>
      </c>
      <c r="C18" s="439"/>
      <c r="D18" s="424"/>
      <c r="E18" s="436" t="s">
        <v>424</v>
      </c>
      <c r="F18" s="436"/>
      <c r="G18" s="437">
        <v>6.63</v>
      </c>
      <c r="H18" s="437"/>
      <c r="I18" s="437">
        <v>6.55</v>
      </c>
      <c r="J18" s="437"/>
      <c r="K18" s="437">
        <v>6.68</v>
      </c>
      <c r="L18" s="440"/>
      <c r="M18" s="434"/>
    </row>
    <row r="19" spans="2:13" s="416" customFormat="1" ht="15.5" customHeight="1">
      <c r="B19" s="435" t="s">
        <v>427</v>
      </c>
      <c r="C19" s="439"/>
      <c r="D19" s="424"/>
      <c r="E19" s="436" t="s">
        <v>424</v>
      </c>
      <c r="F19" s="436"/>
      <c r="G19" s="437">
        <v>4.71</v>
      </c>
      <c r="H19" s="437"/>
      <c r="I19" s="437">
        <v>4.68</v>
      </c>
      <c r="J19" s="437"/>
      <c r="K19" s="437">
        <v>6.92</v>
      </c>
      <c r="L19" s="440"/>
      <c r="M19" s="434"/>
    </row>
    <row r="20" spans="2:13" s="416" customFormat="1" ht="15.5" customHeight="1">
      <c r="B20" s="435" t="s">
        <v>428</v>
      </c>
      <c r="C20" s="439"/>
      <c r="D20" s="424"/>
      <c r="E20" s="436" t="s">
        <v>429</v>
      </c>
      <c r="F20" s="436"/>
      <c r="G20" s="437">
        <v>2.98</v>
      </c>
      <c r="H20" s="437"/>
      <c r="I20" s="437">
        <v>2.91</v>
      </c>
      <c r="J20" s="437"/>
      <c r="K20" s="437">
        <v>3.14</v>
      </c>
      <c r="L20" s="440"/>
      <c r="M20" s="434"/>
    </row>
    <row r="21" spans="2:13" s="416" customFormat="1" ht="15.5" customHeight="1">
      <c r="B21" s="435" t="s">
        <v>430</v>
      </c>
      <c r="C21" s="439"/>
      <c r="D21" s="424"/>
      <c r="E21" s="436" t="s">
        <v>424</v>
      </c>
      <c r="F21" s="436"/>
      <c r="G21" s="437">
        <v>18.440000000000001</v>
      </c>
      <c r="H21" s="437"/>
      <c r="I21" s="437">
        <v>17.399999999999999</v>
      </c>
      <c r="J21" s="437"/>
      <c r="K21" s="437">
        <v>17.87</v>
      </c>
      <c r="L21" s="440"/>
      <c r="M21" s="434"/>
    </row>
    <row r="22" spans="2:13" s="416" customFormat="1" ht="15.5" customHeight="1">
      <c r="B22" s="435" t="s">
        <v>431</v>
      </c>
      <c r="C22" s="439"/>
      <c r="D22" s="424"/>
      <c r="E22" s="436" t="s">
        <v>424</v>
      </c>
      <c r="F22" s="436"/>
      <c r="G22" s="437">
        <v>16.78</v>
      </c>
      <c r="H22" s="437"/>
      <c r="I22" s="437">
        <v>15.79</v>
      </c>
      <c r="J22" s="437"/>
      <c r="K22" s="437">
        <v>15.69</v>
      </c>
      <c r="L22" s="440"/>
      <c r="M22" s="434"/>
    </row>
    <row r="23" spans="2:13" s="416" customFormat="1" ht="15.5" customHeight="1">
      <c r="B23" s="435" t="s">
        <v>432</v>
      </c>
      <c r="C23" s="439"/>
      <c r="D23" s="424"/>
      <c r="E23" s="436" t="s">
        <v>424</v>
      </c>
      <c r="F23" s="436"/>
      <c r="G23" s="437">
        <v>7.82</v>
      </c>
      <c r="H23" s="437"/>
      <c r="I23" s="437">
        <v>7.8</v>
      </c>
      <c r="J23" s="437"/>
      <c r="K23" s="437">
        <v>8.1199999999999992</v>
      </c>
      <c r="L23" s="440"/>
      <c r="M23" s="434"/>
    </row>
    <row r="24" spans="2:13" s="416" customFormat="1" ht="15.5" customHeight="1">
      <c r="B24" s="435" t="s">
        <v>433</v>
      </c>
      <c r="C24" s="439"/>
      <c r="D24" s="424"/>
      <c r="E24" s="436" t="s">
        <v>424</v>
      </c>
      <c r="F24" s="436"/>
      <c r="G24" s="437">
        <v>11.86</v>
      </c>
      <c r="H24" s="437"/>
      <c r="I24" s="437">
        <v>11.6</v>
      </c>
      <c r="J24" s="437"/>
      <c r="K24" s="437">
        <v>11.8</v>
      </c>
      <c r="L24" s="440"/>
      <c r="M24" s="434"/>
    </row>
    <row r="25" spans="2:13" s="416" customFormat="1" ht="15.5" customHeight="1">
      <c r="B25" s="435" t="s">
        <v>434</v>
      </c>
      <c r="C25" s="439"/>
      <c r="D25" s="424"/>
      <c r="E25" s="436" t="s">
        <v>424</v>
      </c>
      <c r="F25" s="436"/>
      <c r="G25" s="437">
        <v>5</v>
      </c>
      <c r="H25" s="437"/>
      <c r="I25" s="437">
        <v>4.8</v>
      </c>
      <c r="J25" s="437"/>
      <c r="K25" s="437">
        <v>5.13</v>
      </c>
      <c r="L25" s="440"/>
      <c r="M25" s="434"/>
    </row>
    <row r="26" spans="2:13" s="416" customFormat="1" ht="15.5" customHeight="1">
      <c r="B26" s="435" t="s">
        <v>435</v>
      </c>
      <c r="C26" s="439"/>
      <c r="D26" s="424"/>
      <c r="E26" s="436" t="s">
        <v>424</v>
      </c>
      <c r="F26" s="436"/>
      <c r="G26" s="437">
        <v>10.69</v>
      </c>
      <c r="H26" s="437"/>
      <c r="I26" s="437">
        <v>10.38</v>
      </c>
      <c r="J26" s="437"/>
      <c r="K26" s="437">
        <v>10.47</v>
      </c>
      <c r="L26" s="440"/>
      <c r="M26" s="434"/>
    </row>
    <row r="27" spans="2:13" s="416" customFormat="1" ht="15.5" customHeight="1">
      <c r="B27" s="435" t="s">
        <v>436</v>
      </c>
      <c r="C27" s="439"/>
      <c r="D27" s="424"/>
      <c r="E27" s="436" t="s">
        <v>424</v>
      </c>
      <c r="F27" s="436"/>
      <c r="G27" s="437">
        <v>5.14</v>
      </c>
      <c r="H27" s="437"/>
      <c r="I27" s="437">
        <v>4.8</v>
      </c>
      <c r="J27" s="437"/>
      <c r="K27" s="437">
        <v>4.82</v>
      </c>
      <c r="L27" s="440"/>
      <c r="M27" s="434"/>
    </row>
    <row r="28" spans="2:13" s="416" customFormat="1" ht="15.5" customHeight="1">
      <c r="B28" s="435" t="s">
        <v>437</v>
      </c>
      <c r="C28" s="439"/>
      <c r="D28" s="424"/>
      <c r="E28" s="436" t="s">
        <v>424</v>
      </c>
      <c r="F28" s="436"/>
      <c r="G28" s="437" t="s">
        <v>438</v>
      </c>
      <c r="H28" s="437"/>
      <c r="I28" s="437" t="s">
        <v>438</v>
      </c>
      <c r="J28" s="437"/>
      <c r="K28" s="437">
        <v>7.35</v>
      </c>
      <c r="L28" s="440"/>
      <c r="M28" s="434"/>
    </row>
    <row r="29" spans="2:13" s="416" customFormat="1" ht="15.5" customHeight="1">
      <c r="B29" s="435" t="s">
        <v>439</v>
      </c>
      <c r="C29" s="439"/>
      <c r="D29" s="424"/>
      <c r="E29" s="436" t="s">
        <v>424</v>
      </c>
      <c r="F29" s="436"/>
      <c r="G29" s="437">
        <v>6.28</v>
      </c>
      <c r="H29" s="437"/>
      <c r="I29" s="437">
        <v>7.22</v>
      </c>
      <c r="J29" s="437"/>
      <c r="K29" s="437">
        <v>6.51</v>
      </c>
      <c r="L29" s="440"/>
      <c r="M29" s="434"/>
    </row>
    <row r="30" spans="2:13" s="416" customFormat="1" ht="15.5" customHeight="1">
      <c r="B30" s="435" t="s">
        <v>440</v>
      </c>
      <c r="C30" s="439"/>
      <c r="D30" s="424"/>
      <c r="E30" s="436" t="s">
        <v>424</v>
      </c>
      <c r="F30" s="436"/>
      <c r="G30" s="437">
        <v>8.5500000000000007</v>
      </c>
      <c r="H30" s="437"/>
      <c r="I30" s="437">
        <v>8.26</v>
      </c>
      <c r="J30" s="437"/>
      <c r="K30" s="437">
        <v>8.4700000000000006</v>
      </c>
      <c r="L30" s="440"/>
      <c r="M30" s="434"/>
    </row>
    <row r="31" spans="2:13" s="416" customFormat="1" ht="15.5" customHeight="1">
      <c r="B31" s="435" t="s">
        <v>441</v>
      </c>
      <c r="C31" s="439"/>
      <c r="D31" s="424"/>
      <c r="E31" s="436" t="s">
        <v>424</v>
      </c>
      <c r="F31" s="436"/>
      <c r="G31" s="437">
        <v>4.0999999999999996</v>
      </c>
      <c r="H31" s="437"/>
      <c r="I31" s="437">
        <v>4.16</v>
      </c>
      <c r="J31" s="437"/>
      <c r="K31" s="437">
        <v>4.3099999999999996</v>
      </c>
      <c r="L31" s="440"/>
      <c r="M31" s="434"/>
    </row>
    <row r="32" spans="2:13" s="416" customFormat="1" ht="7" customHeight="1">
      <c r="B32" s="441"/>
      <c r="C32" s="439"/>
      <c r="D32" s="439"/>
      <c r="E32" s="442"/>
      <c r="F32" s="442"/>
      <c r="G32" s="437"/>
      <c r="H32" s="437"/>
      <c r="I32" s="437"/>
      <c r="J32" s="437"/>
      <c r="K32" s="443"/>
      <c r="L32" s="440"/>
      <c r="M32" s="444"/>
    </row>
    <row r="33" spans="1:14" s="416" customFormat="1" ht="13.75" customHeight="1">
      <c r="B33" s="431" t="s">
        <v>442</v>
      </c>
      <c r="C33" s="439"/>
      <c r="D33" s="439"/>
      <c r="E33" s="442"/>
      <c r="F33" s="442"/>
      <c r="G33" s="437"/>
      <c r="H33" s="437"/>
      <c r="I33" s="437"/>
      <c r="J33" s="437"/>
      <c r="K33" s="443"/>
      <c r="L33" s="440"/>
      <c r="M33" s="444"/>
    </row>
    <row r="34" spans="1:14" s="416" customFormat="1" ht="13.75" customHeight="1">
      <c r="B34" s="434" t="s">
        <v>443</v>
      </c>
      <c r="C34" s="439"/>
      <c r="D34" s="439"/>
      <c r="E34" s="442"/>
      <c r="F34" s="442"/>
      <c r="G34" s="437"/>
      <c r="H34" s="437"/>
      <c r="I34" s="437"/>
      <c r="J34" s="437"/>
      <c r="K34" s="443"/>
      <c r="L34" s="440"/>
      <c r="M34" s="444"/>
    </row>
    <row r="35" spans="1:14" s="416" customFormat="1" ht="7" customHeight="1">
      <c r="B35" s="431"/>
      <c r="C35" s="439"/>
      <c r="D35" s="439"/>
      <c r="E35" s="442"/>
      <c r="F35" s="442"/>
      <c r="G35" s="437"/>
      <c r="H35" s="437"/>
      <c r="I35" s="437"/>
      <c r="J35" s="437"/>
      <c r="K35" s="443"/>
      <c r="L35" s="440"/>
      <c r="M35" s="444"/>
    </row>
    <row r="36" spans="1:14" s="416" customFormat="1" ht="15.5" customHeight="1">
      <c r="B36" s="435" t="s">
        <v>444</v>
      </c>
      <c r="C36" s="445"/>
      <c r="D36" s="439"/>
      <c r="E36" s="436" t="s">
        <v>445</v>
      </c>
      <c r="F36" s="436"/>
      <c r="G36" s="437">
        <v>2.0499999999999998</v>
      </c>
      <c r="H36" s="437"/>
      <c r="I36" s="437">
        <v>2.23</v>
      </c>
      <c r="J36" s="437"/>
      <c r="K36" s="437">
        <v>2.37</v>
      </c>
      <c r="L36" s="418"/>
      <c r="M36" s="440"/>
      <c r="N36" s="444"/>
    </row>
    <row r="37" spans="1:14" s="416" customFormat="1" ht="15.5" customHeight="1">
      <c r="B37" s="435" t="s">
        <v>446</v>
      </c>
      <c r="C37" s="445"/>
      <c r="D37" s="439"/>
      <c r="E37" s="436" t="s">
        <v>445</v>
      </c>
      <c r="F37" s="436"/>
      <c r="G37" s="437">
        <v>1.27</v>
      </c>
      <c r="H37" s="437"/>
      <c r="I37" s="437">
        <v>1.33</v>
      </c>
      <c r="J37" s="437"/>
      <c r="K37" s="437">
        <v>1.46</v>
      </c>
      <c r="L37" s="446"/>
      <c r="M37" s="440"/>
      <c r="N37" s="444"/>
    </row>
    <row r="38" spans="1:14" s="416" customFormat="1" ht="15.5" customHeight="1">
      <c r="B38" s="435" t="s">
        <v>447</v>
      </c>
      <c r="C38" s="445"/>
      <c r="D38" s="439"/>
      <c r="E38" s="436" t="s">
        <v>445</v>
      </c>
      <c r="F38" s="436"/>
      <c r="G38" s="437">
        <v>1.36</v>
      </c>
      <c r="H38" s="437"/>
      <c r="I38" s="437">
        <v>1.47</v>
      </c>
      <c r="J38" s="437"/>
      <c r="K38" s="437">
        <v>1.52</v>
      </c>
      <c r="L38" s="418"/>
      <c r="M38" s="440"/>
      <c r="N38" s="444"/>
    </row>
    <row r="39" spans="1:14" s="416" customFormat="1" ht="15.5" customHeight="1">
      <c r="B39" s="435" t="s">
        <v>448</v>
      </c>
      <c r="C39" s="445"/>
      <c r="D39" s="439"/>
      <c r="E39" s="436" t="s">
        <v>424</v>
      </c>
      <c r="F39" s="436"/>
      <c r="G39" s="437">
        <v>4.24</v>
      </c>
      <c r="H39" s="437"/>
      <c r="I39" s="437">
        <v>4.9000000000000004</v>
      </c>
      <c r="J39" s="437"/>
      <c r="K39" s="437">
        <v>4.9400000000000004</v>
      </c>
      <c r="M39" s="440"/>
      <c r="N39" s="444"/>
    </row>
    <row r="40" spans="1:14" s="416" customFormat="1" ht="15.5" customHeight="1">
      <c r="A40" s="438"/>
      <c r="B40" s="435" t="s">
        <v>449</v>
      </c>
      <c r="C40" s="445"/>
      <c r="D40" s="438"/>
      <c r="E40" s="436" t="s">
        <v>424</v>
      </c>
      <c r="F40" s="436"/>
      <c r="G40" s="437">
        <v>4.49</v>
      </c>
      <c r="H40" s="437"/>
      <c r="I40" s="437">
        <v>4.92</v>
      </c>
      <c r="J40" s="437"/>
      <c r="K40" s="437">
        <v>5.26</v>
      </c>
      <c r="L40" s="438"/>
      <c r="M40" s="438"/>
      <c r="N40" s="438"/>
    </row>
    <row r="41" spans="1:14" s="416" customFormat="1" ht="15.5" customHeight="1">
      <c r="B41" s="435" t="s">
        <v>450</v>
      </c>
      <c r="C41" s="445"/>
      <c r="E41" s="436" t="s">
        <v>424</v>
      </c>
      <c r="F41" s="436"/>
      <c r="G41" s="437">
        <v>4.83</v>
      </c>
      <c r="H41" s="437"/>
      <c r="I41" s="437">
        <v>5.45</v>
      </c>
      <c r="J41" s="437"/>
      <c r="K41" s="437">
        <v>5.74</v>
      </c>
      <c r="L41" s="438"/>
      <c r="N41" s="438"/>
    </row>
    <row r="42" spans="1:14" s="416" customFormat="1" ht="15.5" customHeight="1">
      <c r="B42" s="435" t="s">
        <v>451</v>
      </c>
      <c r="C42" s="445"/>
      <c r="E42" s="436" t="s">
        <v>424</v>
      </c>
      <c r="F42" s="436"/>
      <c r="G42" s="437" t="s">
        <v>438</v>
      </c>
      <c r="H42" s="437"/>
      <c r="I42" s="437" t="s">
        <v>438</v>
      </c>
      <c r="J42" s="437"/>
      <c r="K42" s="437">
        <v>6</v>
      </c>
      <c r="L42" s="438"/>
      <c r="N42" s="438"/>
    </row>
    <row r="43" spans="1:14" s="416" customFormat="1" ht="15.5" customHeight="1">
      <c r="B43" s="435" t="s">
        <v>452</v>
      </c>
      <c r="C43" s="445"/>
      <c r="E43" s="436" t="s">
        <v>424</v>
      </c>
      <c r="F43" s="436"/>
      <c r="G43" s="437">
        <v>5.23</v>
      </c>
      <c r="H43" s="437"/>
      <c r="I43" s="437">
        <v>6.13</v>
      </c>
      <c r="J43" s="437"/>
      <c r="K43" s="437">
        <v>6.24</v>
      </c>
      <c r="L43" s="438"/>
      <c r="M43" s="447"/>
      <c r="N43" s="438"/>
    </row>
    <row r="44" spans="1:14" s="416" customFormat="1" ht="15.5" customHeight="1">
      <c r="B44" s="435" t="s">
        <v>453</v>
      </c>
      <c r="C44" s="445"/>
      <c r="E44" s="436" t="s">
        <v>424</v>
      </c>
      <c r="F44" s="436"/>
      <c r="G44" s="437">
        <v>3.69</v>
      </c>
      <c r="H44" s="437"/>
      <c r="I44" s="437">
        <v>3.9</v>
      </c>
      <c r="J44" s="437"/>
      <c r="K44" s="437">
        <v>3.75</v>
      </c>
      <c r="L44" s="438"/>
      <c r="M44" s="447"/>
      <c r="N44" s="438"/>
    </row>
    <row r="45" spans="1:14" s="416" customFormat="1" ht="7" customHeight="1">
      <c r="B45" s="448"/>
      <c r="C45" s="445"/>
      <c r="E45" s="417"/>
      <c r="F45" s="417"/>
      <c r="G45" s="437"/>
      <c r="H45" s="437"/>
      <c r="I45" s="437"/>
      <c r="J45" s="437"/>
      <c r="K45" s="443"/>
      <c r="L45" s="447"/>
      <c r="M45" s="438"/>
    </row>
    <row r="46" spans="1:14" s="416" customFormat="1" ht="13.75" customHeight="1">
      <c r="B46" s="449" t="s">
        <v>454</v>
      </c>
      <c r="C46" s="445"/>
      <c r="E46" s="417"/>
      <c r="F46" s="417"/>
      <c r="G46" s="437"/>
      <c r="H46" s="437"/>
      <c r="I46" s="437"/>
      <c r="J46" s="437"/>
      <c r="K46" s="443"/>
      <c r="L46" s="438"/>
      <c r="M46" s="438"/>
    </row>
    <row r="47" spans="1:14" s="416" customFormat="1" ht="13.75" customHeight="1">
      <c r="B47" s="450" t="s">
        <v>455</v>
      </c>
      <c r="C47" s="445"/>
      <c r="E47" s="417"/>
      <c r="F47" s="417"/>
      <c r="G47" s="437"/>
      <c r="H47" s="437"/>
      <c r="I47" s="437"/>
      <c r="J47" s="437"/>
      <c r="K47" s="443"/>
      <c r="L47" s="438"/>
      <c r="M47" s="438"/>
    </row>
    <row r="48" spans="1:14" s="416" customFormat="1" ht="7" customHeight="1">
      <c r="B48" s="450"/>
      <c r="C48" s="445"/>
      <c r="E48" s="417"/>
      <c r="F48" s="417"/>
      <c r="G48" s="437"/>
      <c r="H48" s="437"/>
      <c r="I48" s="437"/>
      <c r="J48" s="437"/>
      <c r="K48" s="443"/>
      <c r="L48" s="438"/>
      <c r="M48" s="438"/>
    </row>
    <row r="49" spans="1:16" s="416" customFormat="1" ht="15.5" customHeight="1">
      <c r="B49" s="435" t="s">
        <v>456</v>
      </c>
      <c r="C49" s="445"/>
      <c r="E49" s="436" t="s">
        <v>424</v>
      </c>
      <c r="F49" s="436"/>
      <c r="G49" s="437">
        <v>7.8</v>
      </c>
      <c r="H49" s="437"/>
      <c r="I49" s="437">
        <v>8.02</v>
      </c>
      <c r="J49" s="437"/>
      <c r="K49" s="437">
        <v>8.33</v>
      </c>
      <c r="L49" s="438"/>
      <c r="M49" s="438"/>
    </row>
    <row r="50" spans="1:16" s="416" customFormat="1" ht="15.5" customHeight="1">
      <c r="B50" s="435" t="s">
        <v>457</v>
      </c>
      <c r="C50" s="445"/>
      <c r="D50" s="451"/>
      <c r="E50" s="436" t="s">
        <v>424</v>
      </c>
      <c r="F50" s="436"/>
      <c r="G50" s="437">
        <v>10.86</v>
      </c>
      <c r="H50" s="437"/>
      <c r="I50" s="437">
        <v>11.09</v>
      </c>
      <c r="J50" s="437"/>
      <c r="K50" s="437">
        <v>11.54</v>
      </c>
      <c r="L50" s="438"/>
      <c r="M50" s="438"/>
    </row>
    <row r="51" spans="1:16" s="416" customFormat="1" ht="15.5" customHeight="1">
      <c r="A51" s="438"/>
      <c r="B51" s="435" t="s">
        <v>458</v>
      </c>
      <c r="C51" s="445"/>
      <c r="D51" s="451"/>
      <c r="E51" s="436" t="s">
        <v>459</v>
      </c>
      <c r="F51" s="436"/>
      <c r="G51" s="437">
        <v>4.57</v>
      </c>
      <c r="H51" s="437"/>
      <c r="I51" s="437">
        <v>4.7</v>
      </c>
      <c r="J51" s="437"/>
      <c r="K51" s="437">
        <v>4.63</v>
      </c>
      <c r="L51" s="452"/>
      <c r="M51" s="452"/>
      <c r="N51" s="452"/>
      <c r="O51" s="447"/>
      <c r="P51" s="438"/>
    </row>
    <row r="52" spans="1:16" s="416" customFormat="1" ht="15.5" customHeight="1">
      <c r="A52" s="438"/>
      <c r="B52" s="435" t="s">
        <v>460</v>
      </c>
      <c r="C52" s="445"/>
      <c r="D52" s="453"/>
      <c r="E52" s="436" t="s">
        <v>459</v>
      </c>
      <c r="F52" s="436"/>
      <c r="G52" s="437">
        <v>4.3600000000000003</v>
      </c>
      <c r="H52" s="437"/>
      <c r="I52" s="437">
        <v>4.53</v>
      </c>
      <c r="J52" s="437"/>
      <c r="K52" s="437">
        <v>4.49</v>
      </c>
      <c r="L52" s="438"/>
      <c r="M52" s="452"/>
      <c r="N52" s="452"/>
      <c r="O52" s="438"/>
      <c r="P52" s="438"/>
    </row>
    <row r="53" spans="1:16" s="416" customFormat="1" ht="15.5" customHeight="1">
      <c r="B53" s="435" t="s">
        <v>461</v>
      </c>
      <c r="C53" s="445"/>
      <c r="D53" s="453"/>
      <c r="E53" s="436" t="s">
        <v>459</v>
      </c>
      <c r="F53" s="436"/>
      <c r="G53" s="437">
        <v>4.17</v>
      </c>
      <c r="H53" s="437"/>
      <c r="I53" s="437">
        <v>4.33</v>
      </c>
      <c r="J53" s="437"/>
      <c r="K53" s="437">
        <v>4.22</v>
      </c>
    </row>
    <row r="54" spans="1:16" s="416" customFormat="1" ht="7" customHeight="1">
      <c r="B54" s="454"/>
      <c r="C54" s="445"/>
      <c r="E54" s="417"/>
      <c r="F54" s="417"/>
      <c r="G54" s="437"/>
      <c r="H54" s="437"/>
      <c r="I54" s="437"/>
      <c r="J54" s="437"/>
      <c r="K54" s="443"/>
    </row>
    <row r="55" spans="1:16" s="416" customFormat="1" ht="13.75" customHeight="1">
      <c r="B55" s="449" t="s">
        <v>462</v>
      </c>
      <c r="C55" s="445"/>
      <c r="E55" s="417"/>
      <c r="F55" s="417"/>
      <c r="G55" s="437"/>
      <c r="H55" s="437"/>
      <c r="I55" s="437"/>
      <c r="J55" s="437"/>
      <c r="K55" s="443"/>
    </row>
    <row r="56" spans="1:16" s="416" customFormat="1" ht="13.75" customHeight="1">
      <c r="B56" s="450" t="s">
        <v>463</v>
      </c>
      <c r="C56" s="445"/>
      <c r="E56" s="417"/>
      <c r="F56" s="417"/>
      <c r="G56" s="437"/>
      <c r="H56" s="437"/>
      <c r="I56" s="437"/>
      <c r="J56" s="437"/>
      <c r="K56" s="443"/>
    </row>
    <row r="57" spans="1:16" s="416" customFormat="1" ht="7" customHeight="1">
      <c r="B57" s="449"/>
      <c r="C57" s="445"/>
      <c r="E57" s="417"/>
      <c r="F57" s="417"/>
      <c r="G57" s="437"/>
      <c r="H57" s="437"/>
      <c r="I57" s="437"/>
      <c r="J57" s="437"/>
      <c r="K57" s="443"/>
    </row>
    <row r="58" spans="1:16" s="416" customFormat="1" ht="15.5" customHeight="1">
      <c r="B58" s="435" t="s">
        <v>464</v>
      </c>
      <c r="C58" s="445"/>
      <c r="E58" s="436" t="s">
        <v>424</v>
      </c>
      <c r="F58" s="436"/>
      <c r="G58" s="437">
        <v>28.86</v>
      </c>
      <c r="H58" s="437"/>
      <c r="I58" s="437">
        <v>29.78</v>
      </c>
      <c r="J58" s="437"/>
      <c r="K58" s="437">
        <v>27.23</v>
      </c>
    </row>
    <row r="59" spans="1:16" s="416" customFormat="1" ht="15.5" customHeight="1">
      <c r="B59" s="435" t="s">
        <v>465</v>
      </c>
      <c r="C59" s="445"/>
      <c r="E59" s="436" t="s">
        <v>424</v>
      </c>
      <c r="F59" s="436"/>
      <c r="G59" s="437">
        <v>11.08</v>
      </c>
      <c r="H59" s="437"/>
      <c r="I59" s="437">
        <v>11.41</v>
      </c>
      <c r="J59" s="437"/>
      <c r="K59" s="437">
        <v>10.85</v>
      </c>
    </row>
    <row r="60" spans="1:16" s="416" customFormat="1" ht="15.5" customHeight="1">
      <c r="B60" s="435" t="s">
        <v>466</v>
      </c>
      <c r="C60" s="445"/>
      <c r="E60" s="436" t="s">
        <v>424</v>
      </c>
      <c r="F60" s="436"/>
      <c r="G60" s="437">
        <v>16.75</v>
      </c>
      <c r="H60" s="437"/>
      <c r="I60" s="437">
        <v>16.989999999999998</v>
      </c>
      <c r="J60" s="437"/>
      <c r="K60" s="437">
        <v>16.329999999999998</v>
      </c>
    </row>
    <row r="61" spans="1:16" s="416" customFormat="1" ht="15.5" customHeight="1">
      <c r="B61" s="435" t="s">
        <v>467</v>
      </c>
      <c r="C61" s="445"/>
      <c r="E61" s="436" t="s">
        <v>424</v>
      </c>
      <c r="F61" s="436"/>
      <c r="G61" s="437">
        <v>15.51</v>
      </c>
      <c r="H61" s="437"/>
      <c r="I61" s="437">
        <v>15.77</v>
      </c>
      <c r="J61" s="437"/>
      <c r="K61" s="437">
        <v>15.2</v>
      </c>
    </row>
    <row r="62" spans="1:16" s="416" customFormat="1" ht="15.5" customHeight="1">
      <c r="B62" s="435" t="s">
        <v>468</v>
      </c>
      <c r="C62" s="445"/>
      <c r="E62" s="436" t="s">
        <v>424</v>
      </c>
      <c r="F62" s="436"/>
      <c r="G62" s="437">
        <v>37.44</v>
      </c>
      <c r="H62" s="437"/>
      <c r="I62" s="437">
        <v>38.880000000000003</v>
      </c>
      <c r="J62" s="437"/>
      <c r="K62" s="437">
        <v>37.44</v>
      </c>
    </row>
    <row r="63" spans="1:16" s="416" customFormat="1" ht="15.5" customHeight="1">
      <c r="B63" s="435" t="s">
        <v>469</v>
      </c>
      <c r="C63" s="445"/>
      <c r="E63" s="436" t="s">
        <v>424</v>
      </c>
      <c r="F63" s="436"/>
      <c r="G63" s="437">
        <v>35.32</v>
      </c>
      <c r="H63" s="437"/>
      <c r="I63" s="437">
        <v>37.03</v>
      </c>
      <c r="J63" s="437"/>
      <c r="K63" s="437">
        <v>35.57</v>
      </c>
    </row>
    <row r="64" spans="1:16" s="416" customFormat="1" ht="15.5" customHeight="1">
      <c r="B64" s="435" t="s">
        <v>470</v>
      </c>
      <c r="C64" s="445"/>
      <c r="E64" s="436" t="s">
        <v>424</v>
      </c>
      <c r="F64" s="436"/>
      <c r="G64" s="437">
        <v>13.59</v>
      </c>
      <c r="H64" s="437"/>
      <c r="I64" s="437">
        <v>13.82</v>
      </c>
      <c r="J64" s="437"/>
      <c r="K64" s="437">
        <v>13.26</v>
      </c>
    </row>
    <row r="65" spans="2:11" s="416" customFormat="1" ht="15.5" customHeight="1">
      <c r="B65" s="435" t="s">
        <v>471</v>
      </c>
      <c r="C65" s="445"/>
      <c r="E65" s="436" t="s">
        <v>424</v>
      </c>
      <c r="F65" s="436"/>
      <c r="G65" s="437">
        <v>12.03</v>
      </c>
      <c r="H65" s="437"/>
      <c r="I65" s="437">
        <v>12.19</v>
      </c>
      <c r="J65" s="437"/>
      <c r="K65" s="437">
        <v>11.65</v>
      </c>
    </row>
    <row r="66" spans="2:11" s="416" customFormat="1" ht="15.5" customHeight="1">
      <c r="B66" s="435" t="s">
        <v>472</v>
      </c>
      <c r="C66" s="445"/>
      <c r="E66" s="436" t="s">
        <v>424</v>
      </c>
      <c r="F66" s="436"/>
      <c r="G66" s="437">
        <v>20.81</v>
      </c>
      <c r="H66" s="437"/>
      <c r="I66" s="437">
        <v>20.2</v>
      </c>
      <c r="J66" s="437"/>
      <c r="K66" s="437">
        <v>18.98</v>
      </c>
    </row>
    <row r="67" spans="2:11" s="416" customFormat="1" ht="15.5" customHeight="1">
      <c r="B67" s="435" t="s">
        <v>473</v>
      </c>
      <c r="C67" s="445"/>
      <c r="E67" s="436" t="s">
        <v>424</v>
      </c>
      <c r="F67" s="436"/>
      <c r="G67" s="437">
        <v>9.82</v>
      </c>
      <c r="H67" s="437"/>
      <c r="I67" s="437">
        <v>10.28</v>
      </c>
      <c r="J67" s="437"/>
      <c r="K67" s="437">
        <v>10.36</v>
      </c>
    </row>
    <row r="68" spans="2:11" s="416" customFormat="1" ht="15.5" customHeight="1">
      <c r="B68" s="435" t="s">
        <v>474</v>
      </c>
      <c r="C68" s="445"/>
      <c r="E68" s="436" t="s">
        <v>424</v>
      </c>
      <c r="F68" s="436"/>
      <c r="G68" s="437">
        <v>36.97</v>
      </c>
      <c r="H68" s="437"/>
      <c r="I68" s="437">
        <v>37.9</v>
      </c>
      <c r="J68" s="437"/>
      <c r="K68" s="437">
        <v>37.840000000000003</v>
      </c>
    </row>
    <row r="69" spans="2:11" s="416" customFormat="1" ht="7" customHeight="1">
      <c r="B69" s="454"/>
      <c r="C69" s="445"/>
      <c r="E69" s="417"/>
      <c r="F69" s="417"/>
      <c r="G69" s="437"/>
      <c r="H69" s="437"/>
      <c r="I69" s="437"/>
      <c r="J69" s="437"/>
      <c r="K69" s="443"/>
    </row>
    <row r="70" spans="2:11" s="416" customFormat="1" ht="13.75" customHeight="1">
      <c r="B70" s="449" t="s">
        <v>475</v>
      </c>
      <c r="C70" s="445"/>
      <c r="E70" s="417"/>
      <c r="F70" s="417"/>
      <c r="G70" s="437"/>
      <c r="H70" s="437"/>
      <c r="I70" s="437"/>
      <c r="J70" s="437"/>
      <c r="K70" s="443"/>
    </row>
    <row r="71" spans="2:11" s="416" customFormat="1" ht="13.75" customHeight="1">
      <c r="B71" s="450" t="s">
        <v>476</v>
      </c>
      <c r="C71" s="445"/>
      <c r="E71" s="417"/>
      <c r="F71" s="417"/>
      <c r="G71" s="437"/>
      <c r="H71" s="437"/>
      <c r="I71" s="437"/>
      <c r="J71" s="437"/>
      <c r="K71" s="443"/>
    </row>
    <row r="72" spans="2:11" s="416" customFormat="1" ht="7" customHeight="1">
      <c r="B72" s="450"/>
      <c r="C72" s="445"/>
      <c r="E72" s="417"/>
      <c r="F72" s="417"/>
      <c r="G72" s="437"/>
      <c r="H72" s="437"/>
      <c r="I72" s="437"/>
      <c r="J72" s="437"/>
      <c r="K72" s="443"/>
    </row>
    <row r="73" spans="2:11" s="416" customFormat="1" ht="15.5" customHeight="1">
      <c r="B73" s="435" t="s">
        <v>477</v>
      </c>
      <c r="C73" s="445"/>
      <c r="E73" s="436" t="s">
        <v>424</v>
      </c>
      <c r="F73" s="436"/>
      <c r="G73" s="437">
        <v>34.14</v>
      </c>
      <c r="H73" s="437"/>
      <c r="I73" s="437">
        <v>34</v>
      </c>
      <c r="J73" s="437"/>
      <c r="K73" s="437">
        <v>32.450000000000003</v>
      </c>
    </row>
    <row r="74" spans="2:11" s="416" customFormat="1" ht="15.5" customHeight="1">
      <c r="B74" s="435" t="s">
        <v>478</v>
      </c>
      <c r="C74" s="445"/>
      <c r="E74" s="436" t="s">
        <v>424</v>
      </c>
      <c r="F74" s="436"/>
      <c r="G74" s="437">
        <v>30.83</v>
      </c>
      <c r="H74" s="437"/>
      <c r="I74" s="437">
        <v>31.23</v>
      </c>
      <c r="J74" s="437"/>
      <c r="K74" s="437">
        <v>30.89</v>
      </c>
    </row>
    <row r="75" spans="2:11" s="416" customFormat="1" ht="15.5" customHeight="1">
      <c r="B75" s="435" t="s">
        <v>479</v>
      </c>
      <c r="C75" s="445"/>
      <c r="E75" s="436" t="s">
        <v>424</v>
      </c>
      <c r="F75" s="436"/>
      <c r="G75" s="437">
        <v>32.69</v>
      </c>
      <c r="H75" s="437"/>
      <c r="I75" s="437">
        <v>33.43</v>
      </c>
      <c r="J75" s="437"/>
      <c r="K75" s="437">
        <v>32.950000000000003</v>
      </c>
    </row>
    <row r="76" spans="2:11" s="416" customFormat="1" ht="7" customHeight="1">
      <c r="B76" s="454"/>
      <c r="C76" s="445"/>
      <c r="E76" s="417"/>
      <c r="F76" s="417"/>
      <c r="G76" s="437"/>
      <c r="H76" s="437"/>
      <c r="I76" s="437"/>
      <c r="J76" s="437"/>
      <c r="K76" s="437"/>
    </row>
    <row r="77" spans="2:11" s="416" customFormat="1" ht="13.75" customHeight="1">
      <c r="B77" s="449" t="s">
        <v>480</v>
      </c>
      <c r="C77" s="445"/>
      <c r="E77" s="417"/>
      <c r="F77" s="417"/>
      <c r="G77" s="437"/>
      <c r="H77" s="437"/>
      <c r="I77" s="437"/>
      <c r="J77" s="437"/>
      <c r="K77" s="437"/>
    </row>
    <row r="78" spans="2:11" s="416" customFormat="1" ht="13.75" customHeight="1">
      <c r="B78" s="450" t="s">
        <v>389</v>
      </c>
      <c r="C78" s="445"/>
      <c r="E78" s="417"/>
      <c r="F78" s="417"/>
      <c r="G78" s="437"/>
      <c r="H78" s="437"/>
      <c r="I78" s="437"/>
      <c r="J78" s="437"/>
      <c r="K78" s="437"/>
    </row>
    <row r="79" spans="2:11" s="416" customFormat="1" ht="7" customHeight="1">
      <c r="B79" s="450"/>
      <c r="C79" s="445"/>
      <c r="E79" s="417"/>
      <c r="F79" s="417"/>
      <c r="G79" s="437"/>
      <c r="H79" s="437"/>
      <c r="I79" s="437"/>
      <c r="J79" s="437"/>
      <c r="K79" s="437"/>
    </row>
    <row r="80" spans="2:11" s="416" customFormat="1" ht="15.5" customHeight="1">
      <c r="B80" s="441" t="s">
        <v>481</v>
      </c>
      <c r="C80" s="445"/>
      <c r="E80" s="436" t="s">
        <v>482</v>
      </c>
      <c r="F80" s="436"/>
      <c r="G80" s="437">
        <v>3.23</v>
      </c>
      <c r="H80" s="437"/>
      <c r="I80" s="437">
        <v>3.51</v>
      </c>
      <c r="J80" s="437"/>
      <c r="K80" s="437">
        <v>3.68</v>
      </c>
    </row>
    <row r="81" spans="1:12" s="416" customFormat="1" ht="15.5" customHeight="1">
      <c r="B81" s="435" t="s">
        <v>483</v>
      </c>
      <c r="C81" s="445"/>
      <c r="E81" s="436" t="s">
        <v>484</v>
      </c>
      <c r="F81" s="436"/>
      <c r="G81" s="437">
        <v>1.69</v>
      </c>
      <c r="H81" s="437"/>
      <c r="I81" s="437">
        <v>1.84</v>
      </c>
      <c r="J81" s="437"/>
      <c r="K81" s="437">
        <v>1.98</v>
      </c>
    </row>
    <row r="82" spans="1:12" s="416" customFormat="1" ht="15.5" customHeight="1">
      <c r="B82" s="435" t="s">
        <v>485</v>
      </c>
      <c r="C82" s="445"/>
      <c r="E82" s="436" t="s">
        <v>484</v>
      </c>
      <c r="F82" s="436"/>
      <c r="G82" s="437">
        <v>5.83</v>
      </c>
      <c r="H82" s="437"/>
      <c r="I82" s="437">
        <v>6.29</v>
      </c>
      <c r="J82" s="437"/>
      <c r="K82" s="437">
        <v>6.64</v>
      </c>
    </row>
    <row r="83" spans="1:12" s="416" customFormat="1" ht="15.5" customHeight="1">
      <c r="B83" s="435" t="s">
        <v>486</v>
      </c>
      <c r="C83" s="445"/>
      <c r="E83" s="436" t="s">
        <v>484</v>
      </c>
      <c r="F83" s="436"/>
      <c r="G83" s="437">
        <v>5.86</v>
      </c>
      <c r="H83" s="437"/>
      <c r="I83" s="437">
        <v>6.36</v>
      </c>
      <c r="J83" s="437"/>
      <c r="K83" s="437">
        <v>6.73</v>
      </c>
    </row>
    <row r="84" spans="1:12" s="416" customFormat="1" ht="15.5" customHeight="1">
      <c r="B84" s="435" t="s">
        <v>487</v>
      </c>
      <c r="C84" s="445"/>
      <c r="E84" s="436" t="s">
        <v>484</v>
      </c>
      <c r="F84" s="436"/>
      <c r="G84" s="437">
        <v>5.8</v>
      </c>
      <c r="H84" s="437"/>
      <c r="I84" s="437">
        <v>6.3</v>
      </c>
      <c r="J84" s="437"/>
      <c r="K84" s="437">
        <v>6.66</v>
      </c>
    </row>
    <row r="85" spans="1:12" s="416" customFormat="1" ht="15.5" customHeight="1">
      <c r="B85" s="435" t="s">
        <v>488</v>
      </c>
      <c r="C85" s="445"/>
      <c r="E85" s="436" t="s">
        <v>484</v>
      </c>
      <c r="F85" s="436"/>
      <c r="G85" s="437">
        <v>9.69</v>
      </c>
      <c r="H85" s="437"/>
      <c r="I85" s="437">
        <v>10.6</v>
      </c>
      <c r="J85" s="437"/>
      <c r="K85" s="437">
        <v>11.05</v>
      </c>
    </row>
    <row r="86" spans="1:12" s="416" customFormat="1" ht="15.5" customHeight="1">
      <c r="B86" s="441" t="s">
        <v>489</v>
      </c>
      <c r="C86" s="445"/>
      <c r="E86" s="436" t="s">
        <v>490</v>
      </c>
      <c r="F86" s="436"/>
      <c r="G86" s="437">
        <v>1.32</v>
      </c>
      <c r="H86" s="437"/>
      <c r="I86" s="437">
        <v>1.47</v>
      </c>
      <c r="J86" s="437"/>
      <c r="K86" s="437">
        <v>1.54</v>
      </c>
    </row>
    <row r="87" spans="1:12" s="416" customFormat="1" ht="15.5" customHeight="1">
      <c r="B87" s="435" t="s">
        <v>491</v>
      </c>
      <c r="C87" s="445"/>
      <c r="E87" s="436" t="s">
        <v>492</v>
      </c>
      <c r="F87" s="436"/>
      <c r="G87" s="437" t="s">
        <v>438</v>
      </c>
      <c r="H87" s="437"/>
      <c r="I87" s="437" t="s">
        <v>438</v>
      </c>
      <c r="J87" s="437"/>
      <c r="K87" s="437">
        <v>1.56</v>
      </c>
    </row>
    <row r="88" spans="1:12" s="416" customFormat="1" ht="15.5" customHeight="1">
      <c r="B88" s="435" t="s">
        <v>493</v>
      </c>
      <c r="C88" s="445"/>
      <c r="E88" s="436" t="s">
        <v>494</v>
      </c>
      <c r="F88" s="436"/>
      <c r="G88" s="437">
        <v>0.93</v>
      </c>
      <c r="H88" s="437"/>
      <c r="I88" s="437">
        <v>1.03</v>
      </c>
      <c r="J88" s="437"/>
      <c r="K88" s="437">
        <v>1.0900000000000001</v>
      </c>
    </row>
    <row r="89" spans="1:12" s="416" customFormat="1" ht="15.5" customHeight="1">
      <c r="B89" s="435" t="s">
        <v>495</v>
      </c>
      <c r="C89" s="445"/>
      <c r="E89" s="436" t="s">
        <v>484</v>
      </c>
      <c r="F89" s="436"/>
      <c r="G89" s="437">
        <v>6.22</v>
      </c>
      <c r="H89" s="437"/>
      <c r="I89" s="437">
        <v>6.82</v>
      </c>
      <c r="J89" s="437"/>
      <c r="K89" s="437">
        <v>7.2</v>
      </c>
    </row>
    <row r="90" spans="1:12" s="416" customFormat="1" ht="15.5" customHeight="1">
      <c r="B90" s="441" t="s">
        <v>496</v>
      </c>
      <c r="C90" s="445"/>
      <c r="E90" s="436" t="s">
        <v>497</v>
      </c>
      <c r="F90" s="436"/>
      <c r="G90" s="437">
        <v>1.84</v>
      </c>
      <c r="H90" s="437"/>
      <c r="I90" s="437">
        <v>2.0099999999999998</v>
      </c>
      <c r="J90" s="437"/>
      <c r="K90" s="437">
        <v>2.14</v>
      </c>
    </row>
    <row r="91" spans="1:12" s="416" customFormat="1" ht="15.5" customHeight="1">
      <c r="B91" s="441" t="s">
        <v>498</v>
      </c>
      <c r="C91" s="445"/>
      <c r="E91" s="436" t="s">
        <v>497</v>
      </c>
      <c r="F91" s="436"/>
      <c r="G91" s="437">
        <v>1.52</v>
      </c>
      <c r="H91" s="437"/>
      <c r="I91" s="437">
        <v>1.64</v>
      </c>
      <c r="J91" s="437"/>
      <c r="K91" s="437">
        <v>1.78</v>
      </c>
    </row>
    <row r="92" spans="1:12" s="416" customFormat="1" ht="15.5" customHeight="1">
      <c r="B92" s="441" t="s">
        <v>499</v>
      </c>
      <c r="C92" s="445"/>
      <c r="E92" s="436" t="s">
        <v>497</v>
      </c>
      <c r="F92" s="436"/>
      <c r="G92" s="437">
        <v>1.43</v>
      </c>
      <c r="H92" s="437"/>
      <c r="I92" s="437">
        <v>1.55</v>
      </c>
      <c r="J92" s="437"/>
      <c r="K92" s="437">
        <v>1.67</v>
      </c>
    </row>
    <row r="93" spans="1:12" s="416" customFormat="1" ht="15.5" customHeight="1">
      <c r="B93" s="441" t="s">
        <v>500</v>
      </c>
      <c r="C93" s="445"/>
      <c r="E93" s="436" t="s">
        <v>497</v>
      </c>
      <c r="F93" s="436"/>
      <c r="G93" s="437">
        <v>2.2999999999999998</v>
      </c>
      <c r="H93" s="437"/>
      <c r="I93" s="437">
        <v>2.54</v>
      </c>
      <c r="J93" s="437"/>
      <c r="K93" s="437">
        <v>2.73</v>
      </c>
    </row>
    <row r="94" spans="1:12" s="405" customFormat="1" ht="7" customHeight="1" thickBot="1">
      <c r="A94" s="455"/>
      <c r="B94" s="455"/>
      <c r="C94" s="455"/>
      <c r="D94" s="455"/>
      <c r="E94" s="455"/>
      <c r="F94" s="456"/>
      <c r="G94" s="455"/>
      <c r="H94" s="457"/>
      <c r="I94" s="455"/>
      <c r="J94" s="457"/>
      <c r="K94" s="458"/>
    </row>
    <row r="95" spans="1:12" s="405" customFormat="1" ht="12" customHeight="1">
      <c r="F95" s="1322" t="s">
        <v>32</v>
      </c>
      <c r="G95" s="1322"/>
      <c r="H95" s="1322"/>
      <c r="I95" s="1322"/>
      <c r="J95" s="1322"/>
      <c r="K95" s="1322"/>
      <c r="L95" s="459"/>
    </row>
    <row r="96" spans="1:12" s="405" customFormat="1" ht="12" customHeight="1">
      <c r="F96" s="1323" t="s">
        <v>33</v>
      </c>
      <c r="G96" s="1323"/>
      <c r="H96" s="1323"/>
      <c r="I96" s="1323"/>
      <c r="J96" s="1323"/>
      <c r="K96" s="1323"/>
      <c r="L96" s="460"/>
    </row>
    <row r="97" spans="2:11" ht="12" customHeight="1">
      <c r="B97" s="174" t="s">
        <v>501</v>
      </c>
    </row>
    <row r="98" spans="2:11" ht="12" customHeight="1">
      <c r="B98" s="105" t="s">
        <v>502</v>
      </c>
    </row>
    <row r="99" spans="2:11" ht="12" customHeight="1">
      <c r="B99" s="461" t="s">
        <v>503</v>
      </c>
    </row>
    <row r="100" spans="2:11" ht="12" customHeight="1">
      <c r="B100" s="105" t="s">
        <v>504</v>
      </c>
    </row>
    <row r="101" spans="2:11" s="462" customFormat="1" ht="13.5" customHeight="1">
      <c r="B101" s="52" t="s">
        <v>505</v>
      </c>
      <c r="K101" s="463"/>
    </row>
  </sheetData>
  <mergeCells count="5">
    <mergeCell ref="C3:J4"/>
    <mergeCell ref="C5:J6"/>
    <mergeCell ref="B9:C11"/>
    <mergeCell ref="F95:K95"/>
    <mergeCell ref="F96:K96"/>
  </mergeCells>
  <conditionalFormatting sqref="C18:C35">
    <cfRule type="cellIs" dxfId="27" priority="2" stopIfTrue="1" operator="lessThan">
      <formula>0</formula>
    </cfRule>
  </conditionalFormatting>
  <conditionalFormatting sqref="D36:F39">
    <cfRule type="cellIs" dxfId="2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fitToWidth="0"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9DE5-FFC4-4A36-98D5-86E415FBAB22}">
  <sheetPr codeName="Sheet41"/>
  <dimension ref="A1:W957"/>
  <sheetViews>
    <sheetView view="pageBreakPreview" topLeftCell="A73" zoomScaleNormal="100" zoomScaleSheetLayoutView="100" workbookViewId="0">
      <selection activeCell="D60" sqref="D60"/>
    </sheetView>
  </sheetViews>
  <sheetFormatPr baseColWidth="10" defaultColWidth="14.5" defaultRowHeight="15.5" customHeight="1"/>
  <cols>
    <col min="1" max="1" width="0.83203125" style="405" customWidth="1"/>
    <col min="2" max="2" width="12.33203125" style="405" customWidth="1"/>
    <col min="3" max="3" width="43" style="405" customWidth="1"/>
    <col min="4" max="4" width="8.6640625" style="405" customWidth="1"/>
    <col min="5" max="5" width="13.5" style="405" customWidth="1"/>
    <col min="6" max="6" width="14.5" style="406" customWidth="1"/>
    <col min="7" max="7" width="6.6640625" style="405" customWidth="1"/>
    <col min="8" max="8" width="8.6640625" style="407" customWidth="1"/>
    <col min="9" max="9" width="3.6640625" style="405" customWidth="1"/>
    <col min="10" max="10" width="8.6640625" style="407" customWidth="1"/>
    <col min="11" max="11" width="3.6640625" style="405" customWidth="1"/>
    <col min="12" max="12" width="8.6640625" style="407" customWidth="1"/>
    <col min="13" max="13" width="2" style="405" customWidth="1"/>
    <col min="14" max="25" width="9.1640625" style="405" customWidth="1"/>
    <col min="26" max="16384" width="14.5" style="405"/>
  </cols>
  <sheetData>
    <row r="1" spans="1:23" ht="7.5" customHeight="1"/>
    <row r="2" spans="1:23" ht="7.5" customHeight="1"/>
    <row r="3" spans="1:23" ht="14.25" customHeight="1">
      <c r="A3" s="407"/>
      <c r="B3" s="409" t="s">
        <v>416</v>
      </c>
      <c r="C3" s="1318" t="s">
        <v>506</v>
      </c>
      <c r="D3" s="1318"/>
      <c r="E3" s="1318"/>
      <c r="F3" s="1318"/>
      <c r="G3" s="1318"/>
      <c r="H3" s="1318"/>
      <c r="I3" s="1318"/>
      <c r="J3" s="1318"/>
      <c r="L3" s="405"/>
    </row>
    <row r="4" spans="1:23" ht="3.5" customHeight="1">
      <c r="A4" s="407"/>
      <c r="B4" s="410"/>
      <c r="C4" s="1318"/>
      <c r="D4" s="1318"/>
      <c r="E4" s="1318"/>
      <c r="F4" s="1318"/>
      <c r="G4" s="1318"/>
      <c r="H4" s="1318"/>
      <c r="I4" s="1318"/>
      <c r="J4" s="1318"/>
      <c r="L4" s="405"/>
    </row>
    <row r="5" spans="1:23" ht="14.25" customHeight="1">
      <c r="B5" s="411" t="s">
        <v>418</v>
      </c>
      <c r="C5" s="1319" t="s">
        <v>507</v>
      </c>
      <c r="D5" s="1319"/>
      <c r="E5" s="1319"/>
      <c r="F5" s="1319"/>
      <c r="G5" s="1319"/>
      <c r="H5" s="1319"/>
      <c r="I5" s="1319"/>
      <c r="J5" s="1319"/>
      <c r="L5" s="405"/>
    </row>
    <row r="6" spans="1:23" ht="6.75" customHeight="1">
      <c r="B6" s="411"/>
      <c r="C6" s="1319"/>
      <c r="D6" s="1319"/>
      <c r="E6" s="1319"/>
      <c r="F6" s="1319"/>
      <c r="G6" s="1319"/>
      <c r="H6" s="1319"/>
      <c r="I6" s="1319"/>
      <c r="J6" s="1319"/>
      <c r="L6" s="405"/>
    </row>
    <row r="7" spans="1:23" ht="4.5" customHeight="1" thickBot="1">
      <c r="A7" s="412"/>
      <c r="B7" s="412"/>
      <c r="C7" s="412"/>
      <c r="D7" s="412"/>
      <c r="E7" s="412"/>
      <c r="F7" s="413"/>
      <c r="G7" s="412"/>
      <c r="H7" s="414"/>
      <c r="I7" s="412"/>
      <c r="J7" s="414"/>
      <c r="K7" s="412"/>
      <c r="L7" s="414"/>
      <c r="M7" s="412"/>
    </row>
    <row r="8" spans="1:23" s="416" customFormat="1" ht="5.25" customHeight="1">
      <c r="F8" s="417"/>
      <c r="H8" s="418"/>
      <c r="J8" s="418"/>
      <c r="L8" s="418"/>
    </row>
    <row r="9" spans="1:23" s="416" customFormat="1" ht="16" customHeight="1">
      <c r="A9" s="420"/>
      <c r="B9" s="1320" t="s">
        <v>420</v>
      </c>
      <c r="C9" s="1320"/>
      <c r="D9" s="421"/>
      <c r="E9" s="421"/>
      <c r="F9" s="421"/>
      <c r="G9" s="464"/>
      <c r="H9" s="422">
        <v>2022</v>
      </c>
      <c r="I9" s="422"/>
      <c r="J9" s="422">
        <v>2023</v>
      </c>
      <c r="K9" s="422"/>
      <c r="L9" s="423">
        <v>2024</v>
      </c>
      <c r="M9" s="438"/>
    </row>
    <row r="10" spans="1:23" s="416" customFormat="1" ht="5.25" customHeight="1">
      <c r="A10" s="420"/>
      <c r="B10" s="1320"/>
      <c r="C10" s="1320"/>
      <c r="D10" s="421"/>
      <c r="E10" s="421"/>
      <c r="F10" s="421"/>
      <c r="G10" s="421"/>
      <c r="H10" s="422"/>
      <c r="I10" s="421"/>
      <c r="J10" s="422"/>
      <c r="K10" s="421"/>
      <c r="L10" s="422"/>
      <c r="M10" s="438"/>
    </row>
    <row r="11" spans="1:23" s="416" customFormat="1" ht="10.5" customHeight="1" thickBot="1">
      <c r="A11" s="425"/>
      <c r="B11" s="1321"/>
      <c r="C11" s="1321"/>
      <c r="D11" s="426"/>
      <c r="E11" s="426"/>
      <c r="F11" s="427"/>
      <c r="G11" s="426"/>
      <c r="H11" s="426"/>
      <c r="I11" s="426"/>
      <c r="J11" s="426"/>
      <c r="K11" s="426"/>
      <c r="L11" s="426"/>
      <c r="M11" s="465"/>
    </row>
    <row r="12" spans="1:23" s="416" customFormat="1" ht="8" customHeight="1">
      <c r="B12" s="429"/>
      <c r="C12" s="424"/>
      <c r="D12" s="424"/>
      <c r="E12" s="424"/>
      <c r="F12" s="424"/>
      <c r="G12" s="430"/>
      <c r="H12" s="430"/>
      <c r="I12" s="430"/>
      <c r="J12" s="430"/>
      <c r="K12" s="430"/>
      <c r="L12" s="430"/>
    </row>
    <row r="13" spans="1:23" s="416" customFormat="1" ht="15.5" customHeight="1">
      <c r="B13" s="449" t="s">
        <v>508</v>
      </c>
      <c r="C13" s="445"/>
      <c r="E13" s="417"/>
      <c r="F13" s="417"/>
      <c r="G13" s="452"/>
      <c r="H13" s="440"/>
      <c r="I13" s="440"/>
      <c r="J13" s="440"/>
      <c r="K13" s="440"/>
      <c r="L13" s="440"/>
      <c r="M13" s="418"/>
    </row>
    <row r="14" spans="1:23" s="416" customFormat="1" ht="15.5" customHeight="1">
      <c r="B14" s="450" t="s">
        <v>509</v>
      </c>
      <c r="C14" s="445"/>
      <c r="E14" s="417"/>
      <c r="F14" s="417"/>
      <c r="G14" s="452"/>
      <c r="H14" s="440"/>
      <c r="I14" s="440"/>
      <c r="J14" s="440"/>
      <c r="K14" s="440"/>
      <c r="L14" s="440"/>
      <c r="M14" s="418"/>
    </row>
    <row r="15" spans="1:23" s="416" customFormat="1" ht="7" customHeight="1">
      <c r="B15" s="466"/>
      <c r="C15" s="445"/>
      <c r="E15" s="417"/>
      <c r="F15" s="417"/>
      <c r="G15" s="452"/>
      <c r="H15" s="440"/>
      <c r="I15" s="440"/>
      <c r="J15" s="440"/>
      <c r="K15" s="440"/>
      <c r="L15" s="440"/>
      <c r="M15" s="418"/>
    </row>
    <row r="16" spans="1:23" s="416" customFormat="1" ht="14.25" customHeight="1">
      <c r="B16" s="435" t="s">
        <v>510</v>
      </c>
      <c r="C16" s="445"/>
      <c r="E16" s="436" t="s">
        <v>511</v>
      </c>
      <c r="F16" s="436"/>
      <c r="G16" s="452"/>
      <c r="H16" s="437">
        <v>131.25</v>
      </c>
      <c r="I16" s="437"/>
      <c r="J16" s="437">
        <v>140.49</v>
      </c>
      <c r="K16" s="437"/>
      <c r="L16" s="437">
        <v>148.18</v>
      </c>
      <c r="M16" s="418"/>
      <c r="N16" s="467"/>
      <c r="O16" s="467"/>
      <c r="Q16" s="467"/>
      <c r="T16" s="467"/>
      <c r="U16" s="467"/>
      <c r="V16" s="467"/>
      <c r="W16" s="467"/>
    </row>
    <row r="17" spans="2:20" s="416" customFormat="1" ht="28.5" customHeight="1">
      <c r="B17" s="1324" t="s">
        <v>512</v>
      </c>
      <c r="C17" s="1324"/>
      <c r="E17" s="436" t="s">
        <v>513</v>
      </c>
      <c r="F17" s="436"/>
      <c r="G17" s="452"/>
      <c r="H17" s="437">
        <v>1457.43</v>
      </c>
      <c r="I17" s="437"/>
      <c r="J17" s="437">
        <v>1501.89</v>
      </c>
      <c r="K17" s="437"/>
      <c r="L17" s="437">
        <v>1475.55</v>
      </c>
      <c r="M17" s="418"/>
      <c r="N17" s="467"/>
      <c r="O17" s="467"/>
      <c r="Q17" s="467"/>
      <c r="T17" s="467"/>
    </row>
    <row r="18" spans="2:20" s="416" customFormat="1" ht="14.25" customHeight="1">
      <c r="B18" s="435" t="s">
        <v>514</v>
      </c>
      <c r="C18" s="445"/>
      <c r="E18" s="436" t="s">
        <v>513</v>
      </c>
      <c r="F18" s="436"/>
      <c r="G18" s="452"/>
      <c r="H18" s="437" t="s">
        <v>438</v>
      </c>
      <c r="I18" s="437"/>
      <c r="J18" s="437" t="s">
        <v>438</v>
      </c>
      <c r="K18" s="437"/>
      <c r="L18" s="437">
        <v>1242.04</v>
      </c>
      <c r="M18" s="418"/>
      <c r="N18" s="467"/>
      <c r="O18" s="467"/>
      <c r="Q18" s="467"/>
      <c r="T18" s="467"/>
    </row>
    <row r="19" spans="2:20" s="416" customFormat="1" ht="7" customHeight="1">
      <c r="B19" s="454"/>
      <c r="C19" s="445"/>
      <c r="E19" s="417"/>
      <c r="F19" s="417"/>
      <c r="G19" s="452"/>
      <c r="H19" s="437"/>
      <c r="I19" s="437"/>
      <c r="J19" s="437"/>
      <c r="K19" s="437"/>
      <c r="L19" s="437"/>
      <c r="M19" s="418"/>
      <c r="N19" s="467"/>
      <c r="O19" s="467"/>
      <c r="Q19" s="467"/>
      <c r="T19" s="467"/>
    </row>
    <row r="20" spans="2:20" s="416" customFormat="1" ht="15.5" customHeight="1">
      <c r="B20" s="431" t="s">
        <v>515</v>
      </c>
      <c r="C20" s="445"/>
      <c r="E20" s="417"/>
      <c r="F20" s="417"/>
      <c r="G20" s="452"/>
      <c r="H20" s="437"/>
      <c r="I20" s="437"/>
      <c r="J20" s="437"/>
      <c r="K20" s="437"/>
      <c r="L20" s="437"/>
      <c r="M20" s="418"/>
      <c r="N20" s="467"/>
      <c r="O20" s="467"/>
      <c r="Q20" s="467"/>
      <c r="T20" s="467"/>
    </row>
    <row r="21" spans="2:20" s="416" customFormat="1" ht="15.5" customHeight="1">
      <c r="B21" s="434" t="s">
        <v>516</v>
      </c>
      <c r="C21" s="445"/>
      <c r="E21" s="417"/>
      <c r="F21" s="417"/>
      <c r="G21" s="452"/>
      <c r="H21" s="437"/>
      <c r="I21" s="437"/>
      <c r="J21" s="437"/>
      <c r="K21" s="437"/>
      <c r="L21" s="437"/>
      <c r="M21" s="418"/>
      <c r="N21" s="467"/>
      <c r="O21" s="467"/>
      <c r="Q21" s="467"/>
      <c r="T21" s="467"/>
    </row>
    <row r="22" spans="2:20" s="416" customFormat="1" ht="7" customHeight="1">
      <c r="B22" s="434"/>
      <c r="C22" s="445"/>
      <c r="E22" s="417"/>
      <c r="F22" s="417"/>
      <c r="G22" s="452"/>
      <c r="H22" s="437"/>
      <c r="I22" s="437"/>
      <c r="J22" s="437"/>
      <c r="K22" s="437"/>
      <c r="L22" s="437"/>
      <c r="M22" s="418"/>
      <c r="N22" s="467"/>
      <c r="O22" s="467"/>
      <c r="Q22" s="467"/>
      <c r="T22" s="467"/>
    </row>
    <row r="23" spans="2:20" s="416" customFormat="1" ht="14.25" customHeight="1">
      <c r="B23" s="435" t="s">
        <v>517</v>
      </c>
      <c r="C23" s="445"/>
      <c r="E23" s="436" t="s">
        <v>518</v>
      </c>
      <c r="F23" s="436"/>
      <c r="G23" s="452"/>
      <c r="H23" s="437">
        <v>34.270000000000003</v>
      </c>
      <c r="I23" s="437"/>
      <c r="J23" s="437">
        <v>35.72</v>
      </c>
      <c r="K23" s="437"/>
      <c r="L23" s="437">
        <v>35.549999999999997</v>
      </c>
      <c r="M23" s="418"/>
      <c r="N23" s="467"/>
      <c r="O23" s="467"/>
      <c r="Q23" s="467"/>
      <c r="T23" s="467"/>
    </row>
    <row r="24" spans="2:20" s="416" customFormat="1" ht="14.25" customHeight="1">
      <c r="B24" s="435" t="s">
        <v>519</v>
      </c>
      <c r="C24" s="445"/>
      <c r="E24" s="436" t="s">
        <v>520</v>
      </c>
      <c r="F24" s="436"/>
      <c r="G24" s="452"/>
      <c r="H24" s="437" t="s">
        <v>438</v>
      </c>
      <c r="I24" s="437"/>
      <c r="J24" s="437" t="s">
        <v>438</v>
      </c>
      <c r="K24" s="437"/>
      <c r="L24" s="437">
        <v>11.46</v>
      </c>
      <c r="M24" s="418"/>
      <c r="N24" s="467"/>
      <c r="O24" s="467"/>
      <c r="Q24" s="467"/>
      <c r="T24" s="467"/>
    </row>
    <row r="25" spans="2:20" s="416" customFormat="1" ht="7" customHeight="1">
      <c r="B25" s="454"/>
      <c r="C25" s="445"/>
      <c r="E25" s="417"/>
      <c r="F25" s="417"/>
      <c r="G25" s="452"/>
      <c r="H25" s="437"/>
      <c r="I25" s="437"/>
      <c r="J25" s="437"/>
      <c r="K25" s="437"/>
      <c r="L25" s="437"/>
      <c r="M25" s="418"/>
      <c r="N25" s="467"/>
      <c r="O25" s="467"/>
      <c r="Q25" s="467"/>
      <c r="T25" s="467"/>
    </row>
    <row r="26" spans="2:20" s="416" customFormat="1" ht="15.5" customHeight="1">
      <c r="B26" s="431" t="s">
        <v>521</v>
      </c>
      <c r="C26" s="445"/>
      <c r="E26" s="417"/>
      <c r="F26" s="417"/>
      <c r="G26" s="452"/>
      <c r="H26" s="437"/>
      <c r="I26" s="437"/>
      <c r="J26" s="437"/>
      <c r="K26" s="437"/>
      <c r="L26" s="437"/>
      <c r="M26" s="418"/>
      <c r="N26" s="467"/>
      <c r="O26" s="467"/>
      <c r="Q26" s="467"/>
      <c r="T26" s="467"/>
    </row>
    <row r="27" spans="2:20" s="416" customFormat="1" ht="15.5" customHeight="1">
      <c r="B27" s="434" t="s">
        <v>522</v>
      </c>
      <c r="C27" s="445"/>
      <c r="E27" s="417"/>
      <c r="F27" s="417"/>
      <c r="G27" s="452"/>
      <c r="H27" s="437"/>
      <c r="I27" s="437"/>
      <c r="J27" s="437"/>
      <c r="K27" s="437"/>
      <c r="L27" s="437"/>
      <c r="M27" s="418"/>
      <c r="N27" s="467"/>
      <c r="O27" s="467"/>
      <c r="Q27" s="467"/>
      <c r="T27" s="467"/>
    </row>
    <row r="28" spans="2:20" s="416" customFormat="1" ht="7" customHeight="1">
      <c r="B28" s="431"/>
      <c r="C28" s="445"/>
      <c r="E28" s="417"/>
      <c r="F28" s="417"/>
      <c r="G28" s="452"/>
      <c r="H28" s="437"/>
      <c r="I28" s="437"/>
      <c r="J28" s="437"/>
      <c r="K28" s="437"/>
      <c r="L28" s="437"/>
      <c r="M28" s="418"/>
      <c r="N28" s="467"/>
      <c r="O28" s="467"/>
      <c r="Q28" s="467"/>
      <c r="T28" s="467"/>
    </row>
    <row r="29" spans="2:20" s="416" customFormat="1" ht="14.25" customHeight="1">
      <c r="B29" s="435" t="s">
        <v>523</v>
      </c>
      <c r="C29" s="445"/>
      <c r="E29" s="436" t="s">
        <v>524</v>
      </c>
      <c r="F29" s="436"/>
      <c r="G29" s="452"/>
      <c r="H29" s="437">
        <v>7.51</v>
      </c>
      <c r="I29" s="437"/>
      <c r="J29" s="437">
        <v>8.09</v>
      </c>
      <c r="K29" s="437"/>
      <c r="L29" s="437">
        <v>8.2200000000000006</v>
      </c>
      <c r="M29" s="418"/>
      <c r="N29" s="467"/>
      <c r="O29" s="467"/>
      <c r="Q29" s="467"/>
      <c r="T29" s="467"/>
    </row>
    <row r="30" spans="2:20" s="416" customFormat="1" ht="14.25" customHeight="1">
      <c r="B30" s="435" t="s">
        <v>525</v>
      </c>
      <c r="C30" s="445"/>
      <c r="E30" s="436" t="s">
        <v>526</v>
      </c>
      <c r="F30" s="436"/>
      <c r="G30" s="452"/>
      <c r="H30" s="437">
        <v>3.49</v>
      </c>
      <c r="I30" s="437"/>
      <c r="J30" s="437">
        <v>3.95</v>
      </c>
      <c r="K30" s="437"/>
      <c r="L30" s="437">
        <v>4</v>
      </c>
      <c r="M30" s="418"/>
      <c r="N30" s="467"/>
      <c r="O30" s="467"/>
      <c r="Q30" s="467"/>
      <c r="T30" s="467"/>
    </row>
    <row r="31" spans="2:20" s="416" customFormat="1" ht="14.25" customHeight="1">
      <c r="B31" s="435" t="s">
        <v>527</v>
      </c>
      <c r="C31" s="445"/>
      <c r="E31" s="436" t="s">
        <v>528</v>
      </c>
      <c r="F31" s="436"/>
      <c r="G31" s="452"/>
      <c r="H31" s="437">
        <v>25.79</v>
      </c>
      <c r="I31" s="437"/>
      <c r="J31" s="437">
        <v>27.67</v>
      </c>
      <c r="K31" s="437"/>
      <c r="L31" s="437">
        <v>28.85</v>
      </c>
      <c r="M31" s="418"/>
      <c r="N31" s="467"/>
      <c r="O31" s="467"/>
      <c r="Q31" s="467"/>
      <c r="T31" s="467"/>
    </row>
    <row r="32" spans="2:20" s="416" customFormat="1" ht="14.25" customHeight="1">
      <c r="B32" s="435" t="s">
        <v>529</v>
      </c>
      <c r="C32" s="445"/>
      <c r="E32" s="436" t="s">
        <v>530</v>
      </c>
      <c r="F32" s="436"/>
      <c r="G32" s="452"/>
      <c r="H32" s="437">
        <v>11.73</v>
      </c>
      <c r="I32" s="437"/>
      <c r="J32" s="437">
        <v>12.09</v>
      </c>
      <c r="K32" s="437"/>
      <c r="L32" s="437">
        <v>12.23</v>
      </c>
      <c r="M32" s="418"/>
      <c r="N32" s="467"/>
      <c r="O32" s="467"/>
      <c r="Q32" s="467"/>
      <c r="T32" s="467"/>
    </row>
    <row r="33" spans="2:20" s="416" customFormat="1" ht="7" customHeight="1">
      <c r="B33" s="454"/>
      <c r="C33" s="445"/>
      <c r="E33" s="417"/>
      <c r="F33" s="417"/>
      <c r="G33" s="452"/>
      <c r="H33" s="437"/>
      <c r="I33" s="437"/>
      <c r="J33" s="437"/>
      <c r="K33" s="437"/>
      <c r="L33" s="437"/>
      <c r="M33" s="418"/>
      <c r="N33" s="467"/>
      <c r="O33" s="467"/>
      <c r="Q33" s="467"/>
      <c r="T33" s="467"/>
    </row>
    <row r="34" spans="2:20" s="416" customFormat="1" ht="15.5" customHeight="1">
      <c r="B34" s="431" t="s">
        <v>531</v>
      </c>
      <c r="C34" s="445"/>
      <c r="E34" s="417"/>
      <c r="F34" s="417"/>
      <c r="G34" s="452"/>
      <c r="H34" s="437"/>
      <c r="I34" s="437"/>
      <c r="J34" s="437"/>
      <c r="K34" s="437"/>
      <c r="L34" s="437"/>
      <c r="M34" s="418"/>
      <c r="N34" s="467"/>
      <c r="O34" s="467"/>
      <c r="Q34" s="467"/>
      <c r="T34" s="467"/>
    </row>
    <row r="35" spans="2:20" s="416" customFormat="1" ht="15.5" customHeight="1">
      <c r="B35" s="434" t="s">
        <v>532</v>
      </c>
      <c r="C35" s="445"/>
      <c r="E35" s="417"/>
      <c r="F35" s="417"/>
      <c r="G35" s="452"/>
      <c r="H35" s="437"/>
      <c r="I35" s="437"/>
      <c r="J35" s="437"/>
      <c r="K35" s="437"/>
      <c r="L35" s="437"/>
      <c r="M35" s="418"/>
      <c r="N35" s="467"/>
      <c r="O35" s="467"/>
      <c r="Q35" s="467"/>
      <c r="T35" s="467"/>
    </row>
    <row r="36" spans="2:20" s="416" customFormat="1" ht="7" customHeight="1">
      <c r="B36" s="434"/>
      <c r="C36" s="445"/>
      <c r="E36" s="417"/>
      <c r="F36" s="417"/>
      <c r="G36" s="452"/>
      <c r="H36" s="437"/>
      <c r="I36" s="437"/>
      <c r="J36" s="437"/>
      <c r="K36" s="437"/>
      <c r="L36" s="437"/>
      <c r="M36" s="418"/>
      <c r="N36" s="467"/>
      <c r="O36" s="467"/>
      <c r="Q36" s="467"/>
      <c r="T36" s="467"/>
    </row>
    <row r="37" spans="2:20" s="416" customFormat="1" ht="14.25" customHeight="1">
      <c r="B37" s="435" t="s">
        <v>533</v>
      </c>
      <c r="C37" s="445"/>
      <c r="E37" s="436" t="s">
        <v>534</v>
      </c>
      <c r="F37" s="436"/>
      <c r="G37" s="452"/>
      <c r="H37" s="437">
        <v>6.87</v>
      </c>
      <c r="I37" s="437"/>
      <c r="J37" s="437">
        <v>7.07</v>
      </c>
      <c r="K37" s="437"/>
      <c r="L37" s="437">
        <v>7.86</v>
      </c>
      <c r="M37" s="418"/>
      <c r="N37" s="467"/>
      <c r="O37" s="467"/>
      <c r="Q37" s="467"/>
      <c r="T37" s="467"/>
    </row>
    <row r="38" spans="2:20" s="416" customFormat="1" ht="14.25" customHeight="1">
      <c r="B38" s="441" t="s">
        <v>535</v>
      </c>
      <c r="C38" s="445"/>
      <c r="E38" s="436" t="s">
        <v>536</v>
      </c>
      <c r="F38" s="436"/>
      <c r="G38" s="452"/>
      <c r="H38" s="437">
        <v>4.93</v>
      </c>
      <c r="I38" s="437"/>
      <c r="J38" s="437">
        <v>5.15</v>
      </c>
      <c r="K38" s="437"/>
      <c r="L38" s="437">
        <v>5.21</v>
      </c>
      <c r="M38" s="418"/>
      <c r="N38" s="467"/>
      <c r="O38" s="467"/>
      <c r="Q38" s="467"/>
      <c r="T38" s="467"/>
    </row>
    <row r="39" spans="2:20" s="416" customFormat="1" ht="7" customHeight="1">
      <c r="B39" s="454"/>
      <c r="C39" s="445"/>
      <c r="E39" s="417"/>
      <c r="F39" s="417"/>
      <c r="G39" s="452"/>
      <c r="H39" s="437"/>
      <c r="I39" s="437"/>
      <c r="J39" s="437"/>
      <c r="K39" s="437"/>
      <c r="L39" s="437"/>
      <c r="M39" s="418"/>
      <c r="N39" s="467"/>
      <c r="O39" s="467"/>
      <c r="Q39" s="467"/>
      <c r="T39" s="467"/>
    </row>
    <row r="40" spans="2:20" s="416" customFormat="1" ht="15.5" customHeight="1">
      <c r="B40" s="431" t="s">
        <v>537</v>
      </c>
      <c r="C40" s="445"/>
      <c r="E40" s="417"/>
      <c r="F40" s="417"/>
      <c r="G40" s="452"/>
      <c r="H40" s="437"/>
      <c r="I40" s="437"/>
      <c r="J40" s="437"/>
      <c r="K40" s="437"/>
      <c r="L40" s="437"/>
      <c r="M40" s="418"/>
      <c r="N40" s="467"/>
      <c r="O40" s="467"/>
      <c r="Q40" s="467"/>
      <c r="T40" s="467"/>
    </row>
    <row r="41" spans="2:20" s="416" customFormat="1" ht="15.5" customHeight="1">
      <c r="B41" s="434" t="s">
        <v>538</v>
      </c>
      <c r="C41" s="445"/>
      <c r="E41" s="417"/>
      <c r="F41" s="417"/>
      <c r="G41" s="452"/>
      <c r="H41" s="437"/>
      <c r="I41" s="437"/>
      <c r="J41" s="437"/>
      <c r="K41" s="437"/>
      <c r="L41" s="437"/>
      <c r="M41" s="418"/>
      <c r="N41" s="467"/>
      <c r="O41" s="467"/>
      <c r="Q41" s="467"/>
      <c r="T41" s="467"/>
    </row>
    <row r="42" spans="2:20" s="416" customFormat="1" ht="7" customHeight="1">
      <c r="B42" s="431"/>
      <c r="C42" s="445"/>
      <c r="E42" s="417"/>
      <c r="F42" s="417"/>
      <c r="G42" s="452"/>
      <c r="H42" s="437"/>
      <c r="I42" s="437"/>
      <c r="J42" s="437"/>
      <c r="K42" s="437"/>
      <c r="L42" s="437"/>
      <c r="M42" s="418"/>
      <c r="N42" s="467"/>
      <c r="O42" s="467"/>
      <c r="Q42" s="467"/>
      <c r="T42" s="467"/>
    </row>
    <row r="43" spans="2:20" s="416" customFormat="1" ht="14.25" customHeight="1">
      <c r="B43" s="435" t="s">
        <v>539</v>
      </c>
      <c r="C43" s="445"/>
      <c r="E43" s="436" t="s">
        <v>540</v>
      </c>
      <c r="F43" s="436"/>
      <c r="G43" s="452"/>
      <c r="H43" s="437">
        <v>8.5299999999999994</v>
      </c>
      <c r="I43" s="437"/>
      <c r="J43" s="437">
        <v>9.31</v>
      </c>
      <c r="K43" s="437"/>
      <c r="L43" s="437">
        <v>9.61</v>
      </c>
      <c r="M43" s="418"/>
      <c r="N43" s="467"/>
      <c r="O43" s="467"/>
      <c r="Q43" s="467"/>
      <c r="T43" s="467"/>
    </row>
    <row r="44" spans="2:20" s="416" customFormat="1" ht="14.25" customHeight="1">
      <c r="B44" s="435" t="s">
        <v>541</v>
      </c>
      <c r="C44" s="445"/>
      <c r="E44" s="436" t="s">
        <v>542</v>
      </c>
      <c r="F44" s="436"/>
      <c r="G44" s="452"/>
      <c r="H44" s="437">
        <v>26.06</v>
      </c>
      <c r="I44" s="437"/>
      <c r="J44" s="437">
        <v>24.08</v>
      </c>
      <c r="K44" s="437"/>
      <c r="L44" s="437">
        <v>22.35</v>
      </c>
      <c r="M44" s="418"/>
      <c r="N44" s="467"/>
      <c r="O44" s="467"/>
      <c r="Q44" s="467"/>
      <c r="T44" s="467"/>
    </row>
    <row r="45" spans="2:20" s="416" customFormat="1" ht="14.25" customHeight="1">
      <c r="B45" s="435" t="s">
        <v>543</v>
      </c>
      <c r="C45" s="445"/>
      <c r="E45" s="436" t="s">
        <v>544</v>
      </c>
      <c r="F45" s="436"/>
      <c r="G45" s="452"/>
      <c r="H45" s="437">
        <v>31.1</v>
      </c>
      <c r="I45" s="437"/>
      <c r="J45" s="437">
        <v>30.53</v>
      </c>
      <c r="K45" s="437"/>
      <c r="L45" s="437">
        <v>30.05</v>
      </c>
      <c r="M45" s="418"/>
      <c r="N45" s="467"/>
      <c r="O45" s="467"/>
      <c r="Q45" s="467"/>
      <c r="T45" s="467"/>
    </row>
    <row r="46" spans="2:20" s="416" customFormat="1" ht="14.25" customHeight="1">
      <c r="B46" s="435" t="s">
        <v>541</v>
      </c>
      <c r="C46" s="445"/>
      <c r="E46" s="436" t="s">
        <v>545</v>
      </c>
      <c r="F46" s="436"/>
      <c r="G46" s="452"/>
      <c r="H46" s="437">
        <v>7.04</v>
      </c>
      <c r="I46" s="437"/>
      <c r="J46" s="437">
        <v>6.89</v>
      </c>
      <c r="K46" s="437"/>
      <c r="L46" s="437">
        <v>6.98</v>
      </c>
      <c r="M46" s="418"/>
      <c r="N46" s="467"/>
      <c r="O46" s="467"/>
      <c r="Q46" s="467"/>
      <c r="T46" s="467"/>
    </row>
    <row r="47" spans="2:20" s="416" customFormat="1" ht="7" customHeight="1">
      <c r="B47" s="454"/>
      <c r="C47" s="445"/>
      <c r="E47" s="417"/>
      <c r="F47" s="417"/>
      <c r="G47" s="452"/>
      <c r="H47" s="437"/>
      <c r="I47" s="437"/>
      <c r="J47" s="437"/>
      <c r="K47" s="437"/>
      <c r="L47" s="437"/>
      <c r="M47" s="418"/>
      <c r="N47" s="467"/>
      <c r="O47" s="467"/>
      <c r="Q47" s="467"/>
      <c r="T47" s="467"/>
    </row>
    <row r="48" spans="2:20" s="416" customFormat="1" ht="15.5" customHeight="1">
      <c r="B48" s="431" t="s">
        <v>546</v>
      </c>
      <c r="C48" s="445"/>
      <c r="E48" s="417"/>
      <c r="F48" s="417"/>
      <c r="G48" s="452"/>
      <c r="H48" s="437"/>
      <c r="I48" s="437"/>
      <c r="J48" s="437"/>
      <c r="K48" s="437"/>
      <c r="L48" s="437"/>
      <c r="M48" s="418"/>
      <c r="N48" s="467"/>
      <c r="O48" s="467"/>
      <c r="Q48" s="467"/>
      <c r="T48" s="467"/>
    </row>
    <row r="49" spans="2:20" s="416" customFormat="1" ht="15.5" customHeight="1">
      <c r="B49" s="434" t="s">
        <v>547</v>
      </c>
      <c r="C49" s="445"/>
      <c r="E49" s="417"/>
      <c r="F49" s="417"/>
      <c r="G49" s="452"/>
      <c r="H49" s="437"/>
      <c r="I49" s="437"/>
      <c r="J49" s="437"/>
      <c r="K49" s="437"/>
      <c r="L49" s="437"/>
      <c r="M49" s="418"/>
      <c r="N49" s="467"/>
      <c r="O49" s="467"/>
      <c r="Q49" s="467"/>
      <c r="T49" s="467"/>
    </row>
    <row r="50" spans="2:20" s="416" customFormat="1" ht="7" customHeight="1">
      <c r="B50" s="434"/>
      <c r="C50" s="445"/>
      <c r="E50" s="417"/>
      <c r="F50" s="417"/>
      <c r="G50" s="452"/>
      <c r="H50" s="437"/>
      <c r="I50" s="437"/>
      <c r="J50" s="437"/>
      <c r="K50" s="437"/>
      <c r="L50" s="437"/>
      <c r="M50" s="418"/>
      <c r="N50" s="467"/>
      <c r="O50" s="467"/>
      <c r="Q50" s="467"/>
      <c r="T50" s="467"/>
    </row>
    <row r="51" spans="2:20" s="416" customFormat="1" ht="14.25" customHeight="1">
      <c r="B51" s="435" t="s">
        <v>548</v>
      </c>
      <c r="C51" s="445"/>
      <c r="E51" s="436" t="s">
        <v>549</v>
      </c>
      <c r="F51" s="436"/>
      <c r="G51" s="452"/>
      <c r="H51" s="437">
        <v>26.37</v>
      </c>
      <c r="I51" s="437"/>
      <c r="J51" s="437">
        <v>28.57</v>
      </c>
      <c r="K51" s="437"/>
      <c r="L51" s="437">
        <v>36.5</v>
      </c>
      <c r="M51" s="418"/>
      <c r="N51" s="467"/>
      <c r="O51" s="467"/>
      <c r="Q51" s="467"/>
      <c r="T51" s="467"/>
    </row>
    <row r="52" spans="2:20" s="416" customFormat="1" ht="14.25" customHeight="1">
      <c r="B52" s="435" t="s">
        <v>550</v>
      </c>
      <c r="C52" s="445"/>
      <c r="E52" s="436" t="s">
        <v>429</v>
      </c>
      <c r="F52" s="436"/>
      <c r="G52" s="452"/>
      <c r="H52" s="437">
        <v>4.6900000000000004</v>
      </c>
      <c r="I52" s="437"/>
      <c r="J52" s="437">
        <v>5.0999999999999996</v>
      </c>
      <c r="K52" s="437"/>
      <c r="L52" s="437">
        <v>5.22</v>
      </c>
      <c r="M52" s="418"/>
      <c r="N52" s="467"/>
      <c r="O52" s="467"/>
      <c r="Q52" s="467"/>
      <c r="T52" s="467"/>
    </row>
    <row r="53" spans="2:20" s="416" customFormat="1" ht="14.25" customHeight="1">
      <c r="B53" s="435" t="s">
        <v>551</v>
      </c>
      <c r="C53" s="445"/>
      <c r="E53" s="436" t="s">
        <v>552</v>
      </c>
      <c r="F53" s="436"/>
      <c r="G53" s="452"/>
      <c r="H53" s="437">
        <v>3.65</v>
      </c>
      <c r="I53" s="437"/>
      <c r="J53" s="437">
        <v>3.84</v>
      </c>
      <c r="K53" s="437"/>
      <c r="L53" s="437">
        <v>3.88</v>
      </c>
      <c r="M53" s="418"/>
      <c r="N53" s="467"/>
      <c r="O53" s="467"/>
      <c r="Q53" s="467"/>
      <c r="T53" s="467"/>
    </row>
    <row r="54" spans="2:20" s="416" customFormat="1" ht="7" customHeight="1">
      <c r="B54" s="454"/>
      <c r="C54" s="445"/>
      <c r="E54" s="417"/>
      <c r="F54" s="417"/>
      <c r="G54" s="452"/>
      <c r="H54" s="437"/>
      <c r="I54" s="437"/>
      <c r="J54" s="437"/>
      <c r="K54" s="437"/>
      <c r="L54" s="437"/>
      <c r="M54" s="418"/>
      <c r="N54" s="467"/>
      <c r="O54" s="467"/>
      <c r="Q54" s="467"/>
      <c r="T54" s="467"/>
    </row>
    <row r="55" spans="2:20" s="416" customFormat="1" ht="15.5" customHeight="1">
      <c r="B55" s="468" t="s">
        <v>553</v>
      </c>
      <c r="C55" s="445"/>
      <c r="E55" s="417"/>
      <c r="F55" s="417"/>
      <c r="G55" s="452"/>
      <c r="H55" s="437"/>
      <c r="I55" s="432"/>
      <c r="J55" s="437"/>
      <c r="K55" s="437"/>
      <c r="L55" s="437"/>
      <c r="M55" s="418"/>
      <c r="N55" s="467"/>
      <c r="O55" s="467"/>
      <c r="Q55" s="467"/>
      <c r="T55" s="467"/>
    </row>
    <row r="56" spans="2:20" s="416" customFormat="1" ht="15.5" customHeight="1">
      <c r="B56" s="469" t="s">
        <v>554</v>
      </c>
      <c r="C56" s="445"/>
      <c r="E56" s="417"/>
      <c r="F56" s="417"/>
      <c r="G56" s="452"/>
      <c r="H56" s="437"/>
      <c r="I56" s="432"/>
      <c r="J56" s="437"/>
      <c r="K56" s="437"/>
      <c r="L56" s="437"/>
      <c r="M56" s="418"/>
      <c r="N56" s="467"/>
      <c r="O56" s="467"/>
      <c r="P56" s="467"/>
      <c r="Q56" s="467"/>
      <c r="R56" s="467"/>
      <c r="S56" s="467"/>
      <c r="T56" s="467"/>
    </row>
    <row r="57" spans="2:20" s="416" customFormat="1" ht="7" customHeight="1">
      <c r="B57" s="470"/>
      <c r="C57" s="445"/>
      <c r="E57" s="417"/>
      <c r="F57" s="417"/>
      <c r="G57" s="452"/>
      <c r="H57" s="437"/>
      <c r="I57" s="432"/>
      <c r="J57" s="437"/>
      <c r="K57" s="437"/>
      <c r="L57" s="437"/>
      <c r="M57" s="418"/>
      <c r="N57" s="467"/>
      <c r="O57" s="467"/>
      <c r="P57" s="467"/>
      <c r="Q57" s="467"/>
      <c r="R57" s="467"/>
      <c r="S57" s="467"/>
      <c r="T57" s="467"/>
    </row>
    <row r="58" spans="2:20" s="416" customFormat="1" ht="14.25" customHeight="1">
      <c r="B58" s="435" t="s">
        <v>555</v>
      </c>
      <c r="C58" s="445"/>
      <c r="E58" s="436" t="s">
        <v>526</v>
      </c>
      <c r="F58" s="436"/>
      <c r="G58" s="452"/>
      <c r="H58" s="437">
        <v>4.1900000000000004</v>
      </c>
      <c r="I58" s="437"/>
      <c r="J58" s="437">
        <v>4.82</v>
      </c>
      <c r="K58" s="437"/>
      <c r="L58" s="437">
        <v>5.08</v>
      </c>
      <c r="M58" s="418"/>
      <c r="N58" s="467"/>
      <c r="O58" s="467"/>
      <c r="P58" s="467"/>
      <c r="Q58" s="467"/>
      <c r="R58" s="467"/>
      <c r="S58" s="467"/>
      <c r="T58" s="467"/>
    </row>
    <row r="59" spans="2:20" s="416" customFormat="1" ht="14.25" customHeight="1">
      <c r="B59" s="435" t="s">
        <v>555</v>
      </c>
      <c r="C59" s="445"/>
      <c r="E59" s="436" t="s">
        <v>556</v>
      </c>
      <c r="F59" s="436"/>
      <c r="G59" s="452"/>
      <c r="H59" s="437">
        <v>4.6399999999999997</v>
      </c>
      <c r="I59" s="437"/>
      <c r="J59" s="437">
        <v>5.13</v>
      </c>
      <c r="K59" s="437"/>
      <c r="L59" s="437">
        <v>5.13</v>
      </c>
      <c r="M59" s="418"/>
      <c r="N59" s="467"/>
      <c r="O59" s="467"/>
      <c r="P59" s="467"/>
      <c r="Q59" s="467"/>
      <c r="R59" s="467"/>
      <c r="S59" s="467"/>
      <c r="T59" s="467"/>
    </row>
    <row r="60" spans="2:20" s="416" customFormat="1" ht="14.25" customHeight="1">
      <c r="B60" s="435" t="s">
        <v>557</v>
      </c>
      <c r="C60" s="445"/>
      <c r="E60" s="436" t="s">
        <v>558</v>
      </c>
      <c r="F60" s="436"/>
      <c r="G60" s="452"/>
      <c r="H60" s="437">
        <v>5.67</v>
      </c>
      <c r="I60" s="437"/>
      <c r="J60" s="437">
        <v>5.89</v>
      </c>
      <c r="K60" s="437"/>
      <c r="L60" s="437">
        <v>6.34</v>
      </c>
      <c r="M60" s="418"/>
      <c r="N60" s="467"/>
      <c r="O60" s="467"/>
      <c r="P60" s="467"/>
      <c r="Q60" s="467"/>
      <c r="R60" s="467"/>
      <c r="S60" s="467"/>
      <c r="T60" s="467"/>
    </row>
    <row r="61" spans="2:20" s="416" customFormat="1" ht="14.25" customHeight="1">
      <c r="B61" s="435" t="s">
        <v>559</v>
      </c>
      <c r="C61" s="445"/>
      <c r="E61" s="436" t="s">
        <v>560</v>
      </c>
      <c r="F61" s="436"/>
      <c r="G61" s="452"/>
      <c r="H61" s="437">
        <v>4.16</v>
      </c>
      <c r="I61" s="437"/>
      <c r="J61" s="437">
        <v>4.4000000000000004</v>
      </c>
      <c r="K61" s="437"/>
      <c r="L61" s="437">
        <v>4.87</v>
      </c>
      <c r="M61" s="418"/>
      <c r="N61" s="467"/>
      <c r="O61" s="467"/>
      <c r="P61" s="467"/>
      <c r="Q61" s="467"/>
      <c r="R61" s="467"/>
      <c r="S61" s="467"/>
      <c r="T61" s="467"/>
    </row>
    <row r="62" spans="2:20" s="416" customFormat="1" ht="14.25" customHeight="1">
      <c r="B62" s="435" t="s">
        <v>561</v>
      </c>
      <c r="C62" s="445"/>
      <c r="E62" s="436" t="s">
        <v>562</v>
      </c>
      <c r="F62" s="436"/>
      <c r="G62" s="452"/>
      <c r="H62" s="437">
        <v>3.65</v>
      </c>
      <c r="I62" s="437"/>
      <c r="J62" s="437">
        <v>3.94</v>
      </c>
      <c r="K62" s="437"/>
      <c r="L62" s="437">
        <v>4.21</v>
      </c>
      <c r="M62" s="418"/>
      <c r="N62" s="467"/>
      <c r="O62" s="467"/>
      <c r="P62" s="467"/>
      <c r="Q62" s="467"/>
      <c r="R62" s="467"/>
      <c r="S62" s="467"/>
      <c r="T62" s="467"/>
    </row>
    <row r="63" spans="2:20" s="416" customFormat="1" ht="14.25" customHeight="1">
      <c r="B63" s="435" t="s">
        <v>563</v>
      </c>
      <c r="C63" s="445"/>
      <c r="E63" s="436" t="s">
        <v>564</v>
      </c>
      <c r="F63" s="436"/>
      <c r="G63" s="452"/>
      <c r="H63" s="437" t="s">
        <v>438</v>
      </c>
      <c r="I63" s="437"/>
      <c r="J63" s="437" t="s">
        <v>438</v>
      </c>
      <c r="K63" s="437"/>
      <c r="L63" s="437">
        <v>7.97</v>
      </c>
      <c r="M63" s="418"/>
      <c r="N63" s="467"/>
      <c r="O63" s="467"/>
      <c r="P63" s="467"/>
      <c r="Q63" s="467"/>
      <c r="R63" s="467"/>
      <c r="S63" s="467"/>
      <c r="T63" s="467"/>
    </row>
    <row r="64" spans="2:20" s="416" customFormat="1" ht="14.25" customHeight="1">
      <c r="B64" s="435" t="s">
        <v>565</v>
      </c>
      <c r="C64" s="445"/>
      <c r="E64" s="436" t="s">
        <v>566</v>
      </c>
      <c r="F64" s="436"/>
      <c r="G64" s="452"/>
      <c r="H64" s="437">
        <v>6.93</v>
      </c>
      <c r="I64" s="437"/>
      <c r="J64" s="437">
        <v>7.09</v>
      </c>
      <c r="K64" s="437"/>
      <c r="L64" s="437">
        <v>7.19</v>
      </c>
      <c r="M64" s="418"/>
      <c r="N64" s="467"/>
      <c r="O64" s="467"/>
      <c r="P64" s="467"/>
      <c r="Q64" s="467"/>
      <c r="R64" s="467"/>
      <c r="S64" s="467"/>
      <c r="T64" s="467"/>
    </row>
    <row r="65" spans="2:20" s="416" customFormat="1" ht="14.25" customHeight="1">
      <c r="B65" s="435" t="s">
        <v>567</v>
      </c>
      <c r="C65" s="445"/>
      <c r="E65" s="436" t="s">
        <v>568</v>
      </c>
      <c r="F65" s="436"/>
      <c r="G65" s="452"/>
      <c r="H65" s="437">
        <v>1.93</v>
      </c>
      <c r="I65" s="437"/>
      <c r="J65" s="437">
        <v>2.12</v>
      </c>
      <c r="K65" s="437"/>
      <c r="L65" s="437">
        <v>2.31</v>
      </c>
      <c r="M65" s="418"/>
      <c r="N65" s="467"/>
      <c r="O65" s="467"/>
      <c r="P65" s="467"/>
      <c r="Q65" s="467"/>
      <c r="R65" s="467"/>
      <c r="S65" s="467"/>
      <c r="T65" s="467"/>
    </row>
    <row r="66" spans="2:20" s="416" customFormat="1" ht="14.25" customHeight="1">
      <c r="B66" s="435" t="s">
        <v>569</v>
      </c>
      <c r="C66" s="445"/>
      <c r="E66" s="436" t="s">
        <v>570</v>
      </c>
      <c r="F66" s="436"/>
      <c r="G66" s="452"/>
      <c r="H66" s="437">
        <v>5.21</v>
      </c>
      <c r="I66" s="437"/>
      <c r="J66" s="437">
        <v>5.35</v>
      </c>
      <c r="K66" s="437"/>
      <c r="L66" s="437">
        <v>5.67</v>
      </c>
      <c r="M66" s="418"/>
      <c r="N66" s="467"/>
      <c r="O66" s="467"/>
      <c r="P66" s="467"/>
      <c r="Q66" s="467"/>
      <c r="R66" s="467"/>
      <c r="S66" s="467"/>
      <c r="T66" s="467"/>
    </row>
    <row r="67" spans="2:20" s="416" customFormat="1" ht="14.25" customHeight="1">
      <c r="B67" s="435" t="s">
        <v>567</v>
      </c>
      <c r="C67" s="445"/>
      <c r="E67" s="436" t="s">
        <v>571</v>
      </c>
      <c r="F67" s="436"/>
      <c r="G67" s="452"/>
      <c r="H67" s="437">
        <v>9.64</v>
      </c>
      <c r="I67" s="437"/>
      <c r="J67" s="437">
        <v>10.199999999999999</v>
      </c>
      <c r="K67" s="437"/>
      <c r="L67" s="437">
        <v>10.45</v>
      </c>
      <c r="M67" s="418"/>
      <c r="N67" s="467"/>
      <c r="O67" s="467"/>
      <c r="P67" s="467"/>
      <c r="Q67" s="467"/>
      <c r="R67" s="467"/>
      <c r="S67" s="467"/>
      <c r="T67" s="467"/>
    </row>
    <row r="68" spans="2:20" s="416" customFormat="1" ht="7" customHeight="1">
      <c r="B68" s="454"/>
      <c r="C68" s="445"/>
      <c r="E68" s="417"/>
      <c r="F68" s="417"/>
      <c r="G68" s="452"/>
      <c r="H68" s="437"/>
      <c r="I68" s="437"/>
      <c r="J68" s="437"/>
      <c r="K68" s="437"/>
      <c r="L68" s="437"/>
      <c r="M68" s="418"/>
      <c r="N68" s="467"/>
      <c r="O68" s="467"/>
      <c r="P68" s="467"/>
      <c r="Q68" s="467"/>
      <c r="R68" s="467"/>
      <c r="S68" s="467"/>
      <c r="T68" s="467"/>
    </row>
    <row r="69" spans="2:20" s="416" customFormat="1" ht="15.5" customHeight="1">
      <c r="B69" s="431" t="s">
        <v>572</v>
      </c>
      <c r="C69" s="445"/>
      <c r="E69" s="417"/>
      <c r="F69" s="417"/>
      <c r="G69" s="440"/>
      <c r="H69" s="437"/>
      <c r="I69" s="437"/>
      <c r="J69" s="437"/>
      <c r="K69" s="437"/>
      <c r="L69" s="437"/>
      <c r="N69" s="467"/>
      <c r="O69" s="467"/>
      <c r="P69" s="467"/>
      <c r="Q69" s="467"/>
      <c r="R69" s="467"/>
      <c r="S69" s="467"/>
      <c r="T69" s="467"/>
    </row>
    <row r="70" spans="2:20" s="416" customFormat="1" ht="15.5" customHeight="1">
      <c r="B70" s="434" t="s">
        <v>573</v>
      </c>
      <c r="C70" s="445"/>
      <c r="E70" s="417"/>
      <c r="F70" s="417"/>
      <c r="G70" s="440"/>
      <c r="H70" s="437"/>
      <c r="I70" s="437"/>
      <c r="J70" s="437"/>
      <c r="K70" s="437"/>
      <c r="L70" s="437"/>
      <c r="N70" s="467"/>
      <c r="O70" s="467"/>
      <c r="P70" s="467"/>
      <c r="Q70" s="467"/>
      <c r="R70" s="467"/>
      <c r="S70" s="467"/>
      <c r="T70" s="467"/>
    </row>
    <row r="71" spans="2:20" s="416" customFormat="1" ht="7" customHeight="1">
      <c r="B71" s="434"/>
      <c r="C71" s="445"/>
      <c r="E71" s="417"/>
      <c r="F71" s="417"/>
      <c r="G71" s="440"/>
      <c r="H71" s="437"/>
      <c r="I71" s="437"/>
      <c r="J71" s="437"/>
      <c r="K71" s="437"/>
      <c r="L71" s="437"/>
      <c r="N71" s="467"/>
      <c r="O71" s="467"/>
      <c r="P71" s="467"/>
      <c r="Q71" s="467"/>
      <c r="R71" s="467"/>
      <c r="S71" s="467"/>
      <c r="T71" s="467"/>
    </row>
    <row r="72" spans="2:20" s="416" customFormat="1" ht="14.25" customHeight="1">
      <c r="B72" s="435" t="s">
        <v>574</v>
      </c>
      <c r="C72" s="445"/>
      <c r="E72" s="436" t="s">
        <v>575</v>
      </c>
      <c r="F72" s="436"/>
      <c r="G72" s="471"/>
      <c r="H72" s="437">
        <v>6.58</v>
      </c>
      <c r="I72" s="437"/>
      <c r="J72" s="437">
        <v>6.85</v>
      </c>
      <c r="K72" s="437"/>
      <c r="L72" s="437">
        <v>7.1</v>
      </c>
      <c r="N72" s="467"/>
      <c r="O72" s="467"/>
      <c r="P72" s="467"/>
      <c r="Q72" s="467"/>
      <c r="R72" s="467"/>
      <c r="S72" s="467"/>
      <c r="T72" s="467"/>
    </row>
    <row r="73" spans="2:20" s="416" customFormat="1" ht="14.25" customHeight="1">
      <c r="B73" s="435" t="s">
        <v>576</v>
      </c>
      <c r="C73" s="445"/>
      <c r="E73" s="436" t="s">
        <v>577</v>
      </c>
      <c r="F73" s="436"/>
      <c r="G73" s="440"/>
      <c r="H73" s="437" t="s">
        <v>438</v>
      </c>
      <c r="I73" s="437"/>
      <c r="J73" s="437" t="s">
        <v>438</v>
      </c>
      <c r="K73" s="437"/>
      <c r="L73" s="437">
        <v>14.48</v>
      </c>
      <c r="N73" s="467"/>
      <c r="O73" s="467"/>
      <c r="P73" s="467"/>
      <c r="Q73" s="467"/>
      <c r="R73" s="467"/>
      <c r="S73" s="467"/>
      <c r="T73" s="467"/>
    </row>
    <row r="74" spans="2:20" s="416" customFormat="1" ht="14.25" customHeight="1">
      <c r="B74" s="441" t="s">
        <v>578</v>
      </c>
      <c r="C74" s="445"/>
      <c r="E74" s="436" t="s">
        <v>579</v>
      </c>
      <c r="F74" s="436"/>
      <c r="G74" s="440"/>
      <c r="H74" s="437">
        <v>1.03</v>
      </c>
      <c r="I74" s="437"/>
      <c r="J74" s="437">
        <v>1.0900000000000001</v>
      </c>
      <c r="K74" s="437"/>
      <c r="L74" s="437">
        <v>1.28</v>
      </c>
      <c r="N74" s="467"/>
      <c r="O74" s="467"/>
      <c r="P74" s="467"/>
      <c r="Q74" s="467"/>
      <c r="R74" s="467"/>
      <c r="S74" s="467"/>
      <c r="T74" s="467"/>
    </row>
    <row r="75" spans="2:20" s="416" customFormat="1" ht="14.25" customHeight="1">
      <c r="B75" s="435" t="s">
        <v>580</v>
      </c>
      <c r="C75" s="445"/>
      <c r="E75" s="436" t="s">
        <v>581</v>
      </c>
      <c r="F75" s="436"/>
      <c r="G75" s="440"/>
      <c r="H75" s="437">
        <v>13.88</v>
      </c>
      <c r="I75" s="437"/>
      <c r="J75" s="437">
        <v>14.28</v>
      </c>
      <c r="K75" s="437"/>
      <c r="L75" s="437">
        <v>14.74</v>
      </c>
      <c r="N75" s="467"/>
      <c r="O75" s="467"/>
      <c r="P75" s="467"/>
      <c r="Q75" s="467"/>
      <c r="R75" s="467"/>
      <c r="S75" s="467"/>
      <c r="T75" s="467"/>
    </row>
    <row r="76" spans="2:20" s="416" customFormat="1" ht="14.25" customHeight="1">
      <c r="B76" s="435" t="s">
        <v>582</v>
      </c>
      <c r="C76" s="445"/>
      <c r="E76" s="436" t="s">
        <v>583</v>
      </c>
      <c r="F76" s="436"/>
      <c r="G76" s="440"/>
      <c r="H76" s="437">
        <v>15.89</v>
      </c>
      <c r="I76" s="437"/>
      <c r="J76" s="437">
        <v>16.71</v>
      </c>
      <c r="K76" s="437"/>
      <c r="L76" s="437">
        <v>16.89</v>
      </c>
      <c r="N76" s="467"/>
      <c r="O76" s="467"/>
      <c r="P76" s="467"/>
      <c r="Q76" s="467"/>
      <c r="R76" s="467"/>
      <c r="S76" s="467"/>
      <c r="T76" s="467"/>
    </row>
    <row r="77" spans="2:20" s="416" customFormat="1" ht="14.25" customHeight="1">
      <c r="B77" s="435" t="s">
        <v>584</v>
      </c>
      <c r="C77" s="445"/>
      <c r="E77" s="436" t="s">
        <v>513</v>
      </c>
      <c r="F77" s="436"/>
      <c r="G77" s="440"/>
      <c r="H77" s="437">
        <v>1.3</v>
      </c>
      <c r="I77" s="437"/>
      <c r="J77" s="437">
        <v>1.41</v>
      </c>
      <c r="K77" s="437"/>
      <c r="L77" s="437">
        <v>1.43</v>
      </c>
      <c r="N77" s="467"/>
      <c r="O77" s="467"/>
      <c r="P77" s="467"/>
      <c r="Q77" s="467"/>
      <c r="R77" s="467"/>
      <c r="S77" s="467"/>
      <c r="T77" s="467"/>
    </row>
    <row r="78" spans="2:20" s="416" customFormat="1" ht="14.25" customHeight="1">
      <c r="B78" s="435" t="s">
        <v>585</v>
      </c>
      <c r="C78" s="445"/>
      <c r="E78" s="436" t="s">
        <v>586</v>
      </c>
      <c r="F78" s="436"/>
      <c r="G78" s="440"/>
      <c r="H78" s="437">
        <v>13.41</v>
      </c>
      <c r="I78" s="437"/>
      <c r="J78" s="437">
        <v>14.06</v>
      </c>
      <c r="K78" s="437"/>
      <c r="L78" s="437">
        <v>14.97</v>
      </c>
      <c r="N78" s="467"/>
      <c r="O78" s="467"/>
      <c r="P78" s="467"/>
      <c r="Q78" s="467"/>
      <c r="R78" s="467"/>
      <c r="S78" s="467"/>
      <c r="T78" s="467"/>
    </row>
    <row r="79" spans="2:20" s="416" customFormat="1" ht="14.25" customHeight="1">
      <c r="B79" s="435" t="s">
        <v>587</v>
      </c>
      <c r="C79" s="445"/>
      <c r="E79" s="436" t="s">
        <v>588</v>
      </c>
      <c r="F79" s="436"/>
      <c r="G79" s="440"/>
      <c r="H79" s="437">
        <v>3.51</v>
      </c>
      <c r="I79" s="437"/>
      <c r="J79" s="437">
        <v>3.65</v>
      </c>
      <c r="K79" s="437"/>
      <c r="L79" s="437">
        <v>3.79</v>
      </c>
      <c r="N79" s="467"/>
      <c r="O79" s="467"/>
      <c r="P79" s="467"/>
      <c r="Q79" s="467"/>
      <c r="R79" s="467"/>
      <c r="S79" s="467"/>
      <c r="T79" s="467"/>
    </row>
    <row r="80" spans="2:20" s="416" customFormat="1" ht="14.25" customHeight="1">
      <c r="B80" s="435" t="s">
        <v>589</v>
      </c>
      <c r="C80" s="445"/>
      <c r="E80" s="436" t="s">
        <v>590</v>
      </c>
      <c r="F80" s="436"/>
      <c r="G80" s="440"/>
      <c r="H80" s="437">
        <v>9.6199999999999992</v>
      </c>
      <c r="I80" s="437"/>
      <c r="J80" s="437">
        <v>10.45</v>
      </c>
      <c r="K80" s="437"/>
      <c r="L80" s="437">
        <v>10.58</v>
      </c>
      <c r="N80" s="467"/>
      <c r="O80" s="467"/>
      <c r="P80" s="467"/>
      <c r="Q80" s="467"/>
      <c r="R80" s="467"/>
      <c r="S80" s="467"/>
      <c r="T80" s="467"/>
    </row>
    <row r="81" spans="1:20" s="416" customFormat="1" ht="14.25" customHeight="1">
      <c r="B81" s="435" t="s">
        <v>591</v>
      </c>
      <c r="C81" s="445"/>
      <c r="E81" s="436" t="s">
        <v>592</v>
      </c>
      <c r="F81" s="436"/>
      <c r="G81" s="440"/>
      <c r="H81" s="437" t="s">
        <v>438</v>
      </c>
      <c r="I81" s="437"/>
      <c r="J81" s="437" t="s">
        <v>438</v>
      </c>
      <c r="K81" s="437"/>
      <c r="L81" s="437">
        <v>20.53</v>
      </c>
      <c r="N81" s="467"/>
      <c r="O81" s="467"/>
      <c r="P81" s="467"/>
      <c r="Q81" s="467"/>
      <c r="R81" s="467"/>
      <c r="S81" s="467"/>
      <c r="T81" s="467"/>
    </row>
    <row r="82" spans="1:20" s="416" customFormat="1" ht="14.25" customHeight="1">
      <c r="B82" s="435" t="s">
        <v>593</v>
      </c>
      <c r="C82" s="445"/>
      <c r="E82" s="436" t="s">
        <v>594</v>
      </c>
      <c r="F82" s="436"/>
      <c r="G82" s="440"/>
      <c r="H82" s="437" t="s">
        <v>438</v>
      </c>
      <c r="I82" s="437"/>
      <c r="J82" s="437" t="s">
        <v>438</v>
      </c>
      <c r="K82" s="437"/>
      <c r="L82" s="437">
        <v>4.96</v>
      </c>
      <c r="N82" s="467"/>
      <c r="O82" s="467"/>
      <c r="P82" s="467"/>
      <c r="Q82" s="467"/>
      <c r="R82" s="467"/>
      <c r="S82" s="467"/>
      <c r="T82" s="467"/>
    </row>
    <row r="83" spans="1:20" s="416" customFormat="1" ht="14.25" customHeight="1">
      <c r="B83" s="435" t="s">
        <v>595</v>
      </c>
      <c r="C83" s="445"/>
      <c r="E83" s="436" t="s">
        <v>596</v>
      </c>
      <c r="F83" s="436"/>
      <c r="G83" s="440"/>
      <c r="H83" s="437" t="s">
        <v>438</v>
      </c>
      <c r="I83" s="437"/>
      <c r="J83" s="437" t="s">
        <v>438</v>
      </c>
      <c r="K83" s="437"/>
      <c r="L83" s="437">
        <v>8.58</v>
      </c>
      <c r="N83" s="467"/>
      <c r="O83" s="467"/>
      <c r="P83" s="467"/>
      <c r="Q83" s="467"/>
      <c r="R83" s="467"/>
      <c r="S83" s="467"/>
      <c r="T83" s="467"/>
    </row>
    <row r="84" spans="1:20" s="416" customFormat="1" ht="6.75" customHeight="1">
      <c r="B84" s="435"/>
      <c r="C84" s="445"/>
      <c r="E84" s="436"/>
      <c r="F84" s="436"/>
      <c r="G84" s="452"/>
      <c r="H84" s="437"/>
      <c r="I84" s="437"/>
      <c r="J84" s="437"/>
      <c r="K84" s="437"/>
      <c r="L84" s="437"/>
    </row>
    <row r="85" spans="1:20" s="416" customFormat="1" ht="7.5" customHeight="1" thickBot="1">
      <c r="A85" s="472"/>
      <c r="B85" s="473"/>
      <c r="C85" s="474"/>
      <c r="D85" s="472"/>
      <c r="E85" s="475"/>
      <c r="F85" s="475"/>
      <c r="G85" s="472"/>
      <c r="H85" s="476"/>
      <c r="I85" s="476"/>
      <c r="J85" s="476"/>
      <c r="K85" s="476"/>
      <c r="L85" s="476"/>
      <c r="M85" s="473"/>
    </row>
    <row r="86" spans="1:20" ht="14" customHeight="1">
      <c r="G86" s="1322" t="s">
        <v>32</v>
      </c>
      <c r="H86" s="1322"/>
      <c r="I86" s="1322"/>
      <c r="J86" s="1322"/>
      <c r="K86" s="1322"/>
      <c r="L86" s="1322"/>
      <c r="M86" s="1322"/>
    </row>
    <row r="87" spans="1:20" ht="14" customHeight="1">
      <c r="G87" s="1323" t="s">
        <v>33</v>
      </c>
      <c r="H87" s="1323"/>
      <c r="I87" s="1323"/>
      <c r="J87" s="1323"/>
      <c r="K87" s="1323"/>
      <c r="L87" s="1323"/>
      <c r="M87" s="1323"/>
    </row>
    <row r="88" spans="1:20" ht="14" customHeight="1">
      <c r="H88" s="477"/>
      <c r="I88" s="477"/>
      <c r="J88" s="477"/>
      <c r="K88" s="477"/>
      <c r="L88" s="477"/>
      <c r="M88" s="477"/>
    </row>
    <row r="89" spans="1:20" ht="14" customHeight="1">
      <c r="B89" s="174" t="s">
        <v>501</v>
      </c>
      <c r="G89" s="477"/>
      <c r="H89" s="477"/>
      <c r="I89" s="477"/>
      <c r="J89" s="477"/>
      <c r="K89" s="477"/>
      <c r="L89" s="477"/>
      <c r="M89" s="477"/>
    </row>
    <row r="90" spans="1:20" ht="14" customHeight="1">
      <c r="B90" s="105" t="s">
        <v>502</v>
      </c>
      <c r="G90" s="477"/>
      <c r="H90" s="477"/>
      <c r="I90" s="477"/>
      <c r="J90" s="477"/>
      <c r="K90" s="477"/>
      <c r="L90" s="477"/>
      <c r="M90" s="477"/>
    </row>
    <row r="91" spans="1:20" ht="14" customHeight="1">
      <c r="B91" s="107" t="s">
        <v>503</v>
      </c>
      <c r="G91" s="477"/>
      <c r="H91" s="477"/>
      <c r="I91" s="477"/>
      <c r="J91" s="477"/>
      <c r="K91" s="477"/>
      <c r="L91" s="477"/>
      <c r="M91" s="477"/>
    </row>
    <row r="92" spans="1:20" ht="14" customHeight="1">
      <c r="B92" s="105" t="s">
        <v>504</v>
      </c>
      <c r="G92" s="1323"/>
      <c r="H92" s="1323"/>
      <c r="I92" s="1323"/>
      <c r="J92" s="1323"/>
      <c r="K92" s="1323"/>
      <c r="L92" s="1323"/>
      <c r="M92" s="1323"/>
    </row>
    <row r="93" spans="1:20" ht="15.75" customHeight="1">
      <c r="B93" s="107" t="s">
        <v>505</v>
      </c>
    </row>
    <row r="94" spans="1:20" ht="15.75" customHeight="1"/>
    <row r="95" spans="1:20" ht="15.75" customHeight="1"/>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7">
    <mergeCell ref="G92:M92"/>
    <mergeCell ref="C3:J4"/>
    <mergeCell ref="C5:J6"/>
    <mergeCell ref="B9:C11"/>
    <mergeCell ref="B17:C17"/>
    <mergeCell ref="G86:M86"/>
    <mergeCell ref="G87:M87"/>
  </mergeCells>
  <conditionalFormatting sqref="E16:F16">
    <cfRule type="cellIs" dxfId="25"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8AB2-78F2-403C-82EE-4E77F57249A7}">
  <sheetPr codeName="Sheet42">
    <pageSetUpPr fitToPage="1"/>
  </sheetPr>
  <dimension ref="A1:K54"/>
  <sheetViews>
    <sheetView view="pageBreakPreview" zoomScale="90" zoomScaleNormal="100" zoomScaleSheetLayoutView="90" workbookViewId="0">
      <selection activeCell="D60" sqref="D60"/>
    </sheetView>
  </sheetViews>
  <sheetFormatPr baseColWidth="10" defaultColWidth="8.83203125" defaultRowHeight="15"/>
  <cols>
    <col min="1" max="1" width="3.83203125" customWidth="1"/>
    <col min="2" max="2" width="12.5" customWidth="1"/>
    <col min="3" max="3" width="47.5" customWidth="1"/>
    <col min="4" max="4" width="15.33203125" customWidth="1"/>
    <col min="5" max="5" width="11.5" customWidth="1"/>
    <col min="6" max="6" width="11.6640625" customWidth="1"/>
    <col min="7" max="7" width="14.5" customWidth="1"/>
  </cols>
  <sheetData>
    <row r="1" spans="1:11" s="275" customFormat="1" ht="16.5" customHeight="1">
      <c r="B1" s="2" t="s">
        <v>597</v>
      </c>
      <c r="C1" s="3" t="s">
        <v>598</v>
      </c>
      <c r="D1" s="3"/>
      <c r="E1" s="3"/>
      <c r="F1" s="3"/>
      <c r="G1" s="3"/>
      <c r="K1" s="276"/>
    </row>
    <row r="2" spans="1:11" s="275" customFormat="1" ht="16.5" customHeight="1">
      <c r="B2" s="2"/>
      <c r="C2" s="3" t="s">
        <v>599</v>
      </c>
      <c r="D2" s="3"/>
      <c r="E2" s="3"/>
      <c r="F2" s="3"/>
      <c r="G2" s="3"/>
      <c r="K2" s="276"/>
    </row>
    <row r="3" spans="1:11" s="275" customFormat="1" ht="16.5" customHeight="1">
      <c r="B3" s="5" t="s">
        <v>600</v>
      </c>
      <c r="C3" s="478" t="s">
        <v>601</v>
      </c>
      <c r="D3" s="478"/>
      <c r="E3" s="478"/>
      <c r="F3" s="478"/>
      <c r="G3" s="478"/>
      <c r="H3" s="278"/>
      <c r="I3" s="278"/>
      <c r="J3" s="278"/>
      <c r="K3" s="276"/>
    </row>
    <row r="4" spans="1:11" s="282" customFormat="1" ht="14">
      <c r="B4" s="371"/>
      <c r="C4" s="479" t="s">
        <v>602</v>
      </c>
    </row>
    <row r="5" spans="1:11" s="282" customFormat="1" thickBot="1">
      <c r="A5" s="298"/>
      <c r="B5" s="372"/>
    </row>
    <row r="6" spans="1:11" s="480" customFormat="1" ht="20" customHeight="1">
      <c r="B6" s="1325" t="s">
        <v>603</v>
      </c>
      <c r="C6" s="1325"/>
      <c r="D6" s="481"/>
      <c r="E6" s="481">
        <v>2022</v>
      </c>
      <c r="F6" s="481">
        <v>2023</v>
      </c>
      <c r="G6" s="481">
        <v>2024</v>
      </c>
    </row>
    <row r="7" spans="1:11" s="480" customFormat="1" ht="17.25" customHeight="1" thickBot="1">
      <c r="A7" s="482"/>
      <c r="B7" s="1326" t="s">
        <v>604</v>
      </c>
      <c r="C7" s="1326"/>
      <c r="D7" s="482"/>
      <c r="E7" s="302"/>
      <c r="F7" s="483" t="s">
        <v>605</v>
      </c>
      <c r="G7" s="302"/>
    </row>
    <row r="8" spans="1:11" s="480" customFormat="1" ht="11.25" customHeight="1">
      <c r="B8" s="484"/>
      <c r="C8" s="312"/>
      <c r="E8" s="312"/>
      <c r="F8" s="309"/>
      <c r="G8" s="312"/>
    </row>
    <row r="9" spans="1:11" s="480" customFormat="1" ht="16.5" customHeight="1">
      <c r="B9" s="1327" t="s">
        <v>606</v>
      </c>
      <c r="C9" s="1327"/>
      <c r="D9" s="309"/>
      <c r="E9" s="385"/>
      <c r="F9" s="385"/>
      <c r="G9" s="385"/>
    </row>
    <row r="10" spans="1:11" s="480" customFormat="1" ht="15.25" customHeight="1">
      <c r="B10" s="1328" t="s">
        <v>607</v>
      </c>
      <c r="C10" s="1328"/>
      <c r="D10" s="309"/>
      <c r="E10" s="385"/>
      <c r="F10" s="385"/>
      <c r="G10" s="385"/>
    </row>
    <row r="11" spans="1:11" s="480" customFormat="1" ht="17.25" customHeight="1">
      <c r="B11" s="484"/>
      <c r="C11" s="312"/>
      <c r="D11" s="309"/>
      <c r="E11" s="385"/>
      <c r="F11" s="385"/>
      <c r="G11" s="385"/>
    </row>
    <row r="12" spans="1:11" s="480" customFormat="1" ht="13.5" customHeight="1">
      <c r="B12" s="486" t="s">
        <v>386</v>
      </c>
      <c r="C12" s="487"/>
      <c r="D12" s="488"/>
      <c r="E12" s="385">
        <v>102.4</v>
      </c>
      <c r="F12" s="385">
        <v>112.1</v>
      </c>
      <c r="G12" s="385">
        <v>120.8</v>
      </c>
    </row>
    <row r="13" spans="1:11" s="480" customFormat="1" ht="13.5" customHeight="1">
      <c r="B13" s="92" t="s">
        <v>387</v>
      </c>
      <c r="C13" s="487"/>
      <c r="D13" s="488"/>
      <c r="E13" s="385"/>
      <c r="F13" s="385"/>
      <c r="G13" s="385"/>
    </row>
    <row r="14" spans="1:11" s="480" customFormat="1" ht="13">
      <c r="B14" s="312"/>
      <c r="C14" s="487"/>
      <c r="D14" s="488"/>
      <c r="E14" s="385"/>
      <c r="F14" s="385"/>
      <c r="G14" s="385"/>
    </row>
    <row r="15" spans="1:11" s="480" customFormat="1" ht="13.5" customHeight="1">
      <c r="B15" s="489" t="s">
        <v>608</v>
      </c>
      <c r="C15" s="487"/>
      <c r="D15" s="490"/>
      <c r="E15" s="395">
        <v>109.7</v>
      </c>
      <c r="F15" s="395">
        <v>142.80000000000001</v>
      </c>
      <c r="G15" s="395">
        <v>144.69999999999999</v>
      </c>
    </row>
    <row r="16" spans="1:11" s="480" customFormat="1" ht="13.5" customHeight="1">
      <c r="B16" s="491" t="s">
        <v>609</v>
      </c>
      <c r="C16" s="487"/>
      <c r="D16" s="490"/>
      <c r="E16" s="395"/>
      <c r="F16" s="395"/>
      <c r="G16" s="395"/>
    </row>
    <row r="17" spans="2:7" s="480" customFormat="1" ht="6.75" customHeight="1">
      <c r="B17" s="343"/>
      <c r="C17" s="487"/>
      <c r="D17" s="490"/>
      <c r="E17" s="395"/>
      <c r="F17" s="395"/>
      <c r="G17" s="395"/>
    </row>
    <row r="18" spans="2:7" s="480" customFormat="1" ht="13.5" customHeight="1">
      <c r="B18" s="489" t="s">
        <v>610</v>
      </c>
      <c r="C18" s="487"/>
      <c r="D18" s="490"/>
      <c r="E18" s="395">
        <v>65.5</v>
      </c>
      <c r="F18" s="395">
        <v>92.5</v>
      </c>
      <c r="G18" s="395">
        <v>104.2</v>
      </c>
    </row>
    <row r="19" spans="2:7" s="480" customFormat="1" ht="13.5" customHeight="1">
      <c r="B19" s="491" t="s">
        <v>611</v>
      </c>
      <c r="C19" s="487"/>
      <c r="D19" s="490"/>
      <c r="E19" s="395"/>
      <c r="F19" s="395"/>
      <c r="G19" s="395"/>
    </row>
    <row r="20" spans="2:7" s="480" customFormat="1" ht="6.75" customHeight="1">
      <c r="B20" s="343"/>
      <c r="C20" s="487"/>
      <c r="D20" s="490"/>
      <c r="E20" s="395"/>
      <c r="F20" s="395"/>
      <c r="G20" s="395"/>
    </row>
    <row r="21" spans="2:7" s="480" customFormat="1" ht="13.5" customHeight="1">
      <c r="B21" s="489" t="s">
        <v>612</v>
      </c>
      <c r="C21" s="487"/>
      <c r="D21" s="490"/>
      <c r="E21" s="395">
        <v>105.6</v>
      </c>
      <c r="F21" s="395">
        <v>111.4</v>
      </c>
      <c r="G21" s="395">
        <v>120.8</v>
      </c>
    </row>
    <row r="22" spans="2:7" s="480" customFormat="1" ht="13.5" customHeight="1">
      <c r="B22" s="491" t="s">
        <v>613</v>
      </c>
      <c r="C22" s="487"/>
      <c r="D22" s="490"/>
      <c r="E22" s="395"/>
      <c r="F22" s="395"/>
      <c r="G22" s="395"/>
    </row>
    <row r="23" spans="2:7" s="480" customFormat="1" ht="6.75" customHeight="1">
      <c r="B23" s="343"/>
      <c r="C23" s="487"/>
      <c r="D23" s="490"/>
      <c r="E23" s="395"/>
      <c r="F23" s="395"/>
      <c r="G23" s="395"/>
    </row>
    <row r="24" spans="2:7" s="480" customFormat="1" ht="13.5" customHeight="1">
      <c r="B24" s="1329" t="s">
        <v>614</v>
      </c>
      <c r="C24" s="1329"/>
      <c r="D24" s="490"/>
      <c r="E24" s="395">
        <v>117.1</v>
      </c>
      <c r="F24" s="395">
        <v>116.6</v>
      </c>
      <c r="G24" s="395">
        <v>117.4</v>
      </c>
    </row>
    <row r="25" spans="2:7" s="480" customFormat="1" ht="13.5" customHeight="1">
      <c r="B25" s="491" t="s">
        <v>615</v>
      </c>
      <c r="C25" s="487"/>
      <c r="D25" s="490"/>
      <c r="E25" s="395"/>
      <c r="F25" s="395"/>
      <c r="G25" s="395"/>
    </row>
    <row r="26" spans="2:7" s="480" customFormat="1" ht="6.75" customHeight="1">
      <c r="B26" s="343"/>
      <c r="C26" s="487"/>
      <c r="D26" s="490"/>
      <c r="E26" s="395"/>
      <c r="F26" s="395"/>
      <c r="G26" s="395"/>
    </row>
    <row r="27" spans="2:7" s="480" customFormat="1" ht="13.5" customHeight="1">
      <c r="B27" s="489" t="s">
        <v>616</v>
      </c>
      <c r="C27" s="487"/>
      <c r="D27" s="490"/>
      <c r="E27" s="395">
        <v>111.7</v>
      </c>
      <c r="F27" s="395">
        <v>112.3</v>
      </c>
      <c r="G27" s="395">
        <v>115.2</v>
      </c>
    </row>
    <row r="28" spans="2:7" s="480" customFormat="1" ht="15.75" customHeight="1">
      <c r="B28" s="491" t="s">
        <v>617</v>
      </c>
      <c r="C28" s="487"/>
      <c r="D28" s="492"/>
      <c r="E28" s="493"/>
      <c r="F28" s="493"/>
      <c r="G28" s="493"/>
    </row>
    <row r="29" spans="2:7" s="480" customFormat="1" ht="6.75" customHeight="1">
      <c r="B29" s="343"/>
      <c r="C29" s="487"/>
      <c r="D29" s="492"/>
      <c r="E29" s="493"/>
      <c r="F29" s="493"/>
      <c r="G29" s="493"/>
    </row>
    <row r="30" spans="2:7" s="290" customFormat="1" ht="14">
      <c r="E30" s="494"/>
      <c r="F30" s="494"/>
      <c r="G30" s="494"/>
    </row>
    <row r="31" spans="2:7" s="290" customFormat="1" ht="14">
      <c r="B31" s="495" t="s">
        <v>618</v>
      </c>
      <c r="E31" s="494"/>
      <c r="F31" s="494"/>
      <c r="G31" s="494"/>
    </row>
    <row r="32" spans="2:7" s="290" customFormat="1" ht="15.25" customHeight="1">
      <c r="B32" s="496" t="s">
        <v>619</v>
      </c>
      <c r="E32" s="494"/>
      <c r="F32" s="494"/>
      <c r="G32" s="494"/>
    </row>
    <row r="33" spans="2:7" s="290" customFormat="1" ht="14">
      <c r="B33" s="497"/>
      <c r="E33" s="494"/>
      <c r="F33" s="494"/>
      <c r="G33" s="494"/>
    </row>
    <row r="34" spans="2:7" s="480" customFormat="1" ht="13.5" customHeight="1">
      <c r="B34" s="486" t="s">
        <v>386</v>
      </c>
      <c r="C34" s="487"/>
      <c r="D34" s="488"/>
      <c r="E34" s="401">
        <v>-2.7</v>
      </c>
      <c r="F34" s="401">
        <v>9.5</v>
      </c>
      <c r="G34" s="385">
        <v>7.8</v>
      </c>
    </row>
    <row r="35" spans="2:7" s="480" customFormat="1" ht="13.5" customHeight="1">
      <c r="B35" s="92" t="s">
        <v>387</v>
      </c>
      <c r="C35" s="487"/>
      <c r="D35" s="488"/>
      <c r="E35" s="401"/>
      <c r="F35" s="401"/>
      <c r="G35" s="385"/>
    </row>
    <row r="36" spans="2:7" s="480" customFormat="1" ht="13">
      <c r="B36" s="312"/>
      <c r="C36" s="487"/>
      <c r="D36" s="488"/>
      <c r="E36" s="401"/>
      <c r="F36" s="401"/>
      <c r="G36" s="385"/>
    </row>
    <row r="37" spans="2:7" s="480" customFormat="1" ht="13.5" customHeight="1">
      <c r="B37" s="489" t="s">
        <v>608</v>
      </c>
      <c r="C37" s="487"/>
      <c r="D37" s="490"/>
      <c r="E37" s="399">
        <v>15.7</v>
      </c>
      <c r="F37" s="399">
        <v>30.2</v>
      </c>
      <c r="G37" s="395">
        <v>1.3</v>
      </c>
    </row>
    <row r="38" spans="2:7" s="480" customFormat="1" ht="13.5" customHeight="1">
      <c r="B38" s="491" t="s">
        <v>609</v>
      </c>
      <c r="C38" s="487"/>
      <c r="D38" s="490"/>
      <c r="E38" s="399"/>
      <c r="F38" s="399"/>
      <c r="G38" s="395"/>
    </row>
    <row r="39" spans="2:7" s="480" customFormat="1" ht="6.75" customHeight="1">
      <c r="B39" s="343"/>
      <c r="C39" s="487"/>
      <c r="D39" s="490"/>
      <c r="E39" s="399"/>
      <c r="F39" s="399"/>
      <c r="G39" s="395"/>
    </row>
    <row r="40" spans="2:7" s="480" customFormat="1" ht="13.5" customHeight="1">
      <c r="B40" s="489" t="s">
        <v>610</v>
      </c>
      <c r="C40" s="487"/>
      <c r="D40" s="490"/>
      <c r="E40" s="399">
        <v>-36.299999999999997</v>
      </c>
      <c r="F40" s="399">
        <v>41.2</v>
      </c>
      <c r="G40" s="395">
        <v>12.6</v>
      </c>
    </row>
    <row r="41" spans="2:7" s="480" customFormat="1" ht="13.5" customHeight="1">
      <c r="B41" s="491" t="s">
        <v>611</v>
      </c>
      <c r="C41" s="487"/>
      <c r="D41" s="490"/>
      <c r="E41" s="399"/>
      <c r="F41" s="399"/>
      <c r="G41" s="395"/>
    </row>
    <row r="42" spans="2:7" s="480" customFormat="1" ht="6.75" customHeight="1">
      <c r="B42" s="343"/>
      <c r="C42" s="487"/>
      <c r="D42" s="490"/>
      <c r="E42" s="399"/>
      <c r="F42" s="399"/>
      <c r="G42" s="395"/>
    </row>
    <row r="43" spans="2:7" s="480" customFormat="1" ht="13.5" customHeight="1">
      <c r="B43" s="489" t="s">
        <v>612</v>
      </c>
      <c r="C43" s="487"/>
      <c r="D43" s="490"/>
      <c r="E43" s="399">
        <v>-0.4</v>
      </c>
      <c r="F43" s="399">
        <v>5.5</v>
      </c>
      <c r="G43" s="395">
        <v>8.4</v>
      </c>
    </row>
    <row r="44" spans="2:7" s="480" customFormat="1" ht="13.5" customHeight="1">
      <c r="B44" s="491" t="s">
        <v>613</v>
      </c>
      <c r="C44" s="487"/>
      <c r="D44" s="490"/>
      <c r="E44" s="399"/>
      <c r="F44" s="399"/>
      <c r="G44" s="395"/>
    </row>
    <row r="45" spans="2:7" s="480" customFormat="1" ht="6.75" customHeight="1">
      <c r="B45" s="343"/>
      <c r="C45" s="487"/>
      <c r="D45" s="490"/>
      <c r="E45" s="399"/>
      <c r="F45" s="399"/>
      <c r="G45" s="395"/>
    </row>
    <row r="46" spans="2:7" s="480" customFormat="1" ht="13.5" customHeight="1">
      <c r="B46" s="1329" t="s">
        <v>614</v>
      </c>
      <c r="C46" s="1329"/>
      <c r="D46" s="490"/>
      <c r="E46" s="399">
        <v>-0.4</v>
      </c>
      <c r="F46" s="399">
        <v>-0.4</v>
      </c>
      <c r="G46" s="395">
        <v>0.7</v>
      </c>
    </row>
    <row r="47" spans="2:7" s="480" customFormat="1" ht="13.5" customHeight="1">
      <c r="B47" s="491" t="s">
        <v>615</v>
      </c>
      <c r="C47" s="487"/>
      <c r="D47" s="490"/>
      <c r="E47" s="399"/>
      <c r="F47" s="399"/>
      <c r="G47" s="395"/>
    </row>
    <row r="48" spans="2:7" s="480" customFormat="1" ht="6.75" customHeight="1">
      <c r="B48" s="343"/>
      <c r="C48" s="487"/>
      <c r="D48" s="490"/>
      <c r="E48" s="399"/>
      <c r="F48" s="399"/>
      <c r="G48" s="395"/>
    </row>
    <row r="49" spans="1:10" s="480" customFormat="1" ht="13.5" customHeight="1">
      <c r="B49" s="489" t="s">
        <v>616</v>
      </c>
      <c r="C49" s="487"/>
      <c r="D49" s="490"/>
      <c r="E49" s="399">
        <v>-0.2</v>
      </c>
      <c r="F49" s="399">
        <v>0.5</v>
      </c>
      <c r="G49" s="395">
        <v>2.6</v>
      </c>
      <c r="H49" s="498"/>
      <c r="I49" s="498"/>
      <c r="J49" s="498"/>
    </row>
    <row r="50" spans="1:10" s="480" customFormat="1" ht="15.75" customHeight="1">
      <c r="B50" s="491" t="s">
        <v>617</v>
      </c>
      <c r="C50" s="487"/>
      <c r="D50" s="499"/>
      <c r="E50" s="395"/>
      <c r="F50" s="399"/>
      <c r="G50" s="399"/>
    </row>
    <row r="51" spans="1:10" s="480" customFormat="1" ht="6.75" customHeight="1">
      <c r="B51" s="343"/>
      <c r="C51" s="487"/>
      <c r="D51" s="500"/>
      <c r="E51" s="492"/>
      <c r="F51" s="492"/>
      <c r="G51" s="492"/>
    </row>
    <row r="52" spans="1:10" s="282" customFormat="1" ht="8.25" customHeight="1" thickBot="1">
      <c r="A52" s="298"/>
      <c r="B52" s="402"/>
      <c r="C52" s="298"/>
      <c r="D52" s="298"/>
      <c r="E52" s="298"/>
      <c r="F52" s="298"/>
      <c r="G52" s="298"/>
    </row>
    <row r="53" spans="1:10" s="282" customFormat="1" ht="14">
      <c r="G53" s="192" t="s">
        <v>32</v>
      </c>
    </row>
    <row r="54" spans="1:10" s="282" customFormat="1" ht="14">
      <c r="G54" s="193" t="s">
        <v>33</v>
      </c>
    </row>
  </sheetData>
  <mergeCells count="6">
    <mergeCell ref="B46:C46"/>
    <mergeCell ref="B6:C6"/>
    <mergeCell ref="B7:C7"/>
    <mergeCell ref="B9:C9"/>
    <mergeCell ref="B10:C10"/>
    <mergeCell ref="B24:C24"/>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7B6F-7926-4290-886D-3E79D8097176}">
  <sheetPr codeName="Sheet43">
    <pageSetUpPr fitToPage="1"/>
  </sheetPr>
  <dimension ref="A1:J71"/>
  <sheetViews>
    <sheetView view="pageBreakPreview" zoomScale="90" zoomScaleNormal="100" zoomScaleSheetLayoutView="90" workbookViewId="0">
      <selection activeCell="D60" sqref="D60"/>
    </sheetView>
  </sheetViews>
  <sheetFormatPr baseColWidth="10" defaultColWidth="8.83203125" defaultRowHeight="15"/>
  <cols>
    <col min="1" max="1" width="2.83203125" customWidth="1"/>
    <col min="2" max="2" width="12.5" customWidth="1"/>
    <col min="3" max="3" width="59.6640625" customWidth="1"/>
    <col min="4" max="4" width="4.1640625" customWidth="1"/>
    <col min="5" max="5" width="14.1640625" customWidth="1"/>
    <col min="6" max="6" width="15.5" customWidth="1"/>
    <col min="7" max="7" width="16" style="404" customWidth="1"/>
  </cols>
  <sheetData>
    <row r="1" spans="1:10" s="1" customFormat="1" ht="8.25" customHeight="1"/>
    <row r="2" spans="1:10" s="1" customFormat="1" ht="8.25" customHeight="1"/>
    <row r="3" spans="1:10" s="1" customFormat="1" ht="16.5" customHeight="1">
      <c r="A3"/>
      <c r="B3" s="501" t="s">
        <v>620</v>
      </c>
      <c r="C3" s="3" t="s">
        <v>621</v>
      </c>
      <c r="D3"/>
      <c r="E3" s="4"/>
      <c r="F3"/>
      <c r="G3" s="404"/>
      <c r="H3"/>
      <c r="I3"/>
      <c r="J3"/>
    </row>
    <row r="4" spans="1:10" s="1" customFormat="1" ht="16.5" customHeight="1">
      <c r="A4"/>
      <c r="B4" s="502" t="s">
        <v>622</v>
      </c>
      <c r="C4" s="6" t="s">
        <v>623</v>
      </c>
      <c r="D4" s="8"/>
      <c r="E4" s="4"/>
      <c r="F4"/>
      <c r="G4" s="404"/>
      <c r="H4"/>
      <c r="I4"/>
      <c r="J4"/>
    </row>
    <row r="5" spans="1:10" s="1" customFormat="1" ht="13.25" customHeight="1" thickBot="1">
      <c r="A5" s="9"/>
      <c r="B5" s="9"/>
      <c r="C5" s="9"/>
      <c r="D5" s="8"/>
      <c r="E5" s="8"/>
      <c r="F5"/>
      <c r="G5" s="404"/>
      <c r="H5"/>
      <c r="I5"/>
      <c r="J5"/>
    </row>
    <row r="6" spans="1:10" s="12" customFormat="1" ht="43.25" customHeight="1" thickBot="1">
      <c r="A6" s="10"/>
      <c r="B6" s="1273" t="s">
        <v>624</v>
      </c>
      <c r="C6" s="1293"/>
      <c r="D6" s="11"/>
      <c r="E6" s="11">
        <v>2021</v>
      </c>
      <c r="F6" s="11">
        <v>2022</v>
      </c>
      <c r="G6" s="11">
        <v>2023</v>
      </c>
    </row>
    <row r="7" spans="1:10" s="12" customFormat="1" ht="16.5" customHeight="1">
      <c r="B7" s="73"/>
      <c r="C7" s="74"/>
      <c r="D7" s="75"/>
      <c r="E7" s="75"/>
    </row>
    <row r="8" spans="1:10" s="16" customFormat="1" ht="15.25" customHeight="1">
      <c r="B8" s="37" t="s">
        <v>625</v>
      </c>
      <c r="D8" s="76"/>
      <c r="E8" s="503"/>
      <c r="F8" s="23"/>
      <c r="G8" s="23"/>
    </row>
    <row r="9" spans="1:10" s="104" customFormat="1" ht="15.25" customHeight="1">
      <c r="B9" s="78" t="s">
        <v>626</v>
      </c>
      <c r="D9" s="504"/>
      <c r="E9" s="505"/>
      <c r="F9" s="506"/>
      <c r="G9" s="506"/>
      <c r="J9" s="507"/>
    </row>
    <row r="10" spans="1:10" s="16" customFormat="1" ht="8.25" customHeight="1">
      <c r="B10" s="81"/>
      <c r="D10" s="22"/>
      <c r="E10" s="22"/>
      <c r="F10" s="23"/>
      <c r="G10" s="23"/>
      <c r="H10" s="22"/>
      <c r="I10" s="66"/>
    </row>
    <row r="11" spans="1:10" s="16" customFormat="1" ht="15.25" customHeight="1">
      <c r="B11" s="176" t="s">
        <v>627</v>
      </c>
      <c r="C11" s="29"/>
      <c r="D11" s="508"/>
      <c r="E11" s="509">
        <v>32674</v>
      </c>
      <c r="F11" s="509">
        <v>32674</v>
      </c>
      <c r="G11" s="510">
        <v>21534</v>
      </c>
      <c r="H11" s="22"/>
      <c r="I11" s="66"/>
    </row>
    <row r="12" spans="1:10" s="16" customFormat="1" ht="8.25" customHeight="1">
      <c r="B12" s="81"/>
      <c r="D12" s="23"/>
      <c r="E12" s="24"/>
      <c r="F12" s="24"/>
      <c r="G12" s="24"/>
    </row>
    <row r="13" spans="1:10" s="16" customFormat="1" ht="15.25" customHeight="1">
      <c r="B13" s="28" t="s">
        <v>628</v>
      </c>
      <c r="C13" s="29"/>
      <c r="D13" s="23"/>
      <c r="E13" s="24"/>
      <c r="F13" s="24"/>
      <c r="G13" s="24"/>
    </row>
    <row r="14" spans="1:10" s="16" customFormat="1" ht="15.25" customHeight="1">
      <c r="B14" s="511" t="s">
        <v>629</v>
      </c>
      <c r="C14" s="29"/>
      <c r="D14" s="508"/>
      <c r="E14" s="512">
        <v>27754</v>
      </c>
      <c r="F14" s="512">
        <v>27754</v>
      </c>
      <c r="G14" s="513">
        <v>17302</v>
      </c>
      <c r="I14" s="66"/>
    </row>
    <row r="15" spans="1:10" s="16" customFormat="1" ht="15.25" customHeight="1">
      <c r="B15" s="511" t="s">
        <v>630</v>
      </c>
      <c r="C15" s="29"/>
      <c r="D15" s="508"/>
      <c r="E15" s="512">
        <v>4920</v>
      </c>
      <c r="F15" s="512">
        <v>4920</v>
      </c>
      <c r="G15" s="513">
        <v>4232</v>
      </c>
      <c r="H15" s="514"/>
      <c r="I15" s="66"/>
    </row>
    <row r="16" spans="1:10" s="16" customFormat="1" ht="7.5" customHeight="1">
      <c r="B16" s="515"/>
      <c r="C16" s="21"/>
      <c r="D16" s="23"/>
      <c r="E16" s="512"/>
      <c r="F16" s="512"/>
      <c r="G16" s="513"/>
    </row>
    <row r="17" spans="2:9" s="16" customFormat="1" ht="15.25" customHeight="1">
      <c r="B17" s="28" t="s">
        <v>631</v>
      </c>
      <c r="C17" s="29"/>
      <c r="D17" s="508"/>
      <c r="E17" s="512"/>
      <c r="F17" s="512"/>
      <c r="G17" s="513"/>
    </row>
    <row r="18" spans="2:9" s="16" customFormat="1" ht="15.25" customHeight="1">
      <c r="B18" s="511" t="s">
        <v>632</v>
      </c>
      <c r="C18" s="29"/>
      <c r="D18" s="508"/>
      <c r="E18" s="512">
        <v>27545</v>
      </c>
      <c r="F18" s="512">
        <v>27545</v>
      </c>
      <c r="G18" s="513">
        <v>18362</v>
      </c>
      <c r="I18" s="66"/>
    </row>
    <row r="19" spans="2:9" s="16" customFormat="1" ht="15.25" customHeight="1">
      <c r="B19" s="511" t="s">
        <v>633</v>
      </c>
      <c r="C19" s="29"/>
      <c r="D19" s="508"/>
      <c r="E19" s="512">
        <v>5129</v>
      </c>
      <c r="F19" s="512">
        <v>5129</v>
      </c>
      <c r="G19" s="513">
        <v>3172</v>
      </c>
      <c r="H19" s="514"/>
      <c r="I19" s="66"/>
    </row>
    <row r="20" spans="2:9" s="16" customFormat="1" ht="7.5" customHeight="1">
      <c r="B20" s="515"/>
      <c r="C20" s="21"/>
      <c r="D20" s="23"/>
      <c r="E20" s="512"/>
      <c r="F20" s="512"/>
      <c r="G20" s="513"/>
    </row>
    <row r="21" spans="2:9" s="16" customFormat="1" ht="15.25" customHeight="1">
      <c r="B21" s="28" t="s">
        <v>634</v>
      </c>
      <c r="C21" s="21"/>
      <c r="D21" s="23"/>
      <c r="E21" s="512"/>
      <c r="F21" s="512"/>
      <c r="G21" s="513"/>
    </row>
    <row r="22" spans="2:9" s="16" customFormat="1" ht="15.25" customHeight="1">
      <c r="B22" s="516" t="s">
        <v>635</v>
      </c>
      <c r="C22" s="21"/>
      <c r="D22" s="23"/>
      <c r="E22" s="512"/>
      <c r="F22" s="512"/>
      <c r="G22" s="513"/>
    </row>
    <row r="23" spans="2:9" s="16" customFormat="1" ht="15.25" customHeight="1">
      <c r="B23" s="517" t="s">
        <v>636</v>
      </c>
      <c r="C23" s="29"/>
      <c r="D23" s="508"/>
      <c r="E23" s="512">
        <v>2106</v>
      </c>
      <c r="F23" s="512">
        <v>2106</v>
      </c>
      <c r="G23" s="513">
        <v>1638</v>
      </c>
      <c r="H23" s="514"/>
      <c r="I23" s="66"/>
    </row>
    <row r="24" spans="2:9" s="16" customFormat="1" ht="15.25" customHeight="1">
      <c r="B24" s="518" t="s">
        <v>637</v>
      </c>
      <c r="C24" s="29"/>
      <c r="D24" s="508"/>
      <c r="E24" s="512">
        <v>122</v>
      </c>
      <c r="F24" s="512">
        <v>122</v>
      </c>
      <c r="G24" s="513">
        <v>156</v>
      </c>
      <c r="I24" s="66"/>
    </row>
    <row r="25" spans="2:9" s="16" customFormat="1" ht="15.25" customHeight="1">
      <c r="B25" s="517" t="s">
        <v>638</v>
      </c>
      <c r="C25" s="29"/>
      <c r="D25" s="508"/>
      <c r="E25" s="512">
        <v>10303</v>
      </c>
      <c r="F25" s="512">
        <v>10303</v>
      </c>
      <c r="G25" s="513">
        <v>7994</v>
      </c>
      <c r="I25" s="66"/>
    </row>
    <row r="26" spans="2:9" s="16" customFormat="1" ht="15.25" customHeight="1">
      <c r="B26" s="517" t="s">
        <v>639</v>
      </c>
      <c r="C26" s="29"/>
      <c r="D26" s="508"/>
      <c r="E26" s="512">
        <v>3958</v>
      </c>
      <c r="F26" s="512">
        <v>3958</v>
      </c>
      <c r="G26" s="513">
        <v>2297</v>
      </c>
      <c r="I26" s="66"/>
    </row>
    <row r="27" spans="2:9" s="16" customFormat="1" ht="15.25" customHeight="1">
      <c r="B27" s="517" t="s">
        <v>640</v>
      </c>
      <c r="C27" s="29"/>
      <c r="D27" s="508"/>
      <c r="E27" s="512">
        <v>505</v>
      </c>
      <c r="F27" s="512">
        <v>505</v>
      </c>
      <c r="G27" s="513">
        <v>318</v>
      </c>
      <c r="I27" s="66"/>
    </row>
    <row r="28" spans="2:9" s="16" customFormat="1" ht="15.25" customHeight="1">
      <c r="B28" s="517" t="s">
        <v>641</v>
      </c>
      <c r="C28" s="21"/>
      <c r="D28" s="508"/>
      <c r="E28" s="512">
        <v>3429</v>
      </c>
      <c r="F28" s="512">
        <v>3429</v>
      </c>
      <c r="G28" s="513">
        <v>1979</v>
      </c>
      <c r="I28" s="66"/>
    </row>
    <row r="29" spans="2:9" s="16" customFormat="1" ht="15.25" customHeight="1">
      <c r="B29" s="517" t="s">
        <v>642</v>
      </c>
      <c r="C29" s="21"/>
      <c r="D29" s="508"/>
      <c r="E29" s="512">
        <v>1440</v>
      </c>
      <c r="F29" s="512">
        <v>1440</v>
      </c>
      <c r="G29" s="513">
        <v>1354</v>
      </c>
      <c r="I29" s="66"/>
    </row>
    <row r="30" spans="2:9" s="16" customFormat="1" ht="15.25" customHeight="1">
      <c r="B30" s="519" t="s">
        <v>643</v>
      </c>
      <c r="C30" s="21"/>
      <c r="D30" s="23"/>
      <c r="E30" s="512"/>
      <c r="F30" s="512"/>
      <c r="G30" s="513"/>
    </row>
    <row r="31" spans="2:9" s="16" customFormat="1" ht="15.25" customHeight="1">
      <c r="B31" s="517" t="s">
        <v>644</v>
      </c>
      <c r="C31" s="21"/>
      <c r="D31" s="508"/>
      <c r="E31" s="512">
        <v>585</v>
      </c>
      <c r="F31" s="512">
        <v>585</v>
      </c>
      <c r="G31" s="513">
        <v>283</v>
      </c>
      <c r="I31" s="66"/>
    </row>
    <row r="32" spans="2:9" s="16" customFormat="1" ht="15.25" customHeight="1">
      <c r="B32" s="517" t="s">
        <v>645</v>
      </c>
      <c r="C32" s="21"/>
      <c r="D32" s="508"/>
      <c r="E32" s="512">
        <v>2218</v>
      </c>
      <c r="F32" s="512">
        <v>2218</v>
      </c>
      <c r="G32" s="513">
        <v>1216</v>
      </c>
      <c r="I32" s="66"/>
    </row>
    <row r="33" spans="1:10" s="16" customFormat="1" ht="15.25" customHeight="1">
      <c r="B33" s="519" t="s">
        <v>646</v>
      </c>
      <c r="C33" s="21"/>
      <c r="D33" s="23"/>
      <c r="E33" s="512"/>
      <c r="F33" s="512"/>
      <c r="G33" s="513"/>
    </row>
    <row r="34" spans="1:10" s="16" customFormat="1" ht="15.25" customHeight="1">
      <c r="B34" s="517" t="s">
        <v>647</v>
      </c>
      <c r="C34" s="21"/>
      <c r="D34" s="508"/>
      <c r="E34" s="512">
        <v>8008</v>
      </c>
      <c r="F34" s="512">
        <v>8008</v>
      </c>
      <c r="G34" s="513">
        <v>4299</v>
      </c>
      <c r="I34" s="66"/>
    </row>
    <row r="35" spans="1:10" s="16" customFormat="1" ht="15.25" customHeight="1">
      <c r="B35" s="520"/>
      <c r="C35" s="21"/>
      <c r="D35" s="23"/>
      <c r="E35" s="23"/>
      <c r="F35" s="23"/>
      <c r="G35" s="23"/>
    </row>
    <row r="36" spans="1:10" s="42" customFormat="1" ht="8.25" customHeight="1" thickBot="1">
      <c r="A36" s="10"/>
      <c r="D36" s="521"/>
      <c r="E36" s="521"/>
      <c r="F36" s="522"/>
      <c r="G36" s="522"/>
      <c r="H36" s="16"/>
    </row>
    <row r="37" spans="1:10" s="42" customFormat="1" ht="8.25" customHeight="1">
      <c r="A37" s="16"/>
      <c r="B37" s="523"/>
      <c r="C37" s="524"/>
      <c r="D37" s="525"/>
      <c r="E37" s="525"/>
      <c r="F37" s="526"/>
      <c r="G37" s="527"/>
      <c r="H37" s="16"/>
    </row>
    <row r="38" spans="1:10" s="16" customFormat="1" ht="15.25" customHeight="1">
      <c r="B38" s="37" t="s">
        <v>648</v>
      </c>
      <c r="D38" s="76"/>
      <c r="E38" s="503"/>
      <c r="F38" s="90"/>
      <c r="G38" s="23"/>
    </row>
    <row r="39" spans="1:10" s="104" customFormat="1" ht="15.25" customHeight="1">
      <c r="B39" s="78" t="s">
        <v>649</v>
      </c>
      <c r="D39" s="506"/>
      <c r="E39" s="528"/>
      <c r="F39" s="529"/>
      <c r="G39" s="506"/>
      <c r="J39" s="507"/>
    </row>
    <row r="40" spans="1:10" s="16" customFormat="1" ht="8.25" customHeight="1">
      <c r="B40" s="81"/>
      <c r="D40" s="23"/>
      <c r="E40" s="23"/>
      <c r="F40" s="23"/>
      <c r="G40" s="23"/>
      <c r="H40" s="22"/>
      <c r="I40" s="66"/>
    </row>
    <row r="41" spans="1:10" s="16" customFormat="1" ht="15.25" customHeight="1">
      <c r="B41" s="176" t="s">
        <v>627</v>
      </c>
      <c r="C41" s="29"/>
      <c r="D41" s="508"/>
      <c r="E41" s="509">
        <v>312</v>
      </c>
      <c r="F41" s="509">
        <v>312</v>
      </c>
      <c r="G41" s="510">
        <v>301</v>
      </c>
      <c r="H41" s="22"/>
      <c r="I41" s="66"/>
    </row>
    <row r="42" spans="1:10" s="16" customFormat="1" ht="8.25" customHeight="1">
      <c r="B42" s="81"/>
      <c r="D42" s="75"/>
      <c r="E42" s="90"/>
      <c r="F42" s="90"/>
      <c r="G42" s="90"/>
    </row>
    <row r="43" spans="1:10" s="16" customFormat="1" ht="15.25" customHeight="1">
      <c r="B43" s="28" t="s">
        <v>628</v>
      </c>
      <c r="C43" s="29"/>
      <c r="D43" s="22"/>
      <c r="E43" s="24"/>
      <c r="F43" s="24"/>
      <c r="G43" s="24"/>
    </row>
    <row r="44" spans="1:10" s="16" customFormat="1" ht="15.25" customHeight="1">
      <c r="B44" s="511" t="s">
        <v>629</v>
      </c>
      <c r="C44" s="29"/>
      <c r="D44" s="508"/>
      <c r="E44" s="512">
        <v>184</v>
      </c>
      <c r="F44" s="512">
        <v>184</v>
      </c>
      <c r="G44" s="513">
        <v>204</v>
      </c>
      <c r="I44" s="66"/>
    </row>
    <row r="45" spans="1:10" s="16" customFormat="1" ht="15.25" customHeight="1">
      <c r="B45" s="511" t="s">
        <v>630</v>
      </c>
      <c r="C45" s="29"/>
      <c r="D45" s="508"/>
      <c r="E45" s="512">
        <v>128</v>
      </c>
      <c r="F45" s="512">
        <v>128</v>
      </c>
      <c r="G45" s="513">
        <v>97</v>
      </c>
      <c r="H45" s="514"/>
      <c r="I45" s="66"/>
    </row>
    <row r="46" spans="1:10" s="16" customFormat="1" ht="7.5" customHeight="1">
      <c r="B46" s="515"/>
      <c r="C46" s="21"/>
      <c r="D46" s="86"/>
      <c r="E46" s="512"/>
      <c r="F46" s="512"/>
      <c r="G46" s="513"/>
    </row>
    <row r="47" spans="1:10" s="16" customFormat="1" ht="15.25" customHeight="1">
      <c r="B47" s="28" t="s">
        <v>631</v>
      </c>
      <c r="C47" s="29"/>
      <c r="D47" s="66"/>
      <c r="E47" s="512"/>
      <c r="F47" s="512"/>
      <c r="G47" s="513"/>
    </row>
    <row r="48" spans="1:10" s="16" customFormat="1" ht="15.25" customHeight="1">
      <c r="B48" s="511" t="s">
        <v>632</v>
      </c>
      <c r="C48" s="29"/>
      <c r="D48" s="508"/>
      <c r="E48" s="512">
        <v>307</v>
      </c>
      <c r="F48" s="512">
        <v>307</v>
      </c>
      <c r="G48" s="513">
        <v>292</v>
      </c>
      <c r="I48" s="66"/>
    </row>
    <row r="49" spans="2:9" s="16" customFormat="1" ht="15.25" customHeight="1">
      <c r="B49" s="511" t="s">
        <v>633</v>
      </c>
      <c r="C49" s="29"/>
      <c r="D49" s="508"/>
      <c r="E49" s="512">
        <v>5</v>
      </c>
      <c r="F49" s="512">
        <v>5</v>
      </c>
      <c r="G49" s="513">
        <v>9</v>
      </c>
      <c r="H49" s="514"/>
      <c r="I49" s="66"/>
    </row>
    <row r="50" spans="2:9" s="16" customFormat="1" ht="7.5" customHeight="1">
      <c r="B50" s="515"/>
      <c r="C50" s="21"/>
      <c r="D50" s="66"/>
      <c r="E50" s="24"/>
      <c r="F50" s="24"/>
      <c r="G50" s="24"/>
    </row>
    <row r="51" spans="2:9" s="16" customFormat="1" ht="15.25" customHeight="1">
      <c r="B51" s="28" t="s">
        <v>634</v>
      </c>
      <c r="C51" s="21"/>
      <c r="D51" s="22"/>
      <c r="E51" s="23"/>
      <c r="F51" s="23"/>
      <c r="G51" s="23"/>
    </row>
    <row r="52" spans="2:9" s="16" customFormat="1" ht="15.25" customHeight="1">
      <c r="B52" s="516" t="s">
        <v>635</v>
      </c>
      <c r="C52" s="21"/>
      <c r="D52" s="22"/>
      <c r="E52" s="23"/>
      <c r="F52" s="23"/>
      <c r="G52" s="23"/>
    </row>
    <row r="53" spans="2:9" s="16" customFormat="1" ht="15.25" customHeight="1">
      <c r="B53" s="517" t="s">
        <v>636</v>
      </c>
      <c r="C53" s="29"/>
      <c r="D53" s="508"/>
      <c r="E53" s="512">
        <v>50</v>
      </c>
      <c r="F53" s="512">
        <v>50</v>
      </c>
      <c r="G53" s="513">
        <v>26</v>
      </c>
      <c r="H53" s="514"/>
      <c r="I53" s="66"/>
    </row>
    <row r="54" spans="2:9" s="16" customFormat="1" ht="15.25" customHeight="1">
      <c r="B54" s="518" t="s">
        <v>637</v>
      </c>
      <c r="C54" s="29"/>
      <c r="D54" s="508"/>
      <c r="E54" s="512">
        <v>3</v>
      </c>
      <c r="F54" s="512">
        <v>3</v>
      </c>
      <c r="G54" s="513">
        <v>9</v>
      </c>
      <c r="I54" s="66"/>
    </row>
    <row r="55" spans="2:9" s="16" customFormat="1" ht="15.25" customHeight="1">
      <c r="B55" s="517" t="s">
        <v>638</v>
      </c>
      <c r="C55" s="29"/>
      <c r="D55" s="508"/>
      <c r="E55" s="512">
        <v>83</v>
      </c>
      <c r="F55" s="512">
        <v>83</v>
      </c>
      <c r="G55" s="513">
        <v>65</v>
      </c>
      <c r="I55" s="66"/>
    </row>
    <row r="56" spans="2:9" s="16" customFormat="1" ht="15.25" customHeight="1">
      <c r="B56" s="517" t="s">
        <v>639</v>
      </c>
      <c r="C56" s="29"/>
      <c r="D56" s="508"/>
      <c r="E56" s="512">
        <v>81</v>
      </c>
      <c r="F56" s="512">
        <v>81</v>
      </c>
      <c r="G56" s="513">
        <v>73</v>
      </c>
      <c r="I56" s="66"/>
    </row>
    <row r="57" spans="2:9" s="16" customFormat="1" ht="15.25" customHeight="1">
      <c r="B57" s="517" t="s">
        <v>640</v>
      </c>
      <c r="C57" s="29"/>
      <c r="D57" s="508"/>
      <c r="E57" s="512">
        <v>3</v>
      </c>
      <c r="F57" s="512">
        <v>3</v>
      </c>
      <c r="G57" s="513">
        <v>8</v>
      </c>
      <c r="I57" s="66"/>
    </row>
    <row r="58" spans="2:9" s="16" customFormat="1" ht="15.25" customHeight="1">
      <c r="B58" s="517" t="s">
        <v>641</v>
      </c>
      <c r="C58" s="21"/>
      <c r="D58" s="508"/>
      <c r="E58" s="512">
        <v>10</v>
      </c>
      <c r="F58" s="512">
        <v>10</v>
      </c>
      <c r="G58" s="513">
        <v>9</v>
      </c>
      <c r="I58" s="66"/>
    </row>
    <row r="59" spans="2:9" s="16" customFormat="1" ht="15.25" customHeight="1">
      <c r="B59" s="517" t="s">
        <v>642</v>
      </c>
      <c r="C59" s="21"/>
      <c r="D59" s="508"/>
      <c r="E59" s="512">
        <v>13</v>
      </c>
      <c r="F59" s="512">
        <v>13</v>
      </c>
      <c r="G59" s="513">
        <v>40</v>
      </c>
      <c r="I59" s="66"/>
    </row>
    <row r="60" spans="2:9" s="16" customFormat="1" ht="15.25" customHeight="1">
      <c r="B60" s="519" t="s">
        <v>643</v>
      </c>
      <c r="C60" s="21"/>
      <c r="D60" s="23"/>
      <c r="E60" s="23"/>
      <c r="F60" s="23"/>
      <c r="G60" s="23"/>
    </row>
    <row r="61" spans="2:9" s="16" customFormat="1" ht="15.25" customHeight="1">
      <c r="B61" s="517" t="s">
        <v>644</v>
      </c>
      <c r="C61" s="21"/>
      <c r="D61" s="508"/>
      <c r="E61" s="512">
        <v>3</v>
      </c>
      <c r="F61" s="512">
        <v>3</v>
      </c>
      <c r="G61" s="513">
        <v>1</v>
      </c>
      <c r="I61" s="66"/>
    </row>
    <row r="62" spans="2:9" s="16" customFormat="1" ht="15.25" customHeight="1">
      <c r="B62" s="517" t="s">
        <v>645</v>
      </c>
      <c r="C62" s="21"/>
      <c r="D62" s="508"/>
      <c r="E62" s="512">
        <v>13</v>
      </c>
      <c r="F62" s="512">
        <v>13</v>
      </c>
      <c r="G62" s="513">
        <v>23</v>
      </c>
      <c r="I62" s="66"/>
    </row>
    <row r="63" spans="2:9" s="16" customFormat="1" ht="15.25" customHeight="1">
      <c r="B63" s="519" t="s">
        <v>646</v>
      </c>
      <c r="C63" s="21"/>
      <c r="D63" s="23"/>
      <c r="E63" s="23"/>
      <c r="F63" s="23"/>
      <c r="G63" s="23"/>
    </row>
    <row r="64" spans="2:9" s="16" customFormat="1" ht="15.25" customHeight="1">
      <c r="B64" s="517" t="s">
        <v>647</v>
      </c>
      <c r="C64" s="21"/>
      <c r="D64" s="508"/>
      <c r="E64" s="512">
        <v>53</v>
      </c>
      <c r="F64" s="512">
        <v>53</v>
      </c>
      <c r="G64" s="513">
        <v>47</v>
      </c>
      <c r="I64" s="66"/>
    </row>
    <row r="65" spans="1:8" s="16" customFormat="1" ht="15.25" customHeight="1">
      <c r="B65" s="520"/>
      <c r="C65" s="21"/>
      <c r="D65" s="22"/>
      <c r="E65" s="23"/>
      <c r="F65" s="23"/>
      <c r="G65" s="23"/>
    </row>
    <row r="66" spans="1:8" s="42" customFormat="1" ht="8.25" customHeight="1" thickBot="1">
      <c r="A66" s="168"/>
      <c r="B66" s="530"/>
      <c r="C66" s="530"/>
      <c r="D66" s="531"/>
      <c r="E66" s="531"/>
      <c r="F66" s="530"/>
      <c r="G66" s="168"/>
      <c r="H66" s="16"/>
    </row>
    <row r="67" spans="1:8" s="42" customFormat="1" ht="9.25" customHeight="1">
      <c r="C67" s="1330"/>
      <c r="D67" s="1330"/>
      <c r="E67" s="1330"/>
      <c r="F67" s="1330"/>
      <c r="G67" s="1330"/>
      <c r="H67" s="16"/>
    </row>
    <row r="68" spans="1:8" s="42" customFormat="1" ht="15.25" customHeight="1">
      <c r="C68" s="1331" t="s">
        <v>650</v>
      </c>
      <c r="D68" s="1331"/>
      <c r="E68" s="1331"/>
      <c r="F68" s="1331"/>
      <c r="G68" s="1331"/>
      <c r="H68" s="16"/>
    </row>
    <row r="69" spans="1:8" s="42" customFormat="1" ht="15.25" customHeight="1">
      <c r="B69" s="106"/>
      <c r="C69" s="1331" t="s">
        <v>651</v>
      </c>
      <c r="D69" s="1331"/>
      <c r="E69" s="1331"/>
      <c r="F69" s="1331"/>
      <c r="G69" s="1331"/>
      <c r="H69" s="16"/>
    </row>
    <row r="70" spans="1:8" s="1" customFormat="1" ht="14">
      <c r="C70" s="1332" t="s">
        <v>652</v>
      </c>
      <c r="D70" s="1332"/>
      <c r="E70" s="1332"/>
      <c r="F70" s="1332"/>
      <c r="G70" s="1332"/>
      <c r="H70" s="16"/>
    </row>
    <row r="71" spans="1:8" s="1" customFormat="1" ht="14">
      <c r="C71" s="1332" t="s">
        <v>653</v>
      </c>
      <c r="D71" s="1332"/>
      <c r="E71" s="1332"/>
      <c r="F71" s="1332"/>
      <c r="G71" s="1332"/>
      <c r="H71" s="16"/>
    </row>
  </sheetData>
  <mergeCells count="6">
    <mergeCell ref="C71:G71"/>
    <mergeCell ref="B6:C6"/>
    <mergeCell ref="C67:G67"/>
    <mergeCell ref="C68:G68"/>
    <mergeCell ref="C69:G69"/>
    <mergeCell ref="C70:G70"/>
  </mergeCells>
  <conditionalFormatting sqref="C11">
    <cfRule type="cellIs" dxfId="24" priority="2" stopIfTrue="1" operator="lessThan">
      <formula>0</formula>
    </cfRule>
  </conditionalFormatting>
  <conditionalFormatting sqref="C13:C15">
    <cfRule type="cellIs" dxfId="23" priority="8" stopIfTrue="1" operator="lessThan">
      <formula>0</formula>
    </cfRule>
  </conditionalFormatting>
  <conditionalFormatting sqref="C17:C19">
    <cfRule type="cellIs" dxfId="22" priority="6" stopIfTrue="1" operator="lessThan">
      <formula>0</formula>
    </cfRule>
  </conditionalFormatting>
  <conditionalFormatting sqref="C23:C27">
    <cfRule type="cellIs" dxfId="21" priority="7" stopIfTrue="1" operator="lessThan">
      <formula>0</formula>
    </cfRule>
  </conditionalFormatting>
  <conditionalFormatting sqref="C37">
    <cfRule type="cellIs" dxfId="20" priority="9" stopIfTrue="1" operator="lessThan">
      <formula>0</formula>
    </cfRule>
  </conditionalFormatting>
  <conditionalFormatting sqref="C41">
    <cfRule type="cellIs" dxfId="19" priority="1" stopIfTrue="1" operator="lessThan">
      <formula>0</formula>
    </cfRule>
  </conditionalFormatting>
  <conditionalFormatting sqref="C43:C45">
    <cfRule type="cellIs" dxfId="18" priority="5" stopIfTrue="1" operator="lessThan">
      <formula>0</formula>
    </cfRule>
  </conditionalFormatting>
  <conditionalFormatting sqref="C47:C49">
    <cfRule type="cellIs" dxfId="17" priority="3" stopIfTrue="1" operator="lessThan">
      <formula>0</formula>
    </cfRule>
  </conditionalFormatting>
  <conditionalFormatting sqref="C53:C57">
    <cfRule type="cellIs" dxfId="16"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8"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9A95-182C-480C-86C3-597C19F834CF}">
  <sheetPr codeName="Sheet44">
    <pageSetUpPr fitToPage="1"/>
  </sheetPr>
  <dimension ref="A1:L71"/>
  <sheetViews>
    <sheetView view="pageBreakPreview" topLeftCell="A52" zoomScaleNormal="100" zoomScaleSheetLayoutView="100" workbookViewId="0">
      <selection activeCell="D60" sqref="D60"/>
    </sheetView>
  </sheetViews>
  <sheetFormatPr baseColWidth="10" defaultColWidth="8.83203125" defaultRowHeight="15"/>
  <cols>
    <col min="1" max="1" width="2.33203125" customWidth="1"/>
    <col min="2" max="2" width="12.5" customWidth="1"/>
    <col min="3" max="3" width="60.1640625" customWidth="1"/>
    <col min="4" max="4" width="2.6640625" customWidth="1"/>
    <col min="5" max="5" width="14.1640625" customWidth="1"/>
    <col min="6" max="6" width="14.33203125" customWidth="1"/>
    <col min="7" max="7" width="15" style="404" customWidth="1"/>
  </cols>
  <sheetData>
    <row r="1" spans="1:12" s="1" customFormat="1" ht="8.25" customHeight="1"/>
    <row r="2" spans="1:12" s="1" customFormat="1" ht="8.25" customHeight="1"/>
    <row r="3" spans="1:12" s="1" customFormat="1" ht="16.5" customHeight="1">
      <c r="B3" s="501" t="s">
        <v>620</v>
      </c>
      <c r="C3" s="532" t="s">
        <v>654</v>
      </c>
      <c r="E3" s="4"/>
      <c r="F3" s="4"/>
      <c r="L3" s="532"/>
    </row>
    <row r="4" spans="1:12" s="1" customFormat="1" ht="16.5" customHeight="1">
      <c r="B4" s="502" t="s">
        <v>622</v>
      </c>
      <c r="C4" s="533" t="s">
        <v>655</v>
      </c>
      <c r="D4" s="8"/>
      <c r="E4" s="4"/>
      <c r="F4" s="4"/>
      <c r="L4" s="533"/>
    </row>
    <row r="5" spans="1:12" s="1" customFormat="1" ht="13.25" customHeight="1" thickBot="1">
      <c r="A5" s="9"/>
      <c r="B5" s="9"/>
      <c r="C5" s="9"/>
      <c r="D5" s="8"/>
      <c r="E5" s="8"/>
      <c r="F5" s="8"/>
    </row>
    <row r="6" spans="1:12" s="12" customFormat="1" ht="43.25" customHeight="1" thickBot="1">
      <c r="A6" s="10"/>
      <c r="B6" s="1273" t="s">
        <v>624</v>
      </c>
      <c r="C6" s="1293"/>
      <c r="D6" s="11"/>
      <c r="E6" s="11">
        <v>2021</v>
      </c>
      <c r="F6" s="11">
        <v>2022</v>
      </c>
      <c r="G6" s="11">
        <v>2023</v>
      </c>
    </row>
    <row r="7" spans="1:12" s="12" customFormat="1" ht="16.5" customHeight="1">
      <c r="B7" s="73"/>
      <c r="C7" s="74"/>
      <c r="D7" s="75"/>
      <c r="E7" s="75"/>
      <c r="F7" s="534"/>
      <c r="G7" s="535"/>
    </row>
    <row r="8" spans="1:12" s="16" customFormat="1" ht="15.25" customHeight="1">
      <c r="B8" s="37" t="s">
        <v>656</v>
      </c>
      <c r="D8" s="76"/>
      <c r="E8" s="503"/>
      <c r="F8" s="536"/>
      <c r="G8" s="535"/>
    </row>
    <row r="9" spans="1:12" s="104" customFormat="1" ht="15.25" customHeight="1">
      <c r="B9" s="78" t="s">
        <v>657</v>
      </c>
      <c r="D9" s="504"/>
      <c r="E9" s="505"/>
      <c r="F9" s="537"/>
      <c r="G9" s="538"/>
      <c r="K9" s="507"/>
    </row>
    <row r="10" spans="1:12" s="16" customFormat="1" ht="8.25" customHeight="1">
      <c r="B10" s="81"/>
      <c r="D10" s="22"/>
      <c r="E10" s="22"/>
      <c r="F10" s="535"/>
      <c r="G10" s="535"/>
      <c r="H10" s="22"/>
      <c r="I10" s="22"/>
      <c r="J10" s="66"/>
    </row>
    <row r="11" spans="1:12" s="16" customFormat="1" ht="15.25" customHeight="1">
      <c r="B11" s="176" t="s">
        <v>627</v>
      </c>
      <c r="C11" s="29"/>
      <c r="D11" s="539"/>
      <c r="E11" s="534">
        <v>2.1800000000000002</v>
      </c>
      <c r="F11" s="534">
        <v>2.1800000000000002</v>
      </c>
      <c r="G11" s="534">
        <v>1.43</v>
      </c>
      <c r="H11" s="22"/>
      <c r="I11" s="22"/>
      <c r="J11" s="66"/>
    </row>
    <row r="12" spans="1:12" s="16" customFormat="1" ht="8.25" customHeight="1">
      <c r="B12" s="81"/>
      <c r="D12" s="22"/>
      <c r="E12" s="535"/>
      <c r="F12" s="535"/>
      <c r="G12" s="535"/>
    </row>
    <row r="13" spans="1:12" s="16" customFormat="1" ht="15.25" customHeight="1">
      <c r="B13" s="28" t="s">
        <v>628</v>
      </c>
      <c r="C13" s="29"/>
      <c r="D13" s="22"/>
      <c r="E13" s="535"/>
      <c r="F13" s="535"/>
      <c r="G13" s="535"/>
    </row>
    <row r="14" spans="1:12" s="16" customFormat="1" ht="15.25" customHeight="1">
      <c r="B14" s="511" t="s">
        <v>629</v>
      </c>
      <c r="C14" s="29"/>
      <c r="D14" s="539"/>
      <c r="E14" s="535">
        <v>2.16</v>
      </c>
      <c r="F14" s="535">
        <v>2.16</v>
      </c>
      <c r="G14" s="535">
        <v>1.32</v>
      </c>
    </row>
    <row r="15" spans="1:12" s="16" customFormat="1" ht="15.25" customHeight="1">
      <c r="B15" s="511" t="s">
        <v>630</v>
      </c>
      <c r="C15" s="29"/>
      <c r="D15" s="539"/>
      <c r="E15" s="535">
        <v>2.35</v>
      </c>
      <c r="F15" s="535">
        <v>2.35</v>
      </c>
      <c r="G15" s="535">
        <v>2.2200000000000002</v>
      </c>
    </row>
    <row r="16" spans="1:12" s="16" customFormat="1" ht="7.5" customHeight="1">
      <c r="B16" s="515"/>
      <c r="C16" s="21"/>
      <c r="D16" s="23"/>
      <c r="E16" s="535"/>
      <c r="F16" s="535"/>
      <c r="G16" s="535"/>
    </row>
    <row r="17" spans="2:7" s="16" customFormat="1" ht="15.25" customHeight="1">
      <c r="B17" s="28" t="s">
        <v>631</v>
      </c>
      <c r="C17" s="29"/>
      <c r="D17" s="22"/>
      <c r="E17" s="535"/>
      <c r="F17" s="535"/>
      <c r="G17" s="535"/>
    </row>
    <row r="18" spans="2:7" s="16" customFormat="1" ht="15.25" customHeight="1">
      <c r="B18" s="511" t="s">
        <v>632</v>
      </c>
      <c r="C18" s="29"/>
      <c r="D18" s="539"/>
      <c r="E18" s="535">
        <v>3.02</v>
      </c>
      <c r="F18" s="535">
        <v>3.02</v>
      </c>
      <c r="G18" s="535">
        <v>2</v>
      </c>
    </row>
    <row r="19" spans="2:7" s="16" customFormat="1" ht="15.25" customHeight="1">
      <c r="B19" s="511" t="s">
        <v>633</v>
      </c>
      <c r="C19" s="29"/>
      <c r="D19" s="539"/>
      <c r="E19" s="535">
        <v>0.88</v>
      </c>
      <c r="F19" s="535">
        <v>0.88</v>
      </c>
      <c r="G19" s="535">
        <v>0.54</v>
      </c>
    </row>
    <row r="20" spans="2:7" s="16" customFormat="1" ht="7.5" customHeight="1">
      <c r="B20" s="515"/>
      <c r="C20" s="21"/>
      <c r="D20" s="22"/>
      <c r="E20" s="535"/>
      <c r="F20" s="535"/>
      <c r="G20" s="535"/>
    </row>
    <row r="21" spans="2:7" s="16" customFormat="1" ht="15.25" customHeight="1">
      <c r="B21" s="28" t="s">
        <v>634</v>
      </c>
      <c r="C21" s="21"/>
      <c r="D21" s="22"/>
      <c r="E21" s="535"/>
      <c r="F21" s="535"/>
      <c r="G21" s="535"/>
    </row>
    <row r="22" spans="2:7" s="16" customFormat="1" ht="15.25" customHeight="1">
      <c r="B22" s="516" t="s">
        <v>635</v>
      </c>
      <c r="C22" s="21"/>
      <c r="D22" s="22"/>
      <c r="E22" s="535"/>
      <c r="F22" s="535"/>
      <c r="G22" s="535"/>
    </row>
    <row r="23" spans="2:7" s="16" customFormat="1" ht="15.25" customHeight="1">
      <c r="B23" s="517" t="s">
        <v>636</v>
      </c>
      <c r="C23" s="29"/>
      <c r="D23" s="539"/>
      <c r="E23" s="535">
        <v>1.3448275862068966</v>
      </c>
      <c r="F23" s="535">
        <v>1.3448275862068966</v>
      </c>
      <c r="G23" s="535">
        <v>1.056774193548387</v>
      </c>
    </row>
    <row r="24" spans="2:7" s="16" customFormat="1" ht="15.25" customHeight="1">
      <c r="B24" s="518" t="s">
        <v>637</v>
      </c>
      <c r="C24" s="29"/>
      <c r="D24" s="539"/>
      <c r="E24" s="535">
        <v>1.4841849148418491</v>
      </c>
      <c r="F24" s="535">
        <v>1.4841849148418491</v>
      </c>
      <c r="G24" s="535">
        <v>1.9024390243902438</v>
      </c>
    </row>
    <row r="25" spans="2:7" s="16" customFormat="1" ht="15.25" customHeight="1">
      <c r="B25" s="517" t="s">
        <v>638</v>
      </c>
      <c r="C25" s="29"/>
      <c r="D25" s="539"/>
      <c r="E25" s="535">
        <v>4.1244995996797433</v>
      </c>
      <c r="F25" s="535">
        <v>4.1244995996797433</v>
      </c>
      <c r="G25" s="535">
        <v>3.1958103462061245</v>
      </c>
    </row>
    <row r="26" spans="2:7" s="16" customFormat="1" ht="15.25" customHeight="1">
      <c r="B26" s="517" t="s">
        <v>639</v>
      </c>
      <c r="C26" s="29"/>
      <c r="D26" s="539"/>
      <c r="E26" s="535">
        <v>3.373103800920402</v>
      </c>
      <c r="F26" s="535">
        <v>3.373103800920402</v>
      </c>
      <c r="G26" s="535">
        <v>1.9808896324531293</v>
      </c>
    </row>
    <row r="27" spans="2:7" s="16" customFormat="1" ht="15.25" customHeight="1">
      <c r="B27" s="517" t="s">
        <v>640</v>
      </c>
      <c r="C27" s="29"/>
      <c r="D27" s="539"/>
      <c r="E27" s="535">
        <v>3.1542785758900687</v>
      </c>
      <c r="F27" s="535">
        <v>3.1542785758900687</v>
      </c>
      <c r="G27" s="535">
        <v>1.9488876631733774</v>
      </c>
    </row>
    <row r="28" spans="2:7" s="16" customFormat="1" ht="15.25" customHeight="1">
      <c r="B28" s="517" t="s">
        <v>641</v>
      </c>
      <c r="C28" s="21"/>
      <c r="D28" s="539"/>
      <c r="E28" s="535">
        <v>1.239875614694822</v>
      </c>
      <c r="F28" s="535">
        <v>1.239875614694822</v>
      </c>
      <c r="G28" s="535">
        <v>0.70016663895247422</v>
      </c>
    </row>
    <row r="29" spans="2:7" s="16" customFormat="1" ht="15.25" customHeight="1">
      <c r="B29" s="517" t="s">
        <v>642</v>
      </c>
      <c r="C29" s="21"/>
      <c r="D29" s="539"/>
      <c r="E29" s="535">
        <v>1.5779092702169624</v>
      </c>
      <c r="F29" s="535">
        <v>1.5779092702169624</v>
      </c>
      <c r="G29" s="535">
        <v>1.4411000894035506</v>
      </c>
    </row>
    <row r="30" spans="2:7" s="16" customFormat="1" ht="15.25" customHeight="1">
      <c r="B30" s="519" t="s">
        <v>643</v>
      </c>
      <c r="C30" s="21"/>
      <c r="D30" s="22"/>
      <c r="E30" s="535"/>
      <c r="F30" s="535"/>
      <c r="G30" s="535"/>
    </row>
    <row r="31" spans="2:7" s="16" customFormat="1" ht="15.25" customHeight="1">
      <c r="B31" s="517" t="s">
        <v>644</v>
      </c>
      <c r="C31" s="21"/>
      <c r="D31" s="539"/>
      <c r="E31" s="535">
        <v>0.37987012987012986</v>
      </c>
      <c r="F31" s="535">
        <v>0.37987012987012986</v>
      </c>
      <c r="G31" s="535">
        <v>0.18430478671442527</v>
      </c>
    </row>
    <row r="32" spans="2:7" s="16" customFormat="1" ht="15.25" customHeight="1">
      <c r="B32" s="517" t="s">
        <v>645</v>
      </c>
      <c r="C32" s="21"/>
      <c r="D32" s="539"/>
      <c r="E32" s="535">
        <v>2.6610677864427115</v>
      </c>
      <c r="F32" s="535">
        <v>2.6610677864427115</v>
      </c>
      <c r="G32" s="535">
        <v>1.4672522805154691</v>
      </c>
    </row>
    <row r="33" spans="1:11" s="16" customFormat="1" ht="15.25" customHeight="1">
      <c r="B33" s="519" t="s">
        <v>646</v>
      </c>
      <c r="C33" s="21"/>
      <c r="D33" s="22"/>
      <c r="E33" s="535"/>
      <c r="F33" s="535"/>
      <c r="G33" s="535"/>
    </row>
    <row r="34" spans="1:11" s="16" customFormat="1" ht="15.25" customHeight="1">
      <c r="B34" s="517" t="s">
        <v>647</v>
      </c>
      <c r="C34" s="21"/>
      <c r="D34" s="539"/>
      <c r="E34" s="535">
        <v>2.3378974104458004</v>
      </c>
      <c r="F34" s="535">
        <v>2.3378974104458004</v>
      </c>
      <c r="G34" s="535">
        <v>1.2361405042326097</v>
      </c>
    </row>
    <row r="35" spans="1:11" s="16" customFormat="1" ht="15.25" customHeight="1">
      <c r="B35" s="520"/>
      <c r="C35" s="21"/>
      <c r="D35" s="22"/>
      <c r="E35" s="535"/>
      <c r="F35" s="535"/>
      <c r="G35" s="535"/>
    </row>
    <row r="36" spans="1:11" s="42" customFormat="1" ht="8.25" customHeight="1" thickBot="1">
      <c r="A36" s="530"/>
      <c r="B36" s="530"/>
      <c r="C36" s="530"/>
      <c r="D36" s="530"/>
      <c r="E36" s="540"/>
      <c r="F36" s="540"/>
      <c r="G36" s="540"/>
      <c r="H36" s="16"/>
      <c r="I36" s="16"/>
    </row>
    <row r="37" spans="1:11" s="42" customFormat="1" ht="8.25" customHeight="1">
      <c r="B37" s="104"/>
      <c r="C37" s="102"/>
      <c r="D37" s="100"/>
      <c r="E37" s="535"/>
      <c r="F37" s="535"/>
      <c r="G37" s="535"/>
      <c r="H37" s="16"/>
      <c r="I37" s="16"/>
    </row>
    <row r="38" spans="1:11" s="16" customFormat="1" ht="15.25" customHeight="1">
      <c r="B38" s="37" t="s">
        <v>658</v>
      </c>
      <c r="D38" s="76"/>
      <c r="E38" s="536"/>
      <c r="F38" s="536"/>
      <c r="G38" s="534"/>
    </row>
    <row r="39" spans="1:11" s="104" customFormat="1" ht="15.25" customHeight="1">
      <c r="B39" s="78" t="s">
        <v>659</v>
      </c>
      <c r="D39" s="541"/>
      <c r="E39" s="537"/>
      <c r="F39" s="537"/>
      <c r="G39" s="542"/>
      <c r="K39" s="507"/>
    </row>
    <row r="40" spans="1:11" s="16" customFormat="1" ht="8.25" customHeight="1">
      <c r="B40" s="81"/>
      <c r="D40" s="75"/>
      <c r="E40" s="535"/>
      <c r="F40" s="535"/>
      <c r="G40" s="534"/>
      <c r="H40" s="22"/>
      <c r="I40" s="22"/>
      <c r="J40" s="66"/>
    </row>
    <row r="41" spans="1:11" s="16" customFormat="1" ht="15.25" customHeight="1">
      <c r="B41" s="176" t="s">
        <v>627</v>
      </c>
      <c r="C41" s="29"/>
      <c r="D41" s="539"/>
      <c r="E41" s="534">
        <v>2.09</v>
      </c>
      <c r="F41" s="534">
        <v>2.09</v>
      </c>
      <c r="G41" s="534">
        <v>2</v>
      </c>
      <c r="H41" s="22"/>
      <c r="I41" s="22"/>
      <c r="J41" s="66"/>
    </row>
    <row r="42" spans="1:11" s="16" customFormat="1" ht="8.25" customHeight="1">
      <c r="B42" s="81"/>
      <c r="D42" s="22"/>
      <c r="E42" s="535"/>
      <c r="F42" s="535"/>
      <c r="G42" s="535"/>
    </row>
    <row r="43" spans="1:11" s="16" customFormat="1" ht="15.25" customHeight="1">
      <c r="B43" s="28" t="s">
        <v>628</v>
      </c>
      <c r="C43" s="29"/>
      <c r="D43" s="22"/>
      <c r="E43" s="535"/>
      <c r="F43" s="535"/>
      <c r="G43" s="535"/>
    </row>
    <row r="44" spans="1:11" s="16" customFormat="1" ht="15.25" customHeight="1">
      <c r="B44" s="511" t="s">
        <v>629</v>
      </c>
      <c r="C44" s="29"/>
      <c r="D44" s="539"/>
      <c r="E44" s="535">
        <v>1.43</v>
      </c>
      <c r="F44" s="535">
        <v>1.43</v>
      </c>
      <c r="G44" s="535">
        <v>1.55</v>
      </c>
    </row>
    <row r="45" spans="1:11" s="16" customFormat="1" ht="15.25" customHeight="1">
      <c r="B45" s="511" t="s">
        <v>630</v>
      </c>
      <c r="C45" s="29"/>
      <c r="D45" s="539"/>
      <c r="E45" s="535">
        <v>6.12</v>
      </c>
      <c r="F45" s="535">
        <v>6.12</v>
      </c>
      <c r="G45" s="535">
        <v>5.08</v>
      </c>
    </row>
    <row r="46" spans="1:11" s="16" customFormat="1" ht="7.5" customHeight="1">
      <c r="B46" s="515"/>
      <c r="C46" s="21"/>
      <c r="D46" s="23"/>
      <c r="E46" s="535"/>
      <c r="F46" s="535"/>
      <c r="G46" s="535"/>
    </row>
    <row r="47" spans="1:11" s="16" customFormat="1" ht="15.25" customHeight="1">
      <c r="B47" s="28" t="s">
        <v>631</v>
      </c>
      <c r="C47" s="29"/>
      <c r="D47" s="22"/>
      <c r="E47" s="535"/>
      <c r="F47" s="535"/>
      <c r="G47" s="535"/>
    </row>
    <row r="48" spans="1:11" s="16" customFormat="1" ht="15.25" customHeight="1">
      <c r="B48" s="511" t="s">
        <v>632</v>
      </c>
      <c r="C48" s="29"/>
      <c r="D48" s="539"/>
      <c r="E48" s="535">
        <v>3.36</v>
      </c>
      <c r="F48" s="535">
        <v>3.36</v>
      </c>
      <c r="G48" s="535">
        <v>3.18</v>
      </c>
    </row>
    <row r="49" spans="2:7" s="16" customFormat="1" ht="15.25" customHeight="1">
      <c r="B49" s="511" t="s">
        <v>633</v>
      </c>
      <c r="C49" s="29"/>
      <c r="D49" s="539"/>
      <c r="E49" s="535">
        <v>0.09</v>
      </c>
      <c r="F49" s="535">
        <v>0.09</v>
      </c>
      <c r="G49" s="535">
        <v>0.15</v>
      </c>
    </row>
    <row r="50" spans="2:7" s="16" customFormat="1" ht="7.5" customHeight="1">
      <c r="B50" s="515"/>
      <c r="C50" s="21"/>
      <c r="D50" s="22"/>
      <c r="E50" s="535"/>
      <c r="F50" s="535"/>
      <c r="G50" s="535"/>
    </row>
    <row r="51" spans="2:7" s="16" customFormat="1" ht="15.25" customHeight="1">
      <c r="B51" s="28" t="s">
        <v>634</v>
      </c>
      <c r="C51" s="21"/>
      <c r="D51" s="22"/>
      <c r="E51" s="535"/>
      <c r="F51" s="535"/>
      <c r="G51" s="535"/>
    </row>
    <row r="52" spans="2:7" s="16" customFormat="1" ht="15.25" customHeight="1">
      <c r="B52" s="516" t="s">
        <v>635</v>
      </c>
      <c r="C52" s="21"/>
      <c r="D52" s="22"/>
      <c r="E52" s="535"/>
      <c r="F52" s="535"/>
      <c r="G52" s="535"/>
    </row>
    <row r="53" spans="2:7" s="16" customFormat="1" ht="15.25" customHeight="1">
      <c r="B53" s="517" t="s">
        <v>636</v>
      </c>
      <c r="C53" s="29"/>
      <c r="D53" s="539"/>
      <c r="E53" s="535">
        <v>3.1928480204342278</v>
      </c>
      <c r="F53" s="535">
        <v>3.1928480204342278</v>
      </c>
      <c r="G53" s="535">
        <v>1.6774193548387097</v>
      </c>
    </row>
    <row r="54" spans="2:7" s="16" customFormat="1" ht="15.25" customHeight="1">
      <c r="B54" s="518" t="s">
        <v>637</v>
      </c>
      <c r="C54" s="29"/>
      <c r="D54" s="539"/>
      <c r="E54" s="535">
        <v>3.6496350364963508</v>
      </c>
      <c r="F54" s="535">
        <v>3.6496350364963508</v>
      </c>
      <c r="G54" s="535">
        <v>10.975609756097562</v>
      </c>
    </row>
    <row r="55" spans="2:7" s="16" customFormat="1" ht="15.25" customHeight="1">
      <c r="B55" s="517" t="s">
        <v>638</v>
      </c>
      <c r="C55" s="29"/>
      <c r="D55" s="539"/>
      <c r="E55" s="535">
        <v>3.3226581265012012</v>
      </c>
      <c r="F55" s="535">
        <v>3.3226581265012012</v>
      </c>
      <c r="G55" s="535">
        <v>2.5985448149036539</v>
      </c>
    </row>
    <row r="56" spans="2:7" s="16" customFormat="1" ht="15.25" customHeight="1">
      <c r="B56" s="517" t="s">
        <v>639</v>
      </c>
      <c r="C56" s="29"/>
      <c r="D56" s="539"/>
      <c r="E56" s="535">
        <v>6.9030168740412483</v>
      </c>
      <c r="F56" s="535">
        <v>6.9030168740412483</v>
      </c>
      <c r="G56" s="535">
        <v>6.2953828110177819</v>
      </c>
    </row>
    <row r="57" spans="2:7" s="16" customFormat="1" ht="15.25" customHeight="1">
      <c r="B57" s="517" t="s">
        <v>640</v>
      </c>
      <c r="C57" s="29"/>
      <c r="D57" s="539"/>
      <c r="E57" s="535">
        <v>1.8738288569643973</v>
      </c>
      <c r="F57" s="535">
        <v>1.8738288569643973</v>
      </c>
      <c r="G57" s="535">
        <v>4.9028620457191883</v>
      </c>
    </row>
    <row r="58" spans="2:7" s="16" customFormat="1" ht="15.25" customHeight="1">
      <c r="B58" s="517" t="s">
        <v>641</v>
      </c>
      <c r="C58" s="21"/>
      <c r="D58" s="539"/>
      <c r="E58" s="535">
        <v>0.36158518947063928</v>
      </c>
      <c r="F58" s="535">
        <v>0.36158518947063928</v>
      </c>
      <c r="G58" s="535">
        <v>0.3184183805241167</v>
      </c>
    </row>
    <row r="59" spans="2:7" s="16" customFormat="1" ht="15.25" customHeight="1">
      <c r="B59" s="517" t="s">
        <v>642</v>
      </c>
      <c r="C59" s="21"/>
      <c r="D59" s="539"/>
      <c r="E59" s="535">
        <v>1.4245014245014245</v>
      </c>
      <c r="F59" s="535">
        <v>1.4245014245014245</v>
      </c>
      <c r="G59" s="535">
        <v>4.2573119332453491</v>
      </c>
    </row>
    <row r="60" spans="2:7" s="16" customFormat="1" ht="15.25" customHeight="1">
      <c r="B60" s="519" t="s">
        <v>643</v>
      </c>
      <c r="C60" s="21"/>
      <c r="D60" s="22"/>
      <c r="E60" s="535"/>
      <c r="F60" s="535"/>
      <c r="G60" s="535"/>
    </row>
    <row r="61" spans="2:7" s="16" customFormat="1" ht="15.25" customHeight="1">
      <c r="B61" s="517" t="s">
        <v>644</v>
      </c>
      <c r="C61" s="21"/>
      <c r="D61" s="539"/>
      <c r="E61" s="535">
        <v>0.19480519480519479</v>
      </c>
      <c r="F61" s="535">
        <v>0.19480519480519479</v>
      </c>
      <c r="G61" s="535">
        <v>6.5125366330185605E-2</v>
      </c>
    </row>
    <row r="62" spans="2:7" s="16" customFormat="1" ht="15.25" customHeight="1">
      <c r="B62" s="517" t="s">
        <v>645</v>
      </c>
      <c r="C62" s="21"/>
      <c r="D62" s="539"/>
      <c r="E62" s="535">
        <v>1.5596880623875224</v>
      </c>
      <c r="F62" s="535">
        <v>1.5596880623875224</v>
      </c>
      <c r="G62" s="535">
        <v>2.7752304647907717</v>
      </c>
    </row>
    <row r="63" spans="2:7" s="16" customFormat="1" ht="15.25" customHeight="1">
      <c r="B63" s="519" t="s">
        <v>646</v>
      </c>
      <c r="C63" s="21"/>
      <c r="D63" s="22"/>
      <c r="E63" s="535"/>
      <c r="F63" s="535"/>
      <c r="G63" s="535"/>
    </row>
    <row r="64" spans="2:7" s="16" customFormat="1" ht="15.25" customHeight="1">
      <c r="B64" s="517" t="s">
        <v>647</v>
      </c>
      <c r="C64" s="21"/>
      <c r="D64" s="539"/>
      <c r="E64" s="535">
        <v>1.5473097246956471</v>
      </c>
      <c r="F64" s="535">
        <v>1.5473097246956471</v>
      </c>
      <c r="G64" s="535">
        <v>1.3514446080235554</v>
      </c>
    </row>
    <row r="65" spans="1:9" s="16" customFormat="1" ht="15.25" customHeight="1">
      <c r="B65" s="520"/>
      <c r="C65" s="21"/>
      <c r="D65" s="22"/>
      <c r="E65" s="535"/>
      <c r="F65" s="535"/>
      <c r="G65" s="535"/>
    </row>
    <row r="66" spans="1:9" s="42" customFormat="1" ht="8.25" customHeight="1" thickBot="1">
      <c r="A66" s="530"/>
      <c r="B66" s="530"/>
      <c r="C66" s="530"/>
      <c r="D66" s="530"/>
      <c r="E66" s="530"/>
      <c r="F66" s="530"/>
      <c r="G66" s="530"/>
      <c r="H66" s="16"/>
      <c r="I66" s="16"/>
    </row>
    <row r="67" spans="1:9" s="42" customFormat="1" ht="9.25" customHeight="1">
      <c r="D67" s="48"/>
      <c r="E67" s="49"/>
      <c r="F67" s="49"/>
      <c r="G67" s="192"/>
      <c r="H67" s="16"/>
      <c r="I67" s="16"/>
    </row>
    <row r="68" spans="1:9" s="42" customFormat="1" ht="15.25" customHeight="1">
      <c r="B68" s="106"/>
      <c r="C68" s="49"/>
      <c r="D68" s="299"/>
      <c r="E68" s="543"/>
      <c r="F68" s="543"/>
      <c r="G68" s="192" t="s">
        <v>650</v>
      </c>
      <c r="I68" s="16"/>
    </row>
    <row r="69" spans="1:9" s="42" customFormat="1" ht="15.25" customHeight="1">
      <c r="B69" s="106"/>
      <c r="C69" s="49"/>
      <c r="D69" s="299"/>
      <c r="E69" s="543"/>
      <c r="F69" s="543"/>
      <c r="G69" s="192" t="s">
        <v>651</v>
      </c>
      <c r="I69" s="16"/>
    </row>
    <row r="70" spans="1:9" s="1" customFormat="1" ht="14">
      <c r="E70" s="544"/>
      <c r="F70" s="544"/>
      <c r="G70" s="193" t="s">
        <v>652</v>
      </c>
      <c r="I70" s="16"/>
    </row>
    <row r="71" spans="1:9" s="1" customFormat="1" ht="14">
      <c r="E71" s="544"/>
      <c r="F71" s="544"/>
      <c r="G71" s="193" t="s">
        <v>653</v>
      </c>
      <c r="I71" s="16"/>
    </row>
  </sheetData>
  <mergeCells count="1">
    <mergeCell ref="B6:C6"/>
  </mergeCells>
  <conditionalFormatting sqref="C11">
    <cfRule type="cellIs" dxfId="15" priority="2" stopIfTrue="1" operator="lessThan">
      <formula>0</formula>
    </cfRule>
  </conditionalFormatting>
  <conditionalFormatting sqref="C13:C15">
    <cfRule type="cellIs" dxfId="14" priority="8" stopIfTrue="1" operator="lessThan">
      <formula>0</formula>
    </cfRule>
  </conditionalFormatting>
  <conditionalFormatting sqref="C17:C19">
    <cfRule type="cellIs" dxfId="13" priority="6" stopIfTrue="1" operator="lessThan">
      <formula>0</formula>
    </cfRule>
  </conditionalFormatting>
  <conditionalFormatting sqref="C23:C27">
    <cfRule type="cellIs" dxfId="12" priority="7" stopIfTrue="1" operator="lessThan">
      <formula>0</formula>
    </cfRule>
  </conditionalFormatting>
  <conditionalFormatting sqref="C37">
    <cfRule type="cellIs" dxfId="11" priority="9" stopIfTrue="1" operator="lessThan">
      <formula>0</formula>
    </cfRule>
  </conditionalFormatting>
  <conditionalFormatting sqref="C41">
    <cfRule type="cellIs" dxfId="10" priority="1" stopIfTrue="1" operator="lessThan">
      <formula>0</formula>
    </cfRule>
  </conditionalFormatting>
  <conditionalFormatting sqref="C43:C45">
    <cfRule type="cellIs" dxfId="9" priority="5" stopIfTrue="1" operator="lessThan">
      <formula>0</formula>
    </cfRule>
  </conditionalFormatting>
  <conditionalFormatting sqref="C47:C49">
    <cfRule type="cellIs" dxfId="8" priority="3" stopIfTrue="1" operator="lessThan">
      <formula>0</formula>
    </cfRule>
  </conditionalFormatting>
  <conditionalFormatting sqref="C53:C57">
    <cfRule type="cellIs" dxfId="7"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E3B8-9973-4BAF-AAAC-265BA7485069}">
  <sheetPr codeName="Sheet45">
    <pageSetUpPr fitToPage="1"/>
  </sheetPr>
  <dimension ref="A1:K31"/>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5" max="5" width="37.6640625" customWidth="1"/>
    <col min="6" max="6" width="6.5" customWidth="1"/>
    <col min="7" max="7" width="3.1640625" customWidth="1"/>
    <col min="8" max="8" width="11.33203125" customWidth="1"/>
    <col min="9" max="9" width="13.33203125" customWidth="1"/>
    <col min="10" max="10" width="12.5" style="404" customWidth="1"/>
  </cols>
  <sheetData>
    <row r="1" spans="1:10" s="545" customFormat="1" ht="8.25" customHeight="1"/>
    <row r="2" spans="1:10" s="545" customFormat="1" ht="8.25" customHeight="1"/>
    <row r="3" spans="1:10" s="545" customFormat="1" ht="16.5" customHeight="1">
      <c r="A3" s="1333" t="s">
        <v>660</v>
      </c>
      <c r="B3" s="1333"/>
      <c r="C3" s="3" t="s">
        <v>661</v>
      </c>
      <c r="F3" s="547"/>
    </row>
    <row r="4" spans="1:10" s="545" customFormat="1" ht="16.5" customHeight="1">
      <c r="A4" s="1334" t="s">
        <v>662</v>
      </c>
      <c r="B4" s="1334"/>
      <c r="C4" s="6" t="s">
        <v>663</v>
      </c>
      <c r="D4" s="549"/>
      <c r="E4" s="549"/>
      <c r="F4" s="547"/>
    </row>
    <row r="5" spans="1:10" s="545" customFormat="1" ht="13.25" customHeight="1" thickBot="1">
      <c r="A5" s="550"/>
      <c r="B5" s="550"/>
      <c r="C5" s="550"/>
      <c r="D5" s="550"/>
      <c r="E5" s="550"/>
      <c r="F5" s="351"/>
    </row>
    <row r="6" spans="1:10" s="551" customFormat="1" ht="43.25" customHeight="1" thickBot="1">
      <c r="A6" s="10"/>
      <c r="B6" s="1273" t="s">
        <v>664</v>
      </c>
      <c r="C6" s="1293"/>
      <c r="D6" s="10"/>
      <c r="E6" s="10"/>
      <c r="F6" s="11"/>
      <c r="G6" s="11"/>
      <c r="H6" s="11">
        <v>2021</v>
      </c>
      <c r="I6" s="11">
        <v>2022</v>
      </c>
      <c r="J6" s="11">
        <v>2023</v>
      </c>
    </row>
    <row r="7" spans="1:10" s="551" customFormat="1" ht="16.5" customHeight="1">
      <c r="B7" s="552"/>
      <c r="C7" s="553"/>
      <c r="D7" s="258"/>
      <c r="E7" s="258"/>
      <c r="F7" s="258"/>
      <c r="G7" s="554"/>
      <c r="H7" s="554"/>
      <c r="I7" s="554"/>
      <c r="J7" s="554"/>
    </row>
    <row r="8" spans="1:10" s="551" customFormat="1" ht="15.25" customHeight="1">
      <c r="B8" s="555" t="s">
        <v>665</v>
      </c>
      <c r="C8" s="553"/>
      <c r="D8" s="258"/>
      <c r="E8" s="258"/>
      <c r="F8" s="258"/>
      <c r="G8" s="554"/>
      <c r="H8" s="554"/>
      <c r="I8" s="554"/>
      <c r="J8" s="554"/>
    </row>
    <row r="9" spans="1:10" s="551" customFormat="1" ht="15.25" customHeight="1">
      <c r="B9" s="556" t="s">
        <v>666</v>
      </c>
      <c r="C9" s="553"/>
      <c r="D9" s="557"/>
      <c r="E9" s="557"/>
      <c r="F9" s="557"/>
      <c r="G9" s="557"/>
      <c r="H9" s="558">
        <v>82</v>
      </c>
      <c r="I9" s="558">
        <v>86.2</v>
      </c>
      <c r="J9" s="131">
        <v>81.8</v>
      </c>
    </row>
    <row r="10" spans="1:10" s="551" customFormat="1" ht="15.25" customHeight="1">
      <c r="B10" s="556" t="s">
        <v>667</v>
      </c>
      <c r="C10" s="553"/>
      <c r="D10" s="557"/>
      <c r="E10" s="557"/>
      <c r="F10" s="557"/>
      <c r="G10" s="557"/>
      <c r="H10" s="558">
        <v>18</v>
      </c>
      <c r="I10" s="558">
        <v>13.8</v>
      </c>
      <c r="J10" s="131">
        <v>18.2</v>
      </c>
    </row>
    <row r="11" spans="1:10" s="551" customFormat="1" ht="16.5" customHeight="1">
      <c r="B11" s="552"/>
      <c r="C11" s="553"/>
      <c r="D11" s="559"/>
      <c r="E11" s="559"/>
      <c r="F11" s="559"/>
      <c r="G11" s="559"/>
      <c r="H11" s="558"/>
      <c r="I11" s="558"/>
      <c r="J11" s="131"/>
    </row>
    <row r="12" spans="1:10" s="551" customFormat="1" ht="15.25" customHeight="1">
      <c r="B12" s="555" t="s">
        <v>668</v>
      </c>
      <c r="C12" s="553"/>
      <c r="D12" s="258"/>
      <c r="E12" s="258"/>
      <c r="F12" s="258"/>
      <c r="G12" s="554"/>
      <c r="H12" s="558"/>
      <c r="I12" s="558"/>
      <c r="J12" s="131"/>
    </row>
    <row r="13" spans="1:10" s="551" customFormat="1" ht="15.25" customHeight="1">
      <c r="B13" s="556" t="s">
        <v>666</v>
      </c>
      <c r="C13" s="553"/>
      <c r="D13" s="557"/>
      <c r="E13" s="557"/>
      <c r="F13" s="557"/>
      <c r="G13" s="557"/>
      <c r="H13" s="558">
        <v>85.6</v>
      </c>
      <c r="I13" s="558">
        <v>84.2</v>
      </c>
      <c r="J13" s="131">
        <v>84.2</v>
      </c>
    </row>
    <row r="14" spans="1:10" s="551" customFormat="1" ht="15.25" customHeight="1">
      <c r="B14" s="556" t="s">
        <v>667</v>
      </c>
      <c r="C14" s="553"/>
      <c r="D14" s="557"/>
      <c r="E14" s="557"/>
      <c r="F14" s="557"/>
      <c r="G14" s="557"/>
      <c r="H14" s="558">
        <v>14.4</v>
      </c>
      <c r="I14" s="558">
        <v>14.9</v>
      </c>
      <c r="J14" s="131">
        <v>14.9</v>
      </c>
    </row>
    <row r="15" spans="1:10" s="551" customFormat="1" ht="16.5" customHeight="1">
      <c r="B15" s="552"/>
      <c r="C15" s="553"/>
      <c r="D15" s="559"/>
      <c r="E15" s="559"/>
      <c r="F15" s="559"/>
      <c r="G15" s="559"/>
      <c r="H15" s="558"/>
      <c r="I15" s="558"/>
      <c r="J15" s="131"/>
    </row>
    <row r="16" spans="1:10" s="551" customFormat="1" ht="15.25" customHeight="1">
      <c r="B16" s="555" t="s">
        <v>669</v>
      </c>
      <c r="C16" s="553"/>
      <c r="D16" s="258"/>
      <c r="E16" s="258"/>
      <c r="F16" s="258"/>
      <c r="G16" s="554"/>
      <c r="H16" s="558"/>
      <c r="I16" s="558"/>
      <c r="J16" s="131"/>
    </row>
    <row r="17" spans="1:11" s="551" customFormat="1" ht="15.25" customHeight="1">
      <c r="B17" s="556" t="s">
        <v>666</v>
      </c>
      <c r="C17" s="553"/>
      <c r="D17" s="557"/>
      <c r="E17" s="557"/>
      <c r="F17" s="557"/>
      <c r="G17" s="557"/>
      <c r="H17" s="558">
        <v>85.7</v>
      </c>
      <c r="I17" s="558">
        <v>84.4</v>
      </c>
      <c r="J17" s="131">
        <v>84.4</v>
      </c>
    </row>
    <row r="18" spans="1:11" s="551" customFormat="1" ht="15.25" customHeight="1">
      <c r="B18" s="556" t="s">
        <v>667</v>
      </c>
      <c r="C18" s="553"/>
      <c r="D18" s="557"/>
      <c r="E18" s="557"/>
      <c r="F18" s="557"/>
      <c r="G18" s="557"/>
      <c r="H18" s="558">
        <v>14.3</v>
      </c>
      <c r="I18" s="558">
        <v>15.6</v>
      </c>
      <c r="J18" s="131">
        <v>15.6</v>
      </c>
    </row>
    <row r="19" spans="1:11" s="551" customFormat="1" ht="16.5" customHeight="1">
      <c r="B19" s="552"/>
      <c r="C19" s="553"/>
      <c r="D19" s="559"/>
      <c r="E19" s="559"/>
      <c r="F19" s="559"/>
      <c r="G19" s="559"/>
      <c r="H19" s="558"/>
      <c r="I19" s="558"/>
      <c r="J19" s="131"/>
    </row>
    <row r="20" spans="1:11" s="551" customFormat="1" ht="15.25" customHeight="1">
      <c r="B20" s="555" t="s">
        <v>670</v>
      </c>
      <c r="C20" s="553"/>
      <c r="D20" s="258"/>
      <c r="E20" s="258"/>
      <c r="F20" s="258"/>
      <c r="G20" s="554"/>
      <c r="H20" s="558"/>
      <c r="I20" s="558"/>
      <c r="J20" s="131"/>
    </row>
    <row r="21" spans="1:11" s="551" customFormat="1" ht="15.25" customHeight="1">
      <c r="B21" s="556" t="s">
        <v>666</v>
      </c>
      <c r="C21" s="553"/>
      <c r="D21" s="557"/>
      <c r="E21" s="557"/>
      <c r="F21" s="557"/>
      <c r="G21" s="557"/>
      <c r="H21" s="558">
        <v>80.8</v>
      </c>
      <c r="I21" s="558">
        <v>89.5</v>
      </c>
      <c r="J21" s="131">
        <v>89.5</v>
      </c>
    </row>
    <row r="22" spans="1:11" s="551" customFormat="1" ht="15.25" customHeight="1">
      <c r="B22" s="556" t="s">
        <v>667</v>
      </c>
      <c r="C22" s="553"/>
      <c r="D22" s="557"/>
      <c r="E22" s="557"/>
      <c r="F22" s="557"/>
      <c r="G22" s="557"/>
      <c r="H22" s="558">
        <v>19.2</v>
      </c>
      <c r="I22" s="558">
        <v>10.5</v>
      </c>
      <c r="J22" s="131">
        <v>10.5</v>
      </c>
    </row>
    <row r="23" spans="1:11" s="351" customFormat="1" ht="15.25" customHeight="1">
      <c r="B23" s="555"/>
      <c r="C23" s="560"/>
      <c r="D23" s="239"/>
      <c r="E23" s="239"/>
      <c r="F23" s="558"/>
      <c r="G23" s="561"/>
      <c r="H23" s="558"/>
      <c r="I23" s="558"/>
      <c r="J23" s="558"/>
      <c r="K23" s="551"/>
    </row>
    <row r="24" spans="1:11" s="549" customFormat="1" ht="8.25" customHeight="1">
      <c r="B24" s="562"/>
      <c r="C24" s="555"/>
      <c r="D24" s="563"/>
      <c r="E24" s="564"/>
      <c r="F24" s="564"/>
      <c r="G24" s="565"/>
      <c r="H24" s="564"/>
      <c r="I24" s="564"/>
      <c r="J24" s="564"/>
    </row>
    <row r="25" spans="1:11" s="549" customFormat="1" ht="8.25" customHeight="1" thickBot="1">
      <c r="A25" s="566"/>
      <c r="B25" s="566"/>
      <c r="C25" s="566"/>
      <c r="D25" s="567"/>
      <c r="E25" s="567"/>
      <c r="F25" s="567"/>
      <c r="G25" s="567"/>
      <c r="H25" s="567"/>
      <c r="I25" s="567"/>
      <c r="J25" s="567"/>
    </row>
    <row r="26" spans="1:11" s="549" customFormat="1" ht="15.25" customHeight="1" thickTop="1">
      <c r="D26" s="568"/>
      <c r="E26" s="569"/>
      <c r="F26" s="564"/>
      <c r="G26" s="568"/>
      <c r="H26" s="568"/>
      <c r="I26" s="568"/>
      <c r="J26" s="192" t="s">
        <v>671</v>
      </c>
    </row>
    <row r="27" spans="1:11" s="549" customFormat="1" ht="15.25" customHeight="1">
      <c r="B27" s="570"/>
      <c r="C27" s="299"/>
      <c r="D27" s="299"/>
      <c r="E27" s="299"/>
      <c r="G27" s="299"/>
      <c r="H27" s="299"/>
      <c r="I27" s="299"/>
      <c r="J27" s="193" t="s">
        <v>672</v>
      </c>
    </row>
    <row r="28" spans="1:11" s="549" customFormat="1" ht="15.25" customHeight="1">
      <c r="B28" s="570"/>
      <c r="C28" s="299"/>
      <c r="D28" s="299"/>
      <c r="E28" s="299"/>
      <c r="G28" s="299"/>
      <c r="H28" s="299"/>
      <c r="I28" s="299"/>
      <c r="J28" s="193"/>
    </row>
    <row r="29" spans="1:11" s="549" customFormat="1" ht="15.25" customHeight="1">
      <c r="A29" s="299"/>
      <c r="B29" s="571" t="s">
        <v>135</v>
      </c>
      <c r="C29" s="299"/>
      <c r="D29" s="299"/>
      <c r="E29" s="299"/>
      <c r="G29" s="299"/>
      <c r="H29" s="299"/>
      <c r="I29" s="299"/>
      <c r="J29" s="193"/>
    </row>
    <row r="30" spans="1:11" s="574" customFormat="1" ht="15.25" customHeight="1">
      <c r="A30" s="545"/>
      <c r="B30" s="572" t="s">
        <v>673</v>
      </c>
      <c r="C30" s="351"/>
      <c r="D30" s="573"/>
      <c r="E30" s="573"/>
      <c r="F30" s="573"/>
      <c r="G30" s="545"/>
      <c r="H30" s="549"/>
      <c r="I30" s="549"/>
      <c r="J30" s="549"/>
    </row>
    <row r="31" spans="1:11" s="574" customFormat="1" ht="15.25" customHeight="1">
      <c r="A31" s="545"/>
      <c r="B31" s="575" t="s">
        <v>674</v>
      </c>
      <c r="C31" s="351"/>
      <c r="D31" s="573"/>
      <c r="E31" s="573"/>
      <c r="F31" s="573"/>
      <c r="G31" s="545"/>
      <c r="H31" s="549"/>
      <c r="I31" s="549"/>
      <c r="J31" s="549"/>
    </row>
  </sheetData>
  <mergeCells count="3">
    <mergeCell ref="A3:B3"/>
    <mergeCell ref="A4:B4"/>
    <mergeCell ref="B6:C6"/>
  </mergeCells>
  <conditionalFormatting sqref="C23">
    <cfRule type="cellIs" dxfId="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4"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4A45-9635-4E64-BB1F-0DFDA031B3B7}">
  <sheetPr codeName="Sheet46">
    <pageSetUpPr fitToPage="1"/>
  </sheetPr>
  <dimension ref="A1:K59"/>
  <sheetViews>
    <sheetView view="pageBreakPreview" zoomScaleNormal="100" zoomScaleSheetLayoutView="100" workbookViewId="0">
      <selection activeCell="D60" sqref="D60"/>
    </sheetView>
  </sheetViews>
  <sheetFormatPr baseColWidth="10" defaultColWidth="8.83203125" defaultRowHeight="15"/>
  <cols>
    <col min="1" max="1" width="4" customWidth="1"/>
    <col min="5" max="5" width="41" customWidth="1"/>
    <col min="6" max="6" width="3.5" customWidth="1"/>
    <col min="7" max="7" width="2.83203125" customWidth="1"/>
    <col min="8" max="8" width="12.33203125" customWidth="1"/>
    <col min="9" max="9" width="11.83203125" customWidth="1"/>
    <col min="10" max="10" width="13.33203125" style="404" customWidth="1"/>
  </cols>
  <sheetData>
    <row r="1" spans="1:10" s="545" customFormat="1" ht="8.25" customHeight="1"/>
    <row r="2" spans="1:10" s="545" customFormat="1" ht="8.25" customHeight="1"/>
    <row r="3" spans="1:10" s="545" customFormat="1" ht="16.5" customHeight="1">
      <c r="B3" s="546" t="s">
        <v>675</v>
      </c>
      <c r="C3" s="3" t="s">
        <v>676</v>
      </c>
      <c r="F3" s="547"/>
    </row>
    <row r="4" spans="1:10" s="545" customFormat="1" ht="16.5" customHeight="1">
      <c r="B4" s="548" t="s">
        <v>677</v>
      </c>
      <c r="C4" s="6" t="s">
        <v>678</v>
      </c>
      <c r="D4" s="549"/>
      <c r="E4" s="549"/>
      <c r="F4" s="547"/>
    </row>
    <row r="5" spans="1:10" s="545" customFormat="1" ht="13.25" customHeight="1" thickBot="1">
      <c r="A5" s="550"/>
      <c r="B5" s="550"/>
      <c r="C5" s="550"/>
      <c r="D5" s="550"/>
      <c r="E5" s="550"/>
      <c r="F5" s="351"/>
    </row>
    <row r="6" spans="1:10" s="551" customFormat="1" ht="43.25" customHeight="1" thickBot="1">
      <c r="A6" s="10"/>
      <c r="B6" s="1273" t="s">
        <v>664</v>
      </c>
      <c r="C6" s="1293"/>
      <c r="D6" s="10"/>
      <c r="E6" s="10"/>
      <c r="F6" s="11"/>
      <c r="G6" s="11"/>
      <c r="H6" s="11">
        <v>2021</v>
      </c>
      <c r="I6" s="11">
        <v>2022</v>
      </c>
      <c r="J6" s="11">
        <v>2023</v>
      </c>
    </row>
    <row r="7" spans="1:10" s="551" customFormat="1" ht="16.5" customHeight="1">
      <c r="B7" s="552"/>
      <c r="C7" s="553"/>
      <c r="D7" s="258"/>
      <c r="E7" s="258"/>
      <c r="F7" s="258"/>
      <c r="G7" s="554"/>
      <c r="H7" s="554"/>
      <c r="I7" s="554"/>
      <c r="J7" s="554"/>
    </row>
    <row r="8" spans="1:10" s="551" customFormat="1" ht="16.5" customHeight="1">
      <c r="B8" s="37" t="s">
        <v>679</v>
      </c>
      <c r="C8" s="553"/>
      <c r="D8" s="258"/>
      <c r="E8" s="258"/>
      <c r="F8" s="214"/>
      <c r="G8" s="576"/>
      <c r="H8" s="214">
        <v>129</v>
      </c>
      <c r="I8" s="214">
        <v>137</v>
      </c>
      <c r="J8" s="577">
        <v>137</v>
      </c>
    </row>
    <row r="9" spans="1:10" s="551" customFormat="1" ht="15.25" customHeight="1">
      <c r="B9" s="556" t="s">
        <v>666</v>
      </c>
      <c r="C9" s="553"/>
      <c r="D9" s="557"/>
      <c r="E9" s="557"/>
      <c r="F9" s="559"/>
      <c r="G9" s="559"/>
      <c r="H9" s="239">
        <v>87</v>
      </c>
      <c r="I9" s="239">
        <v>91</v>
      </c>
      <c r="J9" s="129">
        <v>90</v>
      </c>
    </row>
    <row r="10" spans="1:10" s="551" customFormat="1" ht="15.25" customHeight="1">
      <c r="B10" s="556" t="s">
        <v>667</v>
      </c>
      <c r="C10" s="553"/>
      <c r="D10" s="557"/>
      <c r="E10" s="557"/>
      <c r="F10" s="559"/>
      <c r="G10" s="559"/>
      <c r="H10" s="239">
        <v>42</v>
      </c>
      <c r="I10" s="239">
        <v>49</v>
      </c>
      <c r="J10" s="129">
        <v>47</v>
      </c>
    </row>
    <row r="11" spans="1:10" s="551" customFormat="1" ht="16.5" customHeight="1">
      <c r="B11" s="552"/>
      <c r="C11" s="553"/>
      <c r="D11" s="258"/>
      <c r="E11" s="258"/>
      <c r="F11" s="258"/>
      <c r="G11" s="554"/>
      <c r="H11" s="239"/>
      <c r="I11" s="239"/>
      <c r="J11" s="129"/>
    </row>
    <row r="12" spans="1:10" s="551" customFormat="1" ht="15.25" customHeight="1">
      <c r="B12" s="555" t="s">
        <v>680</v>
      </c>
      <c r="C12" s="553"/>
      <c r="D12" s="258"/>
      <c r="E12" s="258"/>
      <c r="F12" s="258"/>
      <c r="G12" s="554"/>
      <c r="H12" s="239"/>
      <c r="I12" s="239"/>
      <c r="J12" s="129"/>
    </row>
    <row r="13" spans="1:10" s="551" customFormat="1" ht="15.25" customHeight="1">
      <c r="B13" s="556" t="s">
        <v>679</v>
      </c>
      <c r="C13" s="553"/>
      <c r="D13" s="258"/>
      <c r="E13" s="258"/>
      <c r="F13" s="214"/>
      <c r="G13" s="578"/>
      <c r="H13" s="214">
        <v>1</v>
      </c>
      <c r="I13" s="214">
        <v>1</v>
      </c>
      <c r="J13" s="577">
        <v>1</v>
      </c>
    </row>
    <row r="14" spans="1:10" s="551" customFormat="1" ht="15.25" customHeight="1">
      <c r="B14" s="556" t="s">
        <v>666</v>
      </c>
      <c r="C14" s="553"/>
      <c r="D14" s="557"/>
      <c r="E14" s="557"/>
      <c r="F14" s="559"/>
      <c r="G14" s="579"/>
      <c r="H14" s="580" t="s">
        <v>438</v>
      </c>
      <c r="I14" s="580" t="s">
        <v>438</v>
      </c>
      <c r="J14" s="581" t="s">
        <v>438</v>
      </c>
    </row>
    <row r="15" spans="1:10" s="551" customFormat="1" ht="15.25" customHeight="1">
      <c r="B15" s="556" t="s">
        <v>667</v>
      </c>
      <c r="C15" s="553"/>
      <c r="D15" s="557"/>
      <c r="E15" s="557"/>
      <c r="F15" s="579"/>
      <c r="G15" s="559"/>
      <c r="H15" s="239">
        <v>1</v>
      </c>
      <c r="I15" s="239">
        <v>1</v>
      </c>
      <c r="J15" s="129">
        <v>1</v>
      </c>
    </row>
    <row r="16" spans="1:10" s="551" customFormat="1" ht="16.5" customHeight="1">
      <c r="B16" s="552"/>
      <c r="C16" s="553"/>
      <c r="D16" s="559"/>
      <c r="E16" s="559"/>
      <c r="F16" s="559"/>
      <c r="G16" s="559"/>
      <c r="H16" s="239"/>
      <c r="I16" s="239"/>
      <c r="J16" s="129"/>
    </row>
    <row r="17" spans="2:10" s="551" customFormat="1" ht="15.25" customHeight="1">
      <c r="B17" s="555" t="s">
        <v>681</v>
      </c>
      <c r="C17" s="553"/>
      <c r="D17" s="258"/>
      <c r="E17" s="258"/>
      <c r="F17" s="258"/>
      <c r="G17" s="554"/>
      <c r="H17" s="239"/>
      <c r="I17" s="239"/>
      <c r="J17" s="129"/>
    </row>
    <row r="18" spans="2:10" s="551" customFormat="1" ht="15.25" customHeight="1">
      <c r="B18" s="556" t="s">
        <v>679</v>
      </c>
      <c r="C18" s="553"/>
      <c r="D18" s="258"/>
      <c r="E18" s="258"/>
      <c r="F18" s="214"/>
      <c r="G18" s="578"/>
      <c r="H18" s="214">
        <v>1</v>
      </c>
      <c r="I18" s="214">
        <v>1</v>
      </c>
      <c r="J18" s="577">
        <v>1</v>
      </c>
    </row>
    <row r="19" spans="2:10" s="551" customFormat="1" ht="15.25" customHeight="1">
      <c r="B19" s="556" t="s">
        <v>666</v>
      </c>
      <c r="C19" s="553"/>
      <c r="D19" s="557"/>
      <c r="E19" s="557"/>
      <c r="F19" s="559"/>
      <c r="G19" s="579"/>
      <c r="H19" s="580" t="s">
        <v>438</v>
      </c>
      <c r="I19" s="580" t="s">
        <v>438</v>
      </c>
      <c r="J19" s="581" t="s">
        <v>438</v>
      </c>
    </row>
    <row r="20" spans="2:10" s="551" customFormat="1" ht="15.25" customHeight="1">
      <c r="B20" s="556" t="s">
        <v>667</v>
      </c>
      <c r="C20" s="553"/>
      <c r="D20" s="557"/>
      <c r="E20" s="557"/>
      <c r="F20" s="579"/>
      <c r="G20" s="559"/>
      <c r="H20" s="239">
        <v>1</v>
      </c>
      <c r="I20" s="239">
        <v>1</v>
      </c>
      <c r="J20" s="129">
        <v>1</v>
      </c>
    </row>
    <row r="21" spans="2:10" s="551" customFormat="1" ht="16.5" customHeight="1">
      <c r="B21" s="552"/>
      <c r="C21" s="553"/>
      <c r="D21" s="559"/>
      <c r="E21" s="559"/>
      <c r="F21" s="559"/>
      <c r="G21" s="559"/>
      <c r="H21" s="239"/>
      <c r="I21" s="239"/>
      <c r="J21" s="129"/>
    </row>
    <row r="22" spans="2:10" s="551" customFormat="1" ht="15.25" customHeight="1">
      <c r="B22" s="555" t="s">
        <v>682</v>
      </c>
      <c r="C22" s="553"/>
      <c r="D22" s="258"/>
      <c r="E22" s="258"/>
      <c r="F22" s="258"/>
      <c r="G22" s="554"/>
      <c r="H22" s="239"/>
      <c r="I22" s="239"/>
      <c r="J22" s="129"/>
    </row>
    <row r="23" spans="2:10" s="551" customFormat="1" ht="15.25" customHeight="1">
      <c r="B23" s="556" t="s">
        <v>679</v>
      </c>
      <c r="C23" s="553"/>
      <c r="D23" s="258"/>
      <c r="E23" s="258"/>
      <c r="F23" s="214"/>
      <c r="G23" s="578"/>
      <c r="H23" s="214">
        <v>1</v>
      </c>
      <c r="I23" s="214">
        <v>1</v>
      </c>
      <c r="J23" s="577">
        <v>1</v>
      </c>
    </row>
    <row r="24" spans="2:10" s="551" customFormat="1" ht="15.25" customHeight="1">
      <c r="B24" s="556" t="s">
        <v>666</v>
      </c>
      <c r="C24" s="553"/>
      <c r="D24" s="557"/>
      <c r="E24" s="557"/>
      <c r="F24" s="559"/>
      <c r="G24" s="579"/>
      <c r="H24" s="580" t="s">
        <v>438</v>
      </c>
      <c r="I24" s="239">
        <v>1</v>
      </c>
      <c r="J24" s="129">
        <v>1</v>
      </c>
    </row>
    <row r="25" spans="2:10" s="551" customFormat="1" ht="15.25" customHeight="1">
      <c r="B25" s="556" t="s">
        <v>667</v>
      </c>
      <c r="C25" s="553"/>
      <c r="D25" s="557"/>
      <c r="E25" s="557"/>
      <c r="F25" s="579"/>
      <c r="G25" s="559"/>
      <c r="H25" s="239">
        <v>1</v>
      </c>
      <c r="I25" s="580" t="s">
        <v>438</v>
      </c>
      <c r="J25" s="581" t="s">
        <v>438</v>
      </c>
    </row>
    <row r="26" spans="2:10" s="551" customFormat="1" ht="16.5" customHeight="1">
      <c r="B26" s="552"/>
      <c r="C26" s="553"/>
      <c r="D26" s="559"/>
      <c r="E26" s="559"/>
      <c r="F26" s="559"/>
      <c r="G26" s="559"/>
      <c r="H26" s="239"/>
      <c r="I26" s="239"/>
      <c r="J26" s="129"/>
    </row>
    <row r="27" spans="2:10" s="551" customFormat="1" ht="15.25" customHeight="1">
      <c r="B27" s="555" t="s">
        <v>683</v>
      </c>
      <c r="C27" s="553"/>
      <c r="D27" s="258"/>
      <c r="E27" s="258"/>
      <c r="F27" s="258"/>
      <c r="G27" s="554"/>
      <c r="H27" s="239"/>
      <c r="I27" s="239"/>
      <c r="J27" s="129"/>
    </row>
    <row r="28" spans="2:10" s="551" customFormat="1" ht="15.25" customHeight="1">
      <c r="B28" s="556" t="s">
        <v>679</v>
      </c>
      <c r="C28" s="553"/>
      <c r="D28" s="258"/>
      <c r="E28" s="258"/>
      <c r="F28" s="214"/>
      <c r="G28" s="578"/>
      <c r="H28" s="214">
        <v>1</v>
      </c>
      <c r="I28" s="214">
        <v>1</v>
      </c>
      <c r="J28" s="577">
        <v>1</v>
      </c>
    </row>
    <row r="29" spans="2:10" s="551" customFormat="1" ht="15.25" customHeight="1">
      <c r="B29" s="556" t="s">
        <v>666</v>
      </c>
      <c r="C29" s="553"/>
      <c r="D29" s="557"/>
      <c r="E29" s="557"/>
      <c r="F29" s="559"/>
      <c r="G29" s="579"/>
      <c r="H29" s="580">
        <v>1</v>
      </c>
      <c r="I29" s="239">
        <v>1</v>
      </c>
      <c r="J29" s="129">
        <v>1</v>
      </c>
    </row>
    <row r="30" spans="2:10" s="551" customFormat="1" ht="15.25" customHeight="1">
      <c r="B30" s="556" t="s">
        <v>667</v>
      </c>
      <c r="C30" s="553"/>
      <c r="D30" s="557"/>
      <c r="E30" s="557"/>
      <c r="F30" s="579"/>
      <c r="G30" s="579"/>
      <c r="H30" s="580" t="s">
        <v>438</v>
      </c>
      <c r="I30" s="580" t="s">
        <v>438</v>
      </c>
      <c r="J30" s="581" t="s">
        <v>438</v>
      </c>
    </row>
    <row r="31" spans="2:10" s="551" customFormat="1" ht="16.5" customHeight="1">
      <c r="B31" s="552"/>
      <c r="C31" s="553"/>
      <c r="D31" s="258"/>
      <c r="E31" s="258"/>
      <c r="F31" s="258"/>
      <c r="G31" s="554"/>
      <c r="H31" s="239"/>
      <c r="I31" s="239"/>
      <c r="J31" s="129"/>
    </row>
    <row r="32" spans="2:10" s="551" customFormat="1" ht="15.25" customHeight="1">
      <c r="B32" s="555" t="s">
        <v>684</v>
      </c>
      <c r="C32" s="553"/>
      <c r="D32" s="258"/>
      <c r="E32" s="258"/>
      <c r="F32" s="258"/>
      <c r="G32" s="554"/>
      <c r="H32" s="239"/>
      <c r="I32" s="239"/>
      <c r="J32" s="129"/>
    </row>
    <row r="33" spans="2:10" s="551" customFormat="1" ht="15.25" customHeight="1">
      <c r="B33" s="556" t="s">
        <v>679</v>
      </c>
      <c r="C33" s="553"/>
      <c r="D33" s="258"/>
      <c r="E33" s="258"/>
      <c r="F33" s="214"/>
      <c r="G33" s="578"/>
      <c r="H33" s="214">
        <v>9</v>
      </c>
      <c r="I33" s="214">
        <v>10</v>
      </c>
      <c r="J33" s="577">
        <v>10</v>
      </c>
    </row>
    <row r="34" spans="2:10" s="551" customFormat="1" ht="15.25" customHeight="1">
      <c r="B34" s="556" t="s">
        <v>666</v>
      </c>
      <c r="C34" s="553"/>
      <c r="D34" s="557"/>
      <c r="E34" s="557"/>
      <c r="F34" s="559"/>
      <c r="G34" s="559"/>
      <c r="H34" s="239">
        <v>5</v>
      </c>
      <c r="I34" s="239">
        <v>4</v>
      </c>
      <c r="J34" s="129">
        <v>4</v>
      </c>
    </row>
    <row r="35" spans="2:10" s="551" customFormat="1" ht="15.25" customHeight="1">
      <c r="B35" s="556" t="s">
        <v>667</v>
      </c>
      <c r="C35" s="553"/>
      <c r="D35" s="557"/>
      <c r="E35" s="557"/>
      <c r="F35" s="559"/>
      <c r="G35" s="559"/>
      <c r="H35" s="239">
        <v>4</v>
      </c>
      <c r="I35" s="239">
        <v>5</v>
      </c>
      <c r="J35" s="129">
        <v>6</v>
      </c>
    </row>
    <row r="36" spans="2:10" s="551" customFormat="1" ht="16.5" customHeight="1">
      <c r="B36" s="552"/>
      <c r="C36" s="553"/>
      <c r="D36" s="559"/>
      <c r="E36" s="559"/>
      <c r="F36" s="559"/>
      <c r="G36" s="559"/>
      <c r="H36" s="239"/>
      <c r="I36" s="239"/>
      <c r="J36" s="129"/>
    </row>
    <row r="37" spans="2:10" s="551" customFormat="1" ht="15.25" customHeight="1">
      <c r="B37" s="351" t="s">
        <v>685</v>
      </c>
      <c r="C37" s="553"/>
      <c r="D37" s="258"/>
      <c r="E37" s="258"/>
      <c r="F37" s="258"/>
      <c r="G37" s="554"/>
      <c r="H37" s="239"/>
      <c r="I37" s="239"/>
      <c r="J37" s="129"/>
    </row>
    <row r="38" spans="2:10" s="551" customFormat="1" ht="15.25" customHeight="1">
      <c r="B38" s="556" t="s">
        <v>679</v>
      </c>
      <c r="C38" s="553"/>
      <c r="D38" s="258"/>
      <c r="E38" s="258"/>
      <c r="F38" s="214"/>
      <c r="G38" s="578"/>
      <c r="H38" s="214">
        <v>24</v>
      </c>
      <c r="I38" s="214">
        <v>26</v>
      </c>
      <c r="J38" s="577">
        <v>28</v>
      </c>
    </row>
    <row r="39" spans="2:10" s="551" customFormat="1" ht="15.25" customHeight="1">
      <c r="B39" s="556" t="s">
        <v>666</v>
      </c>
      <c r="C39" s="553"/>
      <c r="D39" s="557"/>
      <c r="E39" s="557"/>
      <c r="F39" s="559"/>
      <c r="G39" s="559"/>
      <c r="H39" s="239">
        <v>13</v>
      </c>
      <c r="I39" s="239">
        <v>18</v>
      </c>
      <c r="J39" s="129">
        <v>19</v>
      </c>
    </row>
    <row r="40" spans="2:10" s="551" customFormat="1" ht="15.25" customHeight="1">
      <c r="B40" s="556" t="s">
        <v>667</v>
      </c>
      <c r="C40" s="553"/>
      <c r="D40" s="557"/>
      <c r="E40" s="557"/>
      <c r="F40" s="559"/>
      <c r="G40" s="559"/>
      <c r="H40" s="239">
        <v>11</v>
      </c>
      <c r="I40" s="239">
        <v>8</v>
      </c>
      <c r="J40" s="129">
        <v>9</v>
      </c>
    </row>
    <row r="41" spans="2:10" s="551" customFormat="1" ht="16.5" customHeight="1">
      <c r="B41" s="552"/>
      <c r="C41" s="553"/>
      <c r="D41" s="559"/>
      <c r="E41" s="559"/>
      <c r="F41" s="559"/>
      <c r="G41" s="559"/>
      <c r="H41" s="239"/>
      <c r="I41" s="239"/>
      <c r="J41" s="129"/>
    </row>
    <row r="42" spans="2:10" s="551" customFormat="1" ht="15.25" customHeight="1">
      <c r="B42" s="555" t="s">
        <v>686</v>
      </c>
      <c r="C42" s="553"/>
      <c r="D42" s="258"/>
      <c r="E42" s="258"/>
      <c r="F42" s="258"/>
      <c r="G42" s="554"/>
      <c r="H42" s="239"/>
      <c r="I42" s="239"/>
      <c r="J42" s="129"/>
    </row>
    <row r="43" spans="2:10" s="551" customFormat="1" ht="15.25" customHeight="1">
      <c r="B43" s="556" t="s">
        <v>679</v>
      </c>
      <c r="C43" s="553"/>
      <c r="D43" s="258"/>
      <c r="E43" s="258"/>
      <c r="F43" s="214"/>
      <c r="G43" s="578"/>
      <c r="H43" s="214">
        <v>59</v>
      </c>
      <c r="I43" s="214">
        <v>58</v>
      </c>
      <c r="J43" s="577">
        <v>50</v>
      </c>
    </row>
    <row r="44" spans="2:10" s="551" customFormat="1" ht="15.25" customHeight="1">
      <c r="B44" s="556" t="s">
        <v>666</v>
      </c>
      <c r="C44" s="553"/>
      <c r="D44" s="557"/>
      <c r="E44" s="557"/>
      <c r="F44" s="559"/>
      <c r="G44" s="559"/>
      <c r="H44" s="239">
        <v>42</v>
      </c>
      <c r="I44" s="239">
        <v>40</v>
      </c>
      <c r="J44" s="129">
        <v>36</v>
      </c>
    </row>
    <row r="45" spans="2:10" s="551" customFormat="1" ht="15.25" customHeight="1">
      <c r="B45" s="556" t="s">
        <v>667</v>
      </c>
      <c r="C45" s="553"/>
      <c r="D45" s="557"/>
      <c r="E45" s="557"/>
      <c r="F45" s="559"/>
      <c r="G45" s="559"/>
      <c r="H45" s="239">
        <v>17</v>
      </c>
      <c r="I45" s="239">
        <v>18</v>
      </c>
      <c r="J45" s="129">
        <v>14</v>
      </c>
    </row>
    <row r="46" spans="2:10" s="551" customFormat="1" ht="16.5" customHeight="1">
      <c r="B46" s="552"/>
      <c r="C46" s="553"/>
      <c r="D46" s="559"/>
      <c r="E46" s="559"/>
      <c r="F46" s="559"/>
      <c r="G46" s="559"/>
      <c r="H46" s="239"/>
      <c r="I46" s="239"/>
      <c r="J46" s="129"/>
    </row>
    <row r="47" spans="2:10" s="551" customFormat="1" ht="15.25" customHeight="1">
      <c r="B47" s="555" t="s">
        <v>687</v>
      </c>
      <c r="C47" s="553"/>
      <c r="D47" s="258"/>
      <c r="E47" s="258"/>
      <c r="F47" s="258"/>
      <c r="G47" s="554"/>
      <c r="H47" s="239"/>
      <c r="I47" s="239"/>
      <c r="J47" s="129"/>
    </row>
    <row r="48" spans="2:10" s="551" customFormat="1" ht="15.25" customHeight="1">
      <c r="B48" s="556" t="s">
        <v>679</v>
      </c>
      <c r="C48" s="553"/>
      <c r="D48" s="258"/>
      <c r="E48" s="258"/>
      <c r="F48" s="214"/>
      <c r="G48" s="578"/>
      <c r="H48" s="214">
        <v>33</v>
      </c>
      <c r="I48" s="214">
        <v>39</v>
      </c>
      <c r="J48" s="577">
        <v>45</v>
      </c>
    </row>
    <row r="49" spans="1:11" s="551" customFormat="1" ht="15.25" customHeight="1">
      <c r="B49" s="556" t="s">
        <v>666</v>
      </c>
      <c r="C49" s="553"/>
      <c r="D49" s="557"/>
      <c r="E49" s="557"/>
      <c r="F49" s="559"/>
      <c r="G49" s="559"/>
      <c r="H49" s="239">
        <v>8</v>
      </c>
      <c r="I49" s="239">
        <v>27</v>
      </c>
      <c r="J49" s="129">
        <v>29</v>
      </c>
    </row>
    <row r="50" spans="1:11" s="551" customFormat="1" ht="15.25" customHeight="1">
      <c r="B50" s="556" t="s">
        <v>667</v>
      </c>
      <c r="C50" s="553"/>
      <c r="D50" s="557"/>
      <c r="E50" s="557"/>
      <c r="F50" s="559"/>
      <c r="G50" s="559"/>
      <c r="H50" s="239">
        <v>25</v>
      </c>
      <c r="I50" s="239">
        <v>12</v>
      </c>
      <c r="J50" s="129">
        <v>16</v>
      </c>
    </row>
    <row r="51" spans="1:11" s="351" customFormat="1" ht="15.25" customHeight="1">
      <c r="B51" s="555"/>
      <c r="C51" s="560"/>
      <c r="D51" s="239"/>
      <c r="E51" s="239"/>
      <c r="F51" s="558"/>
      <c r="G51" s="554"/>
      <c r="H51" s="239"/>
      <c r="I51" s="239"/>
      <c r="J51" s="239"/>
      <c r="K51" s="551"/>
    </row>
    <row r="52" spans="1:11" s="549" customFormat="1" ht="8.25" customHeight="1">
      <c r="B52" s="562"/>
      <c r="C52" s="555"/>
      <c r="D52" s="563"/>
      <c r="E52" s="564"/>
      <c r="F52" s="564"/>
      <c r="G52" s="565"/>
      <c r="H52" s="582"/>
      <c r="I52" s="582"/>
      <c r="J52" s="582"/>
    </row>
    <row r="53" spans="1:11" s="549" customFormat="1" ht="8.25" customHeight="1" thickBot="1">
      <c r="A53" s="583"/>
      <c r="B53" s="583"/>
      <c r="C53" s="583"/>
      <c r="D53" s="584"/>
      <c r="E53" s="584"/>
      <c r="F53" s="584"/>
      <c r="G53" s="584"/>
      <c r="H53" s="584"/>
      <c r="I53" s="584"/>
      <c r="J53" s="584"/>
    </row>
    <row r="54" spans="1:11" s="549" customFormat="1" ht="15.25" customHeight="1">
      <c r="D54" s="568"/>
      <c r="E54" s="569"/>
      <c r="F54" s="564"/>
      <c r="G54" s="568"/>
      <c r="H54" s="568"/>
      <c r="I54" s="568"/>
      <c r="J54" s="192" t="s">
        <v>688</v>
      </c>
    </row>
    <row r="55" spans="1:11" s="549" customFormat="1" ht="15.25" customHeight="1">
      <c r="B55" s="570"/>
      <c r="C55" s="299"/>
      <c r="D55" s="299"/>
      <c r="E55" s="299"/>
      <c r="G55" s="299"/>
      <c r="H55" s="299"/>
      <c r="I55" s="299"/>
      <c r="J55" s="193" t="s">
        <v>689</v>
      </c>
    </row>
    <row r="56" spans="1:11" s="549" customFormat="1" ht="15.25" customHeight="1">
      <c r="B56" s="570"/>
      <c r="C56" s="299"/>
      <c r="D56" s="299"/>
      <c r="E56" s="299"/>
      <c r="G56" s="299"/>
      <c r="H56" s="299"/>
      <c r="I56" s="299"/>
      <c r="J56" s="193"/>
    </row>
    <row r="57" spans="1:11" s="549" customFormat="1" ht="15.25" customHeight="1">
      <c r="A57" s="299"/>
      <c r="B57" s="299"/>
      <c r="C57" s="299"/>
      <c r="D57" s="299"/>
      <c r="E57" s="299"/>
      <c r="G57" s="299"/>
      <c r="H57" s="299"/>
      <c r="I57" s="299"/>
      <c r="J57" s="193"/>
    </row>
    <row r="58" spans="1:11" s="574" customFormat="1" ht="15.25" customHeight="1">
      <c r="A58" s="545"/>
      <c r="B58" s="585"/>
      <c r="C58" s="351"/>
      <c r="D58" s="573"/>
      <c r="E58" s="573"/>
      <c r="F58" s="573"/>
      <c r="G58" s="545"/>
      <c r="H58" s="549"/>
      <c r="I58" s="549"/>
      <c r="J58" s="549"/>
    </row>
    <row r="59" spans="1:11" s="574" customFormat="1" ht="15.25" customHeight="1">
      <c r="A59" s="545"/>
      <c r="B59" s="586"/>
      <c r="C59" s="351"/>
      <c r="D59" s="573"/>
      <c r="E59" s="573"/>
      <c r="F59" s="573"/>
      <c r="G59" s="545"/>
      <c r="H59" s="549"/>
      <c r="I59" s="549"/>
      <c r="J59" s="549"/>
    </row>
  </sheetData>
  <mergeCells count="1">
    <mergeCell ref="B6:C6"/>
  </mergeCells>
  <conditionalFormatting sqref="C51">
    <cfRule type="cellIs" dxfId="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8F2AC-2432-4D3C-89B1-C0CE3F6DE883}">
  <sheetPr codeName="Sheet47">
    <pageSetUpPr fitToPage="1"/>
  </sheetPr>
  <dimension ref="A1:K44"/>
  <sheetViews>
    <sheetView view="pageBreakPreview" zoomScaleNormal="100" zoomScaleSheetLayoutView="100" workbookViewId="0">
      <selection activeCell="D60" sqref="D60"/>
    </sheetView>
  </sheetViews>
  <sheetFormatPr baseColWidth="10" defaultColWidth="8.83203125" defaultRowHeight="15"/>
  <cols>
    <col min="1" max="1" width="3.5" customWidth="1"/>
    <col min="5" max="5" width="44" customWidth="1"/>
    <col min="6" max="7" width="2.33203125" customWidth="1"/>
    <col min="8" max="8" width="12.33203125" customWidth="1"/>
    <col min="9" max="9" width="12.5" customWidth="1"/>
    <col min="10" max="10" width="13" style="404" customWidth="1"/>
  </cols>
  <sheetData>
    <row r="1" spans="1:10" s="545" customFormat="1" ht="8.25" customHeight="1"/>
    <row r="2" spans="1:10" s="545" customFormat="1" ht="8.25" customHeight="1"/>
    <row r="3" spans="1:10" s="545" customFormat="1" ht="16.5" customHeight="1">
      <c r="B3" s="546" t="s">
        <v>690</v>
      </c>
      <c r="C3" s="3" t="s">
        <v>691</v>
      </c>
      <c r="F3" s="547"/>
    </row>
    <row r="4" spans="1:10" s="545" customFormat="1" ht="16.5" customHeight="1">
      <c r="B4" s="548" t="s">
        <v>692</v>
      </c>
      <c r="C4" s="6" t="s">
        <v>693</v>
      </c>
      <c r="D4" s="549"/>
      <c r="E4" s="549"/>
      <c r="F4" s="547"/>
    </row>
    <row r="5" spans="1:10" s="545" customFormat="1" ht="13.25" customHeight="1" thickBot="1">
      <c r="A5" s="550"/>
      <c r="B5" s="550"/>
      <c r="C5" s="550"/>
      <c r="D5" s="550"/>
      <c r="E5" s="550"/>
      <c r="F5" s="351"/>
    </row>
    <row r="6" spans="1:10" s="551" customFormat="1" ht="43.25" customHeight="1" thickBot="1">
      <c r="A6" s="10"/>
      <c r="B6" s="1273" t="s">
        <v>664</v>
      </c>
      <c r="C6" s="1293"/>
      <c r="D6" s="10"/>
      <c r="E6" s="10"/>
      <c r="F6" s="11"/>
      <c r="G6" s="11"/>
      <c r="H6" s="11">
        <v>2021</v>
      </c>
      <c r="I6" s="11">
        <v>2022</v>
      </c>
      <c r="J6" s="11">
        <v>2023</v>
      </c>
    </row>
    <row r="7" spans="1:10" s="551" customFormat="1" ht="16.5" customHeight="1">
      <c r="B7" s="552"/>
      <c r="C7" s="553"/>
      <c r="D7" s="258"/>
      <c r="E7" s="258"/>
      <c r="F7" s="258"/>
      <c r="G7" s="587"/>
      <c r="H7" s="554"/>
      <c r="I7" s="554"/>
      <c r="J7" s="554"/>
    </row>
    <row r="8" spans="1:10" s="551" customFormat="1" ht="16.5" customHeight="1">
      <c r="B8" s="37" t="s">
        <v>679</v>
      </c>
      <c r="C8" s="553"/>
      <c r="D8" s="258"/>
      <c r="E8" s="258"/>
      <c r="F8" s="239"/>
      <c r="G8" s="588"/>
      <c r="H8" s="214">
        <v>202</v>
      </c>
      <c r="I8" s="214">
        <v>204</v>
      </c>
      <c r="J8" s="214">
        <v>201</v>
      </c>
    </row>
    <row r="9" spans="1:10" s="551" customFormat="1" ht="15.25" customHeight="1">
      <c r="B9" s="556" t="s">
        <v>666</v>
      </c>
      <c r="C9" s="553"/>
      <c r="D9" s="557"/>
      <c r="E9" s="557"/>
      <c r="F9" s="559"/>
      <c r="G9" s="559"/>
      <c r="H9" s="239">
        <v>175</v>
      </c>
      <c r="I9" s="239">
        <v>175</v>
      </c>
      <c r="J9" s="239">
        <v>170</v>
      </c>
    </row>
    <row r="10" spans="1:10" s="551" customFormat="1" ht="15.25" customHeight="1">
      <c r="B10" s="556" t="s">
        <v>667</v>
      </c>
      <c r="C10" s="553"/>
      <c r="D10" s="557"/>
      <c r="E10" s="557"/>
      <c r="F10" s="559"/>
      <c r="G10" s="559"/>
      <c r="H10" s="239">
        <v>27</v>
      </c>
      <c r="I10" s="239">
        <v>29</v>
      </c>
      <c r="J10" s="239">
        <v>31</v>
      </c>
    </row>
    <row r="11" spans="1:10" s="551" customFormat="1" ht="16.5" customHeight="1">
      <c r="B11" s="552"/>
      <c r="C11" s="553"/>
      <c r="D11" s="258"/>
      <c r="E11" s="258"/>
      <c r="F11" s="558"/>
      <c r="G11" s="588"/>
      <c r="H11" s="239"/>
      <c r="I11" s="239"/>
      <c r="J11" s="239"/>
    </row>
    <row r="12" spans="1:10" s="551" customFormat="1" ht="15.25" customHeight="1">
      <c r="B12" s="555" t="s">
        <v>694</v>
      </c>
      <c r="C12" s="553"/>
      <c r="D12" s="258"/>
      <c r="E12" s="258"/>
      <c r="F12" s="558"/>
      <c r="G12" s="588"/>
      <c r="H12" s="239"/>
      <c r="I12" s="239"/>
      <c r="J12" s="239"/>
    </row>
    <row r="13" spans="1:10" s="551" customFormat="1" ht="15.25" customHeight="1">
      <c r="B13" s="556" t="s">
        <v>679</v>
      </c>
      <c r="C13" s="553"/>
      <c r="D13" s="258"/>
      <c r="E13" s="258"/>
      <c r="F13" s="239"/>
      <c r="G13" s="239"/>
      <c r="H13" s="214">
        <v>1</v>
      </c>
      <c r="I13" s="214">
        <v>1</v>
      </c>
      <c r="J13" s="214">
        <v>1</v>
      </c>
    </row>
    <row r="14" spans="1:10" s="551" customFormat="1" ht="15.25" customHeight="1">
      <c r="B14" s="556" t="s">
        <v>666</v>
      </c>
      <c r="C14" s="553"/>
      <c r="D14" s="557"/>
      <c r="E14" s="557"/>
      <c r="F14" s="559"/>
      <c r="G14" s="559"/>
      <c r="H14" s="239">
        <v>1</v>
      </c>
      <c r="I14" s="239">
        <v>1</v>
      </c>
      <c r="J14" s="580">
        <v>1</v>
      </c>
    </row>
    <row r="15" spans="1:10" s="551" customFormat="1" ht="15.25" customHeight="1">
      <c r="B15" s="556" t="s">
        <v>667</v>
      </c>
      <c r="C15" s="553"/>
      <c r="D15" s="557"/>
      <c r="E15" s="557"/>
      <c r="F15" s="579"/>
      <c r="G15" s="579"/>
      <c r="H15" s="580" t="s">
        <v>438</v>
      </c>
      <c r="I15" s="580" t="s">
        <v>438</v>
      </c>
      <c r="J15" s="580" t="s">
        <v>438</v>
      </c>
    </row>
    <row r="16" spans="1:10" s="551" customFormat="1" ht="16.5" customHeight="1">
      <c r="B16" s="552"/>
      <c r="C16" s="553"/>
      <c r="D16" s="559"/>
      <c r="E16" s="559"/>
      <c r="F16" s="559"/>
      <c r="G16" s="559"/>
      <c r="H16" s="239"/>
      <c r="I16" s="239"/>
      <c r="J16" s="239"/>
    </row>
    <row r="17" spans="2:10" s="551" customFormat="1" ht="15.25" customHeight="1">
      <c r="B17" s="555" t="s">
        <v>695</v>
      </c>
      <c r="C17" s="553"/>
      <c r="D17" s="258"/>
      <c r="E17" s="258"/>
      <c r="F17" s="558"/>
      <c r="G17" s="588"/>
      <c r="H17" s="239"/>
      <c r="I17" s="239"/>
      <c r="J17" s="239"/>
    </row>
    <row r="18" spans="2:10" s="551" customFormat="1" ht="15.25" customHeight="1">
      <c r="B18" s="556" t="s">
        <v>679</v>
      </c>
      <c r="C18" s="553"/>
      <c r="D18" s="258"/>
      <c r="E18" s="258"/>
      <c r="F18" s="239"/>
      <c r="G18" s="239"/>
      <c r="H18" s="214">
        <v>6</v>
      </c>
      <c r="I18" s="214">
        <v>6</v>
      </c>
      <c r="J18" s="214">
        <v>5</v>
      </c>
    </row>
    <row r="19" spans="2:10" s="551" customFormat="1" ht="15.25" customHeight="1">
      <c r="B19" s="556" t="s">
        <v>666</v>
      </c>
      <c r="C19" s="553"/>
      <c r="D19" s="557"/>
      <c r="E19" s="557"/>
      <c r="F19" s="559"/>
      <c r="G19" s="559"/>
      <c r="H19" s="239">
        <v>6</v>
      </c>
      <c r="I19" s="239">
        <v>6</v>
      </c>
      <c r="J19" s="580">
        <v>5</v>
      </c>
    </row>
    <row r="20" spans="2:10" s="551" customFormat="1" ht="15.25" customHeight="1">
      <c r="B20" s="556" t="s">
        <v>667</v>
      </c>
      <c r="C20" s="553"/>
      <c r="D20" s="557"/>
      <c r="E20" s="557"/>
      <c r="F20" s="579"/>
      <c r="G20" s="579"/>
      <c r="H20" s="580" t="s">
        <v>438</v>
      </c>
      <c r="I20" s="580" t="s">
        <v>438</v>
      </c>
      <c r="J20" s="580" t="s">
        <v>438</v>
      </c>
    </row>
    <row r="21" spans="2:10" s="551" customFormat="1" ht="16.5" customHeight="1">
      <c r="B21" s="552"/>
      <c r="C21" s="553"/>
      <c r="D21" s="559"/>
      <c r="E21" s="559"/>
      <c r="F21" s="559"/>
      <c r="G21" s="559"/>
      <c r="H21" s="239"/>
      <c r="I21" s="239"/>
      <c r="J21" s="239"/>
    </row>
    <row r="22" spans="2:10" s="551" customFormat="1" ht="15.25" customHeight="1">
      <c r="B22" s="555" t="s">
        <v>696</v>
      </c>
      <c r="C22" s="553"/>
      <c r="D22" s="258"/>
      <c r="E22" s="258"/>
      <c r="F22" s="558"/>
      <c r="G22" s="588"/>
      <c r="H22" s="239"/>
      <c r="I22" s="239"/>
      <c r="J22" s="239"/>
    </row>
    <row r="23" spans="2:10" s="551" customFormat="1" ht="15.25" customHeight="1">
      <c r="B23" s="556" t="s">
        <v>679</v>
      </c>
      <c r="C23" s="553"/>
      <c r="D23" s="258"/>
      <c r="E23" s="258"/>
      <c r="F23" s="239"/>
      <c r="G23" s="239"/>
      <c r="H23" s="214">
        <v>12</v>
      </c>
      <c r="I23" s="214">
        <v>13</v>
      </c>
      <c r="J23" s="214">
        <v>13</v>
      </c>
    </row>
    <row r="24" spans="2:10" s="551" customFormat="1" ht="15.25" customHeight="1">
      <c r="B24" s="556" t="s">
        <v>666</v>
      </c>
      <c r="C24" s="553"/>
      <c r="D24" s="557"/>
      <c r="E24" s="557"/>
      <c r="F24" s="559"/>
      <c r="G24" s="579"/>
      <c r="H24" s="239">
        <v>12</v>
      </c>
      <c r="I24" s="580">
        <v>13</v>
      </c>
      <c r="J24" s="580">
        <v>13</v>
      </c>
    </row>
    <row r="25" spans="2:10" s="551" customFormat="1" ht="15.25" customHeight="1">
      <c r="B25" s="556" t="s">
        <v>667</v>
      </c>
      <c r="C25" s="553"/>
      <c r="D25" s="557"/>
      <c r="E25" s="557"/>
      <c r="F25" s="579"/>
      <c r="G25" s="579"/>
      <c r="H25" s="580" t="s">
        <v>438</v>
      </c>
      <c r="I25" s="580" t="s">
        <v>438</v>
      </c>
      <c r="J25" s="580" t="s">
        <v>438</v>
      </c>
    </row>
    <row r="26" spans="2:10" s="551" customFormat="1" ht="16.5" customHeight="1">
      <c r="B26" s="552"/>
      <c r="C26" s="553"/>
      <c r="D26" s="559"/>
      <c r="E26" s="559"/>
      <c r="F26" s="559"/>
      <c r="G26" s="559"/>
      <c r="H26" s="239"/>
      <c r="I26" s="239"/>
      <c r="J26" s="239"/>
    </row>
    <row r="27" spans="2:10" s="551" customFormat="1" ht="15.25" customHeight="1">
      <c r="B27" s="555" t="s">
        <v>697</v>
      </c>
      <c r="C27" s="553"/>
      <c r="D27" s="258"/>
      <c r="E27" s="258"/>
      <c r="F27" s="558"/>
      <c r="G27" s="588"/>
      <c r="H27" s="239"/>
      <c r="I27" s="239"/>
      <c r="J27" s="239"/>
    </row>
    <row r="28" spans="2:10" s="551" customFormat="1" ht="15.25" customHeight="1">
      <c r="B28" s="556" t="s">
        <v>679</v>
      </c>
      <c r="C28" s="553"/>
      <c r="D28" s="258"/>
      <c r="E28" s="258"/>
      <c r="F28" s="239"/>
      <c r="G28" s="239"/>
      <c r="H28" s="214">
        <v>15</v>
      </c>
      <c r="I28" s="214">
        <v>14</v>
      </c>
      <c r="J28" s="214">
        <v>13</v>
      </c>
    </row>
    <row r="29" spans="2:10" s="551" customFormat="1" ht="15.25" customHeight="1">
      <c r="B29" s="556" t="s">
        <v>666</v>
      </c>
      <c r="C29" s="553"/>
      <c r="D29" s="557"/>
      <c r="E29" s="557"/>
      <c r="F29" s="559"/>
      <c r="G29" s="579"/>
      <c r="H29" s="239">
        <v>10</v>
      </c>
      <c r="I29" s="580">
        <v>11</v>
      </c>
      <c r="J29" s="580">
        <v>11</v>
      </c>
    </row>
    <row r="30" spans="2:10" s="551" customFormat="1" ht="15.25" customHeight="1">
      <c r="B30" s="556" t="s">
        <v>667</v>
      </c>
      <c r="C30" s="553"/>
      <c r="D30" s="557"/>
      <c r="E30" s="557"/>
      <c r="F30" s="579"/>
      <c r="G30" s="579"/>
      <c r="H30" s="580">
        <v>5</v>
      </c>
      <c r="I30" s="580">
        <v>3</v>
      </c>
      <c r="J30" s="580">
        <v>2</v>
      </c>
    </row>
    <row r="31" spans="2:10" s="551" customFormat="1" ht="16.5" customHeight="1">
      <c r="B31" s="552"/>
      <c r="C31" s="553"/>
      <c r="D31" s="258"/>
      <c r="E31" s="258"/>
      <c r="F31" s="558"/>
      <c r="G31" s="588"/>
      <c r="H31" s="239"/>
      <c r="I31" s="239"/>
      <c r="J31" s="239"/>
    </row>
    <row r="32" spans="2:10" s="551" customFormat="1" ht="15.25" customHeight="1">
      <c r="B32" s="555" t="s">
        <v>698</v>
      </c>
      <c r="C32" s="553"/>
      <c r="D32" s="258"/>
      <c r="E32" s="258"/>
      <c r="F32" s="558"/>
      <c r="G32" s="588"/>
      <c r="H32" s="239"/>
      <c r="I32" s="239"/>
      <c r="J32" s="239"/>
    </row>
    <row r="33" spans="1:11" s="551" customFormat="1" ht="15.25" customHeight="1">
      <c r="B33" s="556" t="s">
        <v>679</v>
      </c>
      <c r="C33" s="553"/>
      <c r="D33" s="258"/>
      <c r="E33" s="258"/>
      <c r="F33" s="239"/>
      <c r="G33" s="239"/>
      <c r="H33" s="214">
        <v>168</v>
      </c>
      <c r="I33" s="214">
        <v>170</v>
      </c>
      <c r="J33" s="214">
        <v>169</v>
      </c>
    </row>
    <row r="34" spans="1:11" s="551" customFormat="1" ht="15.25" customHeight="1">
      <c r="B34" s="556" t="s">
        <v>666</v>
      </c>
      <c r="C34" s="553"/>
      <c r="D34" s="557"/>
      <c r="E34" s="557"/>
      <c r="F34" s="559"/>
      <c r="G34" s="559"/>
      <c r="H34" s="239">
        <v>146</v>
      </c>
      <c r="I34" s="239">
        <v>144</v>
      </c>
      <c r="J34" s="239">
        <v>140</v>
      </c>
    </row>
    <row r="35" spans="1:11" s="551" customFormat="1" ht="15.25" customHeight="1">
      <c r="B35" s="556" t="s">
        <v>667</v>
      </c>
      <c r="C35" s="553"/>
      <c r="D35" s="557"/>
      <c r="E35" s="557"/>
      <c r="F35" s="559"/>
      <c r="G35" s="559"/>
      <c r="H35" s="239">
        <v>22</v>
      </c>
      <c r="I35" s="239">
        <v>26</v>
      </c>
      <c r="J35" s="239">
        <v>29</v>
      </c>
    </row>
    <row r="36" spans="1:11" s="351" customFormat="1" ht="15.25" customHeight="1">
      <c r="B36" s="555"/>
      <c r="C36" s="560"/>
      <c r="D36" s="239"/>
      <c r="E36" s="239"/>
      <c r="F36" s="558"/>
      <c r="G36" s="561"/>
      <c r="H36" s="239"/>
      <c r="I36" s="239"/>
      <c r="J36" s="239"/>
      <c r="K36" s="551"/>
    </row>
    <row r="37" spans="1:11" s="549" customFormat="1" ht="8.25" customHeight="1">
      <c r="B37" s="562"/>
      <c r="C37" s="555"/>
      <c r="D37" s="563"/>
      <c r="E37" s="564"/>
      <c r="F37" s="564"/>
      <c r="G37" s="565"/>
      <c r="H37" s="564"/>
      <c r="I37" s="564"/>
      <c r="J37" s="564"/>
    </row>
    <row r="38" spans="1:11" s="549" customFormat="1" ht="8.25" customHeight="1" thickBot="1">
      <c r="A38" s="583"/>
      <c r="B38" s="583"/>
      <c r="C38" s="583"/>
      <c r="D38" s="584"/>
      <c r="E38" s="584"/>
      <c r="F38" s="584"/>
      <c r="G38" s="584"/>
      <c r="H38" s="584"/>
      <c r="I38" s="584"/>
      <c r="J38" s="584"/>
    </row>
    <row r="39" spans="1:11" s="549" customFormat="1" ht="15.25" customHeight="1">
      <c r="D39" s="568"/>
      <c r="E39" s="569"/>
      <c r="F39" s="564"/>
      <c r="G39" s="568"/>
      <c r="H39" s="568"/>
      <c r="I39" s="568"/>
      <c r="J39" s="192" t="s">
        <v>699</v>
      </c>
    </row>
    <row r="40" spans="1:11" s="549" customFormat="1" ht="15.25" customHeight="1">
      <c r="B40" s="570"/>
      <c r="C40" s="299"/>
      <c r="D40" s="299"/>
      <c r="E40" s="299"/>
      <c r="G40" s="299"/>
      <c r="H40" s="299"/>
      <c r="I40" s="299"/>
      <c r="J40" s="193" t="s">
        <v>700</v>
      </c>
    </row>
    <row r="41" spans="1:11" s="549" customFormat="1" ht="15.25" customHeight="1">
      <c r="B41" s="570"/>
      <c r="C41" s="299"/>
      <c r="D41" s="299"/>
      <c r="E41" s="299"/>
      <c r="G41" s="299"/>
      <c r="H41" s="299"/>
      <c r="I41" s="299"/>
      <c r="J41" s="193"/>
    </row>
    <row r="42" spans="1:11" s="549" customFormat="1" ht="15.25" customHeight="1">
      <c r="A42" s="299"/>
      <c r="B42" s="299"/>
      <c r="C42" s="299"/>
      <c r="D42" s="299"/>
      <c r="E42" s="299"/>
      <c r="G42" s="299"/>
      <c r="H42" s="299"/>
      <c r="I42" s="299"/>
      <c r="J42" s="193"/>
    </row>
    <row r="43" spans="1:11" s="574" customFormat="1" ht="15.25" customHeight="1">
      <c r="A43" s="545"/>
      <c r="B43" s="585"/>
      <c r="C43" s="351"/>
      <c r="D43" s="573"/>
      <c r="E43" s="573"/>
      <c r="F43" s="573"/>
      <c r="G43" s="545"/>
      <c r="H43" s="549"/>
      <c r="I43" s="549"/>
      <c r="J43" s="549"/>
    </row>
    <row r="44" spans="1:11" s="574" customFormat="1" ht="15.25" customHeight="1">
      <c r="A44" s="545"/>
      <c r="B44" s="586"/>
      <c r="C44" s="351"/>
      <c r="D44" s="573"/>
      <c r="E44" s="573"/>
      <c r="F44" s="573"/>
      <c r="G44" s="545"/>
      <c r="H44" s="549"/>
      <c r="I44" s="549"/>
      <c r="J44" s="549"/>
    </row>
  </sheetData>
  <mergeCells count="1">
    <mergeCell ref="B6:C6"/>
  </mergeCells>
  <conditionalFormatting sqref="C36">
    <cfRule type="cellIs" dxfId="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F6A2-F867-42C7-91A4-52B0D5DFD417}">
  <sheetPr codeName="Sheet48">
    <pageSetUpPr fitToPage="1"/>
  </sheetPr>
  <dimension ref="A1:P51"/>
  <sheetViews>
    <sheetView view="pageBreakPreview" zoomScale="90" zoomScaleNormal="100" zoomScaleSheetLayoutView="90" workbookViewId="0">
      <selection activeCell="D60" sqref="D60"/>
    </sheetView>
  </sheetViews>
  <sheetFormatPr baseColWidth="10" defaultColWidth="8.83203125" defaultRowHeight="15"/>
  <cols>
    <col min="1" max="1" width="3.5" customWidth="1"/>
    <col min="2" max="2" width="13.5" customWidth="1"/>
    <col min="4" max="4" width="57.5" customWidth="1"/>
    <col min="5" max="5" width="1.6640625" customWidth="1"/>
    <col min="6" max="6" width="1.5" customWidth="1"/>
    <col min="7" max="7" width="13.5" customWidth="1"/>
    <col min="8" max="8" width="12.83203125" customWidth="1"/>
    <col min="9" max="9" width="13.1640625" style="404" customWidth="1"/>
  </cols>
  <sheetData>
    <row r="1" spans="1:9" s="545" customFormat="1" ht="8.25" customHeight="1"/>
    <row r="2" spans="1:9" s="545" customFormat="1" ht="8.25" customHeight="1"/>
    <row r="3" spans="1:9" s="545" customFormat="1" ht="30.5" customHeight="1">
      <c r="B3" s="589" t="s">
        <v>701</v>
      </c>
      <c r="C3" s="1335" t="s">
        <v>702</v>
      </c>
      <c r="D3" s="1335"/>
      <c r="E3" s="1335"/>
      <c r="F3" s="1335"/>
      <c r="G3" s="1335"/>
      <c r="H3" s="1335"/>
      <c r="I3" s="1335"/>
    </row>
    <row r="4" spans="1:9" s="545" customFormat="1" ht="31.5" customHeight="1">
      <c r="B4" s="590" t="s">
        <v>703</v>
      </c>
      <c r="C4" s="1336" t="s">
        <v>704</v>
      </c>
      <c r="D4" s="1336"/>
      <c r="E4" s="1336"/>
      <c r="F4" s="1336"/>
      <c r="G4" s="1336"/>
      <c r="H4" s="1336"/>
      <c r="I4" s="1336"/>
    </row>
    <row r="5" spans="1:9" s="545" customFormat="1" ht="13.25" customHeight="1" thickBot="1">
      <c r="A5" s="550"/>
      <c r="B5" s="550"/>
      <c r="C5" s="550"/>
      <c r="D5" s="550"/>
      <c r="E5" s="550"/>
      <c r="F5" s="351"/>
    </row>
    <row r="6" spans="1:9" s="551" customFormat="1" ht="43.25" customHeight="1" thickBot="1">
      <c r="A6" s="10"/>
      <c r="B6" s="1273" t="s">
        <v>664</v>
      </c>
      <c r="C6" s="1293"/>
      <c r="D6" s="10"/>
      <c r="E6" s="10"/>
      <c r="F6" s="11"/>
      <c r="G6" s="11">
        <v>2021</v>
      </c>
      <c r="H6" s="11">
        <v>2022</v>
      </c>
      <c r="I6" s="11">
        <v>2023</v>
      </c>
    </row>
    <row r="7" spans="1:9" s="551" customFormat="1" ht="16.5" customHeight="1">
      <c r="B7" s="552"/>
      <c r="C7" s="553"/>
      <c r="D7" s="258"/>
      <c r="E7" s="258"/>
      <c r="F7" s="258"/>
      <c r="G7" s="554"/>
      <c r="H7" s="554"/>
      <c r="I7" s="554"/>
    </row>
    <row r="8" spans="1:9" s="551" customFormat="1" ht="16.5" customHeight="1">
      <c r="B8" s="37" t="s">
        <v>679</v>
      </c>
      <c r="C8" s="553"/>
      <c r="D8" s="258"/>
      <c r="E8" s="258"/>
      <c r="F8" s="214"/>
      <c r="G8" s="214">
        <v>224</v>
      </c>
      <c r="H8" s="214">
        <v>245</v>
      </c>
      <c r="I8" s="214">
        <v>265</v>
      </c>
    </row>
    <row r="9" spans="1:9" s="551" customFormat="1" ht="15.25" customHeight="1">
      <c r="B9" s="556" t="s">
        <v>666</v>
      </c>
      <c r="C9" s="553"/>
      <c r="D9" s="557"/>
      <c r="E9" s="557"/>
      <c r="F9" s="559"/>
      <c r="G9" s="239">
        <v>182</v>
      </c>
      <c r="H9" s="239">
        <v>203</v>
      </c>
      <c r="I9" s="239">
        <v>223</v>
      </c>
    </row>
    <row r="10" spans="1:9" s="551" customFormat="1" ht="15.25" customHeight="1">
      <c r="B10" s="556" t="s">
        <v>667</v>
      </c>
      <c r="C10" s="553"/>
      <c r="D10" s="557"/>
      <c r="E10" s="557"/>
      <c r="F10" s="559"/>
      <c r="G10" s="239">
        <v>42</v>
      </c>
      <c r="H10" s="239">
        <v>42</v>
      </c>
      <c r="I10" s="239">
        <v>42</v>
      </c>
    </row>
    <row r="11" spans="1:9" s="551" customFormat="1" ht="16.5" customHeight="1">
      <c r="B11" s="552"/>
      <c r="C11" s="553"/>
      <c r="D11" s="258"/>
      <c r="E11" s="258"/>
      <c r="F11" s="258"/>
      <c r="G11" s="214"/>
      <c r="H11" s="214"/>
      <c r="I11" s="239"/>
    </row>
    <row r="12" spans="1:9" s="551" customFormat="1" ht="15.25" customHeight="1">
      <c r="B12" s="555" t="s">
        <v>705</v>
      </c>
      <c r="C12" s="553"/>
      <c r="D12" s="258"/>
      <c r="E12" s="258"/>
      <c r="F12" s="258"/>
      <c r="G12" s="214"/>
      <c r="H12" s="214"/>
      <c r="I12" s="239"/>
    </row>
    <row r="13" spans="1:9" s="551" customFormat="1" ht="15.25" customHeight="1">
      <c r="B13" s="556" t="s">
        <v>679</v>
      </c>
      <c r="C13" s="553"/>
      <c r="D13" s="258"/>
      <c r="E13" s="258"/>
      <c r="F13" s="214"/>
      <c r="G13" s="214">
        <v>1</v>
      </c>
      <c r="H13" s="214">
        <v>1</v>
      </c>
      <c r="I13" s="214">
        <v>1</v>
      </c>
    </row>
    <row r="14" spans="1:9" s="551" customFormat="1" ht="15.25" customHeight="1">
      <c r="B14" s="556" t="s">
        <v>666</v>
      </c>
      <c r="C14" s="553"/>
      <c r="D14" s="557"/>
      <c r="E14" s="557"/>
      <c r="F14" s="559"/>
      <c r="G14" s="239">
        <v>1</v>
      </c>
      <c r="H14" s="239">
        <v>1</v>
      </c>
      <c r="I14" s="580">
        <v>1</v>
      </c>
    </row>
    <row r="15" spans="1:9" s="551" customFormat="1" ht="15.25" customHeight="1">
      <c r="B15" s="556" t="s">
        <v>667</v>
      </c>
      <c r="C15" s="553"/>
      <c r="D15" s="557"/>
      <c r="E15" s="557"/>
      <c r="F15" s="579"/>
      <c r="G15" s="580" t="s">
        <v>438</v>
      </c>
      <c r="H15" s="580" t="s">
        <v>438</v>
      </c>
      <c r="I15" s="580" t="s">
        <v>438</v>
      </c>
    </row>
    <row r="16" spans="1:9" s="551" customFormat="1" ht="16.5" customHeight="1">
      <c r="B16" s="552"/>
      <c r="C16" s="553"/>
      <c r="D16" s="559"/>
      <c r="E16" s="559"/>
      <c r="F16" s="559"/>
      <c r="G16" s="239"/>
      <c r="H16" s="239"/>
      <c r="I16" s="239"/>
    </row>
    <row r="17" spans="2:9" s="551" customFormat="1" ht="15.25" customHeight="1">
      <c r="B17" s="555" t="s">
        <v>706</v>
      </c>
      <c r="C17" s="553"/>
      <c r="D17" s="258"/>
      <c r="E17" s="258"/>
      <c r="F17" s="258"/>
      <c r="G17" s="214"/>
      <c r="H17" s="214"/>
      <c r="I17" s="239"/>
    </row>
    <row r="18" spans="2:9" s="551" customFormat="1" ht="15.25" customHeight="1">
      <c r="B18" s="556" t="s">
        <v>679</v>
      </c>
      <c r="C18" s="553"/>
      <c r="D18" s="258"/>
      <c r="E18" s="258"/>
      <c r="F18" s="214"/>
      <c r="G18" s="214">
        <v>27</v>
      </c>
      <c r="H18" s="214">
        <v>26</v>
      </c>
      <c r="I18" s="214">
        <v>24</v>
      </c>
    </row>
    <row r="19" spans="2:9" s="551" customFormat="1" ht="15.25" customHeight="1">
      <c r="B19" s="556" t="s">
        <v>666</v>
      </c>
      <c r="C19" s="553"/>
      <c r="D19" s="557"/>
      <c r="E19" s="557"/>
      <c r="F19" s="591"/>
      <c r="G19" s="581"/>
      <c r="H19" s="580">
        <v>20</v>
      </c>
      <c r="I19" s="580">
        <v>19</v>
      </c>
    </row>
    <row r="20" spans="2:9" s="551" customFormat="1" ht="15.25" customHeight="1">
      <c r="B20" s="556" t="s">
        <v>667</v>
      </c>
      <c r="C20" s="553"/>
      <c r="D20" s="557"/>
      <c r="E20" s="557"/>
      <c r="F20" s="591"/>
      <c r="G20" s="581"/>
      <c r="H20" s="580">
        <v>6</v>
      </c>
      <c r="I20" s="580">
        <v>5</v>
      </c>
    </row>
    <row r="21" spans="2:9" s="551" customFormat="1" ht="16.5" customHeight="1">
      <c r="B21" s="552"/>
      <c r="C21" s="553"/>
      <c r="D21" s="559"/>
      <c r="E21" s="559"/>
      <c r="F21" s="559"/>
      <c r="G21" s="239"/>
      <c r="H21" s="239"/>
      <c r="I21" s="239"/>
    </row>
    <row r="22" spans="2:9" s="551" customFormat="1" ht="15.25" customHeight="1">
      <c r="B22" s="555" t="s">
        <v>707</v>
      </c>
      <c r="C22" s="553"/>
      <c r="D22" s="258"/>
      <c r="E22" s="258"/>
      <c r="F22" s="258"/>
      <c r="G22" s="214"/>
      <c r="H22" s="214"/>
      <c r="I22" s="239"/>
    </row>
    <row r="23" spans="2:9" s="551" customFormat="1" ht="15.25" customHeight="1">
      <c r="B23" s="556" t="s">
        <v>679</v>
      </c>
      <c r="C23" s="553"/>
      <c r="D23" s="258"/>
      <c r="E23" s="258"/>
      <c r="F23" s="214"/>
      <c r="G23" s="214">
        <v>60</v>
      </c>
      <c r="H23" s="214">
        <v>60</v>
      </c>
      <c r="I23" s="214">
        <v>60</v>
      </c>
    </row>
    <row r="24" spans="2:9" s="551" customFormat="1" ht="15.25" customHeight="1">
      <c r="B24" s="556" t="s">
        <v>666</v>
      </c>
      <c r="C24" s="553"/>
      <c r="D24" s="557"/>
      <c r="E24" s="557"/>
      <c r="F24" s="591"/>
      <c r="G24" s="581"/>
      <c r="H24" s="580">
        <v>45</v>
      </c>
      <c r="I24" s="580">
        <v>44</v>
      </c>
    </row>
    <row r="25" spans="2:9" s="551" customFormat="1" ht="15.25" customHeight="1">
      <c r="B25" s="556" t="s">
        <v>667</v>
      </c>
      <c r="C25" s="553"/>
      <c r="D25" s="557"/>
      <c r="E25" s="557"/>
      <c r="F25" s="591"/>
      <c r="G25" s="581"/>
      <c r="H25" s="580">
        <v>15</v>
      </c>
      <c r="I25" s="580">
        <v>16</v>
      </c>
    </row>
    <row r="26" spans="2:9" s="551" customFormat="1" ht="16.5" customHeight="1">
      <c r="B26" s="552"/>
      <c r="C26" s="553"/>
      <c r="D26" s="559"/>
      <c r="E26" s="559"/>
      <c r="F26" s="559"/>
      <c r="G26" s="239"/>
      <c r="H26" s="239"/>
      <c r="I26" s="239"/>
    </row>
    <row r="27" spans="2:9" s="551" customFormat="1" ht="15.25" customHeight="1">
      <c r="B27" s="555" t="s">
        <v>708</v>
      </c>
      <c r="C27" s="553"/>
      <c r="D27" s="258"/>
      <c r="E27" s="258"/>
      <c r="F27" s="258"/>
      <c r="G27" s="214"/>
      <c r="H27" s="214"/>
      <c r="I27" s="239"/>
    </row>
    <row r="28" spans="2:9" s="551" customFormat="1" ht="15.25" customHeight="1">
      <c r="B28" s="592" t="s">
        <v>709</v>
      </c>
      <c r="C28" s="553"/>
      <c r="D28" s="258"/>
      <c r="E28" s="258"/>
      <c r="F28" s="258"/>
      <c r="G28" s="214"/>
      <c r="H28" s="214"/>
      <c r="I28" s="239"/>
    </row>
    <row r="29" spans="2:9" s="551" customFormat="1" ht="15.25" customHeight="1">
      <c r="B29" s="556" t="s">
        <v>679</v>
      </c>
      <c r="C29" s="553"/>
      <c r="D29" s="258"/>
      <c r="E29" s="258"/>
      <c r="F29" s="214"/>
      <c r="G29" s="214">
        <v>40</v>
      </c>
      <c r="H29" s="214">
        <v>59</v>
      </c>
      <c r="I29" s="214">
        <v>73</v>
      </c>
    </row>
    <row r="30" spans="2:9" s="551" customFormat="1" ht="15.25" customHeight="1">
      <c r="B30" s="556" t="s">
        <v>666</v>
      </c>
      <c r="C30" s="553"/>
      <c r="D30" s="557"/>
      <c r="E30" s="557"/>
      <c r="F30" s="559"/>
      <c r="G30" s="239">
        <v>35</v>
      </c>
      <c r="H30" s="580">
        <v>54</v>
      </c>
      <c r="I30" s="580">
        <v>68</v>
      </c>
    </row>
    <row r="31" spans="2:9" s="551" customFormat="1" ht="15.25" customHeight="1">
      <c r="B31" s="556" t="s">
        <v>667</v>
      </c>
      <c r="C31" s="553"/>
      <c r="D31" s="557"/>
      <c r="E31" s="557"/>
      <c r="F31" s="579"/>
      <c r="G31" s="580">
        <v>6</v>
      </c>
      <c r="H31" s="580">
        <v>5</v>
      </c>
      <c r="I31" s="580">
        <v>5</v>
      </c>
    </row>
    <row r="32" spans="2:9" s="551" customFormat="1" ht="16.5" customHeight="1">
      <c r="B32" s="552"/>
      <c r="C32" s="553"/>
      <c r="D32" s="559"/>
      <c r="E32" s="559"/>
      <c r="F32" s="559"/>
      <c r="G32" s="239"/>
      <c r="H32" s="239"/>
      <c r="I32" s="239"/>
    </row>
    <row r="33" spans="1:16" s="551" customFormat="1" ht="15.25" customHeight="1">
      <c r="B33" s="555" t="s">
        <v>710</v>
      </c>
      <c r="C33" s="553"/>
      <c r="D33" s="258"/>
      <c r="E33" s="258"/>
      <c r="F33" s="258"/>
      <c r="G33" s="214"/>
      <c r="H33" s="214"/>
      <c r="I33" s="239"/>
    </row>
    <row r="34" spans="1:16" s="551" customFormat="1" ht="15.25" customHeight="1">
      <c r="B34" s="556" t="s">
        <v>679</v>
      </c>
      <c r="C34" s="553"/>
      <c r="D34" s="258"/>
      <c r="E34" s="258"/>
      <c r="F34" s="214"/>
      <c r="G34" s="214">
        <v>96</v>
      </c>
      <c r="H34" s="214">
        <v>99</v>
      </c>
      <c r="I34" s="214">
        <v>111</v>
      </c>
    </row>
    <row r="35" spans="1:16" s="551" customFormat="1" ht="15.25" customHeight="1">
      <c r="B35" s="556" t="s">
        <v>666</v>
      </c>
      <c r="C35" s="553"/>
      <c r="D35" s="557"/>
      <c r="E35" s="557"/>
      <c r="F35" s="559"/>
      <c r="G35" s="239">
        <v>83</v>
      </c>
      <c r="H35" s="580">
        <v>83</v>
      </c>
      <c r="I35" s="580">
        <v>95</v>
      </c>
    </row>
    <row r="36" spans="1:16" s="551" customFormat="1" ht="15.25" customHeight="1">
      <c r="B36" s="556" t="s">
        <v>667</v>
      </c>
      <c r="C36" s="553"/>
      <c r="D36" s="557"/>
      <c r="E36" s="557"/>
      <c r="F36" s="579"/>
      <c r="G36" s="580">
        <v>13</v>
      </c>
      <c r="H36" s="580">
        <v>16</v>
      </c>
      <c r="I36" s="580">
        <v>16</v>
      </c>
    </row>
    <row r="37" spans="1:16" s="551" customFormat="1" ht="16.5" customHeight="1">
      <c r="B37" s="552"/>
      <c r="C37" s="553"/>
      <c r="D37" s="258"/>
      <c r="E37" s="258"/>
      <c r="F37" s="258"/>
      <c r="G37" s="239"/>
      <c r="H37" s="239"/>
      <c r="I37" s="239"/>
    </row>
    <row r="38" spans="1:16" s="549" customFormat="1" ht="8.25" customHeight="1">
      <c r="B38" s="562"/>
      <c r="C38" s="555"/>
      <c r="D38" s="563"/>
      <c r="E38" s="564"/>
      <c r="F38" s="564"/>
      <c r="G38" s="564"/>
      <c r="H38" s="564"/>
      <c r="I38" s="564"/>
    </row>
    <row r="39" spans="1:16" s="549" customFormat="1" ht="8.25" customHeight="1" thickBot="1">
      <c r="A39" s="583"/>
      <c r="B39" s="583"/>
      <c r="C39" s="583"/>
      <c r="D39" s="584"/>
      <c r="E39" s="584"/>
      <c r="F39" s="584"/>
      <c r="G39" s="584"/>
      <c r="H39" s="584"/>
      <c r="I39" s="584"/>
    </row>
    <row r="40" spans="1:16" s="549" customFormat="1" ht="18.75" customHeight="1">
      <c r="D40" s="568"/>
      <c r="E40" s="569"/>
      <c r="F40" s="564"/>
      <c r="G40" s="568"/>
      <c r="H40" s="568"/>
      <c r="I40" s="192" t="s">
        <v>711</v>
      </c>
    </row>
    <row r="41" spans="1:16" s="549" customFormat="1" ht="18.75" customHeight="1">
      <c r="B41" s="570"/>
      <c r="C41" s="299"/>
      <c r="D41" s="299"/>
      <c r="E41" s="299"/>
      <c r="G41" s="299"/>
      <c r="H41" s="299"/>
      <c r="I41" s="193" t="s">
        <v>712</v>
      </c>
    </row>
    <row r="42" spans="1:16" s="549" customFormat="1" ht="14">
      <c r="B42" s="570"/>
      <c r="C42" s="299"/>
      <c r="D42" s="299"/>
      <c r="E42" s="299"/>
      <c r="G42" s="299"/>
      <c r="H42" s="299"/>
      <c r="I42" s="193"/>
    </row>
    <row r="43" spans="1:16" s="549" customFormat="1" ht="23.25" customHeight="1">
      <c r="A43" s="1337" t="s">
        <v>713</v>
      </c>
      <c r="B43" s="1337"/>
      <c r="C43" s="299"/>
      <c r="D43" s="299"/>
      <c r="E43" s="299"/>
      <c r="G43" s="299"/>
      <c r="H43" s="299"/>
      <c r="I43" s="193"/>
    </row>
    <row r="44" spans="1:16" s="597" customFormat="1" ht="16">
      <c r="A44" s="593" t="s">
        <v>714</v>
      </c>
      <c r="B44" s="594"/>
      <c r="C44" s="594"/>
      <c r="D44" s="594"/>
      <c r="E44" s="594"/>
      <c r="F44" s="594"/>
      <c r="G44" s="594"/>
      <c r="H44" s="594"/>
      <c r="I44" s="594"/>
      <c r="J44" s="594"/>
      <c r="K44" s="595"/>
      <c r="L44" s="596"/>
      <c r="M44" s="594"/>
      <c r="O44" s="598"/>
      <c r="P44" s="599"/>
    </row>
    <row r="45" spans="1:16" s="597" customFormat="1" ht="23.25" customHeight="1">
      <c r="A45" s="600" t="s">
        <v>715</v>
      </c>
      <c r="B45" s="594"/>
      <c r="C45" s="594"/>
      <c r="D45" s="594"/>
      <c r="E45" s="594"/>
      <c r="F45" s="594"/>
      <c r="G45" s="594"/>
      <c r="H45" s="594"/>
      <c r="I45" s="594"/>
      <c r="J45" s="594"/>
      <c r="K45" s="595"/>
      <c r="L45" s="596"/>
      <c r="M45" s="594"/>
      <c r="O45" s="598"/>
      <c r="P45" s="599"/>
    </row>
    <row r="46" spans="1:16" s="597" customFormat="1" ht="16">
      <c r="A46" s="593" t="s">
        <v>716</v>
      </c>
      <c r="B46" s="594"/>
      <c r="C46" s="594"/>
      <c r="D46" s="594"/>
      <c r="E46" s="594"/>
      <c r="F46" s="594"/>
      <c r="G46" s="594"/>
      <c r="H46" s="594"/>
      <c r="I46" s="594"/>
      <c r="J46" s="594"/>
      <c r="K46" s="595"/>
      <c r="L46" s="596"/>
      <c r="M46" s="594"/>
      <c r="O46" s="598"/>
      <c r="P46" s="599"/>
    </row>
    <row r="47" spans="1:16" s="597" customFormat="1" ht="21.75" customHeight="1">
      <c r="A47" s="600" t="s">
        <v>717</v>
      </c>
      <c r="B47" s="594"/>
      <c r="C47" s="594"/>
      <c r="D47" s="594"/>
      <c r="E47" s="594"/>
      <c r="F47" s="594"/>
      <c r="G47" s="594"/>
      <c r="H47" s="594"/>
      <c r="I47" s="594"/>
      <c r="J47" s="594"/>
      <c r="K47" s="595"/>
      <c r="L47" s="596"/>
      <c r="M47" s="594"/>
      <c r="O47" s="598"/>
      <c r="P47" s="599"/>
    </row>
    <row r="48" spans="1:16" s="597" customFormat="1" ht="16">
      <c r="A48" s="601" t="s">
        <v>718</v>
      </c>
      <c r="B48" s="594"/>
      <c r="C48" s="594"/>
      <c r="D48" s="594"/>
      <c r="E48" s="594"/>
      <c r="F48" s="594"/>
      <c r="G48" s="594"/>
      <c r="H48" s="594"/>
      <c r="I48" s="594"/>
      <c r="J48" s="594"/>
      <c r="K48" s="595"/>
      <c r="L48" s="596"/>
      <c r="M48" s="594"/>
      <c r="O48" s="598"/>
      <c r="P48" s="599"/>
    </row>
    <row r="49" spans="1:16" s="597" customFormat="1" ht="22.5" customHeight="1">
      <c r="A49" s="600" t="s">
        <v>719</v>
      </c>
      <c r="B49" s="594"/>
      <c r="C49" s="594"/>
      <c r="D49" s="594"/>
      <c r="E49" s="594"/>
      <c r="F49" s="594"/>
      <c r="G49" s="594"/>
      <c r="H49" s="594"/>
      <c r="I49" s="594"/>
      <c r="J49" s="594"/>
      <c r="K49" s="595"/>
      <c r="L49" s="596"/>
      <c r="M49" s="594"/>
      <c r="O49" s="598"/>
      <c r="P49" s="599"/>
    </row>
    <row r="50" spans="1:16" s="597" customFormat="1" ht="30" customHeight="1">
      <c r="A50" s="1338" t="s">
        <v>720</v>
      </c>
      <c r="B50" s="1338"/>
      <c r="C50" s="1338"/>
      <c r="D50" s="1338"/>
      <c r="E50" s="1338"/>
      <c r="F50" s="1338"/>
      <c r="G50" s="1338"/>
      <c r="H50" s="1338"/>
      <c r="I50" s="1338"/>
      <c r="J50" s="1338"/>
      <c r="K50" s="1338"/>
      <c r="L50" s="1338"/>
      <c r="M50" s="1338"/>
      <c r="O50" s="598"/>
      <c r="P50" s="599"/>
    </row>
    <row r="51" spans="1:16" s="597" customFormat="1" ht="45.75" customHeight="1">
      <c r="A51" s="1339" t="s">
        <v>721</v>
      </c>
      <c r="B51" s="1339"/>
      <c r="C51" s="1339"/>
      <c r="D51" s="1339"/>
      <c r="E51" s="1339"/>
      <c r="F51" s="1339"/>
      <c r="G51" s="1339"/>
      <c r="H51" s="1339"/>
      <c r="I51" s="1339"/>
      <c r="J51" s="1339"/>
      <c r="K51" s="1339"/>
      <c r="L51" s="1339"/>
      <c r="M51" s="594"/>
      <c r="O51" s="598"/>
      <c r="P51" s="599"/>
    </row>
  </sheetData>
  <mergeCells count="6">
    <mergeCell ref="A51:L51"/>
    <mergeCell ref="C3:I3"/>
    <mergeCell ref="C4:I4"/>
    <mergeCell ref="B6:C6"/>
    <mergeCell ref="A43:B43"/>
    <mergeCell ref="A50:M50"/>
  </mergeCells>
  <printOptions horizontalCentered="1"/>
  <pageMargins left="0.55118110236220474" right="0.55118110236220474" top="0.55118110236220474" bottom="0.55118110236220474" header="0.31496062992125984" footer="0.31496062992125984"/>
  <pageSetup paperSize="9" scale="68"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5490-3D2E-4220-AD86-676A92025659}">
  <sheetPr codeName="Sheet49">
    <pageSetUpPr fitToPage="1"/>
  </sheetPr>
  <dimension ref="A1:AO56"/>
  <sheetViews>
    <sheetView view="pageBreakPreview" zoomScaleNormal="100" zoomScaleSheetLayoutView="100" workbookViewId="0">
      <selection activeCell="D60" sqref="D60"/>
    </sheetView>
  </sheetViews>
  <sheetFormatPr baseColWidth="10" defaultColWidth="8.83203125" defaultRowHeight="15"/>
  <cols>
    <col min="1" max="2" width="1.5" customWidth="1"/>
    <col min="3" max="3" width="11.33203125" customWidth="1"/>
    <col min="4" max="4" width="83.33203125" customWidth="1"/>
    <col min="5" max="5" width="2.1640625" customWidth="1"/>
    <col min="6" max="6" width="15.1640625" customWidth="1"/>
    <col min="7" max="7" width="15.6640625" customWidth="1"/>
  </cols>
  <sheetData>
    <row r="1" spans="1:41" s="602" customFormat="1" ht="13">
      <c r="D1" s="603"/>
    </row>
    <row r="2" spans="1:41" s="604" customFormat="1" ht="14">
      <c r="C2" s="605" t="s">
        <v>722</v>
      </c>
      <c r="D2" s="606" t="s">
        <v>723</v>
      </c>
      <c r="E2" s="607"/>
      <c r="F2" s="607"/>
      <c r="G2" s="607"/>
    </row>
    <row r="3" spans="1:41" s="608" customFormat="1" ht="14">
      <c r="B3" s="609" t="s">
        <v>724</v>
      </c>
      <c r="C3" s="610" t="s">
        <v>725</v>
      </c>
      <c r="D3" s="609" t="s">
        <v>726</v>
      </c>
      <c r="E3" s="609"/>
      <c r="F3" s="609"/>
      <c r="G3" s="609"/>
    </row>
    <row r="4" spans="1:41" s="611" customFormat="1" ht="18" customHeight="1" thickBot="1">
      <c r="B4" s="612"/>
      <c r="C4" s="1350"/>
      <c r="D4" s="1350"/>
      <c r="E4" s="613"/>
      <c r="F4" s="614"/>
    </row>
    <row r="5" spans="1:41" s="619" customFormat="1" ht="5" customHeight="1">
      <c r="A5" s="612"/>
      <c r="B5" s="615"/>
      <c r="C5" s="1351"/>
      <c r="D5" s="1351"/>
      <c r="E5" s="616"/>
      <c r="F5" s="617"/>
      <c r="G5" s="618"/>
      <c r="H5" s="612"/>
      <c r="I5" s="612"/>
      <c r="J5" s="612"/>
      <c r="K5" s="612"/>
      <c r="L5" s="612"/>
      <c r="M5" s="612"/>
      <c r="N5" s="612"/>
      <c r="O5" s="612"/>
      <c r="P5" s="612"/>
      <c r="Q5" s="612"/>
      <c r="R5" s="612"/>
      <c r="S5" s="612"/>
      <c r="T5" s="612"/>
      <c r="U5" s="612"/>
      <c r="V5" s="612"/>
      <c r="W5" s="612"/>
      <c r="X5" s="612"/>
      <c r="Y5" s="612"/>
      <c r="Z5" s="612"/>
      <c r="AA5" s="612"/>
      <c r="AB5" s="612"/>
      <c r="AC5" s="612"/>
      <c r="AD5" s="612"/>
      <c r="AE5" s="612"/>
      <c r="AF5" s="612"/>
      <c r="AG5" s="612"/>
      <c r="AH5" s="612"/>
      <c r="AI5" s="612"/>
      <c r="AJ5" s="612"/>
      <c r="AK5" s="612"/>
      <c r="AL5" s="612"/>
      <c r="AM5" s="612"/>
      <c r="AN5" s="612"/>
      <c r="AO5" s="612"/>
    </row>
    <row r="6" spans="1:41" s="623" customFormat="1" ht="35" customHeight="1" thickBot="1">
      <c r="A6" s="611"/>
      <c r="B6" s="620"/>
      <c r="C6" s="1352" t="s">
        <v>727</v>
      </c>
      <c r="D6" s="1352"/>
      <c r="E6" s="621"/>
      <c r="F6" s="622">
        <v>2022</v>
      </c>
      <c r="G6" s="622">
        <v>2023</v>
      </c>
      <c r="H6" s="611"/>
      <c r="I6" s="611"/>
      <c r="J6" s="611"/>
      <c r="K6" s="611"/>
      <c r="L6" s="611"/>
      <c r="M6" s="611"/>
      <c r="N6" s="611"/>
      <c r="O6" s="611"/>
      <c r="P6" s="611"/>
      <c r="Q6" s="611"/>
      <c r="R6" s="611"/>
      <c r="S6" s="611"/>
      <c r="T6" s="611"/>
      <c r="U6" s="611"/>
      <c r="V6" s="611"/>
      <c r="W6" s="611"/>
      <c r="X6" s="611"/>
      <c r="Y6" s="611"/>
      <c r="Z6" s="611"/>
      <c r="AA6" s="611"/>
      <c r="AB6" s="611"/>
      <c r="AC6" s="611"/>
      <c r="AD6" s="611"/>
      <c r="AE6" s="611"/>
      <c r="AF6" s="611"/>
      <c r="AG6" s="611"/>
      <c r="AH6" s="611"/>
      <c r="AI6" s="611"/>
      <c r="AJ6" s="611"/>
      <c r="AK6" s="611"/>
      <c r="AL6" s="611"/>
      <c r="AM6" s="611"/>
      <c r="AN6" s="611"/>
      <c r="AO6" s="611"/>
    </row>
    <row r="7" spans="1:41" s="624" customFormat="1" ht="8.25" customHeight="1">
      <c r="C7" s="1353"/>
      <c r="D7" s="1353"/>
      <c r="E7" s="625"/>
      <c r="F7" s="626"/>
      <c r="G7" s="626"/>
    </row>
    <row r="8" spans="1:41" s="608" customFormat="1" ht="15.75" customHeight="1">
      <c r="C8" s="1354" t="s">
        <v>728</v>
      </c>
      <c r="D8" s="1354"/>
      <c r="E8" s="624"/>
      <c r="F8" s="627"/>
      <c r="G8" s="627"/>
    </row>
    <row r="9" spans="1:41" s="602" customFormat="1" ht="18.75" customHeight="1">
      <c r="C9" s="1348" t="s">
        <v>729</v>
      </c>
      <c r="D9" s="1348"/>
      <c r="F9" s="627"/>
      <c r="G9" s="627"/>
    </row>
    <row r="10" spans="1:41" s="608" customFormat="1" ht="15.75" customHeight="1">
      <c r="C10" s="1329" t="s">
        <v>730</v>
      </c>
      <c r="D10" s="1329"/>
      <c r="E10" s="624"/>
      <c r="F10" s="628">
        <v>207943</v>
      </c>
      <c r="G10" s="628">
        <v>207943</v>
      </c>
    </row>
    <row r="11" spans="1:41" s="602" customFormat="1" ht="15.75" customHeight="1">
      <c r="C11" s="1340" t="s">
        <v>731</v>
      </c>
      <c r="D11" s="1340"/>
      <c r="E11" s="608"/>
      <c r="F11" s="629"/>
      <c r="G11" s="629"/>
    </row>
    <row r="12" spans="1:41" s="602" customFormat="1" ht="18.75" customHeight="1">
      <c r="C12" s="1345"/>
      <c r="D12" s="1345"/>
      <c r="F12" s="628"/>
      <c r="G12" s="628"/>
    </row>
    <row r="13" spans="1:41" s="608" customFormat="1" ht="15.75" customHeight="1">
      <c r="C13" s="1346" t="s">
        <v>732</v>
      </c>
      <c r="D13" s="1346"/>
      <c r="E13" s="602"/>
      <c r="F13" s="628">
        <v>2766234</v>
      </c>
      <c r="G13" s="628">
        <v>2766234</v>
      </c>
      <c r="N13" s="630"/>
    </row>
    <row r="14" spans="1:41" s="602" customFormat="1" ht="15.75" customHeight="1">
      <c r="C14" s="1340" t="s">
        <v>733</v>
      </c>
      <c r="D14" s="1340"/>
      <c r="E14" s="608"/>
      <c r="F14" s="629"/>
      <c r="G14" s="629"/>
    </row>
    <row r="15" spans="1:41" s="602" customFormat="1" ht="18.75" customHeight="1">
      <c r="C15" s="1345"/>
      <c r="D15" s="1345"/>
      <c r="F15" s="628"/>
      <c r="G15" s="628"/>
    </row>
    <row r="16" spans="1:41" s="608" customFormat="1" ht="15.75" customHeight="1">
      <c r="C16" s="1346" t="s">
        <v>734</v>
      </c>
      <c r="D16" s="1346"/>
      <c r="E16" s="602"/>
      <c r="F16" s="631">
        <v>1959787</v>
      </c>
      <c r="G16" s="631">
        <v>1959787</v>
      </c>
    </row>
    <row r="17" spans="3:7" s="602" customFormat="1" ht="15.75" customHeight="1">
      <c r="C17" s="1340" t="s">
        <v>735</v>
      </c>
      <c r="D17" s="1340"/>
      <c r="E17" s="608"/>
      <c r="F17" s="632"/>
      <c r="G17" s="632"/>
    </row>
    <row r="18" spans="3:7" s="602" customFormat="1" ht="18.75" customHeight="1">
      <c r="C18" s="1345"/>
      <c r="D18" s="1345"/>
      <c r="F18" s="631"/>
      <c r="G18" s="631"/>
    </row>
    <row r="19" spans="3:7" s="608" customFormat="1" ht="15.75" customHeight="1">
      <c r="C19" s="1346" t="s">
        <v>736</v>
      </c>
      <c r="D19" s="1346"/>
      <c r="E19" s="602"/>
      <c r="F19" s="628">
        <v>64904</v>
      </c>
      <c r="G19" s="628">
        <v>64904</v>
      </c>
    </row>
    <row r="20" spans="3:7" s="602" customFormat="1" ht="15.75" customHeight="1">
      <c r="C20" s="1340" t="s">
        <v>737</v>
      </c>
      <c r="D20" s="1340"/>
      <c r="E20" s="608"/>
      <c r="F20" s="629"/>
      <c r="G20" s="629"/>
    </row>
    <row r="21" spans="3:7" s="602" customFormat="1" ht="18.75" customHeight="1">
      <c r="C21" s="1345"/>
      <c r="D21" s="1345"/>
      <c r="F21" s="628"/>
      <c r="G21" s="628"/>
    </row>
    <row r="22" spans="3:7" s="608" customFormat="1" ht="15.75" customHeight="1">
      <c r="C22" s="1346" t="s">
        <v>738</v>
      </c>
      <c r="D22" s="1346"/>
      <c r="E22" s="602"/>
      <c r="F22" s="628">
        <v>1610</v>
      </c>
      <c r="G22" s="628">
        <v>1610</v>
      </c>
    </row>
    <row r="23" spans="3:7" s="602" customFormat="1" ht="15.75" customHeight="1">
      <c r="C23" s="1340" t="s">
        <v>739</v>
      </c>
      <c r="D23" s="1340"/>
      <c r="E23" s="608"/>
      <c r="F23" s="629"/>
      <c r="G23" s="629"/>
    </row>
    <row r="24" spans="3:7" s="602" customFormat="1" ht="18.75" customHeight="1">
      <c r="C24" s="1345"/>
      <c r="D24" s="1345"/>
      <c r="F24" s="628"/>
      <c r="G24" s="628"/>
    </row>
    <row r="25" spans="3:7" s="608" customFormat="1" ht="15.75" customHeight="1">
      <c r="C25" s="1346" t="s">
        <v>740</v>
      </c>
      <c r="D25" s="1346"/>
      <c r="E25" s="602"/>
      <c r="F25" s="631">
        <v>1065</v>
      </c>
      <c r="G25" s="631">
        <v>1065</v>
      </c>
    </row>
    <row r="26" spans="3:7" s="602" customFormat="1" ht="15.75" customHeight="1">
      <c r="C26" s="1340" t="s">
        <v>741</v>
      </c>
      <c r="D26" s="1340"/>
      <c r="E26" s="608"/>
      <c r="F26" s="632"/>
      <c r="G26" s="632"/>
    </row>
    <row r="27" spans="3:7" s="602" customFormat="1" ht="18.75" customHeight="1">
      <c r="C27" s="1349"/>
      <c r="D27" s="1349"/>
      <c r="F27" s="631"/>
      <c r="G27" s="631"/>
    </row>
    <row r="28" spans="3:7" s="635" customFormat="1" ht="15.75" customHeight="1">
      <c r="C28" s="1347" t="s">
        <v>742</v>
      </c>
      <c r="D28" s="1347"/>
      <c r="E28" s="633"/>
      <c r="F28" s="634"/>
      <c r="G28" s="634"/>
    </row>
    <row r="29" spans="3:7" s="633" customFormat="1" ht="18.75" customHeight="1">
      <c r="C29" s="1348" t="s">
        <v>743</v>
      </c>
      <c r="D29" s="1348"/>
      <c r="F29" s="634"/>
      <c r="G29" s="634"/>
    </row>
    <row r="30" spans="3:7" s="608" customFormat="1" ht="15.75" customHeight="1">
      <c r="C30" s="1346" t="s">
        <v>744</v>
      </c>
      <c r="D30" s="1346"/>
      <c r="E30" s="602"/>
      <c r="F30" s="628">
        <v>297271</v>
      </c>
      <c r="G30" s="628">
        <v>297271</v>
      </c>
    </row>
    <row r="31" spans="3:7" s="602" customFormat="1" ht="15.75" customHeight="1">
      <c r="C31" s="1340" t="s">
        <v>745</v>
      </c>
      <c r="D31" s="1340"/>
      <c r="E31" s="608"/>
      <c r="F31" s="629"/>
      <c r="G31" s="629"/>
    </row>
    <row r="32" spans="3:7" s="602" customFormat="1" ht="18.75" customHeight="1">
      <c r="C32" s="1345"/>
      <c r="D32" s="1345"/>
      <c r="F32" s="628"/>
      <c r="G32" s="628"/>
    </row>
    <row r="33" spans="1:9" s="608" customFormat="1" ht="15.75" customHeight="1">
      <c r="C33" s="1346" t="s">
        <v>746</v>
      </c>
      <c r="D33" s="1346"/>
      <c r="E33" s="602"/>
      <c r="F33" s="628">
        <v>36974</v>
      </c>
      <c r="G33" s="628">
        <v>36974</v>
      </c>
    </row>
    <row r="34" spans="1:9" s="602" customFormat="1" ht="15.75" customHeight="1">
      <c r="C34" s="1340" t="s">
        <v>733</v>
      </c>
      <c r="D34" s="1340"/>
      <c r="E34" s="608"/>
      <c r="F34" s="629"/>
      <c r="G34" s="629"/>
    </row>
    <row r="35" spans="1:9" s="602" customFormat="1" ht="18.75" customHeight="1">
      <c r="C35" s="1345"/>
      <c r="D35" s="1345"/>
      <c r="F35" s="628"/>
      <c r="G35" s="628"/>
    </row>
    <row r="36" spans="1:9" s="608" customFormat="1" ht="15.75" customHeight="1">
      <c r="C36" s="1346" t="s">
        <v>747</v>
      </c>
      <c r="D36" s="1346"/>
      <c r="E36" s="602"/>
      <c r="F36" s="628">
        <v>98641</v>
      </c>
      <c r="G36" s="628">
        <v>98641</v>
      </c>
    </row>
    <row r="37" spans="1:9" s="602" customFormat="1" ht="15.75" customHeight="1">
      <c r="C37" s="1340" t="s">
        <v>748</v>
      </c>
      <c r="D37" s="1340"/>
      <c r="E37" s="608"/>
      <c r="F37" s="629"/>
      <c r="G37" s="629"/>
    </row>
    <row r="38" spans="1:9" s="602" customFormat="1" ht="18.75" customHeight="1">
      <c r="C38" s="1345"/>
      <c r="D38" s="1345"/>
      <c r="F38" s="628"/>
      <c r="G38" s="628"/>
    </row>
    <row r="39" spans="1:9" s="608" customFormat="1" ht="15.75" customHeight="1">
      <c r="C39" s="1346" t="s">
        <v>749</v>
      </c>
      <c r="D39" s="1346"/>
      <c r="E39" s="602"/>
      <c r="F39" s="631">
        <v>586</v>
      </c>
      <c r="G39" s="631">
        <v>586</v>
      </c>
    </row>
    <row r="40" spans="1:9" s="602" customFormat="1" ht="15.75" customHeight="1">
      <c r="C40" s="1340" t="s">
        <v>750</v>
      </c>
      <c r="D40" s="1340"/>
      <c r="E40" s="608"/>
      <c r="F40" s="632"/>
      <c r="G40" s="632"/>
    </row>
    <row r="41" spans="1:9" s="602" customFormat="1" ht="18.75" customHeight="1">
      <c r="C41" s="1345"/>
      <c r="D41" s="1345"/>
      <c r="F41" s="631"/>
      <c r="G41" s="631"/>
    </row>
    <row r="42" spans="1:9" s="608" customFormat="1" ht="15.75" customHeight="1">
      <c r="C42" s="1346" t="s">
        <v>751</v>
      </c>
      <c r="D42" s="1346"/>
      <c r="E42" s="602"/>
      <c r="F42" s="631">
        <v>69745</v>
      </c>
      <c r="G42" s="631">
        <v>69745</v>
      </c>
    </row>
    <row r="43" spans="1:9" s="602" customFormat="1" ht="15.75" customHeight="1">
      <c r="C43" s="1340" t="s">
        <v>752</v>
      </c>
      <c r="D43" s="1340"/>
      <c r="E43" s="608"/>
      <c r="F43" s="632"/>
      <c r="G43" s="632"/>
    </row>
    <row r="44" spans="1:9" s="602" customFormat="1" ht="18.75" customHeight="1">
      <c r="C44" s="1345"/>
      <c r="D44" s="1345"/>
      <c r="F44" s="631"/>
      <c r="G44" s="631"/>
    </row>
    <row r="45" spans="1:9" s="608" customFormat="1" ht="15.75" customHeight="1">
      <c r="C45" s="1346" t="s">
        <v>753</v>
      </c>
      <c r="D45" s="1346"/>
      <c r="E45" s="602"/>
      <c r="F45" s="631">
        <v>2319</v>
      </c>
      <c r="G45" s="631">
        <v>2319</v>
      </c>
    </row>
    <row r="46" spans="1:9" s="611" customFormat="1" ht="15.75" customHeight="1">
      <c r="A46" s="602"/>
      <c r="C46" s="1340" t="s">
        <v>754</v>
      </c>
      <c r="D46" s="1340"/>
      <c r="E46" s="608"/>
      <c r="F46" s="608"/>
      <c r="G46" s="636"/>
      <c r="I46" s="637"/>
    </row>
    <row r="47" spans="1:9" s="638" customFormat="1" ht="15.75" customHeight="1" thickBot="1">
      <c r="C47" s="1341"/>
      <c r="D47" s="1341"/>
      <c r="E47" s="639"/>
      <c r="F47" s="639"/>
      <c r="G47" s="640"/>
    </row>
    <row r="48" spans="1:9" s="638" customFormat="1" ht="9.25" customHeight="1">
      <c r="C48" s="1342"/>
      <c r="D48" s="1342"/>
      <c r="E48" s="1342"/>
      <c r="F48" s="1342"/>
      <c r="G48" s="1342"/>
    </row>
    <row r="49" spans="1:7" s="638" customFormat="1" ht="15.25" customHeight="1">
      <c r="C49" s="1343" t="s">
        <v>755</v>
      </c>
      <c r="D49" s="1343"/>
      <c r="E49" s="1343"/>
      <c r="F49" s="1343"/>
      <c r="G49" s="1343"/>
    </row>
    <row r="50" spans="1:7" s="638" customFormat="1" ht="15.25" customHeight="1">
      <c r="C50" s="1343" t="s">
        <v>756</v>
      </c>
      <c r="D50" s="1343"/>
      <c r="E50" s="1343"/>
      <c r="F50" s="1343"/>
      <c r="G50" s="1343"/>
    </row>
    <row r="51" spans="1:7" s="638" customFormat="1" ht="15.25" customHeight="1">
      <c r="A51" s="641"/>
      <c r="C51" s="1344" t="s">
        <v>757</v>
      </c>
      <c r="D51" s="1344"/>
      <c r="E51" s="1344"/>
      <c r="F51" s="1344"/>
      <c r="G51" s="1344"/>
    </row>
    <row r="52" spans="1:7" s="638" customFormat="1" ht="15.25" customHeight="1">
      <c r="G52" s="642" t="s">
        <v>758</v>
      </c>
    </row>
    <row r="53" spans="1:7" s="638" customFormat="1" ht="12">
      <c r="B53" s="643"/>
      <c r="C53" s="299" t="s">
        <v>135</v>
      </c>
      <c r="D53" s="644"/>
    </row>
    <row r="54" spans="1:7" s="638" customFormat="1" ht="12">
      <c r="C54" s="643" t="s">
        <v>759</v>
      </c>
      <c r="D54" s="644"/>
    </row>
    <row r="55" spans="1:7" s="602" customFormat="1" ht="13">
      <c r="C55" s="645" t="s">
        <v>760</v>
      </c>
      <c r="D55" s="644"/>
      <c r="E55" s="638"/>
      <c r="F55" s="638"/>
      <c r="G55" s="638"/>
    </row>
    <row r="56" spans="1:7" s="404" customFormat="1"/>
  </sheetData>
  <mergeCells count="48">
    <mergeCell ref="C15:D15"/>
    <mergeCell ref="C4:D4"/>
    <mergeCell ref="C5:D5"/>
    <mergeCell ref="C6:D6"/>
    <mergeCell ref="C7:D7"/>
    <mergeCell ref="C8:D8"/>
    <mergeCell ref="C9:D9"/>
    <mergeCell ref="C10:D10"/>
    <mergeCell ref="C11:D11"/>
    <mergeCell ref="C12:D12"/>
    <mergeCell ref="C13:D13"/>
    <mergeCell ref="C14:D14"/>
    <mergeCell ref="C27:D27"/>
    <mergeCell ref="C16:D16"/>
    <mergeCell ref="C17:D17"/>
    <mergeCell ref="C18:D18"/>
    <mergeCell ref="C19:D19"/>
    <mergeCell ref="C20:D20"/>
    <mergeCell ref="C21:D21"/>
    <mergeCell ref="C22:D22"/>
    <mergeCell ref="C23:D23"/>
    <mergeCell ref="C24:D24"/>
    <mergeCell ref="C25:D25"/>
    <mergeCell ref="C26:D26"/>
    <mergeCell ref="C39:D39"/>
    <mergeCell ref="C28:D28"/>
    <mergeCell ref="C29:D29"/>
    <mergeCell ref="C30:D30"/>
    <mergeCell ref="C31:D31"/>
    <mergeCell ref="C32:D32"/>
    <mergeCell ref="C33:D33"/>
    <mergeCell ref="C34:D34"/>
    <mergeCell ref="C35:D35"/>
    <mergeCell ref="C36:D36"/>
    <mergeCell ref="C37:D37"/>
    <mergeCell ref="C38:D38"/>
    <mergeCell ref="C51:G51"/>
    <mergeCell ref="C40:D40"/>
    <mergeCell ref="C41:D41"/>
    <mergeCell ref="C42:D42"/>
    <mergeCell ref="C43:D43"/>
    <mergeCell ref="C44:D44"/>
    <mergeCell ref="C45:D45"/>
    <mergeCell ref="C46:D46"/>
    <mergeCell ref="C47:D47"/>
    <mergeCell ref="C48:G48"/>
    <mergeCell ref="C49:G49"/>
    <mergeCell ref="C50:G50"/>
  </mergeCells>
  <printOptions horizontalCentered="1"/>
  <pageMargins left="0.55118110236220474" right="0.55118110236220474" top="0.55118110236220474" bottom="0.55118110236220474" header="0.31496062992125984" footer="0.31496062992125984"/>
  <pageSetup paperSize="9" scale="6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5F0D-67AA-4D81-97CA-1347731888CD}">
  <sheetPr codeName="Sheet50">
    <pageSetUpPr fitToPage="1"/>
  </sheetPr>
  <dimension ref="A1:N78"/>
  <sheetViews>
    <sheetView view="pageBreakPreview" zoomScaleNormal="100" zoomScaleSheetLayoutView="100" workbookViewId="0">
      <selection activeCell="D60" sqref="D60"/>
    </sheetView>
  </sheetViews>
  <sheetFormatPr baseColWidth="10" defaultColWidth="8.83203125" defaultRowHeight="15"/>
  <cols>
    <col min="1" max="1" width="3.1640625" customWidth="1"/>
    <col min="3" max="3" width="21.33203125" customWidth="1"/>
    <col min="4" max="4" width="8.5" customWidth="1"/>
    <col min="5" max="5" width="21" customWidth="1"/>
    <col min="6" max="6" width="13.83203125" customWidth="1"/>
    <col min="7" max="7" width="12.33203125" customWidth="1"/>
    <col min="8" max="8" width="14.5" customWidth="1"/>
    <col min="9" max="9" width="18.6640625" customWidth="1"/>
    <col min="10" max="10" width="2.33203125" customWidth="1"/>
  </cols>
  <sheetData>
    <row r="1" spans="1:14" s="377" customFormat="1" ht="8" customHeight="1">
      <c r="B1" s="646"/>
      <c r="C1" s="646"/>
      <c r="D1" s="647"/>
      <c r="E1" s="648"/>
      <c r="F1" s="649"/>
      <c r="G1" s="649"/>
      <c r="H1" s="650"/>
      <c r="I1" s="649"/>
    </row>
    <row r="2" spans="1:14" s="377" customFormat="1" ht="8" customHeight="1">
      <c r="B2" s="646"/>
      <c r="C2" s="646"/>
      <c r="D2" s="647"/>
      <c r="E2" s="648"/>
      <c r="F2" s="649"/>
      <c r="G2" s="649"/>
      <c r="H2" s="650"/>
      <c r="I2" s="649"/>
    </row>
    <row r="3" spans="1:14" s="282" customFormat="1" ht="16.5" customHeight="1">
      <c r="B3" s="651" t="s">
        <v>761</v>
      </c>
      <c r="C3" s="652" t="s">
        <v>762</v>
      </c>
      <c r="D3" s="653"/>
      <c r="E3" s="654"/>
      <c r="F3" s="290"/>
      <c r="G3" s="652"/>
      <c r="H3" s="652"/>
      <c r="I3" s="652"/>
      <c r="J3" s="652"/>
      <c r="K3" s="290"/>
      <c r="L3" s="290"/>
      <c r="M3" s="290"/>
      <c r="N3" s="290"/>
    </row>
    <row r="4" spans="1:14" s="282" customFormat="1" ht="16.5" customHeight="1">
      <c r="B4" s="655" t="s">
        <v>763</v>
      </c>
      <c r="C4" s="1355" t="s">
        <v>764</v>
      </c>
      <c r="D4" s="1355"/>
      <c r="E4" s="1355"/>
      <c r="F4" s="1355"/>
      <c r="G4" s="1355"/>
      <c r="H4" s="1355"/>
      <c r="I4" s="1355"/>
      <c r="J4" s="652"/>
      <c r="K4" s="290"/>
      <c r="L4" s="290"/>
      <c r="M4" s="290"/>
      <c r="N4" s="290"/>
    </row>
    <row r="5" spans="1:14" s="377" customFormat="1" ht="16.5" customHeight="1" thickBot="1">
      <c r="A5" s="402"/>
      <c r="B5" s="402"/>
      <c r="C5" s="402"/>
      <c r="D5" s="656"/>
      <c r="E5" s="657"/>
      <c r="F5" s="658"/>
      <c r="G5" s="659"/>
      <c r="H5" s="659"/>
      <c r="I5" s="659"/>
      <c r="J5" s="402"/>
      <c r="K5" s="660"/>
      <c r="L5" s="660"/>
      <c r="M5" s="660"/>
      <c r="N5" s="660"/>
    </row>
    <row r="6" spans="1:14" s="377" customFormat="1" ht="18.75" customHeight="1">
      <c r="A6" s="661"/>
      <c r="B6" s="661" t="s">
        <v>765</v>
      </c>
      <c r="C6" s="662"/>
      <c r="D6" s="663" t="s">
        <v>766</v>
      </c>
      <c r="E6" s="664" t="s">
        <v>386</v>
      </c>
      <c r="F6" s="664" t="s">
        <v>767</v>
      </c>
      <c r="G6" s="665" t="s">
        <v>768</v>
      </c>
      <c r="H6" s="666" t="s">
        <v>769</v>
      </c>
      <c r="I6" s="664" t="s">
        <v>770</v>
      </c>
      <c r="J6" s="661"/>
      <c r="K6" s="667"/>
      <c r="L6" s="667"/>
      <c r="M6" s="667"/>
    </row>
    <row r="7" spans="1:14" s="675" customFormat="1" ht="33.5" customHeight="1" thickBot="1">
      <c r="A7" s="668"/>
      <c r="B7" s="668" t="s">
        <v>771</v>
      </c>
      <c r="C7" s="669"/>
      <c r="D7" s="670" t="s">
        <v>772</v>
      </c>
      <c r="E7" s="671" t="s">
        <v>387</v>
      </c>
      <c r="F7" s="672" t="s">
        <v>773</v>
      </c>
      <c r="G7" s="673" t="s">
        <v>774</v>
      </c>
      <c r="H7" s="671" t="s">
        <v>775</v>
      </c>
      <c r="I7" s="672" t="s">
        <v>776</v>
      </c>
      <c r="J7" s="668"/>
      <c r="K7" s="674"/>
      <c r="L7" s="674"/>
      <c r="M7" s="674"/>
    </row>
    <row r="8" spans="1:14" s="676" customFormat="1" ht="8" customHeight="1">
      <c r="B8" s="677"/>
      <c r="C8" s="677"/>
      <c r="D8" s="310"/>
      <c r="E8" s="678"/>
      <c r="F8" s="678"/>
      <c r="G8" s="678"/>
      <c r="H8" s="678"/>
      <c r="I8" s="678"/>
      <c r="K8" s="377"/>
      <c r="L8" s="377"/>
      <c r="M8" s="377"/>
    </row>
    <row r="9" spans="1:14" s="676" customFormat="1" ht="13" customHeight="1">
      <c r="B9" s="679" t="s">
        <v>777</v>
      </c>
      <c r="C9" s="679"/>
      <c r="D9" s="310">
        <v>2022</v>
      </c>
      <c r="E9" s="680">
        <v>16489</v>
      </c>
      <c r="F9" s="680">
        <v>310</v>
      </c>
      <c r="G9" s="680">
        <v>1738</v>
      </c>
      <c r="H9" s="680">
        <v>9729</v>
      </c>
      <c r="I9" s="680">
        <v>4712</v>
      </c>
      <c r="K9" s="282"/>
      <c r="L9" s="377"/>
      <c r="M9" s="377"/>
    </row>
    <row r="10" spans="1:14" s="676" customFormat="1" ht="13" customHeight="1">
      <c r="B10" s="677"/>
      <c r="C10" s="677"/>
      <c r="D10" s="310">
        <v>2023</v>
      </c>
      <c r="E10" s="680">
        <v>13279</v>
      </c>
      <c r="F10" s="680">
        <v>253</v>
      </c>
      <c r="G10" s="680">
        <v>1582</v>
      </c>
      <c r="H10" s="680">
        <v>7326</v>
      </c>
      <c r="I10" s="680">
        <v>4118</v>
      </c>
      <c r="K10" s="282"/>
      <c r="L10" s="377"/>
      <c r="M10" s="377"/>
    </row>
    <row r="11" spans="1:14" s="676" customFormat="1" ht="13" customHeight="1">
      <c r="B11" s="677"/>
      <c r="C11" s="677"/>
      <c r="D11" s="310">
        <v>2024</v>
      </c>
      <c r="E11" s="680">
        <v>11495</v>
      </c>
      <c r="F11" s="680">
        <v>243</v>
      </c>
      <c r="G11" s="680">
        <v>1553</v>
      </c>
      <c r="H11" s="680">
        <v>5636</v>
      </c>
      <c r="I11" s="680">
        <v>4063</v>
      </c>
      <c r="K11" s="282"/>
      <c r="L11" s="377"/>
      <c r="M11" s="377"/>
    </row>
    <row r="12" spans="1:14" s="676" customFormat="1" ht="8" customHeight="1">
      <c r="B12" s="681"/>
      <c r="C12" s="677"/>
      <c r="D12" s="682"/>
      <c r="E12" s="349"/>
      <c r="F12" s="683"/>
      <c r="G12" s="683"/>
      <c r="H12" s="683"/>
      <c r="I12" s="683"/>
      <c r="K12" s="377"/>
      <c r="L12" s="377"/>
      <c r="M12" s="377"/>
    </row>
    <row r="13" spans="1:14" s="684" customFormat="1" ht="13" customHeight="1">
      <c r="B13" s="685" t="s">
        <v>250</v>
      </c>
      <c r="C13" s="685"/>
      <c r="D13" s="682">
        <v>2022</v>
      </c>
      <c r="E13" s="349">
        <v>1923</v>
      </c>
      <c r="F13" s="683">
        <v>35</v>
      </c>
      <c r="G13" s="683">
        <v>206</v>
      </c>
      <c r="H13" s="683">
        <v>1083</v>
      </c>
      <c r="I13" s="683">
        <v>599</v>
      </c>
      <c r="K13" s="377"/>
      <c r="L13" s="377"/>
      <c r="M13" s="377"/>
    </row>
    <row r="14" spans="1:14" s="684" customFormat="1" ht="13" customHeight="1">
      <c r="B14" s="686"/>
      <c r="C14" s="686"/>
      <c r="D14" s="682">
        <v>2023</v>
      </c>
      <c r="E14" s="349">
        <v>1384</v>
      </c>
      <c r="F14" s="349">
        <v>36</v>
      </c>
      <c r="G14" s="349">
        <v>164</v>
      </c>
      <c r="H14" s="349">
        <v>737</v>
      </c>
      <c r="I14" s="683">
        <v>447</v>
      </c>
      <c r="K14" s="377"/>
      <c r="L14" s="377"/>
      <c r="M14" s="377"/>
    </row>
    <row r="15" spans="1:14" s="684" customFormat="1" ht="13" customHeight="1">
      <c r="B15" s="686"/>
      <c r="C15" s="686"/>
      <c r="D15" s="682">
        <v>2024</v>
      </c>
      <c r="E15" s="349">
        <v>925</v>
      </c>
      <c r="F15" s="349">
        <v>21</v>
      </c>
      <c r="G15" s="349">
        <v>144</v>
      </c>
      <c r="H15" s="349">
        <v>395</v>
      </c>
      <c r="I15" s="683">
        <v>365</v>
      </c>
      <c r="J15" s="687"/>
      <c r="K15" s="377"/>
      <c r="L15" s="377"/>
      <c r="M15" s="377"/>
    </row>
    <row r="16" spans="1:14" s="377" customFormat="1" ht="8" customHeight="1">
      <c r="B16" s="688"/>
      <c r="C16" s="688"/>
      <c r="D16" s="682"/>
      <c r="E16" s="349"/>
      <c r="F16" s="349"/>
      <c r="G16" s="349"/>
      <c r="H16" s="349"/>
      <c r="I16" s="349"/>
      <c r="L16" s="689"/>
    </row>
    <row r="17" spans="2:14" s="377" customFormat="1" ht="13" customHeight="1">
      <c r="B17" s="690" t="s">
        <v>251</v>
      </c>
      <c r="C17" s="690"/>
      <c r="D17" s="682">
        <v>2022</v>
      </c>
      <c r="E17" s="349">
        <v>937</v>
      </c>
      <c r="F17" s="349">
        <v>20</v>
      </c>
      <c r="G17" s="349">
        <v>145</v>
      </c>
      <c r="H17" s="349">
        <v>444</v>
      </c>
      <c r="I17" s="349">
        <v>328</v>
      </c>
    </row>
    <row r="18" spans="2:14" s="646" customFormat="1" ht="13" customHeight="1">
      <c r="B18" s="690"/>
      <c r="C18" s="690"/>
      <c r="D18" s="682">
        <v>2023</v>
      </c>
      <c r="E18" s="349">
        <v>674</v>
      </c>
      <c r="F18" s="349">
        <v>13</v>
      </c>
      <c r="G18" s="349">
        <v>119</v>
      </c>
      <c r="H18" s="349">
        <v>270</v>
      </c>
      <c r="I18" s="349">
        <v>272</v>
      </c>
    </row>
    <row r="19" spans="2:14" s="377" customFormat="1" ht="13" customHeight="1">
      <c r="B19" s="690"/>
      <c r="C19" s="690"/>
      <c r="D19" s="682">
        <v>2024</v>
      </c>
      <c r="E19" s="349">
        <v>734</v>
      </c>
      <c r="F19" s="349">
        <v>11</v>
      </c>
      <c r="G19" s="349">
        <v>148</v>
      </c>
      <c r="H19" s="349">
        <v>301</v>
      </c>
      <c r="I19" s="349">
        <v>274</v>
      </c>
    </row>
    <row r="20" spans="2:14" s="377" customFormat="1" ht="8" customHeight="1">
      <c r="B20" s="688"/>
      <c r="C20" s="688"/>
      <c r="D20" s="682"/>
      <c r="E20" s="349"/>
      <c r="F20" s="349"/>
      <c r="G20" s="349"/>
      <c r="H20" s="349"/>
      <c r="I20" s="349"/>
    </row>
    <row r="21" spans="2:14" s="377" customFormat="1" ht="13" customHeight="1">
      <c r="B21" s="690" t="s">
        <v>252</v>
      </c>
      <c r="C21" s="690"/>
      <c r="D21" s="682">
        <v>2022</v>
      </c>
      <c r="E21" s="349">
        <v>470</v>
      </c>
      <c r="F21" s="349">
        <v>9</v>
      </c>
      <c r="G21" s="349">
        <v>73</v>
      </c>
      <c r="H21" s="349">
        <v>210</v>
      </c>
      <c r="I21" s="349">
        <v>178</v>
      </c>
      <c r="K21" s="282"/>
      <c r="L21" s="282"/>
      <c r="M21" s="282"/>
      <c r="N21" s="282"/>
    </row>
    <row r="22" spans="2:14" s="377" customFormat="1" ht="13" customHeight="1">
      <c r="B22" s="690"/>
      <c r="C22" s="690"/>
      <c r="D22" s="682">
        <v>2023</v>
      </c>
      <c r="E22" s="349">
        <v>504</v>
      </c>
      <c r="F22" s="349">
        <v>13</v>
      </c>
      <c r="G22" s="349">
        <v>108</v>
      </c>
      <c r="H22" s="349">
        <v>172</v>
      </c>
      <c r="I22" s="349">
        <v>211</v>
      </c>
      <c r="K22" s="282"/>
      <c r="L22" s="282"/>
      <c r="M22" s="282"/>
      <c r="N22" s="282"/>
    </row>
    <row r="23" spans="2:14" s="377" customFormat="1" ht="13" customHeight="1">
      <c r="B23" s="690"/>
      <c r="C23" s="690"/>
      <c r="D23" s="682">
        <v>2024</v>
      </c>
      <c r="E23" s="349">
        <v>426</v>
      </c>
      <c r="F23" s="349">
        <v>8</v>
      </c>
      <c r="G23" s="349">
        <v>107</v>
      </c>
      <c r="H23" s="349">
        <v>110</v>
      </c>
      <c r="I23" s="349">
        <v>201</v>
      </c>
      <c r="K23" s="282"/>
      <c r="L23" s="282"/>
      <c r="M23" s="282"/>
      <c r="N23" s="282"/>
    </row>
    <row r="24" spans="2:14" s="377" customFormat="1" ht="8" customHeight="1">
      <c r="B24" s="691"/>
      <c r="C24" s="691"/>
      <c r="D24" s="682"/>
      <c r="E24" s="349"/>
      <c r="F24" s="349"/>
      <c r="G24" s="349"/>
      <c r="H24" s="349"/>
      <c r="I24" s="349"/>
      <c r="K24" s="282"/>
      <c r="L24" s="282"/>
      <c r="M24" s="282"/>
      <c r="N24" s="282"/>
    </row>
    <row r="25" spans="2:14" s="377" customFormat="1" ht="13" customHeight="1">
      <c r="B25" s="690" t="s">
        <v>253</v>
      </c>
      <c r="C25" s="690"/>
      <c r="D25" s="682">
        <v>2022</v>
      </c>
      <c r="E25" s="349">
        <v>460</v>
      </c>
      <c r="F25" s="349">
        <v>5</v>
      </c>
      <c r="G25" s="349">
        <v>22</v>
      </c>
      <c r="H25" s="349">
        <v>269</v>
      </c>
      <c r="I25" s="349">
        <v>164</v>
      </c>
      <c r="K25" s="282"/>
      <c r="L25" s="282"/>
      <c r="M25" s="282"/>
      <c r="N25" s="282"/>
    </row>
    <row r="26" spans="2:14" s="377" customFormat="1" ht="13" customHeight="1">
      <c r="B26" s="690"/>
      <c r="C26" s="690"/>
      <c r="D26" s="682">
        <v>2023</v>
      </c>
      <c r="E26" s="349">
        <v>366</v>
      </c>
      <c r="F26" s="349">
        <v>6</v>
      </c>
      <c r="G26" s="349">
        <v>53</v>
      </c>
      <c r="H26" s="349">
        <v>158</v>
      </c>
      <c r="I26" s="349">
        <v>149</v>
      </c>
      <c r="K26" s="282"/>
      <c r="L26" s="282"/>
      <c r="M26" s="282"/>
      <c r="N26" s="282"/>
    </row>
    <row r="27" spans="2:14" s="377" customFormat="1" ht="13" customHeight="1">
      <c r="B27" s="690"/>
      <c r="C27" s="690"/>
      <c r="D27" s="682">
        <v>2024</v>
      </c>
      <c r="E27" s="349">
        <v>311</v>
      </c>
      <c r="F27" s="349">
        <v>4</v>
      </c>
      <c r="G27" s="349">
        <v>41</v>
      </c>
      <c r="H27" s="349">
        <v>96</v>
      </c>
      <c r="I27" s="349">
        <v>170</v>
      </c>
      <c r="K27" s="282"/>
      <c r="L27" s="282"/>
      <c r="M27" s="282"/>
      <c r="N27" s="282"/>
    </row>
    <row r="28" spans="2:14" s="377" customFormat="1" ht="8" customHeight="1">
      <c r="B28" s="690"/>
      <c r="C28" s="690"/>
      <c r="D28" s="682"/>
      <c r="E28" s="349"/>
      <c r="F28" s="349"/>
      <c r="G28" s="349"/>
      <c r="H28" s="349"/>
      <c r="I28" s="349"/>
      <c r="K28" s="282"/>
      <c r="L28" s="282"/>
      <c r="M28" s="282"/>
      <c r="N28" s="282"/>
    </row>
    <row r="29" spans="2:14" s="377" customFormat="1" ht="13.5" customHeight="1">
      <c r="B29" s="690" t="s">
        <v>254</v>
      </c>
      <c r="C29" s="690"/>
      <c r="D29" s="682">
        <v>2022</v>
      </c>
      <c r="E29" s="349">
        <v>778</v>
      </c>
      <c r="F29" s="349">
        <v>10</v>
      </c>
      <c r="G29" s="349">
        <v>56</v>
      </c>
      <c r="H29" s="349">
        <v>454</v>
      </c>
      <c r="I29" s="349">
        <v>258</v>
      </c>
      <c r="K29" s="282"/>
      <c r="L29" s="282"/>
      <c r="M29" s="282"/>
      <c r="N29" s="282"/>
    </row>
    <row r="30" spans="2:14" s="377" customFormat="1" ht="13.5" customHeight="1">
      <c r="B30" s="690"/>
      <c r="C30" s="690"/>
      <c r="D30" s="682">
        <v>2023</v>
      </c>
      <c r="E30" s="349">
        <v>525</v>
      </c>
      <c r="F30" s="349">
        <v>8</v>
      </c>
      <c r="G30" s="349">
        <v>75</v>
      </c>
      <c r="H30" s="349">
        <v>229</v>
      </c>
      <c r="I30" s="349">
        <v>213</v>
      </c>
      <c r="K30" s="282"/>
      <c r="L30" s="282"/>
      <c r="M30" s="282"/>
      <c r="N30" s="282"/>
    </row>
    <row r="31" spans="2:14" s="377" customFormat="1" ht="13.5" customHeight="1">
      <c r="B31" s="690"/>
      <c r="C31" s="690"/>
      <c r="D31" s="682">
        <v>2024</v>
      </c>
      <c r="E31" s="349">
        <v>434</v>
      </c>
      <c r="F31" s="349">
        <v>11</v>
      </c>
      <c r="G31" s="349">
        <v>54</v>
      </c>
      <c r="H31" s="349">
        <v>148</v>
      </c>
      <c r="I31" s="349">
        <v>221</v>
      </c>
      <c r="K31" s="282"/>
      <c r="L31" s="282"/>
      <c r="M31" s="282"/>
      <c r="N31" s="282"/>
    </row>
    <row r="32" spans="2:14" s="377" customFormat="1" ht="8" customHeight="1">
      <c r="B32" s="688"/>
      <c r="C32" s="688"/>
      <c r="D32" s="682"/>
      <c r="E32" s="349"/>
      <c r="F32" s="349"/>
      <c r="G32" s="349"/>
      <c r="H32" s="349"/>
      <c r="I32" s="349"/>
      <c r="K32" s="282"/>
      <c r="L32" s="282"/>
      <c r="M32" s="282"/>
      <c r="N32" s="282"/>
    </row>
    <row r="33" spans="2:14" s="377" customFormat="1" ht="13.5" customHeight="1">
      <c r="B33" s="690" t="s">
        <v>255</v>
      </c>
      <c r="C33" s="690"/>
      <c r="D33" s="682">
        <v>2022</v>
      </c>
      <c r="E33" s="349">
        <v>595</v>
      </c>
      <c r="F33" s="349">
        <v>16</v>
      </c>
      <c r="G33" s="349">
        <v>114</v>
      </c>
      <c r="H33" s="349">
        <v>239</v>
      </c>
      <c r="I33" s="349">
        <v>226</v>
      </c>
      <c r="K33" s="282"/>
      <c r="L33" s="282"/>
      <c r="M33" s="282"/>
      <c r="N33" s="282"/>
    </row>
    <row r="34" spans="2:14" s="377" customFormat="1" ht="13.5" customHeight="1">
      <c r="B34" s="690"/>
      <c r="C34" s="690"/>
      <c r="D34" s="682">
        <v>2023</v>
      </c>
      <c r="E34" s="349">
        <v>405</v>
      </c>
      <c r="F34" s="349">
        <v>8</v>
      </c>
      <c r="G34" s="349">
        <v>98</v>
      </c>
      <c r="H34" s="349">
        <v>144</v>
      </c>
      <c r="I34" s="349">
        <v>155</v>
      </c>
      <c r="K34" s="282"/>
      <c r="L34" s="282"/>
      <c r="M34" s="282"/>
      <c r="N34" s="282"/>
    </row>
    <row r="35" spans="2:14" s="377" customFormat="1" ht="13.5" customHeight="1">
      <c r="B35" s="690"/>
      <c r="C35" s="690"/>
      <c r="D35" s="682">
        <v>2024</v>
      </c>
      <c r="E35" s="349">
        <v>413</v>
      </c>
      <c r="F35" s="349">
        <v>11</v>
      </c>
      <c r="G35" s="349">
        <v>113</v>
      </c>
      <c r="H35" s="349">
        <v>85</v>
      </c>
      <c r="I35" s="349">
        <v>204</v>
      </c>
      <c r="K35" s="282"/>
      <c r="L35" s="282"/>
      <c r="M35" s="282"/>
      <c r="N35" s="282"/>
    </row>
    <row r="36" spans="2:14" s="377" customFormat="1" ht="8" customHeight="1">
      <c r="B36" s="688"/>
      <c r="C36" s="688"/>
      <c r="D36" s="682"/>
      <c r="E36" s="349"/>
      <c r="F36" s="349"/>
      <c r="G36" s="349"/>
      <c r="H36" s="349"/>
      <c r="I36" s="349"/>
      <c r="K36" s="282"/>
      <c r="L36" s="282"/>
      <c r="M36" s="282"/>
      <c r="N36" s="282"/>
    </row>
    <row r="37" spans="2:14" s="377" customFormat="1" ht="13.5" customHeight="1">
      <c r="B37" s="690" t="s">
        <v>256</v>
      </c>
      <c r="C37" s="690"/>
      <c r="D37" s="682">
        <v>2022</v>
      </c>
      <c r="E37" s="349">
        <v>1056</v>
      </c>
      <c r="F37" s="349">
        <v>15</v>
      </c>
      <c r="G37" s="349">
        <v>80</v>
      </c>
      <c r="H37" s="349">
        <v>620</v>
      </c>
      <c r="I37" s="349">
        <v>341</v>
      </c>
      <c r="K37" s="282"/>
      <c r="L37" s="282"/>
      <c r="M37" s="282"/>
      <c r="N37" s="282"/>
    </row>
    <row r="38" spans="2:14" s="377" customFormat="1" ht="13.5" customHeight="1">
      <c r="B38" s="690"/>
      <c r="C38" s="690"/>
      <c r="D38" s="682">
        <v>2023</v>
      </c>
      <c r="E38" s="349">
        <v>842</v>
      </c>
      <c r="F38" s="349">
        <v>16</v>
      </c>
      <c r="G38" s="349">
        <v>88</v>
      </c>
      <c r="H38" s="349">
        <v>425</v>
      </c>
      <c r="I38" s="349">
        <v>313</v>
      </c>
      <c r="K38" s="282"/>
      <c r="L38" s="282"/>
      <c r="M38" s="282"/>
      <c r="N38" s="282"/>
    </row>
    <row r="39" spans="2:14" s="377" customFormat="1" ht="13.5" customHeight="1">
      <c r="B39" s="690"/>
      <c r="C39" s="690"/>
      <c r="D39" s="682">
        <v>2024</v>
      </c>
      <c r="E39" s="349">
        <v>931</v>
      </c>
      <c r="F39" s="349">
        <v>13</v>
      </c>
      <c r="G39" s="349">
        <v>88</v>
      </c>
      <c r="H39" s="349">
        <v>451</v>
      </c>
      <c r="I39" s="349">
        <v>379</v>
      </c>
      <c r="K39" s="282"/>
      <c r="L39" s="282"/>
      <c r="M39" s="282"/>
      <c r="N39" s="282"/>
    </row>
    <row r="40" spans="2:14" s="377" customFormat="1" ht="8" customHeight="1">
      <c r="B40" s="688"/>
      <c r="C40" s="688"/>
      <c r="D40" s="682"/>
      <c r="E40" s="349"/>
      <c r="F40" s="349"/>
      <c r="G40" s="349"/>
      <c r="H40" s="349"/>
      <c r="I40" s="349"/>
      <c r="K40" s="282"/>
      <c r="L40" s="282"/>
      <c r="M40" s="282"/>
      <c r="N40" s="282"/>
    </row>
    <row r="41" spans="2:14" s="377" customFormat="1" ht="13" customHeight="1">
      <c r="B41" s="690" t="s">
        <v>257</v>
      </c>
      <c r="C41" s="690"/>
      <c r="D41" s="682">
        <v>2022</v>
      </c>
      <c r="E41" s="349">
        <v>1103</v>
      </c>
      <c r="F41" s="349">
        <v>31</v>
      </c>
      <c r="G41" s="349">
        <v>102</v>
      </c>
      <c r="H41" s="349">
        <v>551</v>
      </c>
      <c r="I41" s="349">
        <v>419</v>
      </c>
      <c r="K41" s="282"/>
      <c r="L41" s="282"/>
      <c r="M41" s="282"/>
      <c r="N41" s="282"/>
    </row>
    <row r="42" spans="2:14" s="377" customFormat="1" ht="13" customHeight="1">
      <c r="B42" s="690"/>
      <c r="C42" s="690"/>
      <c r="D42" s="682">
        <v>2023</v>
      </c>
      <c r="E42" s="349">
        <v>789</v>
      </c>
      <c r="F42" s="349">
        <v>22</v>
      </c>
      <c r="G42" s="349">
        <v>74</v>
      </c>
      <c r="H42" s="349">
        <v>371</v>
      </c>
      <c r="I42" s="683">
        <v>322</v>
      </c>
      <c r="K42" s="282"/>
      <c r="L42" s="282"/>
      <c r="M42" s="282"/>
      <c r="N42" s="282"/>
    </row>
    <row r="43" spans="2:14" s="377" customFormat="1" ht="13" customHeight="1">
      <c r="B43" s="690"/>
      <c r="C43" s="690"/>
      <c r="D43" s="682">
        <v>2024</v>
      </c>
      <c r="E43" s="349">
        <v>747</v>
      </c>
      <c r="F43" s="349">
        <v>27</v>
      </c>
      <c r="G43" s="349">
        <v>96</v>
      </c>
      <c r="H43" s="349">
        <v>289</v>
      </c>
      <c r="I43" s="349">
        <v>335</v>
      </c>
      <c r="K43" s="282"/>
      <c r="L43" s="282"/>
      <c r="M43" s="282"/>
      <c r="N43" s="282"/>
    </row>
    <row r="44" spans="2:14" s="377" customFormat="1" ht="8" customHeight="1">
      <c r="B44" s="688"/>
      <c r="C44" s="688"/>
      <c r="D44" s="682"/>
      <c r="E44" s="349"/>
      <c r="F44" s="349"/>
      <c r="G44" s="349"/>
      <c r="H44" s="349"/>
      <c r="I44" s="683"/>
      <c r="K44" s="282"/>
      <c r="L44" s="282"/>
      <c r="M44" s="282"/>
      <c r="N44" s="282"/>
    </row>
    <row r="45" spans="2:14" s="377" customFormat="1" ht="13" customHeight="1">
      <c r="B45" s="690" t="s">
        <v>258</v>
      </c>
      <c r="C45" s="690"/>
      <c r="D45" s="682">
        <v>2022</v>
      </c>
      <c r="E45" s="349">
        <v>121</v>
      </c>
      <c r="F45" s="349">
        <v>1</v>
      </c>
      <c r="G45" s="349">
        <v>24</v>
      </c>
      <c r="H45" s="349">
        <v>36</v>
      </c>
      <c r="I45" s="683">
        <v>60</v>
      </c>
      <c r="K45" s="282"/>
      <c r="L45" s="282"/>
      <c r="M45" s="282"/>
      <c r="N45" s="282"/>
    </row>
    <row r="46" spans="2:14" s="377" customFormat="1" ht="13" customHeight="1">
      <c r="B46" s="690"/>
      <c r="C46" s="690"/>
      <c r="D46" s="682">
        <v>2023</v>
      </c>
      <c r="E46" s="349">
        <v>81</v>
      </c>
      <c r="F46" s="349">
        <v>2</v>
      </c>
      <c r="G46" s="349">
        <v>19</v>
      </c>
      <c r="H46" s="349">
        <v>20</v>
      </c>
      <c r="I46" s="349">
        <v>40</v>
      </c>
      <c r="K46" s="282"/>
      <c r="L46" s="282"/>
      <c r="M46" s="282"/>
      <c r="N46" s="282"/>
    </row>
    <row r="47" spans="2:14" s="377" customFormat="1" ht="13" customHeight="1">
      <c r="B47" s="690"/>
      <c r="C47" s="690"/>
      <c r="D47" s="682">
        <v>2024</v>
      </c>
      <c r="E47" s="349">
        <v>80</v>
      </c>
      <c r="F47" s="349">
        <v>2</v>
      </c>
      <c r="G47" s="349">
        <v>28</v>
      </c>
      <c r="H47" s="349">
        <v>12</v>
      </c>
      <c r="I47" s="349">
        <v>38</v>
      </c>
      <c r="K47" s="282"/>
      <c r="L47" s="282"/>
      <c r="M47" s="282"/>
      <c r="N47" s="282"/>
    </row>
    <row r="48" spans="2:14" s="377" customFormat="1" ht="8" customHeight="1">
      <c r="B48" s="690"/>
      <c r="C48" s="690"/>
      <c r="D48" s="682"/>
      <c r="E48" s="349"/>
      <c r="F48" s="349"/>
      <c r="G48" s="349"/>
      <c r="H48" s="349"/>
      <c r="I48" s="349"/>
      <c r="K48" s="282"/>
      <c r="L48" s="282"/>
      <c r="M48" s="282"/>
      <c r="N48" s="282"/>
    </row>
    <row r="49" spans="2:14" s="377" customFormat="1" ht="13.5" customHeight="1">
      <c r="B49" s="692" t="s">
        <v>259</v>
      </c>
      <c r="C49" s="692"/>
      <c r="D49" s="682">
        <v>2022</v>
      </c>
      <c r="E49" s="349">
        <v>4302</v>
      </c>
      <c r="F49" s="349">
        <v>90</v>
      </c>
      <c r="G49" s="349">
        <v>346</v>
      </c>
      <c r="H49" s="349">
        <v>2906</v>
      </c>
      <c r="I49" s="349">
        <v>960</v>
      </c>
      <c r="K49" s="282"/>
      <c r="L49" s="282"/>
      <c r="M49" s="282"/>
      <c r="N49" s="282"/>
    </row>
    <row r="50" spans="2:14" s="377" customFormat="1" ht="13.5" customHeight="1">
      <c r="B50" s="693"/>
      <c r="C50" s="693"/>
      <c r="D50" s="682">
        <v>2023</v>
      </c>
      <c r="E50" s="349">
        <v>4239</v>
      </c>
      <c r="F50" s="349">
        <v>69</v>
      </c>
      <c r="G50" s="349">
        <v>341</v>
      </c>
      <c r="H50" s="349">
        <v>2832</v>
      </c>
      <c r="I50" s="683">
        <v>997</v>
      </c>
      <c r="K50" s="282"/>
      <c r="L50" s="282"/>
      <c r="M50" s="282"/>
      <c r="N50" s="282"/>
    </row>
    <row r="51" spans="2:14" s="377" customFormat="1" ht="13.5" customHeight="1">
      <c r="B51" s="693"/>
      <c r="C51" s="693"/>
      <c r="D51" s="682">
        <v>2024</v>
      </c>
      <c r="E51" s="349">
        <v>3805</v>
      </c>
      <c r="F51" s="349">
        <v>80</v>
      </c>
      <c r="G51" s="349">
        <v>320</v>
      </c>
      <c r="H51" s="349">
        <v>2418</v>
      </c>
      <c r="I51" s="349">
        <v>987</v>
      </c>
      <c r="K51" s="282"/>
      <c r="L51" s="282"/>
      <c r="M51" s="282"/>
      <c r="N51" s="282"/>
    </row>
    <row r="52" spans="2:14" s="377" customFormat="1" ht="8" customHeight="1">
      <c r="B52" s="693"/>
      <c r="C52" s="693"/>
      <c r="D52" s="682"/>
      <c r="E52" s="349"/>
      <c r="F52" s="349"/>
      <c r="G52" s="349"/>
      <c r="H52" s="349"/>
      <c r="I52" s="349"/>
      <c r="K52" s="282"/>
      <c r="L52" s="282"/>
      <c r="M52" s="282"/>
      <c r="N52" s="282"/>
    </row>
    <row r="53" spans="2:14" s="377" customFormat="1" ht="13.5" customHeight="1">
      <c r="B53" s="692" t="s">
        <v>260</v>
      </c>
      <c r="C53" s="692"/>
      <c r="D53" s="682">
        <v>2022</v>
      </c>
      <c r="E53" s="349">
        <v>293</v>
      </c>
      <c r="F53" s="349">
        <v>1</v>
      </c>
      <c r="G53" s="349">
        <v>80</v>
      </c>
      <c r="H53" s="349">
        <v>94</v>
      </c>
      <c r="I53" s="349">
        <v>118</v>
      </c>
      <c r="K53" s="282"/>
      <c r="L53" s="282"/>
      <c r="M53" s="282"/>
      <c r="N53" s="282"/>
    </row>
    <row r="54" spans="2:14" s="377" customFormat="1" ht="13.5" customHeight="1">
      <c r="B54" s="692"/>
      <c r="C54" s="692"/>
      <c r="D54" s="682">
        <v>2023</v>
      </c>
      <c r="E54" s="349">
        <v>278</v>
      </c>
      <c r="F54" s="349">
        <v>3</v>
      </c>
      <c r="G54" s="349">
        <v>64</v>
      </c>
      <c r="H54" s="349">
        <v>93</v>
      </c>
      <c r="I54" s="349">
        <v>118</v>
      </c>
      <c r="K54" s="282"/>
      <c r="L54" s="282"/>
      <c r="M54" s="282"/>
      <c r="N54" s="282"/>
    </row>
    <row r="55" spans="2:14" s="377" customFormat="1" ht="13.5" customHeight="1">
      <c r="B55" s="692"/>
      <c r="C55" s="692"/>
      <c r="D55" s="682">
        <v>2024</v>
      </c>
      <c r="E55" s="349">
        <v>224</v>
      </c>
      <c r="F55" s="349">
        <v>4</v>
      </c>
      <c r="G55" s="349">
        <v>68</v>
      </c>
      <c r="H55" s="349">
        <v>51</v>
      </c>
      <c r="I55" s="349">
        <v>101</v>
      </c>
      <c r="K55" s="282"/>
      <c r="L55" s="282"/>
      <c r="M55" s="282"/>
      <c r="N55" s="282"/>
    </row>
    <row r="56" spans="2:14" s="377" customFormat="1" ht="8" customHeight="1">
      <c r="B56" s="688"/>
      <c r="C56" s="688"/>
      <c r="D56" s="682"/>
      <c r="E56" s="349"/>
      <c r="F56" s="349"/>
      <c r="G56" s="349"/>
      <c r="H56" s="349"/>
      <c r="I56" s="349"/>
      <c r="K56" s="282"/>
      <c r="L56" s="282"/>
      <c r="M56" s="282"/>
      <c r="N56" s="282"/>
    </row>
    <row r="57" spans="2:14" s="377" customFormat="1" ht="13" customHeight="1">
      <c r="B57" s="692" t="s">
        <v>778</v>
      </c>
      <c r="C57" s="692"/>
      <c r="D57" s="682">
        <v>2022</v>
      </c>
      <c r="E57" s="349">
        <v>639</v>
      </c>
      <c r="F57" s="349">
        <v>28</v>
      </c>
      <c r="G57" s="349">
        <v>219</v>
      </c>
      <c r="H57" s="349">
        <v>171</v>
      </c>
      <c r="I57" s="349">
        <v>221</v>
      </c>
      <c r="K57" s="282"/>
      <c r="L57" s="282"/>
      <c r="M57" s="282"/>
      <c r="N57" s="282"/>
    </row>
    <row r="58" spans="2:14" s="377" customFormat="1" ht="13" customHeight="1">
      <c r="B58" s="692"/>
      <c r="C58" s="692"/>
      <c r="D58" s="682">
        <v>2023</v>
      </c>
      <c r="E58" s="349">
        <v>483</v>
      </c>
      <c r="F58" s="349">
        <v>24</v>
      </c>
      <c r="G58" s="349">
        <v>153</v>
      </c>
      <c r="H58" s="349">
        <v>130</v>
      </c>
      <c r="I58" s="349">
        <v>176</v>
      </c>
      <c r="K58" s="282"/>
      <c r="L58" s="282"/>
      <c r="M58" s="282"/>
      <c r="N58" s="282"/>
    </row>
    <row r="59" spans="2:14" s="377" customFormat="1" ht="13" customHeight="1">
      <c r="B59" s="692"/>
      <c r="C59" s="692"/>
      <c r="D59" s="682">
        <v>2024</v>
      </c>
      <c r="E59" s="349">
        <v>414</v>
      </c>
      <c r="F59" s="349">
        <v>15</v>
      </c>
      <c r="G59" s="349">
        <v>140</v>
      </c>
      <c r="H59" s="349">
        <v>111</v>
      </c>
      <c r="I59" s="349">
        <v>148</v>
      </c>
      <c r="K59" s="282"/>
      <c r="L59" s="282"/>
      <c r="M59" s="282"/>
      <c r="N59" s="282"/>
    </row>
    <row r="60" spans="2:14" s="377" customFormat="1" ht="8" customHeight="1">
      <c r="B60" s="694"/>
      <c r="C60" s="694"/>
      <c r="D60" s="682"/>
      <c r="E60" s="349"/>
      <c r="F60" s="349"/>
      <c r="G60" s="349"/>
      <c r="H60" s="349"/>
      <c r="I60" s="683"/>
      <c r="K60" s="282"/>
      <c r="L60" s="282"/>
      <c r="M60" s="282"/>
      <c r="N60" s="282"/>
    </row>
    <row r="61" spans="2:14" s="377" customFormat="1" ht="13" customHeight="1">
      <c r="B61" s="690" t="s">
        <v>262</v>
      </c>
      <c r="C61" s="690"/>
      <c r="D61" s="682">
        <v>2022</v>
      </c>
      <c r="E61" s="349">
        <v>898</v>
      </c>
      <c r="F61" s="349">
        <v>27</v>
      </c>
      <c r="G61" s="349">
        <v>149</v>
      </c>
      <c r="H61" s="349">
        <v>387</v>
      </c>
      <c r="I61" s="683">
        <v>335</v>
      </c>
      <c r="K61" s="282"/>
      <c r="L61" s="282"/>
      <c r="M61" s="282"/>
      <c r="N61" s="282"/>
    </row>
    <row r="62" spans="2:14" s="377" customFormat="1" ht="13" customHeight="1">
      <c r="B62" s="690"/>
      <c r="C62" s="690"/>
      <c r="D62" s="682">
        <v>2023</v>
      </c>
      <c r="E62" s="349">
        <v>761</v>
      </c>
      <c r="F62" s="349">
        <v>8</v>
      </c>
      <c r="G62" s="349">
        <v>138</v>
      </c>
      <c r="H62" s="349">
        <v>288</v>
      </c>
      <c r="I62" s="683">
        <v>327</v>
      </c>
      <c r="K62" s="282"/>
      <c r="L62" s="282"/>
      <c r="M62" s="282"/>
      <c r="N62" s="282"/>
    </row>
    <row r="63" spans="2:14" s="377" customFormat="1" ht="13" customHeight="1">
      <c r="B63" s="690"/>
      <c r="C63" s="690"/>
      <c r="D63" s="682">
        <v>2024</v>
      </c>
      <c r="E63" s="349">
        <v>593</v>
      </c>
      <c r="F63" s="349">
        <v>25</v>
      </c>
      <c r="G63" s="349">
        <v>124</v>
      </c>
      <c r="H63" s="349">
        <v>148</v>
      </c>
      <c r="I63" s="683">
        <v>296</v>
      </c>
      <c r="K63" s="282"/>
      <c r="L63" s="282"/>
      <c r="M63" s="282"/>
      <c r="N63" s="282"/>
    </row>
    <row r="64" spans="2:14" s="377" customFormat="1" ht="8" customHeight="1">
      <c r="B64" s="688"/>
      <c r="C64" s="688"/>
      <c r="D64" s="682"/>
      <c r="E64" s="349"/>
      <c r="F64" s="695"/>
      <c r="G64" s="349"/>
      <c r="H64" s="349"/>
      <c r="I64" s="349"/>
      <c r="K64" s="282"/>
      <c r="L64" s="282"/>
      <c r="M64" s="282"/>
      <c r="N64" s="282"/>
    </row>
    <row r="65" spans="1:14" s="377" customFormat="1" ht="13.5" customHeight="1">
      <c r="B65" s="690" t="s">
        <v>779</v>
      </c>
      <c r="C65" s="690"/>
      <c r="D65" s="682">
        <v>2022</v>
      </c>
      <c r="E65" s="349">
        <v>2914</v>
      </c>
      <c r="F65" s="695">
        <v>22</v>
      </c>
      <c r="G65" s="349">
        <v>122</v>
      </c>
      <c r="H65" s="349">
        <v>2265</v>
      </c>
      <c r="I65" s="349">
        <v>505</v>
      </c>
      <c r="K65" s="282"/>
      <c r="L65" s="282"/>
      <c r="M65" s="282"/>
      <c r="N65" s="282"/>
    </row>
    <row r="66" spans="1:14" s="377" customFormat="1" ht="13" customHeight="1">
      <c r="B66" s="690"/>
      <c r="C66" s="690"/>
      <c r="D66" s="682">
        <v>2023</v>
      </c>
      <c r="E66" s="349">
        <v>1948</v>
      </c>
      <c r="F66" s="695">
        <v>25</v>
      </c>
      <c r="G66" s="695">
        <v>88</v>
      </c>
      <c r="H66" s="695">
        <v>1457</v>
      </c>
      <c r="I66" s="695">
        <v>378</v>
      </c>
      <c r="K66" s="282"/>
      <c r="L66" s="282"/>
      <c r="M66" s="282"/>
      <c r="N66" s="282"/>
    </row>
    <row r="67" spans="1:14" s="377" customFormat="1" ht="13" customHeight="1">
      <c r="B67" s="307"/>
      <c r="C67" s="688"/>
      <c r="D67" s="682">
        <v>2024</v>
      </c>
      <c r="E67" s="349">
        <v>1458</v>
      </c>
      <c r="F67" s="695">
        <v>11</v>
      </c>
      <c r="G67" s="695">
        <v>82</v>
      </c>
      <c r="H67" s="695">
        <v>1021</v>
      </c>
      <c r="I67" s="695">
        <v>344</v>
      </c>
      <c r="K67" s="282"/>
      <c r="L67" s="282"/>
      <c r="M67" s="282"/>
      <c r="N67" s="282"/>
    </row>
    <row r="68" spans="1:14" s="377" customFormat="1" ht="8" customHeight="1" thickBot="1">
      <c r="A68" s="402"/>
      <c r="B68" s="696"/>
      <c r="C68" s="696"/>
      <c r="D68" s="656"/>
      <c r="E68" s="697"/>
      <c r="F68" s="697"/>
      <c r="G68" s="697"/>
      <c r="H68" s="697"/>
      <c r="I68" s="697"/>
      <c r="K68" s="282"/>
    </row>
    <row r="69" spans="1:14" s="698" customFormat="1" ht="16.5" customHeight="1">
      <c r="D69" s="699"/>
      <c r="I69" s="700"/>
      <c r="J69" s="701" t="s">
        <v>780</v>
      </c>
    </row>
    <row r="70" spans="1:14" s="698" customFormat="1" ht="15.25" customHeight="1">
      <c r="J70" s="702" t="s">
        <v>781</v>
      </c>
    </row>
    <row r="71" spans="1:14" s="698" customFormat="1" ht="16.5" customHeight="1">
      <c r="B71" s="703" t="s">
        <v>782</v>
      </c>
      <c r="J71" s="702"/>
    </row>
    <row r="72" spans="1:14" s="698" customFormat="1" ht="13">
      <c r="A72" s="704" t="s">
        <v>35</v>
      </c>
      <c r="B72" s="703" t="s">
        <v>783</v>
      </c>
      <c r="C72" s="705"/>
      <c r="D72" s="706"/>
      <c r="E72" s="703"/>
      <c r="F72" s="703"/>
      <c r="G72" s="703"/>
    </row>
    <row r="73" spans="1:14" s="698" customFormat="1" ht="12">
      <c r="B73" s="707" t="s">
        <v>784</v>
      </c>
      <c r="C73" s="708"/>
      <c r="D73" s="709"/>
      <c r="E73" s="703"/>
      <c r="H73" s="710"/>
      <c r="I73" s="711"/>
    </row>
    <row r="74" spans="1:14" s="698" customFormat="1" ht="12">
      <c r="B74" s="712" t="s">
        <v>785</v>
      </c>
      <c r="C74" s="708"/>
      <c r="D74" s="709"/>
      <c r="E74" s="703"/>
      <c r="H74" s="710"/>
      <c r="I74" s="711"/>
    </row>
    <row r="75" spans="1:14" s="698" customFormat="1" ht="13">
      <c r="A75" s="704" t="s">
        <v>38</v>
      </c>
      <c r="B75" s="713" t="s">
        <v>786</v>
      </c>
      <c r="C75" s="714"/>
      <c r="D75" s="715"/>
      <c r="E75" s="716"/>
      <c r="F75" s="717"/>
      <c r="G75" s="717"/>
      <c r="H75" s="717"/>
      <c r="I75" s="717"/>
      <c r="J75" s="717"/>
      <c r="K75" s="717"/>
      <c r="L75" s="717"/>
      <c r="M75" s="717"/>
      <c r="N75" s="717"/>
    </row>
    <row r="76" spans="1:14" s="717" customFormat="1" ht="12">
      <c r="A76" s="718"/>
      <c r="B76" s="719" t="s">
        <v>787</v>
      </c>
      <c r="C76" s="714"/>
      <c r="D76" s="715"/>
      <c r="E76" s="716"/>
    </row>
    <row r="77" spans="1:14" s="698" customFormat="1" ht="13" customHeight="1">
      <c r="A77" s="704" t="s">
        <v>273</v>
      </c>
      <c r="B77" s="720" t="s">
        <v>788</v>
      </c>
      <c r="C77" s="714"/>
      <c r="D77" s="715"/>
      <c r="E77" s="716"/>
      <c r="N77" s="717"/>
    </row>
    <row r="78" spans="1:14" s="698" customFormat="1" ht="12">
      <c r="B78" s="719" t="s">
        <v>789</v>
      </c>
      <c r="C78" s="714"/>
      <c r="D78" s="715"/>
      <c r="E78" s="716"/>
      <c r="F78" s="717"/>
      <c r="G78" s="717"/>
      <c r="H78" s="717"/>
      <c r="I78" s="717"/>
      <c r="J78" s="717"/>
      <c r="K78" s="717"/>
      <c r="L78" s="717"/>
      <c r="M78" s="717"/>
      <c r="N78" s="717"/>
    </row>
  </sheetData>
  <mergeCells count="1">
    <mergeCell ref="C4:I4"/>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AD5D-3EDB-4257-A4F2-E24EDB5FE3D3}">
  <sheetPr codeName="Sheet51">
    <pageSetUpPr fitToPage="1"/>
  </sheetPr>
  <dimension ref="A1:Z77"/>
  <sheetViews>
    <sheetView view="pageBreakPreview" zoomScaleNormal="100" zoomScaleSheetLayoutView="100" workbookViewId="0">
      <selection activeCell="D60" sqref="D60"/>
    </sheetView>
  </sheetViews>
  <sheetFormatPr baseColWidth="10" defaultColWidth="8.83203125" defaultRowHeight="15"/>
  <cols>
    <col min="1" max="1" width="2.6640625" customWidth="1"/>
    <col min="3" max="3" width="12.83203125" customWidth="1"/>
    <col min="4" max="4" width="8.5" customWidth="1"/>
    <col min="6" max="6" width="16.5" customWidth="1"/>
    <col min="7" max="7" width="10.5" customWidth="1"/>
    <col min="8" max="8" width="13.6640625" customWidth="1"/>
    <col min="9" max="9" width="20.6640625" customWidth="1"/>
    <col min="10" max="10" width="12.33203125" customWidth="1"/>
    <col min="11" max="11" width="1.1640625" customWidth="1"/>
  </cols>
  <sheetData>
    <row r="1" spans="1:26" s="377" customFormat="1" ht="8" customHeight="1">
      <c r="B1" s="646"/>
      <c r="C1" s="646"/>
      <c r="D1" s="647"/>
      <c r="E1" s="721"/>
      <c r="F1" s="722"/>
      <c r="G1" s="649"/>
      <c r="H1" s="650"/>
      <c r="I1" s="649"/>
      <c r="J1" s="722"/>
    </row>
    <row r="2" spans="1:26" s="377" customFormat="1" ht="8" customHeight="1">
      <c r="B2" s="646"/>
      <c r="C2" s="646"/>
      <c r="D2" s="647"/>
      <c r="E2" s="721"/>
      <c r="F2" s="722"/>
      <c r="G2" s="649"/>
      <c r="H2" s="650"/>
      <c r="I2" s="649"/>
      <c r="J2" s="722"/>
    </row>
    <row r="3" spans="1:26" s="290" customFormat="1" ht="14">
      <c r="B3" s="651" t="s">
        <v>790</v>
      </c>
      <c r="C3" s="723" t="s">
        <v>791</v>
      </c>
      <c r="D3" s="724"/>
      <c r="E3" s="725"/>
      <c r="F3" s="725"/>
      <c r="G3" s="651"/>
      <c r="H3" s="723"/>
      <c r="I3" s="723"/>
      <c r="J3" s="651"/>
      <c r="K3" s="723"/>
      <c r="L3" s="726"/>
    </row>
    <row r="4" spans="1:26" s="727" customFormat="1" ht="14">
      <c r="B4" s="728" t="s">
        <v>792</v>
      </c>
      <c r="C4" s="729" t="s">
        <v>793</v>
      </c>
      <c r="D4" s="724"/>
      <c r="E4" s="725"/>
      <c r="F4" s="725"/>
      <c r="G4" s="651"/>
      <c r="H4" s="729"/>
      <c r="I4" s="730"/>
      <c r="J4" s="728"/>
      <c r="K4" s="730"/>
      <c r="L4" s="731"/>
    </row>
    <row r="5" spans="1:26" s="377" customFormat="1" ht="9.25" customHeight="1" thickBot="1">
      <c r="A5" s="402"/>
      <c r="B5" s="732"/>
      <c r="C5" s="732"/>
      <c r="D5" s="656"/>
      <c r="E5" s="733"/>
      <c r="F5" s="733"/>
      <c r="G5" s="402"/>
      <c r="H5" s="402"/>
      <c r="I5" s="402"/>
      <c r="J5" s="733"/>
      <c r="K5" s="402"/>
    </row>
    <row r="6" spans="1:26" s="377" customFormat="1" ht="44.25" customHeight="1">
      <c r="A6" s="734"/>
      <c r="B6" s="377" t="s">
        <v>794</v>
      </c>
      <c r="D6" s="735" t="s">
        <v>766</v>
      </c>
      <c r="E6" s="721" t="s">
        <v>386</v>
      </c>
      <c r="F6" s="666" t="s">
        <v>795</v>
      </c>
      <c r="G6" s="1356" t="s">
        <v>796</v>
      </c>
      <c r="H6" s="1356"/>
      <c r="I6" s="1356"/>
      <c r="J6" s="666" t="s">
        <v>797</v>
      </c>
      <c r="K6" s="735"/>
    </row>
    <row r="7" spans="1:26" s="674" customFormat="1" ht="16.25" customHeight="1" thickBot="1">
      <c r="A7" s="736"/>
      <c r="B7" s="15" t="s">
        <v>771</v>
      </c>
      <c r="C7" s="15"/>
      <c r="D7" s="737" t="s">
        <v>772</v>
      </c>
      <c r="E7" s="738" t="s">
        <v>387</v>
      </c>
      <c r="F7" s="1357" t="s">
        <v>798</v>
      </c>
      <c r="G7" s="1359" t="s">
        <v>799</v>
      </c>
      <c r="H7" s="1359"/>
      <c r="I7" s="1359"/>
      <c r="J7" s="739" t="s">
        <v>800</v>
      </c>
      <c r="K7" s="741"/>
    </row>
    <row r="8" spans="1:26" s="667" customFormat="1" ht="18.75" customHeight="1">
      <c r="A8" s="742"/>
      <c r="D8" s="735"/>
      <c r="E8" s="721"/>
      <c r="F8" s="1358"/>
      <c r="G8" s="721" t="s">
        <v>801</v>
      </c>
      <c r="H8" s="721" t="s">
        <v>802</v>
      </c>
      <c r="I8" s="721" t="s">
        <v>803</v>
      </c>
      <c r="J8" s="666"/>
      <c r="K8" s="743"/>
      <c r="N8" s="744"/>
    </row>
    <row r="9" spans="1:26" s="674" customFormat="1" ht="18.75" customHeight="1" thickBot="1">
      <c r="A9" s="745"/>
      <c r="B9" s="746"/>
      <c r="C9" s="746"/>
      <c r="D9" s="740"/>
      <c r="E9" s="747"/>
      <c r="F9" s="671"/>
      <c r="G9" s="671" t="s">
        <v>804</v>
      </c>
      <c r="H9" s="671" t="s">
        <v>805</v>
      </c>
      <c r="I9" s="747" t="s">
        <v>806</v>
      </c>
      <c r="J9" s="671"/>
      <c r="K9" s="671"/>
      <c r="N9" s="748"/>
    </row>
    <row r="10" spans="1:26" s="667" customFormat="1" ht="8" customHeight="1">
      <c r="B10" s="34"/>
      <c r="C10" s="34"/>
      <c r="D10" s="310"/>
      <c r="E10" s="738"/>
      <c r="F10" s="739"/>
      <c r="G10" s="749"/>
      <c r="H10" s="749"/>
      <c r="I10" s="750"/>
      <c r="J10" s="738"/>
      <c r="L10" s="751"/>
      <c r="N10" s="744"/>
    </row>
    <row r="11" spans="1:26" s="667" customFormat="1" ht="14" customHeight="1">
      <c r="B11" s="311" t="s">
        <v>807</v>
      </c>
      <c r="C11" s="311"/>
      <c r="D11" s="310">
        <v>2022</v>
      </c>
      <c r="E11" s="680">
        <v>66967</v>
      </c>
      <c r="F11" s="680">
        <v>16497</v>
      </c>
      <c r="G11" s="680">
        <v>1549</v>
      </c>
      <c r="H11" s="680">
        <v>6817</v>
      </c>
      <c r="I11" s="680">
        <v>22501</v>
      </c>
      <c r="J11" s="680">
        <v>19584</v>
      </c>
      <c r="K11" s="282"/>
    </row>
    <row r="12" spans="1:26" s="667" customFormat="1" ht="14" customHeight="1">
      <c r="B12" s="392"/>
      <c r="C12" s="392"/>
      <c r="D12" s="310">
        <v>2023</v>
      </c>
      <c r="E12" s="680">
        <v>52344</v>
      </c>
      <c r="F12" s="680">
        <v>14040</v>
      </c>
      <c r="G12" s="680">
        <v>921</v>
      </c>
      <c r="H12" s="680">
        <v>4599</v>
      </c>
      <c r="I12" s="680">
        <v>16059</v>
      </c>
      <c r="J12" s="680">
        <v>16725</v>
      </c>
      <c r="K12" s="282"/>
    </row>
    <row r="13" spans="1:26" s="667" customFormat="1" ht="14" customHeight="1">
      <c r="B13" s="392"/>
      <c r="C13" s="392"/>
      <c r="D13" s="310">
        <v>2024</v>
      </c>
      <c r="E13" s="680">
        <v>41479</v>
      </c>
      <c r="F13" s="680">
        <v>11352</v>
      </c>
      <c r="G13" s="680">
        <v>639</v>
      </c>
      <c r="H13" s="680">
        <v>2849</v>
      </c>
      <c r="I13" s="680">
        <v>9944</v>
      </c>
      <c r="J13" s="680">
        <v>16695</v>
      </c>
      <c r="K13" s="282"/>
    </row>
    <row r="14" spans="1:26" s="667" customFormat="1" ht="8" customHeight="1">
      <c r="B14" s="392"/>
      <c r="C14" s="392"/>
      <c r="D14" s="682"/>
      <c r="E14" s="752"/>
      <c r="F14" s="683"/>
      <c r="G14" s="683"/>
      <c r="H14" s="683"/>
      <c r="I14" s="683"/>
      <c r="J14" s="683"/>
      <c r="K14" s="282"/>
      <c r="N14" s="744"/>
    </row>
    <row r="15" spans="1:26" s="676" customFormat="1" ht="14" customHeight="1">
      <c r="B15" s="685" t="s">
        <v>250</v>
      </c>
      <c r="C15" s="753"/>
      <c r="D15" s="682">
        <v>2022</v>
      </c>
      <c r="E15" s="752">
        <v>7947</v>
      </c>
      <c r="F15" s="683">
        <v>1364</v>
      </c>
      <c r="G15" s="683">
        <v>219</v>
      </c>
      <c r="H15" s="683">
        <v>981</v>
      </c>
      <c r="I15" s="683">
        <v>3471</v>
      </c>
      <c r="J15" s="683">
        <v>1908</v>
      </c>
      <c r="K15" s="282"/>
      <c r="N15" s="377"/>
      <c r="O15" s="377"/>
      <c r="P15" s="377"/>
      <c r="X15" s="282"/>
      <c r="Y15" s="282"/>
      <c r="Z15" s="282"/>
    </row>
    <row r="16" spans="1:26" s="676" customFormat="1" ht="14" customHeight="1">
      <c r="B16" s="686"/>
      <c r="C16" s="754"/>
      <c r="D16" s="682">
        <v>2023</v>
      </c>
      <c r="E16" s="752">
        <v>5966</v>
      </c>
      <c r="F16" s="349">
        <v>1273</v>
      </c>
      <c r="G16" s="349">
        <v>141</v>
      </c>
      <c r="H16" s="349">
        <v>802</v>
      </c>
      <c r="I16" s="349">
        <v>2347</v>
      </c>
      <c r="J16" s="349">
        <v>1403</v>
      </c>
      <c r="K16" s="282"/>
      <c r="L16" s="282"/>
      <c r="M16" s="282"/>
      <c r="N16" s="282"/>
      <c r="O16" s="282"/>
      <c r="P16" s="282"/>
      <c r="Q16" s="282"/>
      <c r="R16" s="282"/>
      <c r="S16" s="282"/>
      <c r="T16" s="282"/>
      <c r="U16" s="282"/>
      <c r="V16" s="282"/>
      <c r="W16" s="282"/>
      <c r="X16" s="282"/>
      <c r="Y16" s="282"/>
      <c r="Z16" s="282"/>
    </row>
    <row r="17" spans="2:26" s="676" customFormat="1" ht="14" customHeight="1">
      <c r="B17" s="686"/>
      <c r="C17" s="754"/>
      <c r="D17" s="682">
        <v>2024</v>
      </c>
      <c r="E17" s="752">
        <v>3440</v>
      </c>
      <c r="F17" s="683">
        <v>883</v>
      </c>
      <c r="G17" s="683">
        <v>71</v>
      </c>
      <c r="H17" s="683">
        <v>400</v>
      </c>
      <c r="I17" s="683">
        <v>1144</v>
      </c>
      <c r="J17" s="683">
        <v>942</v>
      </c>
      <c r="K17" s="282"/>
      <c r="L17" s="282"/>
      <c r="M17" s="282"/>
      <c r="N17" s="282"/>
      <c r="O17" s="282"/>
      <c r="P17" s="282"/>
      <c r="Q17" s="282"/>
      <c r="R17" s="282"/>
      <c r="S17" s="282"/>
      <c r="T17" s="282"/>
      <c r="U17" s="282"/>
      <c r="V17" s="282"/>
      <c r="W17" s="282"/>
      <c r="X17" s="282"/>
      <c r="Y17" s="282"/>
      <c r="Z17" s="282"/>
    </row>
    <row r="18" spans="2:26" s="676" customFormat="1" ht="8" customHeight="1">
      <c r="B18" s="686"/>
      <c r="C18" s="754"/>
      <c r="D18" s="682"/>
      <c r="E18" s="752"/>
      <c r="F18" s="349"/>
      <c r="G18" s="349"/>
      <c r="H18" s="349"/>
      <c r="I18" s="349"/>
      <c r="J18" s="349"/>
      <c r="K18" s="282"/>
      <c r="L18" s="282"/>
      <c r="M18" s="282"/>
      <c r="N18" s="282"/>
      <c r="O18" s="282"/>
      <c r="P18" s="282"/>
      <c r="Q18" s="282"/>
      <c r="R18" s="282"/>
      <c r="S18" s="282"/>
      <c r="T18" s="282"/>
      <c r="U18" s="282"/>
      <c r="V18" s="282"/>
      <c r="W18" s="282"/>
      <c r="X18" s="282"/>
      <c r="Y18" s="282"/>
      <c r="Z18" s="282"/>
    </row>
    <row r="19" spans="2:26" s="377" customFormat="1" ht="14" customHeight="1">
      <c r="B19" s="690" t="s">
        <v>251</v>
      </c>
      <c r="C19" s="755"/>
      <c r="D19" s="682">
        <v>2022</v>
      </c>
      <c r="E19" s="752">
        <v>4678</v>
      </c>
      <c r="F19" s="349">
        <v>1138</v>
      </c>
      <c r="G19" s="349">
        <v>78</v>
      </c>
      <c r="H19" s="349">
        <v>314</v>
      </c>
      <c r="I19" s="349">
        <v>2192</v>
      </c>
      <c r="J19" s="349">
        <v>954</v>
      </c>
      <c r="K19" s="282"/>
      <c r="L19" s="282"/>
      <c r="M19" s="282"/>
      <c r="N19" s="282"/>
      <c r="O19" s="282"/>
      <c r="P19" s="282"/>
      <c r="Q19" s="282"/>
      <c r="R19" s="282"/>
      <c r="S19" s="282"/>
      <c r="T19" s="282"/>
      <c r="U19" s="282"/>
      <c r="V19" s="282"/>
      <c r="W19" s="282"/>
      <c r="X19" s="282"/>
      <c r="Y19" s="282"/>
      <c r="Z19" s="282"/>
    </row>
    <row r="20" spans="2:26" s="646" customFormat="1" ht="14" customHeight="1">
      <c r="B20" s="690"/>
      <c r="C20" s="755"/>
      <c r="D20" s="682">
        <v>2023</v>
      </c>
      <c r="E20" s="752">
        <v>3457</v>
      </c>
      <c r="F20" s="349">
        <v>980</v>
      </c>
      <c r="G20" s="349">
        <v>46</v>
      </c>
      <c r="H20" s="349">
        <v>235</v>
      </c>
      <c r="I20" s="349">
        <v>1399</v>
      </c>
      <c r="J20" s="349">
        <v>797</v>
      </c>
      <c r="K20" s="282"/>
      <c r="L20" s="282"/>
      <c r="M20" s="282"/>
      <c r="N20" s="282"/>
      <c r="O20" s="282"/>
      <c r="P20" s="282"/>
      <c r="Q20" s="282"/>
      <c r="R20" s="282"/>
      <c r="S20" s="282"/>
      <c r="T20" s="282"/>
      <c r="U20" s="282"/>
      <c r="V20" s="282"/>
      <c r="W20" s="282"/>
      <c r="X20" s="282"/>
      <c r="Y20" s="282"/>
      <c r="Z20" s="282"/>
    </row>
    <row r="21" spans="2:26" s="377" customFormat="1" ht="14" customHeight="1">
      <c r="B21" s="690"/>
      <c r="C21" s="755"/>
      <c r="D21" s="682">
        <v>2024</v>
      </c>
      <c r="E21" s="752">
        <v>3067</v>
      </c>
      <c r="F21" s="683">
        <v>989</v>
      </c>
      <c r="G21" s="683">
        <v>24</v>
      </c>
      <c r="H21" s="683">
        <v>140</v>
      </c>
      <c r="I21" s="683">
        <v>1083</v>
      </c>
      <c r="J21" s="683">
        <v>831</v>
      </c>
      <c r="L21" s="282"/>
      <c r="M21" s="282"/>
      <c r="N21" s="282"/>
      <c r="O21" s="282"/>
      <c r="P21" s="282"/>
      <c r="Q21" s="282"/>
      <c r="R21" s="282"/>
      <c r="S21" s="282"/>
      <c r="T21" s="282"/>
      <c r="U21" s="282"/>
      <c r="V21" s="282"/>
      <c r="W21" s="282"/>
      <c r="X21" s="282"/>
      <c r="Y21" s="282"/>
      <c r="Z21" s="282"/>
    </row>
    <row r="22" spans="2:26" s="377" customFormat="1" ht="8" customHeight="1">
      <c r="B22" s="688"/>
      <c r="C22" s="307"/>
      <c r="D22" s="682"/>
      <c r="E22" s="752"/>
      <c r="F22" s="349"/>
      <c r="G22" s="349"/>
      <c r="H22" s="349"/>
      <c r="I22" s="349"/>
      <c r="J22" s="349"/>
      <c r="K22" s="282"/>
      <c r="L22" s="282"/>
      <c r="M22" s="282"/>
      <c r="N22" s="282"/>
      <c r="O22" s="282"/>
      <c r="P22" s="282"/>
      <c r="Q22" s="282"/>
      <c r="R22" s="282"/>
      <c r="S22" s="282"/>
      <c r="T22" s="282"/>
      <c r="U22" s="282"/>
      <c r="V22" s="282"/>
      <c r="W22" s="282"/>
      <c r="X22" s="282"/>
      <c r="Y22" s="282"/>
      <c r="Z22" s="282"/>
    </row>
    <row r="23" spans="2:26" s="377" customFormat="1" ht="14" customHeight="1">
      <c r="B23" s="690" t="s">
        <v>252</v>
      </c>
      <c r="C23" s="755"/>
      <c r="D23" s="682">
        <v>2022</v>
      </c>
      <c r="E23" s="752">
        <v>3075</v>
      </c>
      <c r="F23" s="349">
        <v>929</v>
      </c>
      <c r="G23" s="349">
        <v>20</v>
      </c>
      <c r="H23" s="349">
        <v>301</v>
      </c>
      <c r="I23" s="349">
        <v>1069</v>
      </c>
      <c r="J23" s="349">
        <v>755</v>
      </c>
      <c r="K23" s="282"/>
      <c r="L23" s="282"/>
      <c r="M23" s="282"/>
      <c r="N23" s="282"/>
      <c r="O23" s="282"/>
      <c r="P23" s="282"/>
      <c r="Q23" s="282"/>
      <c r="R23" s="282"/>
      <c r="S23" s="282"/>
      <c r="T23" s="282"/>
      <c r="U23" s="282"/>
      <c r="V23" s="282"/>
      <c r="W23" s="282"/>
      <c r="X23" s="282"/>
      <c r="Y23" s="282"/>
      <c r="Z23" s="282"/>
    </row>
    <row r="24" spans="2:26" s="377" customFormat="1" ht="14" customHeight="1">
      <c r="B24" s="690"/>
      <c r="C24" s="755"/>
      <c r="D24" s="682">
        <v>2023</v>
      </c>
      <c r="E24" s="752">
        <v>2027</v>
      </c>
      <c r="F24" s="349">
        <v>626</v>
      </c>
      <c r="G24" s="349">
        <v>14</v>
      </c>
      <c r="H24" s="349">
        <v>118</v>
      </c>
      <c r="I24" s="349">
        <v>709</v>
      </c>
      <c r="J24" s="349">
        <v>560</v>
      </c>
      <c r="K24" s="282"/>
      <c r="L24" s="282"/>
      <c r="M24" s="282"/>
      <c r="N24" s="282"/>
      <c r="O24" s="282"/>
      <c r="P24" s="282"/>
      <c r="Q24" s="282"/>
      <c r="R24" s="282"/>
      <c r="S24" s="282"/>
      <c r="T24" s="282"/>
      <c r="U24" s="282"/>
      <c r="V24" s="282"/>
      <c r="W24" s="282"/>
      <c r="X24" s="282"/>
      <c r="Y24" s="282"/>
      <c r="Z24" s="282"/>
    </row>
    <row r="25" spans="2:26" s="377" customFormat="1" ht="14" customHeight="1">
      <c r="B25" s="690"/>
      <c r="C25" s="755"/>
      <c r="D25" s="682">
        <v>2024</v>
      </c>
      <c r="E25" s="752">
        <v>1591</v>
      </c>
      <c r="F25" s="683">
        <v>483</v>
      </c>
      <c r="G25" s="683">
        <v>4</v>
      </c>
      <c r="H25" s="683">
        <v>73</v>
      </c>
      <c r="I25" s="683">
        <v>483</v>
      </c>
      <c r="J25" s="683">
        <v>548</v>
      </c>
      <c r="K25" s="282"/>
      <c r="L25" s="282"/>
      <c r="M25" s="282"/>
      <c r="N25" s="282"/>
      <c r="O25" s="282"/>
      <c r="P25" s="282"/>
      <c r="Q25" s="282"/>
      <c r="R25" s="282"/>
      <c r="S25" s="282"/>
      <c r="T25" s="282"/>
      <c r="U25" s="282"/>
      <c r="V25" s="282"/>
      <c r="W25" s="282"/>
      <c r="X25" s="282"/>
      <c r="Y25" s="282"/>
      <c r="Z25" s="282"/>
    </row>
    <row r="26" spans="2:26" s="377" customFormat="1" ht="8" customHeight="1">
      <c r="B26" s="691"/>
      <c r="C26" s="308"/>
      <c r="D26" s="682"/>
      <c r="E26" s="752"/>
      <c r="F26" s="349"/>
      <c r="G26" s="349"/>
      <c r="H26" s="349"/>
      <c r="I26" s="349"/>
      <c r="J26" s="349"/>
      <c r="K26" s="282"/>
      <c r="L26" s="282"/>
      <c r="M26" s="282"/>
      <c r="N26" s="282"/>
      <c r="O26" s="282"/>
      <c r="P26" s="282"/>
      <c r="Q26" s="282"/>
      <c r="R26" s="282"/>
      <c r="S26" s="282"/>
      <c r="T26" s="282"/>
      <c r="U26" s="282"/>
      <c r="V26" s="282"/>
      <c r="W26" s="282"/>
      <c r="X26" s="282"/>
      <c r="Y26" s="282"/>
      <c r="Z26" s="282"/>
    </row>
    <row r="27" spans="2:26" s="377" customFormat="1" ht="14" customHeight="1">
      <c r="B27" s="690" t="s">
        <v>253</v>
      </c>
      <c r="C27" s="755"/>
      <c r="D27" s="682">
        <v>2022</v>
      </c>
      <c r="E27" s="752">
        <v>2101</v>
      </c>
      <c r="F27" s="349">
        <v>681</v>
      </c>
      <c r="G27" s="349">
        <v>18</v>
      </c>
      <c r="H27" s="349">
        <v>91</v>
      </c>
      <c r="I27" s="349">
        <v>718</v>
      </c>
      <c r="J27" s="349">
        <v>593</v>
      </c>
      <c r="K27" s="282"/>
      <c r="L27" s="282"/>
      <c r="M27" s="282"/>
      <c r="N27" s="282"/>
      <c r="O27" s="282"/>
      <c r="P27" s="282"/>
      <c r="Q27" s="282"/>
      <c r="R27" s="282"/>
      <c r="S27" s="282"/>
      <c r="T27" s="282"/>
      <c r="U27" s="282"/>
      <c r="V27" s="282"/>
      <c r="W27" s="282"/>
    </row>
    <row r="28" spans="2:26" s="377" customFormat="1" ht="14" customHeight="1">
      <c r="B28" s="690"/>
      <c r="C28" s="755"/>
      <c r="D28" s="682">
        <v>2023</v>
      </c>
      <c r="E28" s="752">
        <v>1428</v>
      </c>
      <c r="F28" s="349">
        <v>487</v>
      </c>
      <c r="G28" s="349">
        <v>13</v>
      </c>
      <c r="H28" s="349">
        <v>59</v>
      </c>
      <c r="I28" s="349">
        <v>393</v>
      </c>
      <c r="J28" s="349">
        <v>476</v>
      </c>
      <c r="K28" s="282"/>
      <c r="L28" s="282"/>
      <c r="M28" s="282"/>
      <c r="N28" s="282"/>
      <c r="O28" s="282"/>
      <c r="P28" s="282"/>
      <c r="Q28" s="282"/>
      <c r="R28" s="282"/>
      <c r="S28" s="282"/>
      <c r="T28" s="282"/>
      <c r="U28" s="282"/>
      <c r="V28" s="282"/>
      <c r="W28" s="282"/>
    </row>
    <row r="29" spans="2:26" s="377" customFormat="1" ht="14" customHeight="1">
      <c r="B29" s="690"/>
      <c r="C29" s="755"/>
      <c r="D29" s="682">
        <v>2024</v>
      </c>
      <c r="E29" s="752">
        <v>999</v>
      </c>
      <c r="F29" s="683">
        <v>315</v>
      </c>
      <c r="G29" s="683">
        <v>3</v>
      </c>
      <c r="H29" s="683">
        <v>29</v>
      </c>
      <c r="I29" s="683">
        <v>276</v>
      </c>
      <c r="J29" s="683">
        <v>376</v>
      </c>
      <c r="K29" s="282"/>
      <c r="L29" s="282"/>
      <c r="M29" s="282"/>
      <c r="N29" s="282"/>
      <c r="O29" s="282"/>
      <c r="P29" s="282"/>
      <c r="Q29" s="282"/>
      <c r="R29" s="282"/>
      <c r="S29" s="282"/>
      <c r="T29" s="282"/>
      <c r="U29" s="282"/>
      <c r="V29" s="282"/>
      <c r="W29" s="282"/>
    </row>
    <row r="30" spans="2:26" s="377" customFormat="1" ht="8" customHeight="1">
      <c r="B30" s="690"/>
      <c r="C30" s="755"/>
      <c r="D30" s="682"/>
      <c r="E30" s="752"/>
      <c r="F30" s="349"/>
      <c r="G30" s="349"/>
      <c r="H30" s="349"/>
      <c r="I30" s="349"/>
      <c r="J30" s="349"/>
      <c r="K30" s="282"/>
      <c r="L30" s="282"/>
      <c r="M30" s="282"/>
      <c r="N30" s="282"/>
      <c r="O30" s="282"/>
      <c r="P30" s="282"/>
      <c r="Q30" s="282"/>
      <c r="R30" s="282"/>
      <c r="S30" s="282"/>
      <c r="T30" s="282"/>
      <c r="U30" s="282"/>
      <c r="V30" s="282"/>
      <c r="W30" s="282"/>
    </row>
    <row r="31" spans="2:26" s="377" customFormat="1" ht="14" customHeight="1">
      <c r="B31" s="690" t="s">
        <v>254</v>
      </c>
      <c r="C31" s="755"/>
      <c r="D31" s="682">
        <v>2022</v>
      </c>
      <c r="E31" s="752">
        <v>2549</v>
      </c>
      <c r="F31" s="349">
        <v>765</v>
      </c>
      <c r="G31" s="349">
        <v>48</v>
      </c>
      <c r="H31" s="349">
        <v>166</v>
      </c>
      <c r="I31" s="349">
        <v>626</v>
      </c>
      <c r="J31" s="349">
        <v>944</v>
      </c>
      <c r="K31" s="282"/>
      <c r="L31" s="282"/>
      <c r="M31" s="282"/>
      <c r="N31" s="282"/>
      <c r="O31" s="282"/>
      <c r="P31" s="282"/>
      <c r="Q31" s="282"/>
      <c r="R31" s="282"/>
      <c r="S31" s="282"/>
      <c r="T31" s="282"/>
      <c r="U31" s="282"/>
      <c r="V31" s="282"/>
      <c r="W31" s="282"/>
    </row>
    <row r="32" spans="2:26" s="377" customFormat="1" ht="14" customHeight="1">
      <c r="B32" s="690"/>
      <c r="C32" s="755"/>
      <c r="D32" s="682">
        <v>2023</v>
      </c>
      <c r="E32" s="752">
        <v>1906</v>
      </c>
      <c r="F32" s="349">
        <v>660</v>
      </c>
      <c r="G32" s="349">
        <v>22</v>
      </c>
      <c r="H32" s="349">
        <v>90</v>
      </c>
      <c r="I32" s="349">
        <v>437</v>
      </c>
      <c r="J32" s="349">
        <v>697</v>
      </c>
      <c r="K32" s="282"/>
      <c r="L32" s="282"/>
      <c r="M32" s="282"/>
      <c r="N32" s="282"/>
      <c r="O32" s="282"/>
      <c r="P32" s="282"/>
      <c r="Q32" s="282"/>
      <c r="R32" s="282"/>
      <c r="S32" s="282"/>
      <c r="T32" s="282"/>
      <c r="U32" s="282"/>
      <c r="V32" s="282"/>
      <c r="W32" s="282"/>
    </row>
    <row r="33" spans="2:23" s="377" customFormat="1" ht="14" customHeight="1">
      <c r="B33" s="690"/>
      <c r="C33" s="755"/>
      <c r="D33" s="682">
        <v>2024</v>
      </c>
      <c r="E33" s="752">
        <v>1401</v>
      </c>
      <c r="F33" s="683">
        <v>380</v>
      </c>
      <c r="G33" s="683">
        <v>25</v>
      </c>
      <c r="H33" s="683">
        <v>62</v>
      </c>
      <c r="I33" s="683">
        <v>307</v>
      </c>
      <c r="J33" s="683">
        <v>627</v>
      </c>
      <c r="K33" s="282"/>
      <c r="L33" s="282"/>
      <c r="M33" s="282"/>
      <c r="N33" s="282"/>
      <c r="O33" s="282"/>
      <c r="P33" s="282"/>
      <c r="Q33" s="282"/>
      <c r="R33" s="282"/>
      <c r="S33" s="282"/>
      <c r="T33" s="282"/>
      <c r="U33" s="282"/>
      <c r="V33" s="282"/>
      <c r="W33" s="282"/>
    </row>
    <row r="34" spans="2:23" s="377" customFormat="1" ht="8" customHeight="1">
      <c r="B34" s="690"/>
      <c r="C34" s="755"/>
      <c r="D34" s="682"/>
      <c r="E34" s="752"/>
      <c r="F34" s="349"/>
      <c r="G34" s="349"/>
      <c r="H34" s="349"/>
      <c r="I34" s="349"/>
      <c r="J34" s="349"/>
      <c r="K34" s="282"/>
      <c r="L34" s="282"/>
      <c r="M34" s="282"/>
      <c r="N34" s="282"/>
      <c r="O34" s="282"/>
      <c r="P34" s="282"/>
      <c r="Q34" s="282"/>
      <c r="R34" s="282"/>
      <c r="S34" s="282"/>
      <c r="T34" s="282"/>
      <c r="U34" s="282"/>
      <c r="V34" s="282"/>
      <c r="W34" s="282"/>
    </row>
    <row r="35" spans="2:23" s="377" customFormat="1" ht="14" customHeight="1">
      <c r="B35" s="690" t="s">
        <v>255</v>
      </c>
      <c r="C35" s="755"/>
      <c r="D35" s="682">
        <v>2022</v>
      </c>
      <c r="E35" s="752">
        <v>2676</v>
      </c>
      <c r="F35" s="349">
        <v>718</v>
      </c>
      <c r="G35" s="349">
        <v>29</v>
      </c>
      <c r="H35" s="349">
        <v>130</v>
      </c>
      <c r="I35" s="349">
        <v>713</v>
      </c>
      <c r="J35" s="349">
        <v>1086</v>
      </c>
      <c r="K35" s="282"/>
      <c r="L35" s="282"/>
      <c r="M35" s="282"/>
      <c r="N35" s="282"/>
      <c r="O35" s="282"/>
      <c r="P35" s="282"/>
      <c r="Q35" s="282"/>
      <c r="R35" s="282"/>
      <c r="S35" s="282"/>
      <c r="T35" s="282"/>
      <c r="U35" s="282"/>
      <c r="V35" s="282"/>
      <c r="W35" s="282"/>
    </row>
    <row r="36" spans="2:23" s="377" customFormat="1" ht="14" customHeight="1">
      <c r="B36" s="690"/>
      <c r="C36" s="755"/>
      <c r="D36" s="682">
        <v>2023</v>
      </c>
      <c r="E36" s="752">
        <v>1926</v>
      </c>
      <c r="F36" s="349">
        <v>604</v>
      </c>
      <c r="G36" s="349">
        <v>26</v>
      </c>
      <c r="H36" s="349">
        <v>100</v>
      </c>
      <c r="I36" s="349">
        <v>484</v>
      </c>
      <c r="J36" s="349">
        <v>712</v>
      </c>
      <c r="K36" s="282"/>
      <c r="L36" s="282"/>
      <c r="M36" s="282"/>
      <c r="N36" s="282"/>
      <c r="O36" s="282"/>
      <c r="P36" s="282"/>
      <c r="Q36" s="282"/>
      <c r="R36" s="282"/>
      <c r="S36" s="282"/>
      <c r="T36" s="282"/>
      <c r="U36" s="282"/>
      <c r="V36" s="282"/>
      <c r="W36" s="282"/>
    </row>
    <row r="37" spans="2:23" s="377" customFormat="1" ht="14" customHeight="1">
      <c r="B37" s="690"/>
      <c r="C37" s="755"/>
      <c r="D37" s="682">
        <v>2024</v>
      </c>
      <c r="E37" s="752">
        <v>1643</v>
      </c>
      <c r="F37" s="683">
        <v>478</v>
      </c>
      <c r="G37" s="683">
        <v>13</v>
      </c>
      <c r="H37" s="683">
        <v>69</v>
      </c>
      <c r="I37" s="683">
        <v>312</v>
      </c>
      <c r="J37" s="683">
        <v>771</v>
      </c>
      <c r="K37" s="282"/>
      <c r="L37" s="282"/>
      <c r="M37" s="282"/>
      <c r="N37" s="282"/>
      <c r="O37" s="282"/>
      <c r="P37" s="282"/>
      <c r="Q37" s="282"/>
      <c r="R37" s="282"/>
      <c r="S37" s="282"/>
      <c r="T37" s="282"/>
      <c r="U37" s="282"/>
      <c r="V37" s="282"/>
      <c r="W37" s="282"/>
    </row>
    <row r="38" spans="2:23" s="377" customFormat="1" ht="8" customHeight="1">
      <c r="B38" s="690"/>
      <c r="C38" s="755"/>
      <c r="D38" s="682"/>
      <c r="E38" s="752"/>
      <c r="F38" s="349"/>
      <c r="G38" s="349"/>
      <c r="H38" s="349"/>
      <c r="I38" s="349"/>
      <c r="J38" s="349"/>
      <c r="K38" s="282"/>
      <c r="L38" s="282"/>
      <c r="M38" s="282"/>
      <c r="N38" s="282"/>
      <c r="O38" s="282"/>
      <c r="P38" s="282"/>
      <c r="Q38" s="282"/>
      <c r="R38" s="282"/>
      <c r="S38" s="282"/>
      <c r="T38" s="282"/>
      <c r="U38" s="282"/>
      <c r="V38" s="282"/>
      <c r="W38" s="282"/>
    </row>
    <row r="39" spans="2:23" s="377" customFormat="1" ht="14" customHeight="1">
      <c r="B39" s="690" t="s">
        <v>256</v>
      </c>
      <c r="C39" s="755"/>
      <c r="D39" s="682">
        <v>2022</v>
      </c>
      <c r="E39" s="752">
        <v>4162</v>
      </c>
      <c r="F39" s="349">
        <v>1036</v>
      </c>
      <c r="G39" s="349">
        <v>73</v>
      </c>
      <c r="H39" s="349">
        <v>314</v>
      </c>
      <c r="I39" s="349">
        <v>1704</v>
      </c>
      <c r="J39" s="349">
        <v>1033</v>
      </c>
      <c r="K39" s="282"/>
      <c r="L39" s="282"/>
      <c r="M39" s="282"/>
      <c r="N39" s="282"/>
      <c r="O39" s="282"/>
      <c r="P39" s="282"/>
      <c r="Q39" s="282"/>
      <c r="R39" s="282"/>
      <c r="S39" s="282"/>
      <c r="T39" s="282"/>
      <c r="U39" s="282"/>
      <c r="V39" s="282"/>
      <c r="W39" s="282"/>
    </row>
    <row r="40" spans="2:23" s="377" customFormat="1" ht="14" customHeight="1">
      <c r="B40" s="690"/>
      <c r="C40" s="755"/>
      <c r="D40" s="682">
        <v>2023</v>
      </c>
      <c r="E40" s="752">
        <v>3011</v>
      </c>
      <c r="F40" s="349">
        <v>736</v>
      </c>
      <c r="G40" s="349">
        <v>29</v>
      </c>
      <c r="H40" s="349">
        <v>156</v>
      </c>
      <c r="I40" s="349">
        <v>1231</v>
      </c>
      <c r="J40" s="349">
        <v>859</v>
      </c>
      <c r="K40" s="282"/>
      <c r="L40" s="282"/>
      <c r="M40" s="282"/>
      <c r="N40" s="282"/>
      <c r="O40" s="282"/>
      <c r="P40" s="282"/>
      <c r="Q40" s="282"/>
      <c r="R40" s="282"/>
      <c r="S40" s="282"/>
      <c r="T40" s="282"/>
      <c r="U40" s="282"/>
      <c r="V40" s="282"/>
      <c r="W40" s="282"/>
    </row>
    <row r="41" spans="2:23" s="377" customFormat="1" ht="14" customHeight="1">
      <c r="B41" s="690"/>
      <c r="C41" s="755"/>
      <c r="D41" s="682">
        <v>2024</v>
      </c>
      <c r="E41" s="752">
        <v>2899</v>
      </c>
      <c r="F41" s="683">
        <v>785</v>
      </c>
      <c r="G41" s="683">
        <v>22</v>
      </c>
      <c r="H41" s="683">
        <v>97</v>
      </c>
      <c r="I41" s="683">
        <v>761</v>
      </c>
      <c r="J41" s="683">
        <v>1234</v>
      </c>
      <c r="K41" s="282"/>
      <c r="L41" s="282"/>
      <c r="M41" s="282"/>
      <c r="N41" s="282"/>
      <c r="O41" s="282"/>
      <c r="P41" s="282"/>
      <c r="Q41" s="282"/>
      <c r="R41" s="282"/>
      <c r="S41" s="282"/>
      <c r="T41" s="282"/>
      <c r="U41" s="282"/>
      <c r="V41" s="282"/>
      <c r="W41" s="282"/>
    </row>
    <row r="42" spans="2:23" s="377" customFormat="1" ht="8" customHeight="1">
      <c r="B42" s="690"/>
      <c r="C42" s="755"/>
      <c r="D42" s="682"/>
      <c r="E42" s="752"/>
      <c r="F42" s="349"/>
      <c r="G42" s="349"/>
      <c r="H42" s="349"/>
      <c r="I42" s="349"/>
      <c r="J42" s="349"/>
      <c r="K42" s="282"/>
      <c r="L42" s="282"/>
      <c r="M42" s="282"/>
      <c r="N42" s="282"/>
      <c r="O42" s="282"/>
      <c r="P42" s="282"/>
      <c r="Q42" s="282"/>
      <c r="R42" s="282"/>
      <c r="S42" s="282"/>
      <c r="T42" s="282"/>
      <c r="U42" s="282"/>
      <c r="V42" s="282"/>
      <c r="W42" s="282"/>
    </row>
    <row r="43" spans="2:23" s="377" customFormat="1" ht="14" customHeight="1">
      <c r="B43" s="690" t="s">
        <v>257</v>
      </c>
      <c r="C43" s="755"/>
      <c r="D43" s="682">
        <v>2022</v>
      </c>
      <c r="E43" s="752">
        <v>3809</v>
      </c>
      <c r="F43" s="349">
        <v>1064</v>
      </c>
      <c r="G43" s="349">
        <v>58</v>
      </c>
      <c r="H43" s="349">
        <v>237</v>
      </c>
      <c r="I43" s="349">
        <v>1359</v>
      </c>
      <c r="J43" s="349">
        <v>1087</v>
      </c>
      <c r="K43" s="282"/>
      <c r="L43" s="282"/>
      <c r="M43" s="282"/>
      <c r="N43" s="282"/>
      <c r="O43" s="282"/>
      <c r="P43" s="282"/>
      <c r="Q43" s="282"/>
      <c r="R43" s="282"/>
      <c r="S43" s="282"/>
      <c r="T43" s="282"/>
      <c r="U43" s="282"/>
      <c r="V43" s="282"/>
      <c r="W43" s="282"/>
    </row>
    <row r="44" spans="2:23" s="377" customFormat="1" ht="14" customHeight="1">
      <c r="B44" s="690"/>
      <c r="C44" s="755"/>
      <c r="D44" s="682">
        <v>2023</v>
      </c>
      <c r="E44" s="752">
        <v>2599</v>
      </c>
      <c r="F44" s="349">
        <v>666</v>
      </c>
      <c r="G44" s="349">
        <v>40</v>
      </c>
      <c r="H44" s="349">
        <v>168</v>
      </c>
      <c r="I44" s="349">
        <v>937</v>
      </c>
      <c r="J44" s="349">
        <v>788</v>
      </c>
      <c r="K44" s="282"/>
      <c r="L44" s="282"/>
      <c r="M44" s="282"/>
      <c r="N44" s="282"/>
      <c r="O44" s="282"/>
      <c r="P44" s="282"/>
      <c r="Q44" s="282"/>
      <c r="R44" s="282"/>
      <c r="S44" s="282"/>
      <c r="T44" s="282"/>
      <c r="U44" s="282"/>
      <c r="V44" s="282"/>
      <c r="W44" s="282"/>
    </row>
    <row r="45" spans="2:23" s="377" customFormat="1" ht="14" customHeight="1">
      <c r="B45" s="690"/>
      <c r="C45" s="755"/>
      <c r="D45" s="682">
        <v>2024</v>
      </c>
      <c r="E45" s="752">
        <v>2178</v>
      </c>
      <c r="F45" s="683">
        <v>614</v>
      </c>
      <c r="G45" s="683">
        <v>23</v>
      </c>
      <c r="H45" s="683">
        <v>121</v>
      </c>
      <c r="I45" s="683">
        <v>609</v>
      </c>
      <c r="J45" s="683">
        <v>811</v>
      </c>
      <c r="K45" s="282"/>
      <c r="L45" s="282"/>
      <c r="M45" s="282"/>
      <c r="N45" s="282"/>
      <c r="O45" s="282"/>
      <c r="P45" s="282"/>
      <c r="Q45" s="282"/>
      <c r="R45" s="282"/>
      <c r="S45" s="282"/>
      <c r="T45" s="282"/>
      <c r="U45" s="282"/>
      <c r="V45" s="282"/>
      <c r="W45" s="282"/>
    </row>
    <row r="46" spans="2:23" s="377" customFormat="1" ht="8" customHeight="1">
      <c r="B46" s="690"/>
      <c r="C46" s="755"/>
      <c r="D46" s="682"/>
      <c r="E46" s="752"/>
      <c r="F46" s="349"/>
      <c r="G46" s="349"/>
      <c r="H46" s="349"/>
      <c r="I46" s="349"/>
      <c r="J46" s="349"/>
      <c r="K46" s="282"/>
      <c r="L46" s="282"/>
      <c r="M46" s="282"/>
      <c r="N46" s="282"/>
      <c r="O46" s="282"/>
      <c r="P46" s="282"/>
      <c r="Q46" s="282"/>
      <c r="R46" s="282"/>
      <c r="S46" s="282"/>
      <c r="T46" s="282"/>
      <c r="U46" s="282"/>
      <c r="V46" s="282"/>
      <c r="W46" s="282"/>
    </row>
    <row r="47" spans="2:23" s="377" customFormat="1" ht="14" customHeight="1">
      <c r="B47" s="690" t="s">
        <v>258</v>
      </c>
      <c r="C47" s="755"/>
      <c r="D47" s="682">
        <v>2022</v>
      </c>
      <c r="E47" s="752">
        <v>406</v>
      </c>
      <c r="F47" s="349">
        <v>111</v>
      </c>
      <c r="G47" s="349">
        <v>2</v>
      </c>
      <c r="H47" s="349">
        <v>17</v>
      </c>
      <c r="I47" s="349">
        <v>89</v>
      </c>
      <c r="J47" s="349">
        <v>187</v>
      </c>
      <c r="K47" s="282"/>
      <c r="L47" s="282"/>
      <c r="M47" s="282"/>
      <c r="N47" s="282"/>
      <c r="O47" s="282"/>
      <c r="P47" s="282"/>
      <c r="Q47" s="282"/>
      <c r="R47" s="282"/>
      <c r="S47" s="282"/>
      <c r="T47" s="282"/>
      <c r="U47" s="282"/>
      <c r="V47" s="282"/>
      <c r="W47" s="282"/>
    </row>
    <row r="48" spans="2:23" s="377" customFormat="1" ht="14" customHeight="1">
      <c r="B48" s="690"/>
      <c r="C48" s="755"/>
      <c r="D48" s="682">
        <v>2023</v>
      </c>
      <c r="E48" s="752">
        <v>412</v>
      </c>
      <c r="F48" s="349">
        <v>155</v>
      </c>
      <c r="G48" s="349" t="s">
        <v>438</v>
      </c>
      <c r="H48" s="349">
        <v>6</v>
      </c>
      <c r="I48" s="349">
        <v>93</v>
      </c>
      <c r="J48" s="349">
        <v>158</v>
      </c>
      <c r="K48" s="282"/>
      <c r="L48" s="282"/>
      <c r="M48" s="282"/>
      <c r="N48" s="282"/>
      <c r="O48" s="282"/>
      <c r="P48" s="282"/>
      <c r="Q48" s="282"/>
      <c r="R48" s="282"/>
      <c r="S48" s="282"/>
      <c r="T48" s="282"/>
      <c r="U48" s="282"/>
      <c r="V48" s="282"/>
      <c r="W48" s="282"/>
    </row>
    <row r="49" spans="2:23" s="377" customFormat="1" ht="14" customHeight="1">
      <c r="B49" s="690"/>
      <c r="C49" s="755"/>
      <c r="D49" s="682">
        <v>2024</v>
      </c>
      <c r="E49" s="752">
        <v>356</v>
      </c>
      <c r="F49" s="683">
        <v>102</v>
      </c>
      <c r="G49" s="756" t="s">
        <v>438</v>
      </c>
      <c r="H49" s="683">
        <v>3</v>
      </c>
      <c r="I49" s="756">
        <v>56</v>
      </c>
      <c r="J49" s="683">
        <v>195</v>
      </c>
      <c r="K49" s="282"/>
      <c r="L49" s="282"/>
      <c r="M49" s="282"/>
      <c r="N49" s="282"/>
      <c r="O49" s="282"/>
      <c r="P49" s="282"/>
      <c r="Q49" s="282"/>
      <c r="R49" s="282"/>
      <c r="S49" s="282"/>
      <c r="T49" s="282"/>
      <c r="U49" s="282"/>
      <c r="V49" s="282"/>
      <c r="W49" s="282"/>
    </row>
    <row r="50" spans="2:23" s="377" customFormat="1" ht="8" customHeight="1">
      <c r="B50" s="690"/>
      <c r="C50" s="755"/>
      <c r="D50" s="682"/>
      <c r="E50" s="752"/>
      <c r="F50" s="349"/>
      <c r="G50" s="349"/>
      <c r="H50" s="349"/>
      <c r="I50" s="349"/>
      <c r="J50" s="349"/>
      <c r="K50" s="282"/>
      <c r="L50" s="282"/>
      <c r="M50" s="282"/>
      <c r="N50" s="282"/>
      <c r="O50" s="282"/>
      <c r="P50" s="282"/>
      <c r="Q50" s="282"/>
      <c r="R50" s="282"/>
      <c r="S50" s="282"/>
      <c r="T50" s="282"/>
      <c r="U50" s="282"/>
      <c r="V50" s="282"/>
      <c r="W50" s="282"/>
    </row>
    <row r="51" spans="2:23" s="377" customFormat="1" ht="14" customHeight="1">
      <c r="B51" s="692" t="s">
        <v>259</v>
      </c>
      <c r="C51" s="757"/>
      <c r="D51" s="682">
        <v>2022</v>
      </c>
      <c r="E51" s="752">
        <v>15498</v>
      </c>
      <c r="F51" s="349">
        <v>3679</v>
      </c>
      <c r="G51" s="349">
        <v>595</v>
      </c>
      <c r="H51" s="349">
        <v>2204</v>
      </c>
      <c r="I51" s="349">
        <v>5503</v>
      </c>
      <c r="J51" s="349">
        <v>3514</v>
      </c>
      <c r="K51" s="282"/>
      <c r="L51" s="282"/>
      <c r="M51" s="282"/>
      <c r="N51" s="282"/>
      <c r="O51" s="282"/>
      <c r="P51" s="282"/>
      <c r="Q51" s="282"/>
      <c r="R51" s="282"/>
      <c r="S51" s="282"/>
      <c r="T51" s="282"/>
      <c r="U51" s="282"/>
      <c r="V51" s="282"/>
      <c r="W51" s="282"/>
    </row>
    <row r="52" spans="2:23" s="377" customFormat="1" ht="13.5" customHeight="1">
      <c r="B52" s="692"/>
      <c r="C52" s="757"/>
      <c r="D52" s="682">
        <v>2023</v>
      </c>
      <c r="E52" s="752">
        <v>13033</v>
      </c>
      <c r="F52" s="349">
        <v>3025</v>
      </c>
      <c r="G52" s="349">
        <v>374</v>
      </c>
      <c r="H52" s="349">
        <v>1544</v>
      </c>
      <c r="I52" s="349">
        <v>4337</v>
      </c>
      <c r="J52" s="349">
        <v>3753</v>
      </c>
      <c r="K52" s="282"/>
      <c r="L52" s="282"/>
      <c r="M52" s="282"/>
      <c r="N52" s="282"/>
      <c r="O52" s="282"/>
      <c r="P52" s="282"/>
      <c r="Q52" s="282"/>
      <c r="R52" s="282"/>
      <c r="S52" s="282"/>
      <c r="T52" s="282"/>
      <c r="U52" s="282"/>
      <c r="V52" s="282"/>
      <c r="W52" s="282"/>
    </row>
    <row r="53" spans="2:23" s="377" customFormat="1" ht="14" customHeight="1">
      <c r="B53" s="692"/>
      <c r="C53" s="757"/>
      <c r="D53" s="682">
        <v>2024</v>
      </c>
      <c r="E53" s="752">
        <v>11102</v>
      </c>
      <c r="F53" s="683">
        <v>2801</v>
      </c>
      <c r="G53" s="683">
        <v>302</v>
      </c>
      <c r="H53" s="683">
        <v>973</v>
      </c>
      <c r="I53" s="683">
        <v>2606</v>
      </c>
      <c r="J53" s="683">
        <v>4420</v>
      </c>
      <c r="K53" s="282"/>
      <c r="L53" s="282"/>
      <c r="M53" s="282"/>
      <c r="N53" s="282"/>
      <c r="O53" s="282"/>
      <c r="P53" s="282"/>
      <c r="Q53" s="282"/>
      <c r="R53" s="282"/>
      <c r="S53" s="282"/>
      <c r="T53" s="282"/>
      <c r="U53" s="282"/>
      <c r="V53" s="282"/>
      <c r="W53" s="282"/>
    </row>
    <row r="54" spans="2:23" s="377" customFormat="1" ht="8" customHeight="1">
      <c r="B54" s="688"/>
      <c r="C54" s="307"/>
      <c r="D54" s="682"/>
      <c r="E54" s="752"/>
      <c r="F54" s="349"/>
      <c r="G54" s="349"/>
      <c r="H54" s="349"/>
      <c r="I54" s="349"/>
      <c r="J54" s="349"/>
      <c r="K54" s="282"/>
      <c r="L54" s="282"/>
      <c r="M54" s="282"/>
      <c r="N54" s="282"/>
      <c r="O54" s="282"/>
      <c r="P54" s="282"/>
      <c r="Q54" s="282"/>
      <c r="R54" s="282"/>
      <c r="S54" s="282"/>
      <c r="T54" s="282"/>
      <c r="U54" s="282"/>
      <c r="V54" s="282"/>
      <c r="W54" s="282"/>
    </row>
    <row r="55" spans="2:23" s="648" customFormat="1" ht="14" customHeight="1">
      <c r="B55" s="692" t="s">
        <v>260</v>
      </c>
      <c r="C55" s="757"/>
      <c r="D55" s="682">
        <v>2022</v>
      </c>
      <c r="E55" s="752">
        <v>1577</v>
      </c>
      <c r="F55" s="349">
        <v>496</v>
      </c>
      <c r="G55" s="349">
        <v>13</v>
      </c>
      <c r="H55" s="349">
        <v>78</v>
      </c>
      <c r="I55" s="349">
        <v>466</v>
      </c>
      <c r="J55" s="349">
        <v>523</v>
      </c>
      <c r="K55" s="282"/>
      <c r="L55" s="282"/>
      <c r="M55" s="282"/>
      <c r="N55" s="282"/>
      <c r="O55" s="282"/>
      <c r="P55" s="282"/>
      <c r="Q55" s="282"/>
      <c r="R55" s="282"/>
      <c r="S55" s="282"/>
      <c r="T55" s="282"/>
      <c r="U55" s="282"/>
      <c r="V55" s="282"/>
      <c r="W55" s="282"/>
    </row>
    <row r="56" spans="2:23" s="648" customFormat="1" ht="14" customHeight="1">
      <c r="B56" s="692"/>
      <c r="C56" s="757"/>
      <c r="D56" s="682">
        <v>2023</v>
      </c>
      <c r="E56" s="752">
        <v>1821</v>
      </c>
      <c r="F56" s="349">
        <v>601</v>
      </c>
      <c r="G56" s="349">
        <v>4</v>
      </c>
      <c r="H56" s="349">
        <v>56</v>
      </c>
      <c r="I56" s="349">
        <v>313</v>
      </c>
      <c r="J56" s="349">
        <v>847</v>
      </c>
      <c r="K56" s="282"/>
      <c r="L56" s="282"/>
      <c r="M56" s="282"/>
      <c r="N56" s="282"/>
      <c r="O56" s="282"/>
      <c r="P56" s="282"/>
      <c r="Q56" s="282"/>
      <c r="R56" s="282"/>
      <c r="S56" s="282"/>
      <c r="T56" s="282"/>
      <c r="U56" s="282"/>
      <c r="V56" s="282"/>
      <c r="W56" s="282"/>
    </row>
    <row r="57" spans="2:23" s="648" customFormat="1" ht="14" customHeight="1">
      <c r="B57" s="692"/>
      <c r="C57" s="757"/>
      <c r="D57" s="682">
        <v>2024</v>
      </c>
      <c r="E57" s="752">
        <v>1370</v>
      </c>
      <c r="F57" s="683">
        <v>480</v>
      </c>
      <c r="G57" s="683">
        <v>7</v>
      </c>
      <c r="H57" s="683">
        <v>63</v>
      </c>
      <c r="I57" s="683">
        <v>224</v>
      </c>
      <c r="J57" s="683">
        <v>596</v>
      </c>
      <c r="K57" s="282"/>
      <c r="L57" s="282"/>
      <c r="M57" s="282"/>
      <c r="N57" s="282"/>
      <c r="O57" s="282"/>
      <c r="P57" s="282"/>
      <c r="Q57" s="282"/>
      <c r="R57" s="282"/>
      <c r="S57" s="282"/>
      <c r="T57" s="282"/>
      <c r="U57" s="282"/>
      <c r="V57" s="282"/>
      <c r="W57" s="282"/>
    </row>
    <row r="58" spans="2:23" s="377" customFormat="1" ht="8" customHeight="1">
      <c r="B58" s="688"/>
      <c r="C58" s="307"/>
      <c r="D58" s="682"/>
      <c r="E58" s="752"/>
      <c r="F58" s="349"/>
      <c r="G58" s="349"/>
      <c r="H58" s="349"/>
      <c r="I58" s="349"/>
      <c r="J58" s="349"/>
      <c r="K58" s="282"/>
      <c r="L58" s="282"/>
      <c r="M58" s="282"/>
      <c r="N58" s="282"/>
      <c r="O58" s="282"/>
      <c r="P58" s="282"/>
      <c r="Q58" s="282"/>
      <c r="R58" s="282"/>
      <c r="S58" s="282"/>
      <c r="T58" s="282"/>
      <c r="U58" s="282"/>
      <c r="V58" s="282"/>
      <c r="W58" s="282"/>
    </row>
    <row r="59" spans="2:23" s="377" customFormat="1" ht="14" customHeight="1">
      <c r="B59" s="692" t="s">
        <v>808</v>
      </c>
      <c r="C59" s="757"/>
      <c r="D59" s="682">
        <v>2022</v>
      </c>
      <c r="E59" s="752">
        <v>5106</v>
      </c>
      <c r="F59" s="349">
        <v>1806</v>
      </c>
      <c r="G59" s="349">
        <v>81</v>
      </c>
      <c r="H59" s="349">
        <v>157</v>
      </c>
      <c r="I59" s="349">
        <v>435</v>
      </c>
      <c r="J59" s="349">
        <v>2627</v>
      </c>
      <c r="K59" s="282"/>
      <c r="L59" s="282"/>
      <c r="M59" s="282"/>
      <c r="N59" s="282"/>
      <c r="O59" s="282"/>
      <c r="P59" s="282"/>
      <c r="Q59" s="282"/>
      <c r="R59" s="282"/>
      <c r="S59" s="282"/>
      <c r="T59" s="282"/>
      <c r="U59" s="282"/>
      <c r="V59" s="282"/>
      <c r="W59" s="282"/>
    </row>
    <row r="60" spans="2:23" s="377" customFormat="1" ht="14" customHeight="1">
      <c r="B60" s="692"/>
      <c r="C60" s="757"/>
      <c r="D60" s="682">
        <v>2023</v>
      </c>
      <c r="E60" s="752">
        <v>3316</v>
      </c>
      <c r="F60" s="349">
        <v>1332</v>
      </c>
      <c r="G60" s="349">
        <v>36</v>
      </c>
      <c r="H60" s="349">
        <v>77</v>
      </c>
      <c r="I60" s="349">
        <v>318</v>
      </c>
      <c r="J60" s="349">
        <v>1553</v>
      </c>
      <c r="K60" s="282"/>
      <c r="L60" s="282"/>
      <c r="M60" s="282"/>
      <c r="N60" s="282"/>
      <c r="O60" s="282"/>
      <c r="P60" s="282"/>
      <c r="Q60" s="282"/>
      <c r="R60" s="282"/>
      <c r="S60" s="282"/>
      <c r="T60" s="282"/>
      <c r="U60" s="282"/>
      <c r="V60" s="282"/>
      <c r="W60" s="282"/>
    </row>
    <row r="61" spans="2:23" s="377" customFormat="1" ht="14" customHeight="1">
      <c r="B61" s="692"/>
      <c r="C61" s="757"/>
      <c r="D61" s="682">
        <v>2024</v>
      </c>
      <c r="E61" s="752">
        <v>3014</v>
      </c>
      <c r="F61" s="683">
        <v>1122</v>
      </c>
      <c r="G61" s="683">
        <v>25</v>
      </c>
      <c r="H61" s="683">
        <v>70</v>
      </c>
      <c r="I61" s="683">
        <v>263</v>
      </c>
      <c r="J61" s="683">
        <v>1534</v>
      </c>
      <c r="K61" s="282"/>
      <c r="L61" s="282"/>
      <c r="M61" s="282"/>
      <c r="N61" s="282"/>
      <c r="O61" s="282"/>
      <c r="P61" s="282"/>
      <c r="Q61" s="282"/>
      <c r="R61" s="282"/>
      <c r="S61" s="282"/>
      <c r="T61" s="282"/>
      <c r="U61" s="282"/>
      <c r="V61" s="282"/>
      <c r="W61" s="282"/>
    </row>
    <row r="62" spans="2:23" s="377" customFormat="1" ht="8" customHeight="1">
      <c r="B62" s="688"/>
      <c r="C62" s="307"/>
      <c r="D62" s="682"/>
      <c r="E62" s="752"/>
      <c r="F62" s="349"/>
      <c r="G62" s="349"/>
      <c r="H62" s="349"/>
      <c r="I62" s="349"/>
      <c r="J62" s="349"/>
      <c r="K62" s="282"/>
      <c r="L62" s="282"/>
      <c r="M62" s="282"/>
      <c r="N62" s="282"/>
      <c r="O62" s="282"/>
      <c r="P62" s="282"/>
      <c r="Q62" s="282"/>
      <c r="R62" s="282"/>
      <c r="S62" s="282"/>
      <c r="T62" s="282"/>
      <c r="U62" s="282"/>
      <c r="V62" s="282"/>
      <c r="W62" s="282"/>
    </row>
    <row r="63" spans="2:23" s="648" customFormat="1" ht="14" customHeight="1">
      <c r="B63" s="690" t="s">
        <v>262</v>
      </c>
      <c r="C63" s="755"/>
      <c r="D63" s="682">
        <v>2022</v>
      </c>
      <c r="E63" s="752">
        <v>5125</v>
      </c>
      <c r="F63" s="349">
        <v>1623</v>
      </c>
      <c r="G63" s="349">
        <v>61</v>
      </c>
      <c r="H63" s="349">
        <v>404</v>
      </c>
      <c r="I63" s="349">
        <v>1393</v>
      </c>
      <c r="J63" s="349">
        <v>1644</v>
      </c>
      <c r="K63" s="282"/>
      <c r="L63" s="282"/>
      <c r="M63" s="282"/>
      <c r="N63" s="282"/>
      <c r="O63" s="282"/>
      <c r="P63" s="282"/>
      <c r="Q63" s="282"/>
      <c r="R63" s="282"/>
      <c r="S63" s="282"/>
      <c r="T63" s="282"/>
      <c r="U63" s="282"/>
      <c r="V63" s="282"/>
      <c r="W63" s="282"/>
    </row>
    <row r="64" spans="2:23" s="648" customFormat="1" ht="14" customHeight="1">
      <c r="B64" s="690"/>
      <c r="C64" s="755"/>
      <c r="D64" s="682">
        <v>2023</v>
      </c>
      <c r="E64" s="752">
        <v>5089</v>
      </c>
      <c r="F64" s="349">
        <v>1946</v>
      </c>
      <c r="G64" s="349">
        <v>29</v>
      </c>
      <c r="H64" s="349">
        <v>188</v>
      </c>
      <c r="I64" s="349">
        <v>861</v>
      </c>
      <c r="J64" s="349">
        <v>2065</v>
      </c>
      <c r="K64" s="282"/>
      <c r="L64" s="282"/>
      <c r="M64" s="282"/>
      <c r="N64" s="282"/>
      <c r="O64" s="282"/>
      <c r="P64" s="282"/>
      <c r="Q64" s="282"/>
      <c r="R64" s="282"/>
      <c r="S64" s="282"/>
      <c r="T64" s="282"/>
      <c r="U64" s="282"/>
      <c r="V64" s="282"/>
      <c r="W64" s="282"/>
    </row>
    <row r="65" spans="1:23" s="648" customFormat="1" ht="14" customHeight="1">
      <c r="B65" s="690"/>
      <c r="C65" s="755"/>
      <c r="D65" s="682">
        <v>2024</v>
      </c>
      <c r="E65" s="752">
        <v>3701</v>
      </c>
      <c r="F65" s="683">
        <v>1163</v>
      </c>
      <c r="G65" s="683">
        <v>23</v>
      </c>
      <c r="H65" s="683">
        <v>136</v>
      </c>
      <c r="I65" s="683">
        <v>503</v>
      </c>
      <c r="J65" s="683">
        <v>1876</v>
      </c>
      <c r="K65" s="282"/>
      <c r="L65" s="282"/>
      <c r="M65" s="282"/>
      <c r="N65" s="282"/>
      <c r="O65" s="282"/>
      <c r="P65" s="282"/>
      <c r="Q65" s="282"/>
      <c r="R65" s="282"/>
      <c r="S65" s="282"/>
      <c r="T65" s="282"/>
      <c r="U65" s="282"/>
      <c r="V65" s="282"/>
      <c r="W65" s="282"/>
    </row>
    <row r="66" spans="1:23" s="377" customFormat="1" ht="8" customHeight="1">
      <c r="B66" s="688"/>
      <c r="C66" s="307"/>
      <c r="D66" s="682"/>
      <c r="E66" s="752"/>
      <c r="F66" s="349"/>
      <c r="G66" s="349"/>
      <c r="H66" s="349"/>
      <c r="I66" s="349"/>
      <c r="J66" s="349"/>
      <c r="K66" s="282"/>
      <c r="L66" s="282"/>
      <c r="M66" s="282"/>
      <c r="N66" s="282"/>
      <c r="O66" s="282"/>
      <c r="P66" s="282"/>
      <c r="Q66" s="282"/>
      <c r="R66" s="282"/>
      <c r="S66" s="282"/>
      <c r="T66" s="282"/>
      <c r="U66" s="282"/>
      <c r="V66" s="282"/>
      <c r="W66" s="282"/>
    </row>
    <row r="67" spans="1:23" s="377" customFormat="1" ht="14" customHeight="1">
      <c r="B67" s="690" t="s">
        <v>809</v>
      </c>
      <c r="C67" s="755"/>
      <c r="D67" s="682">
        <v>2022</v>
      </c>
      <c r="E67" s="752">
        <v>8258</v>
      </c>
      <c r="F67" s="349">
        <v>1087</v>
      </c>
      <c r="G67" s="349">
        <v>254</v>
      </c>
      <c r="H67" s="349">
        <v>1423</v>
      </c>
      <c r="I67" s="349">
        <v>2763</v>
      </c>
      <c r="J67" s="349">
        <v>2729</v>
      </c>
      <c r="K67" s="282"/>
      <c r="L67" s="282"/>
      <c r="M67" s="282"/>
      <c r="N67" s="282"/>
      <c r="O67" s="282"/>
      <c r="P67" s="282"/>
      <c r="Q67" s="282"/>
      <c r="R67" s="282"/>
      <c r="S67" s="282"/>
      <c r="T67" s="282"/>
      <c r="U67" s="282"/>
      <c r="V67" s="282"/>
      <c r="W67" s="282"/>
    </row>
    <row r="68" spans="1:23" s="377" customFormat="1" ht="14" customHeight="1">
      <c r="B68" s="758"/>
      <c r="C68" s="688"/>
      <c r="D68" s="682">
        <v>2023</v>
      </c>
      <c r="E68" s="752">
        <v>6353</v>
      </c>
      <c r="F68" s="349">
        <v>949</v>
      </c>
      <c r="G68" s="349">
        <v>147</v>
      </c>
      <c r="H68" s="349">
        <v>1000</v>
      </c>
      <c r="I68" s="349">
        <v>2200</v>
      </c>
      <c r="J68" s="349">
        <v>2057</v>
      </c>
      <c r="K68" s="282"/>
      <c r="L68" s="282"/>
      <c r="M68" s="282"/>
      <c r="N68" s="282"/>
      <c r="O68" s="282"/>
      <c r="P68" s="282"/>
      <c r="Q68" s="282"/>
      <c r="R68" s="282"/>
      <c r="S68" s="282"/>
      <c r="T68" s="282"/>
      <c r="U68" s="282"/>
      <c r="V68" s="282"/>
      <c r="W68" s="282"/>
    </row>
    <row r="69" spans="1:23" s="377" customFormat="1" ht="14" customHeight="1">
      <c r="B69" s="758"/>
      <c r="C69" s="688"/>
      <c r="D69" s="682">
        <v>2024</v>
      </c>
      <c r="E69" s="752">
        <v>4718</v>
      </c>
      <c r="F69" s="752">
        <v>757</v>
      </c>
      <c r="G69" s="752">
        <v>97</v>
      </c>
      <c r="H69" s="752">
        <v>613</v>
      </c>
      <c r="I69" s="752">
        <v>1317</v>
      </c>
      <c r="J69" s="349">
        <v>1934</v>
      </c>
      <c r="K69" s="282"/>
      <c r="L69" s="282"/>
      <c r="M69" s="282"/>
      <c r="N69" s="282"/>
      <c r="O69" s="282"/>
      <c r="P69" s="282"/>
      <c r="Q69" s="282"/>
      <c r="R69" s="282"/>
      <c r="S69" s="282"/>
      <c r="T69" s="282"/>
      <c r="U69" s="282"/>
      <c r="V69" s="282"/>
      <c r="W69" s="282"/>
    </row>
    <row r="70" spans="1:23" s="377" customFormat="1" ht="7.5" customHeight="1" thickBot="1">
      <c r="A70" s="402"/>
      <c r="B70" s="402"/>
      <c r="C70" s="402"/>
      <c r="D70" s="759"/>
      <c r="E70" s="760"/>
      <c r="F70" s="733"/>
      <c r="G70" s="761"/>
      <c r="H70" s="762"/>
      <c r="I70" s="761"/>
      <c r="J70" s="733"/>
      <c r="K70" s="402"/>
    </row>
    <row r="71" spans="1:23" s="698" customFormat="1" ht="16.5" customHeight="1">
      <c r="D71" s="763"/>
      <c r="E71" s="718"/>
      <c r="F71" s="717"/>
      <c r="G71" s="711"/>
      <c r="H71" s="710"/>
      <c r="I71" s="711"/>
      <c r="J71" s="717"/>
      <c r="K71" s="764" t="s">
        <v>780</v>
      </c>
    </row>
    <row r="72" spans="1:23" s="698" customFormat="1" ht="16.5" customHeight="1">
      <c r="D72" s="763"/>
      <c r="E72" s="718"/>
      <c r="F72" s="717"/>
      <c r="G72" s="711"/>
      <c r="H72" s="710"/>
      <c r="I72" s="711"/>
      <c r="J72" s="718"/>
      <c r="K72" s="702" t="s">
        <v>781</v>
      </c>
    </row>
    <row r="73" spans="1:23" s="698" customFormat="1" ht="16.5" customHeight="1">
      <c r="B73" s="703" t="s">
        <v>782</v>
      </c>
      <c r="C73" s="765"/>
      <c r="D73" s="699"/>
      <c r="E73" s="718"/>
      <c r="F73" s="717"/>
      <c r="G73" s="711"/>
      <c r="H73" s="710"/>
      <c r="I73" s="711"/>
      <c r="J73" s="718"/>
      <c r="K73" s="702"/>
    </row>
    <row r="74" spans="1:23" s="698" customFormat="1" ht="13">
      <c r="A74" s="704" t="s">
        <v>35</v>
      </c>
      <c r="B74" s="713" t="s">
        <v>810</v>
      </c>
      <c r="C74" s="714"/>
      <c r="D74" s="715"/>
      <c r="E74" s="716"/>
      <c r="F74" s="717"/>
      <c r="G74" s="717"/>
      <c r="H74" s="717"/>
      <c r="I74" s="717"/>
      <c r="J74" s="717"/>
      <c r="K74" s="717"/>
      <c r="L74" s="717"/>
    </row>
    <row r="75" spans="1:23" s="717" customFormat="1" ht="14" customHeight="1">
      <c r="A75" s="718"/>
      <c r="B75" s="719" t="s">
        <v>787</v>
      </c>
      <c r="C75" s="714"/>
      <c r="D75" s="715"/>
      <c r="E75" s="716"/>
    </row>
    <row r="76" spans="1:23" s="698" customFormat="1" ht="13" customHeight="1">
      <c r="A76" s="704" t="s">
        <v>38</v>
      </c>
      <c r="B76" s="720" t="s">
        <v>811</v>
      </c>
      <c r="C76" s="714"/>
      <c r="D76" s="715"/>
      <c r="E76" s="716"/>
      <c r="L76" s="717"/>
    </row>
    <row r="77" spans="1:23" s="698" customFormat="1" ht="14" customHeight="1">
      <c r="B77" s="719" t="s">
        <v>789</v>
      </c>
      <c r="C77" s="714"/>
      <c r="D77" s="715"/>
      <c r="E77" s="716"/>
      <c r="F77" s="717"/>
      <c r="G77" s="717"/>
      <c r="H77" s="717"/>
      <c r="I77" s="717"/>
      <c r="J77" s="717"/>
      <c r="K77" s="717"/>
      <c r="L77" s="717"/>
    </row>
  </sheetData>
  <mergeCells count="3">
    <mergeCell ref="G6:I6"/>
    <mergeCell ref="F7:F8"/>
    <mergeCell ref="G7:I7"/>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CECA-DE7F-479A-8DFD-F2AFD0A50B83}">
  <sheetPr codeName="Sheet52">
    <pageSetUpPr fitToPage="1"/>
  </sheetPr>
  <dimension ref="A1:L83"/>
  <sheetViews>
    <sheetView view="pageBreakPreview" zoomScale="90" zoomScaleNormal="100" zoomScaleSheetLayoutView="90" workbookViewId="0">
      <selection activeCell="D60" sqref="D60"/>
    </sheetView>
  </sheetViews>
  <sheetFormatPr baseColWidth="10" defaultColWidth="8.83203125" defaultRowHeight="15"/>
  <cols>
    <col min="1" max="1" width="3.6640625" customWidth="1"/>
    <col min="3" max="3" width="14" customWidth="1"/>
    <col min="4" max="4" width="25.6640625" customWidth="1"/>
    <col min="5" max="5" width="17.5" customWidth="1"/>
    <col min="6" max="7" width="11.5" customWidth="1"/>
    <col min="8" max="8" width="17" customWidth="1"/>
    <col min="9" max="9" width="14.5" customWidth="1"/>
    <col min="10" max="10" width="2.6640625" customWidth="1"/>
  </cols>
  <sheetData>
    <row r="1" spans="1:12" s="290" customFormat="1" ht="8.25" customHeight="1">
      <c r="D1" s="724"/>
      <c r="G1" s="725"/>
      <c r="H1" s="725"/>
      <c r="I1" s="725"/>
    </row>
    <row r="2" spans="1:12" s="290" customFormat="1" ht="16.5" customHeight="1">
      <c r="A2" s="651"/>
      <c r="B2" s="651" t="s">
        <v>812</v>
      </c>
      <c r="C2" s="723" t="s">
        <v>813</v>
      </c>
      <c r="D2" s="766"/>
      <c r="E2" s="723"/>
      <c r="F2" s="723"/>
      <c r="G2" s="651"/>
      <c r="H2" s="651"/>
      <c r="I2" s="651"/>
      <c r="J2" s="723"/>
      <c r="K2" s="723"/>
      <c r="L2" s="723"/>
    </row>
    <row r="3" spans="1:12" s="290" customFormat="1" ht="14.25" customHeight="1">
      <c r="A3" s="651"/>
      <c r="B3" s="651"/>
      <c r="C3" s="767" t="s">
        <v>814</v>
      </c>
      <c r="D3" s="766"/>
      <c r="E3" s="723"/>
      <c r="F3" s="723"/>
      <c r="G3" s="651"/>
      <c r="H3" s="651"/>
      <c r="I3" s="651"/>
      <c r="J3" s="723"/>
      <c r="K3" s="723"/>
      <c r="L3" s="723"/>
    </row>
    <row r="4" spans="1:12" s="290" customFormat="1" ht="16.5" customHeight="1">
      <c r="A4" s="768"/>
      <c r="B4" s="768" t="s">
        <v>815</v>
      </c>
      <c r="C4" s="729" t="s">
        <v>816</v>
      </c>
      <c r="D4" s="769"/>
      <c r="E4" s="729"/>
      <c r="F4" s="729"/>
      <c r="G4" s="768"/>
      <c r="H4" s="768"/>
      <c r="I4" s="768"/>
      <c r="J4" s="729"/>
      <c r="K4" s="729"/>
    </row>
    <row r="5" spans="1:12" s="480" customFormat="1" ht="8.25" customHeight="1" thickBot="1">
      <c r="A5" s="658"/>
      <c r="B5" s="658"/>
      <c r="C5" s="658"/>
      <c r="D5" s="770"/>
      <c r="E5" s="658"/>
      <c r="F5" s="658"/>
      <c r="G5" s="771"/>
      <c r="H5" s="771"/>
      <c r="I5" s="771"/>
      <c r="J5" s="660"/>
      <c r="K5" s="660"/>
    </row>
    <row r="6" spans="1:12" s="480" customFormat="1" ht="18.75" customHeight="1">
      <c r="A6" s="772"/>
      <c r="B6" s="773"/>
      <c r="C6" s="774"/>
      <c r="D6" s="775"/>
      <c r="E6" s="776" t="s">
        <v>817</v>
      </c>
      <c r="F6" s="776"/>
      <c r="G6" s="1360" t="s">
        <v>818</v>
      </c>
      <c r="H6" s="1360"/>
      <c r="I6" s="1360"/>
      <c r="J6" s="777"/>
      <c r="K6" s="778"/>
    </row>
    <row r="7" spans="1:12" s="480" customFormat="1" ht="18.75" customHeight="1" thickBot="1">
      <c r="A7" s="484"/>
      <c r="B7" s="779" t="s">
        <v>819</v>
      </c>
      <c r="C7" s="484"/>
      <c r="D7" s="777" t="s">
        <v>766</v>
      </c>
      <c r="E7" s="780" t="s">
        <v>820</v>
      </c>
      <c r="F7" s="780"/>
      <c r="G7" s="781"/>
      <c r="H7" s="782" t="s">
        <v>821</v>
      </c>
      <c r="I7" s="781"/>
      <c r="J7" s="783"/>
    </row>
    <row r="8" spans="1:12" s="480" customFormat="1" ht="27.5" customHeight="1">
      <c r="A8" s="784"/>
      <c r="B8" s="785" t="s">
        <v>822</v>
      </c>
      <c r="C8" s="784"/>
      <c r="D8" s="786" t="s">
        <v>772</v>
      </c>
      <c r="E8" s="787" t="s">
        <v>823</v>
      </c>
      <c r="F8" s="788"/>
      <c r="G8" s="789" t="s">
        <v>386</v>
      </c>
      <c r="H8" s="789" t="s">
        <v>824</v>
      </c>
      <c r="I8" s="789" t="s">
        <v>825</v>
      </c>
      <c r="J8" s="790"/>
    </row>
    <row r="9" spans="1:12" s="795" customFormat="1" ht="18.75" customHeight="1" thickBot="1">
      <c r="A9" s="791"/>
      <c r="B9" s="791"/>
      <c r="C9" s="792"/>
      <c r="D9" s="793"/>
      <c r="E9" s="793"/>
      <c r="F9" s="793"/>
      <c r="G9" s="794" t="s">
        <v>387</v>
      </c>
      <c r="H9" s="794" t="s">
        <v>776</v>
      </c>
      <c r="I9" s="794" t="s">
        <v>826</v>
      </c>
      <c r="J9" s="786"/>
    </row>
    <row r="10" spans="1:12" s="480" customFormat="1" ht="8.25" customHeight="1">
      <c r="A10" s="796"/>
      <c r="B10" s="796"/>
      <c r="C10" s="796"/>
      <c r="D10" s="310"/>
      <c r="E10" s="797"/>
      <c r="F10" s="797"/>
      <c r="G10" s="797"/>
      <c r="H10" s="797"/>
      <c r="I10" s="797"/>
      <c r="J10" s="797"/>
    </row>
    <row r="11" spans="1:12" s="480" customFormat="1" ht="13.5" customHeight="1">
      <c r="A11" s="796"/>
      <c r="B11" s="796" t="s">
        <v>807</v>
      </c>
      <c r="D11" s="310">
        <v>2021</v>
      </c>
      <c r="E11" s="797">
        <v>567516</v>
      </c>
      <c r="F11" s="797"/>
      <c r="G11" s="797">
        <v>15044</v>
      </c>
      <c r="H11" s="797">
        <v>8877</v>
      </c>
      <c r="I11" s="797">
        <v>6167</v>
      </c>
      <c r="J11" s="797"/>
    </row>
    <row r="12" spans="1:12" s="480" customFormat="1" ht="13.5" customHeight="1">
      <c r="A12" s="496"/>
      <c r="B12" s="496"/>
      <c r="D12" s="310">
        <v>2022</v>
      </c>
      <c r="E12" s="797">
        <v>418237</v>
      </c>
      <c r="F12" s="797"/>
      <c r="G12" s="797">
        <v>17236</v>
      </c>
      <c r="H12" s="797">
        <v>12602</v>
      </c>
      <c r="I12" s="797">
        <v>4634</v>
      </c>
      <c r="J12" s="683"/>
    </row>
    <row r="13" spans="1:12" s="480" customFormat="1" ht="13.5" customHeight="1">
      <c r="A13" s="496"/>
      <c r="B13" s="496"/>
      <c r="D13" s="310">
        <v>2023</v>
      </c>
      <c r="E13" s="797">
        <v>370286</v>
      </c>
      <c r="F13" s="683"/>
      <c r="G13" s="797">
        <v>23069</v>
      </c>
      <c r="H13" s="797">
        <v>18530</v>
      </c>
      <c r="I13" s="797">
        <v>4539</v>
      </c>
      <c r="J13" s="683"/>
    </row>
    <row r="14" spans="1:12" s="480" customFormat="1" ht="6.75" customHeight="1">
      <c r="A14" s="496"/>
      <c r="B14" s="496"/>
      <c r="D14" s="682"/>
      <c r="E14" s="683"/>
      <c r="F14" s="683"/>
      <c r="G14" s="683"/>
      <c r="H14" s="683"/>
      <c r="I14" s="683"/>
      <c r="J14" s="683"/>
    </row>
    <row r="15" spans="1:12" s="480" customFormat="1" ht="13.5" customHeight="1">
      <c r="A15" s="685"/>
      <c r="B15" s="685" t="s">
        <v>250</v>
      </c>
      <c r="D15" s="682">
        <v>2021</v>
      </c>
      <c r="E15" s="683">
        <v>82502</v>
      </c>
      <c r="F15" s="683"/>
      <c r="G15" s="683">
        <v>1609</v>
      </c>
      <c r="H15" s="683">
        <v>569</v>
      </c>
      <c r="I15" s="683">
        <v>1040</v>
      </c>
      <c r="J15" s="683"/>
    </row>
    <row r="16" spans="1:12" s="480" customFormat="1" ht="13.5" customHeight="1">
      <c r="A16" s="685"/>
      <c r="B16" s="685"/>
      <c r="D16" s="682">
        <v>2022</v>
      </c>
      <c r="E16" s="683">
        <v>58207</v>
      </c>
      <c r="F16" s="683"/>
      <c r="G16" s="683">
        <v>1735</v>
      </c>
      <c r="H16" s="683">
        <v>1038</v>
      </c>
      <c r="I16" s="683">
        <v>697</v>
      </c>
      <c r="J16" s="683"/>
    </row>
    <row r="17" spans="1:10" s="480" customFormat="1" ht="13.5" customHeight="1">
      <c r="A17" s="685"/>
      <c r="B17" s="685"/>
      <c r="D17" s="682">
        <v>2023</v>
      </c>
      <c r="E17" s="683">
        <v>49559</v>
      </c>
      <c r="F17" s="683"/>
      <c r="G17" s="683">
        <v>1786</v>
      </c>
      <c r="H17" s="683">
        <v>1172</v>
      </c>
      <c r="I17" s="683">
        <v>614</v>
      </c>
      <c r="J17" s="683"/>
    </row>
    <row r="18" spans="1:10" s="480" customFormat="1" ht="6.75" customHeight="1">
      <c r="A18" s="685"/>
      <c r="B18" s="685"/>
      <c r="C18" s="798"/>
      <c r="D18" s="682"/>
      <c r="E18" s="683"/>
      <c r="F18" s="683"/>
      <c r="G18" s="683"/>
      <c r="H18" s="683"/>
      <c r="I18" s="683"/>
      <c r="J18" s="683"/>
    </row>
    <row r="19" spans="1:10" s="480" customFormat="1" ht="13.5" customHeight="1">
      <c r="A19" s="690"/>
      <c r="B19" s="690" t="s">
        <v>251</v>
      </c>
      <c r="D19" s="682">
        <v>2021</v>
      </c>
      <c r="E19" s="683">
        <v>24867</v>
      </c>
      <c r="F19" s="683"/>
      <c r="G19" s="683">
        <v>1445</v>
      </c>
      <c r="H19" s="683">
        <v>999</v>
      </c>
      <c r="I19" s="683">
        <v>446</v>
      </c>
      <c r="J19" s="683"/>
    </row>
    <row r="20" spans="1:10" s="480" customFormat="1" ht="13.5" customHeight="1">
      <c r="A20" s="690"/>
      <c r="B20" s="690"/>
      <c r="D20" s="682">
        <v>2022</v>
      </c>
      <c r="E20" s="683">
        <v>19651</v>
      </c>
      <c r="F20" s="683"/>
      <c r="G20" s="683">
        <v>1517</v>
      </c>
      <c r="H20" s="683">
        <v>1163</v>
      </c>
      <c r="I20" s="683">
        <v>354</v>
      </c>
      <c r="J20" s="683"/>
    </row>
    <row r="21" spans="1:10" s="480" customFormat="1" ht="13.5" customHeight="1">
      <c r="A21" s="690"/>
      <c r="B21" s="690"/>
      <c r="D21" s="682">
        <v>2023</v>
      </c>
      <c r="E21" s="683">
        <v>18414</v>
      </c>
      <c r="F21" s="683"/>
      <c r="G21" s="683">
        <v>2028</v>
      </c>
      <c r="H21" s="683">
        <v>1622</v>
      </c>
      <c r="I21" s="683">
        <v>406</v>
      </c>
      <c r="J21" s="683"/>
    </row>
    <row r="22" spans="1:10" s="480" customFormat="1" ht="6" customHeight="1">
      <c r="A22" s="694"/>
      <c r="B22" s="694"/>
      <c r="D22" s="682"/>
      <c r="E22" s="683"/>
      <c r="F22" s="683"/>
      <c r="G22" s="683"/>
      <c r="H22" s="683"/>
      <c r="I22" s="683"/>
      <c r="J22" s="683"/>
    </row>
    <row r="23" spans="1:10" s="480" customFormat="1" ht="13.5" customHeight="1">
      <c r="A23" s="690"/>
      <c r="B23" s="690" t="s">
        <v>252</v>
      </c>
      <c r="D23" s="682">
        <v>2021</v>
      </c>
      <c r="E23" s="683">
        <v>11295</v>
      </c>
      <c r="F23" s="683"/>
      <c r="G23" s="683">
        <v>1813</v>
      </c>
      <c r="H23" s="683">
        <v>1475</v>
      </c>
      <c r="I23" s="683">
        <v>338</v>
      </c>
      <c r="J23" s="683"/>
    </row>
    <row r="24" spans="1:10" s="480" customFormat="1" ht="13.5" customHeight="1">
      <c r="A24" s="690"/>
      <c r="B24" s="690"/>
      <c r="D24" s="682">
        <v>2022</v>
      </c>
      <c r="E24" s="683">
        <v>9752</v>
      </c>
      <c r="F24" s="683"/>
      <c r="G24" s="683">
        <v>2168</v>
      </c>
      <c r="H24" s="683">
        <v>1892</v>
      </c>
      <c r="I24" s="683">
        <v>276</v>
      </c>
      <c r="J24" s="683"/>
    </row>
    <row r="25" spans="1:10" s="480" customFormat="1" ht="13.5" customHeight="1">
      <c r="A25" s="690"/>
      <c r="B25" s="690"/>
      <c r="D25" s="682">
        <v>2023</v>
      </c>
      <c r="E25" s="683">
        <v>7982</v>
      </c>
      <c r="F25" s="683"/>
      <c r="G25" s="683">
        <v>2042</v>
      </c>
      <c r="H25" s="683">
        <v>1818</v>
      </c>
      <c r="I25" s="683">
        <v>224</v>
      </c>
      <c r="J25" s="683"/>
    </row>
    <row r="26" spans="1:10" s="480" customFormat="1" ht="6.75" customHeight="1">
      <c r="A26" s="799"/>
      <c r="B26" s="799"/>
      <c r="D26" s="682"/>
      <c r="E26" s="683"/>
      <c r="F26" s="683"/>
      <c r="G26" s="683"/>
      <c r="H26" s="683"/>
      <c r="I26" s="683"/>
      <c r="J26" s="683"/>
    </row>
    <row r="27" spans="1:10" s="480" customFormat="1" ht="13.5" customHeight="1">
      <c r="A27" s="690"/>
      <c r="B27" s="690" t="s">
        <v>253</v>
      </c>
      <c r="D27" s="682">
        <v>2021</v>
      </c>
      <c r="E27" s="683">
        <v>19593</v>
      </c>
      <c r="F27" s="683"/>
      <c r="G27" s="683">
        <v>406</v>
      </c>
      <c r="H27" s="683">
        <v>189</v>
      </c>
      <c r="I27" s="683">
        <v>217</v>
      </c>
      <c r="J27" s="683"/>
    </row>
    <row r="28" spans="1:10" s="480" customFormat="1" ht="13.5" customHeight="1">
      <c r="A28" s="690"/>
      <c r="B28" s="690"/>
      <c r="D28" s="682">
        <v>2022</v>
      </c>
      <c r="E28" s="683">
        <v>14543</v>
      </c>
      <c r="F28" s="683"/>
      <c r="G28" s="683">
        <v>386</v>
      </c>
      <c r="H28" s="683">
        <v>235</v>
      </c>
      <c r="I28" s="683">
        <v>151</v>
      </c>
      <c r="J28" s="683"/>
    </row>
    <row r="29" spans="1:10" s="480" customFormat="1" ht="13.5" customHeight="1">
      <c r="A29" s="690"/>
      <c r="B29" s="690"/>
      <c r="D29" s="682">
        <v>2023</v>
      </c>
      <c r="E29" s="683">
        <v>13049</v>
      </c>
      <c r="F29" s="683"/>
      <c r="G29" s="683">
        <v>699</v>
      </c>
      <c r="H29" s="683">
        <v>563</v>
      </c>
      <c r="I29" s="683">
        <v>136</v>
      </c>
      <c r="J29" s="683"/>
    </row>
    <row r="30" spans="1:10" s="480" customFormat="1" ht="6.75" customHeight="1">
      <c r="A30" s="690"/>
      <c r="B30" s="690"/>
      <c r="D30" s="682"/>
      <c r="E30" s="683"/>
      <c r="F30" s="683"/>
      <c r="G30" s="683"/>
      <c r="H30" s="683"/>
      <c r="I30" s="683"/>
      <c r="J30" s="683"/>
    </row>
    <row r="31" spans="1:10" s="480" customFormat="1" ht="13.5" customHeight="1">
      <c r="A31" s="690"/>
      <c r="B31" s="690" t="s">
        <v>254</v>
      </c>
      <c r="D31" s="682">
        <v>2021</v>
      </c>
      <c r="E31" s="683">
        <v>25838</v>
      </c>
      <c r="F31" s="683"/>
      <c r="G31" s="683">
        <v>1313</v>
      </c>
      <c r="H31" s="683">
        <v>976</v>
      </c>
      <c r="I31" s="683">
        <v>337</v>
      </c>
      <c r="J31" s="683"/>
    </row>
    <row r="32" spans="1:10" s="480" customFormat="1" ht="13.5" customHeight="1">
      <c r="A32" s="690"/>
      <c r="B32" s="690"/>
      <c r="D32" s="682">
        <v>2022</v>
      </c>
      <c r="E32" s="683">
        <v>19905</v>
      </c>
      <c r="F32" s="683"/>
      <c r="G32" s="683">
        <v>1800</v>
      </c>
      <c r="H32" s="683">
        <v>1565</v>
      </c>
      <c r="I32" s="683">
        <v>235</v>
      </c>
      <c r="J32" s="683"/>
    </row>
    <row r="33" spans="1:10" s="480" customFormat="1" ht="13.5" customHeight="1">
      <c r="A33" s="690"/>
      <c r="B33" s="690"/>
      <c r="D33" s="682">
        <v>2023</v>
      </c>
      <c r="E33" s="683">
        <v>18014</v>
      </c>
      <c r="F33" s="683"/>
      <c r="G33" s="683">
        <v>1711</v>
      </c>
      <c r="H33" s="683">
        <v>1462</v>
      </c>
      <c r="I33" s="683">
        <v>249</v>
      </c>
      <c r="J33" s="683"/>
    </row>
    <row r="34" spans="1:10" s="480" customFormat="1" ht="6.75" customHeight="1">
      <c r="A34" s="690"/>
      <c r="B34" s="690"/>
      <c r="D34" s="682"/>
      <c r="E34" s="683"/>
      <c r="F34" s="683"/>
      <c r="G34" s="683"/>
      <c r="H34" s="683"/>
      <c r="I34" s="683"/>
      <c r="J34" s="683"/>
    </row>
    <row r="35" spans="1:10" s="480" customFormat="1" ht="13.5" customHeight="1">
      <c r="A35" s="690"/>
      <c r="B35" s="690" t="s">
        <v>255</v>
      </c>
      <c r="D35" s="682">
        <v>2021</v>
      </c>
      <c r="E35" s="683">
        <v>21196</v>
      </c>
      <c r="F35" s="683"/>
      <c r="G35" s="683">
        <v>867</v>
      </c>
      <c r="H35" s="683">
        <v>413</v>
      </c>
      <c r="I35" s="683">
        <v>454</v>
      </c>
      <c r="J35" s="683"/>
    </row>
    <row r="36" spans="1:10" s="480" customFormat="1" ht="13.5" customHeight="1">
      <c r="A36" s="690"/>
      <c r="B36" s="690"/>
      <c r="D36" s="682">
        <v>2022</v>
      </c>
      <c r="E36" s="683">
        <v>17000</v>
      </c>
      <c r="F36" s="683"/>
      <c r="G36" s="683">
        <v>805</v>
      </c>
      <c r="H36" s="683">
        <v>449</v>
      </c>
      <c r="I36" s="683">
        <v>356</v>
      </c>
      <c r="J36" s="683"/>
    </row>
    <row r="37" spans="1:10" s="480" customFormat="1" ht="13.5" customHeight="1">
      <c r="A37" s="690"/>
      <c r="B37" s="690"/>
      <c r="D37" s="682">
        <v>2023</v>
      </c>
      <c r="E37" s="683">
        <v>15120</v>
      </c>
      <c r="F37" s="683"/>
      <c r="G37" s="683">
        <v>929</v>
      </c>
      <c r="H37" s="683">
        <v>610</v>
      </c>
      <c r="I37" s="683">
        <v>319</v>
      </c>
      <c r="J37" s="683"/>
    </row>
    <row r="38" spans="1:10" s="480" customFormat="1" ht="6.75" customHeight="1">
      <c r="A38" s="690"/>
      <c r="B38" s="690"/>
      <c r="D38" s="682"/>
      <c r="E38" s="683"/>
      <c r="F38" s="683"/>
      <c r="G38" s="683"/>
      <c r="H38" s="683"/>
      <c r="I38" s="683"/>
      <c r="J38" s="683"/>
    </row>
    <row r="39" spans="1:10" s="480" customFormat="1" ht="13.5" customHeight="1">
      <c r="A39" s="690"/>
      <c r="B39" s="690" t="s">
        <v>256</v>
      </c>
      <c r="D39" s="682">
        <v>2021</v>
      </c>
      <c r="E39" s="683">
        <v>47198</v>
      </c>
      <c r="F39" s="683"/>
      <c r="G39" s="683">
        <v>544</v>
      </c>
      <c r="H39" s="683">
        <v>152</v>
      </c>
      <c r="I39" s="683">
        <v>392</v>
      </c>
      <c r="J39" s="683"/>
    </row>
    <row r="40" spans="1:10" s="480" customFormat="1" ht="13.5" customHeight="1">
      <c r="A40" s="690"/>
      <c r="B40" s="690"/>
      <c r="D40" s="682">
        <v>2022</v>
      </c>
      <c r="E40" s="683">
        <v>35234</v>
      </c>
      <c r="F40" s="683"/>
      <c r="G40" s="683">
        <v>531</v>
      </c>
      <c r="H40" s="683">
        <v>244</v>
      </c>
      <c r="I40" s="683">
        <v>287</v>
      </c>
      <c r="J40" s="683"/>
    </row>
    <row r="41" spans="1:10" s="480" customFormat="1" ht="13.5" customHeight="1">
      <c r="A41" s="690"/>
      <c r="B41" s="690"/>
      <c r="D41" s="682">
        <v>2023</v>
      </c>
      <c r="E41" s="683">
        <v>32792</v>
      </c>
      <c r="F41" s="683"/>
      <c r="G41" s="683">
        <v>4541</v>
      </c>
      <c r="H41" s="683">
        <v>4213</v>
      </c>
      <c r="I41" s="683">
        <v>328</v>
      </c>
      <c r="J41" s="683"/>
    </row>
    <row r="42" spans="1:10" s="480" customFormat="1" ht="6.75" customHeight="1">
      <c r="A42" s="690"/>
      <c r="B42" s="690"/>
      <c r="D42" s="682"/>
      <c r="E42" s="683"/>
      <c r="F42" s="683"/>
      <c r="G42" s="683"/>
      <c r="H42" s="683"/>
      <c r="I42" s="683"/>
      <c r="J42" s="683"/>
    </row>
    <row r="43" spans="1:10" s="480" customFormat="1" ht="13.5" customHeight="1">
      <c r="A43" s="690"/>
      <c r="B43" s="690" t="s">
        <v>257</v>
      </c>
      <c r="D43" s="682">
        <v>2021</v>
      </c>
      <c r="E43" s="683">
        <v>39720</v>
      </c>
      <c r="F43" s="683"/>
      <c r="G43" s="683">
        <v>1727</v>
      </c>
      <c r="H43" s="683">
        <v>1060</v>
      </c>
      <c r="I43" s="683">
        <v>667</v>
      </c>
      <c r="J43" s="683"/>
    </row>
    <row r="44" spans="1:10" s="480" customFormat="1" ht="13.5" customHeight="1">
      <c r="A44" s="690"/>
      <c r="B44" s="690"/>
      <c r="D44" s="682">
        <v>2022</v>
      </c>
      <c r="E44" s="683">
        <v>30669</v>
      </c>
      <c r="F44" s="683"/>
      <c r="G44" s="683">
        <v>2394</v>
      </c>
      <c r="H44" s="683">
        <v>1903</v>
      </c>
      <c r="I44" s="683">
        <v>491</v>
      </c>
      <c r="J44" s="683"/>
    </row>
    <row r="45" spans="1:10" s="480" customFormat="1" ht="13.5" customHeight="1">
      <c r="A45" s="690"/>
      <c r="B45" s="690"/>
      <c r="D45" s="682">
        <v>2023</v>
      </c>
      <c r="E45" s="683">
        <v>28148</v>
      </c>
      <c r="F45" s="683"/>
      <c r="G45" s="683">
        <v>2806</v>
      </c>
      <c r="H45" s="683">
        <v>2231</v>
      </c>
      <c r="I45" s="683">
        <v>575</v>
      </c>
      <c r="J45" s="683"/>
    </row>
    <row r="46" spans="1:10" s="480" customFormat="1" ht="6.75" customHeight="1">
      <c r="A46" s="690"/>
      <c r="B46" s="690"/>
      <c r="D46" s="682"/>
      <c r="E46" s="683"/>
      <c r="F46" s="683"/>
      <c r="G46" s="683"/>
      <c r="H46" s="683"/>
      <c r="I46" s="683"/>
      <c r="J46" s="683"/>
    </row>
    <row r="47" spans="1:10" s="480" customFormat="1" ht="13.5" customHeight="1">
      <c r="A47" s="690"/>
      <c r="B47" s="690" t="s">
        <v>258</v>
      </c>
      <c r="D47" s="682">
        <v>2021</v>
      </c>
      <c r="E47" s="683">
        <v>2098</v>
      </c>
      <c r="F47" s="683"/>
      <c r="G47" s="683">
        <v>292</v>
      </c>
      <c r="H47" s="683">
        <v>216</v>
      </c>
      <c r="I47" s="683">
        <v>76</v>
      </c>
      <c r="J47" s="683"/>
    </row>
    <row r="48" spans="1:10" s="480" customFormat="1" ht="13.5" customHeight="1">
      <c r="A48" s="690"/>
      <c r="B48" s="690"/>
      <c r="D48" s="682">
        <v>2022</v>
      </c>
      <c r="E48" s="683">
        <v>1615</v>
      </c>
      <c r="F48" s="683"/>
      <c r="G48" s="683">
        <v>245</v>
      </c>
      <c r="H48" s="683">
        <v>199</v>
      </c>
      <c r="I48" s="683">
        <v>46</v>
      </c>
      <c r="J48" s="683"/>
    </row>
    <row r="49" spans="1:10" s="480" customFormat="1" ht="13.5" customHeight="1">
      <c r="A49" s="690"/>
      <c r="B49" s="690"/>
      <c r="D49" s="682">
        <v>2023</v>
      </c>
      <c r="E49" s="683">
        <v>1593</v>
      </c>
      <c r="F49" s="683"/>
      <c r="G49" s="683">
        <v>241</v>
      </c>
      <c r="H49" s="683">
        <v>199</v>
      </c>
      <c r="I49" s="683">
        <v>42</v>
      </c>
      <c r="J49" s="683"/>
    </row>
    <row r="50" spans="1:10" s="480" customFormat="1" ht="6.75" customHeight="1">
      <c r="A50" s="690"/>
      <c r="B50" s="690"/>
      <c r="D50" s="682"/>
      <c r="E50" s="683"/>
      <c r="F50" s="683"/>
      <c r="G50" s="683"/>
      <c r="H50" s="683"/>
      <c r="I50" s="683"/>
      <c r="J50" s="683"/>
    </row>
    <row r="51" spans="1:10" s="480" customFormat="1" ht="13.5" customHeight="1">
      <c r="A51" s="692"/>
      <c r="B51" s="692" t="s">
        <v>259</v>
      </c>
      <c r="D51" s="682">
        <v>2021</v>
      </c>
      <c r="E51" s="683">
        <v>168222</v>
      </c>
      <c r="F51" s="683"/>
      <c r="G51" s="683">
        <v>1878</v>
      </c>
      <c r="H51" s="683">
        <v>824</v>
      </c>
      <c r="I51" s="683">
        <v>1054</v>
      </c>
      <c r="J51" s="683"/>
    </row>
    <row r="52" spans="1:10" s="480" customFormat="1" ht="13.5" customHeight="1">
      <c r="A52" s="692"/>
      <c r="B52" s="692"/>
      <c r="D52" s="682">
        <v>2022</v>
      </c>
      <c r="E52" s="683">
        <v>123230</v>
      </c>
      <c r="F52" s="683"/>
      <c r="G52" s="683">
        <v>3191</v>
      </c>
      <c r="H52" s="683">
        <v>2386</v>
      </c>
      <c r="I52" s="683">
        <v>805</v>
      </c>
      <c r="J52" s="683"/>
    </row>
    <row r="53" spans="1:10" s="480" customFormat="1" ht="13.5" customHeight="1">
      <c r="A53" s="692"/>
      <c r="B53" s="692"/>
      <c r="D53" s="682">
        <v>2023</v>
      </c>
      <c r="E53" s="683">
        <v>108564</v>
      </c>
      <c r="F53" s="683"/>
      <c r="G53" s="683">
        <v>2915</v>
      </c>
      <c r="H53" s="683">
        <v>2173</v>
      </c>
      <c r="I53" s="683">
        <v>742</v>
      </c>
      <c r="J53" s="683"/>
    </row>
    <row r="54" spans="1:10" s="480" customFormat="1" ht="6.75" customHeight="1">
      <c r="A54" s="694"/>
      <c r="B54" s="694"/>
      <c r="D54" s="682"/>
      <c r="E54" s="683"/>
      <c r="F54" s="683"/>
      <c r="G54" s="683"/>
      <c r="H54" s="683"/>
      <c r="I54" s="683"/>
      <c r="J54" s="683"/>
    </row>
    <row r="55" spans="1:10" s="480" customFormat="1" ht="13.5" customHeight="1">
      <c r="A55" s="692"/>
      <c r="B55" s="692" t="s">
        <v>260</v>
      </c>
      <c r="D55" s="682">
        <v>2021</v>
      </c>
      <c r="E55" s="683">
        <v>11355</v>
      </c>
      <c r="F55" s="683"/>
      <c r="G55" s="683">
        <v>734</v>
      </c>
      <c r="H55" s="683">
        <v>457</v>
      </c>
      <c r="I55" s="683">
        <v>277</v>
      </c>
      <c r="J55" s="683"/>
    </row>
    <row r="56" spans="1:10" s="480" customFormat="1" ht="13.5" customHeight="1">
      <c r="A56" s="692"/>
      <c r="B56" s="692"/>
      <c r="D56" s="682">
        <v>2022</v>
      </c>
      <c r="E56" s="683">
        <v>9152</v>
      </c>
      <c r="F56" s="683"/>
      <c r="G56" s="683">
        <v>622</v>
      </c>
      <c r="H56" s="683">
        <v>384</v>
      </c>
      <c r="I56" s="683">
        <v>238</v>
      </c>
      <c r="J56" s="683"/>
    </row>
    <row r="57" spans="1:10" s="480" customFormat="1" ht="13.5" customHeight="1">
      <c r="A57" s="692"/>
      <c r="B57" s="692"/>
      <c r="D57" s="682">
        <v>2023</v>
      </c>
      <c r="E57" s="683">
        <v>8458</v>
      </c>
      <c r="F57" s="683"/>
      <c r="G57" s="683">
        <v>642</v>
      </c>
      <c r="H57" s="683">
        <v>452</v>
      </c>
      <c r="I57" s="683">
        <v>190</v>
      </c>
      <c r="J57" s="683"/>
    </row>
    <row r="58" spans="1:10" s="480" customFormat="1" ht="6.75" customHeight="1">
      <c r="A58" s="694"/>
      <c r="B58" s="694"/>
      <c r="D58" s="682"/>
      <c r="E58" s="683"/>
      <c r="F58" s="683"/>
      <c r="G58" s="683"/>
      <c r="H58" s="683"/>
      <c r="I58" s="683"/>
      <c r="J58" s="683"/>
    </row>
    <row r="59" spans="1:10" s="480" customFormat="1" ht="13.5" customHeight="1">
      <c r="A59" s="692"/>
      <c r="B59" s="692" t="s">
        <v>261</v>
      </c>
      <c r="D59" s="682">
        <v>2021</v>
      </c>
      <c r="E59" s="683">
        <v>17902</v>
      </c>
      <c r="F59" s="683"/>
      <c r="G59" s="683">
        <v>916</v>
      </c>
      <c r="H59" s="683">
        <v>632</v>
      </c>
      <c r="I59" s="683">
        <v>284</v>
      </c>
      <c r="J59" s="683"/>
    </row>
    <row r="60" spans="1:10" s="480" customFormat="1" ht="13.5" customHeight="1">
      <c r="A60" s="692"/>
      <c r="B60" s="692"/>
      <c r="D60" s="682">
        <v>2022</v>
      </c>
      <c r="E60" s="683">
        <v>12498</v>
      </c>
      <c r="F60" s="683"/>
      <c r="G60" s="683">
        <v>582</v>
      </c>
      <c r="H60" s="683">
        <v>368</v>
      </c>
      <c r="I60" s="683">
        <v>214</v>
      </c>
      <c r="J60" s="683"/>
    </row>
    <row r="61" spans="1:10" s="480" customFormat="1" ht="13.5" customHeight="1">
      <c r="A61" s="692"/>
      <c r="B61" s="692"/>
      <c r="D61" s="682">
        <v>2023</v>
      </c>
      <c r="E61" s="683">
        <v>12563</v>
      </c>
      <c r="F61" s="683"/>
      <c r="G61" s="683">
        <v>578</v>
      </c>
      <c r="H61" s="683">
        <v>365</v>
      </c>
      <c r="I61" s="683">
        <v>213</v>
      </c>
      <c r="J61" s="683"/>
    </row>
    <row r="62" spans="1:10" s="480" customFormat="1" ht="6.75" customHeight="1">
      <c r="A62" s="694"/>
      <c r="B62" s="694"/>
      <c r="D62" s="682"/>
      <c r="E62" s="683"/>
      <c r="F62" s="683"/>
      <c r="G62" s="683"/>
      <c r="H62" s="683"/>
      <c r="I62" s="683"/>
      <c r="J62" s="683"/>
    </row>
    <row r="63" spans="1:10" s="480" customFormat="1" ht="13.5" customHeight="1">
      <c r="A63" s="690"/>
      <c r="B63" s="690" t="s">
        <v>262</v>
      </c>
      <c r="D63" s="682">
        <v>2021</v>
      </c>
      <c r="E63" s="683">
        <v>21341</v>
      </c>
      <c r="F63" s="683"/>
      <c r="G63" s="683">
        <v>883</v>
      </c>
      <c r="H63" s="683">
        <v>514</v>
      </c>
      <c r="I63" s="683">
        <v>369</v>
      </c>
      <c r="J63" s="683"/>
    </row>
    <row r="64" spans="1:10" s="480" customFormat="1" ht="13.5" customHeight="1">
      <c r="A64" s="690"/>
      <c r="B64" s="690"/>
      <c r="D64" s="682">
        <v>2022</v>
      </c>
      <c r="E64" s="683">
        <v>16158</v>
      </c>
      <c r="F64" s="683"/>
      <c r="G64" s="683">
        <v>818</v>
      </c>
      <c r="H64" s="683">
        <v>503</v>
      </c>
      <c r="I64" s="683">
        <v>315</v>
      </c>
      <c r="J64" s="683"/>
    </row>
    <row r="65" spans="1:11" s="480" customFormat="1" ht="13.5" customHeight="1">
      <c r="A65" s="690"/>
      <c r="B65" s="690"/>
      <c r="D65" s="682">
        <v>2023</v>
      </c>
      <c r="E65" s="683">
        <v>14231</v>
      </c>
      <c r="F65" s="683"/>
      <c r="G65" s="683">
        <v>880</v>
      </c>
      <c r="H65" s="683">
        <v>554</v>
      </c>
      <c r="I65" s="683">
        <v>326</v>
      </c>
      <c r="J65" s="683"/>
    </row>
    <row r="66" spans="1:11" s="480" customFormat="1" ht="6.75" customHeight="1">
      <c r="A66" s="694"/>
      <c r="B66" s="694"/>
      <c r="D66" s="682"/>
      <c r="E66" s="683"/>
      <c r="F66" s="683"/>
      <c r="G66" s="683"/>
      <c r="H66" s="683"/>
      <c r="I66" s="683"/>
      <c r="J66" s="683"/>
    </row>
    <row r="67" spans="1:11" s="480" customFormat="1" ht="13.5" customHeight="1">
      <c r="A67" s="690"/>
      <c r="B67" s="690" t="s">
        <v>263</v>
      </c>
      <c r="D67" s="682">
        <v>2021</v>
      </c>
      <c r="E67" s="683">
        <v>71917</v>
      </c>
      <c r="F67" s="683"/>
      <c r="G67" s="683">
        <v>539</v>
      </c>
      <c r="H67" s="683">
        <v>339</v>
      </c>
      <c r="I67" s="683">
        <v>200</v>
      </c>
      <c r="J67" s="683"/>
    </row>
    <row r="68" spans="1:11" s="480" customFormat="1" ht="13.5" customHeight="1">
      <c r="A68" s="694"/>
      <c r="B68" s="694"/>
      <c r="D68" s="682">
        <v>2022</v>
      </c>
      <c r="E68" s="683">
        <v>48796</v>
      </c>
      <c r="F68" s="683"/>
      <c r="G68" s="683">
        <v>389</v>
      </c>
      <c r="H68" s="683">
        <v>233</v>
      </c>
      <c r="I68" s="683">
        <v>156</v>
      </c>
      <c r="J68" s="800"/>
    </row>
    <row r="69" spans="1:11" s="480" customFormat="1" ht="13.5" customHeight="1">
      <c r="A69" s="694"/>
      <c r="B69" s="694"/>
      <c r="D69" s="682">
        <v>2023</v>
      </c>
      <c r="E69" s="683">
        <v>40237</v>
      </c>
      <c r="F69" s="683"/>
      <c r="G69" s="683">
        <v>1148</v>
      </c>
      <c r="H69" s="683">
        <v>981</v>
      </c>
      <c r="I69" s="683">
        <v>167</v>
      </c>
      <c r="J69" s="800"/>
    </row>
    <row r="70" spans="1:11" s="480" customFormat="1" ht="6.75" customHeight="1">
      <c r="A70" s="694"/>
      <c r="B70" s="694"/>
      <c r="D70" s="682"/>
      <c r="E70" s="683"/>
      <c r="F70" s="683"/>
      <c r="G70" s="683"/>
      <c r="H70" s="683"/>
      <c r="I70" s="683"/>
      <c r="J70" s="800"/>
    </row>
    <row r="71" spans="1:11" s="480" customFormat="1" ht="13.5" customHeight="1">
      <c r="A71" s="690"/>
      <c r="B71" s="690" t="s">
        <v>264</v>
      </c>
      <c r="D71" s="682">
        <v>2021</v>
      </c>
      <c r="E71" s="683">
        <v>618</v>
      </c>
      <c r="F71" s="683"/>
      <c r="G71" s="683">
        <v>41</v>
      </c>
      <c r="H71" s="683">
        <v>34</v>
      </c>
      <c r="I71" s="683">
        <v>7</v>
      </c>
      <c r="J71" s="800"/>
    </row>
    <row r="72" spans="1:11" s="480" customFormat="1" ht="13.5" customHeight="1">
      <c r="A72" s="690"/>
      <c r="B72" s="690"/>
      <c r="D72" s="682">
        <v>2022</v>
      </c>
      <c r="E72" s="683">
        <v>408</v>
      </c>
      <c r="F72" s="683"/>
      <c r="G72" s="683">
        <v>23</v>
      </c>
      <c r="H72" s="683">
        <v>17</v>
      </c>
      <c r="I72" s="683">
        <v>6</v>
      </c>
      <c r="J72" s="800"/>
    </row>
    <row r="73" spans="1:11" s="480" customFormat="1" ht="13.5" customHeight="1">
      <c r="A73" s="690"/>
      <c r="B73" s="690"/>
      <c r="D73" s="682">
        <v>2023</v>
      </c>
      <c r="E73" s="683">
        <v>387</v>
      </c>
      <c r="F73" s="683"/>
      <c r="G73" s="683">
        <v>21</v>
      </c>
      <c r="H73" s="683">
        <v>18</v>
      </c>
      <c r="I73" s="683">
        <v>3</v>
      </c>
      <c r="J73" s="800"/>
    </row>
    <row r="74" spans="1:11" s="480" customFormat="1" ht="6.75" customHeight="1">
      <c r="A74" s="690"/>
      <c r="B74" s="690"/>
      <c r="C74" s="798"/>
      <c r="D74" s="682"/>
      <c r="E74" s="683"/>
      <c r="F74" s="801"/>
      <c r="G74" s="683"/>
      <c r="H74" s="683"/>
      <c r="I74" s="683"/>
      <c r="J74" s="800"/>
    </row>
    <row r="75" spans="1:11" s="480" customFormat="1" ht="13.5" customHeight="1">
      <c r="A75" s="690"/>
      <c r="B75" s="690" t="s">
        <v>265</v>
      </c>
      <c r="C75" s="798"/>
      <c r="D75" s="682">
        <v>2021</v>
      </c>
      <c r="E75" s="683">
        <v>1854</v>
      </c>
      <c r="F75" s="683"/>
      <c r="G75" s="683">
        <v>37</v>
      </c>
      <c r="H75" s="683">
        <v>28</v>
      </c>
      <c r="I75" s="683">
        <v>9</v>
      </c>
      <c r="J75" s="800"/>
    </row>
    <row r="76" spans="1:11" s="480" customFormat="1" ht="13.5" customHeight="1">
      <c r="A76" s="802"/>
      <c r="B76" s="694"/>
      <c r="C76" s="798"/>
      <c r="D76" s="682">
        <v>2022</v>
      </c>
      <c r="E76" s="683">
        <v>1419</v>
      </c>
      <c r="F76" s="683"/>
      <c r="G76" s="683">
        <v>30</v>
      </c>
      <c r="H76" s="683">
        <v>23</v>
      </c>
      <c r="I76" s="683">
        <v>7</v>
      </c>
    </row>
    <row r="77" spans="1:11" s="480" customFormat="1" ht="13.5" customHeight="1">
      <c r="A77" s="344"/>
      <c r="B77" s="344"/>
      <c r="C77" s="798"/>
      <c r="D77" s="682">
        <v>2023</v>
      </c>
      <c r="E77" s="683">
        <v>1175</v>
      </c>
      <c r="F77" s="683"/>
      <c r="G77" s="683">
        <v>102</v>
      </c>
      <c r="H77" s="683">
        <v>97</v>
      </c>
      <c r="I77" s="683">
        <v>5</v>
      </c>
    </row>
    <row r="78" spans="1:11" s="480" customFormat="1" ht="6.75" customHeight="1" thickBot="1">
      <c r="A78" s="803"/>
      <c r="B78" s="803"/>
      <c r="C78" s="804"/>
      <c r="D78" s="759"/>
      <c r="E78" s="805"/>
      <c r="F78" s="805"/>
      <c r="G78" s="805"/>
      <c r="H78" s="805"/>
      <c r="I78" s="805"/>
      <c r="J78" s="800"/>
    </row>
    <row r="79" spans="1:11" s="810" customFormat="1" ht="16.5" customHeight="1">
      <c r="A79" s="806"/>
      <c r="B79" s="806"/>
      <c r="C79" s="807"/>
      <c r="D79" s="763"/>
      <c r="E79" s="808"/>
      <c r="F79" s="1361" t="s">
        <v>827</v>
      </c>
      <c r="G79" s="1361"/>
      <c r="H79" s="1361"/>
      <c r="I79" s="1361"/>
      <c r="J79" s="809"/>
      <c r="K79" s="809"/>
    </row>
    <row r="80" spans="1:11" s="810" customFormat="1" ht="14.75" customHeight="1">
      <c r="D80" s="811"/>
      <c r="F80" s="1362" t="s">
        <v>828</v>
      </c>
      <c r="G80" s="1362"/>
      <c r="H80" s="1362"/>
      <c r="I80" s="1362"/>
      <c r="J80" s="809"/>
    </row>
    <row r="81" spans="4:10" s="810" customFormat="1" ht="14.75" customHeight="1">
      <c r="D81" s="811"/>
      <c r="E81" s="1363" t="s">
        <v>829</v>
      </c>
      <c r="F81" s="1363"/>
      <c r="G81" s="1363"/>
      <c r="H81" s="1363"/>
      <c r="I81" s="1363"/>
      <c r="J81" s="813"/>
    </row>
    <row r="82" spans="4:10" s="810" customFormat="1" ht="14.75" customHeight="1">
      <c r="D82" s="811"/>
      <c r="F82" s="1363" t="s">
        <v>830</v>
      </c>
      <c r="G82" s="1363"/>
      <c r="H82" s="1363"/>
      <c r="I82" s="1363"/>
      <c r="J82" s="813"/>
    </row>
    <row r="83" spans="4:10" s="810" customFormat="1" ht="12">
      <c r="D83" s="811"/>
      <c r="G83" s="808"/>
      <c r="H83" s="808"/>
      <c r="I83" s="814"/>
      <c r="J83" s="812"/>
    </row>
  </sheetData>
  <mergeCells count="5">
    <mergeCell ref="G6:I6"/>
    <mergeCell ref="F79:I79"/>
    <mergeCell ref="F80:I80"/>
    <mergeCell ref="E81:I81"/>
    <mergeCell ref="F82:I82"/>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114B8-F6C4-4061-8776-F26E3A24A623}">
  <sheetPr codeName="Sheet53">
    <pageSetUpPr fitToPage="1"/>
  </sheetPr>
  <dimension ref="A1:FS97"/>
  <sheetViews>
    <sheetView view="pageBreakPreview" zoomScaleNormal="106" zoomScaleSheetLayoutView="100" workbookViewId="0">
      <selection activeCell="D60" sqref="D60"/>
    </sheetView>
  </sheetViews>
  <sheetFormatPr baseColWidth="10" defaultColWidth="9.1640625" defaultRowHeight="14"/>
  <cols>
    <col min="1" max="1" width="3" style="815" customWidth="1"/>
    <col min="2" max="2" width="12.6640625" style="815" customWidth="1"/>
    <col min="3" max="3" width="8.6640625" style="815" customWidth="1"/>
    <col min="4" max="4" width="7.1640625" style="815" customWidth="1"/>
    <col min="5" max="5" width="8.5" style="815" customWidth="1"/>
    <col min="6" max="6" width="12.5" style="815" customWidth="1"/>
    <col min="7" max="7" width="15.33203125" style="815" customWidth="1"/>
    <col min="8" max="8" width="9" style="815" customWidth="1"/>
    <col min="9" max="9" width="14.83203125" style="815" customWidth="1"/>
    <col min="10" max="10" width="10.1640625" style="815" customWidth="1"/>
    <col min="11" max="11" width="8.33203125" style="815" customWidth="1"/>
    <col min="12" max="12" width="11.6640625" style="815" customWidth="1"/>
    <col min="13" max="13" width="1.6640625" style="815" customWidth="1"/>
    <col min="14" max="16384" width="9.1640625" style="815"/>
  </cols>
  <sheetData>
    <row r="1" spans="1:15" ht="8" customHeight="1"/>
    <row r="2" spans="1:15" ht="7.5" customHeight="1"/>
    <row r="3" spans="1:15" ht="16.5" customHeight="1">
      <c r="B3" s="816" t="s">
        <v>831</v>
      </c>
      <c r="C3" s="817" t="s">
        <v>832</v>
      </c>
      <c r="D3" s="818"/>
      <c r="E3" s="819"/>
      <c r="F3" s="819"/>
    </row>
    <row r="4" spans="1:15" ht="16.5" customHeight="1">
      <c r="B4" s="820"/>
      <c r="C4" s="821" t="s">
        <v>833</v>
      </c>
      <c r="D4" s="818"/>
      <c r="E4" s="819"/>
      <c r="F4" s="819"/>
    </row>
    <row r="5" spans="1:15" ht="16.5" customHeight="1">
      <c r="B5" s="822" t="s">
        <v>834</v>
      </c>
      <c r="C5" s="823" t="s">
        <v>835</v>
      </c>
      <c r="D5" s="824"/>
      <c r="E5" s="825"/>
      <c r="F5" s="825"/>
      <c r="G5" s="825"/>
      <c r="H5" s="825"/>
      <c r="I5" s="825"/>
      <c r="J5" s="825"/>
      <c r="K5" s="825"/>
      <c r="L5" s="825"/>
    </row>
    <row r="6" spans="1:15" ht="16.5" customHeight="1">
      <c r="B6" s="822"/>
      <c r="C6" s="826" t="s">
        <v>833</v>
      </c>
      <c r="D6" s="824"/>
      <c r="E6" s="825"/>
      <c r="F6" s="825"/>
      <c r="G6" s="825"/>
      <c r="H6" s="825"/>
      <c r="I6" s="825"/>
      <c r="J6" s="825"/>
      <c r="K6" s="825"/>
      <c r="L6" s="825"/>
    </row>
    <row r="7" spans="1:15" ht="10" customHeight="1" thickBot="1">
      <c r="A7" s="827"/>
      <c r="B7" s="828"/>
      <c r="C7" s="828"/>
      <c r="D7" s="829"/>
      <c r="E7" s="828"/>
      <c r="F7" s="828"/>
      <c r="G7" s="828"/>
      <c r="H7" s="828"/>
      <c r="I7" s="828"/>
      <c r="J7" s="828"/>
      <c r="K7" s="828"/>
      <c r="L7" s="828"/>
      <c r="M7" s="830"/>
    </row>
    <row r="8" spans="1:15" ht="5.25" customHeight="1">
      <c r="A8" s="831"/>
      <c r="B8" s="832" t="s">
        <v>836</v>
      </c>
      <c r="C8" s="832"/>
      <c r="D8" s="833"/>
      <c r="E8" s="832"/>
      <c r="F8" s="834" t="s">
        <v>836</v>
      </c>
      <c r="G8" s="834" t="s">
        <v>836</v>
      </c>
      <c r="H8" s="834"/>
      <c r="I8" s="834"/>
      <c r="J8" s="834"/>
      <c r="K8" s="834"/>
      <c r="L8" s="834"/>
      <c r="M8" s="834"/>
    </row>
    <row r="9" spans="1:15" s="839" customFormat="1" ht="16" customHeight="1">
      <c r="A9" s="835"/>
      <c r="B9" s="836" t="s">
        <v>819</v>
      </c>
      <c r="C9" s="836"/>
      <c r="D9" s="837" t="s">
        <v>766</v>
      </c>
      <c r="E9" s="838" t="s">
        <v>386</v>
      </c>
      <c r="F9" s="838" t="s">
        <v>837</v>
      </c>
      <c r="G9" s="838" t="s">
        <v>838</v>
      </c>
      <c r="H9" s="838" t="s">
        <v>839</v>
      </c>
      <c r="I9" s="838" t="s">
        <v>840</v>
      </c>
      <c r="J9" s="838" t="s">
        <v>841</v>
      </c>
      <c r="K9" s="838" t="s">
        <v>842</v>
      </c>
      <c r="L9" s="838" t="s">
        <v>843</v>
      </c>
      <c r="M9" s="838"/>
      <c r="O9" s="840"/>
    </row>
    <row r="10" spans="1:15" s="839" customFormat="1" ht="15.25" customHeight="1">
      <c r="A10" s="835"/>
      <c r="B10" s="841" t="s">
        <v>822</v>
      </c>
      <c r="C10" s="841"/>
      <c r="D10" s="842" t="s">
        <v>772</v>
      </c>
      <c r="E10" s="843" t="s">
        <v>387</v>
      </c>
      <c r="F10" s="843" t="s">
        <v>844</v>
      </c>
      <c r="G10" s="843" t="s">
        <v>845</v>
      </c>
      <c r="H10" s="843" t="s">
        <v>846</v>
      </c>
      <c r="I10" s="838" t="s">
        <v>847</v>
      </c>
      <c r="J10" s="843" t="s">
        <v>848</v>
      </c>
      <c r="K10" s="843"/>
      <c r="L10" s="838" t="s">
        <v>849</v>
      </c>
      <c r="M10" s="843"/>
    </row>
    <row r="11" spans="1:15" s="839" customFormat="1" ht="15.75" customHeight="1">
      <c r="A11" s="835"/>
      <c r="B11" s="835"/>
      <c r="C11" s="835"/>
      <c r="D11" s="844"/>
      <c r="E11" s="843"/>
      <c r="F11" s="843" t="s">
        <v>850</v>
      </c>
      <c r="G11" s="843"/>
      <c r="H11" s="843"/>
      <c r="I11" s="843" t="s">
        <v>851</v>
      </c>
      <c r="J11" s="843"/>
      <c r="K11" s="843"/>
      <c r="L11" s="838" t="s">
        <v>852</v>
      </c>
      <c r="M11" s="845"/>
    </row>
    <row r="12" spans="1:15" s="839" customFormat="1" ht="15.75" customHeight="1">
      <c r="A12" s="835"/>
      <c r="B12" s="835"/>
      <c r="C12" s="835"/>
      <c r="D12" s="844"/>
      <c r="E12" s="843"/>
      <c r="F12" s="843"/>
      <c r="G12" s="843"/>
      <c r="H12" s="843"/>
      <c r="I12" s="843" t="s">
        <v>853</v>
      </c>
      <c r="J12" s="843"/>
      <c r="K12" s="846"/>
      <c r="L12" s="843" t="s">
        <v>854</v>
      </c>
      <c r="M12" s="845"/>
    </row>
    <row r="13" spans="1:15" s="839" customFormat="1" ht="15.75" customHeight="1">
      <c r="A13" s="835"/>
      <c r="B13" s="835"/>
      <c r="C13" s="835"/>
      <c r="D13" s="844"/>
      <c r="E13" s="843"/>
      <c r="F13" s="843"/>
      <c r="G13" s="843"/>
      <c r="H13" s="843"/>
      <c r="I13" s="843"/>
      <c r="J13" s="843"/>
      <c r="K13" s="846"/>
      <c r="L13" s="843" t="s">
        <v>855</v>
      </c>
      <c r="M13" s="845"/>
    </row>
    <row r="14" spans="1:15" s="839" customFormat="1" ht="6.75" customHeight="1">
      <c r="A14" s="847"/>
      <c r="B14" s="847"/>
      <c r="C14" s="847"/>
      <c r="D14" s="848"/>
      <c r="E14" s="849"/>
      <c r="F14" s="850"/>
      <c r="G14" s="849"/>
      <c r="H14" s="849"/>
      <c r="I14" s="849"/>
      <c r="J14" s="849"/>
      <c r="K14" s="849"/>
      <c r="L14" s="849"/>
      <c r="M14" s="849"/>
    </row>
    <row r="15" spans="1:15" s="839" customFormat="1" ht="7" customHeight="1">
      <c r="A15" s="840"/>
      <c r="B15" s="835"/>
      <c r="C15" s="835"/>
      <c r="D15" s="844"/>
      <c r="E15" s="851"/>
      <c r="F15" s="845"/>
      <c r="G15" s="845"/>
      <c r="H15" s="845"/>
      <c r="I15" s="845"/>
      <c r="J15" s="845"/>
      <c r="K15" s="845"/>
      <c r="L15" s="845"/>
      <c r="M15" s="845"/>
    </row>
    <row r="16" spans="1:15" s="839" customFormat="1" ht="13" customHeight="1">
      <c r="B16" s="852" t="s">
        <v>777</v>
      </c>
      <c r="C16" s="852"/>
      <c r="D16" s="310">
        <v>2021</v>
      </c>
      <c r="E16" s="853">
        <f t="shared" ref="E16:L18" si="0">SUM(E20,E24,E28,E32,E36,E40,E44,E48,E52,E56,E60,E64,E68,E72,E76)</f>
        <v>542916</v>
      </c>
      <c r="F16" s="853">
        <f t="shared" si="0"/>
        <v>48353</v>
      </c>
      <c r="G16" s="853">
        <f t="shared" si="0"/>
        <v>38404</v>
      </c>
      <c r="H16" s="853">
        <f t="shared" si="0"/>
        <v>196388</v>
      </c>
      <c r="I16" s="853">
        <f t="shared" si="0"/>
        <v>186416</v>
      </c>
      <c r="J16" s="853">
        <f t="shared" si="0"/>
        <v>2786</v>
      </c>
      <c r="K16" s="853">
        <f t="shared" si="0"/>
        <v>45080</v>
      </c>
      <c r="L16" s="853">
        <f t="shared" si="0"/>
        <v>25489</v>
      </c>
    </row>
    <row r="17" spans="2:23" s="839" customFormat="1" ht="13" customHeight="1">
      <c r="B17" s="854"/>
      <c r="C17" s="854"/>
      <c r="D17" s="310">
        <v>2022</v>
      </c>
      <c r="E17" s="853">
        <f t="shared" si="0"/>
        <v>586558</v>
      </c>
      <c r="F17" s="853">
        <f t="shared" si="0"/>
        <v>52111</v>
      </c>
      <c r="G17" s="853">
        <f t="shared" si="0"/>
        <v>40319</v>
      </c>
      <c r="H17" s="853">
        <f t="shared" si="0"/>
        <v>213716</v>
      </c>
      <c r="I17" s="853">
        <f t="shared" si="0"/>
        <v>201355</v>
      </c>
      <c r="J17" s="853">
        <f t="shared" si="0"/>
        <v>2996</v>
      </c>
      <c r="K17" s="853">
        <f t="shared" si="0"/>
        <v>48644</v>
      </c>
      <c r="L17" s="853">
        <f t="shared" si="0"/>
        <v>27417</v>
      </c>
    </row>
    <row r="18" spans="2:23" s="839" customFormat="1" ht="13" customHeight="1">
      <c r="B18" s="854"/>
      <c r="C18" s="854"/>
      <c r="D18" s="310">
        <v>2023</v>
      </c>
      <c r="E18" s="853">
        <f t="shared" si="0"/>
        <v>621248</v>
      </c>
      <c r="F18" s="853">
        <f t="shared" si="0"/>
        <v>55112</v>
      </c>
      <c r="G18" s="853">
        <f t="shared" si="0"/>
        <v>41819</v>
      </c>
      <c r="H18" s="853">
        <f t="shared" si="0"/>
        <v>227032</v>
      </c>
      <c r="I18" s="853">
        <f t="shared" si="0"/>
        <v>213592</v>
      </c>
      <c r="J18" s="853">
        <f t="shared" si="0"/>
        <v>3204</v>
      </c>
      <c r="K18" s="853">
        <f t="shared" si="0"/>
        <v>51599</v>
      </c>
      <c r="L18" s="853">
        <f t="shared" si="0"/>
        <v>28890</v>
      </c>
      <c r="M18" s="854"/>
      <c r="P18" s="855"/>
      <c r="Q18" s="855"/>
      <c r="R18" s="855"/>
      <c r="S18" s="855"/>
      <c r="T18" s="855"/>
      <c r="U18" s="855"/>
      <c r="V18" s="855"/>
      <c r="W18" s="855"/>
    </row>
    <row r="19" spans="2:23" s="839" customFormat="1" ht="7" customHeight="1">
      <c r="B19" s="856"/>
      <c r="C19" s="857"/>
      <c r="D19" s="858"/>
      <c r="E19" s="859"/>
      <c r="F19" s="859"/>
      <c r="G19" s="859"/>
      <c r="H19" s="859"/>
      <c r="I19" s="859"/>
      <c r="J19" s="859"/>
      <c r="K19" s="859"/>
      <c r="L19" s="859"/>
    </row>
    <row r="20" spans="2:23" s="839" customFormat="1" ht="13.5" customHeight="1">
      <c r="B20" s="860" t="s">
        <v>250</v>
      </c>
      <c r="C20" s="861"/>
      <c r="D20" s="858">
        <v>2021</v>
      </c>
      <c r="E20" s="859">
        <f t="shared" ref="E20" si="1">SUM(F20:L20)</f>
        <v>63447</v>
      </c>
      <c r="F20" s="859">
        <v>5057</v>
      </c>
      <c r="G20" s="859">
        <v>4221</v>
      </c>
      <c r="H20" s="859">
        <v>23451</v>
      </c>
      <c r="I20" s="859">
        <v>21338</v>
      </c>
      <c r="J20" s="859">
        <v>331</v>
      </c>
      <c r="K20" s="859">
        <v>6015</v>
      </c>
      <c r="L20" s="859">
        <v>3034</v>
      </c>
      <c r="P20" s="855"/>
      <c r="Q20" s="855"/>
      <c r="R20" s="855"/>
      <c r="S20" s="855"/>
      <c r="T20" s="855"/>
      <c r="U20" s="855"/>
      <c r="V20" s="855"/>
      <c r="W20" s="855"/>
    </row>
    <row r="21" spans="2:23" s="839" customFormat="1" ht="13.5" customHeight="1">
      <c r="B21" s="860"/>
      <c r="C21" s="861"/>
      <c r="D21" s="858">
        <v>2022</v>
      </c>
      <c r="E21" s="859">
        <f>SUM(F21:L21)</f>
        <v>68685</v>
      </c>
      <c r="F21" s="859">
        <v>5504</v>
      </c>
      <c r="G21" s="859">
        <v>4417</v>
      </c>
      <c r="H21" s="859">
        <v>25357</v>
      </c>
      <c r="I21" s="859">
        <v>23294</v>
      </c>
      <c r="J21" s="859">
        <v>364</v>
      </c>
      <c r="K21" s="859">
        <v>6467</v>
      </c>
      <c r="L21" s="859">
        <v>3282</v>
      </c>
    </row>
    <row r="22" spans="2:23" s="839" customFormat="1" ht="13.5" customHeight="1">
      <c r="B22" s="860"/>
      <c r="C22" s="861"/>
      <c r="D22" s="858">
        <v>2023</v>
      </c>
      <c r="E22" s="859">
        <f>SUM(F22:L22)</f>
        <v>72368</v>
      </c>
      <c r="F22" s="859">
        <v>5840</v>
      </c>
      <c r="G22" s="859">
        <v>4567</v>
      </c>
      <c r="H22" s="859">
        <v>26737</v>
      </c>
      <c r="I22" s="859">
        <v>24580</v>
      </c>
      <c r="J22" s="859">
        <v>383</v>
      </c>
      <c r="K22" s="859">
        <v>6855</v>
      </c>
      <c r="L22" s="862">
        <v>3406</v>
      </c>
      <c r="M22" s="854"/>
    </row>
    <row r="23" spans="2:23" s="839" customFormat="1" ht="7" customHeight="1">
      <c r="B23" s="860"/>
      <c r="C23" s="863"/>
      <c r="D23" s="858"/>
      <c r="E23" s="859"/>
      <c r="F23" s="859"/>
      <c r="G23" s="859"/>
      <c r="H23" s="859"/>
      <c r="I23" s="859"/>
      <c r="J23" s="859"/>
      <c r="K23" s="859"/>
      <c r="L23" s="859"/>
    </row>
    <row r="24" spans="2:23" s="839" customFormat="1" ht="13.5" customHeight="1">
      <c r="B24" s="860" t="s">
        <v>251</v>
      </c>
      <c r="C24" s="861"/>
      <c r="D24" s="858">
        <v>2021</v>
      </c>
      <c r="E24" s="859">
        <f t="shared" ref="E24:E28" si="2">SUM(F24:L24)</f>
        <v>47185</v>
      </c>
      <c r="F24" s="859">
        <v>5057</v>
      </c>
      <c r="G24" s="859">
        <v>3234</v>
      </c>
      <c r="H24" s="859">
        <v>18375</v>
      </c>
      <c r="I24" s="859">
        <v>14020</v>
      </c>
      <c r="J24" s="859">
        <v>307</v>
      </c>
      <c r="K24" s="859">
        <v>3934</v>
      </c>
      <c r="L24" s="859">
        <v>2258</v>
      </c>
    </row>
    <row r="25" spans="2:23" s="839" customFormat="1" ht="13.5" customHeight="1">
      <c r="B25" s="860"/>
      <c r="C25" s="861"/>
      <c r="D25" s="858">
        <v>2022</v>
      </c>
      <c r="E25" s="859">
        <f>SUM(F25:L25)</f>
        <v>51260</v>
      </c>
      <c r="F25" s="862">
        <v>5461</v>
      </c>
      <c r="G25" s="862">
        <v>3401</v>
      </c>
      <c r="H25" s="862">
        <v>20185</v>
      </c>
      <c r="I25" s="862">
        <v>15220</v>
      </c>
      <c r="J25" s="862">
        <v>323</v>
      </c>
      <c r="K25" s="862">
        <v>4254</v>
      </c>
      <c r="L25" s="862">
        <v>2416</v>
      </c>
    </row>
    <row r="26" spans="2:23" s="839" customFormat="1" ht="13.5" customHeight="1">
      <c r="B26" s="860"/>
      <c r="C26" s="861"/>
      <c r="D26" s="858">
        <v>2023</v>
      </c>
      <c r="E26" s="859">
        <f>SUM(F26:L26)</f>
        <v>54216</v>
      </c>
      <c r="F26" s="859">
        <v>5756</v>
      </c>
      <c r="G26" s="859">
        <v>3551</v>
      </c>
      <c r="H26" s="859">
        <v>21471</v>
      </c>
      <c r="I26" s="859">
        <v>16036</v>
      </c>
      <c r="J26" s="859">
        <v>347</v>
      </c>
      <c r="K26" s="859">
        <v>4485</v>
      </c>
      <c r="L26" s="862">
        <v>2570</v>
      </c>
      <c r="M26" s="854"/>
    </row>
    <row r="27" spans="2:23" s="839" customFormat="1" ht="7" customHeight="1">
      <c r="B27" s="860"/>
      <c r="C27" s="863"/>
      <c r="D27" s="858"/>
      <c r="E27" s="859"/>
      <c r="F27" s="859"/>
      <c r="G27" s="859"/>
      <c r="H27" s="859"/>
      <c r="I27" s="859"/>
      <c r="J27" s="859"/>
      <c r="K27" s="859"/>
      <c r="L27" s="859"/>
    </row>
    <row r="28" spans="2:23" s="839" customFormat="1" ht="13.5" customHeight="1">
      <c r="B28" s="860" t="s">
        <v>252</v>
      </c>
      <c r="C28" s="861"/>
      <c r="D28" s="858">
        <v>2021</v>
      </c>
      <c r="E28" s="859">
        <f t="shared" si="2"/>
        <v>37265</v>
      </c>
      <c r="F28" s="859">
        <v>3394</v>
      </c>
      <c r="G28" s="859">
        <v>2363</v>
      </c>
      <c r="H28" s="859">
        <v>11384</v>
      </c>
      <c r="I28" s="859">
        <v>13760</v>
      </c>
      <c r="J28" s="859">
        <v>247</v>
      </c>
      <c r="K28" s="859">
        <v>4169</v>
      </c>
      <c r="L28" s="859">
        <v>1948</v>
      </c>
    </row>
    <row r="29" spans="2:23" s="839" customFormat="1" ht="13.5" customHeight="1">
      <c r="B29" s="860"/>
      <c r="C29" s="861"/>
      <c r="D29" s="858">
        <v>2022</v>
      </c>
      <c r="E29" s="859">
        <f>SUM(F29:L29)</f>
        <v>41545</v>
      </c>
      <c r="F29" s="862">
        <v>3779</v>
      </c>
      <c r="G29" s="862">
        <v>2569</v>
      </c>
      <c r="H29" s="862">
        <v>12777</v>
      </c>
      <c r="I29" s="862">
        <v>15491</v>
      </c>
      <c r="J29" s="862">
        <v>273</v>
      </c>
      <c r="K29" s="862">
        <v>4533</v>
      </c>
      <c r="L29" s="862">
        <v>2123</v>
      </c>
    </row>
    <row r="30" spans="2:23" s="839" customFormat="1" ht="13.5" customHeight="1">
      <c r="B30" s="860"/>
      <c r="C30" s="861"/>
      <c r="D30" s="858">
        <v>2023</v>
      </c>
      <c r="E30" s="859">
        <f>SUM(F30:L30)</f>
        <v>44167</v>
      </c>
      <c r="F30" s="859">
        <v>3976</v>
      </c>
      <c r="G30" s="859">
        <v>2712</v>
      </c>
      <c r="H30" s="859">
        <v>13742</v>
      </c>
      <c r="I30" s="859">
        <v>16477</v>
      </c>
      <c r="J30" s="859">
        <v>289</v>
      </c>
      <c r="K30" s="859">
        <v>4741</v>
      </c>
      <c r="L30" s="862">
        <v>2230</v>
      </c>
      <c r="M30" s="854"/>
    </row>
    <row r="31" spans="2:23" s="839" customFormat="1" ht="7" customHeight="1">
      <c r="B31" s="860"/>
      <c r="C31" s="863"/>
      <c r="D31" s="858"/>
      <c r="E31" s="859"/>
      <c r="F31" s="859"/>
      <c r="G31" s="859"/>
      <c r="H31" s="859"/>
      <c r="I31" s="859"/>
      <c r="J31" s="859"/>
      <c r="K31" s="859"/>
      <c r="L31" s="859"/>
    </row>
    <row r="32" spans="2:23" s="839" customFormat="1" ht="13.5" customHeight="1">
      <c r="B32" s="860" t="s">
        <v>253</v>
      </c>
      <c r="C32" s="861"/>
      <c r="D32" s="858">
        <v>2021</v>
      </c>
      <c r="E32" s="859">
        <f>SUM(F32:L32)</f>
        <v>25433</v>
      </c>
      <c r="F32" s="859">
        <v>1868</v>
      </c>
      <c r="G32" s="859">
        <v>2223</v>
      </c>
      <c r="H32" s="859">
        <v>9897</v>
      </c>
      <c r="I32" s="859">
        <v>8562</v>
      </c>
      <c r="J32" s="859">
        <v>120</v>
      </c>
      <c r="K32" s="859">
        <v>1956</v>
      </c>
      <c r="L32" s="859">
        <v>807</v>
      </c>
    </row>
    <row r="33" spans="2:23" s="839" customFormat="1" ht="13.5" customHeight="1">
      <c r="B33" s="860"/>
      <c r="C33" s="861"/>
      <c r="D33" s="858">
        <v>2022</v>
      </c>
      <c r="E33" s="859">
        <f>SUM(F33:L33)</f>
        <v>27054</v>
      </c>
      <c r="F33" s="862">
        <v>1996</v>
      </c>
      <c r="G33" s="862">
        <v>2363</v>
      </c>
      <c r="H33" s="862">
        <v>10644</v>
      </c>
      <c r="I33" s="862">
        <v>8983</v>
      </c>
      <c r="J33" s="862">
        <v>125</v>
      </c>
      <c r="K33" s="862">
        <v>2060</v>
      </c>
      <c r="L33" s="862">
        <v>883</v>
      </c>
    </row>
    <row r="34" spans="2:23" s="839" customFormat="1" ht="13.5" customHeight="1">
      <c r="B34" s="860"/>
      <c r="C34" s="861"/>
      <c r="D34" s="858">
        <v>2023</v>
      </c>
      <c r="E34" s="859">
        <f>SUM(F34:L34)</f>
        <v>28450</v>
      </c>
      <c r="F34" s="859">
        <v>2112</v>
      </c>
      <c r="G34" s="859">
        <v>2469</v>
      </c>
      <c r="H34" s="859">
        <v>11238</v>
      </c>
      <c r="I34" s="859">
        <v>9455</v>
      </c>
      <c r="J34" s="859">
        <v>135</v>
      </c>
      <c r="K34" s="859">
        <v>2131</v>
      </c>
      <c r="L34" s="862">
        <v>910</v>
      </c>
      <c r="M34" s="854"/>
      <c r="P34" s="855"/>
      <c r="Q34" s="855"/>
      <c r="R34" s="855"/>
      <c r="S34" s="855"/>
      <c r="T34" s="855"/>
      <c r="U34" s="855"/>
      <c r="V34" s="855"/>
      <c r="W34" s="855"/>
    </row>
    <row r="35" spans="2:23" s="839" customFormat="1" ht="7" customHeight="1">
      <c r="B35" s="860"/>
      <c r="C35" s="863"/>
      <c r="D35" s="858"/>
      <c r="E35" s="859"/>
      <c r="F35" s="859"/>
      <c r="G35" s="859"/>
      <c r="H35" s="859"/>
      <c r="I35" s="859"/>
      <c r="J35" s="859"/>
      <c r="K35" s="859"/>
      <c r="L35" s="859"/>
    </row>
    <row r="36" spans="2:23" s="839" customFormat="1" ht="13.5" customHeight="1">
      <c r="B36" s="860" t="s">
        <v>254</v>
      </c>
      <c r="C36" s="861"/>
      <c r="D36" s="858">
        <v>2021</v>
      </c>
      <c r="E36" s="859">
        <f>SUM(F36:L36)</f>
        <v>24834</v>
      </c>
      <c r="F36" s="859">
        <v>1876</v>
      </c>
      <c r="G36" s="859">
        <v>1788</v>
      </c>
      <c r="H36" s="859">
        <v>9917</v>
      </c>
      <c r="I36" s="859">
        <v>7933</v>
      </c>
      <c r="J36" s="859">
        <v>83</v>
      </c>
      <c r="K36" s="859">
        <v>2014</v>
      </c>
      <c r="L36" s="859">
        <v>1223</v>
      </c>
    </row>
    <row r="37" spans="2:23" s="839" customFormat="1" ht="13.5" customHeight="1">
      <c r="B37" s="860"/>
      <c r="C37" s="861"/>
      <c r="D37" s="858">
        <v>2022</v>
      </c>
      <c r="E37" s="859">
        <f>SUM(F37:L37)</f>
        <v>26758</v>
      </c>
      <c r="F37" s="862">
        <v>2062</v>
      </c>
      <c r="G37" s="862">
        <v>1892</v>
      </c>
      <c r="H37" s="862">
        <v>10742</v>
      </c>
      <c r="I37" s="862">
        <v>8494</v>
      </c>
      <c r="J37" s="862">
        <v>90</v>
      </c>
      <c r="K37" s="862">
        <v>2165</v>
      </c>
      <c r="L37" s="862">
        <v>1313</v>
      </c>
    </row>
    <row r="38" spans="2:23" s="839" customFormat="1" ht="13.5" customHeight="1">
      <c r="B38" s="860"/>
      <c r="C38" s="861"/>
      <c r="D38" s="858">
        <v>2023</v>
      </c>
      <c r="E38" s="859">
        <f>SUM(F38:L38)</f>
        <v>28275</v>
      </c>
      <c r="F38" s="859">
        <v>2186</v>
      </c>
      <c r="G38" s="859">
        <v>1970</v>
      </c>
      <c r="H38" s="859">
        <v>11378</v>
      </c>
      <c r="I38" s="859">
        <v>8938</v>
      </c>
      <c r="J38" s="859">
        <v>100</v>
      </c>
      <c r="K38" s="859">
        <v>2310</v>
      </c>
      <c r="L38" s="862">
        <v>1393</v>
      </c>
      <c r="M38" s="854"/>
    </row>
    <row r="39" spans="2:23" s="839" customFormat="1" ht="7" customHeight="1">
      <c r="B39" s="860"/>
      <c r="C39" s="863"/>
      <c r="D39" s="858"/>
      <c r="E39" s="859"/>
      <c r="F39" s="859"/>
      <c r="G39" s="859"/>
      <c r="H39" s="859"/>
      <c r="I39" s="859"/>
      <c r="J39" s="859"/>
      <c r="K39" s="859"/>
      <c r="L39" s="859"/>
    </row>
    <row r="40" spans="2:23" s="839" customFormat="1" ht="13.5" customHeight="1">
      <c r="B40" s="860" t="s">
        <v>255</v>
      </c>
      <c r="C40" s="861"/>
      <c r="D40" s="858">
        <v>2021</v>
      </c>
      <c r="E40" s="859">
        <f>SUM(F40:L40)</f>
        <v>32049</v>
      </c>
      <c r="F40" s="859">
        <v>2885</v>
      </c>
      <c r="G40" s="859">
        <v>1960</v>
      </c>
      <c r="H40" s="859">
        <v>11781</v>
      </c>
      <c r="I40" s="859">
        <v>11644</v>
      </c>
      <c r="J40" s="859">
        <v>192</v>
      </c>
      <c r="K40" s="859">
        <v>2011</v>
      </c>
      <c r="L40" s="859">
        <v>1576</v>
      </c>
    </row>
    <row r="41" spans="2:23" s="839" customFormat="1" ht="13.5" customHeight="1">
      <c r="B41" s="860"/>
      <c r="C41" s="861"/>
      <c r="D41" s="858">
        <v>2022</v>
      </c>
      <c r="E41" s="859">
        <f>SUM(F41:L41)</f>
        <v>34163</v>
      </c>
      <c r="F41" s="862">
        <v>3073</v>
      </c>
      <c r="G41" s="862">
        <v>2018</v>
      </c>
      <c r="H41" s="862">
        <v>12696</v>
      </c>
      <c r="I41" s="862">
        <v>12323</v>
      </c>
      <c r="J41" s="862">
        <v>202</v>
      </c>
      <c r="K41" s="862">
        <v>2179</v>
      </c>
      <c r="L41" s="862">
        <v>1672</v>
      </c>
    </row>
    <row r="42" spans="2:23" s="839" customFormat="1" ht="13.5" customHeight="1">
      <c r="B42" s="860"/>
      <c r="C42" s="861"/>
      <c r="D42" s="858">
        <v>2023</v>
      </c>
      <c r="E42" s="859">
        <f>SUM(F42:L42)</f>
        <v>36257</v>
      </c>
      <c r="F42" s="859">
        <v>3302</v>
      </c>
      <c r="G42" s="859">
        <v>2080</v>
      </c>
      <c r="H42" s="859">
        <v>13556</v>
      </c>
      <c r="I42" s="859">
        <v>12969</v>
      </c>
      <c r="J42" s="859">
        <v>220</v>
      </c>
      <c r="K42" s="859">
        <v>2354</v>
      </c>
      <c r="L42" s="862">
        <v>1776</v>
      </c>
      <c r="M42" s="854"/>
    </row>
    <row r="43" spans="2:23" s="839" customFormat="1" ht="7" customHeight="1">
      <c r="B43" s="860"/>
      <c r="C43" s="863"/>
      <c r="D43" s="858"/>
      <c r="E43" s="859"/>
      <c r="F43" s="859"/>
      <c r="G43" s="859"/>
      <c r="H43" s="859"/>
      <c r="I43" s="859"/>
      <c r="J43" s="859"/>
      <c r="K43" s="859"/>
      <c r="L43" s="859"/>
    </row>
    <row r="44" spans="2:23" s="839" customFormat="1" ht="13.5" customHeight="1">
      <c r="B44" s="860" t="s">
        <v>256</v>
      </c>
      <c r="C44" s="861"/>
      <c r="D44" s="858">
        <v>2021</v>
      </c>
      <c r="E44" s="859">
        <f>SUM(F44:L44)</f>
        <v>31875</v>
      </c>
      <c r="F44" s="859">
        <v>3241</v>
      </c>
      <c r="G44" s="859">
        <v>2518</v>
      </c>
      <c r="H44" s="859">
        <v>13291</v>
      </c>
      <c r="I44" s="859">
        <v>9465</v>
      </c>
      <c r="J44" s="859">
        <v>114</v>
      </c>
      <c r="K44" s="859">
        <v>2024</v>
      </c>
      <c r="L44" s="859">
        <v>1222</v>
      </c>
    </row>
    <row r="45" spans="2:23" s="839" customFormat="1" ht="13.5" customHeight="1">
      <c r="B45" s="860"/>
      <c r="C45" s="861"/>
      <c r="D45" s="858">
        <v>2022</v>
      </c>
      <c r="E45" s="859">
        <f>SUM(F45:L45)</f>
        <v>34003</v>
      </c>
      <c r="F45" s="862">
        <v>3421</v>
      </c>
      <c r="G45" s="862">
        <v>2633</v>
      </c>
      <c r="H45" s="862">
        <v>14278</v>
      </c>
      <c r="I45" s="862">
        <v>10136</v>
      </c>
      <c r="J45" s="862">
        <v>117</v>
      </c>
      <c r="K45" s="862">
        <v>2135</v>
      </c>
      <c r="L45" s="862">
        <v>1283</v>
      </c>
    </row>
    <row r="46" spans="2:23" s="839" customFormat="1" ht="13.5" customHeight="1">
      <c r="B46" s="860"/>
      <c r="C46" s="861"/>
      <c r="D46" s="858">
        <v>2023</v>
      </c>
      <c r="E46" s="859">
        <f>SUM(F46:L46)</f>
        <v>35884</v>
      </c>
      <c r="F46" s="859">
        <v>3580</v>
      </c>
      <c r="G46" s="859">
        <v>2732</v>
      </c>
      <c r="H46" s="859">
        <v>15139</v>
      </c>
      <c r="I46" s="859">
        <v>10695</v>
      </c>
      <c r="J46" s="859">
        <v>122</v>
      </c>
      <c r="K46" s="859">
        <v>2282</v>
      </c>
      <c r="L46" s="862">
        <v>1334</v>
      </c>
      <c r="M46" s="854"/>
    </row>
    <row r="47" spans="2:23" s="839" customFormat="1" ht="7" customHeight="1">
      <c r="B47" s="860"/>
      <c r="C47" s="863"/>
      <c r="D47" s="858"/>
      <c r="E47" s="859"/>
      <c r="F47" s="859"/>
      <c r="G47" s="859"/>
      <c r="H47" s="859"/>
      <c r="I47" s="859"/>
      <c r="J47" s="859"/>
      <c r="K47" s="859"/>
      <c r="L47" s="859"/>
    </row>
    <row r="48" spans="2:23" s="839" customFormat="1" ht="13.5" customHeight="1">
      <c r="B48" s="860" t="s">
        <v>257</v>
      </c>
      <c r="C48" s="861"/>
      <c r="D48" s="858">
        <v>2021</v>
      </c>
      <c r="E48" s="859">
        <f>SUM(F48:L48)</f>
        <v>47534</v>
      </c>
      <c r="F48" s="859">
        <v>4160</v>
      </c>
      <c r="G48" s="859">
        <v>3239</v>
      </c>
      <c r="H48" s="859">
        <v>16958</v>
      </c>
      <c r="I48" s="859">
        <v>15865</v>
      </c>
      <c r="J48" s="859">
        <v>178</v>
      </c>
      <c r="K48" s="859">
        <v>4825</v>
      </c>
      <c r="L48" s="859">
        <v>2309</v>
      </c>
    </row>
    <row r="49" spans="2:13" s="839" customFormat="1" ht="13.5" customHeight="1">
      <c r="B49" s="860"/>
      <c r="C49" s="861"/>
      <c r="D49" s="858">
        <v>2022</v>
      </c>
      <c r="E49" s="859">
        <f>SUM(F49:L49)</f>
        <v>51458</v>
      </c>
      <c r="F49" s="862">
        <v>4500</v>
      </c>
      <c r="G49" s="862">
        <v>3393</v>
      </c>
      <c r="H49" s="862">
        <v>18757</v>
      </c>
      <c r="I49" s="862">
        <v>16941</v>
      </c>
      <c r="J49" s="862">
        <v>191</v>
      </c>
      <c r="K49" s="862">
        <v>5227</v>
      </c>
      <c r="L49" s="862">
        <v>2449</v>
      </c>
    </row>
    <row r="50" spans="2:13" s="839" customFormat="1" ht="13.5" customHeight="1">
      <c r="B50" s="860"/>
      <c r="C50" s="861"/>
      <c r="D50" s="858">
        <v>2023</v>
      </c>
      <c r="E50" s="859">
        <f>SUM(F50:L50)</f>
        <v>54485</v>
      </c>
      <c r="F50" s="859">
        <v>4788</v>
      </c>
      <c r="G50" s="859">
        <v>3517</v>
      </c>
      <c r="H50" s="859">
        <v>20111</v>
      </c>
      <c r="I50" s="859">
        <v>17776</v>
      </c>
      <c r="J50" s="859">
        <v>211</v>
      </c>
      <c r="K50" s="859">
        <v>5559</v>
      </c>
      <c r="L50" s="862">
        <v>2523</v>
      </c>
      <c r="M50" s="854"/>
    </row>
    <row r="51" spans="2:13" s="839" customFormat="1" ht="7" customHeight="1">
      <c r="B51" s="860"/>
      <c r="C51" s="863"/>
      <c r="D51" s="858"/>
      <c r="E51" s="859"/>
      <c r="F51" s="859"/>
      <c r="G51" s="859"/>
      <c r="H51" s="859"/>
      <c r="I51" s="859"/>
      <c r="J51" s="859"/>
      <c r="K51" s="859"/>
      <c r="L51" s="859"/>
    </row>
    <row r="52" spans="2:13" s="839" customFormat="1" ht="13.5" customHeight="1">
      <c r="B52" s="860" t="s">
        <v>258</v>
      </c>
      <c r="C52" s="861"/>
      <c r="D52" s="858">
        <v>2021</v>
      </c>
      <c r="E52" s="859">
        <f>SUM(F52:L52)</f>
        <v>6637</v>
      </c>
      <c r="F52" s="859">
        <v>707</v>
      </c>
      <c r="G52" s="859">
        <v>347</v>
      </c>
      <c r="H52" s="859">
        <v>2281</v>
      </c>
      <c r="I52" s="859">
        <v>2239</v>
      </c>
      <c r="J52" s="859">
        <v>63</v>
      </c>
      <c r="K52" s="859">
        <v>737</v>
      </c>
      <c r="L52" s="859">
        <v>263</v>
      </c>
    </row>
    <row r="53" spans="2:13" s="839" customFormat="1" ht="13.5" customHeight="1">
      <c r="B53" s="860"/>
      <c r="C53" s="861"/>
      <c r="D53" s="858">
        <v>2022</v>
      </c>
      <c r="E53" s="859">
        <f>SUM(F53:L53)</f>
        <v>7464</v>
      </c>
      <c r="F53" s="862">
        <v>796</v>
      </c>
      <c r="G53" s="862">
        <v>384</v>
      </c>
      <c r="H53" s="862">
        <v>2576</v>
      </c>
      <c r="I53" s="862">
        <v>2486</v>
      </c>
      <c r="J53" s="862">
        <v>74</v>
      </c>
      <c r="K53" s="862">
        <v>859</v>
      </c>
      <c r="L53" s="862">
        <v>289</v>
      </c>
    </row>
    <row r="54" spans="2:13" s="839" customFormat="1" ht="13.5" customHeight="1">
      <c r="B54" s="860"/>
      <c r="C54" s="861"/>
      <c r="D54" s="858">
        <v>2023</v>
      </c>
      <c r="E54" s="859">
        <f>SUM(F54:L54)</f>
        <v>7984</v>
      </c>
      <c r="F54" s="859">
        <v>832</v>
      </c>
      <c r="G54" s="859">
        <v>404</v>
      </c>
      <c r="H54" s="859">
        <v>2746</v>
      </c>
      <c r="I54" s="859">
        <v>2710</v>
      </c>
      <c r="J54" s="859">
        <v>80</v>
      </c>
      <c r="K54" s="859">
        <v>907</v>
      </c>
      <c r="L54" s="862">
        <v>305</v>
      </c>
      <c r="M54" s="854"/>
    </row>
    <row r="55" spans="2:13" s="839" customFormat="1" ht="7" customHeight="1">
      <c r="B55" s="860"/>
      <c r="C55" s="863"/>
      <c r="D55" s="858"/>
      <c r="E55" s="859"/>
      <c r="F55" s="859"/>
      <c r="G55" s="859"/>
      <c r="H55" s="859"/>
      <c r="I55" s="859"/>
      <c r="J55" s="859"/>
      <c r="K55" s="859"/>
      <c r="L55" s="859"/>
    </row>
    <row r="56" spans="2:13" s="839" customFormat="1" ht="13.5" customHeight="1">
      <c r="B56" s="860" t="s">
        <v>856</v>
      </c>
      <c r="C56" s="861"/>
      <c r="D56" s="858">
        <v>2021</v>
      </c>
      <c r="E56" s="859">
        <f>SUM(F56:L56)</f>
        <v>88466</v>
      </c>
      <c r="F56" s="859">
        <v>6586</v>
      </c>
      <c r="G56" s="859">
        <v>6005</v>
      </c>
      <c r="H56" s="859">
        <v>35230</v>
      </c>
      <c r="I56" s="859">
        <v>29820</v>
      </c>
      <c r="J56" s="859">
        <v>358</v>
      </c>
      <c r="K56" s="859">
        <v>5830</v>
      </c>
      <c r="L56" s="859">
        <v>4637</v>
      </c>
    </row>
    <row r="57" spans="2:13" s="839" customFormat="1" ht="13.5" customHeight="1">
      <c r="B57" s="860"/>
      <c r="C57" s="861"/>
      <c r="D57" s="858">
        <v>2022</v>
      </c>
      <c r="E57" s="859">
        <f>SUM(F57:L57)</f>
        <v>95101</v>
      </c>
      <c r="F57" s="862">
        <v>7084</v>
      </c>
      <c r="G57" s="862">
        <v>6272</v>
      </c>
      <c r="H57" s="862">
        <v>38213</v>
      </c>
      <c r="I57" s="862">
        <v>31852</v>
      </c>
      <c r="J57" s="862">
        <v>388</v>
      </c>
      <c r="K57" s="862">
        <v>6324</v>
      </c>
      <c r="L57" s="862">
        <v>4968</v>
      </c>
    </row>
    <row r="58" spans="2:13" s="839" customFormat="1" ht="13.5" customHeight="1">
      <c r="B58" s="860"/>
      <c r="C58" s="861"/>
      <c r="D58" s="858">
        <v>2023</v>
      </c>
      <c r="E58" s="859">
        <f>SUM(F58:L58)</f>
        <v>100835</v>
      </c>
      <c r="F58" s="859">
        <v>7535</v>
      </c>
      <c r="G58" s="859">
        <v>6466</v>
      </c>
      <c r="H58" s="859">
        <v>40342</v>
      </c>
      <c r="I58" s="859">
        <v>34153</v>
      </c>
      <c r="J58" s="859">
        <v>407</v>
      </c>
      <c r="K58" s="859">
        <v>6691</v>
      </c>
      <c r="L58" s="862">
        <v>5241</v>
      </c>
      <c r="M58" s="854"/>
    </row>
    <row r="59" spans="2:13" s="839" customFormat="1" ht="7" customHeight="1">
      <c r="B59" s="860"/>
      <c r="C59" s="863"/>
      <c r="D59" s="858"/>
      <c r="E59" s="859"/>
      <c r="F59" s="859"/>
      <c r="G59" s="859"/>
      <c r="H59" s="859"/>
      <c r="I59" s="859"/>
      <c r="J59" s="859"/>
      <c r="K59" s="859"/>
      <c r="L59" s="859"/>
    </row>
    <row r="60" spans="2:13" s="839" customFormat="1" ht="13.5" customHeight="1">
      <c r="B60" s="860" t="s">
        <v>260</v>
      </c>
      <c r="C60" s="861"/>
      <c r="D60" s="858">
        <v>2021</v>
      </c>
      <c r="E60" s="859">
        <f>SUM(F60:L60)</f>
        <v>27230</v>
      </c>
      <c r="F60" s="859">
        <v>2418</v>
      </c>
      <c r="G60" s="859">
        <v>2238</v>
      </c>
      <c r="H60" s="859">
        <v>8179</v>
      </c>
      <c r="I60" s="859">
        <v>11051</v>
      </c>
      <c r="J60" s="859">
        <v>130</v>
      </c>
      <c r="K60" s="859">
        <v>1924</v>
      </c>
      <c r="L60" s="859">
        <v>1290</v>
      </c>
    </row>
    <row r="61" spans="2:13" s="839" customFormat="1" ht="13.5" customHeight="1">
      <c r="B61" s="860"/>
      <c r="C61" s="861"/>
      <c r="D61" s="858">
        <v>2022</v>
      </c>
      <c r="E61" s="859">
        <f>SUM(F61:L61)</f>
        <v>28961</v>
      </c>
      <c r="F61" s="862">
        <v>2575</v>
      </c>
      <c r="G61" s="862">
        <v>2330</v>
      </c>
      <c r="H61" s="862">
        <v>8768</v>
      </c>
      <c r="I61" s="862">
        <v>11696</v>
      </c>
      <c r="J61" s="862">
        <v>144</v>
      </c>
      <c r="K61" s="862">
        <v>2083</v>
      </c>
      <c r="L61" s="862">
        <v>1365</v>
      </c>
    </row>
    <row r="62" spans="2:13" s="839" customFormat="1" ht="13.5" customHeight="1">
      <c r="B62" s="860"/>
      <c r="C62" s="861"/>
      <c r="D62" s="858">
        <v>2023</v>
      </c>
      <c r="E62" s="859">
        <f>SUM(F62:L62)</f>
        <v>30753</v>
      </c>
      <c r="F62" s="859">
        <v>2733</v>
      </c>
      <c r="G62" s="859">
        <v>2420</v>
      </c>
      <c r="H62" s="859">
        <v>9309</v>
      </c>
      <c r="I62" s="859">
        <v>12424</v>
      </c>
      <c r="J62" s="859">
        <v>155</v>
      </c>
      <c r="K62" s="859">
        <v>2249</v>
      </c>
      <c r="L62" s="862">
        <v>1463</v>
      </c>
      <c r="M62" s="854"/>
    </row>
    <row r="63" spans="2:13" s="839" customFormat="1" ht="7" customHeight="1">
      <c r="B63" s="860"/>
      <c r="C63" s="863"/>
      <c r="D63" s="858"/>
      <c r="E63" s="859"/>
      <c r="F63" s="859"/>
      <c r="G63" s="859"/>
      <c r="H63" s="859"/>
      <c r="I63" s="859"/>
      <c r="J63" s="859"/>
      <c r="K63" s="859"/>
      <c r="L63" s="859"/>
    </row>
    <row r="64" spans="2:13" s="839" customFormat="1" ht="13.5" customHeight="1">
      <c r="B64" s="860" t="s">
        <v>857</v>
      </c>
      <c r="C64" s="861"/>
      <c r="D64" s="858">
        <v>2021</v>
      </c>
      <c r="E64" s="859">
        <f>SUM(F64:L64)</f>
        <v>34995</v>
      </c>
      <c r="F64" s="859">
        <v>3048</v>
      </c>
      <c r="G64" s="859">
        <v>2636</v>
      </c>
      <c r="H64" s="859">
        <v>9640</v>
      </c>
      <c r="I64" s="859">
        <v>14668</v>
      </c>
      <c r="J64" s="859">
        <v>297</v>
      </c>
      <c r="K64" s="859">
        <v>2642</v>
      </c>
      <c r="L64" s="859">
        <v>2064</v>
      </c>
    </row>
    <row r="65" spans="2:13" s="839" customFormat="1" ht="13.5" customHeight="1">
      <c r="B65" s="860"/>
      <c r="C65" s="861"/>
      <c r="D65" s="858">
        <v>2022</v>
      </c>
      <c r="E65" s="859">
        <f>SUM(F65:L65)</f>
        <v>37623</v>
      </c>
      <c r="F65" s="862">
        <v>3232</v>
      </c>
      <c r="G65" s="862">
        <v>2746</v>
      </c>
      <c r="H65" s="862">
        <v>10350</v>
      </c>
      <c r="I65" s="862">
        <v>15858</v>
      </c>
      <c r="J65" s="862">
        <v>316</v>
      </c>
      <c r="K65" s="862">
        <v>2875</v>
      </c>
      <c r="L65" s="862">
        <v>2246</v>
      </c>
    </row>
    <row r="66" spans="2:13" s="839" customFormat="1" ht="13.5" customHeight="1">
      <c r="B66" s="860"/>
      <c r="C66" s="861"/>
      <c r="D66" s="858">
        <v>2023</v>
      </c>
      <c r="E66" s="859">
        <f>SUM(F66:L66)</f>
        <v>39751</v>
      </c>
      <c r="F66" s="859">
        <v>3392</v>
      </c>
      <c r="G66" s="859">
        <v>2845</v>
      </c>
      <c r="H66" s="859">
        <v>10985</v>
      </c>
      <c r="I66" s="859">
        <v>16755</v>
      </c>
      <c r="J66" s="859">
        <v>340</v>
      </c>
      <c r="K66" s="859">
        <v>3029</v>
      </c>
      <c r="L66" s="862">
        <v>2405</v>
      </c>
      <c r="M66" s="854"/>
    </row>
    <row r="67" spans="2:13" s="839" customFormat="1" ht="7" customHeight="1">
      <c r="B67" s="860"/>
      <c r="C67" s="863"/>
      <c r="D67" s="858"/>
      <c r="E67" s="859"/>
      <c r="F67" s="859"/>
      <c r="G67" s="859"/>
      <c r="H67" s="859"/>
      <c r="I67" s="859"/>
      <c r="J67" s="859"/>
      <c r="K67" s="859"/>
      <c r="L67" s="859"/>
    </row>
    <row r="68" spans="2:13" s="839" customFormat="1" ht="13.5" customHeight="1">
      <c r="B68" s="860" t="s">
        <v>262</v>
      </c>
      <c r="C68" s="861"/>
      <c r="D68" s="858">
        <v>2021</v>
      </c>
      <c r="E68" s="859">
        <f>SUM(F68:L68)</f>
        <v>36069</v>
      </c>
      <c r="F68" s="859">
        <v>4232</v>
      </c>
      <c r="G68" s="859">
        <v>2545</v>
      </c>
      <c r="H68" s="859">
        <v>10352</v>
      </c>
      <c r="I68" s="859">
        <v>12977</v>
      </c>
      <c r="J68" s="859">
        <v>221</v>
      </c>
      <c r="K68" s="859">
        <v>4255</v>
      </c>
      <c r="L68" s="859">
        <v>1487</v>
      </c>
    </row>
    <row r="69" spans="2:13" s="839" customFormat="1" ht="13.5" customHeight="1">
      <c r="B69" s="860"/>
      <c r="C69" s="861"/>
      <c r="D69" s="858">
        <v>2022</v>
      </c>
      <c r="E69" s="859">
        <f>SUM(F69:L69)</f>
        <v>39246</v>
      </c>
      <c r="F69" s="862">
        <v>4542</v>
      </c>
      <c r="G69" s="862">
        <v>2665</v>
      </c>
      <c r="H69" s="862">
        <v>11320</v>
      </c>
      <c r="I69" s="862">
        <v>14291</v>
      </c>
      <c r="J69" s="862">
        <v>231</v>
      </c>
      <c r="K69" s="862">
        <v>4556</v>
      </c>
      <c r="L69" s="862">
        <v>1641</v>
      </c>
    </row>
    <row r="70" spans="2:13" s="839" customFormat="1" ht="13.5" customHeight="1">
      <c r="B70" s="860"/>
      <c r="C70" s="861"/>
      <c r="D70" s="858">
        <v>2023</v>
      </c>
      <c r="E70" s="859">
        <f>SUM(F70:L70)</f>
        <v>41731</v>
      </c>
      <c r="F70" s="859">
        <v>4780</v>
      </c>
      <c r="G70" s="859">
        <v>2744</v>
      </c>
      <c r="H70" s="859">
        <v>12120</v>
      </c>
      <c r="I70" s="859">
        <v>15258</v>
      </c>
      <c r="J70" s="859">
        <v>241</v>
      </c>
      <c r="K70" s="859">
        <v>4839</v>
      </c>
      <c r="L70" s="862">
        <v>1749</v>
      </c>
      <c r="M70" s="854"/>
    </row>
    <row r="71" spans="2:13" s="839" customFormat="1" ht="7" customHeight="1">
      <c r="B71" s="860"/>
      <c r="C71" s="863"/>
      <c r="D71" s="858"/>
      <c r="E71" s="859"/>
      <c r="F71" s="859"/>
      <c r="G71" s="859"/>
      <c r="H71" s="859"/>
      <c r="I71" s="859"/>
      <c r="J71" s="859"/>
      <c r="K71" s="859"/>
      <c r="L71" s="859"/>
    </row>
    <row r="72" spans="2:13" s="839" customFormat="1" ht="13">
      <c r="B72" s="860" t="s">
        <v>263</v>
      </c>
      <c r="C72" s="861"/>
      <c r="D72" s="858">
        <v>2021</v>
      </c>
      <c r="E72" s="859">
        <f>SUM(F72:L72)</f>
        <v>38194</v>
      </c>
      <c r="F72" s="859">
        <v>3693</v>
      </c>
      <c r="G72" s="859">
        <v>3007</v>
      </c>
      <c r="H72" s="859">
        <v>15201</v>
      </c>
      <c r="I72" s="859">
        <v>12224</v>
      </c>
      <c r="J72" s="859">
        <v>120</v>
      </c>
      <c r="K72" s="859">
        <v>2657</v>
      </c>
      <c r="L72" s="859">
        <v>1292</v>
      </c>
    </row>
    <row r="73" spans="2:13" s="839" customFormat="1" ht="13.5" customHeight="1">
      <c r="B73" s="860"/>
      <c r="C73" s="861"/>
      <c r="D73" s="858">
        <v>2022</v>
      </c>
      <c r="E73" s="859">
        <f>SUM(F73:L73)</f>
        <v>41421</v>
      </c>
      <c r="F73" s="862">
        <v>3950</v>
      </c>
      <c r="G73" s="862">
        <v>3151</v>
      </c>
      <c r="H73" s="862">
        <v>16571</v>
      </c>
      <c r="I73" s="862">
        <v>13380</v>
      </c>
      <c r="J73" s="862">
        <v>133</v>
      </c>
      <c r="K73" s="862">
        <v>2831</v>
      </c>
      <c r="L73" s="862">
        <v>1405</v>
      </c>
    </row>
    <row r="74" spans="2:13" s="839" customFormat="1" ht="13.5" customHeight="1">
      <c r="B74" s="860"/>
      <c r="C74" s="861"/>
      <c r="D74" s="858">
        <v>2023</v>
      </c>
      <c r="E74" s="859">
        <f>SUM(F74:L74)</f>
        <v>44199</v>
      </c>
      <c r="F74" s="859">
        <v>4163</v>
      </c>
      <c r="G74" s="859">
        <v>3252</v>
      </c>
      <c r="H74" s="859">
        <v>17657</v>
      </c>
      <c r="I74" s="859">
        <v>14412</v>
      </c>
      <c r="J74" s="859">
        <v>151</v>
      </c>
      <c r="K74" s="859">
        <v>3067</v>
      </c>
      <c r="L74" s="862">
        <v>1497</v>
      </c>
      <c r="M74" s="854"/>
    </row>
    <row r="75" spans="2:13" s="839" customFormat="1" ht="7" customHeight="1">
      <c r="B75" s="860"/>
      <c r="C75" s="863"/>
      <c r="D75" s="858"/>
      <c r="E75" s="859"/>
      <c r="F75" s="859"/>
      <c r="G75" s="859"/>
      <c r="H75" s="859"/>
      <c r="I75" s="859"/>
      <c r="J75" s="859"/>
      <c r="K75" s="859"/>
      <c r="L75" s="859"/>
    </row>
    <row r="76" spans="2:13" s="839" customFormat="1" ht="13.5" customHeight="1">
      <c r="B76" s="860" t="s">
        <v>264</v>
      </c>
      <c r="C76" s="861"/>
      <c r="D76" s="858">
        <v>2021</v>
      </c>
      <c r="E76" s="859">
        <f>SUM(F76:L76)</f>
        <v>1703</v>
      </c>
      <c r="F76" s="859">
        <v>131</v>
      </c>
      <c r="G76" s="859">
        <v>80</v>
      </c>
      <c r="H76" s="859">
        <v>451</v>
      </c>
      <c r="I76" s="859">
        <v>850</v>
      </c>
      <c r="J76" s="859">
        <v>25</v>
      </c>
      <c r="K76" s="859">
        <v>87</v>
      </c>
      <c r="L76" s="859">
        <v>79</v>
      </c>
    </row>
    <row r="77" spans="2:13" s="839" customFormat="1" ht="13.5" customHeight="1">
      <c r="B77" s="864"/>
      <c r="C77" s="864"/>
      <c r="D77" s="858">
        <v>2022</v>
      </c>
      <c r="E77" s="859">
        <f>SUM(F77:L77)</f>
        <v>1816</v>
      </c>
      <c r="F77" s="859">
        <v>136</v>
      </c>
      <c r="G77" s="859">
        <v>85</v>
      </c>
      <c r="H77" s="859">
        <v>482</v>
      </c>
      <c r="I77" s="859">
        <v>910</v>
      </c>
      <c r="J77" s="859">
        <v>25</v>
      </c>
      <c r="K77" s="859">
        <v>96</v>
      </c>
      <c r="L77" s="859">
        <v>82</v>
      </c>
    </row>
    <row r="78" spans="2:13" s="839" customFormat="1" ht="13.5" customHeight="1">
      <c r="B78" s="864"/>
      <c r="C78" s="864"/>
      <c r="D78" s="858">
        <v>2023</v>
      </c>
      <c r="E78" s="859">
        <f>SUM(F78:L78)</f>
        <v>1893</v>
      </c>
      <c r="F78" s="865">
        <v>137</v>
      </c>
      <c r="G78" s="865">
        <v>90</v>
      </c>
      <c r="H78" s="865">
        <v>501</v>
      </c>
      <c r="I78" s="865">
        <v>954</v>
      </c>
      <c r="J78" s="865">
        <v>23</v>
      </c>
      <c r="K78" s="865">
        <v>100</v>
      </c>
      <c r="L78" s="865">
        <v>88</v>
      </c>
      <c r="M78" s="854"/>
    </row>
    <row r="79" spans="2:13" s="839" customFormat="1" ht="7" customHeight="1">
      <c r="B79" s="864"/>
      <c r="C79" s="864"/>
      <c r="D79" s="858"/>
      <c r="E79" s="859"/>
      <c r="F79" s="865"/>
      <c r="G79" s="865"/>
      <c r="H79" s="865"/>
      <c r="I79" s="865"/>
      <c r="J79" s="865"/>
      <c r="K79" s="865"/>
      <c r="L79" s="865"/>
      <c r="M79" s="854"/>
    </row>
    <row r="80" spans="2:13" s="839" customFormat="1" ht="13.5" customHeight="1">
      <c r="B80" s="864"/>
      <c r="C80" s="864"/>
      <c r="D80" s="858"/>
      <c r="E80" s="859"/>
      <c r="F80" s="865"/>
      <c r="G80" s="865"/>
      <c r="H80" s="865"/>
      <c r="I80" s="865"/>
      <c r="J80" s="865"/>
      <c r="K80" s="865"/>
      <c r="L80" s="865"/>
      <c r="M80" s="854"/>
    </row>
    <row r="81" spans="1:175" s="839" customFormat="1" ht="7" customHeight="1" thickBot="1">
      <c r="A81" s="827"/>
      <c r="B81" s="866"/>
      <c r="C81" s="866"/>
      <c r="D81" s="829"/>
      <c r="E81" s="867"/>
      <c r="F81" s="867"/>
      <c r="G81" s="867"/>
      <c r="H81" s="867"/>
      <c r="I81" s="867"/>
      <c r="J81" s="867"/>
      <c r="K81" s="867"/>
      <c r="L81" s="867"/>
      <c r="M81" s="827"/>
    </row>
    <row r="82" spans="1:175" ht="16.5" customHeight="1">
      <c r="B82" s="868"/>
      <c r="C82" s="868"/>
      <c r="D82" s="869"/>
      <c r="E82" s="868"/>
      <c r="F82" s="868"/>
      <c r="G82" s="868"/>
      <c r="H82" s="868"/>
      <c r="I82" s="870"/>
      <c r="J82" s="871"/>
      <c r="K82" s="872"/>
      <c r="L82" s="870"/>
      <c r="M82" s="873" t="s">
        <v>858</v>
      </c>
      <c r="O82" s="868"/>
      <c r="P82" s="868"/>
      <c r="Q82" s="868"/>
      <c r="R82" s="868"/>
      <c r="S82" s="868"/>
      <c r="T82" s="868"/>
      <c r="U82" s="868"/>
      <c r="V82" s="868"/>
      <c r="W82" s="868"/>
      <c r="X82" s="868"/>
      <c r="Y82" s="868"/>
      <c r="Z82" s="868"/>
      <c r="AA82" s="868"/>
      <c r="AB82" s="868"/>
      <c r="AC82" s="868"/>
      <c r="AD82" s="868"/>
      <c r="AE82" s="868"/>
      <c r="AF82" s="868"/>
      <c r="AG82" s="868"/>
      <c r="AH82" s="868"/>
      <c r="AI82" s="868"/>
      <c r="AJ82" s="868"/>
      <c r="AK82" s="868"/>
      <c r="AL82" s="868"/>
      <c r="AM82" s="868"/>
      <c r="AN82" s="868"/>
      <c r="AO82" s="868"/>
      <c r="AP82" s="868"/>
      <c r="AQ82" s="868"/>
      <c r="AR82" s="868"/>
      <c r="AS82" s="868"/>
      <c r="AT82" s="868"/>
      <c r="AU82" s="868"/>
      <c r="AV82" s="868"/>
      <c r="AW82" s="868"/>
      <c r="AX82" s="868"/>
      <c r="AY82" s="868"/>
      <c r="AZ82" s="868"/>
      <c r="BA82" s="868"/>
      <c r="BB82" s="868"/>
      <c r="BC82" s="868"/>
      <c r="BD82" s="868"/>
      <c r="BE82" s="868"/>
      <c r="BF82" s="868"/>
      <c r="BG82" s="868"/>
      <c r="BH82" s="868"/>
      <c r="BI82" s="868"/>
      <c r="BJ82" s="868"/>
      <c r="BK82" s="868"/>
      <c r="BL82" s="868"/>
      <c r="BM82" s="868"/>
      <c r="BN82" s="868"/>
      <c r="BO82" s="868"/>
      <c r="BP82" s="868"/>
      <c r="BQ82" s="868"/>
      <c r="BR82" s="868"/>
      <c r="BS82" s="868"/>
      <c r="BT82" s="868"/>
      <c r="BU82" s="868"/>
      <c r="BV82" s="868"/>
      <c r="BW82" s="868"/>
      <c r="BX82" s="868"/>
      <c r="BY82" s="868"/>
      <c r="BZ82" s="868"/>
      <c r="CA82" s="868"/>
      <c r="CB82" s="868"/>
      <c r="CC82" s="868"/>
      <c r="CD82" s="868"/>
      <c r="CE82" s="868"/>
      <c r="CF82" s="868"/>
      <c r="CG82" s="868"/>
      <c r="CH82" s="868"/>
      <c r="CI82" s="868"/>
      <c r="CJ82" s="868"/>
      <c r="CK82" s="868"/>
      <c r="CL82" s="868"/>
      <c r="CM82" s="868"/>
      <c r="CN82" s="868"/>
      <c r="CO82" s="868"/>
      <c r="CP82" s="868"/>
      <c r="CQ82" s="868"/>
      <c r="CR82" s="868"/>
      <c r="CS82" s="868"/>
      <c r="CT82" s="868"/>
      <c r="CU82" s="868"/>
      <c r="CV82" s="868"/>
      <c r="CW82" s="868"/>
      <c r="CX82" s="868"/>
      <c r="CY82" s="868"/>
      <c r="CZ82" s="868"/>
      <c r="DA82" s="868"/>
      <c r="DB82" s="868"/>
      <c r="DC82" s="868"/>
      <c r="DD82" s="868"/>
      <c r="DE82" s="868"/>
      <c r="DF82" s="868"/>
      <c r="DG82" s="868"/>
      <c r="DH82" s="868"/>
      <c r="DI82" s="868"/>
      <c r="DJ82" s="868"/>
      <c r="DK82" s="868"/>
      <c r="DL82" s="868"/>
      <c r="DM82" s="868"/>
      <c r="DN82" s="868"/>
      <c r="DO82" s="868"/>
      <c r="DP82" s="868"/>
      <c r="DQ82" s="868"/>
      <c r="DR82" s="868"/>
      <c r="DS82" s="868"/>
      <c r="DT82" s="868"/>
      <c r="DU82" s="868"/>
      <c r="DV82" s="868"/>
      <c r="DW82" s="868"/>
      <c r="DX82" s="868"/>
      <c r="DY82" s="868"/>
      <c r="DZ82" s="868"/>
      <c r="EA82" s="868"/>
      <c r="EB82" s="868"/>
      <c r="EC82" s="868"/>
      <c r="ED82" s="868"/>
      <c r="EE82" s="868"/>
      <c r="EF82" s="868"/>
      <c r="EG82" s="868"/>
      <c r="EH82" s="868"/>
      <c r="EI82" s="868"/>
      <c r="EJ82" s="868"/>
      <c r="EK82" s="868"/>
      <c r="EL82" s="868"/>
      <c r="EM82" s="868"/>
      <c r="EN82" s="868"/>
      <c r="EO82" s="868"/>
      <c r="EP82" s="868"/>
      <c r="EQ82" s="868"/>
      <c r="ER82" s="868"/>
      <c r="ES82" s="868"/>
      <c r="ET82" s="868"/>
      <c r="EU82" s="868"/>
      <c r="EV82" s="868"/>
      <c r="EW82" s="868"/>
      <c r="EX82" s="868"/>
      <c r="EY82" s="868"/>
      <c r="EZ82" s="868"/>
      <c r="FA82" s="868"/>
      <c r="FB82" s="868"/>
      <c r="FC82" s="868"/>
      <c r="FD82" s="868"/>
      <c r="FE82" s="868"/>
      <c r="FF82" s="868"/>
      <c r="FG82" s="868"/>
      <c r="FH82" s="868"/>
      <c r="FI82" s="868"/>
      <c r="FJ82" s="868"/>
      <c r="FK82" s="868"/>
      <c r="FL82" s="868"/>
      <c r="FM82" s="868"/>
      <c r="FN82" s="868"/>
      <c r="FO82" s="868"/>
      <c r="FP82" s="868"/>
      <c r="FQ82" s="868"/>
      <c r="FR82" s="868"/>
      <c r="FS82" s="868"/>
    </row>
    <row r="83" spans="1:175" ht="15.25" customHeight="1">
      <c r="D83" s="869"/>
      <c r="E83" s="868"/>
      <c r="F83" s="868"/>
      <c r="G83" s="868"/>
      <c r="H83" s="868"/>
      <c r="I83" s="870"/>
      <c r="J83" s="874"/>
      <c r="K83" s="874"/>
      <c r="L83" s="875"/>
      <c r="M83" s="876" t="s">
        <v>757</v>
      </c>
      <c r="O83" s="868"/>
      <c r="P83" s="868"/>
      <c r="Q83" s="868"/>
      <c r="R83" s="868"/>
      <c r="S83" s="868"/>
      <c r="T83" s="868"/>
      <c r="U83" s="868"/>
      <c r="V83" s="868"/>
      <c r="W83" s="868"/>
      <c r="X83" s="868"/>
      <c r="Y83" s="868"/>
      <c r="Z83" s="868"/>
      <c r="AA83" s="868"/>
      <c r="AB83" s="868"/>
      <c r="AC83" s="868"/>
      <c r="AD83" s="868"/>
      <c r="AE83" s="868"/>
      <c r="AF83" s="868"/>
      <c r="AG83" s="868"/>
      <c r="AH83" s="868"/>
      <c r="AI83" s="868"/>
      <c r="AJ83" s="868"/>
      <c r="AK83" s="868"/>
      <c r="AL83" s="868"/>
      <c r="AM83" s="868"/>
      <c r="AN83" s="868"/>
      <c r="AO83" s="868"/>
      <c r="AP83" s="868"/>
      <c r="AQ83" s="868"/>
      <c r="AR83" s="868"/>
      <c r="AS83" s="868"/>
      <c r="AT83" s="868"/>
      <c r="AU83" s="868"/>
      <c r="AV83" s="868"/>
      <c r="AW83" s="868"/>
      <c r="AX83" s="868"/>
      <c r="AY83" s="868"/>
      <c r="AZ83" s="868"/>
      <c r="BA83" s="868"/>
      <c r="BB83" s="868"/>
      <c r="BC83" s="868"/>
      <c r="BD83" s="868"/>
      <c r="BE83" s="868"/>
      <c r="BF83" s="868"/>
      <c r="BG83" s="868"/>
      <c r="BH83" s="868"/>
      <c r="BI83" s="868"/>
      <c r="BJ83" s="868"/>
      <c r="BK83" s="868"/>
      <c r="BL83" s="868"/>
      <c r="BM83" s="868"/>
      <c r="BN83" s="868"/>
      <c r="BO83" s="868"/>
      <c r="BP83" s="868"/>
      <c r="BQ83" s="868"/>
      <c r="BR83" s="868"/>
      <c r="BS83" s="868"/>
      <c r="BT83" s="868"/>
      <c r="BU83" s="868"/>
      <c r="BV83" s="868"/>
      <c r="BW83" s="868"/>
      <c r="BX83" s="868"/>
      <c r="BY83" s="868"/>
      <c r="BZ83" s="868"/>
      <c r="CA83" s="868"/>
      <c r="CB83" s="868"/>
      <c r="CC83" s="868"/>
      <c r="CD83" s="868"/>
      <c r="CE83" s="868"/>
      <c r="CF83" s="868"/>
      <c r="CG83" s="868"/>
      <c r="CH83" s="868"/>
      <c r="CI83" s="868"/>
      <c r="CJ83" s="868"/>
      <c r="CK83" s="868"/>
      <c r="CL83" s="868"/>
      <c r="CM83" s="868"/>
      <c r="CN83" s="868"/>
      <c r="CO83" s="868"/>
      <c r="CP83" s="868"/>
      <c r="CQ83" s="868"/>
      <c r="CR83" s="868"/>
      <c r="CS83" s="868"/>
      <c r="CT83" s="868"/>
      <c r="CU83" s="868"/>
      <c r="CV83" s="868"/>
      <c r="CW83" s="868"/>
      <c r="CX83" s="868"/>
      <c r="CY83" s="868"/>
      <c r="CZ83" s="868"/>
      <c r="DA83" s="868"/>
      <c r="DB83" s="868"/>
      <c r="DC83" s="868"/>
      <c r="DD83" s="868"/>
      <c r="DE83" s="868"/>
      <c r="DF83" s="868"/>
      <c r="DG83" s="868"/>
      <c r="DH83" s="868"/>
      <c r="DI83" s="868"/>
      <c r="DJ83" s="868"/>
      <c r="DK83" s="868"/>
      <c r="DL83" s="868"/>
      <c r="DM83" s="868"/>
      <c r="DN83" s="868"/>
      <c r="DO83" s="868"/>
      <c r="DP83" s="868"/>
      <c r="DQ83" s="868"/>
      <c r="DR83" s="868"/>
      <c r="DS83" s="868"/>
      <c r="DT83" s="868"/>
      <c r="DU83" s="868"/>
      <c r="DV83" s="868"/>
      <c r="DW83" s="868"/>
      <c r="DX83" s="868"/>
      <c r="DY83" s="868"/>
      <c r="DZ83" s="868"/>
      <c r="EA83" s="868"/>
      <c r="EB83" s="868"/>
      <c r="EC83" s="868"/>
      <c r="ED83" s="868"/>
      <c r="EE83" s="868"/>
      <c r="EF83" s="868"/>
      <c r="EG83" s="868"/>
      <c r="EH83" s="868"/>
      <c r="EI83" s="868"/>
      <c r="EJ83" s="868"/>
      <c r="EK83" s="868"/>
      <c r="EL83" s="868"/>
      <c r="EM83" s="868"/>
      <c r="EN83" s="868"/>
      <c r="EO83" s="868"/>
      <c r="EP83" s="868"/>
      <c r="EQ83" s="868"/>
      <c r="ER83" s="868"/>
      <c r="ES83" s="868"/>
      <c r="ET83" s="868"/>
      <c r="EU83" s="868"/>
      <c r="EV83" s="868"/>
      <c r="EW83" s="868"/>
      <c r="EX83" s="868"/>
      <c r="EY83" s="868"/>
      <c r="EZ83" s="868"/>
      <c r="FA83" s="868"/>
      <c r="FB83" s="868"/>
      <c r="FC83" s="868"/>
      <c r="FD83" s="868"/>
      <c r="FE83" s="868"/>
      <c r="FF83" s="868"/>
      <c r="FG83" s="868"/>
      <c r="FH83" s="868"/>
      <c r="FI83" s="868"/>
      <c r="FJ83" s="868"/>
      <c r="FK83" s="868"/>
      <c r="FL83" s="868"/>
      <c r="FM83" s="868"/>
      <c r="FN83" s="868"/>
      <c r="FO83" s="868"/>
      <c r="FP83" s="868"/>
      <c r="FQ83" s="868"/>
      <c r="FR83" s="868"/>
      <c r="FS83" s="868"/>
    </row>
    <row r="84" spans="1:175" ht="15.25" customHeight="1">
      <c r="B84" s="877" t="s">
        <v>859</v>
      </c>
      <c r="C84" s="878"/>
      <c r="D84" s="879"/>
      <c r="E84" s="868"/>
      <c r="F84" s="868"/>
      <c r="G84" s="868"/>
      <c r="H84" s="868"/>
      <c r="O84" s="868"/>
      <c r="P84" s="868"/>
      <c r="Q84" s="868"/>
      <c r="R84" s="868"/>
      <c r="S84" s="868"/>
      <c r="T84" s="868"/>
      <c r="U84" s="868"/>
      <c r="V84" s="868"/>
      <c r="W84" s="868"/>
      <c r="X84" s="868"/>
      <c r="Y84" s="868"/>
      <c r="Z84" s="868"/>
      <c r="AA84" s="868"/>
      <c r="AB84" s="868"/>
      <c r="AC84" s="868"/>
      <c r="AD84" s="868"/>
      <c r="AE84" s="868"/>
      <c r="AF84" s="868"/>
      <c r="AG84" s="868"/>
      <c r="AH84" s="868"/>
      <c r="AI84" s="868"/>
      <c r="AJ84" s="868"/>
      <c r="AK84" s="868"/>
      <c r="AL84" s="868"/>
      <c r="AM84" s="868"/>
      <c r="AN84" s="868"/>
      <c r="AO84" s="868"/>
      <c r="AP84" s="868"/>
      <c r="AQ84" s="868"/>
      <c r="AR84" s="868"/>
      <c r="AS84" s="868"/>
      <c r="AT84" s="868"/>
      <c r="AU84" s="868"/>
      <c r="AV84" s="868"/>
      <c r="AW84" s="868"/>
      <c r="AX84" s="868"/>
      <c r="AY84" s="868"/>
      <c r="AZ84" s="868"/>
      <c r="BA84" s="868"/>
      <c r="BB84" s="868"/>
      <c r="BC84" s="868"/>
      <c r="BD84" s="868"/>
      <c r="BE84" s="868"/>
      <c r="BF84" s="868"/>
      <c r="BG84" s="868"/>
      <c r="BH84" s="868"/>
      <c r="BI84" s="868"/>
      <c r="BJ84" s="868"/>
      <c r="BK84" s="868"/>
      <c r="BL84" s="868"/>
      <c r="BM84" s="868"/>
      <c r="BN84" s="868"/>
      <c r="BO84" s="868"/>
      <c r="BP84" s="868"/>
      <c r="BQ84" s="868"/>
      <c r="BR84" s="868"/>
      <c r="BS84" s="868"/>
      <c r="BT84" s="868"/>
      <c r="BU84" s="868"/>
      <c r="BV84" s="868"/>
      <c r="BW84" s="868"/>
      <c r="BX84" s="868"/>
      <c r="BY84" s="868"/>
      <c r="BZ84" s="868"/>
      <c r="CA84" s="868"/>
      <c r="CB84" s="868"/>
      <c r="CC84" s="868"/>
      <c r="CD84" s="868"/>
      <c r="CE84" s="868"/>
      <c r="CF84" s="868"/>
      <c r="CG84" s="868"/>
      <c r="CH84" s="868"/>
      <c r="CI84" s="868"/>
      <c r="CJ84" s="868"/>
      <c r="CK84" s="868"/>
      <c r="CL84" s="868"/>
      <c r="CM84" s="868"/>
      <c r="CN84" s="868"/>
      <c r="CO84" s="868"/>
      <c r="CP84" s="868"/>
      <c r="CQ84" s="868"/>
      <c r="CR84" s="868"/>
      <c r="CS84" s="868"/>
      <c r="CT84" s="868"/>
      <c r="CU84" s="868"/>
      <c r="CV84" s="868"/>
      <c r="CW84" s="868"/>
      <c r="CX84" s="868"/>
      <c r="CY84" s="868"/>
      <c r="CZ84" s="868"/>
      <c r="DA84" s="868"/>
      <c r="DB84" s="868"/>
      <c r="DC84" s="868"/>
      <c r="DD84" s="868"/>
      <c r="DE84" s="868"/>
      <c r="DF84" s="868"/>
      <c r="DG84" s="868"/>
      <c r="DH84" s="868"/>
      <c r="DI84" s="868"/>
      <c r="DJ84" s="868"/>
      <c r="DK84" s="868"/>
      <c r="DL84" s="868"/>
      <c r="DM84" s="868"/>
      <c r="DN84" s="868"/>
      <c r="DO84" s="868"/>
      <c r="DP84" s="868"/>
      <c r="DQ84" s="868"/>
      <c r="DR84" s="868"/>
      <c r="DS84" s="868"/>
      <c r="DT84" s="868"/>
      <c r="DU84" s="868"/>
      <c r="DV84" s="868"/>
      <c r="DW84" s="868"/>
      <c r="DX84" s="868"/>
      <c r="DY84" s="868"/>
      <c r="DZ84" s="868"/>
      <c r="EA84" s="868"/>
      <c r="EB84" s="868"/>
      <c r="EC84" s="868"/>
      <c r="ED84" s="868"/>
      <c r="EE84" s="868"/>
      <c r="EF84" s="868"/>
      <c r="EG84" s="868"/>
      <c r="EH84" s="868"/>
      <c r="EI84" s="868"/>
      <c r="EJ84" s="868"/>
      <c r="EK84" s="868"/>
      <c r="EL84" s="868"/>
      <c r="EM84" s="868"/>
      <c r="EN84" s="868"/>
      <c r="EO84" s="868"/>
      <c r="EP84" s="868"/>
      <c r="EQ84" s="868"/>
      <c r="ER84" s="868"/>
      <c r="ES84" s="868"/>
      <c r="ET84" s="868"/>
      <c r="EU84" s="868"/>
      <c r="EV84" s="868"/>
      <c r="EW84" s="868"/>
      <c r="EX84" s="868"/>
      <c r="EY84" s="868"/>
      <c r="EZ84" s="868"/>
      <c r="FA84" s="868"/>
      <c r="FB84" s="868"/>
      <c r="FC84" s="868"/>
      <c r="FD84" s="868"/>
      <c r="FE84" s="868"/>
      <c r="FF84" s="868"/>
      <c r="FG84" s="868"/>
      <c r="FH84" s="868"/>
      <c r="FI84" s="868"/>
      <c r="FJ84" s="868"/>
      <c r="FK84" s="868"/>
      <c r="FL84" s="868"/>
      <c r="FM84" s="868"/>
      <c r="FN84" s="868"/>
      <c r="FO84" s="868"/>
      <c r="FP84" s="868"/>
      <c r="FQ84" s="868"/>
      <c r="FR84" s="868"/>
      <c r="FS84" s="868"/>
    </row>
    <row r="85" spans="1:175" ht="16.5" customHeight="1">
      <c r="A85" s="880" t="s">
        <v>35</v>
      </c>
      <c r="B85" s="881" t="s">
        <v>860</v>
      </c>
      <c r="C85" s="882"/>
      <c r="D85" s="869"/>
      <c r="E85" s="868"/>
      <c r="F85" s="868"/>
      <c r="G85" s="868"/>
      <c r="H85" s="868"/>
      <c r="J85" s="872"/>
      <c r="K85" s="883"/>
      <c r="L85" s="883"/>
      <c r="M85" s="884"/>
      <c r="O85" s="868"/>
      <c r="P85" s="868"/>
      <c r="Q85" s="868"/>
      <c r="R85" s="868"/>
      <c r="S85" s="868"/>
      <c r="T85" s="868"/>
      <c r="U85" s="868"/>
      <c r="V85" s="868"/>
      <c r="W85" s="868"/>
      <c r="X85" s="868"/>
      <c r="Y85" s="868"/>
      <c r="Z85" s="868"/>
      <c r="AA85" s="868"/>
      <c r="AB85" s="868"/>
      <c r="AC85" s="868"/>
      <c r="AD85" s="868"/>
      <c r="AE85" s="868"/>
      <c r="AF85" s="868"/>
      <c r="AG85" s="868"/>
      <c r="AH85" s="868"/>
      <c r="AI85" s="868"/>
      <c r="AJ85" s="868"/>
      <c r="AK85" s="868"/>
      <c r="AL85" s="868"/>
      <c r="AM85" s="868"/>
      <c r="AN85" s="868"/>
      <c r="AO85" s="868"/>
      <c r="AP85" s="868"/>
      <c r="AQ85" s="868"/>
      <c r="AR85" s="868"/>
      <c r="AS85" s="868"/>
      <c r="AT85" s="868"/>
      <c r="AU85" s="868"/>
      <c r="AV85" s="868"/>
      <c r="AW85" s="868"/>
      <c r="AX85" s="868"/>
      <c r="AY85" s="868"/>
      <c r="AZ85" s="868"/>
      <c r="BA85" s="868"/>
      <c r="BB85" s="868"/>
      <c r="BC85" s="868"/>
      <c r="BD85" s="868"/>
      <c r="BE85" s="868"/>
      <c r="BF85" s="868"/>
      <c r="BG85" s="868"/>
      <c r="BH85" s="868"/>
      <c r="BI85" s="868"/>
      <c r="BJ85" s="868"/>
      <c r="BK85" s="868"/>
      <c r="BL85" s="868"/>
      <c r="BM85" s="868"/>
      <c r="BN85" s="868"/>
      <c r="BO85" s="868"/>
      <c r="BP85" s="868"/>
      <c r="BQ85" s="868"/>
      <c r="BR85" s="868"/>
      <c r="BS85" s="868"/>
      <c r="BT85" s="868"/>
      <c r="BU85" s="868"/>
      <c r="BV85" s="868"/>
      <c r="BW85" s="868"/>
      <c r="BX85" s="868"/>
      <c r="BY85" s="868"/>
      <c r="BZ85" s="868"/>
      <c r="CA85" s="868"/>
      <c r="CB85" s="868"/>
      <c r="CC85" s="868"/>
      <c r="CD85" s="868"/>
      <c r="CE85" s="868"/>
      <c r="CF85" s="868"/>
      <c r="CG85" s="868"/>
      <c r="CH85" s="868"/>
      <c r="CI85" s="868"/>
      <c r="CJ85" s="868"/>
      <c r="CK85" s="868"/>
      <c r="CL85" s="868"/>
      <c r="CM85" s="868"/>
      <c r="CN85" s="868"/>
      <c r="CO85" s="868"/>
      <c r="CP85" s="868"/>
      <c r="CQ85" s="868"/>
      <c r="CR85" s="868"/>
      <c r="CS85" s="868"/>
      <c r="CT85" s="868"/>
      <c r="CU85" s="868"/>
      <c r="CV85" s="868"/>
      <c r="CW85" s="868"/>
      <c r="CX85" s="868"/>
      <c r="CY85" s="868"/>
      <c r="CZ85" s="868"/>
      <c r="DA85" s="868"/>
      <c r="DB85" s="868"/>
      <c r="DC85" s="868"/>
      <c r="DD85" s="868"/>
      <c r="DE85" s="868"/>
      <c r="DF85" s="868"/>
      <c r="DG85" s="868"/>
      <c r="DH85" s="868"/>
      <c r="DI85" s="868"/>
      <c r="DJ85" s="868"/>
      <c r="DK85" s="868"/>
      <c r="DL85" s="868"/>
      <c r="DM85" s="868"/>
      <c r="DN85" s="868"/>
      <c r="DO85" s="868"/>
      <c r="DP85" s="868"/>
      <c r="DQ85" s="868"/>
      <c r="DR85" s="868"/>
      <c r="DS85" s="868"/>
      <c r="DT85" s="868"/>
      <c r="DU85" s="868"/>
      <c r="DV85" s="868"/>
      <c r="DW85" s="868"/>
      <c r="DX85" s="868"/>
      <c r="DY85" s="868"/>
      <c r="DZ85" s="868"/>
      <c r="EA85" s="868"/>
      <c r="EB85" s="868"/>
      <c r="EC85" s="868"/>
      <c r="ED85" s="868"/>
      <c r="EE85" s="868"/>
      <c r="EF85" s="868"/>
      <c r="EG85" s="868"/>
      <c r="EH85" s="868"/>
      <c r="EI85" s="868"/>
      <c r="EJ85" s="868"/>
      <c r="EK85" s="868"/>
      <c r="EL85" s="868"/>
      <c r="EM85" s="868"/>
      <c r="EN85" s="868"/>
      <c r="EO85" s="868"/>
      <c r="EP85" s="868"/>
      <c r="EQ85" s="868"/>
      <c r="ER85" s="868"/>
      <c r="ES85" s="868"/>
      <c r="ET85" s="868"/>
      <c r="EU85" s="868"/>
      <c r="EV85" s="868"/>
      <c r="EW85" s="868"/>
      <c r="EX85" s="868"/>
      <c r="EY85" s="868"/>
      <c r="EZ85" s="868"/>
      <c r="FA85" s="868"/>
      <c r="FB85" s="868"/>
      <c r="FC85" s="868"/>
      <c r="FD85" s="868"/>
      <c r="FE85" s="868"/>
      <c r="FF85" s="868"/>
      <c r="FG85" s="868"/>
      <c r="FH85" s="868"/>
      <c r="FI85" s="868"/>
      <c r="FJ85" s="868"/>
      <c r="FK85" s="868"/>
      <c r="FL85" s="868"/>
      <c r="FM85" s="868"/>
      <c r="FN85" s="868"/>
      <c r="FO85" s="868"/>
      <c r="FP85" s="868"/>
      <c r="FQ85" s="868"/>
      <c r="FR85" s="868"/>
      <c r="FS85" s="868"/>
    </row>
    <row r="86" spans="1:175" ht="14" customHeight="1">
      <c r="B86" s="885" t="s">
        <v>861</v>
      </c>
      <c r="C86" s="878"/>
      <c r="D86" s="879"/>
      <c r="E86" s="868"/>
      <c r="F86" s="868"/>
      <c r="G86" s="868"/>
      <c r="H86" s="868"/>
      <c r="I86" s="886"/>
      <c r="K86" s="887"/>
      <c r="L86" s="887"/>
      <c r="M86" s="887"/>
      <c r="O86" s="868"/>
      <c r="P86" s="868"/>
      <c r="Q86" s="868"/>
      <c r="R86" s="868"/>
      <c r="S86" s="868"/>
      <c r="T86" s="868"/>
      <c r="U86" s="868"/>
      <c r="V86" s="868"/>
      <c r="W86" s="868"/>
      <c r="X86" s="868"/>
      <c r="Y86" s="868"/>
      <c r="Z86" s="868"/>
      <c r="AA86" s="868"/>
      <c r="AB86" s="868"/>
      <c r="AC86" s="868"/>
      <c r="AD86" s="868"/>
      <c r="AE86" s="868"/>
      <c r="AF86" s="868"/>
      <c r="AG86" s="868"/>
      <c r="AH86" s="868"/>
      <c r="AI86" s="868"/>
      <c r="AJ86" s="868"/>
      <c r="AK86" s="868"/>
      <c r="AL86" s="868"/>
      <c r="AM86" s="868"/>
      <c r="AN86" s="868"/>
      <c r="AO86" s="868"/>
      <c r="AP86" s="868"/>
      <c r="AQ86" s="868"/>
      <c r="AR86" s="868"/>
      <c r="AS86" s="868"/>
      <c r="AT86" s="868"/>
      <c r="AU86" s="868"/>
      <c r="AV86" s="868"/>
      <c r="AW86" s="868"/>
      <c r="AX86" s="868"/>
      <c r="AY86" s="868"/>
      <c r="AZ86" s="868"/>
      <c r="BA86" s="868"/>
      <c r="BB86" s="868"/>
      <c r="BC86" s="868"/>
      <c r="BD86" s="868"/>
      <c r="BE86" s="868"/>
      <c r="BF86" s="868"/>
      <c r="BG86" s="868"/>
      <c r="BH86" s="868"/>
      <c r="BI86" s="868"/>
      <c r="BJ86" s="868"/>
      <c r="BK86" s="868"/>
      <c r="BL86" s="868"/>
      <c r="BM86" s="868"/>
      <c r="BN86" s="868"/>
      <c r="BO86" s="868"/>
      <c r="BP86" s="868"/>
      <c r="BQ86" s="868"/>
      <c r="BR86" s="868"/>
      <c r="BS86" s="868"/>
      <c r="BT86" s="868"/>
      <c r="BU86" s="868"/>
      <c r="BV86" s="868"/>
      <c r="BW86" s="868"/>
      <c r="BX86" s="868"/>
      <c r="BY86" s="868"/>
      <c r="BZ86" s="868"/>
      <c r="CA86" s="868"/>
      <c r="CB86" s="868"/>
      <c r="CC86" s="868"/>
      <c r="CD86" s="868"/>
      <c r="CE86" s="868"/>
      <c r="CF86" s="868"/>
      <c r="CG86" s="868"/>
      <c r="CH86" s="868"/>
      <c r="CI86" s="868"/>
      <c r="CJ86" s="868"/>
      <c r="CK86" s="868"/>
      <c r="CL86" s="868"/>
      <c r="CM86" s="868"/>
      <c r="CN86" s="868"/>
      <c r="CO86" s="868"/>
      <c r="CP86" s="868"/>
      <c r="CQ86" s="868"/>
      <c r="CR86" s="868"/>
      <c r="CS86" s="868"/>
      <c r="CT86" s="868"/>
      <c r="CU86" s="868"/>
      <c r="CV86" s="868"/>
      <c r="CW86" s="868"/>
      <c r="CX86" s="868"/>
      <c r="CY86" s="868"/>
      <c r="CZ86" s="868"/>
      <c r="DA86" s="868"/>
      <c r="DB86" s="868"/>
      <c r="DC86" s="868"/>
      <c r="DD86" s="868"/>
      <c r="DE86" s="868"/>
      <c r="DF86" s="868"/>
      <c r="DG86" s="868"/>
      <c r="DH86" s="868"/>
      <c r="DI86" s="868"/>
      <c r="DJ86" s="868"/>
      <c r="DK86" s="868"/>
      <c r="DL86" s="868"/>
      <c r="DM86" s="868"/>
      <c r="DN86" s="868"/>
      <c r="DO86" s="868"/>
      <c r="DP86" s="868"/>
      <c r="DQ86" s="868"/>
      <c r="DR86" s="868"/>
      <c r="DS86" s="868"/>
      <c r="DT86" s="868"/>
      <c r="DU86" s="868"/>
      <c r="DV86" s="868"/>
      <c r="DW86" s="868"/>
      <c r="DX86" s="868"/>
      <c r="DY86" s="868"/>
      <c r="DZ86" s="868"/>
      <c r="EA86" s="868"/>
      <c r="EB86" s="868"/>
      <c r="EC86" s="868"/>
      <c r="ED86" s="868"/>
      <c r="EE86" s="868"/>
      <c r="EF86" s="868"/>
      <c r="EG86" s="868"/>
      <c r="EH86" s="868"/>
      <c r="EI86" s="868"/>
      <c r="EJ86" s="868"/>
      <c r="EK86" s="868"/>
      <c r="EL86" s="868"/>
      <c r="EM86" s="868"/>
      <c r="EN86" s="868"/>
      <c r="EO86" s="868"/>
      <c r="EP86" s="868"/>
      <c r="EQ86" s="868"/>
      <c r="ER86" s="868"/>
      <c r="ES86" s="868"/>
      <c r="ET86" s="868"/>
      <c r="EU86" s="868"/>
      <c r="EV86" s="868"/>
      <c r="EW86" s="868"/>
      <c r="EX86" s="868"/>
      <c r="EY86" s="868"/>
      <c r="EZ86" s="868"/>
      <c r="FA86" s="868"/>
      <c r="FB86" s="868"/>
      <c r="FC86" s="868"/>
      <c r="FD86" s="868"/>
      <c r="FE86" s="868"/>
      <c r="FF86" s="868"/>
      <c r="FG86" s="868"/>
      <c r="FH86" s="868"/>
      <c r="FI86" s="868"/>
      <c r="FJ86" s="868"/>
      <c r="FK86" s="868"/>
      <c r="FL86" s="868"/>
      <c r="FM86" s="868"/>
      <c r="FN86" s="868"/>
      <c r="FO86" s="868"/>
      <c r="FP86" s="868"/>
      <c r="FQ86" s="868"/>
      <c r="FR86" s="868"/>
      <c r="FS86" s="868"/>
    </row>
    <row r="87" spans="1:175" ht="13.5" customHeight="1">
      <c r="B87" s="888"/>
      <c r="C87" s="888"/>
      <c r="D87" s="889"/>
      <c r="E87" s="890"/>
      <c r="F87" s="890"/>
      <c r="G87" s="890"/>
      <c r="H87" s="888"/>
      <c r="I87" s="889"/>
      <c r="J87" s="889"/>
      <c r="K87" s="889"/>
      <c r="L87" s="889"/>
      <c r="M87" s="890"/>
    </row>
    <row r="88" spans="1:175" s="54" customFormat="1">
      <c r="A88" s="891" t="s">
        <v>38</v>
      </c>
      <c r="B88" s="105" t="s">
        <v>862</v>
      </c>
    </row>
    <row r="89" spans="1:175" s="54" customFormat="1">
      <c r="B89" s="55" t="s">
        <v>863</v>
      </c>
    </row>
    <row r="90" spans="1:175" ht="16.5" customHeight="1">
      <c r="B90" s="892"/>
      <c r="C90" s="892"/>
      <c r="D90" s="893"/>
      <c r="E90" s="894"/>
      <c r="F90" s="895"/>
      <c r="G90" s="896"/>
      <c r="H90" s="895"/>
      <c r="I90" s="896"/>
      <c r="J90" s="895"/>
      <c r="K90" s="895"/>
      <c r="L90" s="895"/>
    </row>
    <row r="91" spans="1:175" ht="16.5" customHeight="1">
      <c r="B91" s="892"/>
      <c r="C91" s="892"/>
      <c r="D91" s="893"/>
      <c r="E91" s="894"/>
      <c r="F91" s="895"/>
      <c r="G91" s="896"/>
      <c r="H91" s="895"/>
      <c r="I91" s="896"/>
      <c r="J91" s="895"/>
      <c r="K91" s="895"/>
      <c r="L91" s="895"/>
    </row>
    <row r="92" spans="1:175" ht="16.5" customHeight="1">
      <c r="B92" s="897"/>
      <c r="C92" s="897"/>
      <c r="D92" s="898"/>
    </row>
    <row r="93" spans="1:175" ht="15.75" customHeight="1">
      <c r="B93" s="897"/>
      <c r="C93" s="897"/>
      <c r="D93" s="898"/>
    </row>
    <row r="94" spans="1:175" ht="15.75" customHeight="1">
      <c r="B94" s="852"/>
      <c r="C94" s="852"/>
      <c r="D94" s="893"/>
    </row>
    <row r="95" spans="1:175" ht="15.75" customHeight="1">
      <c r="D95" s="898"/>
      <c r="F95" s="899"/>
      <c r="G95" s="899"/>
      <c r="H95" s="899"/>
      <c r="I95" s="899"/>
      <c r="J95" s="899"/>
      <c r="K95" s="899"/>
      <c r="L95" s="899"/>
    </row>
    <row r="96" spans="1:175" ht="23.25" customHeight="1"/>
    <row r="97" ht="23.25" customHeight="1"/>
  </sheetData>
  <printOptions horizontalCentered="1"/>
  <pageMargins left="0.55118110236220474" right="0.55118110236220474" top="0.55118110236220474" bottom="0.55118110236220474" header="0.39370078740157483" footer="0.39370078740157483"/>
  <pageSetup paperSize="9" scale="6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DDF0-9296-4AA5-BA9D-B39C635ECA4A}">
  <sheetPr codeName="Sheet54">
    <pageSetUpPr fitToPage="1"/>
  </sheetPr>
  <dimension ref="A1:O29"/>
  <sheetViews>
    <sheetView view="pageBreakPreview" zoomScaleNormal="100" zoomScaleSheetLayoutView="100" workbookViewId="0">
      <selection activeCell="D60" sqref="D60"/>
    </sheetView>
  </sheetViews>
  <sheetFormatPr baseColWidth="10" defaultColWidth="9.1640625" defaultRowHeight="15"/>
  <cols>
    <col min="1" max="1" width="1.6640625" customWidth="1"/>
    <col min="2" max="2" width="12.33203125" customWidth="1"/>
    <col min="3" max="3" width="15.6640625" customWidth="1"/>
    <col min="4" max="4" width="3.5" customWidth="1"/>
    <col min="5" max="5" width="9.1640625" customWidth="1"/>
    <col min="8" max="8" width="4.6640625" customWidth="1"/>
    <col min="12" max="12" width="4.33203125" customWidth="1"/>
  </cols>
  <sheetData>
    <row r="1" spans="1:15" s="275" customFormat="1" ht="16.5" customHeight="1">
      <c r="B1" s="2" t="s">
        <v>864</v>
      </c>
      <c r="C1" s="900" t="s">
        <v>865</v>
      </c>
      <c r="D1" s="900"/>
      <c r="E1" s="3"/>
      <c r="F1" s="3"/>
      <c r="G1" s="3"/>
      <c r="H1" s="3"/>
      <c r="I1" s="3"/>
      <c r="M1" s="276"/>
    </row>
    <row r="2" spans="1:15" s="727" customFormat="1" ht="14">
      <c r="B2" s="728" t="s">
        <v>866</v>
      </c>
      <c r="C2" s="901" t="s">
        <v>867</v>
      </c>
      <c r="D2" s="901"/>
      <c r="E2" s="729"/>
      <c r="F2" s="724"/>
      <c r="G2" s="725"/>
      <c r="H2" s="725"/>
      <c r="I2" s="651"/>
      <c r="J2" s="729"/>
      <c r="K2" s="730"/>
      <c r="L2" s="728"/>
      <c r="M2" s="730"/>
      <c r="N2" s="731"/>
    </row>
    <row r="3" spans="1:15" s="906" customFormat="1" thickBot="1">
      <c r="A3" s="902"/>
      <c r="B3" s="1369"/>
      <c r="C3" s="1369"/>
      <c r="D3" s="903"/>
      <c r="E3" s="904"/>
      <c r="F3" s="904"/>
      <c r="G3" s="904"/>
      <c r="H3" s="904"/>
      <c r="I3" s="905"/>
      <c r="J3" s="905"/>
      <c r="K3" s="904"/>
      <c r="L3" s="904"/>
      <c r="M3" s="905"/>
      <c r="N3" s="905"/>
      <c r="O3" s="904"/>
    </row>
    <row r="4" spans="1:15" s="907" customFormat="1" ht="31.5" customHeight="1" thickBot="1">
      <c r="B4" s="1370" t="s">
        <v>868</v>
      </c>
      <c r="C4" s="1370"/>
      <c r="D4" s="908"/>
      <c r="E4" s="1373">
        <v>2022</v>
      </c>
      <c r="F4" s="1374"/>
      <c r="G4" s="1374"/>
      <c r="H4" s="909"/>
      <c r="I4" s="1373">
        <v>2023</v>
      </c>
      <c r="J4" s="1374"/>
      <c r="K4" s="1374"/>
      <c r="L4" s="909"/>
      <c r="M4" s="1373">
        <v>2024</v>
      </c>
      <c r="N4" s="1374"/>
      <c r="O4" s="1374"/>
    </row>
    <row r="5" spans="1:15" s="907" customFormat="1" ht="15.25" customHeight="1">
      <c r="B5" s="1371"/>
      <c r="C5" s="1371"/>
      <c r="D5" s="910"/>
      <c r="E5" s="1366" t="s">
        <v>869</v>
      </c>
      <c r="F5" s="1366" t="s">
        <v>870</v>
      </c>
      <c r="G5" s="1366" t="s">
        <v>871</v>
      </c>
      <c r="H5" s="909"/>
      <c r="I5" s="1366" t="s">
        <v>869</v>
      </c>
      <c r="J5" s="1366" t="s">
        <v>870</v>
      </c>
      <c r="K5" s="1366" t="s">
        <v>871</v>
      </c>
      <c r="L5" s="909"/>
      <c r="M5" s="1366" t="s">
        <v>869</v>
      </c>
      <c r="N5" s="1366" t="s">
        <v>870</v>
      </c>
      <c r="O5" s="1366" t="s">
        <v>871</v>
      </c>
    </row>
    <row r="6" spans="1:15" s="907" customFormat="1" ht="15.25" customHeight="1">
      <c r="B6" s="1371"/>
      <c r="C6" s="1371"/>
      <c r="D6" s="910"/>
      <c r="E6" s="1367"/>
      <c r="F6" s="1367"/>
      <c r="G6" s="1367"/>
      <c r="H6" s="911"/>
      <c r="I6" s="1367"/>
      <c r="J6" s="1367"/>
      <c r="K6" s="1367"/>
      <c r="L6" s="911"/>
      <c r="M6" s="1367"/>
      <c r="N6" s="1367"/>
      <c r="O6" s="1367"/>
    </row>
    <row r="7" spans="1:15" s="907" customFormat="1" ht="29.25" customHeight="1" thickBot="1">
      <c r="A7" s="912"/>
      <c r="B7" s="1372"/>
      <c r="C7" s="1372"/>
      <c r="D7" s="913"/>
      <c r="E7" s="1368"/>
      <c r="F7" s="1368"/>
      <c r="G7" s="1368"/>
      <c r="H7" s="914"/>
      <c r="I7" s="1368"/>
      <c r="J7" s="1368"/>
      <c r="K7" s="1368"/>
      <c r="L7" s="914"/>
      <c r="M7" s="1368"/>
      <c r="N7" s="1368"/>
      <c r="O7" s="1368"/>
    </row>
    <row r="8" spans="1:15" s="907" customFormat="1" ht="13">
      <c r="B8" s="915"/>
      <c r="C8" s="915"/>
      <c r="D8" s="915"/>
      <c r="E8" s="916"/>
      <c r="F8" s="916"/>
      <c r="G8" s="916"/>
      <c r="H8" s="916"/>
      <c r="L8" s="916"/>
    </row>
    <row r="9" spans="1:15" s="907" customFormat="1" ht="15.25" customHeight="1" thickBot="1">
      <c r="B9" s="1364" t="s">
        <v>872</v>
      </c>
      <c r="C9" s="1364"/>
      <c r="D9" s="917"/>
      <c r="E9" s="918">
        <v>98.2</v>
      </c>
      <c r="F9" s="918">
        <v>98.768876469721491</v>
      </c>
      <c r="G9" s="918">
        <v>96.183160328189516</v>
      </c>
      <c r="H9" s="919"/>
      <c r="I9" s="918">
        <v>98.565300438638445</v>
      </c>
      <c r="J9" s="918">
        <v>98.986187697453147</v>
      </c>
      <c r="K9" s="918">
        <v>96.788124916419747</v>
      </c>
      <c r="L9" s="919"/>
      <c r="M9" s="918">
        <v>99.6</v>
      </c>
      <c r="N9" s="918">
        <v>99.6</v>
      </c>
      <c r="O9" s="918">
        <v>99.2</v>
      </c>
    </row>
    <row r="10" spans="1:15" s="907" customFormat="1" ht="15.25" customHeight="1" thickTop="1" thickBot="1">
      <c r="B10" s="1365" t="s">
        <v>873</v>
      </c>
      <c r="C10" s="1365"/>
      <c r="D10" s="920"/>
      <c r="E10" s="918"/>
      <c r="F10" s="918"/>
      <c r="G10" s="918"/>
      <c r="H10" s="919"/>
      <c r="I10" s="918"/>
      <c r="J10" s="918"/>
      <c r="K10" s="918"/>
      <c r="L10" s="919"/>
      <c r="M10" s="918"/>
      <c r="N10" s="918"/>
      <c r="O10" s="918"/>
    </row>
    <row r="11" spans="1:15" s="907" customFormat="1" ht="15.25" customHeight="1" thickTop="1" thickBot="1">
      <c r="B11" s="910"/>
      <c r="C11" s="910"/>
      <c r="D11" s="910"/>
      <c r="E11" s="918"/>
      <c r="F11" s="918"/>
      <c r="G11" s="918"/>
      <c r="H11" s="919"/>
      <c r="I11" s="918"/>
      <c r="J11" s="918"/>
      <c r="K11" s="918"/>
      <c r="L11" s="919"/>
      <c r="M11" s="918"/>
      <c r="N11" s="918"/>
      <c r="O11" s="918"/>
    </row>
    <row r="12" spans="1:15" s="907" customFormat="1" ht="15.25" customHeight="1" thickTop="1" thickBot="1">
      <c r="B12" s="917" t="s">
        <v>874</v>
      </c>
      <c r="C12" s="917"/>
      <c r="D12" s="917"/>
      <c r="E12" s="918">
        <v>90.087204506204714</v>
      </c>
      <c r="F12" s="918">
        <v>92.234331639019402</v>
      </c>
      <c r="G12" s="918">
        <v>81.472463899719443</v>
      </c>
      <c r="H12" s="919"/>
      <c r="I12" s="918">
        <v>91.706177877771424</v>
      </c>
      <c r="J12" s="918">
        <v>93.549477900249229</v>
      </c>
      <c r="K12" s="918">
        <v>83.922907166243618</v>
      </c>
      <c r="L12" s="919"/>
      <c r="M12" s="918">
        <v>95.5</v>
      </c>
      <c r="N12" s="918">
        <v>96.9</v>
      </c>
      <c r="O12" s="918">
        <v>89.2</v>
      </c>
    </row>
    <row r="13" spans="1:15" s="907" customFormat="1" ht="15.25" customHeight="1" thickTop="1" thickBot="1">
      <c r="B13" s="917"/>
      <c r="C13" s="917"/>
      <c r="D13" s="917"/>
      <c r="E13" s="918"/>
      <c r="F13" s="918"/>
      <c r="G13" s="918"/>
      <c r="H13" s="919"/>
      <c r="I13" s="918"/>
      <c r="J13" s="918"/>
      <c r="K13" s="918"/>
      <c r="L13" s="919"/>
      <c r="M13" s="918"/>
      <c r="N13" s="918"/>
      <c r="O13" s="918"/>
    </row>
    <row r="14" spans="1:15" s="907" customFormat="1" ht="15.25" customHeight="1" thickTop="1" thickBot="1">
      <c r="B14" s="917" t="s">
        <v>875</v>
      </c>
      <c r="C14" s="917"/>
      <c r="D14" s="917"/>
      <c r="E14" s="918">
        <v>71.291095942553724</v>
      </c>
      <c r="F14" s="918">
        <v>76.565665414083099</v>
      </c>
      <c r="G14" s="918">
        <v>50.132117031815667</v>
      </c>
      <c r="H14" s="919"/>
      <c r="I14" s="918">
        <v>77.550706933704006</v>
      </c>
      <c r="J14" s="918">
        <v>82.776652920877623</v>
      </c>
      <c r="K14" s="918">
        <v>55.484330420527897</v>
      </c>
      <c r="L14" s="919"/>
      <c r="M14" s="918">
        <v>88.3</v>
      </c>
      <c r="N14" s="918">
        <v>91</v>
      </c>
      <c r="O14" s="918">
        <v>76.3</v>
      </c>
    </row>
    <row r="15" spans="1:15" s="907" customFormat="1" ht="15.25" customHeight="1" thickTop="1" thickBot="1">
      <c r="B15" s="920" t="s">
        <v>876</v>
      </c>
      <c r="C15" s="920"/>
      <c r="D15" s="920"/>
      <c r="E15" s="918"/>
      <c r="F15" s="918"/>
      <c r="G15" s="918"/>
      <c r="H15" s="919"/>
      <c r="I15" s="918"/>
      <c r="J15" s="918"/>
      <c r="K15" s="918"/>
      <c r="L15" s="919"/>
      <c r="M15" s="918"/>
      <c r="N15" s="918"/>
      <c r="O15" s="918"/>
    </row>
    <row r="16" spans="1:15" s="907" customFormat="1" ht="15.25" customHeight="1" thickTop="1" thickBot="1">
      <c r="B16" s="910"/>
      <c r="C16" s="910"/>
      <c r="D16" s="910"/>
      <c r="E16" s="918"/>
      <c r="F16" s="918"/>
      <c r="G16" s="918"/>
      <c r="H16" s="919"/>
      <c r="I16" s="918"/>
      <c r="J16" s="918"/>
      <c r="K16" s="918"/>
      <c r="L16" s="919"/>
      <c r="M16" s="918"/>
      <c r="N16" s="918"/>
      <c r="O16" s="918"/>
    </row>
    <row r="17" spans="1:15" s="907" customFormat="1" ht="15.25" customHeight="1" thickTop="1" thickBot="1">
      <c r="B17" s="1364" t="s">
        <v>877</v>
      </c>
      <c r="C17" s="1364"/>
      <c r="D17" s="917"/>
      <c r="E17" s="918">
        <v>75.795368744956477</v>
      </c>
      <c r="F17" s="918">
        <v>78.956365685112289</v>
      </c>
      <c r="G17" s="918">
        <v>62.9843024711327</v>
      </c>
      <c r="H17" s="919"/>
      <c r="I17" s="918">
        <v>78.948084896631215</v>
      </c>
      <c r="J17" s="918">
        <v>81.897013747385188</v>
      </c>
      <c r="K17" s="918">
        <v>66.496341024103742</v>
      </c>
      <c r="L17" s="919"/>
      <c r="M17" s="918">
        <v>83.2</v>
      </c>
      <c r="N17" s="918">
        <v>85.8</v>
      </c>
      <c r="O17" s="918">
        <v>71.900000000000006</v>
      </c>
    </row>
    <row r="18" spans="1:15" s="907" customFormat="1" ht="15.25" customHeight="1" thickTop="1" thickBot="1">
      <c r="B18" s="1365" t="s">
        <v>878</v>
      </c>
      <c r="C18" s="1365"/>
      <c r="D18" s="920"/>
      <c r="E18" s="918"/>
      <c r="F18" s="918"/>
      <c r="G18" s="918"/>
      <c r="H18" s="919"/>
      <c r="I18" s="918"/>
      <c r="J18" s="918"/>
      <c r="K18" s="918"/>
      <c r="L18" s="919"/>
      <c r="M18" s="918"/>
      <c r="N18" s="918"/>
      <c r="O18" s="918"/>
    </row>
    <row r="19" spans="1:15" s="907" customFormat="1" ht="15.25" customHeight="1" thickTop="1" thickBot="1">
      <c r="B19" s="910"/>
      <c r="C19" s="910"/>
      <c r="D19" s="910"/>
      <c r="E19" s="918"/>
      <c r="F19" s="918"/>
      <c r="G19" s="918"/>
      <c r="H19" s="919"/>
      <c r="I19" s="918"/>
      <c r="J19" s="918"/>
      <c r="K19" s="918"/>
      <c r="L19" s="919"/>
      <c r="M19" s="918"/>
      <c r="N19" s="918"/>
      <c r="O19" s="918"/>
    </row>
    <row r="20" spans="1:15" s="907" customFormat="1" ht="15.25" customHeight="1" thickTop="1" thickBot="1">
      <c r="B20" s="917" t="s">
        <v>879</v>
      </c>
      <c r="C20" s="917"/>
      <c r="D20" s="917"/>
      <c r="E20" s="918">
        <v>97.618415295377105</v>
      </c>
      <c r="F20" s="918">
        <v>98.168310076438658</v>
      </c>
      <c r="G20" s="918">
        <v>95.389770783161211</v>
      </c>
      <c r="H20" s="919"/>
      <c r="I20" s="918">
        <v>98.497987522563932</v>
      </c>
      <c r="J20" s="918">
        <v>99.018212983378902</v>
      </c>
      <c r="K20" s="918">
        <v>96.301333472364007</v>
      </c>
      <c r="L20" s="919"/>
      <c r="M20" s="918">
        <v>99</v>
      </c>
      <c r="N20" s="918">
        <v>99.2</v>
      </c>
      <c r="O20" s="918">
        <v>98</v>
      </c>
    </row>
    <row r="21" spans="1:15" s="907" customFormat="1" ht="15.25" customHeight="1" thickTop="1" thickBot="1">
      <c r="B21" s="920" t="s">
        <v>880</v>
      </c>
      <c r="C21" s="920"/>
      <c r="D21" s="920"/>
      <c r="E21" s="918"/>
      <c r="F21" s="918"/>
      <c r="G21" s="918"/>
      <c r="H21" s="919"/>
      <c r="I21" s="918"/>
      <c r="J21" s="918"/>
      <c r="K21" s="918"/>
      <c r="L21" s="919"/>
      <c r="M21" s="918"/>
      <c r="N21" s="918"/>
      <c r="O21" s="918"/>
    </row>
    <row r="22" spans="1:15" s="907" customFormat="1" ht="15.25" customHeight="1" thickTop="1" thickBot="1">
      <c r="B22" s="910"/>
      <c r="C22" s="910"/>
      <c r="D22" s="910"/>
      <c r="E22" s="918"/>
      <c r="F22" s="918"/>
      <c r="G22" s="918"/>
      <c r="H22" s="919"/>
      <c r="I22" s="918"/>
      <c r="J22" s="918"/>
      <c r="K22" s="918"/>
      <c r="L22" s="919"/>
      <c r="M22" s="918"/>
      <c r="N22" s="918"/>
      <c r="O22" s="918"/>
    </row>
    <row r="23" spans="1:15" s="907" customFormat="1" ht="15.25" customHeight="1" thickTop="1" thickBot="1">
      <c r="B23" s="917" t="s">
        <v>881</v>
      </c>
      <c r="C23" s="917"/>
      <c r="D23" s="917"/>
      <c r="E23" s="918">
        <v>97.152660239762156</v>
      </c>
      <c r="F23" s="918">
        <v>98.022347344002611</v>
      </c>
      <c r="G23" s="918">
        <v>93.627943404900137</v>
      </c>
      <c r="H23" s="919"/>
      <c r="I23" s="918">
        <v>98.542755800414056</v>
      </c>
      <c r="J23" s="918">
        <v>98.910037101083333</v>
      </c>
      <c r="K23" s="918">
        <v>96.991923187420056</v>
      </c>
      <c r="L23" s="919"/>
      <c r="M23" s="918">
        <v>98.9</v>
      </c>
      <c r="N23" s="918">
        <v>99.2</v>
      </c>
      <c r="O23" s="918">
        <v>97.6</v>
      </c>
    </row>
    <row r="24" spans="1:15" s="907" customFormat="1" ht="15.25" customHeight="1" thickTop="1" thickBot="1">
      <c r="B24" s="917"/>
      <c r="C24" s="917"/>
      <c r="D24" s="917"/>
      <c r="E24" s="918"/>
      <c r="F24" s="918"/>
      <c r="G24" s="918"/>
      <c r="H24" s="919"/>
      <c r="I24" s="918"/>
      <c r="J24" s="918"/>
      <c r="K24" s="918"/>
      <c r="L24" s="919"/>
      <c r="M24" s="918"/>
      <c r="N24" s="918"/>
      <c r="O24" s="918"/>
    </row>
    <row r="25" spans="1:15" s="907" customFormat="1" ht="15.25" customHeight="1" thickTop="1" thickBot="1">
      <c r="B25" s="1364" t="s">
        <v>882</v>
      </c>
      <c r="C25" s="1364"/>
      <c r="D25" s="917"/>
      <c r="E25" s="918">
        <v>23.489867553983178</v>
      </c>
      <c r="F25" s="918">
        <v>26.308930644440792</v>
      </c>
      <c r="G25" s="918">
        <v>12.064616333426031</v>
      </c>
      <c r="H25" s="919"/>
      <c r="I25" s="918">
        <v>22.4</v>
      </c>
      <c r="J25" s="918">
        <v>25.46503491565381</v>
      </c>
      <c r="K25" s="918">
        <v>9.2118661256957566</v>
      </c>
      <c r="L25" s="919"/>
      <c r="M25" s="918">
        <v>31.3</v>
      </c>
      <c r="N25" s="918">
        <v>34.9</v>
      </c>
      <c r="O25" s="918">
        <v>15.7</v>
      </c>
    </row>
    <row r="26" spans="1:15" s="907" customFormat="1" ht="15.25" customHeight="1" thickTop="1">
      <c r="B26" s="1365" t="s">
        <v>883</v>
      </c>
      <c r="C26" s="1365"/>
      <c r="D26" s="920"/>
      <c r="E26" s="921"/>
      <c r="F26" s="921"/>
      <c r="G26" s="921"/>
      <c r="I26" s="921"/>
      <c r="J26" s="921"/>
      <c r="K26" s="921"/>
      <c r="M26" s="921"/>
      <c r="N26" s="921"/>
      <c r="O26" s="921"/>
    </row>
    <row r="27" spans="1:15" s="907" customFormat="1" ht="14" thickBot="1">
      <c r="A27" s="912"/>
      <c r="B27" s="922"/>
      <c r="C27" s="922"/>
      <c r="D27" s="922"/>
      <c r="E27" s="923"/>
      <c r="F27" s="923"/>
      <c r="G27" s="923"/>
      <c r="H27" s="912"/>
      <c r="I27" s="923"/>
      <c r="J27" s="923"/>
      <c r="K27" s="923"/>
      <c r="L27" s="912"/>
      <c r="M27" s="923"/>
      <c r="N27" s="923"/>
      <c r="O27" s="923"/>
    </row>
    <row r="28" spans="1:15" s="907" customFormat="1" ht="13">
      <c r="K28" s="924"/>
      <c r="O28" s="924" t="s">
        <v>32</v>
      </c>
    </row>
    <row r="29" spans="1:15" s="907" customFormat="1" ht="13">
      <c r="K29" s="925"/>
      <c r="O29" s="925" t="s">
        <v>33</v>
      </c>
    </row>
  </sheetData>
  <mergeCells count="20">
    <mergeCell ref="B3:C3"/>
    <mergeCell ref="B4:C7"/>
    <mergeCell ref="E4:G4"/>
    <mergeCell ref="I4:K4"/>
    <mergeCell ref="M4:O4"/>
    <mergeCell ref="E5:E7"/>
    <mergeCell ref="F5:F7"/>
    <mergeCell ref="G5:G7"/>
    <mergeCell ref="I5:I7"/>
    <mergeCell ref="J5:J7"/>
    <mergeCell ref="M5:M7"/>
    <mergeCell ref="N5:N7"/>
    <mergeCell ref="O5:O7"/>
    <mergeCell ref="B9:C9"/>
    <mergeCell ref="B10:C10"/>
    <mergeCell ref="B17:C17"/>
    <mergeCell ref="B18:C18"/>
    <mergeCell ref="B25:C25"/>
    <mergeCell ref="B26:C26"/>
    <mergeCell ref="K5:K7"/>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091C-19CA-4A82-83FF-F857213E48ED}">
  <sheetPr codeName="Sheet55">
    <pageSetUpPr fitToPage="1"/>
  </sheetPr>
  <dimension ref="B1:I61"/>
  <sheetViews>
    <sheetView view="pageBreakPreview" zoomScale="90" zoomScaleNormal="100" zoomScaleSheetLayoutView="90" workbookViewId="0">
      <selection activeCell="D60" sqref="D60"/>
    </sheetView>
  </sheetViews>
  <sheetFormatPr baseColWidth="10" defaultColWidth="8.83203125" defaultRowHeight="15"/>
  <cols>
    <col min="1" max="1" width="2.1640625" customWidth="1"/>
    <col min="2" max="2" width="12.83203125" customWidth="1"/>
    <col min="3" max="3" width="15.5" customWidth="1"/>
    <col min="4" max="4" width="10.6640625" customWidth="1"/>
    <col min="5" max="5" width="9.6640625" customWidth="1"/>
    <col min="6" max="6" width="11.6640625" customWidth="1"/>
    <col min="7" max="7" width="21.1640625" customWidth="1"/>
    <col min="8" max="8" width="15" customWidth="1"/>
    <col min="9" max="9" width="14.33203125" customWidth="1"/>
  </cols>
  <sheetData>
    <row r="1" spans="2:9" s="930" customFormat="1" ht="15.25" customHeight="1">
      <c r="B1" s="926" t="s">
        <v>884</v>
      </c>
      <c r="C1" s="927" t="s">
        <v>885</v>
      </c>
      <c r="D1" s="928"/>
      <c r="E1" s="928"/>
      <c r="F1" s="928"/>
      <c r="G1" s="928"/>
      <c r="H1" s="928"/>
      <c r="I1" s="929"/>
    </row>
    <row r="2" spans="2:9" s="930" customFormat="1" ht="15.25" customHeight="1">
      <c r="B2" s="931" t="s">
        <v>886</v>
      </c>
      <c r="C2" s="932" t="s">
        <v>887</v>
      </c>
      <c r="D2" s="933"/>
      <c r="E2" s="933"/>
      <c r="F2" s="933"/>
      <c r="G2" s="933"/>
      <c r="H2" s="933"/>
      <c r="I2" s="929"/>
    </row>
    <row r="3" spans="2:9" s="938" customFormat="1" ht="15.25" customHeight="1" thickBot="1">
      <c r="B3" s="934"/>
      <c r="C3" s="934"/>
      <c r="D3" s="934"/>
      <c r="E3" s="935"/>
      <c r="F3" s="936"/>
      <c r="G3" s="936"/>
      <c r="H3" s="936"/>
      <c r="I3" s="937"/>
    </row>
    <row r="4" spans="2:9" s="938" customFormat="1" ht="22.5" customHeight="1">
      <c r="B4" s="939"/>
      <c r="C4" s="939"/>
      <c r="D4" s="939"/>
      <c r="E4" s="1375" t="s">
        <v>888</v>
      </c>
      <c r="F4" s="1376"/>
      <c r="G4" s="1375" t="s">
        <v>889</v>
      </c>
      <c r="H4" s="1375" t="s">
        <v>890</v>
      </c>
      <c r="I4" s="1375"/>
    </row>
    <row r="5" spans="2:9" s="938" customFormat="1" ht="22.5" customHeight="1" thickBot="1">
      <c r="B5" s="937"/>
      <c r="C5" s="937"/>
      <c r="D5" s="937"/>
      <c r="E5" s="1377"/>
      <c r="F5" s="1377"/>
      <c r="G5" s="1377"/>
      <c r="H5" s="1378"/>
      <c r="I5" s="1378"/>
    </row>
    <row r="6" spans="2:9" s="944" customFormat="1" ht="70">
      <c r="B6" s="940" t="s">
        <v>891</v>
      </c>
      <c r="C6" s="940"/>
      <c r="D6" s="941" t="s">
        <v>892</v>
      </c>
      <c r="E6" s="942" t="s">
        <v>893</v>
      </c>
      <c r="F6" s="942" t="s">
        <v>894</v>
      </c>
      <c r="G6" s="943" t="s">
        <v>895</v>
      </c>
      <c r="H6" s="943" t="s">
        <v>896</v>
      </c>
      <c r="I6" s="942" t="s">
        <v>897</v>
      </c>
    </row>
    <row r="7" spans="2:9" s="938" customFormat="1" ht="22.5" customHeight="1" thickBot="1">
      <c r="B7" s="945"/>
      <c r="C7" s="945"/>
      <c r="D7" s="945"/>
      <c r="E7" s="946" t="s">
        <v>898</v>
      </c>
      <c r="F7" s="946" t="s">
        <v>898</v>
      </c>
      <c r="G7" s="946" t="s">
        <v>898</v>
      </c>
      <c r="H7" s="947" t="s">
        <v>899</v>
      </c>
      <c r="I7" s="947" t="s">
        <v>899</v>
      </c>
    </row>
    <row r="8" spans="2:9" s="938" customFormat="1" ht="13">
      <c r="B8" s="948"/>
      <c r="C8" s="948"/>
      <c r="D8" s="948"/>
      <c r="E8" s="949"/>
      <c r="F8" s="949"/>
      <c r="G8" s="950"/>
      <c r="H8" s="951"/>
      <c r="I8" s="951"/>
    </row>
    <row r="9" spans="2:9" s="938" customFormat="1" ht="15.25" customHeight="1">
      <c r="B9" s="952" t="s">
        <v>777</v>
      </c>
      <c r="C9" s="952"/>
      <c r="D9" s="953">
        <v>2022</v>
      </c>
      <c r="E9" s="954">
        <v>7901</v>
      </c>
      <c r="F9" s="954">
        <v>5873</v>
      </c>
      <c r="G9" s="955">
        <v>4534</v>
      </c>
      <c r="H9" s="956">
        <v>5.6</v>
      </c>
      <c r="I9" s="956">
        <v>0.40709698</v>
      </c>
    </row>
    <row r="10" spans="2:9" s="938" customFormat="1" ht="15.25" customHeight="1">
      <c r="B10" s="952"/>
      <c r="C10" s="952"/>
      <c r="D10" s="953">
        <v>2024</v>
      </c>
      <c r="E10" s="954">
        <v>7901</v>
      </c>
      <c r="F10" s="954">
        <v>5873</v>
      </c>
      <c r="G10" s="955">
        <v>4534</v>
      </c>
      <c r="H10" s="956">
        <v>5.6</v>
      </c>
      <c r="I10" s="956">
        <v>0.40709698</v>
      </c>
    </row>
    <row r="11" spans="2:9" s="938" customFormat="1" ht="15.25" customHeight="1">
      <c r="E11" s="957"/>
      <c r="F11" s="957"/>
      <c r="G11" s="958"/>
      <c r="H11" s="959"/>
      <c r="I11" s="959"/>
    </row>
    <row r="12" spans="2:9" s="938" customFormat="1" ht="15.25" customHeight="1">
      <c r="B12" s="960" t="s">
        <v>250</v>
      </c>
      <c r="C12" s="960"/>
      <c r="D12" s="961">
        <v>2022</v>
      </c>
      <c r="E12" s="962">
        <v>8013</v>
      </c>
      <c r="F12" s="962">
        <v>6427</v>
      </c>
      <c r="G12" s="963">
        <v>4793</v>
      </c>
      <c r="H12" s="964">
        <v>3.9</v>
      </c>
      <c r="I12" s="964">
        <v>0.36648001000000002</v>
      </c>
    </row>
    <row r="13" spans="2:9" s="938" customFormat="1" ht="15.25" customHeight="1">
      <c r="B13" s="960"/>
      <c r="C13" s="960"/>
      <c r="D13" s="961">
        <v>2024</v>
      </c>
      <c r="E13" s="962">
        <v>8013</v>
      </c>
      <c r="F13" s="962">
        <v>6427</v>
      </c>
      <c r="G13" s="963">
        <v>4793</v>
      </c>
      <c r="H13" s="964">
        <v>3.9</v>
      </c>
      <c r="I13" s="964">
        <v>0.36648001000000002</v>
      </c>
    </row>
    <row r="14" spans="2:9" s="938" customFormat="1" ht="15.25" customHeight="1">
      <c r="B14" s="960"/>
      <c r="C14" s="960"/>
      <c r="D14" s="961"/>
      <c r="E14" s="962"/>
      <c r="F14" s="962"/>
      <c r="G14" s="963"/>
      <c r="H14" s="964"/>
      <c r="I14" s="964"/>
    </row>
    <row r="15" spans="2:9" s="938" customFormat="1" ht="15.25" customHeight="1">
      <c r="B15" s="960" t="s">
        <v>251</v>
      </c>
      <c r="C15" s="960"/>
      <c r="D15" s="961">
        <v>2022</v>
      </c>
      <c r="E15" s="962">
        <v>8013</v>
      </c>
      <c r="F15" s="962">
        <v>6427</v>
      </c>
      <c r="G15" s="963">
        <v>4793</v>
      </c>
      <c r="H15" s="964">
        <v>3.9</v>
      </c>
      <c r="I15" s="964">
        <v>0.36648001000000002</v>
      </c>
    </row>
    <row r="16" spans="2:9" s="938" customFormat="1" ht="15.25" customHeight="1">
      <c r="B16" s="960"/>
      <c r="C16" s="960"/>
      <c r="D16" s="961">
        <v>2024</v>
      </c>
      <c r="E16" s="962">
        <v>8013</v>
      </c>
      <c r="F16" s="962">
        <v>6427</v>
      </c>
      <c r="G16" s="963">
        <v>4793</v>
      </c>
      <c r="H16" s="964">
        <v>3.9</v>
      </c>
      <c r="I16" s="964">
        <v>0.36648001000000002</v>
      </c>
    </row>
    <row r="17" spans="2:9" s="938" customFormat="1" ht="15.25" customHeight="1">
      <c r="B17" s="960"/>
      <c r="C17" s="960"/>
      <c r="D17" s="961"/>
      <c r="E17" s="962"/>
      <c r="F17" s="962"/>
      <c r="G17" s="963"/>
      <c r="H17" s="964"/>
      <c r="I17" s="964"/>
    </row>
    <row r="18" spans="2:9" s="938" customFormat="1" ht="15.25" customHeight="1">
      <c r="B18" s="960" t="s">
        <v>252</v>
      </c>
      <c r="C18" s="960"/>
      <c r="D18" s="961">
        <v>2022</v>
      </c>
      <c r="E18" s="962">
        <v>8013</v>
      </c>
      <c r="F18" s="962">
        <v>6427</v>
      </c>
      <c r="G18" s="963">
        <v>4793</v>
      </c>
      <c r="H18" s="964">
        <v>3.9</v>
      </c>
      <c r="I18" s="964">
        <v>0.36648001000000002</v>
      </c>
    </row>
    <row r="19" spans="2:9" s="938" customFormat="1" ht="15.25" customHeight="1">
      <c r="B19" s="960"/>
      <c r="C19" s="960"/>
      <c r="D19" s="961">
        <v>2024</v>
      </c>
      <c r="E19" s="962">
        <v>8013</v>
      </c>
      <c r="F19" s="962">
        <v>6427</v>
      </c>
      <c r="G19" s="963">
        <v>4793</v>
      </c>
      <c r="H19" s="964">
        <v>3.9</v>
      </c>
      <c r="I19" s="964">
        <v>0.36648001000000002</v>
      </c>
    </row>
    <row r="20" spans="2:9" s="938" customFormat="1" ht="15.25" customHeight="1">
      <c r="B20" s="960"/>
      <c r="C20" s="960"/>
      <c r="D20" s="961"/>
      <c r="E20" s="962"/>
      <c r="F20" s="962"/>
      <c r="G20" s="963"/>
      <c r="H20" s="964"/>
      <c r="I20" s="964"/>
    </row>
    <row r="21" spans="2:9" s="938" customFormat="1" ht="15.25" customHeight="1">
      <c r="B21" s="960" t="s">
        <v>253</v>
      </c>
      <c r="C21" s="960"/>
      <c r="D21" s="961">
        <v>2022</v>
      </c>
      <c r="E21" s="962">
        <v>8013</v>
      </c>
      <c r="F21" s="962">
        <v>6427</v>
      </c>
      <c r="G21" s="963">
        <v>4793</v>
      </c>
      <c r="H21" s="964">
        <v>3.9</v>
      </c>
      <c r="I21" s="964">
        <v>0.36648001000000002</v>
      </c>
    </row>
    <row r="22" spans="2:9" s="938" customFormat="1" ht="15.25" customHeight="1">
      <c r="B22" s="960"/>
      <c r="C22" s="960"/>
      <c r="D22" s="961">
        <v>2024</v>
      </c>
      <c r="E22" s="962">
        <v>8013</v>
      </c>
      <c r="F22" s="962">
        <v>6427</v>
      </c>
      <c r="G22" s="963">
        <v>4793</v>
      </c>
      <c r="H22" s="964">
        <v>3.9</v>
      </c>
      <c r="I22" s="964">
        <v>0.36648001000000002</v>
      </c>
    </row>
    <row r="23" spans="2:9" s="938" customFormat="1" ht="15.25" customHeight="1">
      <c r="B23" s="960"/>
      <c r="C23" s="960"/>
      <c r="D23" s="961"/>
      <c r="E23" s="962"/>
      <c r="F23" s="962"/>
      <c r="G23" s="963"/>
      <c r="H23" s="964"/>
      <c r="I23" s="964"/>
    </row>
    <row r="24" spans="2:9" s="938" customFormat="1" ht="15.25" customHeight="1">
      <c r="B24" s="960" t="s">
        <v>254</v>
      </c>
      <c r="C24" s="960"/>
      <c r="D24" s="961">
        <v>2022</v>
      </c>
      <c r="E24" s="962">
        <v>8013</v>
      </c>
      <c r="F24" s="962">
        <v>6427</v>
      </c>
      <c r="G24" s="963">
        <v>4793</v>
      </c>
      <c r="H24" s="964">
        <v>3.9</v>
      </c>
      <c r="I24" s="964">
        <v>0.36648001000000002</v>
      </c>
    </row>
    <row r="25" spans="2:9" s="938" customFormat="1" ht="15.25" customHeight="1">
      <c r="B25" s="960"/>
      <c r="C25" s="960"/>
      <c r="D25" s="961">
        <v>2024</v>
      </c>
      <c r="E25" s="962">
        <v>8013</v>
      </c>
      <c r="F25" s="962">
        <v>6427</v>
      </c>
      <c r="G25" s="963">
        <v>4793</v>
      </c>
      <c r="H25" s="964">
        <v>3.9</v>
      </c>
      <c r="I25" s="964">
        <v>0.36648001000000002</v>
      </c>
    </row>
    <row r="26" spans="2:9" s="938" customFormat="1" ht="15.25" customHeight="1">
      <c r="B26" s="960"/>
      <c r="C26" s="960"/>
      <c r="D26" s="961"/>
      <c r="E26" s="962"/>
      <c r="F26" s="962"/>
      <c r="G26" s="963"/>
      <c r="H26" s="964"/>
      <c r="I26" s="964"/>
    </row>
    <row r="27" spans="2:9" s="938" customFormat="1" ht="15.25" customHeight="1">
      <c r="B27" s="960" t="s">
        <v>255</v>
      </c>
      <c r="C27" s="960"/>
      <c r="D27" s="961">
        <v>2022</v>
      </c>
      <c r="E27" s="962">
        <v>8013</v>
      </c>
      <c r="F27" s="962">
        <v>6427</v>
      </c>
      <c r="G27" s="963">
        <v>4793</v>
      </c>
      <c r="H27" s="964">
        <v>3.9</v>
      </c>
      <c r="I27" s="964">
        <v>0.36648001000000002</v>
      </c>
    </row>
    <row r="28" spans="2:9" s="938" customFormat="1" ht="15.25" customHeight="1">
      <c r="B28" s="960"/>
      <c r="C28" s="960"/>
      <c r="D28" s="961">
        <v>2024</v>
      </c>
      <c r="E28" s="962">
        <v>8013</v>
      </c>
      <c r="F28" s="962">
        <v>6427</v>
      </c>
      <c r="G28" s="963">
        <v>4793</v>
      </c>
      <c r="H28" s="964">
        <v>3.9</v>
      </c>
      <c r="I28" s="964">
        <v>0.36648001000000002</v>
      </c>
    </row>
    <row r="29" spans="2:9" s="938" customFormat="1" ht="15.25" customHeight="1">
      <c r="B29" s="960"/>
      <c r="C29" s="960"/>
      <c r="D29" s="961"/>
      <c r="E29" s="962"/>
      <c r="F29" s="962"/>
      <c r="G29" s="963"/>
      <c r="H29" s="964"/>
      <c r="I29" s="964"/>
    </row>
    <row r="30" spans="2:9" s="938" customFormat="1" ht="15.25" customHeight="1">
      <c r="B30" s="960" t="s">
        <v>256</v>
      </c>
      <c r="C30" s="960"/>
      <c r="D30" s="961">
        <v>2022</v>
      </c>
      <c r="E30" s="962">
        <v>8013</v>
      </c>
      <c r="F30" s="962">
        <v>6427</v>
      </c>
      <c r="G30" s="963">
        <v>4793</v>
      </c>
      <c r="H30" s="964">
        <v>3.9</v>
      </c>
      <c r="I30" s="964">
        <v>0.36648001000000002</v>
      </c>
    </row>
    <row r="31" spans="2:9" s="938" customFormat="1" ht="15.25" customHeight="1">
      <c r="B31" s="960"/>
      <c r="C31" s="960"/>
      <c r="D31" s="961">
        <v>2024</v>
      </c>
      <c r="E31" s="962">
        <v>8013</v>
      </c>
      <c r="F31" s="962">
        <v>6427</v>
      </c>
      <c r="G31" s="963">
        <v>4793</v>
      </c>
      <c r="H31" s="964">
        <v>3.9</v>
      </c>
      <c r="I31" s="964">
        <v>0.36648001000000002</v>
      </c>
    </row>
    <row r="32" spans="2:9" s="938" customFormat="1" ht="15.25" customHeight="1">
      <c r="B32" s="960"/>
      <c r="C32" s="960"/>
      <c r="D32" s="961"/>
      <c r="E32" s="962"/>
      <c r="F32" s="962"/>
      <c r="G32" s="963"/>
      <c r="H32" s="964"/>
      <c r="I32" s="964"/>
    </row>
    <row r="33" spans="2:9" s="938" customFormat="1" ht="15.25" customHeight="1">
      <c r="B33" s="960" t="s">
        <v>257</v>
      </c>
      <c r="C33" s="960"/>
      <c r="D33" s="961">
        <v>2022</v>
      </c>
      <c r="E33" s="962">
        <v>8013</v>
      </c>
      <c r="F33" s="962">
        <v>6427</v>
      </c>
      <c r="G33" s="963">
        <v>4793</v>
      </c>
      <c r="H33" s="964">
        <v>3.9</v>
      </c>
      <c r="I33" s="964">
        <v>0.36648001000000002</v>
      </c>
    </row>
    <row r="34" spans="2:9" s="938" customFormat="1" ht="15.25" customHeight="1">
      <c r="B34" s="960"/>
      <c r="C34" s="960"/>
      <c r="D34" s="961">
        <v>2024</v>
      </c>
      <c r="E34" s="962">
        <v>8013</v>
      </c>
      <c r="F34" s="962">
        <v>6427</v>
      </c>
      <c r="G34" s="963">
        <v>4793</v>
      </c>
      <c r="H34" s="964">
        <v>3.9</v>
      </c>
      <c r="I34" s="964">
        <v>0.36648001000000002</v>
      </c>
    </row>
    <row r="35" spans="2:9" s="938" customFormat="1" ht="15.25" customHeight="1">
      <c r="B35" s="960"/>
      <c r="C35" s="960"/>
      <c r="D35" s="961"/>
      <c r="E35" s="962"/>
      <c r="F35" s="962"/>
      <c r="G35" s="963"/>
      <c r="H35" s="964"/>
      <c r="I35" s="964"/>
    </row>
    <row r="36" spans="2:9" s="938" customFormat="1" ht="15.25" customHeight="1">
      <c r="B36" s="960" t="s">
        <v>258</v>
      </c>
      <c r="C36" s="960"/>
      <c r="D36" s="961">
        <v>2022</v>
      </c>
      <c r="E36" s="962">
        <v>8013</v>
      </c>
      <c r="F36" s="962">
        <v>6427</v>
      </c>
      <c r="G36" s="963">
        <v>4793</v>
      </c>
      <c r="H36" s="964">
        <v>3.9</v>
      </c>
      <c r="I36" s="964">
        <v>0.36648001000000002</v>
      </c>
    </row>
    <row r="37" spans="2:9" s="938" customFormat="1" ht="15.25" customHeight="1">
      <c r="B37" s="960"/>
      <c r="C37" s="960"/>
      <c r="D37" s="961">
        <v>2024</v>
      </c>
      <c r="E37" s="962">
        <v>8013</v>
      </c>
      <c r="F37" s="962">
        <v>6427</v>
      </c>
      <c r="G37" s="963">
        <v>4793</v>
      </c>
      <c r="H37" s="964">
        <v>3.9</v>
      </c>
      <c r="I37" s="964">
        <v>0.36648001000000002</v>
      </c>
    </row>
    <row r="38" spans="2:9" s="938" customFormat="1" ht="15.25" customHeight="1">
      <c r="B38" s="960"/>
      <c r="C38" s="960"/>
      <c r="D38" s="961"/>
      <c r="E38" s="962"/>
      <c r="F38" s="962"/>
      <c r="G38" s="963"/>
      <c r="H38" s="964"/>
      <c r="I38" s="964"/>
    </row>
    <row r="39" spans="2:9" s="938" customFormat="1" ht="15.25" customHeight="1">
      <c r="B39" s="960" t="s">
        <v>259</v>
      </c>
      <c r="C39" s="960"/>
      <c r="D39" s="961">
        <v>2022</v>
      </c>
      <c r="E39" s="962">
        <v>8013</v>
      </c>
      <c r="F39" s="962">
        <v>6427</v>
      </c>
      <c r="G39" s="963">
        <v>4793</v>
      </c>
      <c r="H39" s="964">
        <v>3.9</v>
      </c>
      <c r="I39" s="964">
        <v>0.36648001000000002</v>
      </c>
    </row>
    <row r="40" spans="2:9" s="938" customFormat="1" ht="15.25" customHeight="1">
      <c r="B40" s="960"/>
      <c r="C40" s="960"/>
      <c r="D40" s="961">
        <v>2024</v>
      </c>
      <c r="E40" s="962">
        <v>8013</v>
      </c>
      <c r="F40" s="962">
        <v>6427</v>
      </c>
      <c r="G40" s="963">
        <v>4793</v>
      </c>
      <c r="H40" s="964">
        <v>3.9</v>
      </c>
      <c r="I40" s="964">
        <v>0.36648001000000002</v>
      </c>
    </row>
    <row r="41" spans="2:9" s="938" customFormat="1" ht="15.25" customHeight="1">
      <c r="B41" s="960"/>
      <c r="C41" s="960"/>
      <c r="D41" s="961"/>
      <c r="E41" s="962"/>
      <c r="F41" s="962"/>
      <c r="G41" s="963"/>
      <c r="H41" s="964"/>
      <c r="I41" s="964"/>
    </row>
    <row r="42" spans="2:9" s="938" customFormat="1" ht="15.25" customHeight="1">
      <c r="B42" s="960" t="s">
        <v>260</v>
      </c>
      <c r="C42" s="960"/>
      <c r="D42" s="961">
        <v>2022</v>
      </c>
      <c r="E42" s="962">
        <v>8013</v>
      </c>
      <c r="F42" s="962">
        <v>6427</v>
      </c>
      <c r="G42" s="963">
        <v>4793</v>
      </c>
      <c r="H42" s="964">
        <v>3.9</v>
      </c>
      <c r="I42" s="964">
        <v>0.36648001000000002</v>
      </c>
    </row>
    <row r="43" spans="2:9" s="938" customFormat="1" ht="15.25" customHeight="1">
      <c r="B43" s="960"/>
      <c r="C43" s="960"/>
      <c r="D43" s="961">
        <v>2024</v>
      </c>
      <c r="E43" s="962">
        <v>8013</v>
      </c>
      <c r="F43" s="962">
        <v>6427</v>
      </c>
      <c r="G43" s="963">
        <v>4793</v>
      </c>
      <c r="H43" s="964">
        <v>3.9</v>
      </c>
      <c r="I43" s="964">
        <v>0.36648001000000002</v>
      </c>
    </row>
    <row r="44" spans="2:9" s="938" customFormat="1" ht="15.25" customHeight="1">
      <c r="B44" s="960"/>
      <c r="C44" s="960"/>
      <c r="D44" s="961"/>
      <c r="E44" s="962"/>
      <c r="F44" s="962"/>
      <c r="G44" s="963"/>
      <c r="H44" s="964"/>
      <c r="I44" s="964"/>
    </row>
    <row r="45" spans="2:9" s="938" customFormat="1" ht="15.25" customHeight="1">
      <c r="B45" s="960" t="s">
        <v>261</v>
      </c>
      <c r="C45" s="960"/>
      <c r="D45" s="961">
        <v>2022</v>
      </c>
      <c r="E45" s="962">
        <v>8013</v>
      </c>
      <c r="F45" s="962">
        <v>6427</v>
      </c>
      <c r="G45" s="963">
        <v>4793</v>
      </c>
      <c r="H45" s="964">
        <v>3.9</v>
      </c>
      <c r="I45" s="964">
        <v>0.36648001000000002</v>
      </c>
    </row>
    <row r="46" spans="2:9" s="938" customFormat="1" ht="15.25" customHeight="1">
      <c r="B46" s="960"/>
      <c r="C46" s="960"/>
      <c r="D46" s="961">
        <v>2024</v>
      </c>
      <c r="E46" s="962">
        <v>8013</v>
      </c>
      <c r="F46" s="962">
        <v>6427</v>
      </c>
      <c r="G46" s="963">
        <v>4793</v>
      </c>
      <c r="H46" s="964">
        <v>3.9</v>
      </c>
      <c r="I46" s="964">
        <v>0.36648001000000002</v>
      </c>
    </row>
    <row r="47" spans="2:9" s="938" customFormat="1" ht="15.25" customHeight="1">
      <c r="B47" s="960"/>
      <c r="C47" s="960"/>
      <c r="D47" s="961"/>
      <c r="E47" s="962"/>
      <c r="F47" s="962"/>
      <c r="G47" s="963"/>
      <c r="H47" s="964"/>
      <c r="I47" s="964"/>
    </row>
    <row r="48" spans="2:9" s="938" customFormat="1" ht="15.25" customHeight="1">
      <c r="B48" s="960" t="s">
        <v>262</v>
      </c>
      <c r="C48" s="960"/>
      <c r="D48" s="961">
        <v>2022</v>
      </c>
      <c r="E48" s="962">
        <v>8013</v>
      </c>
      <c r="F48" s="962">
        <v>6427</v>
      </c>
      <c r="G48" s="963">
        <v>4793</v>
      </c>
      <c r="H48" s="964">
        <v>3.9</v>
      </c>
      <c r="I48" s="964">
        <v>0.36648001000000002</v>
      </c>
    </row>
    <row r="49" spans="2:9" s="938" customFormat="1" ht="15.25" customHeight="1">
      <c r="B49" s="960"/>
      <c r="C49" s="960"/>
      <c r="D49" s="961">
        <v>2024</v>
      </c>
      <c r="E49" s="962">
        <v>8013</v>
      </c>
      <c r="F49" s="962">
        <v>6427</v>
      </c>
      <c r="G49" s="963">
        <v>4793</v>
      </c>
      <c r="H49" s="964">
        <v>3.9</v>
      </c>
      <c r="I49" s="964">
        <v>0.36648001000000002</v>
      </c>
    </row>
    <row r="50" spans="2:9" s="938" customFormat="1" ht="15.25" customHeight="1">
      <c r="B50" s="960"/>
      <c r="C50" s="960"/>
      <c r="D50" s="961"/>
      <c r="E50" s="962"/>
      <c r="F50" s="962"/>
      <c r="G50" s="963"/>
      <c r="H50" s="964"/>
      <c r="I50" s="964"/>
    </row>
    <row r="51" spans="2:9" s="938" customFormat="1" ht="15.25" customHeight="1">
      <c r="B51" s="960" t="s">
        <v>263</v>
      </c>
      <c r="C51" s="960"/>
      <c r="D51" s="961">
        <v>2022</v>
      </c>
      <c r="E51" s="962">
        <v>8013</v>
      </c>
      <c r="F51" s="962">
        <v>6427</v>
      </c>
      <c r="G51" s="963">
        <v>4793</v>
      </c>
      <c r="H51" s="964">
        <v>3.9</v>
      </c>
      <c r="I51" s="964">
        <v>0.36648001000000002</v>
      </c>
    </row>
    <row r="52" spans="2:9" s="938" customFormat="1" ht="15.25" customHeight="1">
      <c r="B52" s="960"/>
      <c r="C52" s="960"/>
      <c r="D52" s="961">
        <v>2024</v>
      </c>
      <c r="E52" s="962">
        <v>8013</v>
      </c>
      <c r="F52" s="962">
        <v>6427</v>
      </c>
      <c r="G52" s="963">
        <v>4793</v>
      </c>
      <c r="H52" s="964">
        <v>3.9</v>
      </c>
      <c r="I52" s="964">
        <v>0.36648001000000002</v>
      </c>
    </row>
    <row r="53" spans="2:9" s="938" customFormat="1" ht="15.25" customHeight="1">
      <c r="B53" s="960"/>
      <c r="C53" s="960"/>
      <c r="D53" s="961"/>
      <c r="E53" s="962"/>
      <c r="F53" s="962"/>
      <c r="G53" s="963"/>
      <c r="H53" s="964"/>
      <c r="I53" s="964"/>
    </row>
    <row r="54" spans="2:9" s="938" customFormat="1" ht="15.25" customHeight="1">
      <c r="B54" s="960" t="s">
        <v>264</v>
      </c>
      <c r="C54" s="960"/>
      <c r="D54" s="961">
        <v>2022</v>
      </c>
      <c r="E54" s="962">
        <v>8013</v>
      </c>
      <c r="F54" s="962">
        <v>6427</v>
      </c>
      <c r="G54" s="963">
        <v>4793</v>
      </c>
      <c r="H54" s="964">
        <v>3.9</v>
      </c>
      <c r="I54" s="964">
        <v>0.36648001000000002</v>
      </c>
    </row>
    <row r="55" spans="2:9" s="938" customFormat="1" ht="15.25" customHeight="1">
      <c r="B55" s="960"/>
      <c r="C55" s="960"/>
      <c r="D55" s="961">
        <v>2024</v>
      </c>
      <c r="E55" s="962">
        <v>8013</v>
      </c>
      <c r="F55" s="962">
        <v>6427</v>
      </c>
      <c r="G55" s="963">
        <v>4793</v>
      </c>
      <c r="H55" s="964">
        <v>3.9</v>
      </c>
      <c r="I55" s="964">
        <v>0.36648001000000002</v>
      </c>
    </row>
    <row r="56" spans="2:9" s="938" customFormat="1" ht="15.25" customHeight="1">
      <c r="B56" s="960"/>
      <c r="C56" s="960"/>
      <c r="D56" s="961"/>
      <c r="E56" s="962"/>
      <c r="F56" s="962"/>
      <c r="G56" s="963"/>
      <c r="H56" s="964"/>
      <c r="I56" s="964"/>
    </row>
    <row r="57" spans="2:9" s="938" customFormat="1" ht="15.25" customHeight="1">
      <c r="B57" s="960" t="s">
        <v>265</v>
      </c>
      <c r="C57" s="960"/>
      <c r="D57" s="961">
        <v>2022</v>
      </c>
      <c r="E57" s="962">
        <v>8013</v>
      </c>
      <c r="F57" s="962">
        <v>6427</v>
      </c>
      <c r="G57" s="963">
        <v>4793</v>
      </c>
      <c r="H57" s="964">
        <v>3.9</v>
      </c>
      <c r="I57" s="964">
        <v>0.36648001000000002</v>
      </c>
    </row>
    <row r="58" spans="2:9" s="938" customFormat="1" ht="15.25" customHeight="1">
      <c r="B58" s="960"/>
      <c r="C58" s="960"/>
      <c r="D58" s="961">
        <v>2024</v>
      </c>
      <c r="E58" s="962">
        <v>8013</v>
      </c>
      <c r="F58" s="962">
        <v>6427</v>
      </c>
      <c r="G58" s="963">
        <v>4793</v>
      </c>
      <c r="H58" s="964">
        <v>3.9</v>
      </c>
      <c r="I58" s="964">
        <v>0.36648001000000002</v>
      </c>
    </row>
    <row r="59" spans="2:9" s="938" customFormat="1" ht="14" thickBot="1">
      <c r="B59" s="965"/>
      <c r="C59" s="965"/>
      <c r="D59" s="965"/>
      <c r="E59" s="966"/>
      <c r="F59" s="966"/>
      <c r="G59" s="967"/>
      <c r="H59" s="968"/>
      <c r="I59" s="969"/>
    </row>
    <row r="60" spans="2:9" s="938" customFormat="1" ht="14">
      <c r="E60" s="970"/>
      <c r="F60" s="970"/>
      <c r="G60" s="971"/>
      <c r="I60" s="924" t="s">
        <v>32</v>
      </c>
    </row>
    <row r="61" spans="2:9" s="938" customFormat="1" ht="14">
      <c r="E61" s="970"/>
      <c r="F61" s="970"/>
      <c r="G61" s="971"/>
      <c r="I61" s="925" t="s">
        <v>33</v>
      </c>
    </row>
  </sheetData>
  <mergeCells count="3">
    <mergeCell ref="E4:F5"/>
    <mergeCell ref="G4:G5"/>
    <mergeCell ref="H4:I5"/>
  </mergeCells>
  <printOptions horizontalCentered="1"/>
  <pageMargins left="0.55118110236220474" right="0.55118110236220474" top="0.55118110236220474" bottom="0.55118110236220474" header="0.31496062992125984" footer="0.31496062992125984"/>
  <pageSetup paperSize="9" scale="76"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4E90-6E8D-4A3B-AC92-F5FF792D9C4F}">
  <sheetPr codeName="Sheet56"/>
  <dimension ref="A1:N74"/>
  <sheetViews>
    <sheetView view="pageBreakPreview" topLeftCell="A28" zoomScaleNormal="100" zoomScaleSheetLayoutView="100" workbookViewId="0">
      <selection activeCell="D60" sqref="D60"/>
    </sheetView>
  </sheetViews>
  <sheetFormatPr baseColWidth="10" defaultColWidth="8.83203125" defaultRowHeight="15"/>
  <cols>
    <col min="1" max="1" width="2.83203125" customWidth="1"/>
    <col min="2" max="2" width="14.1640625" customWidth="1"/>
    <col min="3" max="3" width="20.5" customWidth="1"/>
    <col min="4" max="4" width="28.33203125" customWidth="1"/>
    <col min="5" max="5" width="16.33203125" style="983" customWidth="1"/>
    <col min="8" max="8" width="9.1640625" customWidth="1"/>
  </cols>
  <sheetData>
    <row r="1" spans="1:13" s="404" customFormat="1" ht="7.5" customHeight="1">
      <c r="E1" s="972"/>
    </row>
    <row r="2" spans="1:13" s="404" customFormat="1" ht="7.5" customHeight="1">
      <c r="E2" s="972"/>
    </row>
    <row r="3" spans="1:13" s="404" customFormat="1" ht="15.25" customHeight="1">
      <c r="A3" s="800"/>
      <c r="B3" s="973" t="s">
        <v>900</v>
      </c>
      <c r="C3" s="652" t="s">
        <v>901</v>
      </c>
      <c r="D3" s="731"/>
      <c r="E3" s="974"/>
      <c r="F3" s="731"/>
      <c r="G3" s="731"/>
      <c r="H3" s="731"/>
      <c r="I3" s="731"/>
      <c r="J3" s="480"/>
    </row>
    <row r="4" spans="1:13" s="404" customFormat="1">
      <c r="A4" s="800"/>
      <c r="B4" s="975"/>
      <c r="C4" s="731" t="s">
        <v>902</v>
      </c>
      <c r="D4" s="731"/>
      <c r="E4" s="974"/>
      <c r="F4" s="731"/>
      <c r="G4" s="731"/>
      <c r="H4" s="731"/>
      <c r="I4" s="731"/>
      <c r="J4" s="480"/>
    </row>
    <row r="5" spans="1:13" s="404" customFormat="1" ht="15.25" customHeight="1">
      <c r="A5" s="480"/>
      <c r="B5" s="655" t="s">
        <v>903</v>
      </c>
      <c r="C5" s="730" t="s">
        <v>904</v>
      </c>
      <c r="D5" s="976"/>
      <c r="E5" s="977"/>
      <c r="F5" s="976"/>
      <c r="G5" s="976"/>
      <c r="H5" s="976"/>
      <c r="I5" s="976"/>
      <c r="J5" s="480"/>
    </row>
    <row r="6" spans="1:13" s="404" customFormat="1">
      <c r="A6" s="480"/>
      <c r="B6" s="655"/>
      <c r="C6" s="730" t="s">
        <v>905</v>
      </c>
      <c r="D6" s="976"/>
      <c r="E6" s="977"/>
      <c r="F6" s="976"/>
      <c r="G6" s="976"/>
      <c r="H6" s="976"/>
      <c r="I6" s="976"/>
      <c r="J6" s="480"/>
    </row>
    <row r="7" spans="1:13" ht="16" thickBot="1">
      <c r="A7" s="978"/>
      <c r="B7" s="978"/>
      <c r="C7" s="978"/>
      <c r="D7" s="978"/>
      <c r="E7" s="979"/>
      <c r="F7" s="978"/>
      <c r="G7" s="978"/>
      <c r="H7" s="978"/>
      <c r="I7" s="978"/>
      <c r="J7" s="377"/>
    </row>
    <row r="8" spans="1:13" ht="5.25" customHeight="1">
      <c r="A8" s="377"/>
      <c r="B8" s="377"/>
      <c r="C8" s="377"/>
      <c r="D8" s="377"/>
      <c r="E8" s="722"/>
      <c r="F8" s="377"/>
      <c r="G8" s="377"/>
      <c r="H8" s="377"/>
      <c r="I8" s="377"/>
      <c r="J8" s="377"/>
    </row>
    <row r="9" spans="1:13" ht="15.25" customHeight="1">
      <c r="A9" s="980"/>
      <c r="B9" s="1382" t="s">
        <v>906</v>
      </c>
      <c r="C9" s="1382"/>
      <c r="D9" s="981"/>
      <c r="E9" s="982" t="s">
        <v>907</v>
      </c>
      <c r="F9" s="981"/>
      <c r="G9" s="1383" t="s">
        <v>908</v>
      </c>
      <c r="H9" s="983"/>
      <c r="I9" s="1383" t="s">
        <v>909</v>
      </c>
      <c r="J9" s="984"/>
      <c r="K9" s="982"/>
    </row>
    <row r="10" spans="1:13">
      <c r="A10" s="980"/>
      <c r="B10" s="1382"/>
      <c r="C10" s="1382"/>
      <c r="D10" s="981"/>
      <c r="E10" s="985" t="s">
        <v>910</v>
      </c>
      <c r="F10" s="981"/>
      <c r="G10" s="1383"/>
      <c r="H10" s="981"/>
      <c r="I10" s="1383"/>
      <c r="J10" s="984"/>
      <c r="K10" s="982"/>
    </row>
    <row r="11" spans="1:13" ht="10.5" customHeight="1" thickBot="1">
      <c r="A11" s="986"/>
      <c r="B11" s="987"/>
      <c r="C11" s="987"/>
      <c r="D11" s="988"/>
      <c r="E11" s="988"/>
      <c r="F11" s="988"/>
      <c r="G11" s="988"/>
      <c r="H11" s="988"/>
      <c r="I11" s="988"/>
      <c r="J11" s="984"/>
      <c r="K11" s="982"/>
    </row>
    <row r="12" spans="1:13">
      <c r="B12" s="306"/>
      <c r="C12" s="982"/>
      <c r="D12" s="982"/>
      <c r="E12" s="980"/>
      <c r="F12" s="989"/>
      <c r="G12" s="989"/>
      <c r="H12" s="989"/>
      <c r="I12" s="989"/>
      <c r="K12" s="982"/>
    </row>
    <row r="13" spans="1:13">
      <c r="B13" s="990" t="s">
        <v>911</v>
      </c>
      <c r="C13" s="348"/>
      <c r="D13" s="991"/>
      <c r="E13" s="992">
        <v>12.2</v>
      </c>
      <c r="F13" s="348"/>
      <c r="G13" s="348">
        <v>108.7</v>
      </c>
      <c r="H13" s="993"/>
      <c r="I13" s="348">
        <v>1.6</v>
      </c>
      <c r="J13" s="994"/>
      <c r="K13" s="995"/>
      <c r="M13" s="983"/>
    </row>
    <row r="14" spans="1:13" ht="7.5" customHeight="1">
      <c r="B14" s="985"/>
      <c r="C14" s="348"/>
      <c r="D14" s="991"/>
      <c r="E14" s="992"/>
      <c r="F14" s="348"/>
      <c r="G14" s="348"/>
      <c r="H14" s="993"/>
      <c r="I14" s="348"/>
      <c r="J14" s="994"/>
      <c r="K14" s="995"/>
    </row>
    <row r="15" spans="1:13">
      <c r="B15" s="990" t="s">
        <v>912</v>
      </c>
      <c r="C15" s="348"/>
      <c r="D15" s="991"/>
      <c r="E15" s="992">
        <v>2.2000000000000002</v>
      </c>
      <c r="F15" s="348"/>
      <c r="G15" s="348">
        <v>16.2</v>
      </c>
      <c r="H15" s="993"/>
      <c r="I15" s="348">
        <v>92.6</v>
      </c>
      <c r="J15" s="994"/>
      <c r="K15" s="995"/>
    </row>
    <row r="16" spans="1:13" ht="7.5" customHeight="1">
      <c r="B16" s="990"/>
      <c r="C16" s="348"/>
      <c r="D16" s="991"/>
      <c r="E16" s="992"/>
      <c r="F16" s="348"/>
      <c r="G16" s="348"/>
      <c r="H16" s="993"/>
      <c r="I16" s="348"/>
      <c r="J16" s="994"/>
      <c r="K16" s="995"/>
    </row>
    <row r="17" spans="2:11">
      <c r="B17" s="985" t="s">
        <v>913</v>
      </c>
      <c r="C17" s="348"/>
      <c r="D17" s="991"/>
      <c r="E17" s="992">
        <v>23</v>
      </c>
      <c r="F17" s="348"/>
      <c r="G17" s="348">
        <v>69.599999999999994</v>
      </c>
      <c r="H17" s="993"/>
      <c r="I17" s="348">
        <v>31.8</v>
      </c>
      <c r="J17" s="994"/>
      <c r="K17" s="995"/>
    </row>
    <row r="18" spans="2:11" ht="7.5" customHeight="1">
      <c r="B18" s="985"/>
      <c r="C18" s="348"/>
      <c r="D18" s="991"/>
      <c r="E18" s="992"/>
      <c r="F18" s="348"/>
      <c r="G18" s="348"/>
      <c r="H18" s="993"/>
      <c r="I18" s="348"/>
      <c r="J18" s="994"/>
      <c r="K18" s="995"/>
    </row>
    <row r="19" spans="2:11">
      <c r="B19" s="990" t="s">
        <v>914</v>
      </c>
      <c r="C19" s="348"/>
      <c r="D19" s="991"/>
      <c r="E19" s="992">
        <v>8.4</v>
      </c>
      <c r="F19" s="348"/>
      <c r="G19" s="348">
        <v>104.3</v>
      </c>
      <c r="H19" s="993"/>
      <c r="I19" s="348">
        <v>0.3</v>
      </c>
      <c r="J19" s="994"/>
      <c r="K19" s="995"/>
    </row>
    <row r="20" spans="2:11" ht="7.5" customHeight="1">
      <c r="B20" s="990"/>
      <c r="C20" s="348"/>
      <c r="D20" s="991"/>
      <c r="E20" s="992"/>
      <c r="F20" s="348"/>
      <c r="G20" s="348"/>
      <c r="H20" s="993"/>
      <c r="I20" s="348"/>
      <c r="J20" s="994"/>
      <c r="K20" s="995"/>
    </row>
    <row r="21" spans="2:11">
      <c r="B21" s="990" t="s">
        <v>915</v>
      </c>
      <c r="C21" s="348"/>
      <c r="D21" s="991"/>
      <c r="E21" s="992">
        <v>2.6</v>
      </c>
      <c r="F21" s="348"/>
      <c r="G21" s="348">
        <v>139.5</v>
      </c>
      <c r="H21" s="993"/>
      <c r="I21" s="348">
        <v>7.5</v>
      </c>
      <c r="J21" s="994"/>
      <c r="K21" s="995"/>
    </row>
    <row r="22" spans="2:11" ht="7.5" customHeight="1">
      <c r="B22" s="985"/>
      <c r="C22" s="348"/>
      <c r="D22" s="991"/>
      <c r="E22" s="992"/>
      <c r="F22" s="348"/>
      <c r="G22" s="348"/>
      <c r="H22" s="993"/>
      <c r="I22" s="348"/>
      <c r="J22" s="994"/>
      <c r="K22" s="995"/>
    </row>
    <row r="23" spans="2:11">
      <c r="B23" s="990" t="s">
        <v>916</v>
      </c>
      <c r="C23" s="348"/>
      <c r="D23" s="991"/>
      <c r="E23" s="992">
        <v>2.2000000000000002</v>
      </c>
      <c r="F23" s="348"/>
      <c r="G23" s="348">
        <v>29.3</v>
      </c>
      <c r="H23" s="993"/>
      <c r="I23" s="348">
        <v>75.099999999999994</v>
      </c>
      <c r="J23" s="994"/>
      <c r="K23" s="995"/>
    </row>
    <row r="24" spans="2:11" ht="7.5" customHeight="1">
      <c r="B24" s="990"/>
      <c r="C24" s="348"/>
      <c r="D24" s="991"/>
      <c r="E24" s="992"/>
      <c r="F24" s="348"/>
      <c r="G24" s="348"/>
      <c r="H24" s="993"/>
      <c r="I24" s="348"/>
      <c r="J24" s="994"/>
      <c r="K24" s="995"/>
    </row>
    <row r="25" spans="2:11">
      <c r="B25" s="990" t="s">
        <v>917</v>
      </c>
      <c r="C25" s="348"/>
      <c r="D25" s="991"/>
      <c r="E25" s="992">
        <v>1.7</v>
      </c>
      <c r="F25" s="348"/>
      <c r="G25" s="348">
        <v>14.6</v>
      </c>
      <c r="H25" s="993"/>
      <c r="I25" s="348">
        <v>86.5</v>
      </c>
      <c r="J25" s="994"/>
      <c r="K25" s="995"/>
    </row>
    <row r="26" spans="2:11" ht="7.5" customHeight="1">
      <c r="B26" s="985"/>
      <c r="C26" s="348"/>
      <c r="D26" s="991"/>
      <c r="E26" s="992"/>
      <c r="F26" s="348"/>
      <c r="G26" s="348"/>
      <c r="H26" s="993"/>
      <c r="I26" s="348"/>
      <c r="J26" s="994"/>
      <c r="K26" s="995"/>
    </row>
    <row r="27" spans="2:11">
      <c r="B27" s="990" t="s">
        <v>918</v>
      </c>
      <c r="C27" s="348"/>
      <c r="D27" s="991"/>
      <c r="E27" s="992">
        <v>6.6</v>
      </c>
      <c r="F27" s="348"/>
      <c r="G27" s="348">
        <v>40.299999999999997</v>
      </c>
      <c r="H27" s="993"/>
      <c r="I27" s="348">
        <v>61.3</v>
      </c>
      <c r="J27" s="994"/>
      <c r="K27" s="995"/>
    </row>
    <row r="28" spans="2:11" ht="7.5" customHeight="1">
      <c r="B28" s="990"/>
      <c r="C28" s="348"/>
      <c r="D28" s="991"/>
      <c r="E28" s="992"/>
      <c r="F28" s="348"/>
      <c r="G28" s="348"/>
      <c r="H28" s="993"/>
      <c r="I28" s="348"/>
      <c r="J28" s="994"/>
      <c r="K28" s="995"/>
    </row>
    <row r="29" spans="2:11">
      <c r="B29" s="990" t="s">
        <v>919</v>
      </c>
      <c r="C29" s="348"/>
      <c r="D29" s="991"/>
      <c r="E29" s="992">
        <v>2.1</v>
      </c>
      <c r="F29" s="348"/>
      <c r="G29" s="348">
        <v>112</v>
      </c>
      <c r="H29" s="993"/>
      <c r="I29" s="348">
        <v>1.8</v>
      </c>
      <c r="J29" s="994"/>
      <c r="K29" s="995"/>
    </row>
    <row r="30" spans="2:11" ht="7.5" customHeight="1">
      <c r="B30" s="985"/>
      <c r="C30" s="348"/>
      <c r="D30" s="991"/>
      <c r="E30" s="992"/>
      <c r="F30" s="348"/>
      <c r="G30" s="348"/>
      <c r="H30" s="993"/>
      <c r="I30" s="348"/>
      <c r="J30" s="994"/>
      <c r="K30" s="995"/>
    </row>
    <row r="31" spans="2:11">
      <c r="B31" s="990" t="s">
        <v>920</v>
      </c>
      <c r="C31" s="348"/>
      <c r="D31" s="991"/>
      <c r="E31" s="992">
        <v>2.6</v>
      </c>
      <c r="F31" s="348"/>
      <c r="G31" s="348">
        <v>111.7</v>
      </c>
      <c r="H31" s="993"/>
      <c r="I31" s="348">
        <v>14.5</v>
      </c>
      <c r="J31" s="994"/>
      <c r="K31" s="995"/>
    </row>
    <row r="32" spans="2:11" ht="7.5" customHeight="1">
      <c r="B32" s="985"/>
      <c r="C32" s="348"/>
      <c r="D32" s="991"/>
      <c r="E32" s="992"/>
      <c r="F32" s="348"/>
      <c r="G32" s="348"/>
      <c r="H32" s="993"/>
      <c r="I32" s="348"/>
      <c r="J32" s="994"/>
      <c r="K32" s="995"/>
    </row>
    <row r="33" spans="2:11">
      <c r="B33" s="990" t="s">
        <v>921</v>
      </c>
      <c r="C33" s="348"/>
      <c r="D33" s="991"/>
      <c r="E33" s="992">
        <v>4.2</v>
      </c>
      <c r="F33" s="348"/>
      <c r="G33" s="348">
        <v>118.9</v>
      </c>
      <c r="H33" s="993"/>
      <c r="I33" s="348">
        <v>4.4000000000000004</v>
      </c>
      <c r="J33" s="994"/>
      <c r="K33" s="995"/>
    </row>
    <row r="34" spans="2:11" ht="7.5" customHeight="1">
      <c r="B34" s="985"/>
      <c r="C34" s="348"/>
      <c r="D34" s="722"/>
      <c r="E34" s="992"/>
      <c r="F34" s="348"/>
      <c r="G34" s="348"/>
      <c r="H34" s="993"/>
      <c r="I34" s="348"/>
      <c r="J34" s="994"/>
      <c r="K34" s="995"/>
    </row>
    <row r="35" spans="2:11">
      <c r="B35" s="990" t="s">
        <v>922</v>
      </c>
      <c r="C35" s="348"/>
      <c r="D35" s="996"/>
      <c r="E35" s="992">
        <v>4.7</v>
      </c>
      <c r="F35" s="348"/>
      <c r="G35" s="348">
        <v>97</v>
      </c>
      <c r="H35" s="993"/>
      <c r="I35" s="348">
        <v>7</v>
      </c>
      <c r="J35" s="994"/>
      <c r="K35" s="995"/>
    </row>
    <row r="36" spans="2:11" ht="7.5" customHeight="1">
      <c r="B36" s="985"/>
      <c r="C36" s="348"/>
      <c r="D36" s="377"/>
      <c r="E36" s="992"/>
      <c r="F36" s="348"/>
      <c r="G36" s="348"/>
      <c r="H36" s="348"/>
      <c r="I36" s="348"/>
      <c r="J36" s="994"/>
      <c r="K36" s="995"/>
    </row>
    <row r="37" spans="2:11" s="404" customFormat="1">
      <c r="B37" s="997" t="s">
        <v>923</v>
      </c>
      <c r="C37" s="399"/>
      <c r="D37" s="480"/>
      <c r="E37" s="998">
        <v>46.1</v>
      </c>
      <c r="F37" s="399"/>
      <c r="G37" s="399">
        <v>99.9</v>
      </c>
      <c r="H37" s="399"/>
      <c r="I37" s="399">
        <v>6.1</v>
      </c>
      <c r="J37" s="999"/>
      <c r="K37" s="1000"/>
    </row>
    <row r="38" spans="2:11" s="404" customFormat="1" ht="7.5" customHeight="1">
      <c r="B38" s="1001"/>
      <c r="C38" s="399"/>
      <c r="D38" s="480"/>
      <c r="E38" s="998"/>
      <c r="F38" s="399"/>
      <c r="G38" s="399"/>
      <c r="H38" s="399"/>
      <c r="I38" s="399"/>
      <c r="J38" s="999"/>
      <c r="K38" s="1000"/>
    </row>
    <row r="39" spans="2:11" s="404" customFormat="1">
      <c r="B39" s="997" t="s">
        <v>924</v>
      </c>
      <c r="C39" s="399"/>
      <c r="D39" s="480"/>
      <c r="E39" s="998">
        <v>1.6</v>
      </c>
      <c r="F39" s="399"/>
      <c r="G39" s="399">
        <v>130.6</v>
      </c>
      <c r="H39" s="399"/>
      <c r="I39" s="399">
        <v>1.9E-2</v>
      </c>
      <c r="J39" s="999"/>
      <c r="K39" s="1000"/>
    </row>
    <row r="40" spans="2:11" ht="7.5" customHeight="1">
      <c r="B40" s="990"/>
      <c r="C40" s="348"/>
      <c r="D40" s="377"/>
      <c r="E40" s="992"/>
      <c r="F40" s="348"/>
      <c r="G40" s="348"/>
      <c r="H40" s="348"/>
      <c r="I40" s="348"/>
      <c r="J40" s="994"/>
      <c r="K40" s="995"/>
    </row>
    <row r="41" spans="2:11" ht="15.25" customHeight="1">
      <c r="B41" s="990" t="s">
        <v>925</v>
      </c>
      <c r="C41" s="348"/>
      <c r="D41" s="377"/>
      <c r="E41" s="992">
        <v>20.8</v>
      </c>
      <c r="F41" s="348"/>
      <c r="G41" s="348">
        <v>114.4</v>
      </c>
      <c r="H41" s="348"/>
      <c r="I41" s="348" t="s">
        <v>438</v>
      </c>
      <c r="J41" s="994"/>
      <c r="K41" s="995"/>
    </row>
    <row r="42" spans="2:11" ht="7.25" customHeight="1">
      <c r="B42" s="990"/>
      <c r="C42" s="348"/>
      <c r="D42" s="377"/>
      <c r="E42" s="992"/>
      <c r="F42" s="348"/>
      <c r="G42" s="348"/>
      <c r="H42" s="348"/>
      <c r="I42" s="348"/>
      <c r="J42" s="994"/>
      <c r="K42" s="995"/>
    </row>
    <row r="43" spans="2:11">
      <c r="B43" s="990" t="s">
        <v>926</v>
      </c>
      <c r="C43" s="348"/>
      <c r="D43" s="377"/>
      <c r="E43" s="992">
        <v>1</v>
      </c>
      <c r="F43" s="348"/>
      <c r="G43" s="348">
        <v>10.7</v>
      </c>
      <c r="H43" s="348"/>
      <c r="I43" s="348">
        <v>89.4</v>
      </c>
      <c r="J43" s="994"/>
      <c r="K43" s="995"/>
    </row>
    <row r="44" spans="2:11" ht="7.5" customHeight="1">
      <c r="B44" s="985"/>
      <c r="C44" s="348"/>
      <c r="D44" s="377"/>
      <c r="E44" s="992"/>
      <c r="F44" s="348"/>
      <c r="G44" s="348"/>
      <c r="H44" s="348"/>
      <c r="I44" s="348"/>
      <c r="J44" s="994"/>
      <c r="K44" s="995"/>
    </row>
    <row r="45" spans="2:11">
      <c r="B45" s="990" t="s">
        <v>927</v>
      </c>
      <c r="C45" s="348"/>
      <c r="D45" s="377"/>
      <c r="E45" s="992">
        <v>5.5</v>
      </c>
      <c r="F45" s="348"/>
      <c r="G45" s="348">
        <v>18.899999999999999</v>
      </c>
      <c r="H45" s="348"/>
      <c r="I45" s="348">
        <v>81.599999999999994</v>
      </c>
      <c r="J45" s="994"/>
      <c r="K45" s="995"/>
    </row>
    <row r="46" spans="2:11" ht="7.5" customHeight="1">
      <c r="B46" s="985"/>
      <c r="C46" s="348"/>
      <c r="D46" s="377"/>
      <c r="E46" s="992"/>
      <c r="F46" s="348"/>
      <c r="G46" s="348"/>
      <c r="H46" s="348"/>
      <c r="I46" s="348"/>
      <c r="J46" s="994"/>
      <c r="K46" s="995"/>
    </row>
    <row r="47" spans="2:11">
      <c r="B47" s="990" t="s">
        <v>928</v>
      </c>
      <c r="C47" s="348"/>
      <c r="D47" s="377"/>
      <c r="E47" s="992">
        <v>17.3</v>
      </c>
      <c r="F47" s="348"/>
      <c r="G47" s="348">
        <v>93.4</v>
      </c>
      <c r="H47" s="348"/>
      <c r="I47" s="348">
        <v>7.1</v>
      </c>
      <c r="J47" s="994"/>
      <c r="K47" s="995"/>
    </row>
    <row r="48" spans="2:11" ht="7.5" customHeight="1">
      <c r="B48" s="990"/>
      <c r="C48" s="348"/>
      <c r="D48" s="377"/>
      <c r="E48" s="992"/>
      <c r="F48" s="348"/>
      <c r="G48" s="348"/>
      <c r="H48" s="348"/>
      <c r="I48" s="348"/>
      <c r="J48" s="994"/>
      <c r="K48" s="995"/>
    </row>
    <row r="49" spans="1:14">
      <c r="B49" s="990" t="s">
        <v>929</v>
      </c>
      <c r="C49" s="348"/>
      <c r="D49" s="377"/>
      <c r="E49" s="992">
        <v>2.1</v>
      </c>
      <c r="F49" s="348"/>
      <c r="G49" s="348">
        <v>56.7</v>
      </c>
      <c r="H49" s="348"/>
      <c r="I49" s="348">
        <v>62.9</v>
      </c>
      <c r="J49" s="994"/>
      <c r="K49" s="995"/>
    </row>
    <row r="50" spans="1:14" ht="7.5" customHeight="1">
      <c r="B50" s="985"/>
      <c r="C50" s="348"/>
      <c r="D50" s="377"/>
      <c r="E50" s="992"/>
      <c r="F50" s="348"/>
      <c r="G50" s="348"/>
      <c r="H50" s="348"/>
      <c r="I50" s="348"/>
      <c r="J50" s="994"/>
      <c r="K50" s="995"/>
    </row>
    <row r="51" spans="1:14" ht="15.25" customHeight="1">
      <c r="B51" s="990" t="s">
        <v>930</v>
      </c>
      <c r="C51" s="348"/>
      <c r="D51" s="377"/>
      <c r="E51" s="992">
        <v>4.5999999999999996</v>
      </c>
      <c r="F51" s="348"/>
      <c r="G51" s="348">
        <v>100.4</v>
      </c>
      <c r="H51" s="348"/>
      <c r="I51" s="348">
        <v>19.3</v>
      </c>
      <c r="J51" s="994"/>
      <c r="K51" s="995"/>
    </row>
    <row r="52" spans="1:14" ht="7.5" customHeight="1">
      <c r="B52" s="985"/>
      <c r="C52" s="348"/>
      <c r="D52" s="377"/>
      <c r="E52" s="992"/>
      <c r="F52" s="348"/>
      <c r="G52" s="348"/>
      <c r="H52" s="348"/>
      <c r="I52" s="348"/>
      <c r="J52" s="994"/>
      <c r="K52" s="995"/>
    </row>
    <row r="53" spans="1:14" ht="15.25" customHeight="1">
      <c r="B53" s="990" t="s">
        <v>931</v>
      </c>
      <c r="C53" s="348"/>
      <c r="D53" s="377"/>
      <c r="E53" s="992">
        <v>2.4</v>
      </c>
      <c r="F53" s="348"/>
      <c r="G53" s="348">
        <v>74.900000000000006</v>
      </c>
      <c r="H53" s="348"/>
      <c r="I53" s="348">
        <v>25.5</v>
      </c>
      <c r="J53" s="994"/>
      <c r="K53" s="995"/>
    </row>
    <row r="54" spans="1:14" ht="7.5" customHeight="1" thickBot="1">
      <c r="A54" s="1002"/>
      <c r="B54" s="1002"/>
      <c r="C54" s="1002"/>
      <c r="D54" s="1002"/>
      <c r="E54" s="1003"/>
      <c r="F54" s="1002"/>
      <c r="G54" s="1002"/>
      <c r="H54" s="1002"/>
      <c r="I54" s="1002"/>
      <c r="J54" s="307"/>
      <c r="K54" s="307"/>
    </row>
    <row r="55" spans="1:14" ht="13.5" customHeight="1" thickTop="1">
      <c r="A55" s="698"/>
      <c r="B55" s="698"/>
      <c r="C55" s="698"/>
      <c r="D55" s="698"/>
      <c r="E55" s="1384" t="s">
        <v>32</v>
      </c>
      <c r="F55" s="1384"/>
      <c r="G55" s="1384"/>
      <c r="H55" s="1384"/>
      <c r="I55" s="1384"/>
      <c r="J55" s="1004"/>
      <c r="K55" s="307"/>
    </row>
    <row r="56" spans="1:14" ht="13.5" customHeight="1">
      <c r="A56" s="698"/>
      <c r="B56" s="698"/>
      <c r="C56" s="698"/>
      <c r="D56" s="698"/>
      <c r="E56" s="1385" t="s">
        <v>33</v>
      </c>
      <c r="F56" s="1385"/>
      <c r="G56" s="1385"/>
      <c r="H56" s="1385"/>
      <c r="I56" s="1385"/>
      <c r="J56" s="1006"/>
      <c r="K56" s="307"/>
    </row>
    <row r="57" spans="1:14" s="1007" customFormat="1" ht="13.5" customHeight="1">
      <c r="A57" s="698"/>
      <c r="B57" s="1004" t="s">
        <v>932</v>
      </c>
      <c r="C57" s="698"/>
      <c r="D57" s="698"/>
      <c r="E57" s="717"/>
      <c r="F57" s="339"/>
      <c r="G57" s="339"/>
      <c r="H57" s="339"/>
      <c r="I57" s="339"/>
      <c r="J57" s="1005"/>
      <c r="K57" s="339"/>
    </row>
    <row r="58" spans="1:14" s="1007" customFormat="1" ht="8" customHeight="1">
      <c r="A58" s="698"/>
      <c r="B58" s="1004"/>
      <c r="C58" s="698"/>
      <c r="D58" s="698"/>
      <c r="E58" s="717"/>
      <c r="F58" s="339"/>
      <c r="G58" s="339"/>
      <c r="H58" s="339"/>
      <c r="I58" s="339"/>
      <c r="J58" s="1005"/>
      <c r="K58" s="339"/>
    </row>
    <row r="59" spans="1:14" s="1007" customFormat="1" ht="7.5" customHeight="1">
      <c r="A59" s="703"/>
      <c r="B59" s="1008"/>
      <c r="C59" s="698"/>
      <c r="D59" s="698"/>
      <c r="E59" s="717"/>
      <c r="F59" s="339"/>
      <c r="G59" s="339"/>
      <c r="H59" s="339"/>
      <c r="I59" s="339"/>
      <c r="J59" s="339"/>
      <c r="K59" s="339"/>
    </row>
    <row r="60" spans="1:14" s="1007" customFormat="1" ht="13">
      <c r="A60" s="704" t="s">
        <v>35</v>
      </c>
      <c r="B60" s="1008" t="s">
        <v>933</v>
      </c>
      <c r="C60" s="698"/>
      <c r="D60" s="698"/>
      <c r="E60" s="717"/>
      <c r="F60" s="339"/>
      <c r="G60" s="339"/>
      <c r="H60" s="339"/>
      <c r="I60" s="339"/>
      <c r="J60" s="339"/>
      <c r="K60" s="339"/>
    </row>
    <row r="61" spans="1:14" s="1007" customFormat="1" ht="12">
      <c r="A61" s="703"/>
      <c r="B61" s="1009" t="s">
        <v>934</v>
      </c>
      <c r="C61" s="698"/>
      <c r="D61" s="698"/>
      <c r="E61" s="717"/>
      <c r="F61" s="339"/>
      <c r="G61" s="339"/>
      <c r="H61" s="339"/>
      <c r="I61" s="339"/>
      <c r="J61" s="339"/>
      <c r="K61" s="339"/>
    </row>
    <row r="62" spans="1:14" s="1007" customFormat="1" ht="8" customHeight="1">
      <c r="A62" s="703"/>
      <c r="B62" s="1008"/>
      <c r="C62" s="698"/>
      <c r="D62" s="698"/>
      <c r="E62" s="717"/>
      <c r="F62" s="339"/>
      <c r="G62" s="339"/>
      <c r="H62" s="339"/>
      <c r="I62" s="339"/>
      <c r="J62" s="339"/>
      <c r="K62" s="339"/>
    </row>
    <row r="63" spans="1:14" s="698" customFormat="1" ht="12">
      <c r="A63" s="704" t="s">
        <v>38</v>
      </c>
      <c r="B63" s="1386" t="s">
        <v>935</v>
      </c>
      <c r="C63" s="1386"/>
      <c r="D63" s="1386"/>
      <c r="E63" s="1386"/>
      <c r="F63" s="1386"/>
      <c r="G63" s="1386"/>
      <c r="H63" s="1386"/>
      <c r="I63" s="1386"/>
      <c r="J63" s="339"/>
      <c r="K63" s="1010"/>
      <c r="L63" s="1010"/>
      <c r="M63" s="339"/>
      <c r="N63" s="339"/>
    </row>
    <row r="64" spans="1:14" s="698" customFormat="1" ht="12">
      <c r="A64" s="703"/>
      <c r="B64" s="1379" t="s">
        <v>936</v>
      </c>
      <c r="C64" s="1379"/>
      <c r="D64" s="1379"/>
      <c r="E64" s="1379"/>
      <c r="F64" s="1379"/>
      <c r="G64" s="1379"/>
      <c r="H64" s="1379"/>
      <c r="I64" s="1379"/>
    </row>
    <row r="65" spans="1:9" s="698" customFormat="1" ht="7.5" customHeight="1">
      <c r="A65" s="703"/>
      <c r="B65" s="1011"/>
      <c r="C65" s="1011"/>
      <c r="D65" s="1011"/>
      <c r="E65" s="1012"/>
      <c r="F65" s="1011"/>
      <c r="G65" s="1011"/>
      <c r="H65" s="1011"/>
      <c r="I65" s="1011"/>
    </row>
    <row r="66" spans="1:9" s="698" customFormat="1" ht="12">
      <c r="A66" s="704" t="s">
        <v>273</v>
      </c>
      <c r="B66" s="1380" t="s">
        <v>937</v>
      </c>
      <c r="C66" s="1380"/>
      <c r="D66" s="1380"/>
      <c r="E66" s="1380"/>
      <c r="F66" s="1380"/>
      <c r="G66" s="1380"/>
      <c r="H66" s="1380"/>
      <c r="I66" s="1380"/>
    </row>
    <row r="67" spans="1:9" s="698" customFormat="1" ht="12">
      <c r="A67" s="703"/>
      <c r="B67" s="1380"/>
      <c r="C67" s="1380"/>
      <c r="D67" s="1380"/>
      <c r="E67" s="1380"/>
      <c r="F67" s="1380"/>
      <c r="G67" s="1380"/>
      <c r="H67" s="1380"/>
      <c r="I67" s="1380"/>
    </row>
    <row r="68" spans="1:9" s="698" customFormat="1" ht="12">
      <c r="A68" s="703"/>
      <c r="B68" s="1381" t="s">
        <v>938</v>
      </c>
      <c r="C68" s="1381"/>
      <c r="D68" s="1381"/>
      <c r="E68" s="1381"/>
      <c r="F68" s="1381"/>
      <c r="G68" s="1381"/>
      <c r="H68" s="1381"/>
      <c r="I68" s="1381"/>
    </row>
    <row r="69" spans="1:9" s="698" customFormat="1" ht="12">
      <c r="A69" s="703"/>
      <c r="B69" s="1381"/>
      <c r="C69" s="1381"/>
      <c r="D69" s="1381"/>
      <c r="E69" s="1381"/>
      <c r="F69" s="1381"/>
      <c r="G69" s="1381"/>
      <c r="H69" s="1381"/>
      <c r="I69" s="1381"/>
    </row>
    <row r="70" spans="1:9" s="698" customFormat="1" ht="7.5" customHeight="1">
      <c r="A70" s="703"/>
      <c r="B70" s="1013"/>
      <c r="C70" s="1013"/>
      <c r="D70" s="1013"/>
      <c r="E70" s="1014"/>
      <c r="F70" s="1013"/>
      <c r="G70" s="1013"/>
      <c r="H70" s="1013"/>
      <c r="I70" s="1013"/>
    </row>
    <row r="71" spans="1:9" s="698" customFormat="1" ht="12">
      <c r="A71" s="704" t="s">
        <v>939</v>
      </c>
      <c r="B71" s="1380" t="s">
        <v>940</v>
      </c>
      <c r="C71" s="1380"/>
      <c r="D71" s="1380"/>
      <c r="E71" s="1380"/>
      <c r="F71" s="1380"/>
      <c r="G71" s="1380"/>
      <c r="H71" s="1380"/>
      <c r="I71" s="1380"/>
    </row>
    <row r="72" spans="1:9" s="698" customFormat="1" ht="12">
      <c r="A72" s="703"/>
      <c r="B72" s="1380"/>
      <c r="C72" s="1380"/>
      <c r="D72" s="1380"/>
      <c r="E72" s="1380"/>
      <c r="F72" s="1380"/>
      <c r="G72" s="1380"/>
      <c r="H72" s="1380"/>
      <c r="I72" s="1380"/>
    </row>
    <row r="73" spans="1:9" s="698" customFormat="1" ht="12">
      <c r="A73" s="703"/>
      <c r="B73" s="1381" t="s">
        <v>941</v>
      </c>
      <c r="C73" s="1381"/>
      <c r="D73" s="1381"/>
      <c r="E73" s="1381"/>
      <c r="F73" s="1381"/>
      <c r="G73" s="1381"/>
      <c r="H73" s="1381"/>
      <c r="I73" s="1381"/>
    </row>
    <row r="74" spans="1:9" s="698" customFormat="1" ht="12">
      <c r="A74" s="703"/>
      <c r="B74" s="1381"/>
      <c r="C74" s="1381"/>
      <c r="D74" s="1381"/>
      <c r="E74" s="1381"/>
      <c r="F74" s="1381"/>
      <c r="G74" s="1381"/>
      <c r="H74" s="1381"/>
      <c r="I74" s="1381"/>
    </row>
  </sheetData>
  <mergeCells count="11">
    <mergeCell ref="B63:I63"/>
    <mergeCell ref="B9:C10"/>
    <mergeCell ref="G9:G10"/>
    <mergeCell ref="I9:I10"/>
    <mergeCell ref="E55:I55"/>
    <mergeCell ref="E56:I56"/>
    <mergeCell ref="B64:I64"/>
    <mergeCell ref="B66:I67"/>
    <mergeCell ref="B68:I69"/>
    <mergeCell ref="B71:I72"/>
    <mergeCell ref="B73:I74"/>
  </mergeCells>
  <conditionalFormatting sqref="C13:C53">
    <cfRule type="cellIs" dxfId="3"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6" fitToWidth="0"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ADB3-2886-4618-BC4A-EB38938F6E9C}">
  <sheetPr codeName="Sheet57">
    <pageSetUpPr fitToPage="1"/>
  </sheetPr>
  <dimension ref="A1:W57"/>
  <sheetViews>
    <sheetView view="pageBreakPreview" zoomScaleNormal="100" zoomScaleSheetLayoutView="100" workbookViewId="0">
      <selection activeCell="D60" sqref="D60"/>
    </sheetView>
  </sheetViews>
  <sheetFormatPr baseColWidth="10" defaultColWidth="8.83203125" defaultRowHeight="15"/>
  <cols>
    <col min="1" max="1" width="3.6640625" customWidth="1"/>
    <col min="2" max="2" width="14.33203125" customWidth="1"/>
    <col min="3" max="3" width="5.33203125" customWidth="1"/>
    <col min="5" max="5" width="2.5" customWidth="1"/>
    <col min="7" max="7" width="2.5" customWidth="1"/>
    <col min="9" max="9" width="2.5" customWidth="1"/>
    <col min="11" max="11" width="2.5" customWidth="1"/>
    <col min="12" max="12" width="16.1640625" customWidth="1"/>
    <col min="13" max="13" width="2.5" customWidth="1"/>
    <col min="15" max="15" width="2.5" customWidth="1"/>
    <col min="17" max="17" width="2.5" customWidth="1"/>
  </cols>
  <sheetData>
    <row r="1" spans="1:20" ht="7.5" customHeight="1"/>
    <row r="2" spans="1:20" ht="7.5" customHeight="1"/>
    <row r="3" spans="1:20" s="404" customFormat="1" ht="16.5" customHeight="1">
      <c r="A3" s="800"/>
      <c r="B3" s="605" t="s">
        <v>942</v>
      </c>
      <c r="C3" s="1387" t="s">
        <v>943</v>
      </c>
      <c r="D3" s="1387"/>
      <c r="E3" s="1387"/>
      <c r="F3" s="1387"/>
      <c r="G3" s="1387"/>
      <c r="H3" s="1387"/>
      <c r="I3" s="1387"/>
      <c r="J3" s="1387"/>
      <c r="K3" s="1387"/>
      <c r="L3" s="1387"/>
      <c r="M3" s="1387"/>
      <c r="N3" s="1387"/>
      <c r="O3" s="1387"/>
      <c r="P3" s="1387"/>
      <c r="Q3" s="1387"/>
      <c r="R3" s="1387"/>
      <c r="S3" s="480"/>
    </row>
    <row r="4" spans="1:20" s="404" customFormat="1" ht="3.75" customHeight="1">
      <c r="A4" s="800"/>
      <c r="B4" s="975"/>
      <c r="C4" s="1387"/>
      <c r="D4" s="1387"/>
      <c r="E4" s="1387"/>
      <c r="F4" s="1387"/>
      <c r="G4" s="1387"/>
      <c r="H4" s="1387"/>
      <c r="I4" s="1387"/>
      <c r="J4" s="1387"/>
      <c r="K4" s="1387"/>
      <c r="L4" s="1387"/>
      <c r="M4" s="1387"/>
      <c r="N4" s="1387"/>
      <c r="O4" s="1387"/>
      <c r="P4" s="1387"/>
      <c r="Q4" s="1387"/>
      <c r="R4" s="1387"/>
      <c r="S4" s="480"/>
    </row>
    <row r="5" spans="1:20" s="404" customFormat="1" ht="16.5" customHeight="1">
      <c r="A5" s="480"/>
      <c r="B5" s="655" t="s">
        <v>944</v>
      </c>
      <c r="C5" s="1355" t="s">
        <v>945</v>
      </c>
      <c r="D5" s="1355"/>
      <c r="E5" s="1355"/>
      <c r="F5" s="1355"/>
      <c r="G5" s="1355"/>
      <c r="H5" s="1355"/>
      <c r="I5" s="1355"/>
      <c r="J5" s="1355"/>
      <c r="K5" s="1355"/>
      <c r="L5" s="1355"/>
      <c r="M5" s="1355"/>
      <c r="N5" s="1355"/>
      <c r="O5" s="1355"/>
      <c r="P5" s="1355"/>
      <c r="Q5" s="1355"/>
      <c r="R5" s="1355"/>
      <c r="S5" s="480"/>
    </row>
    <row r="6" spans="1:20" s="404" customFormat="1" ht="3.25" customHeight="1">
      <c r="A6" s="480"/>
      <c r="B6" s="655"/>
      <c r="C6" s="1355"/>
      <c r="D6" s="1355"/>
      <c r="E6" s="1355"/>
      <c r="F6" s="1355"/>
      <c r="G6" s="1355"/>
      <c r="H6" s="1355"/>
      <c r="I6" s="1355"/>
      <c r="J6" s="1355"/>
      <c r="K6" s="1355"/>
      <c r="L6" s="1355"/>
      <c r="M6" s="1355"/>
      <c r="N6" s="1355"/>
      <c r="O6" s="1355"/>
      <c r="P6" s="1355"/>
      <c r="Q6" s="1355"/>
      <c r="R6" s="1355"/>
      <c r="S6" s="480"/>
    </row>
    <row r="7" spans="1:20" s="404" customFormat="1" ht="15.25" customHeight="1" thickBot="1">
      <c r="A7" s="1015"/>
      <c r="B7" s="1015"/>
      <c r="C7" s="1015"/>
      <c r="D7" s="1015"/>
      <c r="E7" s="1015"/>
      <c r="F7" s="1015"/>
      <c r="G7" s="1015"/>
      <c r="H7" s="1015"/>
      <c r="I7" s="1015"/>
      <c r="J7" s="1015"/>
      <c r="K7" s="1015"/>
      <c r="L7" s="1015"/>
      <c r="M7" s="1015"/>
      <c r="N7" s="1015"/>
      <c r="O7" s="1015"/>
      <c r="P7" s="1015"/>
      <c r="Q7" s="1015"/>
      <c r="R7" s="1015"/>
      <c r="S7" s="480"/>
    </row>
    <row r="8" spans="1:20" s="404" customFormat="1" ht="5.25" customHeight="1">
      <c r="A8" s="480"/>
      <c r="B8" s="480"/>
      <c r="C8" s="480"/>
      <c r="D8" s="480"/>
      <c r="E8" s="480"/>
      <c r="F8" s="480"/>
      <c r="G8" s="480"/>
      <c r="H8" s="480"/>
      <c r="I8" s="480"/>
      <c r="J8" s="480"/>
      <c r="K8" s="480"/>
      <c r="L8" s="480"/>
      <c r="M8" s="480"/>
      <c r="N8" s="480"/>
      <c r="O8" s="480"/>
      <c r="P8" s="480"/>
      <c r="Q8" s="480"/>
      <c r="R8" s="480"/>
      <c r="S8" s="480"/>
    </row>
    <row r="9" spans="1:20" s="404" customFormat="1" ht="30" customHeight="1">
      <c r="A9" s="1016"/>
      <c r="B9" s="1388" t="s">
        <v>946</v>
      </c>
      <c r="C9" s="1388"/>
      <c r="D9" s="1390" t="s">
        <v>947</v>
      </c>
      <c r="E9" s="1390"/>
      <c r="F9" s="1390"/>
      <c r="G9" s="1390"/>
      <c r="H9" s="1390"/>
      <c r="I9" s="1390"/>
      <c r="J9" s="1390"/>
      <c r="K9" s="1390"/>
      <c r="L9" s="1390"/>
      <c r="M9" s="1390"/>
      <c r="N9" s="1390"/>
      <c r="O9" s="1390"/>
      <c r="P9" s="1390"/>
      <c r="Q9" s="1390"/>
      <c r="R9" s="1390"/>
      <c r="S9" s="1017"/>
      <c r="T9" s="1018"/>
    </row>
    <row r="10" spans="1:20" s="404" customFormat="1" ht="5.25" customHeight="1">
      <c r="A10" s="1016"/>
      <c r="B10" s="1388"/>
      <c r="C10" s="1388"/>
      <c r="D10" s="1019"/>
      <c r="E10" s="1019"/>
      <c r="F10" s="1019"/>
      <c r="G10" s="1019"/>
      <c r="H10" s="1019"/>
      <c r="I10" s="1019"/>
      <c r="J10" s="1019"/>
      <c r="K10" s="1019"/>
      <c r="L10" s="1019"/>
      <c r="M10" s="1019"/>
      <c r="N10" s="1019"/>
      <c r="O10" s="1019"/>
      <c r="P10" s="1019"/>
      <c r="Q10" s="1019"/>
      <c r="R10" s="1019"/>
      <c r="S10" s="1017"/>
      <c r="T10" s="1018"/>
    </row>
    <row r="11" spans="1:20" s="404" customFormat="1">
      <c r="A11" s="1016"/>
      <c r="B11" s="1388"/>
      <c r="C11" s="1388"/>
      <c r="D11" s="1391" t="s">
        <v>915</v>
      </c>
      <c r="E11" s="1021"/>
      <c r="F11" s="1020" t="s">
        <v>948</v>
      </c>
      <c r="G11" s="1021"/>
      <c r="H11" s="1020" t="s">
        <v>949</v>
      </c>
      <c r="I11" s="1021"/>
      <c r="J11" s="1020" t="s">
        <v>950</v>
      </c>
      <c r="K11" s="1021"/>
      <c r="L11" s="1020" t="s">
        <v>951</v>
      </c>
      <c r="M11" s="1021"/>
      <c r="N11" s="1020" t="s">
        <v>952</v>
      </c>
      <c r="O11" s="1021"/>
      <c r="P11" s="1391" t="s">
        <v>925</v>
      </c>
      <c r="Q11" s="1021"/>
      <c r="R11" s="1020" t="s">
        <v>953</v>
      </c>
      <c r="S11" s="1017"/>
      <c r="T11" s="1018"/>
    </row>
    <row r="12" spans="1:20" s="404" customFormat="1" ht="16" thickBot="1">
      <c r="A12" s="1022"/>
      <c r="B12" s="1389"/>
      <c r="C12" s="1389"/>
      <c r="D12" s="1392"/>
      <c r="E12" s="1023"/>
      <c r="F12" s="1024" t="s">
        <v>954</v>
      </c>
      <c r="G12" s="1023"/>
      <c r="H12" s="1024" t="s">
        <v>955</v>
      </c>
      <c r="I12" s="1023"/>
      <c r="J12" s="1024" t="s">
        <v>956</v>
      </c>
      <c r="K12" s="1023"/>
      <c r="L12" s="1025" t="s">
        <v>957</v>
      </c>
      <c r="M12" s="1023"/>
      <c r="N12" s="1024" t="s">
        <v>958</v>
      </c>
      <c r="O12" s="1023"/>
      <c r="P12" s="1392"/>
      <c r="Q12" s="1023"/>
      <c r="R12" s="1024" t="s">
        <v>959</v>
      </c>
      <c r="S12" s="1017"/>
      <c r="T12" s="1018"/>
    </row>
    <row r="13" spans="1:20" s="404" customFormat="1">
      <c r="B13" s="682"/>
      <c r="C13" s="1018"/>
      <c r="D13" s="1018"/>
      <c r="E13" s="1018"/>
      <c r="F13" s="1016"/>
      <c r="G13" s="1016"/>
      <c r="H13" s="1016"/>
      <c r="I13" s="1016"/>
      <c r="J13" s="1026"/>
      <c r="K13" s="1026"/>
      <c r="L13" s="1026"/>
      <c r="M13" s="1026"/>
      <c r="N13" s="1026"/>
      <c r="O13" s="1026"/>
      <c r="P13" s="1026"/>
      <c r="Q13" s="1026"/>
      <c r="R13" s="1026"/>
      <c r="T13" s="1018"/>
    </row>
    <row r="14" spans="1:20" s="404" customFormat="1" ht="15.25" customHeight="1">
      <c r="B14" s="997" t="s">
        <v>960</v>
      </c>
      <c r="C14" s="1018"/>
      <c r="D14" s="385">
        <v>12.2</v>
      </c>
      <c r="E14" s="401"/>
      <c r="F14" s="385">
        <v>2.2000000000000002</v>
      </c>
      <c r="G14" s="385"/>
      <c r="H14" s="385">
        <v>8.4</v>
      </c>
      <c r="I14" s="385"/>
      <c r="J14" s="385">
        <v>2.2000000000000002</v>
      </c>
      <c r="K14" s="395"/>
      <c r="L14" s="385">
        <v>6.6</v>
      </c>
      <c r="M14" s="395"/>
      <c r="N14" s="385">
        <v>2.6</v>
      </c>
      <c r="O14" s="395"/>
      <c r="P14" s="385">
        <v>4.2</v>
      </c>
      <c r="Q14" s="395"/>
      <c r="R14" s="385">
        <v>4.7</v>
      </c>
      <c r="T14" s="1018"/>
    </row>
    <row r="15" spans="1:20" s="404" customFormat="1" ht="15.25" customHeight="1">
      <c r="B15" s="1027"/>
      <c r="C15" s="1018"/>
      <c r="D15" s="385"/>
      <c r="E15" s="401"/>
      <c r="F15" s="385"/>
      <c r="G15" s="385"/>
      <c r="H15" s="385"/>
      <c r="I15" s="385"/>
      <c r="J15" s="385"/>
      <c r="K15" s="395"/>
      <c r="L15" s="385"/>
      <c r="M15" s="395"/>
      <c r="N15" s="385"/>
      <c r="O15" s="395"/>
      <c r="P15" s="385"/>
      <c r="Q15" s="395"/>
      <c r="R15" s="385"/>
      <c r="T15" s="1018"/>
    </row>
    <row r="16" spans="1:20" s="404" customFormat="1" ht="15.25" customHeight="1">
      <c r="B16" s="694" t="s">
        <v>250</v>
      </c>
      <c r="C16" s="480"/>
      <c r="D16" s="399">
        <v>6</v>
      </c>
      <c r="E16" s="399"/>
      <c r="F16" s="399">
        <v>1.1000000000000001</v>
      </c>
      <c r="G16" s="399"/>
      <c r="H16" s="399">
        <v>8</v>
      </c>
      <c r="I16" s="399"/>
      <c r="J16" s="399">
        <v>3.8</v>
      </c>
      <c r="K16" s="399"/>
      <c r="L16" s="399">
        <v>4.5</v>
      </c>
      <c r="M16" s="399"/>
      <c r="N16" s="399">
        <v>2.2000000000000002</v>
      </c>
      <c r="O16" s="399"/>
      <c r="P16" s="399">
        <v>2.7</v>
      </c>
      <c r="Q16" s="399"/>
      <c r="R16" s="399">
        <v>3.6</v>
      </c>
      <c r="S16" s="344"/>
      <c r="T16" s="344"/>
    </row>
    <row r="17" spans="2:20" s="404" customFormat="1" ht="15.25" customHeight="1">
      <c r="B17" s="1028"/>
      <c r="C17" s="399"/>
      <c r="D17" s="399"/>
      <c r="E17" s="399"/>
      <c r="F17" s="399"/>
      <c r="G17" s="399"/>
      <c r="H17" s="399"/>
      <c r="I17" s="399"/>
      <c r="J17" s="399"/>
      <c r="K17" s="399"/>
      <c r="L17" s="399"/>
      <c r="M17" s="399"/>
      <c r="N17" s="399"/>
      <c r="O17" s="399"/>
      <c r="P17" s="399"/>
      <c r="Q17" s="399"/>
      <c r="R17" s="399"/>
      <c r="S17" s="999"/>
      <c r="T17" s="1000"/>
    </row>
    <row r="18" spans="2:20" s="404" customFormat="1" ht="15.25" customHeight="1">
      <c r="B18" s="798" t="s">
        <v>251</v>
      </c>
      <c r="C18" s="399"/>
      <c r="D18" s="399">
        <v>5.9</v>
      </c>
      <c r="E18" s="399"/>
      <c r="F18" s="399">
        <v>1.5</v>
      </c>
      <c r="G18" s="399"/>
      <c r="H18" s="399">
        <v>7.6</v>
      </c>
      <c r="I18" s="399"/>
      <c r="J18" s="399">
        <v>2.7</v>
      </c>
      <c r="K18" s="399"/>
      <c r="L18" s="399">
        <v>5.2</v>
      </c>
      <c r="M18" s="399"/>
      <c r="N18" s="399">
        <v>2.8</v>
      </c>
      <c r="O18" s="399"/>
      <c r="P18" s="399">
        <v>3.4</v>
      </c>
      <c r="Q18" s="399"/>
      <c r="R18" s="399">
        <v>5.6</v>
      </c>
      <c r="S18" s="999"/>
      <c r="T18" s="1000"/>
    </row>
    <row r="19" spans="2:20" s="404" customFormat="1" ht="15.25" customHeight="1">
      <c r="B19" s="1028"/>
      <c r="C19" s="399"/>
      <c r="D19" s="399"/>
      <c r="E19" s="399"/>
      <c r="F19" s="399"/>
      <c r="G19" s="399"/>
      <c r="H19" s="399"/>
      <c r="I19" s="399"/>
      <c r="J19" s="399"/>
      <c r="K19" s="399"/>
      <c r="L19" s="399"/>
      <c r="M19" s="399"/>
      <c r="N19" s="399"/>
      <c r="O19" s="399"/>
      <c r="P19" s="399"/>
      <c r="Q19" s="399"/>
      <c r="R19" s="399"/>
      <c r="S19" s="999"/>
      <c r="T19" s="1000"/>
    </row>
    <row r="20" spans="2:20" s="404" customFormat="1" ht="15.25" customHeight="1">
      <c r="B20" s="694" t="s">
        <v>252</v>
      </c>
      <c r="C20" s="399"/>
      <c r="D20" s="399">
        <v>16.399999999999999</v>
      </c>
      <c r="E20" s="399"/>
      <c r="F20" s="399">
        <v>5.6</v>
      </c>
      <c r="G20" s="399"/>
      <c r="H20" s="399">
        <v>12.5</v>
      </c>
      <c r="I20" s="399"/>
      <c r="J20" s="399">
        <v>1.3</v>
      </c>
      <c r="K20" s="399"/>
      <c r="L20" s="399">
        <v>8.4</v>
      </c>
      <c r="M20" s="399"/>
      <c r="N20" s="399">
        <v>3.5</v>
      </c>
      <c r="O20" s="399"/>
      <c r="P20" s="399">
        <v>2.4</v>
      </c>
      <c r="Q20" s="399"/>
      <c r="R20" s="399">
        <v>5.4</v>
      </c>
      <c r="S20" s="999"/>
      <c r="T20" s="1000"/>
    </row>
    <row r="21" spans="2:20" s="404" customFormat="1" ht="15.25" customHeight="1">
      <c r="B21" s="1028"/>
      <c r="C21" s="399"/>
      <c r="D21" s="399"/>
      <c r="E21" s="399"/>
      <c r="F21" s="399"/>
      <c r="G21" s="399"/>
      <c r="H21" s="399"/>
      <c r="I21" s="399"/>
      <c r="J21" s="399"/>
      <c r="K21" s="399"/>
      <c r="L21" s="399"/>
      <c r="M21" s="399"/>
      <c r="N21" s="399"/>
      <c r="O21" s="399"/>
      <c r="P21" s="399"/>
      <c r="Q21" s="399"/>
      <c r="R21" s="399"/>
      <c r="S21" s="999"/>
      <c r="T21" s="1000"/>
    </row>
    <row r="22" spans="2:20" s="404" customFormat="1" ht="15.25" customHeight="1">
      <c r="B22" s="694" t="s">
        <v>253</v>
      </c>
      <c r="C22" s="399"/>
      <c r="D22" s="399">
        <v>21</v>
      </c>
      <c r="E22" s="399"/>
      <c r="F22" s="399">
        <v>2.2000000000000002</v>
      </c>
      <c r="G22" s="399"/>
      <c r="H22" s="399">
        <v>12.1</v>
      </c>
      <c r="I22" s="399"/>
      <c r="J22" s="399">
        <v>1.6</v>
      </c>
      <c r="K22" s="399"/>
      <c r="L22" s="399">
        <v>6.7</v>
      </c>
      <c r="M22" s="399"/>
      <c r="N22" s="399">
        <v>2.6</v>
      </c>
      <c r="O22" s="399"/>
      <c r="P22" s="399">
        <v>2.6</v>
      </c>
      <c r="Q22" s="399"/>
      <c r="R22" s="399">
        <v>4</v>
      </c>
      <c r="S22" s="999"/>
      <c r="T22" s="1000"/>
    </row>
    <row r="23" spans="2:20" s="404" customFormat="1" ht="15.25" customHeight="1">
      <c r="B23" s="1028"/>
      <c r="C23" s="399"/>
      <c r="D23" s="399"/>
      <c r="E23" s="399"/>
      <c r="F23" s="399"/>
      <c r="G23" s="399"/>
      <c r="H23" s="399"/>
      <c r="I23" s="399"/>
      <c r="J23" s="399"/>
      <c r="K23" s="399"/>
      <c r="L23" s="399"/>
      <c r="M23" s="399"/>
      <c r="N23" s="399"/>
      <c r="O23" s="399"/>
      <c r="P23" s="399"/>
      <c r="Q23" s="399"/>
      <c r="R23" s="399"/>
      <c r="S23" s="999"/>
      <c r="T23" s="1000"/>
    </row>
    <row r="24" spans="2:20" s="404" customFormat="1" ht="15.25" customHeight="1">
      <c r="B24" s="694" t="s">
        <v>254</v>
      </c>
      <c r="C24" s="399"/>
      <c r="D24" s="399">
        <v>6.7</v>
      </c>
      <c r="E24" s="399"/>
      <c r="F24" s="399">
        <v>2</v>
      </c>
      <c r="G24" s="399"/>
      <c r="H24" s="399">
        <v>7.5</v>
      </c>
      <c r="I24" s="399"/>
      <c r="J24" s="399">
        <v>2.2999999999999998</v>
      </c>
      <c r="K24" s="399"/>
      <c r="L24" s="399">
        <v>4.7</v>
      </c>
      <c r="M24" s="399"/>
      <c r="N24" s="399">
        <v>2.2000000000000002</v>
      </c>
      <c r="O24" s="399"/>
      <c r="P24" s="399">
        <v>2.8</v>
      </c>
      <c r="Q24" s="399"/>
      <c r="R24" s="399">
        <v>4</v>
      </c>
      <c r="S24" s="999"/>
      <c r="T24" s="1000"/>
    </row>
    <row r="25" spans="2:20" s="404" customFormat="1" ht="15.25" customHeight="1">
      <c r="B25" s="1028"/>
      <c r="C25" s="399"/>
      <c r="D25" s="399"/>
      <c r="E25" s="399"/>
      <c r="F25" s="399"/>
      <c r="G25" s="399"/>
      <c r="H25" s="399"/>
      <c r="I25" s="399"/>
      <c r="J25" s="399"/>
      <c r="K25" s="399"/>
      <c r="L25" s="399"/>
      <c r="M25" s="399"/>
      <c r="N25" s="399"/>
      <c r="O25" s="399"/>
      <c r="P25" s="399"/>
      <c r="Q25" s="399"/>
      <c r="R25" s="399"/>
      <c r="S25" s="999"/>
      <c r="T25" s="1000"/>
    </row>
    <row r="26" spans="2:20" s="404" customFormat="1" ht="15.25" customHeight="1">
      <c r="B26" s="694" t="s">
        <v>255</v>
      </c>
      <c r="C26" s="399"/>
      <c r="D26" s="399">
        <v>5.5</v>
      </c>
      <c r="E26" s="399"/>
      <c r="F26" s="399">
        <v>4.5999999999999996</v>
      </c>
      <c r="G26" s="399"/>
      <c r="H26" s="399">
        <v>7.3</v>
      </c>
      <c r="I26" s="399"/>
      <c r="J26" s="399">
        <v>1.1000000000000001</v>
      </c>
      <c r="K26" s="399"/>
      <c r="L26" s="399">
        <v>5.4</v>
      </c>
      <c r="M26" s="399"/>
      <c r="N26" s="399">
        <v>3.8</v>
      </c>
      <c r="O26" s="399"/>
      <c r="P26" s="399">
        <v>2.4</v>
      </c>
      <c r="Q26" s="399"/>
      <c r="R26" s="399">
        <v>3.1</v>
      </c>
      <c r="S26" s="999"/>
      <c r="T26" s="1000"/>
    </row>
    <row r="27" spans="2:20" s="404" customFormat="1" ht="15.25" customHeight="1">
      <c r="B27" s="1028"/>
      <c r="C27" s="399"/>
      <c r="D27" s="399"/>
      <c r="E27" s="399"/>
      <c r="F27" s="399"/>
      <c r="G27" s="399"/>
      <c r="H27" s="399"/>
      <c r="I27" s="399"/>
      <c r="J27" s="399"/>
      <c r="K27" s="399"/>
      <c r="L27" s="399"/>
      <c r="M27" s="399"/>
      <c r="N27" s="399"/>
      <c r="O27" s="399"/>
      <c r="P27" s="399"/>
      <c r="Q27" s="399"/>
      <c r="R27" s="399"/>
      <c r="S27" s="999"/>
      <c r="T27" s="1000"/>
    </row>
    <row r="28" spans="2:20" s="404" customFormat="1" ht="15.25" customHeight="1">
      <c r="B28" s="694" t="s">
        <v>256</v>
      </c>
      <c r="C28" s="399"/>
      <c r="D28" s="399">
        <v>10.199999999999999</v>
      </c>
      <c r="E28" s="399"/>
      <c r="F28" s="399">
        <v>1</v>
      </c>
      <c r="G28" s="399"/>
      <c r="H28" s="399">
        <v>8.8000000000000007</v>
      </c>
      <c r="I28" s="399"/>
      <c r="J28" s="399">
        <v>2.2000000000000002</v>
      </c>
      <c r="K28" s="399"/>
      <c r="L28" s="399">
        <v>5</v>
      </c>
      <c r="M28" s="399"/>
      <c r="N28" s="399">
        <v>2.2000000000000002</v>
      </c>
      <c r="O28" s="399"/>
      <c r="P28" s="399">
        <v>5.5</v>
      </c>
      <c r="Q28" s="399"/>
      <c r="R28" s="399">
        <v>6</v>
      </c>
      <c r="S28" s="999"/>
      <c r="T28" s="1000"/>
    </row>
    <row r="29" spans="2:20" s="404" customFormat="1" ht="15.25" customHeight="1">
      <c r="B29" s="1028"/>
      <c r="C29" s="399"/>
      <c r="D29" s="399"/>
      <c r="E29" s="399"/>
      <c r="F29" s="399"/>
      <c r="G29" s="399"/>
      <c r="H29" s="399"/>
      <c r="I29" s="399"/>
      <c r="J29" s="399"/>
      <c r="K29" s="399"/>
      <c r="L29" s="399"/>
      <c r="M29" s="399"/>
      <c r="N29" s="399"/>
      <c r="O29" s="399"/>
      <c r="P29" s="399"/>
      <c r="Q29" s="399"/>
      <c r="R29" s="399"/>
      <c r="S29" s="999"/>
      <c r="T29" s="1000"/>
    </row>
    <row r="30" spans="2:20" s="404" customFormat="1" ht="15.25" customHeight="1">
      <c r="B30" s="694" t="s">
        <v>257</v>
      </c>
      <c r="C30" s="399"/>
      <c r="D30" s="399">
        <v>17.7</v>
      </c>
      <c r="E30" s="399"/>
      <c r="F30" s="399">
        <v>2</v>
      </c>
      <c r="G30" s="399"/>
      <c r="H30" s="399">
        <v>7.9</v>
      </c>
      <c r="I30" s="399"/>
      <c r="J30" s="399">
        <v>2.4</v>
      </c>
      <c r="K30" s="399"/>
      <c r="L30" s="399">
        <v>6.9</v>
      </c>
      <c r="M30" s="399"/>
      <c r="N30" s="399">
        <v>2.2000000000000002</v>
      </c>
      <c r="O30" s="399"/>
      <c r="P30" s="399">
        <v>3.9</v>
      </c>
      <c r="Q30" s="399"/>
      <c r="R30" s="399">
        <v>4.9000000000000004</v>
      </c>
      <c r="S30" s="999"/>
      <c r="T30" s="1000"/>
    </row>
    <row r="31" spans="2:20" s="404" customFormat="1" ht="15.25" customHeight="1">
      <c r="B31" s="1028"/>
      <c r="C31" s="399"/>
      <c r="D31" s="399"/>
      <c r="E31" s="399"/>
      <c r="F31" s="399"/>
      <c r="G31" s="399"/>
      <c r="H31" s="399"/>
      <c r="I31" s="399"/>
      <c r="J31" s="399"/>
      <c r="K31" s="399"/>
      <c r="L31" s="399"/>
      <c r="M31" s="399"/>
      <c r="N31" s="399"/>
      <c r="O31" s="399"/>
      <c r="P31" s="399"/>
      <c r="Q31" s="399"/>
      <c r="R31" s="399"/>
      <c r="S31" s="999"/>
      <c r="T31" s="1000"/>
    </row>
    <row r="32" spans="2:20" s="404" customFormat="1" ht="15.25" customHeight="1">
      <c r="B32" s="694" t="s">
        <v>258</v>
      </c>
      <c r="C32" s="399"/>
      <c r="D32" s="399">
        <v>15.3</v>
      </c>
      <c r="E32" s="399"/>
      <c r="F32" s="399">
        <v>2.4</v>
      </c>
      <c r="G32" s="399"/>
      <c r="H32" s="399">
        <v>6.9</v>
      </c>
      <c r="I32" s="399"/>
      <c r="J32" s="399">
        <v>1.5</v>
      </c>
      <c r="K32" s="399"/>
      <c r="L32" s="399">
        <v>7.8</v>
      </c>
      <c r="M32" s="399"/>
      <c r="N32" s="399">
        <v>1.7</v>
      </c>
      <c r="O32" s="399"/>
      <c r="P32" s="399">
        <v>1.5</v>
      </c>
      <c r="Q32" s="399"/>
      <c r="R32" s="399">
        <v>4</v>
      </c>
      <c r="S32" s="999"/>
      <c r="T32" s="1000"/>
    </row>
    <row r="33" spans="1:20" s="404" customFormat="1" ht="15.25" customHeight="1">
      <c r="B33" s="1028"/>
      <c r="C33" s="399"/>
      <c r="D33" s="399"/>
      <c r="E33" s="399"/>
      <c r="F33" s="399"/>
      <c r="G33" s="399"/>
      <c r="H33" s="399"/>
      <c r="I33" s="399"/>
      <c r="J33" s="399"/>
      <c r="K33" s="399"/>
      <c r="L33" s="399"/>
      <c r="M33" s="399"/>
      <c r="N33" s="399"/>
      <c r="O33" s="399"/>
      <c r="P33" s="399"/>
      <c r="Q33" s="399"/>
      <c r="R33" s="399"/>
      <c r="S33" s="999"/>
      <c r="T33" s="1000"/>
    </row>
    <row r="34" spans="1:20" s="404" customFormat="1" ht="15.25" customHeight="1">
      <c r="B34" s="694" t="s">
        <v>259</v>
      </c>
      <c r="C34" s="399"/>
      <c r="D34" s="399">
        <v>11.3</v>
      </c>
      <c r="E34" s="399"/>
      <c r="F34" s="399">
        <v>2.2999999999999998</v>
      </c>
      <c r="G34" s="399"/>
      <c r="H34" s="399">
        <v>8.1</v>
      </c>
      <c r="I34" s="399"/>
      <c r="J34" s="399">
        <v>2.7</v>
      </c>
      <c r="K34" s="399"/>
      <c r="L34" s="399">
        <v>8.1999999999999993</v>
      </c>
      <c r="M34" s="399"/>
      <c r="N34" s="399">
        <v>2.5</v>
      </c>
      <c r="O34" s="399"/>
      <c r="P34" s="399">
        <v>9.1999999999999993</v>
      </c>
      <c r="Q34" s="399"/>
      <c r="R34" s="399">
        <v>5.7</v>
      </c>
      <c r="S34" s="999"/>
      <c r="T34" s="1000"/>
    </row>
    <row r="35" spans="1:20" s="404" customFormat="1" ht="15.25" customHeight="1">
      <c r="B35" s="1029"/>
      <c r="C35" s="399"/>
      <c r="D35" s="399"/>
      <c r="E35" s="399"/>
      <c r="F35" s="399"/>
      <c r="G35" s="399"/>
      <c r="H35" s="399"/>
      <c r="I35" s="399"/>
      <c r="J35" s="399"/>
      <c r="K35" s="399"/>
      <c r="L35" s="399"/>
      <c r="M35" s="399"/>
      <c r="N35" s="399"/>
      <c r="O35" s="399"/>
      <c r="P35" s="399"/>
      <c r="Q35" s="399"/>
      <c r="R35" s="399"/>
      <c r="S35" s="999"/>
      <c r="T35" s="1000"/>
    </row>
    <row r="36" spans="1:20" s="404" customFormat="1" ht="15.25" customHeight="1">
      <c r="B36" s="694" t="s">
        <v>260</v>
      </c>
      <c r="C36" s="399"/>
      <c r="D36" s="399">
        <v>10.5</v>
      </c>
      <c r="E36" s="399"/>
      <c r="F36" s="399">
        <v>4.9000000000000004</v>
      </c>
      <c r="G36" s="399"/>
      <c r="H36" s="399">
        <v>17.8</v>
      </c>
      <c r="I36" s="399"/>
      <c r="J36" s="399">
        <v>2.4</v>
      </c>
      <c r="K36" s="399"/>
      <c r="L36" s="399">
        <v>6</v>
      </c>
      <c r="M36" s="399"/>
      <c r="N36" s="399">
        <v>4.8</v>
      </c>
      <c r="O36" s="399"/>
      <c r="P36" s="399">
        <v>3.2</v>
      </c>
      <c r="Q36" s="399"/>
      <c r="R36" s="399">
        <v>4.0999999999999996</v>
      </c>
      <c r="S36" s="999"/>
      <c r="T36" s="1000"/>
    </row>
    <row r="37" spans="1:20" s="404" customFormat="1" ht="15.25" customHeight="1">
      <c r="B37" s="694"/>
      <c r="C37" s="399"/>
      <c r="D37" s="399"/>
      <c r="E37" s="399"/>
      <c r="F37" s="399"/>
      <c r="G37" s="399"/>
      <c r="H37" s="399"/>
      <c r="I37" s="399"/>
      <c r="J37" s="399"/>
      <c r="K37" s="399"/>
      <c r="L37" s="399"/>
      <c r="M37" s="399"/>
      <c r="N37" s="399"/>
      <c r="O37" s="399"/>
      <c r="P37" s="399"/>
      <c r="Q37" s="399"/>
      <c r="R37" s="399"/>
      <c r="S37" s="999"/>
      <c r="T37" s="1000"/>
    </row>
    <row r="38" spans="1:20" s="404" customFormat="1">
      <c r="B38" s="694" t="s">
        <v>261</v>
      </c>
      <c r="C38" s="399"/>
      <c r="D38" s="399">
        <v>12.8</v>
      </c>
      <c r="E38" s="399"/>
      <c r="F38" s="399">
        <v>1</v>
      </c>
      <c r="G38" s="399"/>
      <c r="H38" s="399">
        <v>3.5</v>
      </c>
      <c r="I38" s="399"/>
      <c r="J38" s="399">
        <v>0.4</v>
      </c>
      <c r="K38" s="399"/>
      <c r="L38" s="399">
        <v>7.3</v>
      </c>
      <c r="M38" s="399"/>
      <c r="N38" s="399">
        <v>2.6</v>
      </c>
      <c r="O38" s="399"/>
      <c r="P38" s="399">
        <v>1.4</v>
      </c>
      <c r="Q38" s="399"/>
      <c r="R38" s="399">
        <v>4.8</v>
      </c>
      <c r="S38" s="999"/>
      <c r="T38" s="1000"/>
    </row>
    <row r="39" spans="1:20" s="404" customFormat="1">
      <c r="B39" s="694"/>
      <c r="C39" s="399"/>
      <c r="D39" s="399"/>
      <c r="E39" s="399"/>
      <c r="F39" s="399"/>
      <c r="G39" s="399"/>
      <c r="H39" s="399"/>
      <c r="I39" s="399"/>
      <c r="J39" s="399"/>
      <c r="K39" s="399"/>
      <c r="L39" s="399"/>
      <c r="M39" s="399"/>
      <c r="N39" s="399"/>
      <c r="O39" s="399"/>
      <c r="P39" s="399"/>
      <c r="Q39" s="399"/>
      <c r="R39" s="399"/>
      <c r="S39" s="999"/>
      <c r="T39" s="1000"/>
    </row>
    <row r="40" spans="1:20" s="404" customFormat="1">
      <c r="B40" s="694" t="s">
        <v>262</v>
      </c>
      <c r="C40" s="399"/>
      <c r="D40" s="399">
        <v>17.7</v>
      </c>
      <c r="E40" s="399"/>
      <c r="F40" s="399">
        <v>0.8</v>
      </c>
      <c r="G40" s="399"/>
      <c r="H40" s="399">
        <v>10.1</v>
      </c>
      <c r="I40" s="399"/>
      <c r="J40" s="399">
        <v>1</v>
      </c>
      <c r="K40" s="399"/>
      <c r="L40" s="399">
        <v>6</v>
      </c>
      <c r="M40" s="399"/>
      <c r="N40" s="399">
        <v>2.6</v>
      </c>
      <c r="O40" s="399"/>
      <c r="P40" s="399">
        <v>1.1000000000000001</v>
      </c>
      <c r="Q40" s="399"/>
      <c r="R40" s="399">
        <v>3.2</v>
      </c>
      <c r="S40" s="999"/>
      <c r="T40" s="1000"/>
    </row>
    <row r="41" spans="1:20" s="404" customFormat="1">
      <c r="B41" s="694"/>
      <c r="C41" s="399"/>
      <c r="D41" s="399"/>
      <c r="E41" s="399"/>
      <c r="F41" s="399"/>
      <c r="G41" s="399"/>
      <c r="H41" s="399"/>
      <c r="I41" s="399"/>
      <c r="J41" s="399"/>
      <c r="K41" s="399"/>
      <c r="L41" s="399"/>
      <c r="M41" s="399"/>
      <c r="N41" s="399"/>
      <c r="O41" s="399"/>
      <c r="P41" s="399"/>
      <c r="Q41" s="399"/>
      <c r="R41" s="399"/>
      <c r="S41" s="999"/>
      <c r="T41" s="1000"/>
    </row>
    <row r="42" spans="1:20" s="404" customFormat="1">
      <c r="B42" s="694" t="s">
        <v>263</v>
      </c>
      <c r="C42" s="399"/>
      <c r="D42" s="399">
        <v>22.6</v>
      </c>
      <c r="E42" s="399"/>
      <c r="F42" s="399">
        <v>2.9</v>
      </c>
      <c r="G42" s="399"/>
      <c r="H42" s="399">
        <v>6.8</v>
      </c>
      <c r="I42" s="399"/>
      <c r="J42" s="399">
        <v>2.2999999999999998</v>
      </c>
      <c r="K42" s="399"/>
      <c r="L42" s="399">
        <v>6.3</v>
      </c>
      <c r="M42" s="399"/>
      <c r="N42" s="399">
        <v>2</v>
      </c>
      <c r="O42" s="399"/>
      <c r="P42" s="399">
        <v>3.6</v>
      </c>
      <c r="Q42" s="399"/>
      <c r="R42" s="399">
        <v>4.4000000000000004</v>
      </c>
      <c r="S42" s="999"/>
      <c r="T42" s="1000"/>
    </row>
    <row r="43" spans="1:20" s="404" customFormat="1">
      <c r="B43" s="694"/>
      <c r="C43" s="399"/>
      <c r="D43" s="399"/>
      <c r="E43" s="399"/>
      <c r="F43" s="399"/>
      <c r="G43" s="399"/>
      <c r="H43" s="399"/>
      <c r="I43" s="399"/>
      <c r="J43" s="399"/>
      <c r="K43" s="399"/>
      <c r="L43" s="399"/>
      <c r="M43" s="399"/>
      <c r="N43" s="399"/>
      <c r="O43" s="399"/>
      <c r="P43" s="399"/>
      <c r="Q43" s="399"/>
      <c r="R43" s="399"/>
      <c r="S43" s="999"/>
      <c r="T43" s="1000"/>
    </row>
    <row r="44" spans="1:20" s="404" customFormat="1">
      <c r="B44" s="694" t="s">
        <v>264</v>
      </c>
      <c r="C44" s="399"/>
      <c r="D44" s="399">
        <v>1.2</v>
      </c>
      <c r="E44" s="399"/>
      <c r="F44" s="399">
        <v>0.3</v>
      </c>
      <c r="G44" s="399"/>
      <c r="H44" s="399">
        <v>13.5</v>
      </c>
      <c r="I44" s="399"/>
      <c r="J44" s="399">
        <v>0.2</v>
      </c>
      <c r="K44" s="399"/>
      <c r="L44" s="399">
        <v>5.2</v>
      </c>
      <c r="M44" s="399"/>
      <c r="N44" s="399">
        <v>0.8</v>
      </c>
      <c r="O44" s="399"/>
      <c r="P44" s="399">
        <v>1</v>
      </c>
      <c r="Q44" s="399"/>
      <c r="R44" s="399">
        <v>3.1</v>
      </c>
      <c r="S44" s="999"/>
      <c r="T44" s="1000"/>
    </row>
    <row r="45" spans="1:20" s="404" customFormat="1">
      <c r="B45" s="694"/>
      <c r="C45" s="399"/>
      <c r="D45" s="399"/>
      <c r="E45" s="399"/>
      <c r="F45" s="399"/>
      <c r="G45" s="399"/>
      <c r="H45" s="399"/>
      <c r="I45" s="399"/>
      <c r="J45" s="399"/>
      <c r="K45" s="399"/>
      <c r="L45" s="399"/>
      <c r="M45" s="399"/>
      <c r="N45" s="399"/>
      <c r="O45" s="399"/>
      <c r="P45" s="399"/>
      <c r="Q45" s="399"/>
      <c r="R45" s="399"/>
      <c r="S45" s="999"/>
      <c r="T45" s="1000"/>
    </row>
    <row r="46" spans="1:20" s="404" customFormat="1">
      <c r="B46" s="694" t="s">
        <v>265</v>
      </c>
      <c r="C46" s="399"/>
      <c r="D46" s="399">
        <v>6.3</v>
      </c>
      <c r="E46" s="399"/>
      <c r="F46" s="399">
        <v>1.2</v>
      </c>
      <c r="G46" s="399"/>
      <c r="H46" s="399">
        <v>10</v>
      </c>
      <c r="I46" s="399"/>
      <c r="J46" s="399">
        <v>2.4</v>
      </c>
      <c r="K46" s="399"/>
      <c r="L46" s="399">
        <v>5.7</v>
      </c>
      <c r="M46" s="399"/>
      <c r="N46" s="399">
        <v>1.1000000000000001</v>
      </c>
      <c r="O46" s="399"/>
      <c r="P46" s="399">
        <v>2</v>
      </c>
      <c r="Q46" s="399"/>
      <c r="R46" s="399">
        <v>1.7</v>
      </c>
      <c r="S46" s="999"/>
      <c r="T46" s="1000"/>
    </row>
    <row r="47" spans="1:20" s="404" customFormat="1" ht="7.5" customHeight="1" thickBot="1">
      <c r="A47" s="1030"/>
      <c r="B47" s="1030"/>
      <c r="C47" s="1030"/>
      <c r="D47" s="1030"/>
      <c r="E47" s="1030"/>
      <c r="F47" s="1030"/>
      <c r="G47" s="1030"/>
      <c r="H47" s="1030"/>
      <c r="I47" s="1030"/>
      <c r="J47" s="1030"/>
      <c r="K47" s="1030"/>
      <c r="L47" s="1030"/>
      <c r="M47" s="1030"/>
      <c r="N47" s="1030"/>
      <c r="O47" s="1030"/>
      <c r="P47" s="1030"/>
      <c r="Q47" s="1030"/>
      <c r="R47" s="1030"/>
      <c r="S47" s="344"/>
      <c r="T47" s="344"/>
    </row>
    <row r="48" spans="1:20" s="404" customFormat="1" ht="13.5" customHeight="1" thickTop="1">
      <c r="A48" s="810"/>
      <c r="B48" s="810"/>
      <c r="C48" s="810"/>
      <c r="D48" s="810"/>
      <c r="E48" s="810"/>
      <c r="F48" s="810"/>
      <c r="G48" s="810"/>
      <c r="H48" s="1031"/>
      <c r="I48" s="1031"/>
      <c r="J48" s="1031"/>
      <c r="K48" s="1031"/>
      <c r="L48" s="1031"/>
      <c r="M48" s="1032"/>
      <c r="N48" s="1032"/>
      <c r="O48" s="1032"/>
      <c r="P48" s="1032"/>
      <c r="Q48" s="1032"/>
      <c r="R48" s="1032" t="s">
        <v>32</v>
      </c>
      <c r="S48" s="1033"/>
      <c r="T48" s="344"/>
    </row>
    <row r="49" spans="1:23" s="404" customFormat="1" ht="13.5" customHeight="1">
      <c r="A49" s="810"/>
      <c r="B49" s="810"/>
      <c r="C49" s="810"/>
      <c r="D49" s="810"/>
      <c r="E49" s="810"/>
      <c r="F49" s="810"/>
      <c r="G49" s="810"/>
      <c r="H49" s="1031"/>
      <c r="I49" s="1031"/>
      <c r="J49" s="1031"/>
      <c r="K49" s="1031"/>
      <c r="L49" s="1031"/>
      <c r="M49" s="1034"/>
      <c r="N49" s="1034"/>
      <c r="O49" s="1034"/>
      <c r="P49" s="1034"/>
      <c r="Q49" s="1034"/>
      <c r="R49" s="1035" t="s">
        <v>33</v>
      </c>
      <c r="S49" s="1034"/>
      <c r="T49" s="344"/>
    </row>
    <row r="50" spans="1:23" s="404" customFormat="1" ht="15.25" customHeight="1">
      <c r="A50" s="810"/>
      <c r="B50" s="1033" t="s">
        <v>501</v>
      </c>
      <c r="C50" s="810"/>
      <c r="D50" s="810"/>
      <c r="E50" s="810"/>
      <c r="F50" s="810"/>
      <c r="G50" s="810"/>
      <c r="H50" s="1031"/>
      <c r="I50" s="1031"/>
      <c r="J50" s="1031"/>
      <c r="K50" s="1031"/>
      <c r="L50" s="1031"/>
      <c r="M50" s="1031"/>
      <c r="N50" s="1031"/>
      <c r="O50" s="1031"/>
      <c r="P50" s="1031"/>
      <c r="Q50" s="1031"/>
      <c r="R50" s="1031"/>
      <c r="S50" s="1036"/>
      <c r="T50" s="344"/>
    </row>
    <row r="51" spans="1:23" s="404" customFormat="1" ht="8" customHeight="1">
      <c r="A51" s="810"/>
      <c r="B51" s="1033"/>
      <c r="C51" s="810"/>
      <c r="D51" s="810"/>
      <c r="E51" s="810"/>
      <c r="F51" s="810"/>
      <c r="G51" s="810"/>
      <c r="H51" s="1031"/>
      <c r="I51" s="1031"/>
      <c r="J51" s="1031"/>
      <c r="K51" s="1031"/>
      <c r="L51" s="1031"/>
      <c r="M51" s="1031"/>
      <c r="N51" s="1031"/>
      <c r="O51" s="1031"/>
      <c r="P51" s="1031"/>
      <c r="Q51" s="1031"/>
      <c r="R51" s="1031"/>
      <c r="S51" s="1036"/>
      <c r="T51" s="344"/>
    </row>
    <row r="52" spans="1:23" s="404" customFormat="1" ht="15.25" customHeight="1">
      <c r="A52" s="704" t="s">
        <v>35</v>
      </c>
      <c r="B52" s="1037" t="s">
        <v>961</v>
      </c>
      <c r="C52" s="810"/>
      <c r="D52" s="810"/>
      <c r="E52" s="810"/>
      <c r="F52" s="810"/>
      <c r="G52" s="810"/>
      <c r="H52" s="1031"/>
      <c r="I52" s="1031"/>
      <c r="J52" s="1031"/>
      <c r="K52" s="1031"/>
      <c r="L52" s="1031"/>
      <c r="M52" s="1031"/>
      <c r="N52" s="1031"/>
      <c r="O52" s="1031"/>
      <c r="P52" s="1031"/>
      <c r="Q52" s="1031"/>
      <c r="R52" s="1031"/>
      <c r="S52" s="1036"/>
      <c r="T52" s="344"/>
    </row>
    <row r="53" spans="1:23" s="404" customFormat="1" ht="13.5" customHeight="1">
      <c r="A53" s="703"/>
      <c r="B53" s="1038" t="s">
        <v>962</v>
      </c>
      <c r="C53" s="810"/>
      <c r="D53" s="810"/>
      <c r="E53" s="810"/>
      <c r="F53" s="810"/>
      <c r="G53" s="810"/>
      <c r="H53" s="1031"/>
      <c r="I53" s="1031"/>
      <c r="J53" s="1031"/>
      <c r="K53" s="1031"/>
      <c r="L53" s="1031"/>
      <c r="M53" s="1031"/>
      <c r="N53" s="1031"/>
      <c r="O53" s="1031"/>
      <c r="P53" s="1031"/>
      <c r="Q53" s="1031"/>
      <c r="R53" s="1031"/>
      <c r="S53" s="1036"/>
      <c r="T53" s="344"/>
    </row>
    <row r="54" spans="1:23" s="404" customFormat="1" ht="8" customHeight="1">
      <c r="A54" s="703"/>
      <c r="C54" s="810"/>
      <c r="D54" s="810"/>
      <c r="E54" s="810"/>
      <c r="F54" s="810"/>
      <c r="G54" s="810"/>
      <c r="H54" s="1031"/>
      <c r="I54" s="1031"/>
      <c r="J54" s="1031"/>
      <c r="K54" s="1031"/>
      <c r="L54" s="1031"/>
      <c r="M54" s="1031"/>
      <c r="N54" s="1031"/>
      <c r="O54" s="1031"/>
      <c r="P54" s="1031"/>
      <c r="Q54" s="1031"/>
      <c r="R54" s="1031"/>
      <c r="S54" s="1031"/>
      <c r="T54" s="344"/>
    </row>
    <row r="55" spans="1:23" s="404" customFormat="1" ht="15.25" customHeight="1">
      <c r="A55" s="704" t="s">
        <v>38</v>
      </c>
      <c r="B55" s="1039" t="s">
        <v>963</v>
      </c>
      <c r="C55" s="1039"/>
      <c r="D55" s="1039"/>
      <c r="E55" s="1039"/>
      <c r="F55" s="1039"/>
      <c r="G55" s="1039"/>
      <c r="H55" s="1039"/>
      <c r="I55" s="1039"/>
      <c r="J55" s="1039"/>
      <c r="K55" s="1039"/>
      <c r="L55" s="1039"/>
      <c r="M55" s="1039"/>
      <c r="N55" s="1039"/>
      <c r="O55" s="1039"/>
      <c r="P55" s="1039"/>
      <c r="Q55" s="1039"/>
      <c r="R55" s="1039"/>
      <c r="S55" s="1031"/>
      <c r="T55" s="344"/>
    </row>
    <row r="56" spans="1:23" s="404" customFormat="1" ht="15.25" customHeight="1">
      <c r="A56" s="703"/>
      <c r="B56" s="1040" t="s">
        <v>964</v>
      </c>
      <c r="C56" s="1041"/>
      <c r="D56" s="1041"/>
      <c r="E56" s="1041"/>
      <c r="F56" s="1041"/>
      <c r="G56" s="1041"/>
      <c r="H56" s="1041"/>
      <c r="I56" s="1041"/>
      <c r="J56" s="1041"/>
      <c r="K56" s="1041"/>
      <c r="L56" s="1041"/>
      <c r="M56" s="1041"/>
      <c r="N56" s="1041"/>
      <c r="O56" s="1041"/>
      <c r="P56" s="1041"/>
      <c r="Q56" s="1041"/>
      <c r="R56" s="1041"/>
      <c r="S56" s="1031"/>
      <c r="T56" s="1019"/>
      <c r="U56" s="1019"/>
      <c r="V56" s="344"/>
      <c r="W56" s="344"/>
    </row>
    <row r="57" spans="1:23" s="404" customFormat="1" ht="13.5" customHeight="1">
      <c r="A57" s="704"/>
      <c r="B57" s="1041"/>
      <c r="C57" s="1041"/>
      <c r="D57" s="1041"/>
      <c r="E57" s="1041"/>
      <c r="F57" s="1041"/>
      <c r="G57" s="1041"/>
      <c r="H57" s="1041"/>
      <c r="I57" s="1041"/>
      <c r="J57" s="1041"/>
      <c r="K57" s="1041"/>
      <c r="L57" s="1041"/>
      <c r="M57" s="1041"/>
      <c r="N57" s="1041"/>
      <c r="O57" s="1041"/>
      <c r="P57" s="1041"/>
      <c r="Q57" s="1041"/>
      <c r="R57" s="1041"/>
      <c r="S57" s="1042"/>
      <c r="T57" s="1042"/>
    </row>
  </sheetData>
  <mergeCells count="6">
    <mergeCell ref="C3:R4"/>
    <mergeCell ref="C5:R6"/>
    <mergeCell ref="B9:C12"/>
    <mergeCell ref="D9:R9"/>
    <mergeCell ref="D11:D12"/>
    <mergeCell ref="P11:P12"/>
  </mergeCells>
  <conditionalFormatting sqref="C17:C46">
    <cfRule type="cellIs" dxfId="2"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2"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4EBC-5532-4522-82E1-86D9A962F127}">
  <sheetPr codeName="Sheet58"/>
  <dimension ref="A1:K44"/>
  <sheetViews>
    <sheetView view="pageBreakPreview" zoomScaleNormal="100" zoomScaleSheetLayoutView="100" workbookViewId="0">
      <selection activeCell="D60" sqref="D60"/>
    </sheetView>
  </sheetViews>
  <sheetFormatPr baseColWidth="10" defaultColWidth="8.83203125" defaultRowHeight="15"/>
  <cols>
    <col min="1" max="1" width="2.33203125" customWidth="1"/>
    <col min="2" max="2" width="13" customWidth="1"/>
    <col min="3" max="3" width="31.33203125" customWidth="1"/>
    <col min="4" max="4" width="15.83203125" customWidth="1"/>
    <col min="5" max="5" width="17" customWidth="1"/>
    <col min="6" max="6" width="5.6640625" customWidth="1"/>
    <col min="7" max="7" width="4.6640625" customWidth="1"/>
    <col min="8" max="8" width="12.5" customWidth="1"/>
    <col min="9" max="9" width="13.33203125" customWidth="1"/>
    <col min="10" max="10" width="14.33203125" style="404" customWidth="1"/>
  </cols>
  <sheetData>
    <row r="1" spans="2:11" s="377" customFormat="1" ht="7.5" customHeight="1">
      <c r="F1" s="1043"/>
      <c r="G1" s="1043"/>
      <c r="H1" s="1043"/>
      <c r="I1" s="1043"/>
      <c r="J1" s="1044"/>
    </row>
    <row r="2" spans="2:11" s="1048" customFormat="1" ht="14">
      <c r="B2" s="40" t="s">
        <v>965</v>
      </c>
      <c r="C2" s="1045" t="s">
        <v>966</v>
      </c>
      <c r="D2" s="1046"/>
      <c r="E2" s="1046"/>
      <c r="F2" s="1046"/>
      <c r="G2" s="1046"/>
      <c r="H2" s="1046"/>
      <c r="I2" s="1046"/>
      <c r="J2" s="1047"/>
    </row>
    <row r="3" spans="2:11" s="1053" customFormat="1" ht="14">
      <c r="B3" s="1049" t="s">
        <v>967</v>
      </c>
      <c r="C3" s="1050" t="s">
        <v>968</v>
      </c>
      <c r="D3" s="1051"/>
      <c r="E3" s="1051"/>
      <c r="F3" s="1051"/>
      <c r="G3" s="1051"/>
      <c r="H3" s="1051"/>
      <c r="I3" s="1051"/>
      <c r="J3" s="1052"/>
    </row>
    <row r="4" spans="2:11" s="377" customFormat="1" ht="8" customHeight="1" thickBot="1">
      <c r="F4" s="1054"/>
      <c r="G4" s="1054"/>
      <c r="H4" s="1397"/>
      <c r="I4" s="1397"/>
      <c r="J4" s="1397"/>
    </row>
    <row r="5" spans="2:11" s="377" customFormat="1" ht="77" customHeight="1" thickBot="1">
      <c r="B5" s="1307" t="s">
        <v>969</v>
      </c>
      <c r="C5" s="1307"/>
      <c r="D5" s="1055" t="s">
        <v>970</v>
      </c>
      <c r="E5" s="1055" t="s">
        <v>971</v>
      </c>
      <c r="F5" s="1056"/>
      <c r="G5" s="1056"/>
      <c r="H5" s="1057" t="s">
        <v>972</v>
      </c>
      <c r="I5" s="1058" t="s">
        <v>973</v>
      </c>
      <c r="J5" s="1058" t="s">
        <v>974</v>
      </c>
      <c r="K5" s="306"/>
    </row>
    <row r="6" spans="2:11" s="377" customFormat="1" ht="19.5" customHeight="1">
      <c r="B6" s="18" t="s">
        <v>250</v>
      </c>
      <c r="C6" s="18"/>
      <c r="D6" s="1059"/>
      <c r="E6" s="308"/>
      <c r="F6" s="1060"/>
      <c r="G6" s="1060"/>
      <c r="H6" s="1060"/>
      <c r="I6" s="1061"/>
      <c r="J6" s="1062"/>
    </row>
    <row r="7" spans="2:11" s="377" customFormat="1" ht="27.25" customHeight="1">
      <c r="B7" s="1394" t="s">
        <v>975</v>
      </c>
      <c r="C7" s="1394"/>
      <c r="D7" s="1398" t="s">
        <v>976</v>
      </c>
      <c r="E7" s="674" t="s">
        <v>977</v>
      </c>
      <c r="F7" s="1063"/>
      <c r="G7" s="1064"/>
      <c r="H7" s="1065">
        <v>24.1</v>
      </c>
      <c r="I7" s="1065">
        <v>24.4</v>
      </c>
      <c r="J7" s="1065">
        <v>24.2</v>
      </c>
    </row>
    <row r="8" spans="2:11" s="377" customFormat="1" ht="27.25" customHeight="1">
      <c r="B8" s="1394"/>
      <c r="C8" s="1394"/>
      <c r="D8" s="1398"/>
      <c r="E8" s="1059" t="s">
        <v>978</v>
      </c>
      <c r="F8" s="1063"/>
      <c r="G8" s="1064"/>
      <c r="H8" s="1065">
        <v>32.5</v>
      </c>
      <c r="I8" s="1065">
        <v>32.4</v>
      </c>
      <c r="J8" s="1065">
        <v>32.1</v>
      </c>
    </row>
    <row r="9" spans="2:11" s="377" customFormat="1" ht="27.25" customHeight="1">
      <c r="B9" s="1394" t="s">
        <v>979</v>
      </c>
      <c r="C9" s="1394"/>
      <c r="D9" s="1394" t="s">
        <v>980</v>
      </c>
      <c r="E9" s="674" t="s">
        <v>977</v>
      </c>
      <c r="F9" s="1063"/>
      <c r="G9" s="1064"/>
      <c r="H9" s="1065">
        <v>23.9</v>
      </c>
      <c r="I9" s="1065">
        <v>24.1</v>
      </c>
      <c r="J9" s="1065">
        <v>23.8</v>
      </c>
    </row>
    <row r="10" spans="2:11" s="377" customFormat="1" ht="27.25" customHeight="1">
      <c r="B10" s="1394"/>
      <c r="C10" s="1394"/>
      <c r="D10" s="1394"/>
      <c r="E10" s="388" t="s">
        <v>981</v>
      </c>
      <c r="F10" s="1063"/>
      <c r="G10" s="1064"/>
      <c r="H10" s="1065">
        <v>32.299999999999997</v>
      </c>
      <c r="I10" s="1065">
        <v>31.9</v>
      </c>
      <c r="J10" s="1065">
        <v>31.7</v>
      </c>
    </row>
    <row r="11" spans="2:11" s="377" customFormat="1" ht="27.25" customHeight="1">
      <c r="B11" s="1394" t="s">
        <v>982</v>
      </c>
      <c r="C11" s="1394"/>
      <c r="D11" s="1394" t="s">
        <v>983</v>
      </c>
      <c r="E11" s="674" t="s">
        <v>977</v>
      </c>
      <c r="F11" s="1063"/>
      <c r="G11" s="1064"/>
      <c r="H11" s="1065">
        <v>24.1</v>
      </c>
      <c r="I11" s="1065">
        <v>24.2</v>
      </c>
      <c r="J11" s="1065">
        <v>23.9</v>
      </c>
    </row>
    <row r="12" spans="2:11" s="377" customFormat="1" ht="27.25" customHeight="1">
      <c r="B12" s="1394"/>
      <c r="C12" s="1394"/>
      <c r="D12" s="1394"/>
      <c r="E12" s="388" t="s">
        <v>981</v>
      </c>
      <c r="F12" s="1063"/>
      <c r="G12" s="1064"/>
      <c r="H12" s="1065">
        <v>32.5</v>
      </c>
      <c r="I12" s="1065">
        <v>31.6</v>
      </c>
      <c r="J12" s="1065">
        <v>31.4</v>
      </c>
    </row>
    <row r="13" spans="2:11" s="377" customFormat="1" ht="27.25" customHeight="1">
      <c r="B13" s="1394" t="s">
        <v>984</v>
      </c>
      <c r="C13" s="1394"/>
      <c r="D13" s="1394" t="s">
        <v>985</v>
      </c>
      <c r="E13" s="674" t="s">
        <v>977</v>
      </c>
      <c r="F13" s="1063"/>
      <c r="G13" s="1064"/>
      <c r="H13" s="1065">
        <v>24</v>
      </c>
      <c r="I13" s="1065">
        <v>24.2</v>
      </c>
      <c r="J13" s="1065">
        <v>23.9</v>
      </c>
    </row>
    <row r="14" spans="2:11" s="377" customFormat="1" ht="27.25" customHeight="1">
      <c r="B14" s="1394"/>
      <c r="C14" s="1394"/>
      <c r="D14" s="1394"/>
      <c r="E14" s="388" t="s">
        <v>981</v>
      </c>
      <c r="F14" s="1063"/>
      <c r="G14" s="1064"/>
      <c r="H14" s="1065">
        <v>32.700000000000003</v>
      </c>
      <c r="I14" s="1065">
        <v>32.4</v>
      </c>
      <c r="J14" s="1065">
        <v>32.1</v>
      </c>
    </row>
    <row r="15" spans="2:11" s="377" customFormat="1" ht="18.75" customHeight="1">
      <c r="B15" s="981" t="s">
        <v>251</v>
      </c>
      <c r="C15" s="1059"/>
      <c r="D15" s="1059"/>
      <c r="E15" s="388"/>
      <c r="F15" s="1066"/>
      <c r="G15" s="1067"/>
      <c r="H15" s="1068"/>
      <c r="I15" s="1068"/>
      <c r="J15" s="1068"/>
    </row>
    <row r="16" spans="2:11" s="377" customFormat="1" ht="27.25" customHeight="1">
      <c r="B16" s="1394" t="s">
        <v>986</v>
      </c>
      <c r="C16" s="1394"/>
      <c r="D16" s="1394" t="s">
        <v>987</v>
      </c>
      <c r="E16" s="674" t="s">
        <v>977</v>
      </c>
      <c r="F16" s="1063"/>
      <c r="G16" s="1064"/>
      <c r="H16" s="1065">
        <v>24.5</v>
      </c>
      <c r="I16" s="1065">
        <v>24.3</v>
      </c>
      <c r="J16" s="1065">
        <v>24</v>
      </c>
    </row>
    <row r="17" spans="2:10" s="377" customFormat="1" ht="27.25" customHeight="1">
      <c r="B17" s="1394"/>
      <c r="C17" s="1394"/>
      <c r="D17" s="1394"/>
      <c r="E17" s="388" t="s">
        <v>981</v>
      </c>
      <c r="F17" s="1063"/>
      <c r="G17" s="1064"/>
      <c r="H17" s="1065">
        <v>33.299999999999997</v>
      </c>
      <c r="I17" s="1065">
        <v>33</v>
      </c>
      <c r="J17" s="1065">
        <v>32.5</v>
      </c>
    </row>
    <row r="18" spans="2:10" s="377" customFormat="1" ht="27.25" customHeight="1">
      <c r="B18" s="1394" t="s">
        <v>988</v>
      </c>
      <c r="C18" s="1394"/>
      <c r="D18" s="1394" t="s">
        <v>989</v>
      </c>
      <c r="E18" s="674" t="s">
        <v>977</v>
      </c>
      <c r="F18" s="1063"/>
      <c r="G18" s="1064"/>
      <c r="H18" s="1065">
        <v>25.8</v>
      </c>
      <c r="I18" s="1065">
        <v>25.7</v>
      </c>
      <c r="J18" s="1065">
        <v>25.4</v>
      </c>
    </row>
    <row r="19" spans="2:10" s="377" customFormat="1" ht="27.25" customHeight="1">
      <c r="B19" s="1394"/>
      <c r="C19" s="1394"/>
      <c r="D19" s="1394"/>
      <c r="E19" s="388" t="s">
        <v>981</v>
      </c>
      <c r="F19" s="1063"/>
      <c r="G19" s="1064"/>
      <c r="H19" s="1065">
        <v>32.5</v>
      </c>
      <c r="I19" s="1065">
        <v>32.5</v>
      </c>
      <c r="J19" s="1065">
        <v>32</v>
      </c>
    </row>
    <row r="20" spans="2:10" s="377" customFormat="1" ht="21.25" customHeight="1">
      <c r="B20" s="981" t="s">
        <v>252</v>
      </c>
      <c r="C20" s="1059"/>
      <c r="D20" s="1059"/>
      <c r="E20" s="388"/>
      <c r="F20" s="1066"/>
      <c r="G20" s="1067"/>
      <c r="H20" s="1068"/>
      <c r="I20" s="1068"/>
      <c r="J20" s="1068"/>
    </row>
    <row r="21" spans="2:10" s="377" customFormat="1" ht="27.25" customHeight="1">
      <c r="B21" s="1394" t="s">
        <v>990</v>
      </c>
      <c r="C21" s="1394"/>
      <c r="D21" s="1394" t="s">
        <v>991</v>
      </c>
      <c r="E21" s="674" t="s">
        <v>977</v>
      </c>
      <c r="F21" s="1063"/>
      <c r="G21" s="1064"/>
      <c r="H21" s="1065">
        <v>24.2</v>
      </c>
      <c r="I21" s="1065">
        <v>24.2</v>
      </c>
      <c r="J21" s="1065">
        <v>23.9</v>
      </c>
    </row>
    <row r="22" spans="2:10" s="377" customFormat="1" ht="27.25" customHeight="1">
      <c r="B22" s="1394"/>
      <c r="C22" s="1394"/>
      <c r="D22" s="1394"/>
      <c r="E22" s="388" t="s">
        <v>981</v>
      </c>
      <c r="F22" s="1063"/>
      <c r="G22" s="1064"/>
      <c r="H22" s="1065">
        <v>32</v>
      </c>
      <c r="I22" s="1065">
        <v>31.5</v>
      </c>
      <c r="J22" s="1065">
        <v>31.3</v>
      </c>
    </row>
    <row r="23" spans="2:10" s="377" customFormat="1" ht="27.25" customHeight="1">
      <c r="B23" s="1394" t="s">
        <v>992</v>
      </c>
      <c r="C23" s="1394"/>
      <c r="D23" s="1394" t="s">
        <v>993</v>
      </c>
      <c r="E23" s="674" t="s">
        <v>977</v>
      </c>
      <c r="F23" s="1063"/>
      <c r="G23" s="1064"/>
      <c r="H23" s="1065">
        <v>24.5</v>
      </c>
      <c r="I23" s="1065">
        <v>24.6</v>
      </c>
      <c r="J23" s="1065">
        <v>24.3</v>
      </c>
    </row>
    <row r="24" spans="2:10" s="377" customFormat="1" ht="27.25" customHeight="1">
      <c r="B24" s="1394"/>
      <c r="C24" s="1394"/>
      <c r="D24" s="1394"/>
      <c r="E24" s="388" t="s">
        <v>981</v>
      </c>
      <c r="F24" s="1063"/>
      <c r="G24" s="1064"/>
      <c r="H24" s="1065">
        <v>31.9</v>
      </c>
      <c r="I24" s="1065">
        <v>31.6</v>
      </c>
      <c r="J24" s="1065">
        <v>31.2</v>
      </c>
    </row>
    <row r="25" spans="2:10" s="377" customFormat="1" ht="27.25" customHeight="1">
      <c r="B25" s="1394" t="s">
        <v>994</v>
      </c>
      <c r="C25" s="1394"/>
      <c r="D25" s="1394" t="s">
        <v>995</v>
      </c>
      <c r="E25" s="674" t="s">
        <v>977</v>
      </c>
      <c r="F25" s="1063"/>
      <c r="G25" s="1064"/>
      <c r="H25" s="1065">
        <v>23.2</v>
      </c>
      <c r="I25" s="1065">
        <v>23.5</v>
      </c>
      <c r="J25" s="1065">
        <v>23.1</v>
      </c>
    </row>
    <row r="26" spans="2:10" s="377" customFormat="1" ht="27.25" customHeight="1">
      <c r="B26" s="1394"/>
      <c r="C26" s="1394"/>
      <c r="D26" s="1394"/>
      <c r="E26" s="388" t="s">
        <v>981</v>
      </c>
      <c r="F26" s="1063"/>
      <c r="G26" s="1064"/>
      <c r="H26" s="1065">
        <v>33</v>
      </c>
      <c r="I26" s="1065">
        <v>32.9</v>
      </c>
      <c r="J26" s="1065">
        <v>32.4</v>
      </c>
    </row>
    <row r="27" spans="2:10" s="377" customFormat="1" ht="19.5" customHeight="1">
      <c r="B27" s="981" t="s">
        <v>253</v>
      </c>
      <c r="C27" s="1059"/>
      <c r="D27" s="1059"/>
      <c r="E27" s="388"/>
      <c r="F27" s="1066"/>
      <c r="G27" s="1067"/>
      <c r="H27" s="1068"/>
      <c r="I27" s="1068"/>
      <c r="J27" s="1068"/>
    </row>
    <row r="28" spans="2:10" s="377" customFormat="1" ht="27.25" customHeight="1">
      <c r="B28" s="1394" t="s">
        <v>996</v>
      </c>
      <c r="C28" s="1394"/>
      <c r="D28" s="1394" t="s">
        <v>997</v>
      </c>
      <c r="E28" s="674" t="s">
        <v>977</v>
      </c>
      <c r="F28" s="1063"/>
      <c r="G28" s="1064"/>
      <c r="H28" s="1065">
        <v>24.5</v>
      </c>
      <c r="I28" s="1065">
        <v>24</v>
      </c>
      <c r="J28" s="1065">
        <v>24.1</v>
      </c>
    </row>
    <row r="29" spans="2:10" s="377" customFormat="1" ht="27.25" customHeight="1">
      <c r="B29" s="1394"/>
      <c r="C29" s="1394"/>
      <c r="D29" s="1394"/>
      <c r="E29" s="388" t="s">
        <v>981</v>
      </c>
      <c r="F29" s="1063"/>
      <c r="G29" s="1064"/>
      <c r="H29" s="1065">
        <v>32.5</v>
      </c>
      <c r="I29" s="1065">
        <v>32.299999999999997</v>
      </c>
      <c r="J29" s="1065">
        <v>31.7</v>
      </c>
    </row>
    <row r="30" spans="2:10" s="377" customFormat="1" ht="27.25" customHeight="1">
      <c r="B30" s="981" t="s">
        <v>254</v>
      </c>
      <c r="C30" s="1059"/>
      <c r="D30" s="1059"/>
      <c r="E30" s="388"/>
      <c r="F30" s="1066"/>
      <c r="G30" s="1067"/>
      <c r="H30" s="1068"/>
      <c r="I30" s="1068"/>
      <c r="J30" s="1068"/>
    </row>
    <row r="31" spans="2:10" s="377" customFormat="1" ht="27.25" customHeight="1">
      <c r="B31" s="1394" t="s">
        <v>998</v>
      </c>
      <c r="C31" s="1394"/>
      <c r="D31" s="1394" t="s">
        <v>999</v>
      </c>
      <c r="E31" s="674" t="s">
        <v>977</v>
      </c>
      <c r="F31" s="1063"/>
      <c r="G31" s="1064"/>
      <c r="H31" s="1065">
        <v>23.1</v>
      </c>
      <c r="I31" s="1065">
        <v>25.1</v>
      </c>
      <c r="J31" s="1065">
        <v>23.2</v>
      </c>
    </row>
    <row r="32" spans="2:10" s="377" customFormat="1" ht="27.25" customHeight="1">
      <c r="B32" s="1394"/>
      <c r="C32" s="1394"/>
      <c r="D32" s="1394"/>
      <c r="E32" s="388" t="s">
        <v>981</v>
      </c>
      <c r="F32" s="1063"/>
      <c r="G32" s="1064"/>
      <c r="H32" s="1065">
        <v>32.200000000000003</v>
      </c>
      <c r="I32" s="1065">
        <v>31.9</v>
      </c>
      <c r="J32" s="1065">
        <v>32</v>
      </c>
    </row>
    <row r="33" spans="1:11" s="377" customFormat="1" ht="19.5" customHeight="1">
      <c r="B33" s="981" t="s">
        <v>255</v>
      </c>
      <c r="C33" s="1059"/>
      <c r="D33" s="1059"/>
      <c r="E33" s="388"/>
      <c r="F33" s="1066"/>
      <c r="G33" s="1067"/>
      <c r="H33" s="1068"/>
      <c r="I33" s="1068"/>
      <c r="J33" s="1068"/>
    </row>
    <row r="34" spans="1:11" s="377" customFormat="1" ht="28.5" customHeight="1">
      <c r="B34" s="1393" t="s">
        <v>1000</v>
      </c>
      <c r="C34" s="1393"/>
      <c r="D34" s="1394" t="s">
        <v>1001</v>
      </c>
      <c r="E34" s="674" t="s">
        <v>977</v>
      </c>
      <c r="F34" s="1063"/>
      <c r="G34" s="1064"/>
      <c r="H34" s="1065">
        <v>23.4</v>
      </c>
      <c r="I34" s="1065">
        <v>23.6</v>
      </c>
      <c r="J34" s="1065">
        <v>23.6</v>
      </c>
    </row>
    <row r="35" spans="1:11" s="377" customFormat="1" ht="27.25" customHeight="1">
      <c r="B35" s="1393"/>
      <c r="C35" s="1393"/>
      <c r="D35" s="1394"/>
      <c r="E35" s="388" t="s">
        <v>981</v>
      </c>
      <c r="F35" s="1063"/>
      <c r="G35" s="1064"/>
      <c r="H35" s="1065">
        <v>33.5</v>
      </c>
      <c r="I35" s="1065">
        <v>33</v>
      </c>
      <c r="J35" s="1065">
        <v>32.6</v>
      </c>
    </row>
    <row r="36" spans="1:11" s="377" customFormat="1" ht="27.25" customHeight="1">
      <c r="B36" s="1394" t="s">
        <v>1002</v>
      </c>
      <c r="C36" s="1394"/>
      <c r="D36" s="1394" t="s">
        <v>1003</v>
      </c>
      <c r="E36" s="674" t="s">
        <v>977</v>
      </c>
      <c r="F36" s="1063"/>
      <c r="G36" s="1064"/>
      <c r="H36" s="1065">
        <v>15.7</v>
      </c>
      <c r="I36" s="1065">
        <v>15.9</v>
      </c>
      <c r="J36" s="1065">
        <v>15.7</v>
      </c>
    </row>
    <row r="37" spans="1:11" s="377" customFormat="1" ht="28" customHeight="1" thickBot="1">
      <c r="B37" s="1395"/>
      <c r="C37" s="1395"/>
      <c r="D37" s="1395"/>
      <c r="E37" s="1070" t="s">
        <v>981</v>
      </c>
      <c r="F37" s="1071"/>
      <c r="G37" s="1072"/>
      <c r="H37" s="1073">
        <v>22.6</v>
      </c>
      <c r="I37" s="1073">
        <v>22.7</v>
      </c>
      <c r="J37" s="1073">
        <v>22.3</v>
      </c>
    </row>
    <row r="38" spans="1:11">
      <c r="A38" s="377"/>
      <c r="B38" s="377"/>
      <c r="C38" s="377"/>
      <c r="D38" s="377"/>
      <c r="E38" s="377"/>
      <c r="F38" s="1043"/>
      <c r="G38" s="1043"/>
      <c r="H38" s="1043"/>
      <c r="I38" s="1043"/>
      <c r="J38" s="1074" t="s">
        <v>1004</v>
      </c>
    </row>
    <row r="39" spans="1:11">
      <c r="A39" s="377"/>
      <c r="B39" s="377"/>
      <c r="C39" s="377"/>
      <c r="D39" s="377"/>
      <c r="E39" s="377"/>
      <c r="F39" s="1043"/>
      <c r="G39" s="1043"/>
      <c r="H39" s="1043"/>
      <c r="I39" s="1043"/>
      <c r="J39" s="1075" t="s">
        <v>1005</v>
      </c>
    </row>
    <row r="40" spans="1:11">
      <c r="A40" s="377"/>
      <c r="B40" s="703" t="s">
        <v>1006</v>
      </c>
      <c r="C40" s="703"/>
      <c r="D40" s="667"/>
      <c r="E40" s="377"/>
      <c r="F40" s="1043"/>
      <c r="G40" s="1043"/>
      <c r="H40" s="1043"/>
      <c r="I40" s="1043"/>
      <c r="J40" s="1044"/>
      <c r="K40" s="377"/>
    </row>
    <row r="41" spans="1:11">
      <c r="A41" s="1076" t="s">
        <v>35</v>
      </c>
      <c r="B41" s="703" t="s">
        <v>1007</v>
      </c>
      <c r="C41" s="703"/>
      <c r="D41" s="667"/>
      <c r="E41" s="377"/>
      <c r="F41" s="1043"/>
      <c r="G41" s="1043"/>
      <c r="H41" s="1043"/>
      <c r="I41" s="1043"/>
      <c r="J41" s="1044"/>
      <c r="K41" s="377"/>
    </row>
    <row r="42" spans="1:11">
      <c r="A42" s="1076" t="s">
        <v>38</v>
      </c>
      <c r="B42" s="1004" t="s">
        <v>1008</v>
      </c>
      <c r="C42" s="1004"/>
      <c r="D42" s="667"/>
      <c r="E42" s="377"/>
      <c r="F42" s="1043"/>
      <c r="G42" s="1043"/>
      <c r="H42" s="1043"/>
      <c r="I42" s="1043"/>
      <c r="J42" s="1044"/>
      <c r="K42" s="377"/>
    </row>
    <row r="43" spans="1:11" ht="15.25" customHeight="1">
      <c r="A43" s="1077" t="s">
        <v>273</v>
      </c>
      <c r="B43" s="1396" t="s">
        <v>1009</v>
      </c>
      <c r="C43" s="1396"/>
      <c r="D43" s="1396"/>
      <c r="E43" s="1396"/>
      <c r="F43" s="1396"/>
      <c r="G43" s="1396"/>
      <c r="H43" s="1396"/>
      <c r="I43" s="1396"/>
      <c r="J43" s="1396"/>
    </row>
    <row r="44" spans="1:11">
      <c r="B44" s="1078" t="s">
        <v>1010</v>
      </c>
      <c r="C44" s="1078"/>
      <c r="D44" s="1079"/>
    </row>
  </sheetData>
  <mergeCells count="29">
    <mergeCell ref="H4:J4"/>
    <mergeCell ref="B5:C5"/>
    <mergeCell ref="B7:C8"/>
    <mergeCell ref="D7:D8"/>
    <mergeCell ref="B9:C10"/>
    <mergeCell ref="D9:D10"/>
    <mergeCell ref="B11:C12"/>
    <mergeCell ref="D11:D12"/>
    <mergeCell ref="B13:C14"/>
    <mergeCell ref="D13:D14"/>
    <mergeCell ref="B16:C17"/>
    <mergeCell ref="D16:D17"/>
    <mergeCell ref="B18:C19"/>
    <mergeCell ref="D18:D19"/>
    <mergeCell ref="B21:C22"/>
    <mergeCell ref="D21:D22"/>
    <mergeCell ref="B23:C24"/>
    <mergeCell ref="D23:D24"/>
    <mergeCell ref="B25:C26"/>
    <mergeCell ref="D25:D26"/>
    <mergeCell ref="B28:C29"/>
    <mergeCell ref="D28:D29"/>
    <mergeCell ref="B31:C32"/>
    <mergeCell ref="D31:D32"/>
    <mergeCell ref="B34:C35"/>
    <mergeCell ref="D34:D35"/>
    <mergeCell ref="B36:C37"/>
    <mergeCell ref="D36:D37"/>
    <mergeCell ref="B43:J43"/>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2D29-C923-4A83-AA28-F5FDFDB9E8BA}">
  <sheetPr codeName="Sheet59"/>
  <dimension ref="A1:K46"/>
  <sheetViews>
    <sheetView view="pageBreakPreview" topLeftCell="A37" zoomScale="90" zoomScaleNormal="100" zoomScaleSheetLayoutView="90" workbookViewId="0">
      <selection activeCell="D60" sqref="D60"/>
    </sheetView>
  </sheetViews>
  <sheetFormatPr baseColWidth="10" defaultColWidth="8.83203125" defaultRowHeight="15"/>
  <cols>
    <col min="1" max="1" width="2.5" customWidth="1"/>
    <col min="2" max="2" width="12.6640625" customWidth="1"/>
    <col min="3" max="3" width="33.6640625" customWidth="1"/>
    <col min="4" max="4" width="17.83203125" customWidth="1"/>
    <col min="5" max="5" width="14.1640625" customWidth="1"/>
    <col min="6" max="6" width="7.6640625" customWidth="1"/>
    <col min="7" max="7" width="12.6640625" customWidth="1"/>
    <col min="8" max="8" width="11.6640625" customWidth="1"/>
    <col min="9" max="9" width="13.6640625" style="404" customWidth="1"/>
  </cols>
  <sheetData>
    <row r="1" spans="2:9" s="377" customFormat="1" ht="9.25" customHeight="1">
      <c r="F1" s="1043"/>
      <c r="G1" s="1043"/>
      <c r="H1" s="1043"/>
      <c r="I1" s="1044"/>
    </row>
    <row r="2" spans="2:9" s="377" customFormat="1" ht="16.25" customHeight="1">
      <c r="B2" s="40" t="s">
        <v>965</v>
      </c>
      <c r="C2" s="1045" t="s">
        <v>1011</v>
      </c>
      <c r="D2" s="1080"/>
      <c r="E2" s="1080"/>
      <c r="F2" s="1080"/>
      <c r="G2" s="1080"/>
      <c r="H2" s="1080"/>
      <c r="I2" s="975"/>
    </row>
    <row r="3" spans="2:9" s="377" customFormat="1" ht="14">
      <c r="B3" s="1049" t="s">
        <v>967</v>
      </c>
      <c r="C3" s="1050" t="s">
        <v>1012</v>
      </c>
      <c r="D3" s="1051"/>
      <c r="E3" s="1051"/>
      <c r="F3" s="1051"/>
      <c r="G3" s="1051"/>
      <c r="H3" s="1051"/>
      <c r="I3" s="1052"/>
    </row>
    <row r="4" spans="2:9" s="377" customFormat="1" ht="8" customHeight="1" thickBot="1">
      <c r="F4" s="1054"/>
      <c r="G4" s="1397"/>
      <c r="H4" s="1397"/>
      <c r="I4" s="1397"/>
    </row>
    <row r="5" spans="2:9" s="377" customFormat="1" ht="77" customHeight="1" thickBot="1">
      <c r="B5" s="1307" t="s">
        <v>969</v>
      </c>
      <c r="C5" s="1307"/>
      <c r="D5" s="1081" t="s">
        <v>970</v>
      </c>
      <c r="E5" s="1055" t="s">
        <v>971</v>
      </c>
      <c r="F5" s="1056"/>
      <c r="G5" s="1057" t="s">
        <v>972</v>
      </c>
      <c r="H5" s="1058" t="s">
        <v>973</v>
      </c>
      <c r="I5" s="1058" t="s">
        <v>974</v>
      </c>
    </row>
    <row r="6" spans="2:9" s="377" customFormat="1" ht="18" customHeight="1">
      <c r="B6" s="981" t="s">
        <v>255</v>
      </c>
      <c r="C6" s="981"/>
      <c r="D6" s="1059"/>
      <c r="E6" s="308"/>
      <c r="F6" s="1060"/>
      <c r="G6" s="1060"/>
      <c r="H6" s="1060"/>
      <c r="I6" s="1062"/>
    </row>
    <row r="7" spans="2:9" s="377" customFormat="1" ht="27.25" customHeight="1">
      <c r="B7" s="1394" t="s">
        <v>1013</v>
      </c>
      <c r="C7" s="1394"/>
      <c r="D7" s="1398" t="s">
        <v>1014</v>
      </c>
      <c r="E7" s="674" t="s">
        <v>977</v>
      </c>
      <c r="F7" s="1064"/>
      <c r="G7" s="1065">
        <v>23.8</v>
      </c>
      <c r="H7" s="1065">
        <v>24.1</v>
      </c>
      <c r="I7" s="1065">
        <v>23.9</v>
      </c>
    </row>
    <row r="8" spans="2:9" s="377" customFormat="1" ht="27.25" customHeight="1">
      <c r="B8" s="1394"/>
      <c r="C8" s="1394"/>
      <c r="D8" s="1398"/>
      <c r="E8" s="1059" t="s">
        <v>978</v>
      </c>
      <c r="F8" s="1064"/>
      <c r="G8" s="1065">
        <v>32.5</v>
      </c>
      <c r="H8" s="1065">
        <v>32.299999999999997</v>
      </c>
      <c r="I8" s="1065">
        <v>31.9</v>
      </c>
    </row>
    <row r="9" spans="2:9" s="377" customFormat="1" ht="27.25" customHeight="1">
      <c r="B9" s="1394" t="s">
        <v>1015</v>
      </c>
      <c r="C9" s="1394"/>
      <c r="D9" s="1398" t="s">
        <v>1016</v>
      </c>
      <c r="E9" s="674" t="s">
        <v>977</v>
      </c>
      <c r="F9" s="1064"/>
      <c r="G9" s="1065">
        <v>23.5</v>
      </c>
      <c r="H9" s="1065">
        <v>23.7</v>
      </c>
      <c r="I9" s="1065">
        <v>23.4</v>
      </c>
    </row>
    <row r="10" spans="2:9" s="377" customFormat="1" ht="27.25" customHeight="1">
      <c r="B10" s="1394"/>
      <c r="C10" s="1394"/>
      <c r="D10" s="1398"/>
      <c r="E10" s="1059" t="s">
        <v>978</v>
      </c>
      <c r="F10" s="1064"/>
      <c r="G10" s="1065">
        <v>33</v>
      </c>
      <c r="H10" s="1065">
        <v>32.4</v>
      </c>
      <c r="I10" s="1065">
        <v>32.200000000000003</v>
      </c>
    </row>
    <row r="11" spans="2:9" s="377" customFormat="1" ht="27.25" customHeight="1">
      <c r="B11" s="1394" t="s">
        <v>1017</v>
      </c>
      <c r="C11" s="1394"/>
      <c r="D11" s="1398" t="s">
        <v>1018</v>
      </c>
      <c r="E11" s="674" t="s">
        <v>977</v>
      </c>
      <c r="F11" s="1064"/>
      <c r="G11" s="1065">
        <v>23.8</v>
      </c>
      <c r="H11" s="1065">
        <v>24</v>
      </c>
      <c r="I11" s="1065">
        <v>23.7</v>
      </c>
    </row>
    <row r="12" spans="2:9" s="377" customFormat="1" ht="27.25" customHeight="1">
      <c r="B12" s="1394"/>
      <c r="C12" s="1394"/>
      <c r="D12" s="1398"/>
      <c r="E12" s="1059" t="s">
        <v>978</v>
      </c>
      <c r="F12" s="1064"/>
      <c r="G12" s="1065">
        <v>33.9</v>
      </c>
      <c r="H12" s="1065">
        <v>33.4</v>
      </c>
      <c r="I12" s="1065">
        <v>33.200000000000003</v>
      </c>
    </row>
    <row r="13" spans="2:9" s="377" customFormat="1" ht="20.25" customHeight="1">
      <c r="B13" s="311" t="s">
        <v>256</v>
      </c>
      <c r="C13" s="1059"/>
      <c r="D13" s="1059"/>
      <c r="E13" s="388"/>
      <c r="F13" s="1067"/>
      <c r="G13" s="1068"/>
      <c r="H13" s="1068"/>
      <c r="I13" s="1068"/>
    </row>
    <row r="14" spans="2:9" s="377" customFormat="1" ht="27.25" customHeight="1">
      <c r="B14" s="1394" t="s">
        <v>1019</v>
      </c>
      <c r="C14" s="1394"/>
      <c r="D14" s="1394" t="s">
        <v>1020</v>
      </c>
      <c r="E14" s="674" t="s">
        <v>977</v>
      </c>
      <c r="F14" s="1064"/>
      <c r="G14" s="1065">
        <v>25.5</v>
      </c>
      <c r="H14" s="1065">
        <v>25.4</v>
      </c>
      <c r="I14" s="1065">
        <v>25.1</v>
      </c>
    </row>
    <row r="15" spans="2:9" s="377" customFormat="1" ht="27.25" customHeight="1">
      <c r="B15" s="1394"/>
      <c r="C15" s="1394"/>
      <c r="D15" s="1394"/>
      <c r="E15" s="1059" t="s">
        <v>978</v>
      </c>
      <c r="F15" s="1064"/>
      <c r="G15" s="1065">
        <v>32.700000000000003</v>
      </c>
      <c r="H15" s="1065">
        <v>32.200000000000003</v>
      </c>
      <c r="I15" s="1065">
        <v>32</v>
      </c>
    </row>
    <row r="16" spans="2:9" s="377" customFormat="1" ht="27.25" customHeight="1">
      <c r="B16" s="1394" t="s">
        <v>1021</v>
      </c>
      <c r="C16" s="1394"/>
      <c r="D16" s="1394" t="s">
        <v>1022</v>
      </c>
      <c r="E16" s="674" t="s">
        <v>977</v>
      </c>
      <c r="F16" s="1064"/>
      <c r="G16" s="1065">
        <v>24.7</v>
      </c>
      <c r="H16" s="1065">
        <v>24.8</v>
      </c>
      <c r="I16" s="1065">
        <v>24.5</v>
      </c>
    </row>
    <row r="17" spans="1:11" s="377" customFormat="1" ht="27.25" customHeight="1">
      <c r="B17" s="1394"/>
      <c r="C17" s="1394"/>
      <c r="D17" s="1394"/>
      <c r="E17" s="1059" t="s">
        <v>978</v>
      </c>
      <c r="F17" s="1064"/>
      <c r="G17" s="1065">
        <v>32.4</v>
      </c>
      <c r="H17" s="1065">
        <v>32.1</v>
      </c>
      <c r="I17" s="1065">
        <v>31.8</v>
      </c>
    </row>
    <row r="18" spans="1:11" s="377" customFormat="1" ht="18.75" customHeight="1">
      <c r="B18" s="981" t="s">
        <v>257</v>
      </c>
      <c r="C18" s="1059"/>
      <c r="D18" s="1059"/>
      <c r="E18" s="388"/>
      <c r="F18" s="1067"/>
      <c r="G18" s="1068"/>
      <c r="H18" s="1068"/>
      <c r="I18" s="1068"/>
    </row>
    <row r="19" spans="1:11" s="377" customFormat="1" ht="27.25" customHeight="1">
      <c r="B19" s="1394" t="s">
        <v>1023</v>
      </c>
      <c r="C19" s="1394"/>
      <c r="D19" s="1398" t="s">
        <v>1024</v>
      </c>
      <c r="E19" s="674" t="s">
        <v>977</v>
      </c>
      <c r="F19" s="1064"/>
      <c r="G19" s="1065">
        <v>24.3</v>
      </c>
      <c r="H19" s="1065">
        <v>24.3</v>
      </c>
      <c r="I19" s="1065">
        <v>23.9</v>
      </c>
    </row>
    <row r="20" spans="1:11" s="377" customFormat="1" ht="27.25" customHeight="1">
      <c r="B20" s="1394"/>
      <c r="C20" s="1394"/>
      <c r="D20" s="1398"/>
      <c r="E20" s="1059" t="s">
        <v>978</v>
      </c>
      <c r="F20" s="1064"/>
      <c r="G20" s="1065">
        <v>33.4</v>
      </c>
      <c r="H20" s="1065">
        <v>33</v>
      </c>
      <c r="I20" s="1065">
        <v>32.799999999999997</v>
      </c>
    </row>
    <row r="21" spans="1:11" s="377" customFormat="1" ht="27.25" customHeight="1">
      <c r="B21" s="1394" t="s">
        <v>1025</v>
      </c>
      <c r="C21" s="1394"/>
      <c r="D21" s="1398" t="s">
        <v>1026</v>
      </c>
      <c r="E21" s="674" t="s">
        <v>977</v>
      </c>
      <c r="F21" s="1064"/>
      <c r="G21" s="1065">
        <v>23.9</v>
      </c>
      <c r="H21" s="1065">
        <v>24</v>
      </c>
      <c r="I21" s="1065">
        <v>23.3</v>
      </c>
    </row>
    <row r="22" spans="1:11" s="377" customFormat="1" ht="27.25" customHeight="1">
      <c r="B22" s="1394"/>
      <c r="C22" s="1394"/>
      <c r="D22" s="1398"/>
      <c r="E22" s="1059" t="s">
        <v>978</v>
      </c>
      <c r="F22" s="1064"/>
      <c r="G22" s="1065">
        <v>33.6</v>
      </c>
      <c r="H22" s="1065">
        <v>33.299999999999997</v>
      </c>
      <c r="I22" s="1065">
        <v>32.799999999999997</v>
      </c>
    </row>
    <row r="23" spans="1:11" s="377" customFormat="1" ht="27.25" customHeight="1">
      <c r="B23" s="1394" t="s">
        <v>1027</v>
      </c>
      <c r="C23" s="1394"/>
      <c r="D23" s="1394" t="s">
        <v>1028</v>
      </c>
      <c r="E23" s="674" t="s">
        <v>977</v>
      </c>
      <c r="F23" s="1064"/>
      <c r="G23" s="1065">
        <v>24.4</v>
      </c>
      <c r="H23" s="1065">
        <v>24.5</v>
      </c>
      <c r="I23" s="1065">
        <v>24.1</v>
      </c>
    </row>
    <row r="24" spans="1:11" s="377" customFormat="1" ht="27.25" customHeight="1">
      <c r="B24" s="1394"/>
      <c r="C24" s="1394"/>
      <c r="D24" s="1394"/>
      <c r="E24" s="1059" t="s">
        <v>978</v>
      </c>
      <c r="F24" s="1064"/>
      <c r="G24" s="1065">
        <v>33.1</v>
      </c>
      <c r="H24" s="1065">
        <v>32.6</v>
      </c>
      <c r="I24" s="1065">
        <v>32.700000000000003</v>
      </c>
    </row>
    <row r="25" spans="1:11" s="377" customFormat="1" ht="20.25" customHeight="1">
      <c r="B25" s="981" t="s">
        <v>258</v>
      </c>
      <c r="C25" s="1059"/>
      <c r="D25" s="1059"/>
      <c r="E25" s="388"/>
      <c r="F25" s="1067"/>
      <c r="G25" s="1068"/>
      <c r="H25" s="1068"/>
      <c r="I25" s="1068"/>
    </row>
    <row r="26" spans="1:11" s="377" customFormat="1" ht="27.25" customHeight="1">
      <c r="B26" s="1394" t="s">
        <v>1029</v>
      </c>
      <c r="C26" s="1394"/>
      <c r="D26" s="1394" t="s">
        <v>1030</v>
      </c>
      <c r="E26" s="674" t="s">
        <v>977</v>
      </c>
      <c r="F26" s="1064"/>
      <c r="G26" s="1065">
        <v>24.2</v>
      </c>
      <c r="H26" s="1065">
        <v>24.3</v>
      </c>
      <c r="I26" s="1065">
        <v>24.1</v>
      </c>
    </row>
    <row r="27" spans="1:11" s="377" customFormat="1" ht="27.25" customHeight="1">
      <c r="B27" s="1394"/>
      <c r="C27" s="1394"/>
      <c r="D27" s="1394"/>
      <c r="E27" s="1059" t="s">
        <v>978</v>
      </c>
      <c r="F27" s="1064"/>
      <c r="G27" s="1065">
        <v>33.4</v>
      </c>
      <c r="H27" s="1065">
        <v>33.200000000000003</v>
      </c>
      <c r="I27" s="1065">
        <v>32.799999999999997</v>
      </c>
    </row>
    <row r="28" spans="1:11" ht="23.25" customHeight="1">
      <c r="A28" s="377"/>
      <c r="B28" s="311" t="s">
        <v>259</v>
      </c>
      <c r="C28" s="674"/>
      <c r="D28" s="1059"/>
      <c r="E28" s="388"/>
      <c r="F28" s="1066"/>
      <c r="G28" s="1067"/>
      <c r="H28" s="1068"/>
      <c r="I28" s="1068"/>
      <c r="J28" s="1082"/>
      <c r="K28" s="377"/>
    </row>
    <row r="29" spans="1:11" ht="27.25" customHeight="1">
      <c r="A29" s="377"/>
      <c r="B29" s="1394" t="s">
        <v>1031</v>
      </c>
      <c r="C29" s="1394"/>
      <c r="D29" s="1394" t="s">
        <v>1032</v>
      </c>
      <c r="E29" s="674" t="s">
        <v>977</v>
      </c>
      <c r="F29" s="1063"/>
      <c r="G29" s="1065">
        <v>25.5</v>
      </c>
      <c r="H29" s="1065">
        <v>25.5</v>
      </c>
      <c r="I29" s="1065">
        <v>25.3</v>
      </c>
      <c r="J29" s="1083"/>
      <c r="K29" s="377"/>
    </row>
    <row r="30" spans="1:11" ht="27.25" customHeight="1">
      <c r="A30" s="377"/>
      <c r="B30" s="1394"/>
      <c r="C30" s="1394"/>
      <c r="D30" s="1394"/>
      <c r="E30" s="1059" t="s">
        <v>978</v>
      </c>
      <c r="F30" s="1063"/>
      <c r="G30" s="1065">
        <v>33.5</v>
      </c>
      <c r="H30" s="1065">
        <v>33.299999999999997</v>
      </c>
      <c r="I30" s="1065">
        <v>33.1</v>
      </c>
      <c r="J30" s="1083"/>
      <c r="K30" s="377"/>
    </row>
    <row r="31" spans="1:11" ht="27.25" customHeight="1">
      <c r="A31" s="377"/>
      <c r="B31" s="1394" t="s">
        <v>1033</v>
      </c>
      <c r="C31" s="1394"/>
      <c r="D31" s="1394" t="s">
        <v>1032</v>
      </c>
      <c r="E31" s="674" t="s">
        <v>977</v>
      </c>
      <c r="F31" s="1063"/>
      <c r="G31" s="1065">
        <v>24.9</v>
      </c>
      <c r="H31" s="1065">
        <v>25.1</v>
      </c>
      <c r="I31" s="1065">
        <v>24.6</v>
      </c>
      <c r="J31" s="1083"/>
      <c r="K31" s="377"/>
    </row>
    <row r="32" spans="1:11" ht="27.25" customHeight="1">
      <c r="A32" s="377"/>
      <c r="B32" s="1394"/>
      <c r="C32" s="1394"/>
      <c r="D32" s="1394"/>
      <c r="E32" s="1059" t="s">
        <v>978</v>
      </c>
      <c r="F32" s="1063"/>
      <c r="G32" s="1065">
        <v>33.6</v>
      </c>
      <c r="H32" s="1065">
        <v>33.5</v>
      </c>
      <c r="I32" s="1065">
        <v>33.1</v>
      </c>
      <c r="J32" s="1083"/>
      <c r="K32" s="377"/>
    </row>
    <row r="33" spans="1:11" ht="27.25" customHeight="1">
      <c r="A33" s="377"/>
      <c r="B33" s="1394" t="s">
        <v>1034</v>
      </c>
      <c r="C33" s="1394"/>
      <c r="D33" s="1394" t="s">
        <v>1035</v>
      </c>
      <c r="E33" s="674" t="s">
        <v>977</v>
      </c>
      <c r="F33" s="1063"/>
      <c r="G33" s="1065">
        <v>24.9</v>
      </c>
      <c r="H33" s="1065">
        <v>25.1</v>
      </c>
      <c r="I33" s="1065">
        <v>24.6</v>
      </c>
      <c r="J33" s="1083"/>
      <c r="K33" s="377"/>
    </row>
    <row r="34" spans="1:11" ht="27.25" customHeight="1">
      <c r="A34" s="377"/>
      <c r="B34" s="1394"/>
      <c r="C34" s="1394"/>
      <c r="D34" s="1394"/>
      <c r="E34" s="1059" t="s">
        <v>978</v>
      </c>
      <c r="F34" s="1063"/>
      <c r="G34" s="1065">
        <v>33.6</v>
      </c>
      <c r="H34" s="1065">
        <v>33.5</v>
      </c>
      <c r="I34" s="1065">
        <v>33.1</v>
      </c>
      <c r="J34" s="1083"/>
      <c r="K34" s="377"/>
    </row>
    <row r="35" spans="1:11" ht="19.5" customHeight="1">
      <c r="A35" s="377"/>
      <c r="B35" s="311" t="s">
        <v>260</v>
      </c>
      <c r="C35" s="674"/>
      <c r="D35" s="1059"/>
      <c r="E35" s="388"/>
      <c r="F35" s="1066"/>
      <c r="G35" s="1068"/>
      <c r="H35" s="1068"/>
      <c r="I35" s="1068"/>
      <c r="J35" s="1082"/>
      <c r="K35" s="377"/>
    </row>
    <row r="36" spans="1:11" ht="27.25" customHeight="1">
      <c r="A36" s="377"/>
      <c r="B36" s="1394" t="s">
        <v>1036</v>
      </c>
      <c r="C36" s="1394"/>
      <c r="D36" s="1394" t="s">
        <v>1037</v>
      </c>
      <c r="E36" s="674" t="s">
        <v>977</v>
      </c>
      <c r="F36" s="1063"/>
      <c r="G36" s="1065">
        <v>23.9</v>
      </c>
      <c r="H36" s="1065">
        <v>24.1</v>
      </c>
      <c r="I36" s="1065">
        <v>23.8</v>
      </c>
      <c r="J36" s="1083"/>
      <c r="K36" s="377"/>
    </row>
    <row r="37" spans="1:11" ht="27.25" customHeight="1">
      <c r="A37" s="377"/>
      <c r="B37" s="1394"/>
      <c r="C37" s="1394"/>
      <c r="D37" s="1394"/>
      <c r="E37" s="1059" t="s">
        <v>978</v>
      </c>
      <c r="F37" s="1063"/>
      <c r="G37" s="1065">
        <v>31.4</v>
      </c>
      <c r="H37" s="1065">
        <v>31.3</v>
      </c>
      <c r="I37" s="1065">
        <v>31</v>
      </c>
      <c r="J37" s="1083"/>
      <c r="K37" s="377"/>
    </row>
    <row r="38" spans="1:11" ht="27.25" customHeight="1">
      <c r="A38" s="377"/>
      <c r="B38" s="1394" t="s">
        <v>1038</v>
      </c>
      <c r="C38" s="1394"/>
      <c r="D38" s="1394" t="s">
        <v>1039</v>
      </c>
      <c r="E38" s="674" t="s">
        <v>977</v>
      </c>
      <c r="F38" s="1063"/>
      <c r="G38" s="1065">
        <v>24.8</v>
      </c>
      <c r="H38" s="1065">
        <v>24.9</v>
      </c>
      <c r="I38" s="1065">
        <v>24.5</v>
      </c>
      <c r="J38" s="1083"/>
      <c r="K38" s="377"/>
    </row>
    <row r="39" spans="1:11" ht="28" customHeight="1" thickBot="1">
      <c r="A39" s="377"/>
      <c r="B39" s="1395"/>
      <c r="C39" s="1395"/>
      <c r="D39" s="1395"/>
      <c r="E39" s="1084" t="s">
        <v>978</v>
      </c>
      <c r="F39" s="1071"/>
      <c r="G39" s="1073">
        <v>31.9</v>
      </c>
      <c r="H39" s="1073">
        <v>31.5</v>
      </c>
      <c r="I39" s="1073">
        <v>31.3</v>
      </c>
      <c r="J39" s="1083"/>
      <c r="K39" s="377"/>
    </row>
    <row r="40" spans="1:11">
      <c r="A40" s="377"/>
      <c r="B40" s="377"/>
      <c r="C40" s="377"/>
      <c r="D40" s="377"/>
      <c r="E40" s="377"/>
      <c r="F40" s="1043"/>
      <c r="G40" s="1043"/>
      <c r="H40" s="1043"/>
      <c r="I40" s="1074" t="s">
        <v>1004</v>
      </c>
    </row>
    <row r="41" spans="1:11">
      <c r="A41" s="377"/>
      <c r="B41" s="377"/>
      <c r="C41" s="377"/>
      <c r="D41" s="377"/>
      <c r="E41" s="377"/>
      <c r="F41" s="1043"/>
      <c r="G41" s="1043"/>
      <c r="H41" s="1043"/>
      <c r="I41" s="1075" t="s">
        <v>1005</v>
      </c>
    </row>
    <row r="42" spans="1:11">
      <c r="A42" s="377"/>
      <c r="B42" s="703" t="s">
        <v>1006</v>
      </c>
      <c r="C42" s="703"/>
      <c r="D42" s="667"/>
      <c r="E42" s="377"/>
      <c r="F42" s="1043"/>
      <c r="G42" s="1043"/>
      <c r="H42" s="1043"/>
      <c r="I42" s="1044"/>
      <c r="J42" s="377"/>
    </row>
    <row r="43" spans="1:11">
      <c r="A43" s="1076" t="s">
        <v>35</v>
      </c>
      <c r="B43" s="703" t="s">
        <v>1007</v>
      </c>
      <c r="C43" s="703"/>
      <c r="D43" s="667"/>
      <c r="E43" s="377"/>
      <c r="F43" s="1043"/>
      <c r="G43" s="1043"/>
      <c r="H43" s="1043"/>
      <c r="I43" s="1044"/>
      <c r="J43" s="377"/>
    </row>
    <row r="44" spans="1:11">
      <c r="A44" s="1076" t="s">
        <v>38</v>
      </c>
      <c r="B44" s="1004" t="s">
        <v>1008</v>
      </c>
      <c r="C44" s="1004"/>
      <c r="D44" s="667"/>
      <c r="E44" s="377"/>
      <c r="F44" s="1043"/>
      <c r="G44" s="1043"/>
      <c r="H44" s="1043"/>
      <c r="I44" s="1044"/>
      <c r="J44" s="377"/>
    </row>
    <row r="45" spans="1:11" ht="14.75" customHeight="1">
      <c r="A45" s="1077" t="s">
        <v>273</v>
      </c>
      <c r="B45" s="1396" t="s">
        <v>1009</v>
      </c>
      <c r="C45" s="1396"/>
      <c r="D45" s="1396"/>
      <c r="E45" s="1396"/>
      <c r="F45" s="1396"/>
      <c r="G45" s="1396"/>
      <c r="H45" s="1396"/>
      <c r="I45" s="1396"/>
    </row>
    <row r="46" spans="1:11">
      <c r="B46" s="1078" t="s">
        <v>1010</v>
      </c>
      <c r="C46" s="1078"/>
      <c r="D46" s="1079"/>
    </row>
  </sheetData>
  <mergeCells count="31">
    <mergeCell ref="G4:I4"/>
    <mergeCell ref="B5:C5"/>
    <mergeCell ref="B7:C8"/>
    <mergeCell ref="D7:D8"/>
    <mergeCell ref="B9:C10"/>
    <mergeCell ref="D9:D10"/>
    <mergeCell ref="B11:C12"/>
    <mergeCell ref="D11:D12"/>
    <mergeCell ref="B14:C15"/>
    <mergeCell ref="D14:D15"/>
    <mergeCell ref="B16:C17"/>
    <mergeCell ref="D16:D17"/>
    <mergeCell ref="B19:C20"/>
    <mergeCell ref="D19:D20"/>
    <mergeCell ref="B21:C22"/>
    <mergeCell ref="D21:D22"/>
    <mergeCell ref="B23:C24"/>
    <mergeCell ref="D23:D24"/>
    <mergeCell ref="B26:C27"/>
    <mergeCell ref="D26:D27"/>
    <mergeCell ref="B29:C30"/>
    <mergeCell ref="D29:D30"/>
    <mergeCell ref="B31:C32"/>
    <mergeCell ref="D31:D32"/>
    <mergeCell ref="B45:I45"/>
    <mergeCell ref="B33:C34"/>
    <mergeCell ref="D33:D34"/>
    <mergeCell ref="B36:C37"/>
    <mergeCell ref="D36:D37"/>
    <mergeCell ref="B38:C39"/>
    <mergeCell ref="D38:D39"/>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8A78-8F1A-448C-BF09-184C9BD76278}">
  <sheetPr codeName="Sheet60"/>
  <dimension ref="A1:K43"/>
  <sheetViews>
    <sheetView view="pageBreakPreview" topLeftCell="A31" zoomScale="90" zoomScaleNormal="100" zoomScaleSheetLayoutView="90" workbookViewId="0">
      <selection activeCell="D60" sqref="D60"/>
    </sheetView>
  </sheetViews>
  <sheetFormatPr baseColWidth="10" defaultColWidth="8.83203125" defaultRowHeight="15"/>
  <cols>
    <col min="1" max="1" width="2.6640625" customWidth="1"/>
    <col min="2" max="2" width="12.6640625" customWidth="1"/>
    <col min="3" max="3" width="30.1640625" customWidth="1"/>
    <col min="4" max="4" width="15.83203125" customWidth="1"/>
    <col min="5" max="5" width="14.83203125" customWidth="1"/>
    <col min="6" max="6" width="6.5" customWidth="1"/>
    <col min="7" max="7" width="8.5" customWidth="1"/>
    <col min="8" max="8" width="11.5" customWidth="1"/>
    <col min="9" max="9" width="13.1640625" customWidth="1"/>
    <col min="10" max="10" width="13.1640625" style="404" customWidth="1"/>
  </cols>
  <sheetData>
    <row r="1" spans="1:11" ht="9.25" customHeight="1">
      <c r="A1" s="377"/>
      <c r="B1" s="377"/>
      <c r="C1" s="377"/>
      <c r="D1" s="377"/>
      <c r="E1" s="377"/>
      <c r="F1" s="1043"/>
      <c r="G1" s="1043"/>
      <c r="H1" s="1043"/>
      <c r="I1" s="1043"/>
      <c r="J1" s="1044"/>
      <c r="K1" s="377"/>
    </row>
    <row r="2" spans="1:11">
      <c r="A2" s="377"/>
      <c r="B2" s="40" t="s">
        <v>965</v>
      </c>
      <c r="C2" s="1045" t="s">
        <v>1011</v>
      </c>
      <c r="D2" s="1080"/>
      <c r="E2" s="1080"/>
      <c r="F2" s="1080"/>
      <c r="G2" s="1080"/>
      <c r="H2" s="1080"/>
      <c r="I2" s="1080"/>
      <c r="J2" s="975"/>
      <c r="K2" s="377"/>
    </row>
    <row r="3" spans="1:11">
      <c r="A3" s="377"/>
      <c r="B3" s="1049" t="s">
        <v>967</v>
      </c>
      <c r="C3" s="1050" t="s">
        <v>1012</v>
      </c>
      <c r="D3" s="1051"/>
      <c r="E3" s="1051"/>
      <c r="F3" s="1051"/>
      <c r="G3" s="1051"/>
      <c r="H3" s="1051"/>
      <c r="I3" s="1051"/>
      <c r="J3" s="1052"/>
      <c r="K3" s="377"/>
    </row>
    <row r="4" spans="1:11" ht="8" customHeight="1" thickBot="1">
      <c r="A4" s="377"/>
      <c r="B4" s="377"/>
      <c r="C4" s="377"/>
      <c r="D4" s="377"/>
      <c r="E4" s="377"/>
      <c r="F4" s="1054"/>
      <c r="G4" s="1054"/>
      <c r="H4" s="1397"/>
      <c r="I4" s="1397"/>
      <c r="J4" s="1397"/>
      <c r="K4" s="377"/>
    </row>
    <row r="5" spans="1:11" s="377" customFormat="1" ht="77" customHeight="1" thickBot="1">
      <c r="B5" s="1307" t="s">
        <v>969</v>
      </c>
      <c r="C5" s="1307"/>
      <c r="D5" s="1081" t="s">
        <v>970</v>
      </c>
      <c r="E5" s="1055" t="s">
        <v>971</v>
      </c>
      <c r="F5" s="1056"/>
      <c r="G5" s="1056"/>
      <c r="H5" s="1057" t="s">
        <v>972</v>
      </c>
      <c r="I5" s="1058" t="s">
        <v>973</v>
      </c>
      <c r="J5" s="1058" t="s">
        <v>974</v>
      </c>
    </row>
    <row r="6" spans="1:11" s="377" customFormat="1" ht="19.5" customHeight="1">
      <c r="B6" s="311" t="s">
        <v>261</v>
      </c>
      <c r="C6" s="981"/>
      <c r="D6" s="1059"/>
      <c r="E6" s="308"/>
      <c r="F6" s="1060"/>
      <c r="G6" s="1060"/>
      <c r="H6" s="1060"/>
      <c r="I6" s="1060"/>
      <c r="J6" s="1062"/>
    </row>
    <row r="7" spans="1:11" s="377" customFormat="1" ht="27.25" customHeight="1">
      <c r="B7" s="1394" t="s">
        <v>1040</v>
      </c>
      <c r="C7" s="1394"/>
      <c r="D7" s="1394" t="s">
        <v>1041</v>
      </c>
      <c r="E7" s="674" t="s">
        <v>977</v>
      </c>
      <c r="F7" s="1063"/>
      <c r="G7" s="1064"/>
      <c r="H7" s="1065">
        <v>23.7</v>
      </c>
      <c r="I7" s="1065">
        <v>23.8</v>
      </c>
      <c r="J7" s="1065">
        <v>23.6</v>
      </c>
    </row>
    <row r="8" spans="1:11" s="377" customFormat="1" ht="27.25" customHeight="1">
      <c r="B8" s="1394"/>
      <c r="C8" s="1394"/>
      <c r="D8" s="1394"/>
      <c r="E8" s="1059" t="s">
        <v>978</v>
      </c>
      <c r="F8" s="1063"/>
      <c r="G8" s="1064"/>
      <c r="H8" s="1065">
        <v>32.1</v>
      </c>
      <c r="I8" s="1065">
        <v>31.8</v>
      </c>
      <c r="J8" s="1065">
        <v>31.5</v>
      </c>
    </row>
    <row r="9" spans="1:11" s="377" customFormat="1" ht="27.25" customHeight="1">
      <c r="B9" s="1394" t="s">
        <v>1042</v>
      </c>
      <c r="C9" s="1394"/>
      <c r="D9" s="1394" t="s">
        <v>1043</v>
      </c>
      <c r="E9" s="674" t="s">
        <v>977</v>
      </c>
      <c r="F9" s="1063"/>
      <c r="G9" s="1064"/>
      <c r="H9" s="1065">
        <v>23.7</v>
      </c>
      <c r="I9" s="1065">
        <v>23.8</v>
      </c>
      <c r="J9" s="1065">
        <v>23.6</v>
      </c>
    </row>
    <row r="10" spans="1:11" s="377" customFormat="1" ht="27.25" customHeight="1">
      <c r="B10" s="1394"/>
      <c r="C10" s="1394"/>
      <c r="D10" s="1394"/>
      <c r="E10" s="1059" t="s">
        <v>978</v>
      </c>
      <c r="F10" s="1063"/>
      <c r="G10" s="1064"/>
      <c r="H10" s="1065">
        <v>32.1</v>
      </c>
      <c r="I10" s="1065">
        <v>31.8</v>
      </c>
      <c r="J10" s="1065">
        <v>31.5</v>
      </c>
    </row>
    <row r="11" spans="1:11" s="377" customFormat="1" ht="27.25" customHeight="1">
      <c r="B11" s="1394" t="s">
        <v>1044</v>
      </c>
      <c r="C11" s="1394"/>
      <c r="D11" s="1394" t="s">
        <v>1045</v>
      </c>
      <c r="E11" s="674" t="s">
        <v>977</v>
      </c>
      <c r="F11" s="1063"/>
      <c r="G11" s="1064"/>
      <c r="H11" s="1065">
        <v>23.7</v>
      </c>
      <c r="I11" s="1065">
        <v>23.8</v>
      </c>
      <c r="J11" s="1065">
        <v>23.6</v>
      </c>
    </row>
    <row r="12" spans="1:11" s="377" customFormat="1" ht="27.25" customHeight="1">
      <c r="B12" s="1394"/>
      <c r="C12" s="1394"/>
      <c r="D12" s="1394"/>
      <c r="E12" s="1059" t="s">
        <v>978</v>
      </c>
      <c r="F12" s="1063"/>
      <c r="G12" s="1064"/>
      <c r="H12" s="1065">
        <v>32.1</v>
      </c>
      <c r="I12" s="1065">
        <v>31.8</v>
      </c>
      <c r="J12" s="1065">
        <v>31.5</v>
      </c>
    </row>
    <row r="13" spans="1:11" s="377" customFormat="1" ht="27.25" customHeight="1">
      <c r="B13" s="1394" t="s">
        <v>1046</v>
      </c>
      <c r="C13" s="1394"/>
      <c r="D13" s="1394" t="s">
        <v>1047</v>
      </c>
      <c r="E13" s="674" t="s">
        <v>977</v>
      </c>
      <c r="F13" s="1063"/>
      <c r="G13" s="1064"/>
      <c r="H13" s="1065">
        <v>23.7</v>
      </c>
      <c r="I13" s="1065">
        <v>23.8</v>
      </c>
      <c r="J13" s="1065">
        <v>23.6</v>
      </c>
    </row>
    <row r="14" spans="1:11" s="377" customFormat="1" ht="27.25" customHeight="1">
      <c r="B14" s="1394"/>
      <c r="C14" s="1394"/>
      <c r="D14" s="1394"/>
      <c r="E14" s="1059" t="s">
        <v>978</v>
      </c>
      <c r="F14" s="1063"/>
      <c r="G14" s="1064"/>
      <c r="H14" s="1065">
        <v>32.1</v>
      </c>
      <c r="I14" s="1065">
        <v>31.8</v>
      </c>
      <c r="J14" s="1065">
        <v>31.5</v>
      </c>
    </row>
    <row r="15" spans="1:11" s="377" customFormat="1" ht="27.25" customHeight="1">
      <c r="B15" s="1394" t="s">
        <v>1048</v>
      </c>
      <c r="C15" s="1394"/>
      <c r="D15" s="1394" t="s">
        <v>1049</v>
      </c>
      <c r="E15" s="674" t="s">
        <v>977</v>
      </c>
      <c r="F15" s="1063"/>
      <c r="G15" s="1064"/>
      <c r="H15" s="1065">
        <v>23.7</v>
      </c>
      <c r="I15" s="1065">
        <v>23.8</v>
      </c>
      <c r="J15" s="1065">
        <v>23.6</v>
      </c>
    </row>
    <row r="16" spans="1:11" s="377" customFormat="1" ht="27.25" customHeight="1">
      <c r="B16" s="1394"/>
      <c r="C16" s="1394"/>
      <c r="D16" s="1394"/>
      <c r="E16" s="1059" t="s">
        <v>978</v>
      </c>
      <c r="F16" s="1063"/>
      <c r="G16" s="1064"/>
      <c r="H16" s="1065">
        <v>32.1</v>
      </c>
      <c r="I16" s="1065">
        <v>31.8</v>
      </c>
      <c r="J16" s="1065">
        <v>31.5</v>
      </c>
    </row>
    <row r="17" spans="1:11" s="377" customFormat="1" ht="27.25" customHeight="1">
      <c r="B17" s="1394" t="s">
        <v>1050</v>
      </c>
      <c r="C17" s="1394"/>
      <c r="D17" s="1394" t="s">
        <v>1051</v>
      </c>
      <c r="E17" s="674" t="s">
        <v>977</v>
      </c>
      <c r="F17" s="1063"/>
      <c r="G17" s="1064"/>
      <c r="H17" s="1065">
        <v>23.7</v>
      </c>
      <c r="I17" s="1065">
        <v>23.8</v>
      </c>
      <c r="J17" s="1065">
        <v>23.6</v>
      </c>
    </row>
    <row r="18" spans="1:11" s="377" customFormat="1" ht="27.25" customHeight="1">
      <c r="B18" s="1394"/>
      <c r="C18" s="1394"/>
      <c r="D18" s="1394"/>
      <c r="E18" s="1059" t="s">
        <v>978</v>
      </c>
      <c r="F18" s="1063"/>
      <c r="G18" s="1064"/>
      <c r="H18" s="1065">
        <v>32.1</v>
      </c>
      <c r="I18" s="1065">
        <v>31.8</v>
      </c>
      <c r="J18" s="1065">
        <v>31.5</v>
      </c>
    </row>
    <row r="19" spans="1:11" ht="21.25" customHeight="1">
      <c r="A19" s="377"/>
      <c r="B19" s="981" t="s">
        <v>262</v>
      </c>
      <c r="C19" s="1059"/>
      <c r="D19" s="1059"/>
      <c r="E19" s="388"/>
      <c r="F19" s="1066"/>
      <c r="G19" s="1067"/>
      <c r="H19" s="1068"/>
      <c r="I19" s="1068"/>
      <c r="J19" s="1068"/>
      <c r="K19" s="377"/>
    </row>
    <row r="20" spans="1:11" ht="27.25" customHeight="1">
      <c r="A20" s="377"/>
      <c r="B20" s="1394" t="s">
        <v>1052</v>
      </c>
      <c r="C20" s="1394"/>
      <c r="D20" s="1394" t="s">
        <v>1053</v>
      </c>
      <c r="E20" s="674" t="s">
        <v>977</v>
      </c>
      <c r="F20" s="1063"/>
      <c r="G20" s="1064"/>
      <c r="H20" s="1065">
        <v>24</v>
      </c>
      <c r="I20" s="1065">
        <v>24.2</v>
      </c>
      <c r="J20" s="1065">
        <v>23.8</v>
      </c>
      <c r="K20" s="377"/>
    </row>
    <row r="21" spans="1:11" ht="27.25" customHeight="1">
      <c r="A21" s="377"/>
      <c r="B21" s="1394"/>
      <c r="C21" s="1394"/>
      <c r="D21" s="1394"/>
      <c r="E21" s="1059" t="s">
        <v>978</v>
      </c>
      <c r="F21" s="1063"/>
      <c r="G21" s="1064"/>
      <c r="H21" s="1065">
        <v>32</v>
      </c>
      <c r="I21" s="1065">
        <v>31.8</v>
      </c>
      <c r="J21" s="1065">
        <v>31.9</v>
      </c>
      <c r="K21" s="377"/>
    </row>
    <row r="22" spans="1:11" ht="27.25" customHeight="1">
      <c r="A22" s="377"/>
      <c r="B22" s="1394" t="s">
        <v>1054</v>
      </c>
      <c r="C22" s="1394"/>
      <c r="D22" s="1394" t="s">
        <v>1055</v>
      </c>
      <c r="E22" s="674" t="s">
        <v>977</v>
      </c>
      <c r="F22" s="1063"/>
      <c r="G22" s="1064"/>
      <c r="H22" s="1065">
        <v>24.2</v>
      </c>
      <c r="I22" s="1065">
        <v>24.3</v>
      </c>
      <c r="J22" s="1065">
        <v>23.9</v>
      </c>
      <c r="K22" s="377"/>
    </row>
    <row r="23" spans="1:11" ht="27.25" customHeight="1">
      <c r="A23" s="377"/>
      <c r="B23" s="1394"/>
      <c r="C23" s="1394"/>
      <c r="D23" s="1394"/>
      <c r="E23" s="1059" t="s">
        <v>978</v>
      </c>
      <c r="F23" s="1063"/>
      <c r="G23" s="1064"/>
      <c r="H23" s="1065">
        <v>33.4</v>
      </c>
      <c r="I23" s="1065">
        <v>32.9</v>
      </c>
      <c r="J23" s="1065">
        <v>32.799999999999997</v>
      </c>
      <c r="K23" s="377"/>
    </row>
    <row r="24" spans="1:11" ht="27.25" customHeight="1">
      <c r="A24" s="377"/>
      <c r="B24" s="1394" t="s">
        <v>1056</v>
      </c>
      <c r="C24" s="1394"/>
      <c r="D24" s="1394" t="s">
        <v>1057</v>
      </c>
      <c r="E24" s="674" t="s">
        <v>977</v>
      </c>
      <c r="F24" s="1063"/>
      <c r="G24" s="1064"/>
      <c r="H24" s="1065">
        <v>24.1</v>
      </c>
      <c r="I24" s="1065">
        <v>24</v>
      </c>
      <c r="J24" s="1065">
        <v>23.6</v>
      </c>
      <c r="K24" s="377"/>
    </row>
    <row r="25" spans="1:11" ht="27.25" customHeight="1">
      <c r="A25" s="377"/>
      <c r="B25" s="1394"/>
      <c r="C25" s="1394"/>
      <c r="D25" s="1394"/>
      <c r="E25" s="1059" t="s">
        <v>978</v>
      </c>
      <c r="F25" s="1063"/>
      <c r="G25" s="1064"/>
      <c r="H25" s="1065">
        <v>32.5</v>
      </c>
      <c r="I25" s="1065">
        <v>32</v>
      </c>
      <c r="J25" s="1065">
        <v>32</v>
      </c>
      <c r="K25" s="377"/>
    </row>
    <row r="26" spans="1:11" ht="27.25" customHeight="1">
      <c r="A26" s="377"/>
      <c r="B26" s="1394" t="s">
        <v>1058</v>
      </c>
      <c r="C26" s="1394"/>
      <c r="D26" s="1394" t="s">
        <v>1059</v>
      </c>
      <c r="E26" s="674" t="s">
        <v>977</v>
      </c>
      <c r="F26" s="1063"/>
      <c r="G26" s="1064"/>
      <c r="H26" s="1065">
        <v>23.7</v>
      </c>
      <c r="I26" s="1065">
        <v>23.8</v>
      </c>
      <c r="J26" s="1065">
        <v>23.6</v>
      </c>
      <c r="K26" s="377"/>
    </row>
    <row r="27" spans="1:11" ht="27.25" customHeight="1">
      <c r="A27" s="377"/>
      <c r="B27" s="1394"/>
      <c r="C27" s="1394"/>
      <c r="D27" s="1394"/>
      <c r="E27" s="1059" t="s">
        <v>978</v>
      </c>
      <c r="F27" s="1063"/>
      <c r="G27" s="1064"/>
      <c r="H27" s="1065">
        <v>33.299999999999997</v>
      </c>
      <c r="I27" s="1065">
        <v>32.9</v>
      </c>
      <c r="J27" s="1065">
        <v>32.5</v>
      </c>
      <c r="K27" s="377"/>
    </row>
    <row r="28" spans="1:11" ht="27.25" customHeight="1">
      <c r="A28" s="377"/>
      <c r="B28" s="1394" t="s">
        <v>1060</v>
      </c>
      <c r="C28" s="1394"/>
      <c r="D28" s="1394" t="s">
        <v>1061</v>
      </c>
      <c r="E28" s="674" t="s">
        <v>977</v>
      </c>
      <c r="F28" s="1063"/>
      <c r="G28" s="1064"/>
      <c r="H28" s="1065">
        <v>24</v>
      </c>
      <c r="I28" s="1065">
        <v>24.3</v>
      </c>
      <c r="J28" s="1065">
        <v>24</v>
      </c>
      <c r="K28" s="377"/>
    </row>
    <row r="29" spans="1:11" ht="27.25" customHeight="1">
      <c r="A29" s="377"/>
      <c r="B29" s="1394"/>
      <c r="C29" s="1394"/>
      <c r="D29" s="1394"/>
      <c r="E29" s="1059" t="s">
        <v>978</v>
      </c>
      <c r="F29" s="1063"/>
      <c r="G29" s="1064"/>
      <c r="H29" s="1065">
        <v>31.7</v>
      </c>
      <c r="I29" s="1065">
        <v>31.6</v>
      </c>
      <c r="J29" s="1065">
        <v>31.3</v>
      </c>
      <c r="K29" s="377"/>
    </row>
    <row r="30" spans="1:11" ht="27.25" customHeight="1">
      <c r="A30" s="377"/>
      <c r="B30" s="1394" t="s">
        <v>1062</v>
      </c>
      <c r="C30" s="1394"/>
      <c r="D30" s="1394" t="s">
        <v>1061</v>
      </c>
      <c r="E30" s="674" t="s">
        <v>977</v>
      </c>
      <c r="F30" s="1063"/>
      <c r="G30" s="1064"/>
      <c r="H30" s="1065">
        <v>23.3</v>
      </c>
      <c r="I30" s="1065">
        <v>23.5</v>
      </c>
      <c r="J30" s="1065">
        <v>23.1</v>
      </c>
      <c r="K30" s="377"/>
    </row>
    <row r="31" spans="1:11" ht="27.25" customHeight="1">
      <c r="A31" s="377"/>
      <c r="B31" s="1394"/>
      <c r="C31" s="1394"/>
      <c r="D31" s="1394"/>
      <c r="E31" s="1059" t="s">
        <v>978</v>
      </c>
      <c r="F31" s="1063"/>
      <c r="G31" s="1064"/>
      <c r="H31" s="1065">
        <v>33.5</v>
      </c>
      <c r="I31" s="1065">
        <v>32.9</v>
      </c>
      <c r="J31" s="1065">
        <v>32.9</v>
      </c>
      <c r="K31" s="377"/>
    </row>
    <row r="32" spans="1:11" ht="27.25" customHeight="1">
      <c r="A32" s="377"/>
      <c r="B32" s="1394" t="s">
        <v>1063</v>
      </c>
      <c r="C32" s="1394"/>
      <c r="D32" s="1394" t="s">
        <v>1064</v>
      </c>
      <c r="E32" s="674" t="s">
        <v>977</v>
      </c>
      <c r="F32" s="1063"/>
      <c r="G32" s="1064"/>
      <c r="H32" s="1065">
        <v>23.3</v>
      </c>
      <c r="I32" s="1065">
        <v>23.5</v>
      </c>
      <c r="J32" s="1065">
        <v>23.1</v>
      </c>
      <c r="K32" s="377"/>
    </row>
    <row r="33" spans="1:11" ht="27.25" customHeight="1">
      <c r="A33" s="377"/>
      <c r="B33" s="1394"/>
      <c r="C33" s="1394"/>
      <c r="D33" s="1394"/>
      <c r="E33" s="1059" t="s">
        <v>978</v>
      </c>
      <c r="F33" s="1063"/>
      <c r="G33" s="1064"/>
      <c r="H33" s="1065">
        <v>33.5</v>
      </c>
      <c r="I33" s="1065">
        <v>32.9</v>
      </c>
      <c r="J33" s="1065">
        <v>32.9</v>
      </c>
      <c r="K33" s="377"/>
    </row>
    <row r="34" spans="1:11" ht="27.25" customHeight="1">
      <c r="A34" s="377"/>
      <c r="B34" s="1394" t="s">
        <v>1065</v>
      </c>
      <c r="C34" s="1394"/>
      <c r="D34" s="1394" t="s">
        <v>1066</v>
      </c>
      <c r="E34" s="674" t="s">
        <v>977</v>
      </c>
      <c r="F34" s="1063"/>
      <c r="G34" s="1064"/>
      <c r="H34" s="1065">
        <v>23.4</v>
      </c>
      <c r="I34" s="1065">
        <v>23.6</v>
      </c>
      <c r="J34" s="1065">
        <v>23.2</v>
      </c>
      <c r="K34" s="377"/>
    </row>
    <row r="35" spans="1:11" ht="31.5" customHeight="1" thickBot="1">
      <c r="A35" s="377"/>
      <c r="B35" s="1395"/>
      <c r="C35" s="1395"/>
      <c r="D35" s="1395"/>
      <c r="E35" s="1084" t="s">
        <v>978</v>
      </c>
      <c r="F35" s="1071"/>
      <c r="G35" s="1072"/>
      <c r="H35" s="1073">
        <v>33.200000000000003</v>
      </c>
      <c r="I35" s="1073">
        <v>32.4</v>
      </c>
      <c r="J35" s="1073">
        <v>32.299999999999997</v>
      </c>
      <c r="K35" s="377"/>
    </row>
    <row r="36" spans="1:11">
      <c r="A36" s="377"/>
      <c r="B36" s="377"/>
      <c r="C36" s="377"/>
      <c r="D36" s="377"/>
      <c r="E36" s="377"/>
      <c r="F36" s="1043"/>
      <c r="G36" s="1043"/>
      <c r="H36" s="1043"/>
      <c r="I36" s="1043"/>
      <c r="J36" s="1074" t="s">
        <v>1004</v>
      </c>
    </row>
    <row r="37" spans="1:11">
      <c r="A37" s="377"/>
      <c r="B37" s="377"/>
      <c r="C37" s="377"/>
      <c r="D37" s="377"/>
      <c r="E37" s="377"/>
      <c r="F37" s="1043"/>
      <c r="G37" s="1043"/>
      <c r="H37" s="1043"/>
      <c r="I37" s="1043"/>
      <c r="J37" s="1075" t="s">
        <v>1005</v>
      </c>
    </row>
    <row r="38" spans="1:11" ht="7.5" customHeight="1">
      <c r="A38" s="377"/>
      <c r="B38" s="377"/>
      <c r="C38" s="377"/>
      <c r="D38" s="377"/>
      <c r="E38" s="377"/>
      <c r="F38" s="1043"/>
      <c r="G38" s="1043"/>
      <c r="H38" s="1043"/>
      <c r="I38" s="1043"/>
      <c r="J38" s="1044"/>
      <c r="K38" s="377"/>
    </row>
    <row r="39" spans="1:11">
      <c r="A39" s="377"/>
      <c r="B39" s="703" t="s">
        <v>1006</v>
      </c>
      <c r="C39" s="703"/>
      <c r="D39" s="667"/>
      <c r="E39" s="377"/>
      <c r="F39" s="1043"/>
      <c r="G39" s="1043"/>
      <c r="H39" s="1043"/>
      <c r="I39" s="1043"/>
      <c r="J39" s="1044"/>
      <c r="K39" s="377"/>
    </row>
    <row r="40" spans="1:11">
      <c r="A40" s="1076" t="s">
        <v>35</v>
      </c>
      <c r="B40" s="703" t="s">
        <v>1007</v>
      </c>
      <c r="C40" s="703"/>
      <c r="D40" s="667"/>
      <c r="E40" s="377"/>
      <c r="F40" s="1043"/>
      <c r="G40" s="1043"/>
      <c r="H40" s="1043"/>
      <c r="I40" s="1043"/>
      <c r="J40" s="1044"/>
      <c r="K40" s="377"/>
    </row>
    <row r="41" spans="1:11">
      <c r="A41" s="1076" t="s">
        <v>38</v>
      </c>
      <c r="B41" s="1004" t="s">
        <v>1008</v>
      </c>
      <c r="C41" s="1004"/>
      <c r="D41" s="667"/>
      <c r="E41" s="377"/>
      <c r="F41" s="1043"/>
      <c r="G41" s="1043"/>
      <c r="H41" s="1043"/>
      <c r="I41" s="1043"/>
      <c r="J41" s="1044"/>
      <c r="K41" s="377"/>
    </row>
    <row r="42" spans="1:11" ht="24" customHeight="1">
      <c r="A42" s="1085" t="s">
        <v>273</v>
      </c>
      <c r="B42" s="1399" t="s">
        <v>1067</v>
      </c>
      <c r="C42" s="1399"/>
      <c r="D42" s="1399"/>
      <c r="E42" s="1399"/>
      <c r="F42" s="1399"/>
      <c r="G42" s="1399"/>
      <c r="H42" s="1399"/>
      <c r="I42" s="1399"/>
      <c r="J42" s="1399"/>
    </row>
    <row r="43" spans="1:11">
      <c r="B43" s="1078"/>
      <c r="C43" s="1078"/>
      <c r="D43" s="1079"/>
    </row>
  </sheetData>
  <mergeCells count="31">
    <mergeCell ref="H4:J4"/>
    <mergeCell ref="B5:C5"/>
    <mergeCell ref="B7:C8"/>
    <mergeCell ref="D7:D8"/>
    <mergeCell ref="B9:C10"/>
    <mergeCell ref="D9:D10"/>
    <mergeCell ref="B11:C12"/>
    <mergeCell ref="D11:D12"/>
    <mergeCell ref="B13:C14"/>
    <mergeCell ref="D13:D14"/>
    <mergeCell ref="B15:C16"/>
    <mergeCell ref="D15:D16"/>
    <mergeCell ref="B17:C18"/>
    <mergeCell ref="D17:D18"/>
    <mergeCell ref="B20:C21"/>
    <mergeCell ref="D20:D21"/>
    <mergeCell ref="B22:C23"/>
    <mergeCell ref="D22:D23"/>
    <mergeCell ref="B24:C25"/>
    <mergeCell ref="D24:D25"/>
    <mergeCell ref="B26:C27"/>
    <mergeCell ref="D26:D27"/>
    <mergeCell ref="B28:C29"/>
    <mergeCell ref="D28:D29"/>
    <mergeCell ref="B42:J42"/>
    <mergeCell ref="B30:C31"/>
    <mergeCell ref="D30:D31"/>
    <mergeCell ref="B32:C33"/>
    <mergeCell ref="D32:D33"/>
    <mergeCell ref="B34:C35"/>
    <mergeCell ref="D34:D35"/>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A3CB-C3E1-4A5B-9520-211F83527C24}">
  <sheetPr codeName="Sheet61">
    <pageSetUpPr fitToPage="1"/>
  </sheetPr>
  <dimension ref="A1:J17"/>
  <sheetViews>
    <sheetView view="pageBreakPreview" zoomScale="90" zoomScaleNormal="100" zoomScaleSheetLayoutView="90" workbookViewId="0">
      <selection activeCell="D60" sqref="D60"/>
    </sheetView>
  </sheetViews>
  <sheetFormatPr baseColWidth="10" defaultColWidth="8.83203125" defaultRowHeight="15"/>
  <cols>
    <col min="1" max="1" width="2.33203125" customWidth="1"/>
    <col min="2" max="2" width="12.5" customWidth="1"/>
    <col min="3" max="3" width="32.5" customWidth="1"/>
    <col min="4" max="4" width="11.83203125" customWidth="1"/>
    <col min="5" max="5" width="14" customWidth="1"/>
    <col min="6" max="6" width="19.1640625" customWidth="1"/>
    <col min="7" max="7" width="10.6640625" customWidth="1"/>
    <col min="8" max="8" width="12.5" customWidth="1"/>
    <col min="9" max="9" width="11.6640625" style="404" customWidth="1"/>
  </cols>
  <sheetData>
    <row r="1" spans="1:10">
      <c r="A1" s="377"/>
      <c r="B1" s="377"/>
      <c r="C1" s="377"/>
      <c r="D1" s="377"/>
      <c r="E1" s="377"/>
      <c r="F1" s="1043"/>
      <c r="G1" s="1043"/>
      <c r="H1" s="1043"/>
      <c r="I1" s="1044"/>
      <c r="J1" s="377"/>
    </row>
    <row r="2" spans="1:10">
      <c r="A2" s="377"/>
      <c r="B2" s="40" t="s">
        <v>965</v>
      </c>
      <c r="C2" s="1045" t="s">
        <v>1011</v>
      </c>
      <c r="D2" s="1080"/>
      <c r="E2" s="1080"/>
      <c r="F2" s="1080"/>
      <c r="G2" s="1080"/>
      <c r="H2" s="1080"/>
      <c r="I2" s="975"/>
      <c r="J2" s="377"/>
    </row>
    <row r="3" spans="1:10">
      <c r="A3" s="377"/>
      <c r="B3" s="1049" t="s">
        <v>967</v>
      </c>
      <c r="C3" s="1050" t="s">
        <v>1068</v>
      </c>
      <c r="D3" s="1051"/>
      <c r="E3" s="1051"/>
      <c r="F3" s="1051"/>
      <c r="G3" s="1051"/>
      <c r="H3" s="1051"/>
      <c r="I3" s="1052"/>
      <c r="J3" s="377"/>
    </row>
    <row r="4" spans="1:10" ht="8" customHeight="1" thickBot="1">
      <c r="A4" s="377"/>
      <c r="B4" s="377"/>
      <c r="C4" s="377"/>
      <c r="D4" s="377"/>
      <c r="E4" s="377"/>
      <c r="F4" s="1054"/>
      <c r="G4" s="1397"/>
      <c r="H4" s="1397"/>
      <c r="I4" s="1397"/>
      <c r="J4" s="377"/>
    </row>
    <row r="5" spans="1:10" s="377" customFormat="1" ht="77" customHeight="1" thickBot="1">
      <c r="B5" s="1307" t="s">
        <v>969</v>
      </c>
      <c r="C5" s="1307"/>
      <c r="D5" s="1081" t="s">
        <v>970</v>
      </c>
      <c r="E5" s="1055" t="s">
        <v>971</v>
      </c>
      <c r="F5" s="1056"/>
      <c r="G5" s="1057" t="s">
        <v>972</v>
      </c>
      <c r="H5" s="1058" t="s">
        <v>973</v>
      </c>
      <c r="I5" s="1058" t="s">
        <v>974</v>
      </c>
    </row>
    <row r="6" spans="1:10" ht="27.25" customHeight="1">
      <c r="A6" s="377"/>
      <c r="B6" s="311" t="s">
        <v>264</v>
      </c>
      <c r="C6" s="981"/>
      <c r="D6" s="1059"/>
      <c r="E6" s="308"/>
      <c r="F6" s="1060"/>
      <c r="G6" s="1060"/>
      <c r="H6" s="1060"/>
      <c r="I6" s="1062"/>
      <c r="J6" s="377"/>
    </row>
    <row r="7" spans="1:10" ht="27.25" customHeight="1">
      <c r="A7" s="377"/>
      <c r="B7" s="1394" t="s">
        <v>1069</v>
      </c>
      <c r="C7" s="1394"/>
      <c r="D7" s="1394" t="s">
        <v>1070</v>
      </c>
      <c r="E7" s="674" t="s">
        <v>977</v>
      </c>
      <c r="F7" s="1064"/>
      <c r="G7" s="1065">
        <v>25.2</v>
      </c>
      <c r="H7" s="1065">
        <v>25</v>
      </c>
      <c r="I7" s="1065">
        <v>24.4</v>
      </c>
      <c r="J7" s="377"/>
    </row>
    <row r="8" spans="1:10" ht="27.25" customHeight="1">
      <c r="A8" s="377"/>
      <c r="B8" s="1394"/>
      <c r="C8" s="1394"/>
      <c r="D8" s="1394"/>
      <c r="E8" s="1059" t="s">
        <v>978</v>
      </c>
      <c r="F8" s="1064"/>
      <c r="G8" s="1065">
        <v>31.7</v>
      </c>
      <c r="H8" s="1065">
        <v>31.4</v>
      </c>
      <c r="I8" s="1065">
        <v>30.9</v>
      </c>
      <c r="J8" s="377"/>
    </row>
    <row r="9" spans="1:10" ht="7.5" customHeight="1" thickBot="1">
      <c r="A9" s="377"/>
      <c r="B9" s="1086"/>
      <c r="C9" s="1086"/>
      <c r="D9" s="1086"/>
      <c r="E9" s="1086"/>
      <c r="F9" s="1087"/>
      <c r="G9" s="1087"/>
      <c r="H9" s="1087"/>
      <c r="I9" s="1088"/>
      <c r="J9" s="377"/>
    </row>
    <row r="10" spans="1:10">
      <c r="A10" s="377"/>
      <c r="B10" s="377"/>
      <c r="C10" s="377"/>
      <c r="D10" s="377"/>
      <c r="E10" s="377"/>
      <c r="F10" s="1043"/>
      <c r="G10" s="1043"/>
      <c r="H10" s="1043"/>
      <c r="I10" s="1074" t="s">
        <v>1004</v>
      </c>
    </row>
    <row r="11" spans="1:10">
      <c r="A11" s="377"/>
      <c r="B11" s="377"/>
      <c r="C11" s="377"/>
      <c r="D11" s="377"/>
      <c r="E11" s="377"/>
      <c r="F11" s="1043"/>
      <c r="G11" s="1043"/>
      <c r="H11" s="1043"/>
      <c r="I11" s="1075" t="s">
        <v>1005</v>
      </c>
    </row>
    <row r="12" spans="1:10">
      <c r="A12" s="377"/>
      <c r="B12" s="377"/>
      <c r="C12" s="377"/>
      <c r="D12" s="377"/>
      <c r="E12" s="377"/>
      <c r="F12" s="1043"/>
      <c r="G12" s="1043"/>
      <c r="H12" s="1043"/>
      <c r="I12" s="1044"/>
      <c r="J12" s="377"/>
    </row>
    <row r="13" spans="1:10">
      <c r="A13" s="377"/>
      <c r="B13" s="703" t="s">
        <v>1006</v>
      </c>
      <c r="C13" s="703"/>
      <c r="D13" s="667"/>
      <c r="E13" s="377"/>
      <c r="F13" s="1043"/>
      <c r="G13" s="1043"/>
      <c r="H13" s="1043"/>
      <c r="I13" s="1044"/>
      <c r="J13" s="377"/>
    </row>
    <row r="14" spans="1:10">
      <c r="A14" s="1076" t="s">
        <v>35</v>
      </c>
      <c r="B14" s="703" t="s">
        <v>1007</v>
      </c>
      <c r="C14" s="703"/>
      <c r="D14" s="667"/>
      <c r="E14" s="377"/>
      <c r="F14" s="1043"/>
      <c r="G14" s="1043"/>
      <c r="H14" s="1043"/>
      <c r="I14" s="1044"/>
      <c r="J14" s="377"/>
    </row>
    <row r="15" spans="1:10">
      <c r="A15" s="1076" t="s">
        <v>38</v>
      </c>
      <c r="B15" s="1004" t="s">
        <v>1008</v>
      </c>
      <c r="C15" s="1004"/>
      <c r="D15" s="667"/>
      <c r="E15" s="377"/>
      <c r="F15" s="1043"/>
      <c r="G15" s="1043"/>
      <c r="H15" s="1043"/>
      <c r="I15" s="1044"/>
      <c r="J15" s="377"/>
    </row>
    <row r="16" spans="1:10" ht="27.75" customHeight="1">
      <c r="A16" s="1085" t="s">
        <v>273</v>
      </c>
      <c r="B16" s="1399" t="s">
        <v>1067</v>
      </c>
      <c r="C16" s="1399"/>
      <c r="D16" s="1399"/>
      <c r="E16" s="1399"/>
      <c r="F16" s="1399"/>
      <c r="G16" s="1399"/>
      <c r="H16" s="1399"/>
      <c r="I16" s="1399"/>
    </row>
    <row r="17" spans="2:4">
      <c r="B17" s="1078"/>
      <c r="C17" s="1078"/>
      <c r="D17" s="1079"/>
    </row>
  </sheetData>
  <mergeCells count="5">
    <mergeCell ref="G4:I4"/>
    <mergeCell ref="B5:C5"/>
    <mergeCell ref="B7:C8"/>
    <mergeCell ref="D7:D8"/>
    <mergeCell ref="B16:I16"/>
  </mergeCells>
  <pageMargins left="0.55118110236220474" right="0.55118110236220474" top="0.55118110236220474" bottom="0.55118110236220474" header="0.31496062992125984" footer="0.31496062992125984"/>
  <pageSetup paperSize="9" scale="67"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E386E-3634-45A9-93D9-01E7FF718535}">
  <sheetPr codeName="Sheet62"/>
  <dimension ref="A1:J42"/>
  <sheetViews>
    <sheetView view="pageBreakPreview" zoomScaleNormal="100" zoomScaleSheetLayoutView="100" workbookViewId="0">
      <selection activeCell="D60" sqref="D60"/>
    </sheetView>
  </sheetViews>
  <sheetFormatPr baseColWidth="10" defaultColWidth="9.1640625" defaultRowHeight="15"/>
  <cols>
    <col min="1" max="1" width="1.83203125" customWidth="1"/>
    <col min="2" max="2" width="14.1640625" style="1089" customWidth="1"/>
    <col min="3" max="3" width="29.5" style="1089" customWidth="1"/>
    <col min="4" max="4" width="15.5" style="1089" customWidth="1"/>
    <col min="5" max="5" width="16" customWidth="1"/>
    <col min="6" max="6" width="6.6640625" style="1090" customWidth="1"/>
    <col min="7" max="7" width="4.83203125" style="1090" customWidth="1"/>
    <col min="8" max="8" width="10.6640625" style="1090" customWidth="1"/>
    <col min="9" max="10" width="12.33203125" style="1090" customWidth="1"/>
  </cols>
  <sheetData>
    <row r="1" spans="1:10" ht="9.25" customHeight="1"/>
    <row r="2" spans="1:10">
      <c r="B2" s="1091" t="s">
        <v>1071</v>
      </c>
      <c r="C2" s="1080" t="s">
        <v>1072</v>
      </c>
      <c r="D2" s="1080"/>
      <c r="E2" s="1080"/>
      <c r="F2" s="1080"/>
      <c r="G2" s="1080"/>
      <c r="H2" s="1080"/>
      <c r="I2" s="1080"/>
      <c r="J2" s="1080"/>
    </row>
    <row r="3" spans="1:10">
      <c r="B3" s="1092" t="s">
        <v>1073</v>
      </c>
      <c r="C3" s="1051" t="s">
        <v>1074</v>
      </c>
      <c r="D3" s="1051"/>
      <c r="E3" s="1051"/>
      <c r="F3" s="1051"/>
      <c r="G3" s="1051"/>
      <c r="H3" s="1051"/>
      <c r="I3" s="1051"/>
      <c r="J3" s="1051"/>
    </row>
    <row r="4" spans="1:10" ht="7.5" customHeight="1" thickBot="1">
      <c r="E4" s="983"/>
      <c r="F4" s="1093"/>
      <c r="G4" s="1093"/>
      <c r="H4" s="1405"/>
      <c r="I4" s="1405"/>
      <c r="J4"/>
    </row>
    <row r="5" spans="1:10" ht="77.25" customHeight="1" thickBot="1">
      <c r="B5" s="1307" t="s">
        <v>969</v>
      </c>
      <c r="C5" s="1307"/>
      <c r="D5" s="1055" t="s">
        <v>970</v>
      </c>
      <c r="E5" s="1081"/>
      <c r="F5" s="1094"/>
      <c r="G5" s="1094"/>
      <c r="H5" s="1095">
        <v>2021</v>
      </c>
      <c r="I5" s="1095">
        <v>2022</v>
      </c>
      <c r="J5" s="1058">
        <v>2023</v>
      </c>
    </row>
    <row r="6" spans="1:10" s="377" customFormat="1" ht="18.75" customHeight="1">
      <c r="B6" s="18" t="s">
        <v>250</v>
      </c>
      <c r="C6" s="18"/>
      <c r="D6" s="990"/>
      <c r="E6" s="981"/>
      <c r="F6" s="1096"/>
      <c r="G6" s="1096"/>
      <c r="H6" s="1096"/>
      <c r="I6" s="1097"/>
      <c r="J6" s="1097"/>
    </row>
    <row r="7" spans="1:10" s="377" customFormat="1" ht="27.25" customHeight="1">
      <c r="A7" s="1406"/>
      <c r="B7" s="1401" t="s">
        <v>975</v>
      </c>
      <c r="C7" s="1401"/>
      <c r="D7" s="1407" t="s">
        <v>976</v>
      </c>
      <c r="E7" s="1099" t="s">
        <v>1075</v>
      </c>
      <c r="F7" s="1100"/>
      <c r="G7" s="1100"/>
      <c r="H7" s="1101">
        <v>1980.1</v>
      </c>
      <c r="I7" s="1101">
        <v>2089.6</v>
      </c>
      <c r="J7" s="1101">
        <v>2668.4</v>
      </c>
    </row>
    <row r="8" spans="1:10" s="377" customFormat="1" ht="27.25" customHeight="1">
      <c r="A8" s="1406"/>
      <c r="B8" s="1401"/>
      <c r="C8" s="1401"/>
      <c r="D8" s="1407"/>
      <c r="E8" s="1098" t="s">
        <v>1076</v>
      </c>
      <c r="F8" s="1102"/>
      <c r="G8" s="1102"/>
      <c r="H8" s="1101">
        <v>144</v>
      </c>
      <c r="I8" s="1101">
        <v>197</v>
      </c>
      <c r="J8" s="1101">
        <v>193</v>
      </c>
    </row>
    <row r="9" spans="1:10" s="377" customFormat="1" ht="27.25" customHeight="1">
      <c r="A9" s="1400"/>
      <c r="B9" s="1401" t="s">
        <v>1077</v>
      </c>
      <c r="C9" s="1401"/>
      <c r="D9" s="1401" t="s">
        <v>980</v>
      </c>
      <c r="E9" s="1099" t="s">
        <v>1075</v>
      </c>
      <c r="F9" s="1100"/>
      <c r="G9" s="1100"/>
      <c r="H9" s="1101">
        <v>2130.1999999999998</v>
      </c>
      <c r="I9" s="1101">
        <v>2574.8000000000002</v>
      </c>
      <c r="J9" s="1101">
        <v>2682.1</v>
      </c>
    </row>
    <row r="10" spans="1:10" s="377" customFormat="1" ht="27.25" customHeight="1">
      <c r="A10" s="1400"/>
      <c r="B10" s="1401"/>
      <c r="C10" s="1401"/>
      <c r="D10" s="1401"/>
      <c r="E10" s="1098" t="s">
        <v>1076</v>
      </c>
      <c r="F10" s="1102"/>
      <c r="G10" s="1102"/>
      <c r="H10" s="1101">
        <v>167</v>
      </c>
      <c r="I10" s="1101">
        <v>196</v>
      </c>
      <c r="J10" s="1101">
        <v>185</v>
      </c>
    </row>
    <row r="11" spans="1:10" s="377" customFormat="1" ht="27.25" customHeight="1">
      <c r="A11" s="1400"/>
      <c r="B11" s="1401" t="s">
        <v>982</v>
      </c>
      <c r="C11" s="1401"/>
      <c r="D11" s="1401" t="s">
        <v>983</v>
      </c>
      <c r="E11" s="1099" t="s">
        <v>1075</v>
      </c>
      <c r="F11" s="1100"/>
      <c r="G11" s="1100"/>
      <c r="H11" s="1101">
        <v>2254.8000000000002</v>
      </c>
      <c r="I11" s="1101">
        <v>2392.8000000000002</v>
      </c>
      <c r="J11" s="1101">
        <v>2317.6999999999998</v>
      </c>
    </row>
    <row r="12" spans="1:10" s="377" customFormat="1" ht="27.25" customHeight="1">
      <c r="A12" s="1400"/>
      <c r="B12" s="1401"/>
      <c r="C12" s="1401"/>
      <c r="D12" s="1401"/>
      <c r="E12" s="1098" t="s">
        <v>1076</v>
      </c>
      <c r="F12" s="1102"/>
      <c r="G12" s="1102"/>
      <c r="H12" s="1101">
        <v>160</v>
      </c>
      <c r="I12" s="1101">
        <v>177</v>
      </c>
      <c r="J12" s="1101">
        <v>172</v>
      </c>
    </row>
    <row r="13" spans="1:10" s="377" customFormat="1" ht="27.25" customHeight="1">
      <c r="A13" s="1404"/>
      <c r="B13" s="1401" t="s">
        <v>1078</v>
      </c>
      <c r="C13" s="1401"/>
      <c r="D13" s="1401" t="s">
        <v>985</v>
      </c>
      <c r="E13" s="1099" t="s">
        <v>1075</v>
      </c>
      <c r="F13" s="1100"/>
      <c r="G13" s="1100"/>
      <c r="H13" s="1101">
        <v>2333</v>
      </c>
      <c r="I13" s="1101">
        <v>2778</v>
      </c>
      <c r="J13" s="1101">
        <v>2872.6</v>
      </c>
    </row>
    <row r="14" spans="1:10" s="377" customFormat="1" ht="27.25" customHeight="1">
      <c r="A14" s="1404"/>
      <c r="B14" s="1401"/>
      <c r="C14" s="1401"/>
      <c r="D14" s="1401"/>
      <c r="E14" s="1098" t="s">
        <v>1076</v>
      </c>
      <c r="F14" s="1102"/>
      <c r="G14" s="1102"/>
      <c r="H14" s="1101">
        <v>161</v>
      </c>
      <c r="I14" s="1101">
        <v>208</v>
      </c>
      <c r="J14" s="1101">
        <v>202</v>
      </c>
    </row>
    <row r="15" spans="1:10" s="377" customFormat="1" ht="16.5" customHeight="1">
      <c r="A15" s="325"/>
      <c r="B15" s="990" t="s">
        <v>251</v>
      </c>
      <c r="C15" s="1103"/>
      <c r="D15" s="1099"/>
      <c r="E15" s="1099"/>
      <c r="F15" s="1104"/>
      <c r="G15" s="1104"/>
      <c r="H15" s="1105"/>
      <c r="I15" s="1105"/>
      <c r="J15" s="1105"/>
    </row>
    <row r="16" spans="1:10" s="377" customFormat="1" ht="27.25" customHeight="1">
      <c r="A16" s="1400"/>
      <c r="B16" s="1401" t="s">
        <v>986</v>
      </c>
      <c r="C16" s="1401"/>
      <c r="D16" s="1401" t="s">
        <v>987</v>
      </c>
      <c r="E16" s="1099" t="s">
        <v>1075</v>
      </c>
      <c r="F16" s="1100"/>
      <c r="G16" s="1100"/>
      <c r="H16" s="1101">
        <v>2181.6</v>
      </c>
      <c r="I16" s="1101">
        <v>2408.4</v>
      </c>
      <c r="J16" s="1101">
        <v>2272</v>
      </c>
    </row>
    <row r="17" spans="1:10" s="377" customFormat="1" ht="27.25" customHeight="1">
      <c r="A17" s="1400"/>
      <c r="B17" s="1401"/>
      <c r="C17" s="1401"/>
      <c r="D17" s="1401"/>
      <c r="E17" s="1098" t="s">
        <v>1076</v>
      </c>
      <c r="F17" s="1102"/>
      <c r="G17" s="1102"/>
      <c r="H17" s="1101">
        <v>160</v>
      </c>
      <c r="I17" s="1101">
        <v>195</v>
      </c>
      <c r="J17" s="1101">
        <v>168</v>
      </c>
    </row>
    <row r="18" spans="1:10" s="377" customFormat="1" ht="27.25" customHeight="1">
      <c r="A18" s="1400"/>
      <c r="B18" s="1401" t="s">
        <v>988</v>
      </c>
      <c r="C18" s="1401"/>
      <c r="D18" s="1401" t="s">
        <v>989</v>
      </c>
      <c r="E18" s="1099" t="s">
        <v>1075</v>
      </c>
      <c r="F18" s="1100"/>
      <c r="G18" s="1100"/>
      <c r="H18" s="1101">
        <v>2412.3000000000002</v>
      </c>
      <c r="I18" s="1101">
        <v>2731.6</v>
      </c>
      <c r="J18" s="1101">
        <v>2819.6</v>
      </c>
    </row>
    <row r="19" spans="1:10" s="377" customFormat="1" ht="27.25" customHeight="1">
      <c r="A19" s="1400"/>
      <c r="B19" s="1401"/>
      <c r="C19" s="1401"/>
      <c r="D19" s="1401"/>
      <c r="E19" s="1098" t="s">
        <v>1076</v>
      </c>
      <c r="F19" s="1102"/>
      <c r="G19" s="1102"/>
      <c r="H19" s="1101">
        <v>155</v>
      </c>
      <c r="I19" s="1101">
        <v>189</v>
      </c>
      <c r="J19" s="1101">
        <v>178</v>
      </c>
    </row>
    <row r="20" spans="1:10" s="377" customFormat="1" ht="16.5" customHeight="1">
      <c r="A20" s="325"/>
      <c r="B20" s="18" t="s">
        <v>252</v>
      </c>
      <c r="C20" s="1099"/>
      <c r="D20" s="1099"/>
      <c r="E20" s="1099"/>
      <c r="F20" s="1104"/>
      <c r="G20" s="1104"/>
      <c r="H20" s="1105"/>
      <c r="I20" s="1105"/>
      <c r="J20" s="1105"/>
    </row>
    <row r="21" spans="1:10" s="377" customFormat="1" ht="27.25" customHeight="1">
      <c r="A21" s="1400"/>
      <c r="B21" s="1401" t="s">
        <v>990</v>
      </c>
      <c r="C21" s="1401"/>
      <c r="D21" s="1401" t="s">
        <v>991</v>
      </c>
      <c r="E21" s="1099" t="s">
        <v>1075</v>
      </c>
      <c r="F21" s="1100"/>
      <c r="G21" s="1100"/>
      <c r="H21" s="1101">
        <v>1803.2</v>
      </c>
      <c r="I21" s="1101">
        <v>2984.8</v>
      </c>
      <c r="J21" s="1101">
        <v>2527.6</v>
      </c>
    </row>
    <row r="22" spans="1:10" s="377" customFormat="1" ht="27.25" customHeight="1">
      <c r="A22" s="1400"/>
      <c r="B22" s="1401"/>
      <c r="C22" s="1401"/>
      <c r="D22" s="1401"/>
      <c r="E22" s="1098" t="s">
        <v>1076</v>
      </c>
      <c r="F22" s="1102"/>
      <c r="G22" s="1102"/>
      <c r="H22" s="1101">
        <v>149</v>
      </c>
      <c r="I22" s="1101">
        <v>165</v>
      </c>
      <c r="J22" s="1101">
        <v>168</v>
      </c>
    </row>
    <row r="23" spans="1:10" s="377" customFormat="1" ht="27.25" customHeight="1">
      <c r="A23" s="1400"/>
      <c r="B23" s="1401" t="s">
        <v>992</v>
      </c>
      <c r="C23" s="1401"/>
      <c r="D23" s="1401" t="s">
        <v>993</v>
      </c>
      <c r="E23" s="1099" t="s">
        <v>1075</v>
      </c>
      <c r="F23" s="1100"/>
      <c r="G23" s="1100"/>
      <c r="H23" s="1101">
        <v>2313.6</v>
      </c>
      <c r="I23" s="1101">
        <v>2776.4</v>
      </c>
      <c r="J23" s="1101" t="s">
        <v>1079</v>
      </c>
    </row>
    <row r="24" spans="1:10" s="377" customFormat="1" ht="27.25" customHeight="1">
      <c r="A24" s="1400"/>
      <c r="B24" s="1401"/>
      <c r="C24" s="1401"/>
      <c r="D24" s="1401"/>
      <c r="E24" s="1098" t="s">
        <v>1076</v>
      </c>
      <c r="F24" s="1102"/>
      <c r="G24" s="1102"/>
      <c r="H24" s="1101">
        <v>180</v>
      </c>
      <c r="I24" s="1101">
        <v>190</v>
      </c>
      <c r="J24" s="1101" t="s">
        <v>1079</v>
      </c>
    </row>
    <row r="25" spans="1:10" s="377" customFormat="1" ht="27.25" customHeight="1">
      <c r="A25" s="1400"/>
      <c r="B25" s="1401" t="s">
        <v>994</v>
      </c>
      <c r="C25" s="1401"/>
      <c r="D25" s="1401" t="s">
        <v>995</v>
      </c>
      <c r="E25" s="1099" t="s">
        <v>1075</v>
      </c>
      <c r="F25" s="1100"/>
      <c r="G25" s="1100"/>
      <c r="H25" s="1101">
        <v>2313.6</v>
      </c>
      <c r="I25" s="1101">
        <v>2776.4</v>
      </c>
      <c r="J25" s="1101" t="s">
        <v>1079</v>
      </c>
    </row>
    <row r="26" spans="1:10" s="377" customFormat="1" ht="27.25" customHeight="1">
      <c r="A26" s="1400"/>
      <c r="B26" s="1401"/>
      <c r="C26" s="1401"/>
      <c r="D26" s="1401"/>
      <c r="E26" s="1098" t="s">
        <v>1076</v>
      </c>
      <c r="F26" s="1102"/>
      <c r="G26" s="1102"/>
      <c r="H26" s="1101">
        <v>180</v>
      </c>
      <c r="I26" s="1101">
        <v>190</v>
      </c>
      <c r="J26" s="1101" t="s">
        <v>1079</v>
      </c>
    </row>
    <row r="27" spans="1:10" s="377" customFormat="1" ht="17.25" customHeight="1">
      <c r="A27" s="325"/>
      <c r="B27" s="18" t="s">
        <v>1080</v>
      </c>
      <c r="C27" s="1099"/>
      <c r="D27" s="1099"/>
      <c r="E27" s="1099"/>
      <c r="F27" s="1104"/>
      <c r="G27" s="1104"/>
      <c r="H27" s="1105"/>
      <c r="I27" s="1105"/>
      <c r="J27" s="1105"/>
    </row>
    <row r="28" spans="1:10" s="377" customFormat="1" ht="27.25" customHeight="1">
      <c r="A28" s="1400"/>
      <c r="B28" s="1401" t="s">
        <v>1081</v>
      </c>
      <c r="C28" s="1401"/>
      <c r="D28" s="1401" t="s">
        <v>997</v>
      </c>
      <c r="E28" s="1099" t="s">
        <v>1075</v>
      </c>
      <c r="F28" s="1100"/>
      <c r="G28" s="1100"/>
      <c r="H28" s="1101">
        <v>1616.8</v>
      </c>
      <c r="I28" s="1101">
        <v>1712.2</v>
      </c>
      <c r="J28" s="1101">
        <v>2506</v>
      </c>
    </row>
    <row r="29" spans="1:10" s="377" customFormat="1" ht="27.25" customHeight="1">
      <c r="A29" s="1400"/>
      <c r="B29" s="1401"/>
      <c r="C29" s="1401"/>
      <c r="D29" s="1401"/>
      <c r="E29" s="1098" t="s">
        <v>1076</v>
      </c>
      <c r="F29" s="1102"/>
      <c r="G29" s="1102"/>
      <c r="H29" s="1101">
        <v>129</v>
      </c>
      <c r="I29" s="1101">
        <v>160</v>
      </c>
      <c r="J29" s="1101">
        <v>175</v>
      </c>
    </row>
    <row r="30" spans="1:10" s="377" customFormat="1" ht="18" customHeight="1">
      <c r="A30" s="325"/>
      <c r="B30" s="990" t="s">
        <v>254</v>
      </c>
      <c r="C30" s="1099"/>
      <c r="D30" s="1099"/>
      <c r="E30" s="1099"/>
      <c r="F30" s="1104"/>
      <c r="G30" s="1104"/>
      <c r="H30" s="1105"/>
      <c r="I30" s="1105"/>
      <c r="J30" s="1105"/>
    </row>
    <row r="31" spans="1:10" s="377" customFormat="1" ht="27.25" customHeight="1">
      <c r="A31" s="1400"/>
      <c r="B31" s="1401" t="s">
        <v>998</v>
      </c>
      <c r="C31" s="1401"/>
      <c r="D31" s="1401" t="s">
        <v>999</v>
      </c>
      <c r="E31" s="1099" t="s">
        <v>1075</v>
      </c>
      <c r="F31" s="1106"/>
      <c r="G31" s="1106"/>
      <c r="H31" s="1101">
        <v>607</v>
      </c>
      <c r="I31" s="1101">
        <v>25.1</v>
      </c>
      <c r="J31" s="1101">
        <v>1819.2</v>
      </c>
    </row>
    <row r="32" spans="1:10" s="377" customFormat="1" ht="27.25" customHeight="1">
      <c r="A32" s="1400"/>
      <c r="B32" s="1401"/>
      <c r="C32" s="1401"/>
      <c r="D32" s="1401"/>
      <c r="E32" s="1098" t="s">
        <v>1076</v>
      </c>
      <c r="F32" s="1106"/>
      <c r="G32" s="1106"/>
      <c r="H32" s="1101">
        <v>137</v>
      </c>
      <c r="I32" s="1101">
        <v>177</v>
      </c>
      <c r="J32" s="1101">
        <v>163</v>
      </c>
    </row>
    <row r="33" spans="1:10" s="377" customFormat="1" ht="18.75" customHeight="1">
      <c r="A33" s="325"/>
      <c r="B33" s="18" t="s">
        <v>255</v>
      </c>
      <c r="C33" s="1099"/>
      <c r="D33" s="1099"/>
      <c r="E33" s="1099"/>
      <c r="F33" s="1104"/>
      <c r="G33" s="1104"/>
      <c r="H33" s="1105"/>
      <c r="I33" s="1105"/>
      <c r="J33" s="1105"/>
    </row>
    <row r="34" spans="1:10" s="1109" customFormat="1" ht="27.25" customHeight="1">
      <c r="A34" s="839"/>
      <c r="B34" s="1393" t="s">
        <v>1000</v>
      </c>
      <c r="C34" s="1393"/>
      <c r="D34" s="1393" t="s">
        <v>1001</v>
      </c>
      <c r="E34" s="1107" t="s">
        <v>1075</v>
      </c>
      <c r="F34" s="1100"/>
      <c r="G34" s="1108"/>
      <c r="H34" s="1101">
        <v>2032.7</v>
      </c>
      <c r="I34" s="1101">
        <v>2875</v>
      </c>
      <c r="J34" s="1101">
        <v>3263.6</v>
      </c>
    </row>
    <row r="35" spans="1:10" s="1109" customFormat="1" ht="29.25" customHeight="1" thickBot="1">
      <c r="A35" s="839"/>
      <c r="B35" s="1402"/>
      <c r="C35" s="1402"/>
      <c r="D35" s="1402"/>
      <c r="E35" s="1110" t="s">
        <v>1076</v>
      </c>
      <c r="F35" s="1111"/>
      <c r="G35" s="1112"/>
      <c r="H35" s="1113">
        <v>224</v>
      </c>
      <c r="I35" s="1113">
        <v>257</v>
      </c>
      <c r="J35" s="1113">
        <v>243</v>
      </c>
    </row>
    <row r="36" spans="1:10" s="1109" customFormat="1">
      <c r="B36" s="1114"/>
      <c r="C36" s="1114"/>
      <c r="D36" s="1114"/>
      <c r="F36" s="1090"/>
      <c r="G36" s="1090"/>
      <c r="H36" s="1090"/>
      <c r="J36" s="1115" t="s">
        <v>1004</v>
      </c>
    </row>
    <row r="37" spans="1:10" s="1109" customFormat="1">
      <c r="B37" s="1114"/>
      <c r="C37" s="1114"/>
      <c r="D37" s="1114"/>
      <c r="F37" s="1090"/>
      <c r="G37" s="1090"/>
      <c r="H37" s="1090"/>
      <c r="J37" s="1116" t="s">
        <v>1005</v>
      </c>
    </row>
    <row r="38" spans="1:10" s="1109" customFormat="1">
      <c r="B38" s="1117" t="s">
        <v>1006</v>
      </c>
      <c r="C38" s="1118"/>
      <c r="D38" s="1114"/>
      <c r="F38" s="1090"/>
      <c r="G38" s="1090"/>
      <c r="H38" s="1090"/>
      <c r="I38" s="1090"/>
      <c r="J38" s="1090"/>
    </row>
    <row r="39" spans="1:10" s="1109" customFormat="1">
      <c r="A39" s="1076" t="s">
        <v>35</v>
      </c>
      <c r="B39" s="1117" t="s">
        <v>1007</v>
      </c>
      <c r="C39" s="1118"/>
      <c r="D39" s="1114"/>
      <c r="F39" s="1090"/>
      <c r="G39" s="1090"/>
      <c r="H39" s="1090"/>
      <c r="I39" s="1090"/>
      <c r="J39" s="1090"/>
    </row>
    <row r="40" spans="1:10" s="1109" customFormat="1">
      <c r="A40" s="1076" t="s">
        <v>38</v>
      </c>
      <c r="B40" s="1119" t="s">
        <v>1008</v>
      </c>
      <c r="C40" s="1120"/>
      <c r="D40" s="1114"/>
      <c r="F40" s="1090"/>
      <c r="G40" s="1090"/>
      <c r="H40" s="1090"/>
      <c r="I40" s="1090"/>
      <c r="J40" s="1090"/>
    </row>
    <row r="41" spans="1:10" s="1109" customFormat="1" ht="25.5" customHeight="1">
      <c r="A41" s="1085" t="s">
        <v>273</v>
      </c>
      <c r="B41" s="1403" t="s">
        <v>1067</v>
      </c>
      <c r="C41" s="1403"/>
      <c r="D41" s="1403"/>
      <c r="E41" s="1403"/>
      <c r="F41" s="1403"/>
      <c r="G41" s="1403"/>
      <c r="H41" s="1403"/>
      <c r="I41" s="1403"/>
      <c r="J41" s="1403"/>
    </row>
    <row r="42" spans="1:10" s="1109" customFormat="1">
      <c r="B42" s="1121"/>
      <c r="C42" s="1121"/>
      <c r="D42" s="1122"/>
    </row>
  </sheetData>
  <mergeCells count="38">
    <mergeCell ref="A9:A10"/>
    <mergeCell ref="B9:C10"/>
    <mergeCell ref="D9:D10"/>
    <mergeCell ref="H4:I4"/>
    <mergeCell ref="B5:C5"/>
    <mergeCell ref="A7:A8"/>
    <mergeCell ref="B7:C8"/>
    <mergeCell ref="D7:D8"/>
    <mergeCell ref="A11:A12"/>
    <mergeCell ref="B11:C12"/>
    <mergeCell ref="D11:D12"/>
    <mergeCell ref="A13:A14"/>
    <mergeCell ref="B13:C14"/>
    <mergeCell ref="D13:D14"/>
    <mergeCell ref="A16:A17"/>
    <mergeCell ref="B16:C17"/>
    <mergeCell ref="D16:D17"/>
    <mergeCell ref="A18:A19"/>
    <mergeCell ref="B18:C19"/>
    <mergeCell ref="D18:D19"/>
    <mergeCell ref="A21:A22"/>
    <mergeCell ref="B21:C22"/>
    <mergeCell ref="D21:D22"/>
    <mergeCell ref="A23:A24"/>
    <mergeCell ref="B23:C24"/>
    <mergeCell ref="D23:D24"/>
    <mergeCell ref="B41:J41"/>
    <mergeCell ref="A25:A26"/>
    <mergeCell ref="B25:C26"/>
    <mergeCell ref="D25:D26"/>
    <mergeCell ref="A28:A29"/>
    <mergeCell ref="B28:C29"/>
    <mergeCell ref="D28:D29"/>
    <mergeCell ref="A31:A32"/>
    <mergeCell ref="B31:C32"/>
    <mergeCell ref="D31:D32"/>
    <mergeCell ref="B34:C35"/>
    <mergeCell ref="D34:D35"/>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B4C4-8DDE-4927-81C0-8B1B0AAF0E18}">
  <sheetPr codeName="Sheet63"/>
  <dimension ref="A1:I43"/>
  <sheetViews>
    <sheetView view="pageBreakPreview" topLeftCell="A28" zoomScale="90" zoomScaleNormal="100" zoomScaleSheetLayoutView="90" workbookViewId="0">
      <selection activeCell="D60" sqref="D60"/>
    </sheetView>
  </sheetViews>
  <sheetFormatPr baseColWidth="10" defaultColWidth="8.6640625" defaultRowHeight="15"/>
  <cols>
    <col min="1" max="1" width="1.83203125" style="1109" customWidth="1"/>
    <col min="2" max="2" width="14.1640625" style="1109" customWidth="1"/>
    <col min="3" max="3" width="28" style="1109" customWidth="1"/>
    <col min="4" max="4" width="15.5" style="1109" customWidth="1"/>
    <col min="5" max="5" width="16" style="1109" customWidth="1"/>
    <col min="6" max="6" width="9.5" style="1109" customWidth="1"/>
    <col min="7" max="7" width="10.6640625" style="1109" customWidth="1"/>
    <col min="8" max="9" width="12.33203125" style="1109" customWidth="1"/>
    <col min="10" max="16384" width="8.6640625" style="1109"/>
  </cols>
  <sheetData>
    <row r="1" spans="1:9" ht="6" customHeight="1">
      <c r="B1" s="1114"/>
      <c r="C1" s="1114"/>
      <c r="D1" s="1114"/>
      <c r="F1" s="1090"/>
      <c r="G1" s="1090"/>
      <c r="H1" s="1090"/>
      <c r="I1" s="1090"/>
    </row>
    <row r="2" spans="1:9">
      <c r="B2" s="1123" t="s">
        <v>1071</v>
      </c>
      <c r="C2" s="1124" t="s">
        <v>1082</v>
      </c>
      <c r="D2" s="1124"/>
      <c r="E2" s="1124"/>
      <c r="F2" s="1124"/>
      <c r="G2" s="1124"/>
      <c r="H2" s="1124"/>
      <c r="I2" s="1124"/>
    </row>
    <row r="3" spans="1:9">
      <c r="B3" s="1125" t="s">
        <v>1073</v>
      </c>
      <c r="C3" s="1126" t="s">
        <v>1083</v>
      </c>
      <c r="D3" s="1126"/>
      <c r="E3" s="1126"/>
      <c r="F3" s="1126"/>
      <c r="G3" s="1126"/>
      <c r="H3" s="1126"/>
      <c r="I3" s="1126"/>
    </row>
    <row r="4" spans="1:9" ht="7.5" customHeight="1" thickBot="1">
      <c r="B4" s="1114"/>
      <c r="C4" s="1114"/>
      <c r="D4" s="1114"/>
      <c r="E4" s="1127"/>
      <c r="F4" s="1093"/>
      <c r="G4" s="1405"/>
      <c r="H4" s="1405"/>
    </row>
    <row r="5" spans="1:9" ht="77.25" customHeight="1" thickBot="1">
      <c r="B5" s="1412" t="s">
        <v>969</v>
      </c>
      <c r="C5" s="1412"/>
      <c r="D5" s="1128" t="s">
        <v>970</v>
      </c>
      <c r="E5" s="1129"/>
      <c r="F5" s="1094"/>
      <c r="G5" s="1095">
        <v>2021</v>
      </c>
      <c r="H5" s="1095">
        <v>2022</v>
      </c>
      <c r="I5" s="1058">
        <v>2023</v>
      </c>
    </row>
    <row r="6" spans="1:9" ht="15.75" customHeight="1">
      <c r="A6" s="1130"/>
      <c r="B6" s="1131" t="s">
        <v>255</v>
      </c>
      <c r="C6" s="1131"/>
      <c r="D6" s="1131"/>
      <c r="E6" s="1107"/>
      <c r="F6" s="1097"/>
      <c r="G6" s="1097"/>
      <c r="H6" s="1097"/>
      <c r="I6" s="1097"/>
    </row>
    <row r="7" spans="1:9" ht="27.25" customHeight="1">
      <c r="A7" s="839"/>
      <c r="B7" s="1393" t="s">
        <v>1002</v>
      </c>
      <c r="C7" s="1393"/>
      <c r="D7" s="1393" t="s">
        <v>1003</v>
      </c>
      <c r="E7" s="1107" t="s">
        <v>1075</v>
      </c>
      <c r="F7" s="1100"/>
      <c r="G7" s="1101">
        <v>2032.7</v>
      </c>
      <c r="H7" s="1101">
        <v>2875</v>
      </c>
      <c r="I7" s="1101">
        <v>3263.6</v>
      </c>
    </row>
    <row r="8" spans="1:9" ht="27.25" customHeight="1">
      <c r="A8" s="839"/>
      <c r="B8" s="1393"/>
      <c r="C8" s="1393"/>
      <c r="D8" s="1393"/>
      <c r="E8" s="1069" t="s">
        <v>1076</v>
      </c>
      <c r="F8" s="1102"/>
      <c r="G8" s="1101">
        <v>224</v>
      </c>
      <c r="H8" s="1101">
        <v>257</v>
      </c>
      <c r="I8" s="1101">
        <v>243</v>
      </c>
    </row>
    <row r="9" spans="1:9" ht="27.25" customHeight="1">
      <c r="A9" s="1411"/>
      <c r="B9" s="1393" t="s">
        <v>1013</v>
      </c>
      <c r="C9" s="1393"/>
      <c r="D9" s="1410" t="s">
        <v>1014</v>
      </c>
      <c r="E9" s="1107" t="s">
        <v>1075</v>
      </c>
      <c r="F9" s="1100"/>
      <c r="G9" s="1101">
        <v>1970.4</v>
      </c>
      <c r="H9" s="1101">
        <v>2409.1999999999998</v>
      </c>
      <c r="I9" s="1101" t="s">
        <v>1079</v>
      </c>
    </row>
    <row r="10" spans="1:9" ht="27.25" customHeight="1">
      <c r="A10" s="1411"/>
      <c r="B10" s="1393"/>
      <c r="C10" s="1393"/>
      <c r="D10" s="1410"/>
      <c r="E10" s="1069" t="s">
        <v>1076</v>
      </c>
      <c r="F10" s="1102"/>
      <c r="G10" s="1101">
        <v>155</v>
      </c>
      <c r="H10" s="1101">
        <v>180</v>
      </c>
      <c r="I10" s="1101" t="s">
        <v>1079</v>
      </c>
    </row>
    <row r="11" spans="1:9" ht="27.25" customHeight="1">
      <c r="A11" s="1411"/>
      <c r="B11" s="1393" t="s">
        <v>1015</v>
      </c>
      <c r="C11" s="1393"/>
      <c r="D11" s="1410" t="s">
        <v>1016</v>
      </c>
      <c r="E11" s="1107" t="s">
        <v>1075</v>
      </c>
      <c r="F11" s="1100"/>
      <c r="G11" s="1101">
        <v>1843.8</v>
      </c>
      <c r="H11" s="1101">
        <v>1995</v>
      </c>
      <c r="I11" s="1101">
        <v>2466.6</v>
      </c>
    </row>
    <row r="12" spans="1:9" ht="27.25" customHeight="1">
      <c r="A12" s="1411"/>
      <c r="B12" s="1393"/>
      <c r="C12" s="1393"/>
      <c r="D12" s="1410"/>
      <c r="E12" s="1069" t="s">
        <v>1076</v>
      </c>
      <c r="F12" s="1102"/>
      <c r="G12" s="1101">
        <v>156</v>
      </c>
      <c r="H12" s="1101">
        <v>171</v>
      </c>
      <c r="I12" s="1101">
        <v>175</v>
      </c>
    </row>
    <row r="13" spans="1:9" ht="27.25" customHeight="1">
      <c r="A13" s="1411"/>
      <c r="B13" s="1393" t="s">
        <v>1017</v>
      </c>
      <c r="C13" s="1393"/>
      <c r="D13" s="1410" t="s">
        <v>1018</v>
      </c>
      <c r="E13" s="1107" t="s">
        <v>1075</v>
      </c>
      <c r="F13" s="1100"/>
      <c r="G13" s="1101">
        <v>1440.2</v>
      </c>
      <c r="H13" s="1101">
        <v>2034.4</v>
      </c>
      <c r="I13" s="1101">
        <v>2167.9</v>
      </c>
    </row>
    <row r="14" spans="1:9" ht="27.25" customHeight="1">
      <c r="A14" s="1411"/>
      <c r="B14" s="1393"/>
      <c r="C14" s="1393"/>
      <c r="D14" s="1410"/>
      <c r="E14" s="1069" t="s">
        <v>1076</v>
      </c>
      <c r="F14" s="1102"/>
      <c r="G14" s="1101">
        <v>139</v>
      </c>
      <c r="H14" s="1101">
        <v>172</v>
      </c>
      <c r="I14" s="1101">
        <v>170</v>
      </c>
    </row>
    <row r="15" spans="1:9" ht="17.25" customHeight="1">
      <c r="A15" s="1132"/>
      <c r="B15" s="1131" t="s">
        <v>256</v>
      </c>
      <c r="C15" s="1107"/>
      <c r="D15" s="1107"/>
      <c r="E15" s="1107"/>
      <c r="F15" s="1104"/>
      <c r="G15" s="1105"/>
      <c r="H15" s="1105"/>
      <c r="I15" s="1105"/>
    </row>
    <row r="16" spans="1:9" ht="27.25" customHeight="1">
      <c r="A16" s="1408"/>
      <c r="B16" s="1393" t="s">
        <v>1019</v>
      </c>
      <c r="C16" s="1393"/>
      <c r="D16" s="1393" t="s">
        <v>1020</v>
      </c>
      <c r="E16" s="1107" t="s">
        <v>1075</v>
      </c>
      <c r="F16" s="1100"/>
      <c r="G16" s="1101">
        <v>1740.2</v>
      </c>
      <c r="H16" s="1101">
        <v>1831.2</v>
      </c>
      <c r="I16" s="1101">
        <v>2232.8000000000002</v>
      </c>
    </row>
    <row r="17" spans="1:9" ht="27.25" customHeight="1">
      <c r="A17" s="1408"/>
      <c r="B17" s="1393"/>
      <c r="C17" s="1393"/>
      <c r="D17" s="1393"/>
      <c r="E17" s="1069" t="s">
        <v>1076</v>
      </c>
      <c r="F17" s="1102"/>
      <c r="G17" s="1101">
        <v>153</v>
      </c>
      <c r="H17" s="1101">
        <v>167</v>
      </c>
      <c r="I17" s="1101">
        <v>168</v>
      </c>
    </row>
    <row r="18" spans="1:9" ht="27.25" customHeight="1">
      <c r="A18" s="1408"/>
      <c r="B18" s="1393" t="s">
        <v>1021</v>
      </c>
      <c r="C18" s="1393"/>
      <c r="D18" s="1393" t="s">
        <v>1022</v>
      </c>
      <c r="E18" s="1107" t="s">
        <v>1075</v>
      </c>
      <c r="F18" s="1100"/>
      <c r="G18" s="1101">
        <v>2158.9</v>
      </c>
      <c r="H18" s="1101">
        <v>2160.8000000000002</v>
      </c>
      <c r="I18" s="1101">
        <v>1982.2</v>
      </c>
    </row>
    <row r="19" spans="1:9" ht="27.25" customHeight="1">
      <c r="A19" s="1408"/>
      <c r="B19" s="1393"/>
      <c r="C19" s="1393"/>
      <c r="D19" s="1393"/>
      <c r="E19" s="1069" t="s">
        <v>1076</v>
      </c>
      <c r="F19" s="1102"/>
      <c r="G19" s="1101">
        <v>158</v>
      </c>
      <c r="H19" s="1101">
        <v>187</v>
      </c>
      <c r="I19" s="1101">
        <v>177</v>
      </c>
    </row>
    <row r="20" spans="1:9" ht="14.25" customHeight="1">
      <c r="A20" s="839"/>
      <c r="B20" s="1131" t="s">
        <v>257</v>
      </c>
      <c r="C20" s="1107"/>
      <c r="D20" s="1133"/>
      <c r="E20" s="1107"/>
      <c r="F20" s="1104"/>
      <c r="G20" s="1105"/>
      <c r="H20" s="1105"/>
      <c r="I20" s="1105"/>
    </row>
    <row r="21" spans="1:9" ht="27.25" customHeight="1">
      <c r="A21" s="1409"/>
      <c r="B21" s="1393" t="s">
        <v>1023</v>
      </c>
      <c r="C21" s="1393"/>
      <c r="D21" s="1410" t="s">
        <v>1024</v>
      </c>
      <c r="E21" s="1107" t="s">
        <v>1075</v>
      </c>
      <c r="F21" s="1100"/>
      <c r="G21" s="1101">
        <v>2806.4</v>
      </c>
      <c r="H21" s="1101">
        <v>3269.4</v>
      </c>
      <c r="I21" s="1101">
        <v>2965.4</v>
      </c>
    </row>
    <row r="22" spans="1:9" ht="27.25" customHeight="1">
      <c r="A22" s="1409"/>
      <c r="B22" s="1393"/>
      <c r="C22" s="1393"/>
      <c r="D22" s="1410"/>
      <c r="E22" s="1069" t="s">
        <v>1076</v>
      </c>
      <c r="F22" s="1102"/>
      <c r="G22" s="1101">
        <v>197</v>
      </c>
      <c r="H22" s="1101">
        <v>210</v>
      </c>
      <c r="I22" s="1101">
        <v>213</v>
      </c>
    </row>
    <row r="23" spans="1:9" ht="27.25" customHeight="1">
      <c r="A23" s="1411"/>
      <c r="B23" s="1393" t="s">
        <v>1025</v>
      </c>
      <c r="C23" s="1393"/>
      <c r="D23" s="1410" t="s">
        <v>1026</v>
      </c>
      <c r="E23" s="1107" t="s">
        <v>1075</v>
      </c>
      <c r="F23" s="1100"/>
      <c r="G23" s="1101">
        <v>1525.1</v>
      </c>
      <c r="H23" s="1101">
        <v>2053.1</v>
      </c>
      <c r="I23" s="1101">
        <v>1988.2</v>
      </c>
    </row>
    <row r="24" spans="1:9" ht="27.25" customHeight="1">
      <c r="A24" s="1411"/>
      <c r="B24" s="1393"/>
      <c r="C24" s="1393"/>
      <c r="D24" s="1410"/>
      <c r="E24" s="1069" t="s">
        <v>1076</v>
      </c>
      <c r="F24" s="1102"/>
      <c r="G24" s="1101">
        <v>177</v>
      </c>
      <c r="H24" s="1101">
        <v>213</v>
      </c>
      <c r="I24" s="1101">
        <v>174</v>
      </c>
    </row>
    <row r="25" spans="1:9" ht="27.25" customHeight="1">
      <c r="A25" s="1408"/>
      <c r="B25" s="1393" t="s">
        <v>1027</v>
      </c>
      <c r="C25" s="1393"/>
      <c r="D25" s="1393" t="s">
        <v>1028</v>
      </c>
      <c r="E25" s="1107" t="s">
        <v>1075</v>
      </c>
      <c r="F25" s="1100"/>
      <c r="G25" s="1101">
        <v>1920</v>
      </c>
      <c r="H25" s="1101">
        <v>2115</v>
      </c>
      <c r="I25" s="1101">
        <v>2057</v>
      </c>
    </row>
    <row r="26" spans="1:9" ht="27.25" customHeight="1">
      <c r="A26" s="1408"/>
      <c r="B26" s="1393"/>
      <c r="C26" s="1393"/>
      <c r="D26" s="1393"/>
      <c r="E26" s="1069" t="s">
        <v>1076</v>
      </c>
      <c r="F26" s="1102"/>
      <c r="G26" s="1101">
        <v>161</v>
      </c>
      <c r="H26" s="1101">
        <v>186</v>
      </c>
      <c r="I26" s="1101">
        <v>167</v>
      </c>
    </row>
    <row r="27" spans="1:9" ht="15.75" customHeight="1">
      <c r="A27" s="1130"/>
      <c r="B27" s="1131" t="s">
        <v>258</v>
      </c>
      <c r="C27" s="1107"/>
      <c r="D27" s="1107"/>
      <c r="E27" s="1107"/>
      <c r="F27" s="1104"/>
      <c r="G27" s="1105"/>
      <c r="H27" s="1105"/>
      <c r="I27" s="1105"/>
    </row>
    <row r="28" spans="1:9" ht="27.25" customHeight="1">
      <c r="A28" s="1408"/>
      <c r="B28" s="1393" t="s">
        <v>1084</v>
      </c>
      <c r="C28" s="1393"/>
      <c r="D28" s="1393" t="s">
        <v>1030</v>
      </c>
      <c r="E28" s="1107" t="s">
        <v>1075</v>
      </c>
      <c r="F28" s="1100"/>
      <c r="G28" s="1101">
        <v>1553.8</v>
      </c>
      <c r="H28" s="1101">
        <v>2195</v>
      </c>
      <c r="I28" s="1101">
        <v>2081</v>
      </c>
    </row>
    <row r="29" spans="1:9" ht="27.25" customHeight="1">
      <c r="A29" s="1408"/>
      <c r="B29" s="1393"/>
      <c r="C29" s="1393"/>
      <c r="D29" s="1393"/>
      <c r="E29" s="1069" t="s">
        <v>1076</v>
      </c>
      <c r="F29" s="1102"/>
      <c r="G29" s="1101">
        <v>151</v>
      </c>
      <c r="H29" s="1101">
        <v>172</v>
      </c>
      <c r="I29" s="1101">
        <v>168</v>
      </c>
    </row>
    <row r="30" spans="1:9" ht="17.25" customHeight="1">
      <c r="A30" s="1132"/>
      <c r="B30" s="1131" t="s">
        <v>259</v>
      </c>
      <c r="C30" s="1107"/>
      <c r="D30" s="1107"/>
      <c r="E30" s="1107"/>
      <c r="F30" s="1104"/>
      <c r="G30" s="1105"/>
      <c r="H30" s="1105"/>
      <c r="I30" s="1105"/>
    </row>
    <row r="31" spans="1:9" ht="27.25" customHeight="1">
      <c r="A31" s="1408"/>
      <c r="B31" s="1393" t="s">
        <v>1031</v>
      </c>
      <c r="C31" s="1393"/>
      <c r="D31" s="1393" t="s">
        <v>1032</v>
      </c>
      <c r="E31" s="1107" t="s">
        <v>1075</v>
      </c>
      <c r="F31" s="1100"/>
      <c r="G31" s="1101">
        <v>3673.2</v>
      </c>
      <c r="H31" s="1101">
        <v>3817</v>
      </c>
      <c r="I31" s="1101" t="s">
        <v>1079</v>
      </c>
    </row>
    <row r="32" spans="1:9" ht="27.25" customHeight="1">
      <c r="A32" s="1408"/>
      <c r="B32" s="1393"/>
      <c r="C32" s="1393"/>
      <c r="D32" s="1393"/>
      <c r="E32" s="1069" t="s">
        <v>1076</v>
      </c>
      <c r="F32" s="1102"/>
      <c r="G32" s="1101">
        <v>214</v>
      </c>
      <c r="H32" s="1101">
        <v>212</v>
      </c>
      <c r="I32" s="1101" t="s">
        <v>1079</v>
      </c>
    </row>
    <row r="33" spans="1:9" ht="27.25" customHeight="1">
      <c r="A33" s="1408"/>
      <c r="B33" s="1393" t="s">
        <v>1033</v>
      </c>
      <c r="C33" s="1393"/>
      <c r="D33" s="1393" t="s">
        <v>1032</v>
      </c>
      <c r="E33" s="1107" t="s">
        <v>1075</v>
      </c>
      <c r="F33" s="1100"/>
      <c r="G33" s="1101">
        <v>3138.6</v>
      </c>
      <c r="H33" s="1101">
        <v>3236</v>
      </c>
      <c r="I33" s="1101">
        <v>3564.8</v>
      </c>
    </row>
    <row r="34" spans="1:9" ht="27.25" customHeight="1">
      <c r="A34" s="1408"/>
      <c r="B34" s="1393"/>
      <c r="C34" s="1393"/>
      <c r="D34" s="1393"/>
      <c r="E34" s="1069" t="s">
        <v>1076</v>
      </c>
      <c r="F34" s="1102"/>
      <c r="G34" s="1101">
        <v>200</v>
      </c>
      <c r="H34" s="1101">
        <v>206</v>
      </c>
      <c r="I34" s="1101">
        <v>188</v>
      </c>
    </row>
    <row r="35" spans="1:9" ht="27.25" customHeight="1">
      <c r="A35" s="1408"/>
      <c r="B35" s="1393" t="s">
        <v>1034</v>
      </c>
      <c r="C35" s="1393"/>
      <c r="D35" s="1393" t="s">
        <v>1035</v>
      </c>
      <c r="E35" s="1107" t="s">
        <v>1075</v>
      </c>
      <c r="F35" s="1100"/>
      <c r="G35" s="1101">
        <v>3138.6</v>
      </c>
      <c r="H35" s="1101">
        <v>3236</v>
      </c>
      <c r="I35" s="1101">
        <v>3564.8</v>
      </c>
    </row>
    <row r="36" spans="1:9" ht="29.25" customHeight="1" thickBot="1">
      <c r="A36" s="1408"/>
      <c r="B36" s="1402"/>
      <c r="C36" s="1402"/>
      <c r="D36" s="1402"/>
      <c r="E36" s="1110" t="s">
        <v>1076</v>
      </c>
      <c r="F36" s="1111"/>
      <c r="G36" s="1113">
        <v>200</v>
      </c>
      <c r="H36" s="1113">
        <v>206</v>
      </c>
      <c r="I36" s="1113">
        <v>188</v>
      </c>
    </row>
    <row r="37" spans="1:9">
      <c r="B37" s="1114"/>
      <c r="C37" s="1114"/>
      <c r="D37" s="1114"/>
      <c r="F37" s="1090"/>
      <c r="G37" s="1090"/>
      <c r="I37" s="1115" t="s">
        <v>1004</v>
      </c>
    </row>
    <row r="38" spans="1:9">
      <c r="B38" s="1114"/>
      <c r="C38" s="1114"/>
      <c r="D38" s="1114"/>
      <c r="F38" s="1090"/>
      <c r="G38" s="1090"/>
      <c r="I38" s="1116" t="s">
        <v>1005</v>
      </c>
    </row>
    <row r="39" spans="1:9">
      <c r="B39" s="1117" t="s">
        <v>1006</v>
      </c>
      <c r="C39" s="1118"/>
      <c r="D39" s="1114"/>
      <c r="F39" s="1090"/>
      <c r="G39" s="1090"/>
      <c r="H39" s="1090"/>
      <c r="I39" s="1090"/>
    </row>
    <row r="40" spans="1:9">
      <c r="A40" s="1076" t="s">
        <v>35</v>
      </c>
      <c r="B40" s="1117" t="s">
        <v>1007</v>
      </c>
      <c r="C40" s="1118"/>
      <c r="D40" s="1114"/>
      <c r="F40" s="1090"/>
      <c r="G40" s="1090"/>
      <c r="H40" s="1090"/>
      <c r="I40" s="1090"/>
    </row>
    <row r="41" spans="1:9">
      <c r="A41" s="1076" t="s">
        <v>38</v>
      </c>
      <c r="B41" s="1119" t="s">
        <v>1008</v>
      </c>
      <c r="C41" s="1120"/>
      <c r="D41" s="1114"/>
      <c r="F41" s="1090"/>
      <c r="G41" s="1090"/>
      <c r="H41" s="1090"/>
      <c r="I41" s="1090"/>
    </row>
    <row r="42" spans="1:9" ht="25.5" customHeight="1">
      <c r="A42" s="1085" t="s">
        <v>273</v>
      </c>
      <c r="B42" s="1403" t="s">
        <v>1067</v>
      </c>
      <c r="C42" s="1403"/>
      <c r="D42" s="1403"/>
      <c r="E42" s="1403"/>
      <c r="F42" s="1403"/>
      <c r="G42" s="1403"/>
      <c r="H42" s="1403"/>
      <c r="I42" s="1403"/>
    </row>
    <row r="43" spans="1:9">
      <c r="B43" s="1121"/>
      <c r="C43" s="1121"/>
      <c r="D43" s="1122"/>
    </row>
  </sheetData>
  <mergeCells count="41">
    <mergeCell ref="G4:H4"/>
    <mergeCell ref="B5:C5"/>
    <mergeCell ref="B7:C8"/>
    <mergeCell ref="D7:D8"/>
    <mergeCell ref="A9:A10"/>
    <mergeCell ref="B9:C10"/>
    <mergeCell ref="D9:D10"/>
    <mergeCell ref="A11:A12"/>
    <mergeCell ref="B11:C12"/>
    <mergeCell ref="D11:D12"/>
    <mergeCell ref="A13:A14"/>
    <mergeCell ref="B13:C14"/>
    <mergeCell ref="D13:D14"/>
    <mergeCell ref="A16:A17"/>
    <mergeCell ref="B16:C17"/>
    <mergeCell ref="D16:D17"/>
    <mergeCell ref="A18:A19"/>
    <mergeCell ref="B18:C19"/>
    <mergeCell ref="D18:D19"/>
    <mergeCell ref="A21:A22"/>
    <mergeCell ref="B21:C22"/>
    <mergeCell ref="D21:D22"/>
    <mergeCell ref="A23:A24"/>
    <mergeCell ref="B23:C24"/>
    <mergeCell ref="D23:D24"/>
    <mergeCell ref="A25:A26"/>
    <mergeCell ref="B25:C26"/>
    <mergeCell ref="D25:D26"/>
    <mergeCell ref="A28:A29"/>
    <mergeCell ref="B28:C29"/>
    <mergeCell ref="D28:D29"/>
    <mergeCell ref="A35:A36"/>
    <mergeCell ref="B35:C36"/>
    <mergeCell ref="D35:D36"/>
    <mergeCell ref="B42:I42"/>
    <mergeCell ref="A31:A32"/>
    <mergeCell ref="B31:C32"/>
    <mergeCell ref="D31:D32"/>
    <mergeCell ref="A33:A34"/>
    <mergeCell ref="B33:C34"/>
    <mergeCell ref="D33:D34"/>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A9CC-59B0-4E48-B658-D3315B71CDBA}">
  <sheetPr codeName="Sheet64"/>
  <dimension ref="A1:I43"/>
  <sheetViews>
    <sheetView view="pageBreakPreview" topLeftCell="A37" zoomScaleNormal="100" zoomScaleSheetLayoutView="100" workbookViewId="0">
      <selection activeCell="D60" sqref="D60"/>
    </sheetView>
  </sheetViews>
  <sheetFormatPr baseColWidth="10" defaultColWidth="8.6640625" defaultRowHeight="15"/>
  <cols>
    <col min="1" max="1" width="1.83203125" style="1109" customWidth="1"/>
    <col min="2" max="2" width="14.1640625" style="1109" customWidth="1"/>
    <col min="3" max="3" width="29.5" style="1109" customWidth="1"/>
    <col min="4" max="4" width="15.5" style="1109" customWidth="1"/>
    <col min="5" max="5" width="16" style="1109" customWidth="1"/>
    <col min="6" max="6" width="11.5" style="1109" customWidth="1"/>
    <col min="7" max="7" width="10.6640625" style="1109" customWidth="1"/>
    <col min="8" max="9" width="12.33203125" style="1109" customWidth="1"/>
    <col min="10" max="16384" width="8.6640625" style="1109"/>
  </cols>
  <sheetData>
    <row r="1" spans="1:9" ht="7.5" customHeight="1">
      <c r="B1" s="1114"/>
      <c r="C1" s="1114"/>
      <c r="D1" s="1114"/>
      <c r="F1" s="1090"/>
      <c r="G1" s="1090"/>
      <c r="H1" s="1090"/>
      <c r="I1" s="1090"/>
    </row>
    <row r="2" spans="1:9">
      <c r="B2" s="1123" t="s">
        <v>1071</v>
      </c>
      <c r="C2" s="1124" t="s">
        <v>1082</v>
      </c>
      <c r="D2" s="1124"/>
      <c r="E2" s="1124"/>
      <c r="F2" s="1124"/>
      <c r="G2" s="1124"/>
      <c r="H2" s="1124"/>
      <c r="I2" s="1124"/>
    </row>
    <row r="3" spans="1:9">
      <c r="B3" s="1125" t="s">
        <v>1073</v>
      </c>
      <c r="C3" s="1126" t="s">
        <v>1083</v>
      </c>
      <c r="D3" s="1126"/>
      <c r="E3" s="1126"/>
      <c r="F3" s="1126"/>
      <c r="G3" s="1126"/>
      <c r="H3" s="1126"/>
      <c r="I3" s="1126"/>
    </row>
    <row r="4" spans="1:9" ht="9.75" customHeight="1" thickBot="1">
      <c r="B4" s="1114"/>
      <c r="C4" s="1114"/>
      <c r="D4" s="1114"/>
      <c r="E4" s="1127"/>
      <c r="F4" s="1093"/>
      <c r="G4" s="1405"/>
      <c r="H4" s="1405"/>
    </row>
    <row r="5" spans="1:9" ht="77.25" customHeight="1" thickBot="1">
      <c r="B5" s="1412" t="s">
        <v>969</v>
      </c>
      <c r="C5" s="1412"/>
      <c r="D5" s="1128" t="s">
        <v>970</v>
      </c>
      <c r="E5" s="1129"/>
      <c r="F5" s="1094"/>
      <c r="G5" s="1095">
        <v>2021</v>
      </c>
      <c r="H5" s="1095">
        <v>2022</v>
      </c>
      <c r="I5" s="1058">
        <v>2023</v>
      </c>
    </row>
    <row r="6" spans="1:9" ht="17.25" customHeight="1">
      <c r="A6" s="1132"/>
      <c r="B6" s="1131" t="s">
        <v>260</v>
      </c>
      <c r="C6" s="1131"/>
      <c r="D6" s="1131"/>
      <c r="E6" s="1107"/>
      <c r="F6" s="1097"/>
      <c r="G6" s="1097"/>
      <c r="H6" s="1097"/>
      <c r="I6" s="1097"/>
    </row>
    <row r="7" spans="1:9" ht="27.25" customHeight="1">
      <c r="A7" s="1415"/>
      <c r="B7" s="1393" t="s">
        <v>1036</v>
      </c>
      <c r="C7" s="1393"/>
      <c r="D7" s="1393" t="s">
        <v>1037</v>
      </c>
      <c r="E7" s="1107" t="s">
        <v>1075</v>
      </c>
      <c r="F7" s="1106"/>
      <c r="G7" s="1101">
        <v>1148</v>
      </c>
      <c r="H7" s="1101">
        <v>3531</v>
      </c>
      <c r="I7" s="1101">
        <v>2751.6</v>
      </c>
    </row>
    <row r="8" spans="1:9" ht="27.25" customHeight="1">
      <c r="A8" s="1415"/>
      <c r="B8" s="1393"/>
      <c r="C8" s="1393"/>
      <c r="D8" s="1393"/>
      <c r="E8" s="1069" t="s">
        <v>1076</v>
      </c>
      <c r="F8" s="1106"/>
      <c r="G8" s="1101">
        <v>75</v>
      </c>
      <c r="H8" s="1101">
        <v>184</v>
      </c>
      <c r="I8" s="1101">
        <v>197</v>
      </c>
    </row>
    <row r="9" spans="1:9" ht="27.25" customHeight="1">
      <c r="A9" s="1408"/>
      <c r="B9" s="1393" t="s">
        <v>1038</v>
      </c>
      <c r="C9" s="1393"/>
      <c r="D9" s="1393" t="s">
        <v>1039</v>
      </c>
      <c r="E9" s="1107" t="s">
        <v>1075</v>
      </c>
      <c r="F9" s="1100"/>
      <c r="G9" s="1101">
        <v>2059</v>
      </c>
      <c r="H9" s="1101">
        <v>2946.6</v>
      </c>
      <c r="I9" s="1101">
        <v>2285.1999999999998</v>
      </c>
    </row>
    <row r="10" spans="1:9" ht="27.25" customHeight="1">
      <c r="A10" s="1408"/>
      <c r="B10" s="1393"/>
      <c r="C10" s="1393"/>
      <c r="D10" s="1393"/>
      <c r="E10" s="1069" t="s">
        <v>1076</v>
      </c>
      <c r="F10" s="1102"/>
      <c r="G10" s="1101">
        <v>148</v>
      </c>
      <c r="H10" s="1101">
        <v>171</v>
      </c>
      <c r="I10" s="1101">
        <v>172</v>
      </c>
    </row>
    <row r="11" spans="1:9" ht="17.25" customHeight="1">
      <c r="A11" s="1130"/>
      <c r="B11" s="1131" t="s">
        <v>261</v>
      </c>
      <c r="C11" s="1069"/>
      <c r="D11" s="1069"/>
      <c r="E11" s="1069"/>
      <c r="F11" s="1102"/>
      <c r="G11" s="1101"/>
      <c r="H11" s="1101"/>
      <c r="I11" s="1101"/>
    </row>
    <row r="12" spans="1:9" ht="27.25" customHeight="1">
      <c r="A12" s="1408"/>
      <c r="B12" s="1393" t="s">
        <v>1040</v>
      </c>
      <c r="C12" s="1393"/>
      <c r="D12" s="1393" t="s">
        <v>1041</v>
      </c>
      <c r="E12" s="1107" t="s">
        <v>1075</v>
      </c>
      <c r="F12" s="1106"/>
      <c r="G12" s="1101">
        <v>870.6</v>
      </c>
      <c r="H12" s="1101">
        <v>2521.4</v>
      </c>
      <c r="I12" s="1101">
        <v>2926</v>
      </c>
    </row>
    <row r="13" spans="1:9" ht="27.25" customHeight="1">
      <c r="A13" s="1408"/>
      <c r="B13" s="1393"/>
      <c r="C13" s="1393"/>
      <c r="D13" s="1393"/>
      <c r="E13" s="1069" t="s">
        <v>1076</v>
      </c>
      <c r="F13" s="1106"/>
      <c r="G13" s="1101">
        <v>203</v>
      </c>
      <c r="H13" s="1101">
        <v>227</v>
      </c>
      <c r="I13" s="1101">
        <v>242</v>
      </c>
    </row>
    <row r="14" spans="1:9" ht="27.25" customHeight="1">
      <c r="A14" s="1408"/>
      <c r="B14" s="1393" t="s">
        <v>1042</v>
      </c>
      <c r="C14" s="1393"/>
      <c r="D14" s="1393" t="s">
        <v>1043</v>
      </c>
      <c r="E14" s="1107" t="s">
        <v>1075</v>
      </c>
      <c r="F14" s="1106"/>
      <c r="G14" s="1101">
        <v>870.6</v>
      </c>
      <c r="H14" s="1101">
        <v>2521.4</v>
      </c>
      <c r="I14" s="1101">
        <v>2926</v>
      </c>
    </row>
    <row r="15" spans="1:9" ht="27.25" customHeight="1">
      <c r="A15" s="1408"/>
      <c r="B15" s="1393"/>
      <c r="C15" s="1393"/>
      <c r="D15" s="1393"/>
      <c r="E15" s="1069" t="s">
        <v>1076</v>
      </c>
      <c r="F15" s="1106"/>
      <c r="G15" s="1101">
        <v>203</v>
      </c>
      <c r="H15" s="1101">
        <v>227</v>
      </c>
      <c r="I15" s="1101">
        <v>242</v>
      </c>
    </row>
    <row r="16" spans="1:9" ht="27.25" customHeight="1">
      <c r="A16" s="1408"/>
      <c r="B16" s="1393" t="s">
        <v>1044</v>
      </c>
      <c r="C16" s="1393"/>
      <c r="D16" s="1393" t="s">
        <v>1045</v>
      </c>
      <c r="E16" s="1107" t="s">
        <v>1075</v>
      </c>
      <c r="F16" s="1106"/>
      <c r="G16" s="1101">
        <v>870.6</v>
      </c>
      <c r="H16" s="1101">
        <v>2521.4</v>
      </c>
      <c r="I16" s="1101">
        <v>2926</v>
      </c>
    </row>
    <row r="17" spans="1:9" ht="27.25" customHeight="1">
      <c r="A17" s="1408"/>
      <c r="B17" s="1393"/>
      <c r="C17" s="1393"/>
      <c r="D17" s="1393"/>
      <c r="E17" s="1069" t="s">
        <v>1076</v>
      </c>
      <c r="F17" s="1106"/>
      <c r="G17" s="1101">
        <v>203</v>
      </c>
      <c r="H17" s="1101">
        <v>227</v>
      </c>
      <c r="I17" s="1101">
        <v>242</v>
      </c>
    </row>
    <row r="18" spans="1:9" ht="27.25" customHeight="1">
      <c r="A18" s="1408"/>
      <c r="B18" s="1393" t="s">
        <v>1046</v>
      </c>
      <c r="C18" s="1393"/>
      <c r="D18" s="1393" t="s">
        <v>1047</v>
      </c>
      <c r="E18" s="1107" t="s">
        <v>1075</v>
      </c>
      <c r="F18" s="1106"/>
      <c r="G18" s="1101">
        <v>870.6</v>
      </c>
      <c r="H18" s="1101">
        <v>2521.4</v>
      </c>
      <c r="I18" s="1101">
        <v>2926</v>
      </c>
    </row>
    <row r="19" spans="1:9" ht="27.25" customHeight="1">
      <c r="A19" s="1408"/>
      <c r="B19" s="1393"/>
      <c r="C19" s="1393"/>
      <c r="D19" s="1393"/>
      <c r="E19" s="1069" t="s">
        <v>1076</v>
      </c>
      <c r="F19" s="1106"/>
      <c r="G19" s="1101">
        <v>203</v>
      </c>
      <c r="H19" s="1101">
        <v>227</v>
      </c>
      <c r="I19" s="1101">
        <v>242</v>
      </c>
    </row>
    <row r="20" spans="1:9" ht="27.25" customHeight="1">
      <c r="A20" s="1414"/>
      <c r="B20" s="1393" t="s">
        <v>1048</v>
      </c>
      <c r="C20" s="1393"/>
      <c r="D20" s="1393" t="s">
        <v>1049</v>
      </c>
      <c r="E20" s="1107" t="s">
        <v>1075</v>
      </c>
      <c r="F20" s="1100"/>
      <c r="G20" s="1101">
        <v>2912.7</v>
      </c>
      <c r="H20" s="1101">
        <v>2380.3000000000002</v>
      </c>
      <c r="I20" s="1101">
        <v>3394</v>
      </c>
    </row>
    <row r="21" spans="1:9" ht="27.25" customHeight="1">
      <c r="A21" s="1414"/>
      <c r="B21" s="1393"/>
      <c r="C21" s="1393"/>
      <c r="D21" s="1393"/>
      <c r="E21" s="1069" t="s">
        <v>1076</v>
      </c>
      <c r="F21" s="1102"/>
      <c r="G21" s="1101">
        <v>163</v>
      </c>
      <c r="H21" s="1101">
        <v>168</v>
      </c>
      <c r="I21" s="1101">
        <v>212</v>
      </c>
    </row>
    <row r="22" spans="1:9" ht="27.25" customHeight="1">
      <c r="A22" s="1408"/>
      <c r="B22" s="1393" t="s">
        <v>1050</v>
      </c>
      <c r="C22" s="1393"/>
      <c r="D22" s="1393" t="s">
        <v>1051</v>
      </c>
      <c r="E22" s="1107" t="s">
        <v>1075</v>
      </c>
      <c r="F22" s="1100"/>
      <c r="G22" s="1101">
        <v>1590.4</v>
      </c>
      <c r="H22" s="1101">
        <v>1947.8</v>
      </c>
      <c r="I22" s="1101">
        <v>1974.4</v>
      </c>
    </row>
    <row r="23" spans="1:9" ht="27.25" customHeight="1">
      <c r="A23" s="1408"/>
      <c r="B23" s="1393"/>
      <c r="C23" s="1393"/>
      <c r="D23" s="1393"/>
      <c r="E23" s="1069" t="s">
        <v>1076</v>
      </c>
      <c r="F23" s="1102"/>
      <c r="G23" s="1101">
        <v>148</v>
      </c>
      <c r="H23" s="1101">
        <v>185</v>
      </c>
      <c r="I23" s="1101">
        <v>192</v>
      </c>
    </row>
    <row r="24" spans="1:9" ht="17.25" customHeight="1">
      <c r="A24" s="1132"/>
      <c r="B24" s="1131" t="s">
        <v>262</v>
      </c>
      <c r="C24" s="1107"/>
      <c r="D24" s="1107"/>
      <c r="E24" s="1107"/>
      <c r="F24" s="1104"/>
      <c r="G24" s="1105"/>
      <c r="H24" s="1105"/>
      <c r="I24" s="1105"/>
    </row>
    <row r="25" spans="1:9" ht="27.25" customHeight="1">
      <c r="A25" s="1408"/>
      <c r="B25" s="1393" t="s">
        <v>1052</v>
      </c>
      <c r="C25" s="1393"/>
      <c r="D25" s="1413" t="s">
        <v>1053</v>
      </c>
      <c r="E25" s="1107" t="s">
        <v>1075</v>
      </c>
      <c r="F25" s="1100"/>
      <c r="G25" s="1101">
        <v>3316.6</v>
      </c>
      <c r="H25" s="1101">
        <v>4248</v>
      </c>
      <c r="I25" s="1101">
        <v>4021.2</v>
      </c>
    </row>
    <row r="26" spans="1:9" ht="27.25" customHeight="1">
      <c r="A26" s="1408"/>
      <c r="B26" s="1393"/>
      <c r="C26" s="1393"/>
      <c r="D26" s="1413"/>
      <c r="E26" s="1069" t="s">
        <v>1076</v>
      </c>
      <c r="F26" s="1102"/>
      <c r="G26" s="1101">
        <v>197</v>
      </c>
      <c r="H26" s="1101">
        <v>242</v>
      </c>
      <c r="I26" s="1101">
        <v>227</v>
      </c>
    </row>
    <row r="27" spans="1:9" ht="27.25" customHeight="1">
      <c r="A27" s="1408"/>
      <c r="B27" s="1393" t="s">
        <v>1054</v>
      </c>
      <c r="C27" s="1393"/>
      <c r="D27" s="1413" t="s">
        <v>1055</v>
      </c>
      <c r="E27" s="1107" t="s">
        <v>1075</v>
      </c>
      <c r="F27" s="1100"/>
      <c r="G27" s="1101">
        <v>1104</v>
      </c>
      <c r="H27" s="1101">
        <v>4751.6000000000004</v>
      </c>
      <c r="I27" s="1101">
        <v>4346.2</v>
      </c>
    </row>
    <row r="28" spans="1:9" ht="27.25" customHeight="1">
      <c r="A28" s="1408"/>
      <c r="B28" s="1393"/>
      <c r="C28" s="1393"/>
      <c r="D28" s="1413"/>
      <c r="E28" s="1069" t="s">
        <v>1076</v>
      </c>
      <c r="F28" s="1102"/>
      <c r="G28" s="1101">
        <v>220</v>
      </c>
      <c r="H28" s="1101">
        <v>292</v>
      </c>
      <c r="I28" s="1101">
        <v>252</v>
      </c>
    </row>
    <row r="29" spans="1:9" ht="27.25" customHeight="1">
      <c r="A29" s="1408"/>
      <c r="B29" s="1393" t="s">
        <v>1056</v>
      </c>
      <c r="C29" s="1393"/>
      <c r="D29" s="1393" t="s">
        <v>1057</v>
      </c>
      <c r="E29" s="1107" t="s">
        <v>1075</v>
      </c>
      <c r="F29" s="1100"/>
      <c r="G29" s="1101">
        <v>3307.5</v>
      </c>
      <c r="H29" s="1101">
        <v>4079.6</v>
      </c>
      <c r="I29" s="1101">
        <v>4436.6000000000004</v>
      </c>
    </row>
    <row r="30" spans="1:9" ht="27.25" customHeight="1">
      <c r="A30" s="1408"/>
      <c r="B30" s="1393"/>
      <c r="C30" s="1393"/>
      <c r="D30" s="1393"/>
      <c r="E30" s="1069" t="s">
        <v>1076</v>
      </c>
      <c r="F30" s="1102"/>
      <c r="G30" s="1101">
        <v>235</v>
      </c>
      <c r="H30" s="1101">
        <v>258</v>
      </c>
      <c r="I30" s="1101">
        <v>236</v>
      </c>
    </row>
    <row r="31" spans="1:9" ht="27.25" customHeight="1">
      <c r="A31" s="1408"/>
      <c r="B31" s="1393" t="s">
        <v>1058</v>
      </c>
      <c r="C31" s="1393"/>
      <c r="D31" s="1393" t="s">
        <v>1059</v>
      </c>
      <c r="E31" s="1107" t="s">
        <v>1075</v>
      </c>
      <c r="F31" s="1106"/>
      <c r="G31" s="1101">
        <v>1121</v>
      </c>
      <c r="H31" s="1101">
        <v>3328</v>
      </c>
      <c r="I31" s="1101">
        <v>4118.6000000000004</v>
      </c>
    </row>
    <row r="32" spans="1:9" ht="27.25" customHeight="1">
      <c r="A32" s="1408"/>
      <c r="B32" s="1393"/>
      <c r="C32" s="1393"/>
      <c r="D32" s="1393"/>
      <c r="E32" s="1069" t="s">
        <v>1076</v>
      </c>
      <c r="F32" s="1106"/>
      <c r="G32" s="1101">
        <v>188</v>
      </c>
      <c r="H32" s="1101">
        <v>226</v>
      </c>
      <c r="I32" s="1101">
        <v>230</v>
      </c>
    </row>
    <row r="33" spans="1:9" ht="27.25" customHeight="1">
      <c r="A33" s="1408"/>
      <c r="B33" s="1393" t="s">
        <v>1060</v>
      </c>
      <c r="C33" s="1393"/>
      <c r="D33" s="1393" t="s">
        <v>1061</v>
      </c>
      <c r="E33" s="1107" t="s">
        <v>1075</v>
      </c>
      <c r="F33" s="1100"/>
      <c r="G33" s="1101">
        <v>2288.6</v>
      </c>
      <c r="H33" s="1101">
        <v>3344.2</v>
      </c>
      <c r="I33" s="1101">
        <v>2877.6</v>
      </c>
    </row>
    <row r="34" spans="1:9" ht="27.25" customHeight="1">
      <c r="A34" s="1408"/>
      <c r="B34" s="1393"/>
      <c r="C34" s="1393"/>
      <c r="D34" s="1393"/>
      <c r="E34" s="1069" t="s">
        <v>1076</v>
      </c>
      <c r="F34" s="1102"/>
      <c r="G34" s="1101">
        <v>160</v>
      </c>
      <c r="H34" s="1101">
        <v>209</v>
      </c>
      <c r="I34" s="1101">
        <v>211</v>
      </c>
    </row>
    <row r="35" spans="1:9" ht="27.25" customHeight="1">
      <c r="A35" s="1408"/>
      <c r="B35" s="1393" t="s">
        <v>1062</v>
      </c>
      <c r="C35" s="1393"/>
      <c r="D35" s="1393" t="s">
        <v>1061</v>
      </c>
      <c r="E35" s="1107" t="s">
        <v>1075</v>
      </c>
      <c r="F35" s="1100"/>
      <c r="G35" s="1101">
        <v>3012.8</v>
      </c>
      <c r="H35" s="1101">
        <v>3275.4</v>
      </c>
      <c r="I35" s="1101">
        <v>3251.4</v>
      </c>
    </row>
    <row r="36" spans="1:9" ht="29.25" customHeight="1" thickBot="1">
      <c r="A36" s="1408"/>
      <c r="B36" s="1402"/>
      <c r="C36" s="1402"/>
      <c r="D36" s="1402"/>
      <c r="E36" s="1110" t="s">
        <v>1076</v>
      </c>
      <c r="F36" s="1111"/>
      <c r="G36" s="1113">
        <v>213</v>
      </c>
      <c r="H36" s="1113">
        <v>258</v>
      </c>
      <c r="I36" s="1113">
        <v>235</v>
      </c>
    </row>
    <row r="37" spans="1:9">
      <c r="B37" s="1114"/>
      <c r="C37" s="1114"/>
      <c r="D37" s="1114"/>
      <c r="F37" s="1090"/>
      <c r="G37" s="1090"/>
      <c r="I37" s="1115" t="s">
        <v>1004</v>
      </c>
    </row>
    <row r="38" spans="1:9">
      <c r="B38" s="1114"/>
      <c r="C38" s="1114"/>
      <c r="D38" s="1114"/>
      <c r="F38" s="1090"/>
      <c r="G38" s="1090"/>
      <c r="I38" s="1116" t="s">
        <v>1005</v>
      </c>
    </row>
    <row r="39" spans="1:9">
      <c r="B39" s="1117" t="s">
        <v>1006</v>
      </c>
      <c r="C39" s="1118"/>
      <c r="D39" s="1114"/>
      <c r="F39" s="1090"/>
      <c r="G39" s="1090"/>
      <c r="H39" s="1090"/>
      <c r="I39" s="1090"/>
    </row>
    <row r="40" spans="1:9">
      <c r="A40" s="1076" t="s">
        <v>35</v>
      </c>
      <c r="B40" s="1117" t="s">
        <v>1007</v>
      </c>
      <c r="C40" s="1118"/>
      <c r="D40" s="1114"/>
      <c r="F40" s="1090"/>
      <c r="G40" s="1090"/>
      <c r="H40" s="1090"/>
      <c r="I40" s="1090"/>
    </row>
    <row r="41" spans="1:9">
      <c r="A41" s="1076" t="s">
        <v>38</v>
      </c>
      <c r="B41" s="1119" t="s">
        <v>1008</v>
      </c>
      <c r="C41" s="1120"/>
      <c r="D41" s="1114"/>
      <c r="F41" s="1090"/>
      <c r="G41" s="1090"/>
      <c r="H41" s="1090"/>
      <c r="I41" s="1090"/>
    </row>
    <row r="42" spans="1:9" ht="25.5" customHeight="1">
      <c r="A42" s="1085" t="s">
        <v>273</v>
      </c>
      <c r="B42" s="1403" t="s">
        <v>1067</v>
      </c>
      <c r="C42" s="1403"/>
      <c r="D42" s="1403"/>
      <c r="E42" s="1403"/>
      <c r="F42" s="1403"/>
      <c r="G42" s="1403"/>
      <c r="H42" s="1403"/>
      <c r="I42" s="1403"/>
    </row>
    <row r="43" spans="1:9">
      <c r="B43" s="1121"/>
      <c r="C43" s="1121"/>
      <c r="D43" s="1122"/>
    </row>
  </sheetData>
  <mergeCells count="45">
    <mergeCell ref="A9:A10"/>
    <mergeCell ref="B9:C10"/>
    <mergeCell ref="D9:D10"/>
    <mergeCell ref="G4:H4"/>
    <mergeCell ref="B5:C5"/>
    <mergeCell ref="A7:A8"/>
    <mergeCell ref="B7:C8"/>
    <mergeCell ref="D7:D8"/>
    <mergeCell ref="A12:A13"/>
    <mergeCell ref="B12:C13"/>
    <mergeCell ref="D12:D13"/>
    <mergeCell ref="A14:A15"/>
    <mergeCell ref="B14:C15"/>
    <mergeCell ref="D14:D15"/>
    <mergeCell ref="A16:A17"/>
    <mergeCell ref="B16:C17"/>
    <mergeCell ref="D16:D17"/>
    <mergeCell ref="A18:A19"/>
    <mergeCell ref="B18:C19"/>
    <mergeCell ref="D18:D19"/>
    <mergeCell ref="A20:A21"/>
    <mergeCell ref="B20:C21"/>
    <mergeCell ref="D20:D21"/>
    <mergeCell ref="A22:A23"/>
    <mergeCell ref="B22:C23"/>
    <mergeCell ref="D22:D23"/>
    <mergeCell ref="A25:A26"/>
    <mergeCell ref="B25:C26"/>
    <mergeCell ref="D25:D26"/>
    <mergeCell ref="A27:A28"/>
    <mergeCell ref="B27:C28"/>
    <mergeCell ref="D27:D28"/>
    <mergeCell ref="A29:A30"/>
    <mergeCell ref="B29:C30"/>
    <mergeCell ref="D29:D30"/>
    <mergeCell ref="A31:A32"/>
    <mergeCell ref="B31:C32"/>
    <mergeCell ref="D31:D32"/>
    <mergeCell ref="B42:I42"/>
    <mergeCell ref="A33:A34"/>
    <mergeCell ref="B33:C34"/>
    <mergeCell ref="D33:D34"/>
    <mergeCell ref="A35:A36"/>
    <mergeCell ref="B35:C36"/>
    <mergeCell ref="D35:D36"/>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303D-8A37-405F-83E8-3B4465CF9BCC}">
  <sheetPr codeName="Sheet65">
    <pageSetUpPr fitToPage="1"/>
  </sheetPr>
  <dimension ref="A1:I21"/>
  <sheetViews>
    <sheetView view="pageBreakPreview" topLeftCell="A13" zoomScaleNormal="100" zoomScaleSheetLayoutView="100" workbookViewId="0">
      <selection activeCell="D60" sqref="D60"/>
    </sheetView>
  </sheetViews>
  <sheetFormatPr baseColWidth="10" defaultColWidth="8.6640625" defaultRowHeight="15"/>
  <cols>
    <col min="1" max="1" width="3" style="1109" customWidth="1"/>
    <col min="2" max="2" width="14.1640625" style="1109" customWidth="1"/>
    <col min="3" max="3" width="29.1640625" style="1109" customWidth="1"/>
    <col min="4" max="4" width="15.5" style="1109" customWidth="1"/>
    <col min="5" max="5" width="16" style="1109" customWidth="1"/>
    <col min="6" max="6" width="12.1640625" style="1109" customWidth="1"/>
    <col min="7" max="7" width="10.6640625" style="1109" customWidth="1"/>
    <col min="8" max="9" width="12.33203125" style="1109" customWidth="1"/>
    <col min="10" max="16384" width="8.6640625" style="1109"/>
  </cols>
  <sheetData>
    <row r="1" spans="1:9">
      <c r="B1" s="1114"/>
      <c r="C1" s="1114"/>
      <c r="D1" s="1114"/>
      <c r="F1" s="1090"/>
      <c r="G1" s="1090"/>
      <c r="H1" s="1090"/>
      <c r="I1" s="1090"/>
    </row>
    <row r="2" spans="1:9">
      <c r="B2" s="1123" t="s">
        <v>1071</v>
      </c>
      <c r="C2" s="1124" t="s">
        <v>1082</v>
      </c>
      <c r="D2" s="1124"/>
      <c r="E2" s="1124"/>
      <c r="F2" s="1124"/>
      <c r="G2" s="1124"/>
      <c r="H2" s="1124"/>
      <c r="I2" s="1124"/>
    </row>
    <row r="3" spans="1:9">
      <c r="B3" s="1125" t="s">
        <v>1073</v>
      </c>
      <c r="C3" s="1126" t="s">
        <v>1083</v>
      </c>
      <c r="D3" s="1126"/>
      <c r="E3" s="1126"/>
      <c r="F3" s="1126"/>
      <c r="G3" s="1126"/>
      <c r="H3" s="1126"/>
      <c r="I3" s="1126"/>
    </row>
    <row r="4" spans="1:9" ht="16" thickBot="1">
      <c r="B4" s="1114"/>
      <c r="C4" s="1114"/>
      <c r="D4" s="1114"/>
      <c r="E4" s="1127"/>
      <c r="F4" s="1093"/>
      <c r="G4" s="1405"/>
      <c r="H4" s="1405"/>
    </row>
    <row r="5" spans="1:9" ht="77.25" customHeight="1" thickBot="1">
      <c r="B5" s="1412" t="s">
        <v>969</v>
      </c>
      <c r="C5" s="1412"/>
      <c r="D5" s="1128" t="s">
        <v>970</v>
      </c>
      <c r="E5" s="1129"/>
      <c r="F5" s="1094"/>
      <c r="G5" s="1095">
        <v>2021</v>
      </c>
      <c r="H5" s="1095">
        <v>2022</v>
      </c>
      <c r="I5" s="1058">
        <v>2023</v>
      </c>
    </row>
    <row r="6" spans="1:9" ht="17.25" customHeight="1">
      <c r="A6" s="1132"/>
      <c r="B6" s="1131" t="s">
        <v>262</v>
      </c>
      <c r="C6" s="1131"/>
      <c r="D6" s="1131"/>
      <c r="E6" s="1107"/>
      <c r="F6" s="1097"/>
      <c r="G6" s="1097"/>
      <c r="H6" s="1097"/>
      <c r="I6" s="1097"/>
    </row>
    <row r="7" spans="1:9" ht="27.25" customHeight="1">
      <c r="A7" s="1408"/>
      <c r="B7" s="1393" t="s">
        <v>1063</v>
      </c>
      <c r="C7" s="1393"/>
      <c r="D7" s="1393" t="s">
        <v>1064</v>
      </c>
      <c r="E7" s="1107" t="s">
        <v>1075</v>
      </c>
      <c r="F7" s="1106"/>
      <c r="G7" s="1101">
        <v>1121</v>
      </c>
      <c r="H7" s="1101">
        <v>3328</v>
      </c>
      <c r="I7" s="1101">
        <v>4118.6000000000004</v>
      </c>
    </row>
    <row r="8" spans="1:9" ht="27.25" customHeight="1">
      <c r="A8" s="1408"/>
      <c r="B8" s="1393"/>
      <c r="C8" s="1393"/>
      <c r="D8" s="1393"/>
      <c r="E8" s="1069" t="s">
        <v>1076</v>
      </c>
      <c r="F8" s="1106"/>
      <c r="G8" s="1101">
        <v>188</v>
      </c>
      <c r="H8" s="1101">
        <v>226</v>
      </c>
      <c r="I8" s="1101">
        <v>230</v>
      </c>
    </row>
    <row r="9" spans="1:9" ht="27.25" customHeight="1">
      <c r="A9" s="1408"/>
      <c r="B9" s="1393" t="s">
        <v>1065</v>
      </c>
      <c r="C9" s="1393"/>
      <c r="D9" s="1393" t="s">
        <v>1066</v>
      </c>
      <c r="E9" s="1107" t="s">
        <v>1075</v>
      </c>
      <c r="F9" s="1100"/>
      <c r="G9" s="1101">
        <v>2288.6</v>
      </c>
      <c r="H9" s="1101">
        <v>3344.2</v>
      </c>
      <c r="I9" s="1101">
        <v>2877.6</v>
      </c>
    </row>
    <row r="10" spans="1:9" ht="27.25" customHeight="1">
      <c r="A10" s="1408"/>
      <c r="B10" s="1393"/>
      <c r="C10" s="1393"/>
      <c r="D10" s="1393"/>
      <c r="E10" s="1069" t="s">
        <v>1076</v>
      </c>
      <c r="F10" s="1102"/>
      <c r="G10" s="1101">
        <v>160</v>
      </c>
      <c r="H10" s="1101">
        <v>209</v>
      </c>
      <c r="I10" s="1101">
        <v>211</v>
      </c>
    </row>
    <row r="11" spans="1:9" ht="17.25" customHeight="1">
      <c r="A11" s="1132"/>
      <c r="B11" s="1131" t="s">
        <v>264</v>
      </c>
      <c r="C11" s="1107"/>
      <c r="D11" s="1107"/>
      <c r="E11" s="1107"/>
      <c r="F11" s="1104"/>
      <c r="G11" s="1105"/>
      <c r="H11" s="1105"/>
      <c r="I11" s="1105"/>
    </row>
    <row r="12" spans="1:9" ht="27.25" customHeight="1">
      <c r="A12" s="1408"/>
      <c r="B12" s="1393" t="s">
        <v>1085</v>
      </c>
      <c r="C12" s="1393"/>
      <c r="D12" s="1393" t="s">
        <v>1070</v>
      </c>
      <c r="E12" s="1107" t="s">
        <v>1075</v>
      </c>
      <c r="F12" s="1100"/>
      <c r="G12" s="1101">
        <v>3433.6</v>
      </c>
      <c r="H12" s="1101">
        <v>4301.3</v>
      </c>
      <c r="I12" s="1101">
        <v>4127.5</v>
      </c>
    </row>
    <row r="13" spans="1:9" ht="27.25" customHeight="1">
      <c r="A13" s="1408"/>
      <c r="B13" s="1393"/>
      <c r="C13" s="1393"/>
      <c r="D13" s="1393"/>
      <c r="E13" s="1069" t="s">
        <v>1076</v>
      </c>
      <c r="F13" s="1102"/>
      <c r="G13" s="1101">
        <v>180</v>
      </c>
      <c r="H13" s="1101">
        <v>203</v>
      </c>
      <c r="I13" s="1101">
        <v>225</v>
      </c>
    </row>
    <row r="14" spans="1:9" ht="16" thickBot="1">
      <c r="B14" s="1135"/>
      <c r="C14" s="1135"/>
      <c r="D14" s="1136"/>
      <c r="E14" s="1110"/>
      <c r="F14" s="1137"/>
      <c r="G14" s="1137"/>
      <c r="H14" s="1137"/>
      <c r="I14" s="1137"/>
    </row>
    <row r="15" spans="1:9">
      <c r="B15" s="1114"/>
      <c r="C15" s="1114"/>
      <c r="D15" s="1114"/>
      <c r="F15" s="1090"/>
      <c r="G15" s="1090"/>
      <c r="I15" s="1115" t="s">
        <v>1004</v>
      </c>
    </row>
    <row r="16" spans="1:9">
      <c r="B16" s="1114"/>
      <c r="C16" s="1114"/>
      <c r="D16" s="1114"/>
      <c r="F16" s="1090"/>
      <c r="G16" s="1090"/>
      <c r="I16" s="1116" t="s">
        <v>1005</v>
      </c>
    </row>
    <row r="17" spans="1:9">
      <c r="B17" s="1117" t="s">
        <v>1006</v>
      </c>
      <c r="C17" s="1118"/>
      <c r="D17" s="1114"/>
      <c r="F17" s="1090"/>
      <c r="G17" s="1090"/>
      <c r="H17" s="1090"/>
      <c r="I17" s="1090"/>
    </row>
    <row r="18" spans="1:9">
      <c r="A18" s="1076" t="s">
        <v>35</v>
      </c>
      <c r="B18" s="1117" t="s">
        <v>1007</v>
      </c>
      <c r="C18" s="1118"/>
      <c r="D18" s="1114"/>
      <c r="F18" s="1090"/>
      <c r="G18" s="1090"/>
      <c r="H18" s="1090"/>
      <c r="I18" s="1090"/>
    </row>
    <row r="19" spans="1:9">
      <c r="A19" s="1076" t="s">
        <v>38</v>
      </c>
      <c r="B19" s="1119" t="s">
        <v>1008</v>
      </c>
      <c r="C19" s="1120"/>
      <c r="D19" s="1114"/>
      <c r="F19" s="1090"/>
      <c r="G19" s="1090"/>
      <c r="H19" s="1090"/>
      <c r="I19" s="1090"/>
    </row>
    <row r="20" spans="1:9" ht="25.5" customHeight="1">
      <c r="A20" s="1085" t="s">
        <v>273</v>
      </c>
      <c r="B20" s="1403" t="s">
        <v>1067</v>
      </c>
      <c r="C20" s="1403"/>
      <c r="D20" s="1403"/>
      <c r="E20" s="1403"/>
      <c r="F20" s="1403"/>
      <c r="G20" s="1403"/>
      <c r="H20" s="1403"/>
      <c r="I20" s="1403"/>
    </row>
    <row r="21" spans="1:9">
      <c r="B21" s="1121"/>
      <c r="C21" s="1121"/>
      <c r="D21" s="1122"/>
    </row>
  </sheetData>
  <mergeCells count="12">
    <mergeCell ref="A12:A13"/>
    <mergeCell ref="B12:C13"/>
    <mergeCell ref="D12:D13"/>
    <mergeCell ref="B20:I20"/>
    <mergeCell ref="G4:H4"/>
    <mergeCell ref="B5:C5"/>
    <mergeCell ref="A7:A8"/>
    <mergeCell ref="B7:C8"/>
    <mergeCell ref="D7:D8"/>
    <mergeCell ref="A9:A10"/>
    <mergeCell ref="B9:C10"/>
    <mergeCell ref="D9:D10"/>
  </mergeCells>
  <pageMargins left="0.55118110236220474" right="0.55118110236220474" top="0.55118110236220474" bottom="0.55118110236220474" header="0.55118110236220474" footer="0.55118110236220474"/>
  <pageSetup paperSize="9" scale="68"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DE2B-2E16-4CC5-9BC4-30CDE43EDA23}">
  <sheetPr codeName="Sheet66"/>
  <dimension ref="A1:H49"/>
  <sheetViews>
    <sheetView view="pageBreakPreview" zoomScale="90" zoomScaleNormal="100" zoomScaleSheetLayoutView="90" workbookViewId="0">
      <selection activeCell="D60" sqref="D60"/>
    </sheetView>
  </sheetViews>
  <sheetFormatPr baseColWidth="10" defaultColWidth="9.1640625" defaultRowHeight="13"/>
  <cols>
    <col min="1" max="1" width="2.1640625" style="1138" customWidth="1"/>
    <col min="2" max="2" width="14" style="839" customWidth="1"/>
    <col min="3" max="3" width="33.6640625" style="839" customWidth="1"/>
    <col min="4" max="4" width="17.83203125" style="839" customWidth="1"/>
    <col min="5" max="5" width="23.33203125" style="839" customWidth="1"/>
    <col min="6" max="8" width="10.6640625" style="1139" customWidth="1"/>
    <col min="9" max="16384" width="9.1640625" style="839"/>
  </cols>
  <sheetData>
    <row r="1" spans="1:8" ht="8.25" customHeight="1"/>
    <row r="2" spans="1:8" ht="14">
      <c r="B2" s="1123" t="s">
        <v>1086</v>
      </c>
      <c r="C2" s="1140" t="s">
        <v>1087</v>
      </c>
      <c r="D2" s="1140"/>
      <c r="E2" s="1140"/>
      <c r="F2" s="1140"/>
      <c r="G2" s="1140"/>
      <c r="H2" s="1140"/>
    </row>
    <row r="3" spans="1:8" ht="14">
      <c r="B3" s="1125" t="s">
        <v>1088</v>
      </c>
      <c r="C3" s="1141" t="s">
        <v>1089</v>
      </c>
      <c r="D3" s="1141"/>
      <c r="E3" s="1141"/>
      <c r="F3" s="1141"/>
      <c r="G3" s="1141"/>
      <c r="H3" s="1141"/>
    </row>
    <row r="4" spans="1:8" ht="12.5" customHeight="1" thickBot="1">
      <c r="F4" s="1142"/>
      <c r="G4" s="1417"/>
      <c r="H4" s="1417"/>
    </row>
    <row r="5" spans="1:8" ht="27.25" customHeight="1">
      <c r="B5" s="1418" t="s">
        <v>969</v>
      </c>
      <c r="C5" s="1418"/>
      <c r="D5" s="1420" t="s">
        <v>1090</v>
      </c>
      <c r="E5" s="1144"/>
      <c r="F5" s="1422"/>
      <c r="G5" s="1422"/>
      <c r="H5" s="1422"/>
    </row>
    <row r="6" spans="1:8" ht="46.5" customHeight="1" thickBot="1">
      <c r="B6" s="1419"/>
      <c r="C6" s="1419"/>
      <c r="D6" s="1421"/>
      <c r="E6" s="1145"/>
      <c r="F6" s="1146" t="s">
        <v>1091</v>
      </c>
      <c r="G6" s="1146" t="s">
        <v>1092</v>
      </c>
      <c r="H6" s="1146" t="s">
        <v>1093</v>
      </c>
    </row>
    <row r="7" spans="1:8" ht="20.25" customHeight="1">
      <c r="B7" s="1147" t="s">
        <v>250</v>
      </c>
      <c r="C7" s="1147"/>
      <c r="D7" s="1148"/>
      <c r="E7" s="1148"/>
      <c r="F7" s="1149"/>
      <c r="G7" s="1150"/>
      <c r="H7" s="1150"/>
    </row>
    <row r="8" spans="1:8" ht="27.25" customHeight="1">
      <c r="B8" s="1393" t="s">
        <v>975</v>
      </c>
      <c r="C8" s="1393"/>
      <c r="D8" s="1134" t="s">
        <v>976</v>
      </c>
      <c r="E8" s="1134"/>
      <c r="F8" s="1151">
        <v>80.2</v>
      </c>
      <c r="G8" s="1151">
        <v>82.3</v>
      </c>
      <c r="H8" s="1151">
        <v>82.5</v>
      </c>
    </row>
    <row r="9" spans="1:8" ht="27.25" customHeight="1">
      <c r="A9" s="1152"/>
      <c r="B9" s="1393" t="s">
        <v>1077</v>
      </c>
      <c r="C9" s="1393"/>
      <c r="D9" s="1134" t="s">
        <v>980</v>
      </c>
      <c r="E9" s="1134"/>
      <c r="F9" s="1151">
        <v>79.900000000000006</v>
      </c>
      <c r="G9" s="1151">
        <v>82.8</v>
      </c>
      <c r="H9" s="1151">
        <v>82.6</v>
      </c>
    </row>
    <row r="10" spans="1:8" ht="27.25" customHeight="1">
      <c r="A10" s="1152"/>
      <c r="B10" s="1393" t="s">
        <v>982</v>
      </c>
      <c r="C10" s="1393"/>
      <c r="D10" s="1134" t="s">
        <v>983</v>
      </c>
      <c r="E10" s="1134"/>
      <c r="F10" s="1151" t="s">
        <v>1079</v>
      </c>
      <c r="G10" s="1151">
        <v>78.3</v>
      </c>
      <c r="H10" s="1151">
        <v>84.2</v>
      </c>
    </row>
    <row r="11" spans="1:8" ht="27.25" customHeight="1">
      <c r="A11" s="1152"/>
      <c r="B11" s="1393" t="s">
        <v>1078</v>
      </c>
      <c r="C11" s="1393"/>
      <c r="D11" s="1134" t="s">
        <v>985</v>
      </c>
      <c r="E11" s="1134"/>
      <c r="F11" s="1151">
        <v>84.9</v>
      </c>
      <c r="G11" s="1151">
        <v>84</v>
      </c>
      <c r="H11" s="1151">
        <v>83.7</v>
      </c>
    </row>
    <row r="12" spans="1:8" ht="19.5" customHeight="1">
      <c r="B12" s="1147" t="s">
        <v>251</v>
      </c>
      <c r="C12" s="1148"/>
      <c r="D12" s="1134"/>
      <c r="E12" s="1134"/>
      <c r="F12" s="1153"/>
      <c r="G12" s="1153"/>
      <c r="H12" s="1153"/>
    </row>
    <row r="13" spans="1:8" ht="27.25" customHeight="1">
      <c r="A13" s="1152"/>
      <c r="B13" s="1393" t="s">
        <v>986</v>
      </c>
      <c r="C13" s="1393"/>
      <c r="D13" s="1134" t="s">
        <v>987</v>
      </c>
      <c r="E13" s="1134"/>
      <c r="F13" s="1151">
        <v>82.4</v>
      </c>
      <c r="G13" s="1151">
        <v>83.6</v>
      </c>
      <c r="H13" s="1151">
        <v>82.2</v>
      </c>
    </row>
    <row r="14" spans="1:8" ht="27.25" customHeight="1">
      <c r="A14" s="1152"/>
      <c r="B14" s="1393" t="s">
        <v>988</v>
      </c>
      <c r="C14" s="1393"/>
      <c r="D14" s="1134" t="s">
        <v>989</v>
      </c>
      <c r="E14" s="1134"/>
      <c r="F14" s="1151">
        <v>78.7</v>
      </c>
      <c r="G14" s="1151">
        <v>80.900000000000006</v>
      </c>
      <c r="H14" s="1151">
        <v>85.4</v>
      </c>
    </row>
    <row r="15" spans="1:8" ht="20.25" customHeight="1">
      <c r="B15" s="1147" t="s">
        <v>252</v>
      </c>
      <c r="C15" s="1148"/>
      <c r="D15" s="1134"/>
      <c r="E15" s="1134"/>
      <c r="F15" s="1153"/>
      <c r="G15" s="1153"/>
      <c r="H15" s="1153"/>
    </row>
    <row r="16" spans="1:8" ht="27.25" customHeight="1">
      <c r="A16" s="1152"/>
      <c r="B16" s="1393" t="s">
        <v>990</v>
      </c>
      <c r="C16" s="1393"/>
      <c r="D16" s="1134" t="s">
        <v>991</v>
      </c>
      <c r="E16" s="1134"/>
      <c r="F16" s="1151">
        <v>79.7</v>
      </c>
      <c r="G16" s="1151">
        <v>81.099999999999994</v>
      </c>
      <c r="H16" s="1151">
        <v>81.7</v>
      </c>
    </row>
    <row r="17" spans="1:8" ht="27.25" customHeight="1">
      <c r="A17" s="1152"/>
      <c r="B17" s="1393" t="s">
        <v>992</v>
      </c>
      <c r="C17" s="1393"/>
      <c r="D17" s="1134" t="s">
        <v>993</v>
      </c>
      <c r="E17" s="1134"/>
      <c r="F17" s="1151" t="s">
        <v>1094</v>
      </c>
      <c r="G17" s="1151">
        <v>83.4</v>
      </c>
      <c r="H17" s="1151">
        <v>85.4</v>
      </c>
    </row>
    <row r="18" spans="1:8" ht="27.25" customHeight="1">
      <c r="A18" s="1152"/>
      <c r="B18" s="1393" t="s">
        <v>994</v>
      </c>
      <c r="C18" s="1393"/>
      <c r="D18" s="1134" t="s">
        <v>995</v>
      </c>
      <c r="E18" s="1134"/>
      <c r="F18" s="1151" t="s">
        <v>1094</v>
      </c>
      <c r="G18" s="1151">
        <v>83.4</v>
      </c>
      <c r="H18" s="1151">
        <v>85.4</v>
      </c>
    </row>
    <row r="19" spans="1:8" ht="20.25" customHeight="1">
      <c r="B19" s="1147" t="s">
        <v>1080</v>
      </c>
      <c r="C19" s="1148"/>
      <c r="D19" s="1134"/>
      <c r="E19" s="1134"/>
      <c r="F19" s="1153"/>
      <c r="G19" s="1153"/>
      <c r="H19" s="1153"/>
    </row>
    <row r="20" spans="1:8" ht="27.25" customHeight="1">
      <c r="A20" s="1152"/>
      <c r="B20" s="1393" t="s">
        <v>1081</v>
      </c>
      <c r="C20" s="1393"/>
      <c r="D20" s="1134" t="s">
        <v>997</v>
      </c>
      <c r="E20" s="1134"/>
      <c r="F20" s="1151">
        <v>76.599999999999994</v>
      </c>
      <c r="G20" s="1151">
        <v>79.3</v>
      </c>
      <c r="H20" s="1151">
        <v>80.5</v>
      </c>
    </row>
    <row r="21" spans="1:8" ht="20.25" customHeight="1">
      <c r="B21" s="1416" t="s">
        <v>254</v>
      </c>
      <c r="C21" s="1416"/>
      <c r="D21" s="1134"/>
      <c r="E21" s="1134"/>
      <c r="F21" s="1153"/>
      <c r="G21" s="1153"/>
      <c r="H21" s="1153"/>
    </row>
    <row r="22" spans="1:8" ht="27.25" customHeight="1">
      <c r="A22" s="1152"/>
      <c r="B22" s="1393" t="s">
        <v>998</v>
      </c>
      <c r="C22" s="1393"/>
      <c r="D22" s="1134" t="s">
        <v>999</v>
      </c>
      <c r="E22" s="1134"/>
      <c r="F22" s="1151">
        <v>80.900000000000006</v>
      </c>
      <c r="G22" s="1151">
        <v>81.3</v>
      </c>
      <c r="H22" s="1151">
        <v>83.4</v>
      </c>
    </row>
    <row r="23" spans="1:8" ht="21.25" customHeight="1">
      <c r="B23" s="1147" t="s">
        <v>255</v>
      </c>
      <c r="C23" s="1148"/>
      <c r="D23" s="1134"/>
      <c r="E23" s="1134"/>
      <c r="F23" s="1153"/>
      <c r="G23" s="1153"/>
      <c r="H23" s="1153"/>
    </row>
    <row r="24" spans="1:8" ht="27.25" customHeight="1">
      <c r="B24" s="1393" t="s">
        <v>1000</v>
      </c>
      <c r="C24" s="1393"/>
      <c r="D24" s="1134" t="s">
        <v>1001</v>
      </c>
      <c r="E24" s="1134"/>
      <c r="F24" s="1151">
        <v>87.4</v>
      </c>
      <c r="G24" s="1151">
        <v>89.4</v>
      </c>
      <c r="H24" s="1151">
        <v>88.7</v>
      </c>
    </row>
    <row r="25" spans="1:8" ht="27.25" customHeight="1">
      <c r="B25" s="1393" t="s">
        <v>1002</v>
      </c>
      <c r="C25" s="1393"/>
      <c r="D25" s="1134" t="s">
        <v>1003</v>
      </c>
      <c r="E25" s="1134"/>
      <c r="F25" s="1151">
        <v>87.4</v>
      </c>
      <c r="G25" s="1151">
        <v>89.4</v>
      </c>
      <c r="H25" s="1151">
        <v>88.7</v>
      </c>
    </row>
    <row r="26" spans="1:8" ht="27.25" customHeight="1">
      <c r="B26" s="1393" t="s">
        <v>1013</v>
      </c>
      <c r="C26" s="1393"/>
      <c r="D26" s="1134" t="s">
        <v>1014</v>
      </c>
      <c r="E26" s="1134"/>
      <c r="F26" s="1151">
        <v>82.4</v>
      </c>
      <c r="G26" s="1151">
        <v>75.5</v>
      </c>
      <c r="H26" s="1151">
        <v>81.900000000000006</v>
      </c>
    </row>
    <row r="27" spans="1:8" ht="27.25" customHeight="1">
      <c r="B27" s="1393" t="s">
        <v>1015</v>
      </c>
      <c r="C27" s="1393"/>
      <c r="D27" s="1134" t="s">
        <v>1016</v>
      </c>
      <c r="E27" s="1134"/>
      <c r="F27" s="1151">
        <v>80.7</v>
      </c>
      <c r="G27" s="1151">
        <v>80.5</v>
      </c>
      <c r="H27" s="1151">
        <v>80.2</v>
      </c>
    </row>
    <row r="28" spans="1:8" ht="27.25" customHeight="1">
      <c r="B28" s="1393" t="s">
        <v>1017</v>
      </c>
      <c r="C28" s="1393"/>
      <c r="D28" s="1134" t="s">
        <v>1018</v>
      </c>
      <c r="E28" s="1134"/>
      <c r="F28" s="1151">
        <v>81.8</v>
      </c>
      <c r="G28" s="1151">
        <v>82.6</v>
      </c>
      <c r="H28" s="1151">
        <v>83.2</v>
      </c>
    </row>
    <row r="29" spans="1:8" ht="20.25" customHeight="1">
      <c r="B29" s="1147" t="s">
        <v>256</v>
      </c>
      <c r="C29" s="1148"/>
      <c r="D29" s="1134"/>
      <c r="E29" s="1134"/>
      <c r="F29" s="1153"/>
      <c r="G29" s="1153"/>
      <c r="H29" s="1153"/>
    </row>
    <row r="30" spans="1:8" ht="27.25" customHeight="1">
      <c r="A30" s="1154"/>
      <c r="B30" s="1393" t="s">
        <v>1019</v>
      </c>
      <c r="C30" s="1393"/>
      <c r="D30" s="1134" t="s">
        <v>1020</v>
      </c>
      <c r="E30" s="1134"/>
      <c r="F30" s="1151">
        <v>76.2</v>
      </c>
      <c r="G30" s="1151">
        <v>77.8</v>
      </c>
      <c r="H30" s="1151">
        <v>77.7</v>
      </c>
    </row>
    <row r="31" spans="1:8" ht="27.25" customHeight="1">
      <c r="A31" s="1154"/>
      <c r="B31" s="1393" t="s">
        <v>1021</v>
      </c>
      <c r="C31" s="1393"/>
      <c r="D31" s="1134" t="s">
        <v>1022</v>
      </c>
      <c r="E31" s="1134"/>
      <c r="F31" s="1151">
        <v>78.599999999999994</v>
      </c>
      <c r="G31" s="1151">
        <v>79.2</v>
      </c>
      <c r="H31" s="1151">
        <v>78.2</v>
      </c>
    </row>
    <row r="32" spans="1:8" ht="20.25" customHeight="1">
      <c r="B32" s="1147" t="s">
        <v>257</v>
      </c>
      <c r="C32" s="1148"/>
      <c r="D32" s="1134"/>
      <c r="E32" s="1134"/>
      <c r="F32" s="1153"/>
      <c r="G32" s="1153"/>
      <c r="H32" s="1153"/>
    </row>
    <row r="33" spans="1:8" ht="27.25" customHeight="1">
      <c r="B33" s="1393" t="s">
        <v>1023</v>
      </c>
      <c r="C33" s="1393"/>
      <c r="D33" s="1134" t="s">
        <v>1024</v>
      </c>
      <c r="E33" s="1134"/>
      <c r="F33" s="1151">
        <v>78.3</v>
      </c>
      <c r="G33" s="1151">
        <v>79.900000000000006</v>
      </c>
      <c r="H33" s="1151">
        <v>79.2</v>
      </c>
    </row>
    <row r="34" spans="1:8" ht="27.25" customHeight="1">
      <c r="B34" s="1393" t="s">
        <v>1025</v>
      </c>
      <c r="C34" s="1393"/>
      <c r="D34" s="1134" t="s">
        <v>1026</v>
      </c>
      <c r="E34" s="1134"/>
      <c r="F34" s="1151">
        <v>80.7</v>
      </c>
      <c r="G34" s="1151">
        <v>82.1</v>
      </c>
      <c r="H34" s="1151">
        <v>25.1</v>
      </c>
    </row>
    <row r="35" spans="1:8" ht="27.25" customHeight="1">
      <c r="A35" s="1152"/>
      <c r="B35" s="1393" t="s">
        <v>1027</v>
      </c>
      <c r="C35" s="1393"/>
      <c r="D35" s="1134" t="s">
        <v>1028</v>
      </c>
      <c r="E35" s="1134"/>
      <c r="F35" s="1151">
        <v>81.599999999999994</v>
      </c>
      <c r="G35" s="1151">
        <v>83.9</v>
      </c>
      <c r="H35" s="1151">
        <v>81.599999999999994</v>
      </c>
    </row>
    <row r="36" spans="1:8" ht="20.25" customHeight="1">
      <c r="B36" s="1147" t="s">
        <v>258</v>
      </c>
      <c r="C36" s="1148"/>
      <c r="D36" s="1134"/>
      <c r="E36" s="1134"/>
      <c r="F36" s="1153"/>
      <c r="G36" s="1153"/>
      <c r="H36" s="1153"/>
    </row>
    <row r="37" spans="1:8" ht="27.25" customHeight="1">
      <c r="A37" s="1154"/>
      <c r="B37" s="1393" t="s">
        <v>1084</v>
      </c>
      <c r="C37" s="1393"/>
      <c r="D37" s="1134" t="s">
        <v>1030</v>
      </c>
      <c r="E37" s="1134"/>
      <c r="F37" s="1151">
        <v>81.400000000000006</v>
      </c>
      <c r="G37" s="1151">
        <v>82.8</v>
      </c>
      <c r="H37" s="1151">
        <v>83.6</v>
      </c>
    </row>
    <row r="38" spans="1:8" s="1109" customFormat="1" ht="20.25" customHeight="1">
      <c r="A38" s="1138"/>
      <c r="B38" s="1147" t="s">
        <v>259</v>
      </c>
      <c r="C38" s="1147"/>
      <c r="D38" s="1132"/>
      <c r="E38" s="1132"/>
      <c r="F38" s="1155"/>
      <c r="G38" s="1100"/>
      <c r="H38" s="1100"/>
    </row>
    <row r="39" spans="1:8" s="1109" customFormat="1" ht="27.25" customHeight="1">
      <c r="A39" s="1154"/>
      <c r="B39" s="1393" t="s">
        <v>1031</v>
      </c>
      <c r="C39" s="1393"/>
      <c r="D39" s="1134" t="s">
        <v>1032</v>
      </c>
      <c r="E39" s="1134"/>
      <c r="F39" s="1151">
        <v>71.8</v>
      </c>
      <c r="G39" s="1151">
        <v>72.5</v>
      </c>
      <c r="H39" s="1151">
        <v>72.900000000000006</v>
      </c>
    </row>
    <row r="40" spans="1:8" s="1109" customFormat="1" ht="27.25" customHeight="1">
      <c r="A40" s="1154"/>
      <c r="B40" s="1393" t="s">
        <v>1033</v>
      </c>
      <c r="C40" s="1393"/>
      <c r="D40" s="1134" t="s">
        <v>1032</v>
      </c>
      <c r="E40" s="1134"/>
      <c r="F40" s="1151">
        <v>79.099999999999994</v>
      </c>
      <c r="G40" s="1151">
        <v>78.5</v>
      </c>
      <c r="H40" s="1151">
        <v>75.2</v>
      </c>
    </row>
    <row r="41" spans="1:8" s="1109" customFormat="1" ht="29.25" customHeight="1" thickBot="1">
      <c r="A41" s="1154"/>
      <c r="B41" s="1402" t="s">
        <v>1034</v>
      </c>
      <c r="C41" s="1402"/>
      <c r="D41" s="1156" t="s">
        <v>1035</v>
      </c>
      <c r="E41" s="1156"/>
      <c r="F41" s="1157">
        <v>79.099999999999994</v>
      </c>
      <c r="G41" s="1157">
        <v>78.5</v>
      </c>
      <c r="H41" s="1157">
        <v>75.2</v>
      </c>
    </row>
    <row r="42" spans="1:8" s="1109" customFormat="1" ht="15">
      <c r="A42" s="1138"/>
      <c r="B42" s="839"/>
      <c r="C42" s="839"/>
      <c r="D42" s="839"/>
      <c r="E42" s="839"/>
      <c r="F42" s="1139"/>
      <c r="G42" s="1139"/>
      <c r="H42" s="1158" t="s">
        <v>1004</v>
      </c>
    </row>
    <row r="43" spans="1:8" s="1109" customFormat="1" ht="15">
      <c r="A43" s="1138"/>
      <c r="B43" s="839"/>
      <c r="C43" s="839"/>
      <c r="D43" s="839"/>
      <c r="E43" s="839"/>
      <c r="F43" s="1139"/>
      <c r="G43" s="1139"/>
      <c r="H43" s="1159" t="s">
        <v>1005</v>
      </c>
    </row>
    <row r="44" spans="1:8" s="1109" customFormat="1" ht="15">
      <c r="A44" s="1138"/>
      <c r="B44" s="839"/>
      <c r="C44" s="839"/>
      <c r="D44" s="839"/>
      <c r="E44" s="839"/>
      <c r="F44" s="1139"/>
      <c r="G44" s="1139"/>
      <c r="H44" s="1139"/>
    </row>
    <row r="45" spans="1:8" s="1109" customFormat="1" ht="15">
      <c r="A45" s="1138"/>
      <c r="B45" s="1117" t="s">
        <v>1006</v>
      </c>
      <c r="C45" s="1117"/>
      <c r="D45" s="1117"/>
      <c r="E45" s="1117"/>
      <c r="F45" s="1160"/>
      <c r="G45" s="1160"/>
      <c r="H45" s="1160"/>
    </row>
    <row r="46" spans="1:8" s="1109" customFormat="1" ht="15">
      <c r="A46" s="1076" t="s">
        <v>35</v>
      </c>
      <c r="B46" s="1117" t="s">
        <v>1007</v>
      </c>
      <c r="C46" s="1117"/>
      <c r="D46" s="1117"/>
      <c r="E46" s="1117"/>
      <c r="F46" s="1160"/>
      <c r="G46" s="1160"/>
      <c r="H46" s="1160"/>
    </row>
    <row r="47" spans="1:8" s="1109" customFormat="1" ht="15">
      <c r="A47" s="1076" t="s">
        <v>38</v>
      </c>
      <c r="B47" s="1119" t="s">
        <v>1008</v>
      </c>
      <c r="C47" s="1119"/>
      <c r="D47" s="1122"/>
      <c r="E47" s="1122"/>
      <c r="F47" s="1160"/>
      <c r="G47" s="1160"/>
      <c r="H47" s="1160"/>
    </row>
    <row r="48" spans="1:8" s="1109" customFormat="1" ht="29.25" customHeight="1">
      <c r="A48" s="1085" t="s">
        <v>273</v>
      </c>
      <c r="B48" s="1403" t="s">
        <v>1067</v>
      </c>
      <c r="C48" s="1403"/>
      <c r="D48" s="1403"/>
      <c r="E48" s="1403"/>
      <c r="F48" s="1403"/>
      <c r="G48" s="1403"/>
      <c r="H48" s="1403"/>
    </row>
    <row r="49" spans="1:8" s="1109" customFormat="1" ht="15">
      <c r="A49" s="1138"/>
      <c r="B49" s="1122"/>
      <c r="C49" s="1122"/>
      <c r="D49" s="1117"/>
      <c r="E49" s="1117"/>
      <c r="F49" s="1160"/>
      <c r="G49" s="1160"/>
      <c r="H49" s="1160"/>
    </row>
  </sheetData>
  <mergeCells count="31">
    <mergeCell ref="B17:C17"/>
    <mergeCell ref="G4:H4"/>
    <mergeCell ref="B5:C6"/>
    <mergeCell ref="D5:D6"/>
    <mergeCell ref="F5:H5"/>
    <mergeCell ref="B8:C8"/>
    <mergeCell ref="B9:C9"/>
    <mergeCell ref="B10:C10"/>
    <mergeCell ref="B11:C11"/>
    <mergeCell ref="B13:C13"/>
    <mergeCell ref="B14:C14"/>
    <mergeCell ref="B16:C16"/>
    <mergeCell ref="B33:C33"/>
    <mergeCell ref="B18:C18"/>
    <mergeCell ref="B20:C20"/>
    <mergeCell ref="B21:C21"/>
    <mergeCell ref="B22:C22"/>
    <mergeCell ref="B24:C24"/>
    <mergeCell ref="B25:C25"/>
    <mergeCell ref="B26:C26"/>
    <mergeCell ref="B27:C27"/>
    <mergeCell ref="B28:C28"/>
    <mergeCell ref="B30:C30"/>
    <mergeCell ref="B31:C31"/>
    <mergeCell ref="B48:H48"/>
    <mergeCell ref="B34:C34"/>
    <mergeCell ref="B35:C35"/>
    <mergeCell ref="B37:C37"/>
    <mergeCell ref="B39:C39"/>
    <mergeCell ref="B40:C40"/>
    <mergeCell ref="B41:C41"/>
  </mergeCells>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E1EB5-8ADF-43A1-B8AC-A66288658EBC}">
  <sheetPr codeName="Sheet67">
    <pageSetUpPr fitToPage="1"/>
  </sheetPr>
  <dimension ref="A1:H36"/>
  <sheetViews>
    <sheetView view="pageBreakPreview" topLeftCell="A28" zoomScaleNormal="100" zoomScaleSheetLayoutView="100" workbookViewId="0">
      <selection activeCell="D60" sqref="D60"/>
    </sheetView>
  </sheetViews>
  <sheetFormatPr baseColWidth="10" defaultColWidth="8.6640625" defaultRowHeight="15"/>
  <cols>
    <col min="1" max="1" width="2.1640625" style="1109" customWidth="1"/>
    <col min="2" max="2" width="14.33203125" style="1109" customWidth="1"/>
    <col min="3" max="3" width="32" style="1109" customWidth="1"/>
    <col min="4" max="4" width="23.5" style="1109" customWidth="1"/>
    <col min="5" max="5" width="17.1640625" style="1109" customWidth="1"/>
    <col min="6" max="8" width="10.6640625" style="1109" customWidth="1"/>
    <col min="9" max="16384" width="8.6640625" style="1109"/>
  </cols>
  <sheetData>
    <row r="1" spans="1:8">
      <c r="A1" s="1138"/>
      <c r="B1" s="839"/>
      <c r="C1" s="839"/>
      <c r="D1" s="839"/>
      <c r="E1" s="839"/>
      <c r="F1" s="1139"/>
      <c r="G1" s="1139"/>
      <c r="H1" s="1139"/>
    </row>
    <row r="2" spans="1:8">
      <c r="A2" s="1138"/>
      <c r="B2" s="1123" t="s">
        <v>1086</v>
      </c>
      <c r="C2" s="1140" t="s">
        <v>1095</v>
      </c>
      <c r="D2" s="1140"/>
      <c r="E2" s="1140"/>
      <c r="F2" s="1140"/>
      <c r="G2" s="1140"/>
      <c r="H2" s="1140"/>
    </row>
    <row r="3" spans="1:8">
      <c r="A3" s="1138"/>
      <c r="B3" s="1125" t="s">
        <v>1088</v>
      </c>
      <c r="C3" s="1141" t="s">
        <v>1096</v>
      </c>
      <c r="D3" s="1141"/>
      <c r="E3" s="1141"/>
      <c r="F3" s="1141"/>
      <c r="G3" s="1141"/>
      <c r="H3" s="1141"/>
    </row>
    <row r="4" spans="1:8" ht="16" thickBot="1">
      <c r="A4" s="1138"/>
      <c r="B4" s="839"/>
      <c r="C4" s="839"/>
      <c r="D4" s="839"/>
      <c r="E4" s="839"/>
      <c r="F4" s="1142"/>
      <c r="H4" s="1143"/>
    </row>
    <row r="5" spans="1:8" ht="27.25" customHeight="1">
      <c r="A5" s="1138"/>
      <c r="B5" s="1418" t="s">
        <v>969</v>
      </c>
      <c r="C5" s="1418"/>
      <c r="D5" s="1420" t="s">
        <v>1090</v>
      </c>
      <c r="E5" s="1144"/>
      <c r="F5" s="1422"/>
      <c r="G5" s="1422"/>
      <c r="H5" s="1422"/>
    </row>
    <row r="6" spans="1:8" ht="46.5" customHeight="1" thickBot="1">
      <c r="A6" s="1138"/>
      <c r="B6" s="1419"/>
      <c r="C6" s="1419"/>
      <c r="D6" s="1421"/>
      <c r="E6" s="1145"/>
      <c r="F6" s="1146" t="s">
        <v>1091</v>
      </c>
      <c r="G6" s="1146" t="s">
        <v>1092</v>
      </c>
      <c r="H6" s="1146" t="s">
        <v>1093</v>
      </c>
    </row>
    <row r="7" spans="1:8" ht="27.25" customHeight="1">
      <c r="A7" s="1138"/>
      <c r="B7" s="1147" t="s">
        <v>260</v>
      </c>
      <c r="C7" s="1148"/>
      <c r="D7" s="1134"/>
      <c r="E7" s="1134"/>
      <c r="F7" s="1161"/>
      <c r="G7" s="1161"/>
      <c r="H7" s="1161"/>
    </row>
    <row r="8" spans="1:8" ht="27.25" customHeight="1">
      <c r="A8" s="1154"/>
      <c r="B8" s="1393" t="s">
        <v>1036</v>
      </c>
      <c r="C8" s="1393"/>
      <c r="D8" s="1134" t="s">
        <v>1037</v>
      </c>
      <c r="E8" s="1134"/>
      <c r="F8" s="1151">
        <v>85.5</v>
      </c>
      <c r="G8" s="1151">
        <v>85.8</v>
      </c>
      <c r="H8" s="1151">
        <v>85.3</v>
      </c>
    </row>
    <row r="9" spans="1:8" ht="27.25" customHeight="1">
      <c r="A9" s="1154"/>
      <c r="B9" s="1393" t="s">
        <v>1038</v>
      </c>
      <c r="C9" s="1393"/>
      <c r="D9" s="1134" t="s">
        <v>1039</v>
      </c>
      <c r="E9" s="1134"/>
      <c r="F9" s="1151">
        <v>81.099999999999994</v>
      </c>
      <c r="G9" s="1151">
        <v>82.4</v>
      </c>
      <c r="H9" s="1151">
        <v>82.2</v>
      </c>
    </row>
    <row r="10" spans="1:8" ht="27.25" customHeight="1">
      <c r="A10" s="1154"/>
      <c r="B10" s="1416" t="s">
        <v>261</v>
      </c>
      <c r="C10" s="1416"/>
      <c r="D10" s="1134"/>
      <c r="E10" s="1134"/>
      <c r="F10" s="1151"/>
      <c r="G10" s="1151"/>
      <c r="H10" s="1151"/>
    </row>
    <row r="11" spans="1:8" ht="27.25" customHeight="1">
      <c r="A11" s="1152"/>
      <c r="B11" s="1393" t="s">
        <v>1040</v>
      </c>
      <c r="C11" s="1393"/>
      <c r="D11" s="1134" t="s">
        <v>1041</v>
      </c>
      <c r="E11" s="1134"/>
      <c r="F11" s="1151">
        <v>80.2</v>
      </c>
      <c r="G11" s="1151">
        <v>81.7</v>
      </c>
      <c r="H11" s="1151">
        <v>82.3</v>
      </c>
    </row>
    <row r="12" spans="1:8" ht="27.25" customHeight="1">
      <c r="A12" s="1152"/>
      <c r="B12" s="1393" t="s">
        <v>1042</v>
      </c>
      <c r="C12" s="1393"/>
      <c r="D12" s="1134" t="s">
        <v>1043</v>
      </c>
      <c r="E12" s="1134"/>
      <c r="F12" s="1151">
        <v>78.7</v>
      </c>
      <c r="G12" s="1151">
        <v>82.4</v>
      </c>
      <c r="H12" s="1151">
        <v>82.7</v>
      </c>
    </row>
    <row r="13" spans="1:8" ht="27.25" customHeight="1">
      <c r="A13" s="1154"/>
      <c r="B13" s="1393" t="s">
        <v>1044</v>
      </c>
      <c r="C13" s="1393"/>
      <c r="D13" s="1134" t="s">
        <v>1045</v>
      </c>
      <c r="E13" s="1134"/>
      <c r="F13" s="1151">
        <v>81.2</v>
      </c>
      <c r="G13" s="1151">
        <v>82.9</v>
      </c>
      <c r="H13" s="1151">
        <v>84.5</v>
      </c>
    </row>
    <row r="14" spans="1:8" ht="27.25" customHeight="1">
      <c r="A14" s="1154"/>
      <c r="B14" s="1393" t="s">
        <v>1046</v>
      </c>
      <c r="C14" s="1393"/>
      <c r="D14" s="1134" t="s">
        <v>1047</v>
      </c>
      <c r="E14" s="1134"/>
      <c r="F14" s="1151">
        <v>80.3</v>
      </c>
      <c r="G14" s="1151">
        <v>82.3</v>
      </c>
      <c r="H14" s="1151">
        <v>82.7</v>
      </c>
    </row>
    <row r="15" spans="1:8" ht="27.25" customHeight="1">
      <c r="A15" s="1154"/>
      <c r="B15" s="1393" t="s">
        <v>1048</v>
      </c>
      <c r="C15" s="1393"/>
      <c r="D15" s="1134" t="s">
        <v>1049</v>
      </c>
      <c r="E15" s="1134"/>
      <c r="F15" s="1151">
        <v>80.900000000000006</v>
      </c>
      <c r="G15" s="1151">
        <v>82.3</v>
      </c>
      <c r="H15" s="1151">
        <v>83.7</v>
      </c>
    </row>
    <row r="16" spans="1:8" ht="27.25" customHeight="1">
      <c r="A16" s="1154"/>
      <c r="B16" s="1393" t="s">
        <v>1050</v>
      </c>
      <c r="C16" s="1393"/>
      <c r="D16" s="1134" t="s">
        <v>1051</v>
      </c>
      <c r="E16" s="1134"/>
      <c r="F16" s="1151">
        <v>82</v>
      </c>
      <c r="G16" s="1151">
        <v>85</v>
      </c>
      <c r="H16" s="1151">
        <v>86</v>
      </c>
    </row>
    <row r="17" spans="1:8" ht="27.25" customHeight="1">
      <c r="A17" s="1138"/>
      <c r="B17" s="1147" t="s">
        <v>262</v>
      </c>
      <c r="C17" s="1148"/>
      <c r="D17" s="1134"/>
      <c r="E17" s="1134"/>
      <c r="F17" s="1153"/>
      <c r="G17" s="1153"/>
      <c r="H17" s="1153"/>
    </row>
    <row r="18" spans="1:8" ht="27.25" customHeight="1">
      <c r="A18" s="1154"/>
      <c r="B18" s="1393" t="s">
        <v>1052</v>
      </c>
      <c r="C18" s="1393"/>
      <c r="D18" s="1134" t="s">
        <v>1053</v>
      </c>
      <c r="E18" s="1134"/>
      <c r="F18" s="1151">
        <v>86</v>
      </c>
      <c r="G18" s="1151">
        <v>87.4</v>
      </c>
      <c r="H18" s="1151">
        <v>85.6</v>
      </c>
    </row>
    <row r="19" spans="1:8" ht="27.25" customHeight="1">
      <c r="A19" s="1154"/>
      <c r="B19" s="1393" t="s">
        <v>1054</v>
      </c>
      <c r="C19" s="1393"/>
      <c r="D19" s="1134" t="s">
        <v>1055</v>
      </c>
      <c r="E19" s="1134"/>
      <c r="F19" s="1151">
        <v>86.1</v>
      </c>
      <c r="G19" s="1151">
        <v>86.6</v>
      </c>
      <c r="H19" s="1151">
        <v>86</v>
      </c>
    </row>
    <row r="20" spans="1:8" ht="27.25" customHeight="1">
      <c r="A20" s="1154"/>
      <c r="B20" s="1393" t="s">
        <v>1056</v>
      </c>
      <c r="C20" s="1393"/>
      <c r="D20" s="1134" t="s">
        <v>1057</v>
      </c>
      <c r="E20" s="1134"/>
      <c r="F20" s="1151">
        <v>84</v>
      </c>
      <c r="G20" s="1151">
        <v>86.8</v>
      </c>
      <c r="H20" s="1151">
        <v>85.2</v>
      </c>
    </row>
    <row r="21" spans="1:8" ht="27.25" customHeight="1">
      <c r="A21" s="1154"/>
      <c r="B21" s="1393" t="s">
        <v>1058</v>
      </c>
      <c r="C21" s="1393"/>
      <c r="D21" s="1134" t="s">
        <v>1059</v>
      </c>
      <c r="E21" s="1134"/>
      <c r="F21" s="1151">
        <v>84</v>
      </c>
      <c r="G21" s="1151">
        <v>84</v>
      </c>
      <c r="H21" s="1151">
        <v>85.3</v>
      </c>
    </row>
    <row r="22" spans="1:8" ht="27.25" customHeight="1">
      <c r="A22" s="1154"/>
      <c r="B22" s="1393" t="s">
        <v>1060</v>
      </c>
      <c r="C22" s="1393"/>
      <c r="D22" s="1134" t="s">
        <v>1061</v>
      </c>
      <c r="E22" s="1134"/>
      <c r="F22" s="1151">
        <v>84.4</v>
      </c>
      <c r="G22" s="1151">
        <v>86.1</v>
      </c>
      <c r="H22" s="1151">
        <v>85.4</v>
      </c>
    </row>
    <row r="23" spans="1:8" ht="27.25" customHeight="1">
      <c r="A23" s="1154"/>
      <c r="B23" s="1393" t="s">
        <v>1062</v>
      </c>
      <c r="C23" s="1393"/>
      <c r="D23" s="1134" t="s">
        <v>1061</v>
      </c>
      <c r="E23" s="1134"/>
      <c r="F23" s="1151">
        <v>85.1</v>
      </c>
      <c r="G23" s="1151">
        <v>87.7</v>
      </c>
      <c r="H23" s="1151">
        <v>86</v>
      </c>
    </row>
    <row r="24" spans="1:8" ht="27.25" customHeight="1">
      <c r="A24" s="1154"/>
      <c r="B24" s="1393" t="s">
        <v>1063</v>
      </c>
      <c r="C24" s="1393"/>
      <c r="D24" s="1134" t="s">
        <v>1064</v>
      </c>
      <c r="E24" s="1134"/>
      <c r="F24" s="1151">
        <v>85.1</v>
      </c>
      <c r="G24" s="1151">
        <v>87.7</v>
      </c>
      <c r="H24" s="1151">
        <v>86</v>
      </c>
    </row>
    <row r="25" spans="1:8" ht="27.25" customHeight="1">
      <c r="A25" s="1154"/>
      <c r="B25" s="1393" t="s">
        <v>1065</v>
      </c>
      <c r="C25" s="1393"/>
      <c r="D25" s="1134" t="s">
        <v>1066</v>
      </c>
      <c r="E25" s="1134"/>
      <c r="F25" s="1151">
        <v>85.2</v>
      </c>
      <c r="G25" s="1151">
        <v>87.7</v>
      </c>
      <c r="H25" s="1151">
        <v>86.8</v>
      </c>
    </row>
    <row r="26" spans="1:8" ht="27.25" customHeight="1">
      <c r="A26" s="1138"/>
      <c r="B26" s="1147" t="s">
        <v>264</v>
      </c>
      <c r="C26" s="1148"/>
      <c r="D26" s="1134"/>
      <c r="E26" s="1134"/>
      <c r="F26" s="1153"/>
      <c r="G26" s="1153"/>
      <c r="H26" s="1153"/>
    </row>
    <row r="27" spans="1:8" ht="27.25" customHeight="1">
      <c r="A27" s="1154"/>
      <c r="B27" s="1393" t="s">
        <v>1069</v>
      </c>
      <c r="C27" s="1393"/>
      <c r="D27" s="1134" t="s">
        <v>1070</v>
      </c>
      <c r="E27" s="1134"/>
      <c r="F27" s="1151">
        <v>79.7</v>
      </c>
      <c r="G27" s="1151">
        <v>83.1</v>
      </c>
      <c r="H27" s="1151">
        <v>25.1</v>
      </c>
    </row>
    <row r="28" spans="1:8" ht="16" thickBot="1">
      <c r="A28" s="1154"/>
      <c r="B28" s="1162"/>
      <c r="C28" s="1162"/>
      <c r="D28" s="1145"/>
      <c r="E28" s="1145"/>
      <c r="F28" s="1163"/>
      <c r="G28" s="1163"/>
      <c r="H28" s="1163"/>
    </row>
    <row r="29" spans="1:8">
      <c r="A29" s="1138"/>
      <c r="B29" s="839"/>
      <c r="C29" s="839"/>
      <c r="D29" s="839"/>
      <c r="E29" s="839"/>
      <c r="F29" s="1139"/>
      <c r="G29" s="1139"/>
      <c r="H29" s="1158" t="s">
        <v>1004</v>
      </c>
    </row>
    <row r="30" spans="1:8">
      <c r="A30" s="1138"/>
      <c r="B30" s="839"/>
      <c r="C30" s="839"/>
      <c r="D30" s="839"/>
      <c r="E30" s="839"/>
      <c r="F30" s="1139"/>
      <c r="G30" s="1139"/>
      <c r="H30" s="1159" t="s">
        <v>1005</v>
      </c>
    </row>
    <row r="31" spans="1:8">
      <c r="A31" s="1138"/>
      <c r="B31" s="839"/>
      <c r="C31" s="839"/>
      <c r="D31" s="839"/>
      <c r="E31" s="839"/>
      <c r="F31" s="1139"/>
      <c r="G31" s="1139"/>
      <c r="H31" s="1139"/>
    </row>
    <row r="32" spans="1:8">
      <c r="A32" s="1138"/>
      <c r="B32" s="1117" t="s">
        <v>1006</v>
      </c>
      <c r="C32" s="1117"/>
      <c r="D32" s="1117"/>
      <c r="E32" s="1117"/>
      <c r="F32" s="1160"/>
      <c r="G32" s="1160"/>
      <c r="H32" s="1160"/>
    </row>
    <row r="33" spans="1:8">
      <c r="A33" s="1076" t="s">
        <v>35</v>
      </c>
      <c r="B33" s="1117" t="s">
        <v>1007</v>
      </c>
      <c r="C33" s="1117"/>
      <c r="D33" s="1117"/>
      <c r="E33" s="1117"/>
      <c r="F33" s="1160"/>
      <c r="G33" s="1160"/>
      <c r="H33" s="1160"/>
    </row>
    <row r="34" spans="1:8">
      <c r="A34" s="1076" t="s">
        <v>38</v>
      </c>
      <c r="B34" s="1119" t="s">
        <v>1008</v>
      </c>
      <c r="C34" s="1119"/>
      <c r="D34" s="1122"/>
      <c r="E34" s="1122"/>
      <c r="F34" s="1160"/>
      <c r="G34" s="1160"/>
      <c r="H34" s="1160"/>
    </row>
    <row r="35" spans="1:8" ht="29.25" customHeight="1">
      <c r="A35" s="1085" t="s">
        <v>273</v>
      </c>
      <c r="B35" s="1403" t="s">
        <v>1067</v>
      </c>
      <c r="C35" s="1403"/>
      <c r="D35" s="1403"/>
      <c r="E35" s="1403"/>
      <c r="F35" s="1403"/>
      <c r="G35" s="1403"/>
      <c r="H35" s="1403"/>
    </row>
    <row r="36" spans="1:8">
      <c r="A36" s="1138"/>
      <c r="B36" s="1122"/>
      <c r="C36" s="1122"/>
      <c r="D36" s="1117"/>
      <c r="E36" s="1117"/>
      <c r="F36" s="1160"/>
      <c r="G36" s="1160"/>
      <c r="H36" s="1160"/>
    </row>
  </sheetData>
  <mergeCells count="22">
    <mergeCell ref="B16:C16"/>
    <mergeCell ref="B5:C6"/>
    <mergeCell ref="D5:D6"/>
    <mergeCell ref="F5:H5"/>
    <mergeCell ref="B8:C8"/>
    <mergeCell ref="B9:C9"/>
    <mergeCell ref="B10:C10"/>
    <mergeCell ref="B11:C11"/>
    <mergeCell ref="B12:C12"/>
    <mergeCell ref="B13:C13"/>
    <mergeCell ref="B14:C14"/>
    <mergeCell ref="B15:C15"/>
    <mergeCell ref="B24:C24"/>
    <mergeCell ref="B25:C25"/>
    <mergeCell ref="B27:C27"/>
    <mergeCell ref="B35:H35"/>
    <mergeCell ref="B18:C18"/>
    <mergeCell ref="B19:C19"/>
    <mergeCell ref="B20:C20"/>
    <mergeCell ref="B21:C21"/>
    <mergeCell ref="B22:C22"/>
    <mergeCell ref="B23:C23"/>
  </mergeCells>
  <pageMargins left="0.55118110236220474" right="0.55118110236220474" top="0.55118110236220474" bottom="0.55118110236220474" header="0.55118110236220474" footer="0.55118110236220474"/>
  <pageSetup paperSize="9" scale="7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9410-20F5-4910-A881-83CC2A3C2CDC}">
  <sheetPr codeName="Sheet68"/>
  <dimension ref="A1:R78"/>
  <sheetViews>
    <sheetView view="pageBreakPreview" zoomScaleNormal="100" zoomScaleSheetLayoutView="100" workbookViewId="0">
      <selection activeCell="D60" sqref="D60"/>
    </sheetView>
  </sheetViews>
  <sheetFormatPr baseColWidth="10" defaultColWidth="8.83203125" defaultRowHeight="15"/>
  <cols>
    <col min="1" max="1" width="3.83203125" customWidth="1"/>
    <col min="3" max="3" width="20.83203125" customWidth="1"/>
    <col min="4" max="4" width="13.5" customWidth="1"/>
    <col min="5" max="5" width="37.1640625" customWidth="1"/>
    <col min="6" max="6" width="35.6640625" customWidth="1"/>
  </cols>
  <sheetData>
    <row r="1" spans="1:18" s="1164" customFormat="1" ht="8.25" customHeight="1">
      <c r="E1" s="1165"/>
      <c r="F1" s="1165"/>
      <c r="G1" s="1166"/>
    </row>
    <row r="2" spans="1:18" s="1164" customFormat="1" ht="8.25" customHeight="1">
      <c r="E2" s="1165"/>
      <c r="F2" s="1165"/>
      <c r="G2" s="1166"/>
    </row>
    <row r="3" spans="1:18" s="1168" customFormat="1" ht="16.5" customHeight="1">
      <c r="A3" s="816"/>
      <c r="B3" s="816" t="s">
        <v>1097</v>
      </c>
      <c r="C3" s="817" t="s">
        <v>1098</v>
      </c>
      <c r="D3" s="817"/>
      <c r="E3" s="1167"/>
      <c r="F3" s="1167"/>
      <c r="G3" s="816"/>
      <c r="H3" s="817"/>
      <c r="I3" s="817"/>
      <c r="J3" s="817"/>
      <c r="K3" s="817"/>
      <c r="L3" s="817"/>
      <c r="M3" s="817"/>
      <c r="N3" s="817"/>
      <c r="O3" s="817"/>
      <c r="P3" s="817"/>
      <c r="Q3" s="817"/>
      <c r="R3" s="817"/>
    </row>
    <row r="4" spans="1:18" s="1173" customFormat="1" ht="16.5" customHeight="1">
      <c r="A4" s="1169"/>
      <c r="B4" s="1169" t="s">
        <v>1099</v>
      </c>
      <c r="C4" s="1170" t="s">
        <v>1100</v>
      </c>
      <c r="D4" s="821"/>
      <c r="E4" s="1171"/>
      <c r="F4" s="1171"/>
      <c r="G4" s="1172"/>
      <c r="H4" s="821"/>
      <c r="I4" s="821"/>
      <c r="J4" s="821"/>
      <c r="K4" s="821"/>
      <c r="L4" s="821"/>
      <c r="M4" s="821"/>
      <c r="N4" s="821"/>
      <c r="O4" s="821"/>
      <c r="P4" s="821"/>
      <c r="Q4" s="821"/>
      <c r="R4" s="821"/>
    </row>
    <row r="5" spans="1:18" s="1164" customFormat="1" ht="12" customHeight="1" thickBot="1">
      <c r="E5" s="1165"/>
      <c r="F5" s="1165"/>
      <c r="G5" s="1166"/>
      <c r="J5" s="1174"/>
      <c r="L5" s="1174"/>
    </row>
    <row r="6" spans="1:18" s="1164" customFormat="1" ht="21.25" customHeight="1">
      <c r="A6" s="1175"/>
      <c r="B6" s="1176" t="s">
        <v>819</v>
      </c>
      <c r="C6" s="1177"/>
      <c r="D6" s="1423" t="s">
        <v>1101</v>
      </c>
      <c r="E6" s="1178" t="s">
        <v>1102</v>
      </c>
      <c r="F6" s="1178" t="s">
        <v>1103</v>
      </c>
      <c r="G6" s="1179"/>
    </row>
    <row r="7" spans="1:18" s="1164" customFormat="1" ht="21.25" customHeight="1" thickBot="1">
      <c r="A7" s="1180"/>
      <c r="B7" s="1180" t="s">
        <v>822</v>
      </c>
      <c r="C7" s="1181"/>
      <c r="D7" s="1424"/>
      <c r="E7" s="1182" t="s">
        <v>1104</v>
      </c>
      <c r="F7" s="1182" t="s">
        <v>1105</v>
      </c>
      <c r="G7" s="1183"/>
    </row>
    <row r="8" spans="1:18" s="1164" customFormat="1" ht="8.25" customHeight="1">
      <c r="A8" s="1184"/>
      <c r="B8" s="1184"/>
      <c r="C8" s="1184"/>
      <c r="D8" s="1184"/>
      <c r="E8" s="1185"/>
      <c r="F8" s="1185"/>
      <c r="G8" s="1183"/>
    </row>
    <row r="9" spans="1:18" s="1164" customFormat="1" ht="14.25" customHeight="1">
      <c r="A9" s="1186"/>
      <c r="B9" s="1186" t="s">
        <v>777</v>
      </c>
      <c r="C9" s="1186"/>
      <c r="D9" s="1187">
        <v>2021</v>
      </c>
      <c r="E9" s="1188">
        <v>2645076</v>
      </c>
      <c r="F9" s="1188">
        <v>31016</v>
      </c>
      <c r="G9" s="1174"/>
    </row>
    <row r="10" spans="1:18" s="1164" customFormat="1" ht="14.25" customHeight="1">
      <c r="A10" s="1186"/>
      <c r="B10" s="1186"/>
      <c r="C10" s="1186"/>
      <c r="D10" s="1187">
        <v>2022</v>
      </c>
      <c r="E10" s="1188">
        <v>2645076</v>
      </c>
      <c r="F10" s="1188">
        <v>31016</v>
      </c>
      <c r="G10" s="1189"/>
    </row>
    <row r="11" spans="1:18" s="1164" customFormat="1" ht="15.75" customHeight="1">
      <c r="A11" s="1184"/>
      <c r="B11" s="1184"/>
      <c r="C11" s="1184"/>
      <c r="D11" s="1187">
        <v>2023</v>
      </c>
      <c r="E11" s="1188">
        <v>2645076</v>
      </c>
      <c r="F11" s="1188">
        <v>31016</v>
      </c>
      <c r="G11" s="1183"/>
    </row>
    <row r="12" spans="1:18" s="1164" customFormat="1" ht="15.75" customHeight="1">
      <c r="A12" s="1184"/>
      <c r="B12" s="1184"/>
      <c r="C12" s="1184"/>
      <c r="D12" s="1187"/>
      <c r="E12" s="1190"/>
      <c r="F12" s="1190"/>
      <c r="G12" s="1183"/>
    </row>
    <row r="13" spans="1:18" s="1164" customFormat="1" ht="14.25" customHeight="1">
      <c r="A13" s="1191"/>
      <c r="B13" s="1191" t="s">
        <v>250</v>
      </c>
      <c r="C13" s="1192"/>
      <c r="D13" s="1192">
        <v>2021</v>
      </c>
      <c r="E13" s="1193">
        <v>239206</v>
      </c>
      <c r="F13" s="1193">
        <v>3824</v>
      </c>
      <c r="G13" s="1189"/>
      <c r="K13" s="1194"/>
    </row>
    <row r="14" spans="1:18" s="1164" customFormat="1" ht="14.25" customHeight="1">
      <c r="A14" s="1191"/>
      <c r="B14" s="1191"/>
      <c r="C14" s="1192"/>
      <c r="D14" s="1192">
        <v>2022</v>
      </c>
      <c r="E14" s="1193">
        <v>239206</v>
      </c>
      <c r="F14" s="1193">
        <v>3824</v>
      </c>
      <c r="G14" s="1189"/>
      <c r="K14" s="1194"/>
    </row>
    <row r="15" spans="1:18" s="1164" customFormat="1" ht="14.25" customHeight="1">
      <c r="A15" s="1191"/>
      <c r="B15" s="1191"/>
      <c r="C15" s="1192"/>
      <c r="D15" s="1192">
        <v>2023</v>
      </c>
      <c r="E15" s="1193">
        <v>239206</v>
      </c>
      <c r="F15" s="1193">
        <v>3824</v>
      </c>
      <c r="G15" s="1195"/>
      <c r="K15" s="1194"/>
    </row>
    <row r="16" spans="1:18" s="1164" customFormat="1" ht="8.25" customHeight="1">
      <c r="A16" s="1184"/>
      <c r="B16" s="1196"/>
      <c r="C16" s="1184"/>
      <c r="D16" s="1184"/>
      <c r="E16" s="1190"/>
      <c r="F16" s="1190"/>
      <c r="G16" s="1183"/>
    </row>
    <row r="17" spans="1:11" s="1164" customFormat="1" ht="14.25" customHeight="1">
      <c r="A17" s="1197"/>
      <c r="B17" s="1197" t="s">
        <v>251</v>
      </c>
      <c r="C17" s="1198"/>
      <c r="D17" s="1192">
        <v>2021</v>
      </c>
      <c r="E17" s="1193">
        <v>165362</v>
      </c>
      <c r="F17" s="1193">
        <v>2147</v>
      </c>
      <c r="G17" s="1195"/>
      <c r="K17" s="1194"/>
    </row>
    <row r="18" spans="1:11" s="1164" customFormat="1" ht="14.25" customHeight="1">
      <c r="A18" s="1197"/>
      <c r="B18" s="1197"/>
      <c r="C18" s="1198"/>
      <c r="D18" s="1192">
        <v>2022</v>
      </c>
      <c r="E18" s="1193">
        <v>239206</v>
      </c>
      <c r="F18" s="1193">
        <v>3824</v>
      </c>
      <c r="G18" s="1195"/>
      <c r="K18" s="1194"/>
    </row>
    <row r="19" spans="1:11" s="1164" customFormat="1" ht="14.25" customHeight="1">
      <c r="A19" s="1197"/>
      <c r="B19" s="1197"/>
      <c r="C19" s="1198"/>
      <c r="D19" s="1192">
        <v>2023</v>
      </c>
      <c r="E19" s="1193">
        <v>239206</v>
      </c>
      <c r="F19" s="1193">
        <v>3824</v>
      </c>
      <c r="G19" s="1166"/>
      <c r="K19" s="1194"/>
    </row>
    <row r="20" spans="1:11" s="1164" customFormat="1" ht="8.25" customHeight="1">
      <c r="A20" s="1184"/>
      <c r="B20" s="1196"/>
      <c r="C20" s="1184"/>
      <c r="D20" s="1184"/>
      <c r="E20" s="1190"/>
      <c r="F20" s="1190"/>
      <c r="G20" s="1183"/>
    </row>
    <row r="21" spans="1:11" s="1164" customFormat="1" ht="14.25" customHeight="1">
      <c r="A21" s="1197"/>
      <c r="B21" s="1197" t="s">
        <v>252</v>
      </c>
      <c r="C21" s="1198"/>
      <c r="D21" s="1192">
        <v>2021</v>
      </c>
      <c r="E21" s="1193">
        <v>168285</v>
      </c>
      <c r="F21" s="1193">
        <v>1237</v>
      </c>
      <c r="G21" s="1166"/>
      <c r="K21" s="1194"/>
    </row>
    <row r="22" spans="1:11" s="1164" customFormat="1" ht="14.25" customHeight="1">
      <c r="A22" s="1197"/>
      <c r="B22" s="1197"/>
      <c r="C22" s="1198"/>
      <c r="D22" s="1192">
        <v>2022</v>
      </c>
      <c r="E22" s="1193">
        <v>239206</v>
      </c>
      <c r="F22" s="1193">
        <v>3824</v>
      </c>
      <c r="G22" s="1166"/>
      <c r="K22" s="1194"/>
    </row>
    <row r="23" spans="1:11" s="1164" customFormat="1" ht="14.25" customHeight="1">
      <c r="A23" s="1197"/>
      <c r="B23" s="1197"/>
      <c r="C23" s="1198"/>
      <c r="D23" s="1192">
        <v>2023</v>
      </c>
      <c r="E23" s="1193">
        <v>239206</v>
      </c>
      <c r="F23" s="1193">
        <v>3824</v>
      </c>
      <c r="G23" s="1166"/>
      <c r="K23" s="1194"/>
    </row>
    <row r="24" spans="1:11" s="1164" customFormat="1" ht="8.25" customHeight="1">
      <c r="A24" s="1184"/>
      <c r="B24" s="1196"/>
      <c r="C24" s="1184"/>
      <c r="D24" s="1184"/>
      <c r="E24" s="1190"/>
      <c r="F24" s="1190"/>
      <c r="G24" s="1183"/>
    </row>
    <row r="25" spans="1:11" s="1164" customFormat="1" ht="14.25" customHeight="1">
      <c r="A25" s="1197"/>
      <c r="B25" s="1197" t="s">
        <v>253</v>
      </c>
      <c r="C25" s="1198"/>
      <c r="D25" s="1192">
        <v>2021</v>
      </c>
      <c r="E25" s="1193">
        <v>75065</v>
      </c>
      <c r="F25" s="1193">
        <v>947</v>
      </c>
      <c r="G25" s="1166"/>
      <c r="K25" s="1194"/>
    </row>
    <row r="26" spans="1:11" s="1164" customFormat="1" ht="14.25" customHeight="1">
      <c r="A26" s="1197"/>
      <c r="B26" s="1197"/>
      <c r="C26" s="1198"/>
      <c r="D26" s="1192">
        <v>2022</v>
      </c>
      <c r="E26" s="1193">
        <v>239206</v>
      </c>
      <c r="F26" s="1193">
        <v>3824</v>
      </c>
      <c r="G26" s="1166"/>
      <c r="K26" s="1194"/>
    </row>
    <row r="27" spans="1:11" s="1164" customFormat="1" ht="14.25" customHeight="1">
      <c r="A27" s="1197"/>
      <c r="B27" s="1197"/>
      <c r="C27" s="1198"/>
      <c r="D27" s="1192">
        <v>2023</v>
      </c>
      <c r="E27" s="1193">
        <v>239206</v>
      </c>
      <c r="F27" s="1193">
        <v>3824</v>
      </c>
      <c r="G27" s="1166"/>
      <c r="K27" s="1194"/>
    </row>
    <row r="28" spans="1:11" s="1164" customFormat="1" ht="8.25" customHeight="1">
      <c r="A28" s="1184"/>
      <c r="B28" s="1196"/>
      <c r="C28" s="1184"/>
      <c r="D28" s="1184"/>
      <c r="E28" s="1190"/>
      <c r="F28" s="1190"/>
      <c r="G28" s="1183"/>
    </row>
    <row r="29" spans="1:11" s="1164" customFormat="1" ht="14.25" customHeight="1">
      <c r="A29" s="1197"/>
      <c r="B29" s="1197" t="s">
        <v>254</v>
      </c>
      <c r="C29" s="1198"/>
      <c r="D29" s="1192">
        <v>2021</v>
      </c>
      <c r="E29" s="1199">
        <v>105736</v>
      </c>
      <c r="F29" s="1199">
        <v>1306</v>
      </c>
      <c r="G29" s="1166"/>
      <c r="K29" s="1194"/>
    </row>
    <row r="30" spans="1:11" s="1164" customFormat="1" ht="14.25" customHeight="1">
      <c r="A30" s="1197"/>
      <c r="B30" s="1197"/>
      <c r="C30" s="1198"/>
      <c r="D30" s="1192">
        <v>2022</v>
      </c>
      <c r="E30" s="1193">
        <v>239206</v>
      </c>
      <c r="F30" s="1193">
        <v>3824</v>
      </c>
      <c r="G30" s="1166"/>
      <c r="K30" s="1194"/>
    </row>
    <row r="31" spans="1:11" s="1164" customFormat="1" ht="14.25" customHeight="1">
      <c r="A31" s="1197"/>
      <c r="B31" s="1197"/>
      <c r="C31" s="1198"/>
      <c r="D31" s="1192">
        <v>2023</v>
      </c>
      <c r="E31" s="1193">
        <v>239206</v>
      </c>
      <c r="F31" s="1193">
        <v>3824</v>
      </c>
      <c r="G31" s="1166"/>
      <c r="K31" s="1200"/>
    </row>
    <row r="32" spans="1:11" s="1164" customFormat="1" ht="8.25" customHeight="1">
      <c r="A32" s="1184"/>
      <c r="B32" s="1196"/>
      <c r="C32" s="1184"/>
      <c r="D32" s="1184"/>
      <c r="E32" s="1190"/>
      <c r="F32" s="1190"/>
      <c r="G32" s="1183"/>
    </row>
    <row r="33" spans="1:7" s="1164" customFormat="1" ht="14.25" customHeight="1">
      <c r="A33" s="1197"/>
      <c r="B33" s="1197" t="s">
        <v>255</v>
      </c>
      <c r="C33" s="1198"/>
      <c r="D33" s="1192">
        <v>2021</v>
      </c>
      <c r="E33" s="1193">
        <v>93981</v>
      </c>
      <c r="F33" s="1193">
        <v>761</v>
      </c>
      <c r="G33" s="1166"/>
    </row>
    <row r="34" spans="1:7" s="1164" customFormat="1" ht="14.25" customHeight="1">
      <c r="A34" s="1197"/>
      <c r="B34" s="1197"/>
      <c r="C34" s="1198"/>
      <c r="D34" s="1192">
        <v>2022</v>
      </c>
      <c r="E34" s="1193">
        <v>239206</v>
      </c>
      <c r="F34" s="1193">
        <v>3824</v>
      </c>
      <c r="G34" s="1166"/>
    </row>
    <row r="35" spans="1:7" s="1164" customFormat="1" ht="14.25" customHeight="1">
      <c r="A35" s="1197"/>
      <c r="B35" s="1197"/>
      <c r="C35" s="1198"/>
      <c r="D35" s="1192">
        <v>2023</v>
      </c>
      <c r="E35" s="1193">
        <v>239206</v>
      </c>
      <c r="F35" s="1193">
        <v>3824</v>
      </c>
      <c r="G35" s="1166"/>
    </row>
    <row r="36" spans="1:7" s="1164" customFormat="1" ht="8.25" customHeight="1">
      <c r="A36" s="1184"/>
      <c r="B36" s="1196"/>
      <c r="C36" s="1184"/>
      <c r="D36" s="1184"/>
      <c r="E36" s="1190"/>
      <c r="F36" s="1190"/>
      <c r="G36" s="1183"/>
    </row>
    <row r="37" spans="1:7" s="1164" customFormat="1" ht="14.25" customHeight="1">
      <c r="A37" s="1197"/>
      <c r="B37" s="1197" t="s">
        <v>256</v>
      </c>
      <c r="C37" s="1198"/>
      <c r="D37" s="1192">
        <v>2021</v>
      </c>
      <c r="E37" s="1193">
        <v>157616</v>
      </c>
      <c r="F37" s="1193">
        <v>1736</v>
      </c>
      <c r="G37" s="1166"/>
    </row>
    <row r="38" spans="1:7" s="1164" customFormat="1" ht="14.25" customHeight="1">
      <c r="A38" s="1197"/>
      <c r="B38" s="1197"/>
      <c r="C38" s="1198"/>
      <c r="D38" s="1192">
        <v>2022</v>
      </c>
      <c r="E38" s="1193">
        <v>239206</v>
      </c>
      <c r="F38" s="1193">
        <v>3824</v>
      </c>
      <c r="G38" s="1166"/>
    </row>
    <row r="39" spans="1:7" s="1164" customFormat="1" ht="14.25" customHeight="1">
      <c r="A39" s="1197"/>
      <c r="B39" s="1197"/>
      <c r="C39" s="1198"/>
      <c r="D39" s="1192">
        <v>2023</v>
      </c>
      <c r="E39" s="1193">
        <v>239206</v>
      </c>
      <c r="F39" s="1193">
        <v>3824</v>
      </c>
      <c r="G39" s="1166"/>
    </row>
    <row r="40" spans="1:7" s="1164" customFormat="1" ht="8.25" customHeight="1">
      <c r="A40" s="1184"/>
      <c r="B40" s="1196"/>
      <c r="C40" s="1184"/>
      <c r="D40" s="1184"/>
      <c r="E40" s="1190"/>
      <c r="F40" s="1190"/>
      <c r="G40" s="1183"/>
    </row>
    <row r="41" spans="1:7" s="1164" customFormat="1" ht="14.25" customHeight="1">
      <c r="A41" s="1197"/>
      <c r="B41" s="1197" t="s">
        <v>257</v>
      </c>
      <c r="C41" s="1198"/>
      <c r="D41" s="1192">
        <v>2021</v>
      </c>
      <c r="E41" s="1193">
        <v>125844</v>
      </c>
      <c r="F41" s="1193">
        <v>1380</v>
      </c>
      <c r="G41" s="1166"/>
    </row>
    <row r="42" spans="1:7" s="1164" customFormat="1" ht="14.25" customHeight="1">
      <c r="A42" s="1197"/>
      <c r="B42" s="1197"/>
      <c r="C42" s="1198"/>
      <c r="D42" s="1192">
        <v>2022</v>
      </c>
      <c r="E42" s="1193">
        <v>239206</v>
      </c>
      <c r="F42" s="1193">
        <v>3824</v>
      </c>
      <c r="G42" s="1166"/>
    </row>
    <row r="43" spans="1:7" s="1164" customFormat="1" ht="14.25" customHeight="1">
      <c r="A43" s="1197"/>
      <c r="B43" s="1197"/>
      <c r="C43" s="1198"/>
      <c r="D43" s="1192">
        <v>2023</v>
      </c>
      <c r="E43" s="1193">
        <v>239206</v>
      </c>
      <c r="F43" s="1193">
        <v>3824</v>
      </c>
      <c r="G43" s="1166"/>
    </row>
    <row r="44" spans="1:7" s="1164" customFormat="1" ht="8.25" customHeight="1">
      <c r="A44" s="1184"/>
      <c r="B44" s="1196"/>
      <c r="C44" s="1184"/>
      <c r="D44" s="1184"/>
      <c r="E44" s="1190"/>
      <c r="F44" s="1190"/>
      <c r="G44" s="1183"/>
    </row>
    <row r="45" spans="1:7" s="1164" customFormat="1" ht="14.25" customHeight="1">
      <c r="A45" s="1201"/>
      <c r="B45" s="1201" t="s">
        <v>258</v>
      </c>
      <c r="C45" s="1198"/>
      <c r="D45" s="1192">
        <v>2021</v>
      </c>
      <c r="E45" s="1193">
        <v>7123</v>
      </c>
      <c r="F45" s="1193">
        <v>133</v>
      </c>
      <c r="G45" s="1166"/>
    </row>
    <row r="46" spans="1:7" s="1164" customFormat="1" ht="14.25" customHeight="1">
      <c r="A46" s="1201"/>
      <c r="B46" s="1201"/>
      <c r="C46" s="1198"/>
      <c r="D46" s="1192">
        <v>2022</v>
      </c>
      <c r="E46" s="1193">
        <v>239206</v>
      </c>
      <c r="F46" s="1193">
        <v>3824</v>
      </c>
      <c r="G46" s="1166"/>
    </row>
    <row r="47" spans="1:7" s="1164" customFormat="1" ht="14.25" customHeight="1">
      <c r="A47" s="1201"/>
      <c r="B47" s="1201"/>
      <c r="C47" s="1198"/>
      <c r="D47" s="1192">
        <v>2023</v>
      </c>
      <c r="E47" s="1193">
        <v>239206</v>
      </c>
      <c r="F47" s="1193">
        <v>3824</v>
      </c>
      <c r="G47" s="1166"/>
    </row>
    <row r="48" spans="1:7" s="1164" customFormat="1" ht="8.25" customHeight="1">
      <c r="A48" s="1184"/>
      <c r="B48" s="1196"/>
      <c r="C48" s="1184"/>
      <c r="D48" s="1184"/>
      <c r="E48" s="1190"/>
      <c r="F48" s="1190"/>
      <c r="G48" s="1183"/>
    </row>
    <row r="49" spans="1:7" s="1164" customFormat="1" ht="14.25" customHeight="1">
      <c r="A49" s="1197"/>
      <c r="B49" s="1197" t="s">
        <v>259</v>
      </c>
      <c r="C49" s="1198"/>
      <c r="D49" s="1192">
        <v>2021</v>
      </c>
      <c r="E49" s="1193">
        <v>754235</v>
      </c>
      <c r="F49" s="1193">
        <v>9912</v>
      </c>
      <c r="G49" s="1166"/>
    </row>
    <row r="50" spans="1:7" s="1164" customFormat="1" ht="14.25" customHeight="1">
      <c r="A50" s="1197"/>
      <c r="B50" s="1197"/>
      <c r="C50" s="1198"/>
      <c r="D50" s="1192">
        <v>2022</v>
      </c>
      <c r="E50" s="1193">
        <v>239206</v>
      </c>
      <c r="F50" s="1193">
        <v>3824</v>
      </c>
      <c r="G50" s="1166"/>
    </row>
    <row r="51" spans="1:7" s="1164" customFormat="1" ht="14.25" customHeight="1">
      <c r="A51" s="1197"/>
      <c r="B51" s="1197"/>
      <c r="C51" s="1198"/>
      <c r="D51" s="1192">
        <v>2023</v>
      </c>
      <c r="E51" s="1193">
        <v>239206</v>
      </c>
      <c r="F51" s="1193">
        <v>3824</v>
      </c>
      <c r="G51" s="1166"/>
    </row>
    <row r="52" spans="1:7" s="1164" customFormat="1" ht="8.25" customHeight="1">
      <c r="A52" s="1184"/>
      <c r="B52" s="1196"/>
      <c r="C52" s="1184"/>
      <c r="D52" s="1184"/>
      <c r="E52" s="1190"/>
      <c r="F52" s="1190"/>
      <c r="G52" s="1183"/>
    </row>
    <row r="53" spans="1:7" s="1164" customFormat="1" ht="14.25" customHeight="1">
      <c r="A53" s="1197"/>
      <c r="B53" s="1197" t="s">
        <v>260</v>
      </c>
      <c r="C53" s="1198"/>
      <c r="D53" s="1192">
        <v>2021</v>
      </c>
      <c r="E53" s="1199">
        <v>82355</v>
      </c>
      <c r="F53" s="1199">
        <v>707</v>
      </c>
      <c r="G53" s="1166"/>
    </row>
    <row r="54" spans="1:7" s="1164" customFormat="1" ht="14.25" customHeight="1">
      <c r="A54" s="1197"/>
      <c r="B54" s="1197"/>
      <c r="C54" s="1198"/>
      <c r="D54" s="1192">
        <v>2022</v>
      </c>
      <c r="E54" s="1193">
        <v>239206</v>
      </c>
      <c r="F54" s="1193">
        <v>3824</v>
      </c>
      <c r="G54" s="1166"/>
    </row>
    <row r="55" spans="1:7" s="1164" customFormat="1" ht="14.25" customHeight="1">
      <c r="A55" s="1197"/>
      <c r="B55" s="1197"/>
      <c r="C55" s="1198"/>
      <c r="D55" s="1192">
        <v>2023</v>
      </c>
      <c r="E55" s="1193">
        <v>239206</v>
      </c>
      <c r="F55" s="1193">
        <v>3824</v>
      </c>
      <c r="G55" s="1166"/>
    </row>
    <row r="56" spans="1:7" s="1164" customFormat="1" ht="8.25" customHeight="1">
      <c r="A56" s="1184"/>
      <c r="B56" s="1196"/>
      <c r="C56" s="1184"/>
      <c r="D56" s="1184"/>
      <c r="E56" s="1190"/>
      <c r="F56" s="1190"/>
      <c r="G56" s="1183"/>
    </row>
    <row r="57" spans="1:7" s="1164" customFormat="1" ht="14.25" customHeight="1">
      <c r="A57" s="1197"/>
      <c r="B57" s="1197" t="s">
        <v>261</v>
      </c>
      <c r="C57" s="1198"/>
      <c r="D57" s="1192">
        <v>2021</v>
      </c>
      <c r="E57" s="1202">
        <v>203492</v>
      </c>
      <c r="F57" s="1202">
        <v>2518</v>
      </c>
      <c r="G57" s="1166"/>
    </row>
    <row r="58" spans="1:7" s="1164" customFormat="1" ht="14.25" customHeight="1">
      <c r="A58" s="1197"/>
      <c r="B58" s="1197"/>
      <c r="C58" s="1198"/>
      <c r="D58" s="1192">
        <v>2022</v>
      </c>
      <c r="E58" s="1193">
        <v>239206</v>
      </c>
      <c r="F58" s="1193">
        <v>3824</v>
      </c>
      <c r="G58" s="1166"/>
    </row>
    <row r="59" spans="1:7" s="1164" customFormat="1" ht="14.25" customHeight="1">
      <c r="A59" s="1197"/>
      <c r="B59" s="1197"/>
      <c r="C59" s="1198"/>
      <c r="D59" s="1192">
        <v>2023</v>
      </c>
      <c r="E59" s="1193">
        <v>239206</v>
      </c>
      <c r="F59" s="1193">
        <v>3824</v>
      </c>
      <c r="G59" s="1166"/>
    </row>
    <row r="60" spans="1:7" s="1164" customFormat="1" ht="8.25" customHeight="1">
      <c r="A60" s="1184"/>
      <c r="B60" s="1196"/>
      <c r="C60" s="1184"/>
      <c r="D60" s="1184"/>
      <c r="E60" s="1190"/>
      <c r="F60" s="1190"/>
      <c r="G60" s="1183"/>
    </row>
    <row r="61" spans="1:7" s="1164" customFormat="1" ht="14.25" customHeight="1">
      <c r="A61" s="1197"/>
      <c r="B61" s="1197" t="s">
        <v>262</v>
      </c>
      <c r="C61" s="1198"/>
      <c r="D61" s="1192">
        <v>2021</v>
      </c>
      <c r="E61" s="1202">
        <v>251183</v>
      </c>
      <c r="F61" s="1202">
        <v>1596</v>
      </c>
      <c r="G61" s="1166"/>
    </row>
    <row r="62" spans="1:7" s="1164" customFormat="1" ht="14.25" customHeight="1">
      <c r="A62" s="1197"/>
      <c r="B62" s="1197"/>
      <c r="C62" s="1198"/>
      <c r="D62" s="1192">
        <v>2022</v>
      </c>
      <c r="E62" s="1193">
        <v>239206</v>
      </c>
      <c r="F62" s="1193">
        <v>3824</v>
      </c>
      <c r="G62" s="1166"/>
    </row>
    <row r="63" spans="1:7" s="1164" customFormat="1" ht="14.25" customHeight="1">
      <c r="A63" s="1197"/>
      <c r="B63" s="1197"/>
      <c r="C63" s="1198"/>
      <c r="D63" s="1192">
        <v>2023</v>
      </c>
      <c r="E63" s="1193">
        <v>239206</v>
      </c>
      <c r="F63" s="1193">
        <v>3824</v>
      </c>
      <c r="G63" s="1166"/>
    </row>
    <row r="64" spans="1:7" s="1164" customFormat="1" ht="8.25" customHeight="1">
      <c r="A64" s="1184"/>
      <c r="B64" s="1196"/>
      <c r="C64" s="1184"/>
      <c r="D64" s="1184"/>
      <c r="E64" s="1190"/>
      <c r="F64" s="1190"/>
      <c r="G64" s="1183"/>
    </row>
    <row r="65" spans="1:10" s="1164" customFormat="1" ht="14.25" customHeight="1">
      <c r="A65" s="1201"/>
      <c r="B65" s="1201" t="s">
        <v>263</v>
      </c>
      <c r="C65" s="1198"/>
      <c r="D65" s="1192">
        <v>2021</v>
      </c>
      <c r="E65" s="1199">
        <v>197363</v>
      </c>
      <c r="F65" s="1199">
        <v>2650</v>
      </c>
      <c r="G65" s="1203"/>
      <c r="H65" s="1204"/>
      <c r="I65" s="1204"/>
      <c r="J65" s="1204"/>
    </row>
    <row r="66" spans="1:10" s="1164" customFormat="1" ht="14.25" customHeight="1">
      <c r="A66" s="1201"/>
      <c r="B66" s="1201"/>
      <c r="C66" s="1198"/>
      <c r="D66" s="1192">
        <v>2022</v>
      </c>
      <c r="E66" s="1193">
        <v>239206</v>
      </c>
      <c r="F66" s="1193">
        <v>3824</v>
      </c>
      <c r="G66" s="1203"/>
      <c r="H66" s="1204"/>
      <c r="I66" s="1204"/>
      <c r="J66" s="1204"/>
    </row>
    <row r="67" spans="1:10" s="1164" customFormat="1" ht="14.25" customHeight="1">
      <c r="A67" s="1201"/>
      <c r="B67" s="1201"/>
      <c r="C67" s="1198"/>
      <c r="D67" s="1192">
        <v>2023</v>
      </c>
      <c r="E67" s="1193">
        <v>239206</v>
      </c>
      <c r="F67" s="1193">
        <v>3824</v>
      </c>
      <c r="G67" s="1203"/>
    </row>
    <row r="68" spans="1:10" s="1164" customFormat="1" ht="8.25" customHeight="1">
      <c r="A68" s="1184"/>
      <c r="B68" s="1196"/>
      <c r="C68" s="1184"/>
      <c r="D68" s="1184"/>
      <c r="E68" s="1190"/>
      <c r="F68" s="1190"/>
      <c r="G68" s="1183"/>
    </row>
    <row r="69" spans="1:10" s="1164" customFormat="1" ht="14.25" customHeight="1">
      <c r="A69" s="1201"/>
      <c r="B69" s="1201" t="s">
        <v>264</v>
      </c>
      <c r="C69" s="1198"/>
      <c r="D69" s="1192">
        <v>2021</v>
      </c>
      <c r="E69" s="1202">
        <v>9123</v>
      </c>
      <c r="F69" s="1202">
        <v>143</v>
      </c>
      <c r="G69" s="1166"/>
    </row>
    <row r="70" spans="1:10" s="1164" customFormat="1" ht="14.25" customHeight="1">
      <c r="A70" s="1201"/>
      <c r="B70" s="1201"/>
      <c r="C70" s="1198"/>
      <c r="D70" s="1192">
        <v>2022</v>
      </c>
      <c r="E70" s="1193">
        <v>239206</v>
      </c>
      <c r="F70" s="1193">
        <v>3824</v>
      </c>
      <c r="G70" s="1166"/>
    </row>
    <row r="71" spans="1:10" s="1164" customFormat="1" ht="14.25" customHeight="1">
      <c r="A71" s="1201"/>
      <c r="B71" s="1201"/>
      <c r="C71" s="1198"/>
      <c r="D71" s="1192">
        <v>2023</v>
      </c>
      <c r="E71" s="1193">
        <v>239206</v>
      </c>
      <c r="F71" s="1193">
        <v>3824</v>
      </c>
      <c r="G71" s="1166"/>
    </row>
    <row r="72" spans="1:10" s="1164" customFormat="1" ht="8.25" customHeight="1">
      <c r="A72" s="1184"/>
      <c r="B72" s="1196"/>
      <c r="C72" s="1184"/>
      <c r="D72" s="1184"/>
      <c r="E72" s="1190"/>
      <c r="F72" s="1190"/>
      <c r="G72" s="1183"/>
    </row>
    <row r="73" spans="1:10" s="1164" customFormat="1" ht="14.25" customHeight="1">
      <c r="A73" s="1201"/>
      <c r="B73" s="1201" t="s">
        <v>265</v>
      </c>
      <c r="C73" s="1198"/>
      <c r="D73" s="1192">
        <v>2021</v>
      </c>
      <c r="E73" s="1202">
        <v>9107</v>
      </c>
      <c r="F73" s="1202">
        <v>19</v>
      </c>
      <c r="G73" s="1166"/>
    </row>
    <row r="74" spans="1:10" s="1164" customFormat="1" ht="14.25" customHeight="1">
      <c r="A74" s="1201"/>
      <c r="B74" s="1201"/>
      <c r="C74" s="1198"/>
      <c r="D74" s="1192">
        <v>2022</v>
      </c>
      <c r="E74" s="1193">
        <v>239206</v>
      </c>
      <c r="F74" s="1193">
        <v>3824</v>
      </c>
      <c r="G74" s="1166"/>
    </row>
    <row r="75" spans="1:10" s="1164" customFormat="1" ht="14.25" customHeight="1">
      <c r="A75" s="1201"/>
      <c r="B75" s="1205"/>
      <c r="C75" s="1198"/>
      <c r="D75" s="1192">
        <v>2023</v>
      </c>
      <c r="E75" s="1193">
        <v>239206</v>
      </c>
      <c r="F75" s="1193">
        <v>3824</v>
      </c>
      <c r="G75" s="1166"/>
    </row>
    <row r="76" spans="1:10" s="1164" customFormat="1" ht="13.25" customHeight="1" thickBot="1">
      <c r="A76" s="1206"/>
      <c r="B76" s="1206"/>
      <c r="C76" s="1206"/>
      <c r="D76" s="1206"/>
      <c r="E76" s="1207"/>
      <c r="F76" s="1207"/>
      <c r="G76" s="1166"/>
    </row>
    <row r="77" spans="1:10" s="1208" customFormat="1" ht="15" customHeight="1">
      <c r="E77" s="1425" t="s">
        <v>1106</v>
      </c>
      <c r="F77" s="1425"/>
      <c r="G77" s="1209"/>
    </row>
    <row r="78" spans="1:10" s="1211" customFormat="1" ht="15" customHeight="1">
      <c r="A78" s="1210"/>
      <c r="E78" s="1426" t="s">
        <v>1107</v>
      </c>
      <c r="F78" s="1426"/>
      <c r="G78" s="1212"/>
      <c r="H78" s="1208"/>
      <c r="I78" s="1208"/>
      <c r="J78" s="1208"/>
    </row>
  </sheetData>
  <mergeCells count="3">
    <mergeCell ref="D6:D7"/>
    <mergeCell ref="E77:F77"/>
    <mergeCell ref="E78:F78"/>
  </mergeCells>
  <pageMargins left="0.55118110236220474" right="0.55118110236220474" top="0.55118110236220474" bottom="0.55118110236220474" header="0.31496062992125984" footer="0.31496062992125984"/>
  <pageSetup paperSize="9" scale="74" fitToWidth="0" fitToHeight="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0A26-09C0-4D74-B7D4-CC5F99AF45F0}">
  <sheetPr codeName="Sheet69">
    <pageSetUpPr fitToPage="1"/>
  </sheetPr>
  <dimension ref="A1:S50"/>
  <sheetViews>
    <sheetView view="pageBreakPreview" zoomScale="90" zoomScaleNormal="100" zoomScaleSheetLayoutView="90" workbookViewId="0">
      <selection activeCell="D60" sqref="D60"/>
    </sheetView>
  </sheetViews>
  <sheetFormatPr baseColWidth="10" defaultColWidth="8.83203125" defaultRowHeight="15"/>
  <cols>
    <col min="1" max="1" width="1.5" customWidth="1"/>
    <col min="2" max="2" width="12" customWidth="1"/>
    <col min="3" max="3" width="9.33203125" customWidth="1"/>
    <col min="4" max="5" width="8.6640625" customWidth="1"/>
    <col min="6" max="7" width="12.83203125" customWidth="1"/>
    <col min="8" max="8" width="2" customWidth="1"/>
    <col min="9" max="10" width="8.6640625" customWidth="1"/>
    <col min="11" max="12" width="12.83203125" customWidth="1"/>
    <col min="13" max="13" width="2" customWidth="1"/>
    <col min="14" max="15" width="8.6640625" customWidth="1"/>
    <col min="16" max="17" width="12.83203125" customWidth="1"/>
  </cols>
  <sheetData>
    <row r="1" spans="1:18" s="480" customFormat="1" ht="11.25" customHeight="1">
      <c r="B1" s="798"/>
      <c r="C1" s="798"/>
      <c r="D1" s="1213"/>
      <c r="E1" s="1213"/>
      <c r="F1" s="282"/>
      <c r="G1" s="282"/>
      <c r="H1" s="282"/>
      <c r="I1" s="1214"/>
      <c r="J1" s="1214"/>
      <c r="K1" s="1214"/>
      <c r="L1" s="1214"/>
      <c r="M1" s="1214"/>
      <c r="N1" s="1214"/>
      <c r="O1" s="1214"/>
      <c r="P1" s="1214"/>
      <c r="Q1" s="1214"/>
    </row>
    <row r="2" spans="1:18" s="463" customFormat="1" ht="16.5" customHeight="1">
      <c r="B2" s="973" t="s">
        <v>1108</v>
      </c>
      <c r="C2" s="975" t="s">
        <v>1109</v>
      </c>
      <c r="D2" s="1215"/>
      <c r="E2" s="1215"/>
      <c r="F2" s="1216"/>
      <c r="G2" s="1216"/>
      <c r="H2" s="1216"/>
      <c r="I2" s="1091"/>
      <c r="J2" s="1091"/>
      <c r="K2" s="1091"/>
      <c r="L2" s="1091"/>
      <c r="M2" s="1091"/>
      <c r="N2" s="1091"/>
      <c r="O2" s="1091"/>
      <c r="P2" s="1091"/>
      <c r="Q2" s="1091"/>
      <c r="R2" s="1217"/>
    </row>
    <row r="3" spans="1:18" s="497" customFormat="1" ht="16.5" customHeight="1">
      <c r="B3" s="728" t="s">
        <v>1110</v>
      </c>
      <c r="C3" s="1052" t="s">
        <v>1111</v>
      </c>
      <c r="D3" s="1218"/>
      <c r="E3" s="1218"/>
    </row>
    <row r="4" spans="1:18" s="480" customFormat="1" ht="8" customHeight="1">
      <c r="B4" s="798"/>
      <c r="C4" s="798"/>
      <c r="D4" s="1213"/>
      <c r="E4" s="1213"/>
      <c r="F4" s="1219"/>
      <c r="G4" s="1219"/>
      <c r="H4" s="1219"/>
      <c r="I4" s="1220"/>
      <c r="J4" s="1220"/>
      <c r="K4" s="1220"/>
      <c r="L4" s="1220"/>
      <c r="M4" s="1220"/>
      <c r="N4" s="1220"/>
      <c r="O4" s="1220"/>
      <c r="P4" s="1220"/>
      <c r="Q4" s="1220"/>
    </row>
    <row r="5" spans="1:18" s="480" customFormat="1" ht="8" customHeight="1" thickBot="1">
      <c r="A5" s="482"/>
      <c r="B5" s="804"/>
      <c r="C5" s="804"/>
      <c r="D5" s="1221"/>
      <c r="E5" s="1221"/>
      <c r="F5" s="1222"/>
      <c r="G5" s="1222"/>
      <c r="H5" s="1222"/>
      <c r="I5" s="1223"/>
      <c r="J5" s="1223"/>
      <c r="K5" s="1223"/>
      <c r="L5" s="1223"/>
      <c r="M5" s="1223"/>
      <c r="N5" s="1223"/>
      <c r="O5" s="1223"/>
      <c r="P5" s="1223"/>
      <c r="Q5" s="1223"/>
    </row>
    <row r="6" spans="1:18" s="344" customFormat="1" ht="8" customHeight="1">
      <c r="D6" s="682"/>
      <c r="E6" s="682"/>
      <c r="F6" s="496"/>
      <c r="G6" s="496"/>
      <c r="H6" s="496"/>
      <c r="I6" s="1036"/>
      <c r="J6" s="1036"/>
      <c r="K6" s="1036"/>
      <c r="L6" s="1036"/>
      <c r="M6" s="1036"/>
      <c r="N6" s="1036"/>
      <c r="O6" s="1036"/>
      <c r="P6" s="1036"/>
      <c r="Q6" s="1036"/>
    </row>
    <row r="7" spans="1:18" s="344" customFormat="1" ht="34.25" customHeight="1" thickBot="1">
      <c r="B7" s="485" t="s">
        <v>1112</v>
      </c>
      <c r="C7" s="796"/>
      <c r="D7" s="1427" t="s">
        <v>1113</v>
      </c>
      <c r="E7" s="1427"/>
      <c r="F7" s="1427"/>
      <c r="G7" s="1427"/>
      <c r="H7" s="309"/>
      <c r="I7" s="1428" t="s">
        <v>1114</v>
      </c>
      <c r="J7" s="1428"/>
      <c r="K7" s="1428"/>
      <c r="L7" s="1428"/>
      <c r="M7" s="309"/>
      <c r="N7" s="1428" t="s">
        <v>1115</v>
      </c>
      <c r="O7" s="1428"/>
      <c r="P7" s="1428"/>
      <c r="Q7" s="1428"/>
    </row>
    <row r="8" spans="1:18" s="344" customFormat="1" ht="43.5" customHeight="1" thickBot="1">
      <c r="A8" s="1224"/>
      <c r="B8" s="1225"/>
      <c r="C8" s="1226"/>
      <c r="D8" s="1227" t="s">
        <v>1116</v>
      </c>
      <c r="E8" s="1227" t="s">
        <v>1117</v>
      </c>
      <c r="F8" s="1227" t="s">
        <v>1118</v>
      </c>
      <c r="G8" s="1227" t="s">
        <v>1119</v>
      </c>
      <c r="H8" s="1228"/>
      <c r="I8" s="1229" t="s">
        <v>1116</v>
      </c>
      <c r="J8" s="1229" t="s">
        <v>1117</v>
      </c>
      <c r="K8" s="1227" t="s">
        <v>1118</v>
      </c>
      <c r="L8" s="1227" t="s">
        <v>1119</v>
      </c>
      <c r="M8" s="1228"/>
      <c r="N8" s="1229" t="s">
        <v>1116</v>
      </c>
      <c r="O8" s="1229" t="s">
        <v>1117</v>
      </c>
      <c r="P8" s="1227" t="s">
        <v>1118</v>
      </c>
      <c r="Q8" s="1227" t="s">
        <v>1119</v>
      </c>
    </row>
    <row r="9" spans="1:18" s="480" customFormat="1" ht="15.25" customHeight="1">
      <c r="B9" s="1230"/>
      <c r="C9" s="1230"/>
      <c r="D9" s="783"/>
      <c r="E9" s="783"/>
      <c r="F9" s="797"/>
      <c r="G9" s="797"/>
      <c r="H9" s="797"/>
      <c r="I9" s="797"/>
      <c r="J9" s="797"/>
      <c r="K9" s="797"/>
      <c r="L9" s="797"/>
      <c r="M9" s="797"/>
      <c r="N9" s="797"/>
      <c r="O9" s="797"/>
      <c r="P9" s="797"/>
      <c r="Q9" s="797"/>
    </row>
    <row r="10" spans="1:18" s="1231" customFormat="1" ht="13" customHeight="1">
      <c r="B10" s="1186" t="s">
        <v>777</v>
      </c>
      <c r="C10" s="1232"/>
      <c r="D10" s="1233">
        <v>28309</v>
      </c>
      <c r="E10" s="1233">
        <v>28309</v>
      </c>
      <c r="F10" s="1233">
        <v>28309</v>
      </c>
      <c r="G10" s="1233">
        <v>28309</v>
      </c>
      <c r="H10" s="1233"/>
      <c r="I10" s="1233">
        <v>28309</v>
      </c>
      <c r="J10" s="1233">
        <v>28309</v>
      </c>
      <c r="K10" s="1233">
        <v>28309</v>
      </c>
      <c r="L10" s="1233">
        <v>28309</v>
      </c>
      <c r="M10" s="1233"/>
      <c r="N10" s="1233">
        <v>28309</v>
      </c>
      <c r="O10" s="1233">
        <v>28309</v>
      </c>
      <c r="P10" s="1233">
        <v>28309</v>
      </c>
      <c r="Q10" s="1233">
        <v>28309</v>
      </c>
    </row>
    <row r="11" spans="1:18" s="1231" customFormat="1" ht="12" customHeight="1">
      <c r="B11" s="1186"/>
      <c r="C11" s="1232"/>
      <c r="D11" s="1233"/>
      <c r="E11" s="1233"/>
      <c r="F11" s="1233"/>
      <c r="G11" s="1234"/>
      <c r="H11" s="1233"/>
      <c r="I11" s="1233"/>
      <c r="J11" s="1233"/>
      <c r="K11" s="1233"/>
      <c r="L11" s="1233"/>
      <c r="M11" s="1233"/>
      <c r="N11" s="1233"/>
      <c r="O11" s="1233"/>
      <c r="P11" s="1233"/>
      <c r="Q11" s="1233"/>
    </row>
    <row r="12" spans="1:18" s="1235" customFormat="1" ht="13" customHeight="1">
      <c r="B12" s="1184"/>
      <c r="C12" s="1236"/>
      <c r="D12" s="349"/>
      <c r="E12" s="349"/>
      <c r="F12" s="1237"/>
      <c r="G12" s="1234"/>
      <c r="H12" s="1237"/>
      <c r="I12" s="1237"/>
      <c r="J12" s="1237"/>
      <c r="K12" s="1237"/>
      <c r="L12" s="349"/>
      <c r="M12" s="1237"/>
      <c r="N12" s="349"/>
      <c r="O12" s="1237"/>
      <c r="P12" s="1237"/>
      <c r="Q12" s="1237"/>
    </row>
    <row r="13" spans="1:18" s="1235" customFormat="1" ht="13" customHeight="1">
      <c r="B13" s="1191" t="s">
        <v>250</v>
      </c>
      <c r="C13" s="1236"/>
      <c r="D13" s="349">
        <v>123</v>
      </c>
      <c r="E13" s="349">
        <v>123</v>
      </c>
      <c r="F13" s="349">
        <v>123</v>
      </c>
      <c r="G13" s="349">
        <v>123</v>
      </c>
      <c r="H13" s="1237"/>
      <c r="I13" s="349">
        <v>123</v>
      </c>
      <c r="J13" s="349">
        <v>123</v>
      </c>
      <c r="K13" s="349">
        <v>123</v>
      </c>
      <c r="L13" s="349">
        <v>123</v>
      </c>
      <c r="M13" s="1237"/>
      <c r="N13" s="349">
        <v>123</v>
      </c>
      <c r="O13" s="349">
        <v>123</v>
      </c>
      <c r="P13" s="349">
        <v>123</v>
      </c>
      <c r="Q13" s="349">
        <v>123</v>
      </c>
    </row>
    <row r="14" spans="1:18" s="1235" customFormat="1" ht="13" customHeight="1">
      <c r="B14" s="1191"/>
      <c r="C14" s="1236"/>
      <c r="D14" s="349"/>
      <c r="E14" s="349"/>
      <c r="F14" s="1237"/>
      <c r="G14" s="1234"/>
      <c r="H14" s="1237"/>
      <c r="I14" s="1237"/>
      <c r="J14" s="1237"/>
      <c r="K14" s="1237"/>
      <c r="L14" s="349"/>
      <c r="M14" s="1237"/>
      <c r="N14" s="349"/>
      <c r="O14" s="1237"/>
      <c r="P14" s="1237"/>
      <c r="Q14" s="1237"/>
    </row>
    <row r="15" spans="1:18" s="1235" customFormat="1" ht="13" customHeight="1">
      <c r="B15" s="1197" t="s">
        <v>251</v>
      </c>
      <c r="C15" s="1236"/>
      <c r="D15" s="349">
        <v>123</v>
      </c>
      <c r="E15" s="349">
        <v>123</v>
      </c>
      <c r="F15" s="349">
        <v>123</v>
      </c>
      <c r="G15" s="349">
        <v>123</v>
      </c>
      <c r="H15" s="1237"/>
      <c r="I15" s="349">
        <v>123</v>
      </c>
      <c r="J15" s="349">
        <v>123</v>
      </c>
      <c r="K15" s="349">
        <v>123</v>
      </c>
      <c r="L15" s="349">
        <v>123</v>
      </c>
      <c r="M15" s="1237"/>
      <c r="N15" s="349">
        <v>123</v>
      </c>
      <c r="O15" s="349">
        <v>123</v>
      </c>
      <c r="P15" s="349">
        <v>123</v>
      </c>
      <c r="Q15" s="349">
        <v>123</v>
      </c>
    </row>
    <row r="16" spans="1:18" s="1235" customFormat="1" ht="13" customHeight="1">
      <c r="B16" s="1238"/>
      <c r="C16" s="1236"/>
      <c r="D16" s="349"/>
      <c r="E16" s="349"/>
      <c r="F16" s="1237"/>
      <c r="G16" s="1234"/>
      <c r="H16" s="1237"/>
      <c r="I16" s="1237"/>
      <c r="J16" s="1237"/>
      <c r="K16" s="1237"/>
      <c r="L16" s="349"/>
      <c r="M16" s="1237"/>
      <c r="N16" s="349"/>
      <c r="O16" s="1237"/>
      <c r="P16" s="1237"/>
      <c r="Q16" s="1237"/>
    </row>
    <row r="17" spans="2:17" s="1235" customFormat="1" ht="13" customHeight="1">
      <c r="B17" s="1197" t="s">
        <v>252</v>
      </c>
      <c r="C17" s="1236"/>
      <c r="D17" s="349">
        <v>123</v>
      </c>
      <c r="E17" s="349">
        <v>123</v>
      </c>
      <c r="F17" s="349">
        <v>123</v>
      </c>
      <c r="G17" s="349">
        <v>123</v>
      </c>
      <c r="H17" s="1237"/>
      <c r="I17" s="349">
        <v>123</v>
      </c>
      <c r="J17" s="349">
        <v>123</v>
      </c>
      <c r="K17" s="349">
        <v>123</v>
      </c>
      <c r="L17" s="349">
        <v>123</v>
      </c>
      <c r="M17" s="1237"/>
      <c r="N17" s="349">
        <v>123</v>
      </c>
      <c r="O17" s="349">
        <v>123</v>
      </c>
      <c r="P17" s="349">
        <v>123</v>
      </c>
      <c r="Q17" s="349">
        <v>123</v>
      </c>
    </row>
    <row r="18" spans="2:17" s="1235" customFormat="1" ht="13" customHeight="1">
      <c r="B18" s="1197"/>
      <c r="C18" s="1236"/>
      <c r="D18" s="349"/>
      <c r="E18" s="349"/>
      <c r="F18" s="1237"/>
      <c r="G18" s="1234"/>
      <c r="H18" s="1237"/>
      <c r="I18" s="1237"/>
      <c r="J18" s="1237"/>
      <c r="K18" s="1237"/>
      <c r="L18" s="349"/>
      <c r="M18" s="1237"/>
      <c r="N18" s="349"/>
      <c r="O18" s="1237"/>
      <c r="P18" s="1237"/>
      <c r="Q18" s="1237"/>
    </row>
    <row r="19" spans="2:17" s="1235" customFormat="1" ht="13" customHeight="1">
      <c r="B19" s="1197" t="s">
        <v>253</v>
      </c>
      <c r="C19" s="1236"/>
      <c r="D19" s="349">
        <v>123</v>
      </c>
      <c r="E19" s="349">
        <v>123</v>
      </c>
      <c r="F19" s="349">
        <v>123</v>
      </c>
      <c r="G19" s="349">
        <v>123</v>
      </c>
      <c r="H19" s="1237"/>
      <c r="I19" s="349">
        <v>123</v>
      </c>
      <c r="J19" s="349">
        <v>123</v>
      </c>
      <c r="K19" s="349">
        <v>123</v>
      </c>
      <c r="L19" s="349">
        <v>123</v>
      </c>
      <c r="M19" s="1237"/>
      <c r="N19" s="349">
        <v>123</v>
      </c>
      <c r="O19" s="349">
        <v>123</v>
      </c>
      <c r="P19" s="349">
        <v>123</v>
      </c>
      <c r="Q19" s="349">
        <v>123</v>
      </c>
    </row>
    <row r="20" spans="2:17" s="1235" customFormat="1" ht="13" customHeight="1">
      <c r="B20" s="1238"/>
      <c r="C20" s="1236"/>
      <c r="D20" s="349"/>
      <c r="E20" s="349"/>
      <c r="F20" s="1237"/>
      <c r="G20" s="1234"/>
      <c r="H20" s="1237"/>
      <c r="I20" s="1237"/>
      <c r="J20" s="1237"/>
      <c r="K20" s="1237"/>
      <c r="L20" s="349"/>
      <c r="M20" s="1237"/>
      <c r="N20" s="349"/>
      <c r="O20" s="1237"/>
      <c r="P20" s="1237"/>
      <c r="Q20" s="1237"/>
    </row>
    <row r="21" spans="2:17" s="1235" customFormat="1" ht="13" customHeight="1">
      <c r="B21" s="1197" t="s">
        <v>254</v>
      </c>
      <c r="C21" s="1236"/>
      <c r="D21" s="349">
        <v>123</v>
      </c>
      <c r="E21" s="349">
        <v>123</v>
      </c>
      <c r="F21" s="349">
        <v>123</v>
      </c>
      <c r="G21" s="349">
        <v>123</v>
      </c>
      <c r="H21" s="1237"/>
      <c r="I21" s="349">
        <v>123</v>
      </c>
      <c r="J21" s="349">
        <v>123</v>
      </c>
      <c r="K21" s="349">
        <v>123</v>
      </c>
      <c r="L21" s="349">
        <v>123</v>
      </c>
      <c r="M21" s="1237"/>
      <c r="N21" s="349">
        <v>123</v>
      </c>
      <c r="O21" s="349">
        <v>123</v>
      </c>
      <c r="P21" s="349">
        <v>123</v>
      </c>
      <c r="Q21" s="349">
        <v>123</v>
      </c>
    </row>
    <row r="22" spans="2:17" s="1235" customFormat="1" ht="13" customHeight="1">
      <c r="B22" s="1238"/>
      <c r="C22" s="1236"/>
      <c r="D22" s="349"/>
      <c r="E22" s="349"/>
      <c r="F22" s="1237"/>
      <c r="G22" s="1234"/>
      <c r="H22" s="1237"/>
      <c r="I22" s="1237"/>
      <c r="J22" s="1237"/>
      <c r="K22" s="1237"/>
      <c r="L22" s="349"/>
      <c r="M22" s="1237"/>
      <c r="N22" s="349"/>
      <c r="O22" s="1237"/>
      <c r="P22" s="1237"/>
      <c r="Q22" s="1237"/>
    </row>
    <row r="23" spans="2:17" s="1235" customFormat="1" ht="13" customHeight="1">
      <c r="B23" s="1197" t="s">
        <v>255</v>
      </c>
      <c r="C23" s="1236"/>
      <c r="D23" s="349">
        <v>123</v>
      </c>
      <c r="E23" s="349">
        <v>123</v>
      </c>
      <c r="F23" s="349">
        <v>123</v>
      </c>
      <c r="G23" s="349">
        <v>123</v>
      </c>
      <c r="H23" s="1237"/>
      <c r="I23" s="349">
        <v>123</v>
      </c>
      <c r="J23" s="349">
        <v>123</v>
      </c>
      <c r="K23" s="349">
        <v>123</v>
      </c>
      <c r="L23" s="349">
        <v>123</v>
      </c>
      <c r="M23" s="1237"/>
      <c r="N23" s="349">
        <v>123</v>
      </c>
      <c r="O23" s="349">
        <v>123</v>
      </c>
      <c r="P23" s="349">
        <v>123</v>
      </c>
      <c r="Q23" s="349">
        <v>123</v>
      </c>
    </row>
    <row r="24" spans="2:17" s="1235" customFormat="1" ht="13" customHeight="1">
      <c r="B24" s="1197"/>
      <c r="C24" s="1236"/>
      <c r="D24" s="1239"/>
      <c r="E24" s="1239"/>
      <c r="F24" s="1237"/>
      <c r="G24" s="1234"/>
      <c r="H24" s="1237"/>
      <c r="I24" s="1237"/>
      <c r="J24" s="1237"/>
      <c r="K24" s="1237"/>
      <c r="L24" s="1239"/>
      <c r="M24" s="1237"/>
      <c r="N24" s="1239"/>
      <c r="O24" s="1237"/>
      <c r="P24" s="1237"/>
      <c r="Q24" s="1237"/>
    </row>
    <row r="25" spans="2:17" s="1235" customFormat="1" ht="13" customHeight="1">
      <c r="B25" s="1197" t="s">
        <v>256</v>
      </c>
      <c r="C25" s="1236"/>
      <c r="D25" s="349">
        <v>123</v>
      </c>
      <c r="E25" s="349">
        <v>123</v>
      </c>
      <c r="F25" s="349">
        <v>123</v>
      </c>
      <c r="G25" s="349">
        <v>123</v>
      </c>
      <c r="H25" s="1237"/>
      <c r="I25" s="349">
        <v>123</v>
      </c>
      <c r="J25" s="349">
        <v>123</v>
      </c>
      <c r="K25" s="349">
        <v>123</v>
      </c>
      <c r="L25" s="349">
        <v>123</v>
      </c>
      <c r="M25" s="1237"/>
      <c r="N25" s="349">
        <v>123</v>
      </c>
      <c r="O25" s="349">
        <v>123</v>
      </c>
      <c r="P25" s="349">
        <v>123</v>
      </c>
      <c r="Q25" s="349">
        <v>123</v>
      </c>
    </row>
    <row r="26" spans="2:17" s="1235" customFormat="1" ht="13" customHeight="1">
      <c r="B26" s="1197"/>
      <c r="C26" s="1236"/>
      <c r="D26" s="1239"/>
      <c r="E26" s="1239"/>
      <c r="F26" s="1237"/>
      <c r="G26" s="1234"/>
      <c r="H26" s="1237"/>
      <c r="I26" s="1237"/>
      <c r="J26" s="1237"/>
      <c r="K26" s="1237"/>
      <c r="L26" s="1239"/>
      <c r="M26" s="1237"/>
      <c r="N26" s="1239"/>
      <c r="O26" s="1237"/>
      <c r="P26" s="1237"/>
      <c r="Q26" s="1237"/>
    </row>
    <row r="27" spans="2:17" s="1235" customFormat="1" ht="13" customHeight="1">
      <c r="B27" s="1197" t="s">
        <v>257</v>
      </c>
      <c r="C27" s="1236"/>
      <c r="D27" s="349">
        <v>123</v>
      </c>
      <c r="E27" s="349">
        <v>123</v>
      </c>
      <c r="F27" s="349">
        <v>123</v>
      </c>
      <c r="G27" s="349">
        <v>123</v>
      </c>
      <c r="H27" s="1237"/>
      <c r="I27" s="349">
        <v>123</v>
      </c>
      <c r="J27" s="349">
        <v>123</v>
      </c>
      <c r="K27" s="349">
        <v>123</v>
      </c>
      <c r="L27" s="349">
        <v>123</v>
      </c>
      <c r="M27" s="1237"/>
      <c r="N27" s="349">
        <v>123</v>
      </c>
      <c r="O27" s="349">
        <v>123</v>
      </c>
      <c r="P27" s="349">
        <v>123</v>
      </c>
      <c r="Q27" s="349">
        <v>123</v>
      </c>
    </row>
    <row r="28" spans="2:17" s="1235" customFormat="1" ht="13" customHeight="1">
      <c r="B28" s="1197"/>
      <c r="C28" s="1236"/>
      <c r="D28" s="683"/>
      <c r="E28" s="683"/>
      <c r="F28" s="683"/>
      <c r="G28" s="1234"/>
      <c r="H28" s="1237"/>
      <c r="I28" s="1237"/>
      <c r="J28" s="1237"/>
      <c r="K28" s="1237"/>
      <c r="L28" s="683"/>
      <c r="M28" s="1237"/>
      <c r="N28" s="683"/>
      <c r="O28" s="1237"/>
      <c r="P28" s="1237"/>
      <c r="Q28" s="1237"/>
    </row>
    <row r="29" spans="2:17" s="1235" customFormat="1" ht="13" customHeight="1">
      <c r="B29" s="1201" t="s">
        <v>258</v>
      </c>
      <c r="C29" s="1236"/>
      <c r="D29" s="349">
        <v>123</v>
      </c>
      <c r="E29" s="349">
        <v>123</v>
      </c>
      <c r="F29" s="349">
        <v>123</v>
      </c>
      <c r="G29" s="349">
        <v>123</v>
      </c>
      <c r="H29" s="1237"/>
      <c r="I29" s="349">
        <v>123</v>
      </c>
      <c r="J29" s="349">
        <v>123</v>
      </c>
      <c r="K29" s="349">
        <v>123</v>
      </c>
      <c r="L29" s="349">
        <v>123</v>
      </c>
      <c r="M29" s="1237"/>
      <c r="N29" s="349">
        <v>123</v>
      </c>
      <c r="O29" s="349">
        <v>123</v>
      </c>
      <c r="P29" s="349">
        <v>123</v>
      </c>
      <c r="Q29" s="349">
        <v>123</v>
      </c>
    </row>
    <row r="30" spans="2:17" s="1235" customFormat="1" ht="13" customHeight="1">
      <c r="B30" s="1238"/>
      <c r="C30" s="1236"/>
      <c r="D30" s="349"/>
      <c r="E30" s="349"/>
      <c r="F30" s="349"/>
      <c r="G30" s="1234"/>
      <c r="H30" s="1237"/>
      <c r="I30" s="1237"/>
      <c r="J30" s="1237"/>
      <c r="K30" s="1237"/>
      <c r="L30" s="349"/>
      <c r="M30" s="1237"/>
      <c r="N30" s="349"/>
      <c r="O30" s="1237"/>
      <c r="P30" s="1237"/>
      <c r="Q30" s="1237"/>
    </row>
    <row r="31" spans="2:17" s="1235" customFormat="1" ht="13" customHeight="1">
      <c r="B31" s="1197" t="s">
        <v>259</v>
      </c>
      <c r="C31" s="1236"/>
      <c r="D31" s="349">
        <v>123</v>
      </c>
      <c r="E31" s="349">
        <v>123</v>
      </c>
      <c r="F31" s="349">
        <v>123</v>
      </c>
      <c r="G31" s="349">
        <v>123</v>
      </c>
      <c r="H31" s="1237"/>
      <c r="I31" s="349">
        <v>123</v>
      </c>
      <c r="J31" s="349">
        <v>123</v>
      </c>
      <c r="K31" s="349">
        <v>123</v>
      </c>
      <c r="L31" s="349">
        <v>123</v>
      </c>
      <c r="M31" s="1237"/>
      <c r="N31" s="349">
        <v>123</v>
      </c>
      <c r="O31" s="349">
        <v>123</v>
      </c>
      <c r="P31" s="349">
        <v>123</v>
      </c>
      <c r="Q31" s="349">
        <v>123</v>
      </c>
    </row>
    <row r="32" spans="2:17" s="1235" customFormat="1" ht="13" customHeight="1">
      <c r="B32" s="1196"/>
      <c r="C32" s="1236"/>
      <c r="D32" s="1240"/>
      <c r="E32" s="1240"/>
      <c r="F32" s="349"/>
      <c r="G32" s="1234"/>
      <c r="H32" s="1237"/>
      <c r="I32" s="1237"/>
      <c r="J32" s="1237"/>
      <c r="K32" s="1237"/>
      <c r="L32" s="1240"/>
      <c r="M32" s="1237"/>
      <c r="N32" s="1240"/>
      <c r="O32" s="1237"/>
      <c r="P32" s="1237"/>
      <c r="Q32" s="1237"/>
    </row>
    <row r="33" spans="1:19" s="1235" customFormat="1" ht="13" customHeight="1">
      <c r="B33" s="1197" t="s">
        <v>260</v>
      </c>
      <c r="C33" s="1236"/>
      <c r="D33" s="349">
        <v>123</v>
      </c>
      <c r="E33" s="349">
        <v>123</v>
      </c>
      <c r="F33" s="349">
        <v>123</v>
      </c>
      <c r="G33" s="349">
        <v>123</v>
      </c>
      <c r="H33" s="1237"/>
      <c r="I33" s="349">
        <v>123</v>
      </c>
      <c r="J33" s="349">
        <v>123</v>
      </c>
      <c r="K33" s="349">
        <v>123</v>
      </c>
      <c r="L33" s="349">
        <v>123</v>
      </c>
      <c r="M33" s="1237"/>
      <c r="N33" s="349">
        <v>123</v>
      </c>
      <c r="O33" s="349">
        <v>123</v>
      </c>
      <c r="P33" s="349">
        <v>123</v>
      </c>
      <c r="Q33" s="349">
        <v>123</v>
      </c>
    </row>
    <row r="34" spans="1:19" s="1235" customFormat="1" ht="13" customHeight="1">
      <c r="B34" s="1197"/>
      <c r="C34" s="1236"/>
      <c r="D34" s="1241"/>
      <c r="E34" s="1239"/>
      <c r="F34" s="349"/>
      <c r="G34" s="1234"/>
      <c r="H34" s="1237"/>
      <c r="I34" s="1237"/>
      <c r="J34" s="1237"/>
      <c r="K34" s="1237"/>
      <c r="L34" s="1237"/>
      <c r="M34" s="1237"/>
      <c r="N34" s="1237"/>
      <c r="O34" s="1237"/>
      <c r="P34" s="1237"/>
      <c r="Q34" s="1237"/>
    </row>
    <row r="35" spans="1:19" s="1235" customFormat="1" ht="13" customHeight="1">
      <c r="B35" s="1197" t="s">
        <v>261</v>
      </c>
      <c r="C35" s="1236"/>
      <c r="D35" s="349">
        <v>123</v>
      </c>
      <c r="E35" s="349">
        <v>123</v>
      </c>
      <c r="F35" s="349">
        <v>123</v>
      </c>
      <c r="G35" s="349">
        <v>123</v>
      </c>
      <c r="H35" s="1237"/>
      <c r="I35" s="349">
        <v>123</v>
      </c>
      <c r="J35" s="349">
        <v>123</v>
      </c>
      <c r="K35" s="349">
        <v>123</v>
      </c>
      <c r="L35" s="349">
        <v>123</v>
      </c>
      <c r="M35" s="1237"/>
      <c r="N35" s="349">
        <v>123</v>
      </c>
      <c r="O35" s="349">
        <v>123</v>
      </c>
      <c r="P35" s="349">
        <v>123</v>
      </c>
      <c r="Q35" s="349">
        <v>123</v>
      </c>
    </row>
    <row r="36" spans="1:19" s="1235" customFormat="1" ht="13" customHeight="1">
      <c r="B36" s="1238"/>
      <c r="C36" s="1236"/>
      <c r="D36" s="1242"/>
      <c r="E36" s="1240"/>
      <c r="F36" s="1240"/>
      <c r="G36" s="1234"/>
      <c r="H36" s="1237"/>
      <c r="I36" s="1237"/>
      <c r="J36" s="1237"/>
      <c r="K36" s="1237"/>
      <c r="L36" s="1239"/>
      <c r="M36" s="1237"/>
      <c r="N36" s="1239"/>
      <c r="O36" s="1237"/>
      <c r="P36" s="1237"/>
      <c r="Q36" s="1237"/>
    </row>
    <row r="37" spans="1:19" s="1235" customFormat="1" ht="13" customHeight="1">
      <c r="B37" s="1197" t="s">
        <v>262</v>
      </c>
      <c r="C37" s="1236"/>
      <c r="D37" s="349">
        <v>123</v>
      </c>
      <c r="E37" s="349">
        <v>123</v>
      </c>
      <c r="F37" s="349">
        <v>123</v>
      </c>
      <c r="G37" s="349">
        <v>123</v>
      </c>
      <c r="H37" s="1237"/>
      <c r="I37" s="349">
        <v>123</v>
      </c>
      <c r="J37" s="349">
        <v>123</v>
      </c>
      <c r="K37" s="349">
        <v>123</v>
      </c>
      <c r="L37" s="349">
        <v>123</v>
      </c>
      <c r="M37" s="1237"/>
      <c r="N37" s="349">
        <v>123</v>
      </c>
      <c r="O37" s="349">
        <v>123</v>
      </c>
      <c r="P37" s="349">
        <v>123</v>
      </c>
      <c r="Q37" s="349">
        <v>123</v>
      </c>
    </row>
    <row r="38" spans="1:19" s="1235" customFormat="1" ht="13" customHeight="1">
      <c r="B38" s="1197"/>
      <c r="C38" s="1236"/>
      <c r="D38" s="1242"/>
      <c r="E38" s="1239"/>
      <c r="F38" s="1240"/>
      <c r="G38" s="1237"/>
      <c r="H38" s="1237"/>
      <c r="I38" s="1237"/>
      <c r="J38" s="1237"/>
      <c r="K38" s="1237"/>
      <c r="L38" s="683"/>
      <c r="M38" s="1237"/>
      <c r="N38" s="683"/>
      <c r="O38" s="1237"/>
      <c r="P38" s="1237"/>
      <c r="Q38" s="1237"/>
    </row>
    <row r="39" spans="1:19" s="1235" customFormat="1" ht="13" customHeight="1">
      <c r="B39" s="1201" t="s">
        <v>263</v>
      </c>
      <c r="C39" s="1236"/>
      <c r="D39" s="349">
        <v>123</v>
      </c>
      <c r="E39" s="349">
        <v>123</v>
      </c>
      <c r="F39" s="349">
        <v>123</v>
      </c>
      <c r="G39" s="349">
        <v>123</v>
      </c>
      <c r="H39" s="1237"/>
      <c r="I39" s="349">
        <v>123</v>
      </c>
      <c r="J39" s="349">
        <v>123</v>
      </c>
      <c r="K39" s="349">
        <v>123</v>
      </c>
      <c r="L39" s="349">
        <v>123</v>
      </c>
      <c r="M39" s="1237"/>
      <c r="N39" s="349">
        <v>123</v>
      </c>
      <c r="O39" s="349">
        <v>123</v>
      </c>
      <c r="P39" s="349">
        <v>123</v>
      </c>
      <c r="Q39" s="349">
        <v>123</v>
      </c>
    </row>
    <row r="40" spans="1:19" s="480" customFormat="1" ht="15.25" customHeight="1">
      <c r="B40" s="1201"/>
      <c r="C40" s="1243"/>
      <c r="D40" s="1244"/>
      <c r="E40" s="1245"/>
      <c r="F40" s="1246"/>
      <c r="G40" s="1247"/>
      <c r="H40" s="1247"/>
      <c r="I40" s="1246"/>
      <c r="J40" s="1246"/>
      <c r="K40" s="1246"/>
      <c r="L40" s="349"/>
      <c r="M40" s="1246"/>
      <c r="N40" s="349"/>
      <c r="O40" s="1237"/>
      <c r="P40" s="1237"/>
      <c r="Q40" s="1237"/>
      <c r="R40" s="1248"/>
      <c r="S40" s="377"/>
    </row>
    <row r="41" spans="1:19" s="480" customFormat="1" ht="15.25" customHeight="1">
      <c r="B41" s="1201" t="s">
        <v>264</v>
      </c>
      <c r="C41" s="1243"/>
      <c r="D41" s="349">
        <v>123</v>
      </c>
      <c r="E41" s="349">
        <v>123</v>
      </c>
      <c r="F41" s="349">
        <v>123</v>
      </c>
      <c r="G41" s="349">
        <v>123</v>
      </c>
      <c r="H41" s="1247"/>
      <c r="I41" s="349">
        <v>123</v>
      </c>
      <c r="J41" s="349">
        <v>123</v>
      </c>
      <c r="K41" s="349">
        <v>123</v>
      </c>
      <c r="L41" s="349">
        <v>123</v>
      </c>
      <c r="M41" s="1246"/>
      <c r="N41" s="349">
        <v>123</v>
      </c>
      <c r="O41" s="349">
        <v>123</v>
      </c>
      <c r="P41" s="349">
        <v>123</v>
      </c>
      <c r="Q41" s="349">
        <v>123</v>
      </c>
      <c r="R41" s="1248"/>
      <c r="S41" s="377"/>
    </row>
    <row r="42" spans="1:19" s="480" customFormat="1" ht="15.25" customHeight="1">
      <c r="B42" s="1201"/>
      <c r="C42" s="1243"/>
      <c r="D42" s="1244"/>
      <c r="E42" s="1245"/>
      <c r="F42" s="1246"/>
      <c r="G42" s="1247"/>
      <c r="H42" s="1247"/>
      <c r="I42" s="1246"/>
      <c r="J42" s="1246"/>
      <c r="K42" s="1246"/>
      <c r="L42" s="1240"/>
      <c r="M42" s="1246"/>
      <c r="N42" s="1240"/>
      <c r="O42" s="1237"/>
      <c r="P42" s="1237"/>
      <c r="Q42" s="1237"/>
      <c r="R42" s="1248"/>
      <c r="S42" s="377"/>
    </row>
    <row r="43" spans="1:19" s="480" customFormat="1" ht="15.25" customHeight="1">
      <c r="B43" s="1201" t="s">
        <v>265</v>
      </c>
      <c r="C43" s="1243"/>
      <c r="D43" s="349">
        <v>123</v>
      </c>
      <c r="E43" s="349">
        <v>123</v>
      </c>
      <c r="F43" s="349">
        <v>123</v>
      </c>
      <c r="G43" s="349">
        <v>123</v>
      </c>
      <c r="H43" s="1247"/>
      <c r="I43" s="349">
        <v>123</v>
      </c>
      <c r="J43" s="349">
        <v>123</v>
      </c>
      <c r="K43" s="349">
        <v>123</v>
      </c>
      <c r="L43" s="349">
        <v>123</v>
      </c>
      <c r="M43" s="1246"/>
      <c r="N43" s="349">
        <v>123</v>
      </c>
      <c r="O43" s="349">
        <v>123</v>
      </c>
      <c r="P43" s="349">
        <v>123</v>
      </c>
      <c r="Q43" s="349">
        <v>123</v>
      </c>
      <c r="R43" s="1248"/>
      <c r="S43" s="377"/>
    </row>
    <row r="44" spans="1:19" s="810" customFormat="1" ht="7.5" customHeight="1" thickBot="1">
      <c r="A44" s="1249"/>
      <c r="B44" s="1181"/>
      <c r="C44" s="803"/>
      <c r="D44" s="482"/>
      <c r="E44" s="482"/>
      <c r="F44" s="1250"/>
      <c r="G44" s="1251"/>
      <c r="H44" s="1251"/>
      <c r="I44" s="1250"/>
      <c r="J44" s="805"/>
      <c r="K44" s="805"/>
      <c r="L44" s="805"/>
      <c r="M44" s="805"/>
      <c r="N44" s="805"/>
      <c r="O44" s="805"/>
      <c r="P44" s="805"/>
      <c r="Q44" s="805"/>
    </row>
    <row r="45" spans="1:19" s="938" customFormat="1" ht="15.25" customHeight="1">
      <c r="D45" s="970"/>
      <c r="E45" s="1330" t="s">
        <v>1106</v>
      </c>
      <c r="F45" s="1330"/>
      <c r="G45" s="1330"/>
      <c r="H45" s="1330"/>
      <c r="I45" s="1330"/>
      <c r="J45" s="1330"/>
      <c r="K45" s="1330"/>
      <c r="L45" s="1330"/>
      <c r="M45" s="1330"/>
      <c r="N45" s="1330"/>
      <c r="O45" s="1330"/>
      <c r="P45" s="1330"/>
      <c r="Q45" s="1330"/>
    </row>
    <row r="46" spans="1:19" s="938" customFormat="1" ht="15.25" customHeight="1">
      <c r="B46" s="1205"/>
      <c r="D46" s="970"/>
      <c r="E46" s="1332" t="s">
        <v>1107</v>
      </c>
      <c r="F46" s="1332"/>
      <c r="G46" s="1332"/>
      <c r="H46" s="1332"/>
      <c r="I46" s="1332"/>
      <c r="J46" s="1332"/>
      <c r="K46" s="1332"/>
      <c r="L46" s="1332"/>
      <c r="M46" s="1332"/>
      <c r="N46" s="1332"/>
      <c r="O46" s="1332"/>
      <c r="P46" s="1332"/>
      <c r="Q46" s="1332"/>
    </row>
    <row r="47" spans="1:19" s="698" customFormat="1" ht="13">
      <c r="A47" s="810"/>
      <c r="B47" s="1184"/>
      <c r="C47" s="807"/>
      <c r="D47" s="811"/>
      <c r="E47" s="811"/>
      <c r="F47" s="683"/>
      <c r="G47" s="377"/>
      <c r="H47" s="377"/>
      <c r="I47" s="683"/>
      <c r="J47" s="377"/>
      <c r="K47" s="377"/>
      <c r="L47" s="377"/>
      <c r="M47" s="377"/>
      <c r="N47" s="377"/>
      <c r="O47" s="377"/>
      <c r="P47" s="377"/>
      <c r="Q47" s="377"/>
    </row>
    <row r="48" spans="1:19" s="698" customFormat="1" ht="13">
      <c r="C48" s="705"/>
      <c r="D48" s="706"/>
      <c r="E48" s="706"/>
      <c r="F48" s="800"/>
      <c r="G48" s="800"/>
      <c r="H48" s="800"/>
      <c r="I48" s="800"/>
      <c r="J48" s="800"/>
      <c r="K48" s="800"/>
      <c r="L48" s="800"/>
      <c r="M48" s="800"/>
      <c r="N48" s="800"/>
      <c r="O48" s="800"/>
      <c r="P48" s="800"/>
      <c r="Q48" s="800"/>
    </row>
    <row r="49" spans="1:19" s="377" customFormat="1" ht="13">
      <c r="A49" s="698"/>
      <c r="B49" s="1078"/>
      <c r="C49" s="708"/>
      <c r="D49" s="709"/>
      <c r="E49" s="709"/>
      <c r="F49" s="808"/>
      <c r="G49" s="808"/>
      <c r="H49" s="808"/>
      <c r="I49" s="808"/>
      <c r="J49" s="808"/>
      <c r="K49" s="808"/>
      <c r="L49" s="808"/>
      <c r="M49" s="808"/>
      <c r="N49" s="808"/>
      <c r="O49" s="808"/>
      <c r="P49" s="808"/>
      <c r="Q49" s="808"/>
    </row>
    <row r="50" spans="1:19" s="480" customFormat="1" ht="13">
      <c r="A50" s="698"/>
      <c r="B50" s="712"/>
      <c r="C50" s="708"/>
      <c r="D50" s="709"/>
      <c r="E50" s="709"/>
      <c r="F50" s="698"/>
      <c r="G50" s="698"/>
      <c r="H50" s="698"/>
      <c r="I50" s="717"/>
      <c r="J50" s="717"/>
      <c r="K50" s="717"/>
      <c r="L50" s="717"/>
      <c r="M50" s="717"/>
      <c r="N50" s="717"/>
      <c r="O50" s="717"/>
      <c r="P50" s="717"/>
      <c r="Q50" s="717"/>
      <c r="R50" s="377"/>
      <c r="S50" s="377"/>
    </row>
  </sheetData>
  <mergeCells count="5">
    <mergeCell ref="D7:G7"/>
    <mergeCell ref="I7:L7"/>
    <mergeCell ref="N7:Q7"/>
    <mergeCell ref="E45:Q45"/>
    <mergeCell ref="E46:Q46"/>
  </mergeCells>
  <printOptions horizontalCentered="1"/>
  <pageMargins left="0.55118110236220474" right="0.55118110236220474" top="0.55118110236220474" bottom="0.55118110236220474" header="0.31496062992125984" footer="0.31496062992125984"/>
  <pageSetup paperSize="9" scale="55"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9BA6-1A33-4B00-8EC1-B33146550E7C}">
  <sheetPr codeName="Sheet70">
    <pageSetUpPr fitToPage="1"/>
  </sheetPr>
  <dimension ref="A1:J52"/>
  <sheetViews>
    <sheetView view="pageBreakPreview" zoomScaleNormal="100" zoomScaleSheetLayoutView="100" workbookViewId="0">
      <selection activeCell="D60" sqref="D60"/>
    </sheetView>
  </sheetViews>
  <sheetFormatPr baseColWidth="10" defaultColWidth="8.83203125" defaultRowHeight="15"/>
  <cols>
    <col min="1" max="1" width="3.33203125" customWidth="1"/>
    <col min="4" max="4" width="33.83203125" customWidth="1"/>
    <col min="5" max="5" width="10.1640625" customWidth="1"/>
    <col min="6" max="6" width="15.5" customWidth="1"/>
    <col min="7" max="7" width="18.83203125" customWidth="1"/>
    <col min="8" max="8" width="17.6640625" customWidth="1"/>
  </cols>
  <sheetData>
    <row r="1" spans="1:9" s="545" customFormat="1" ht="8.25" customHeight="1"/>
    <row r="2" spans="1:9" s="545" customFormat="1" ht="8.25" customHeight="1"/>
    <row r="3" spans="1:9" s="545" customFormat="1" ht="16.5" customHeight="1">
      <c r="B3" s="546" t="s">
        <v>1120</v>
      </c>
      <c r="C3" s="3" t="s">
        <v>1121</v>
      </c>
      <c r="E3" s="547"/>
    </row>
    <row r="4" spans="1:9" s="545" customFormat="1" ht="16.5" customHeight="1">
      <c r="B4" s="548" t="s">
        <v>1122</v>
      </c>
      <c r="C4" s="6" t="s">
        <v>1123</v>
      </c>
      <c r="D4" s="549"/>
      <c r="E4" s="547"/>
    </row>
    <row r="5" spans="1:9" s="545" customFormat="1" ht="13.25" customHeight="1" thickBot="1">
      <c r="A5" s="550"/>
      <c r="B5" s="550"/>
      <c r="C5" s="550"/>
      <c r="D5" s="550"/>
      <c r="E5" s="351"/>
    </row>
    <row r="6" spans="1:9" s="551" customFormat="1" ht="43.25" customHeight="1" thickBot="1">
      <c r="A6" s="10"/>
      <c r="B6" s="1273" t="s">
        <v>1124</v>
      </c>
      <c r="C6" s="1293"/>
      <c r="D6" s="10"/>
      <c r="E6" s="11"/>
      <c r="F6" s="11">
        <v>2022</v>
      </c>
      <c r="G6" s="11">
        <v>2023</v>
      </c>
      <c r="H6" s="11">
        <v>2024</v>
      </c>
      <c r="I6" s="14"/>
    </row>
    <row r="7" spans="1:9" s="551" customFormat="1" ht="16.5" customHeight="1">
      <c r="B7" s="552"/>
      <c r="C7" s="553"/>
      <c r="D7" s="258"/>
      <c r="E7" s="258"/>
      <c r="F7" s="587"/>
      <c r="G7" s="554"/>
      <c r="H7" s="554"/>
      <c r="I7" s="554"/>
    </row>
    <row r="8" spans="1:9" s="551" customFormat="1" ht="16.5" customHeight="1">
      <c r="A8" s="1252"/>
      <c r="B8" s="1252" t="s">
        <v>1125</v>
      </c>
      <c r="C8" s="553"/>
      <c r="D8" s="258"/>
      <c r="E8" s="258"/>
      <c r="F8" s="587"/>
      <c r="G8" s="554"/>
      <c r="H8" s="554"/>
      <c r="I8" s="554"/>
    </row>
    <row r="9" spans="1:9" s="551" customFormat="1" ht="16.5" customHeight="1">
      <c r="A9" s="1253"/>
      <c r="B9" s="1253" t="s">
        <v>1126</v>
      </c>
      <c r="C9" s="553"/>
      <c r="D9" s="258"/>
      <c r="E9" s="258"/>
      <c r="F9" s="587"/>
      <c r="G9" s="554"/>
      <c r="H9" s="554"/>
      <c r="I9" s="554"/>
    </row>
    <row r="10" spans="1:9" s="551" customFormat="1" ht="16.5" customHeight="1">
      <c r="B10" s="552"/>
      <c r="C10" s="553"/>
      <c r="D10" s="258"/>
      <c r="E10" s="258"/>
      <c r="F10" s="587"/>
      <c r="G10" s="554"/>
      <c r="H10" s="554"/>
      <c r="I10" s="554"/>
    </row>
    <row r="11" spans="1:9" s="551" customFormat="1" ht="16.5" customHeight="1">
      <c r="B11" s="562" t="s">
        <v>777</v>
      </c>
      <c r="C11" s="553"/>
      <c r="D11" s="258"/>
      <c r="E11" s="214"/>
      <c r="F11" s="214">
        <f t="shared" ref="F11:H11" si="0">SUM(F12:F25)</f>
        <v>3366279615.2399998</v>
      </c>
      <c r="G11" s="214">
        <f t="shared" si="0"/>
        <v>3366279615.2399998</v>
      </c>
      <c r="H11" s="214">
        <f t="shared" si="0"/>
        <v>3535358194.0499992</v>
      </c>
      <c r="I11" s="554"/>
    </row>
    <row r="12" spans="1:9" s="551" customFormat="1" ht="15.25" customHeight="1">
      <c r="B12" s="1254" t="s">
        <v>250</v>
      </c>
      <c r="C12" s="553"/>
      <c r="D12" s="258"/>
      <c r="E12" s="1255"/>
      <c r="F12" s="1256">
        <v>311727367.23000002</v>
      </c>
      <c r="G12" s="1256">
        <v>311727367.23000002</v>
      </c>
      <c r="H12" s="1256">
        <v>300855626.50999999</v>
      </c>
      <c r="I12" s="554"/>
    </row>
    <row r="13" spans="1:9" s="551" customFormat="1" ht="15.25" customHeight="1">
      <c r="B13" s="1254" t="s">
        <v>251</v>
      </c>
      <c r="C13" s="553"/>
      <c r="D13" s="557"/>
      <c r="E13" s="1255"/>
      <c r="F13" s="1256">
        <v>206055559.61000001</v>
      </c>
      <c r="G13" s="1256">
        <v>206055559.61000001</v>
      </c>
      <c r="H13" s="1256">
        <v>217913020.81999999</v>
      </c>
      <c r="I13" s="554"/>
    </row>
    <row r="14" spans="1:9" s="551" customFormat="1" ht="15.25" customHeight="1">
      <c r="B14" s="1254" t="s">
        <v>252</v>
      </c>
      <c r="C14" s="553"/>
      <c r="D14" s="557"/>
      <c r="E14" s="1255"/>
      <c r="F14" s="1256">
        <v>195138060</v>
      </c>
      <c r="G14" s="1256">
        <v>195138060</v>
      </c>
      <c r="H14" s="1256">
        <v>202654987</v>
      </c>
      <c r="I14" s="554"/>
    </row>
    <row r="15" spans="1:9" s="551" customFormat="1" ht="16.5" customHeight="1">
      <c r="B15" s="1254" t="s">
        <v>253</v>
      </c>
      <c r="C15" s="553"/>
      <c r="D15" s="559"/>
      <c r="E15" s="1257"/>
      <c r="F15" s="1256">
        <v>98838098.549999997</v>
      </c>
      <c r="G15" s="1256">
        <v>98838098.549999997</v>
      </c>
      <c r="H15" s="1256">
        <v>100720991.88</v>
      </c>
      <c r="I15" s="554"/>
    </row>
    <row r="16" spans="1:9" s="551" customFormat="1" ht="15.25" customHeight="1">
      <c r="B16" s="1254" t="s">
        <v>254</v>
      </c>
      <c r="C16" s="553"/>
      <c r="D16" s="258"/>
      <c r="E16" s="1255"/>
      <c r="F16" s="1256">
        <v>141521193.34999999</v>
      </c>
      <c r="G16" s="1256">
        <v>141521193.34999999</v>
      </c>
      <c r="H16" s="1256">
        <v>157160528.43000001</v>
      </c>
      <c r="I16" s="554"/>
    </row>
    <row r="17" spans="2:10" s="551" customFormat="1" ht="15.25" customHeight="1">
      <c r="B17" s="1254" t="s">
        <v>255</v>
      </c>
      <c r="C17" s="553"/>
      <c r="D17" s="557"/>
      <c r="E17" s="1255"/>
      <c r="F17" s="1256">
        <v>167220290.72</v>
      </c>
      <c r="G17" s="1256">
        <v>167220290.72</v>
      </c>
      <c r="H17" s="1256">
        <v>165260316.30000001</v>
      </c>
      <c r="I17" s="554"/>
    </row>
    <row r="18" spans="2:10" s="551" customFormat="1" ht="15.25" customHeight="1">
      <c r="B18" s="1254" t="s">
        <v>256</v>
      </c>
      <c r="C18" s="553"/>
      <c r="D18" s="557"/>
      <c r="E18" s="1255"/>
      <c r="F18" s="1256">
        <v>121432704.20999999</v>
      </c>
      <c r="G18" s="1256">
        <v>121432704.20999999</v>
      </c>
      <c r="H18" s="1256">
        <v>130875632.56999999</v>
      </c>
      <c r="I18" s="554"/>
    </row>
    <row r="19" spans="2:10" s="551" customFormat="1" ht="16.5" customHeight="1">
      <c r="B19" s="1254" t="s">
        <v>257</v>
      </c>
      <c r="C19" s="553"/>
      <c r="D19" s="559"/>
      <c r="E19" s="1257"/>
      <c r="F19" s="1256">
        <v>207187053.49000001</v>
      </c>
      <c r="G19" s="1256">
        <v>207187053.49000001</v>
      </c>
      <c r="H19" s="1256">
        <v>191633580.59</v>
      </c>
      <c r="I19" s="554"/>
    </row>
    <row r="20" spans="2:10" s="551" customFormat="1" ht="15.25" customHeight="1">
      <c r="B20" s="1254" t="s">
        <v>258</v>
      </c>
      <c r="C20" s="553"/>
      <c r="D20" s="258"/>
      <c r="E20" s="1257"/>
      <c r="F20" s="1256" t="s">
        <v>29</v>
      </c>
      <c r="G20" s="1256" t="s">
        <v>29</v>
      </c>
      <c r="H20" s="1256" t="s">
        <v>29</v>
      </c>
      <c r="I20" s="554"/>
    </row>
    <row r="21" spans="2:10" s="551" customFormat="1" ht="15.25" customHeight="1">
      <c r="B21" s="1254" t="s">
        <v>259</v>
      </c>
      <c r="C21" s="553"/>
      <c r="D21" s="557"/>
      <c r="E21" s="1255"/>
      <c r="F21" s="1256">
        <v>855137860</v>
      </c>
      <c r="G21" s="1256">
        <v>855137860</v>
      </c>
      <c r="H21" s="1256">
        <v>912956543</v>
      </c>
      <c r="I21" s="554"/>
    </row>
    <row r="22" spans="2:10" s="551" customFormat="1" ht="15.25" customHeight="1">
      <c r="B22" s="1254" t="s">
        <v>260</v>
      </c>
      <c r="C22" s="553"/>
      <c r="D22" s="557"/>
      <c r="E22" s="1255"/>
      <c r="F22" s="1256">
        <v>178654905.66999999</v>
      </c>
      <c r="G22" s="1256">
        <v>178654905.66999999</v>
      </c>
      <c r="H22" s="1256">
        <v>185104612.28999999</v>
      </c>
      <c r="I22" s="554"/>
    </row>
    <row r="23" spans="2:10" s="551" customFormat="1" ht="16.5" customHeight="1">
      <c r="B23" s="1254" t="s">
        <v>857</v>
      </c>
      <c r="C23" s="553"/>
      <c r="D23" s="559"/>
      <c r="E23" s="1257"/>
      <c r="F23" s="1256">
        <v>88997519.920000002</v>
      </c>
      <c r="G23" s="1256">
        <v>88997519.920000002</v>
      </c>
      <c r="H23" s="1256">
        <v>101788328.22</v>
      </c>
      <c r="I23" s="554"/>
    </row>
    <row r="24" spans="2:10" s="551" customFormat="1" ht="15.25" customHeight="1">
      <c r="B24" s="1254" t="s">
        <v>262</v>
      </c>
      <c r="C24" s="553"/>
      <c r="D24" s="258"/>
      <c r="E24" s="1255"/>
      <c r="F24" s="1256">
        <v>105963561.48999999</v>
      </c>
      <c r="G24" s="1256">
        <v>105963561.48999999</v>
      </c>
      <c r="H24" s="1256">
        <v>110374938.58</v>
      </c>
      <c r="I24" s="554"/>
    </row>
    <row r="25" spans="2:10" s="551" customFormat="1" ht="15.25" customHeight="1">
      <c r="B25" s="1254" t="s">
        <v>1127</v>
      </c>
      <c r="C25" s="553"/>
      <c r="D25" s="557"/>
      <c r="E25" s="1257"/>
      <c r="F25" s="1256">
        <v>688405441</v>
      </c>
      <c r="G25" s="1256">
        <v>688405441</v>
      </c>
      <c r="H25" s="1256">
        <v>758059087.86000001</v>
      </c>
      <c r="I25" s="554"/>
    </row>
    <row r="26" spans="2:10" s="351" customFormat="1" ht="15.25" customHeight="1">
      <c r="B26" s="555"/>
      <c r="C26" s="560"/>
      <c r="D26" s="239"/>
      <c r="F26" s="239"/>
      <c r="G26" s="239"/>
      <c r="H26" s="239"/>
      <c r="I26" s="554"/>
      <c r="J26" s="551"/>
    </row>
    <row r="27" spans="2:10" s="549" customFormat="1" ht="15.25" customHeight="1">
      <c r="B27" s="1252" t="s">
        <v>1128</v>
      </c>
      <c r="F27" s="582"/>
      <c r="G27" s="582"/>
      <c r="H27" s="582"/>
    </row>
    <row r="28" spans="2:10" s="549" customFormat="1" ht="15.25" customHeight="1">
      <c r="B28" s="1253" t="s">
        <v>1129</v>
      </c>
      <c r="F28" s="582"/>
      <c r="G28" s="582"/>
      <c r="H28" s="582"/>
    </row>
    <row r="29" spans="2:10" s="551" customFormat="1" ht="16.5" customHeight="1">
      <c r="B29" s="552"/>
      <c r="C29" s="553"/>
      <c r="D29" s="258"/>
      <c r="E29" s="258"/>
      <c r="F29" s="239"/>
      <c r="G29" s="239"/>
      <c r="H29" s="239"/>
      <c r="I29" s="554"/>
    </row>
    <row r="30" spans="2:10" s="551" customFormat="1" ht="16.5" customHeight="1">
      <c r="B30" s="562" t="s">
        <v>777</v>
      </c>
      <c r="C30" s="553"/>
      <c r="D30" s="258"/>
      <c r="E30" s="214"/>
      <c r="F30" s="214">
        <f t="shared" ref="F30:H30" si="1">SUM(F31:F44)</f>
        <v>3001086230.4700003</v>
      </c>
      <c r="G30" s="214">
        <f t="shared" si="1"/>
        <v>3001086230.4700003</v>
      </c>
      <c r="H30" s="214">
        <f t="shared" si="1"/>
        <v>3027041449.9799995</v>
      </c>
      <c r="I30" s="554"/>
    </row>
    <row r="31" spans="2:10" s="551" customFormat="1" ht="15.25" customHeight="1">
      <c r="B31" s="1254" t="s">
        <v>250</v>
      </c>
      <c r="C31" s="553"/>
      <c r="D31" s="258"/>
      <c r="E31" s="1257"/>
      <c r="F31" s="1256">
        <v>299809512.74000001</v>
      </c>
      <c r="G31" s="1256">
        <v>299809512.74000001</v>
      </c>
      <c r="H31" s="1256">
        <v>299837853.39999998</v>
      </c>
      <c r="I31" s="554"/>
    </row>
    <row r="32" spans="2:10" s="551" customFormat="1" ht="15.25" customHeight="1">
      <c r="B32" s="1254" t="s">
        <v>251</v>
      </c>
      <c r="C32" s="553"/>
      <c r="D32" s="557"/>
      <c r="E32" s="1255"/>
      <c r="F32" s="1256">
        <v>192622521.12</v>
      </c>
      <c r="G32" s="1256">
        <v>192622521.12</v>
      </c>
      <c r="H32" s="1256">
        <v>195698217.47</v>
      </c>
      <c r="I32" s="554"/>
    </row>
    <row r="33" spans="1:10" s="551" customFormat="1" ht="15.25" customHeight="1">
      <c r="B33" s="1254" t="s">
        <v>252</v>
      </c>
      <c r="C33" s="553"/>
      <c r="D33" s="557"/>
      <c r="E33" s="1255"/>
      <c r="F33" s="1256">
        <v>189017291</v>
      </c>
      <c r="G33" s="1256">
        <v>189017291</v>
      </c>
      <c r="H33" s="1256">
        <v>185584047.38999999</v>
      </c>
      <c r="I33" s="554"/>
    </row>
    <row r="34" spans="1:10" s="551" customFormat="1" ht="16.5" customHeight="1">
      <c r="B34" s="1254" t="s">
        <v>253</v>
      </c>
      <c r="C34" s="553"/>
      <c r="D34" s="559"/>
      <c r="E34" s="1257"/>
      <c r="F34" s="1256">
        <v>96620295.079999998</v>
      </c>
      <c r="G34" s="1256">
        <v>96620295.079999998</v>
      </c>
      <c r="H34" s="1256">
        <v>80269854</v>
      </c>
      <c r="I34" s="554"/>
    </row>
    <row r="35" spans="1:10" s="551" customFormat="1" ht="15.25" customHeight="1">
      <c r="B35" s="1254" t="s">
        <v>254</v>
      </c>
      <c r="C35" s="553"/>
      <c r="D35" s="258"/>
      <c r="E35" s="1257"/>
      <c r="F35" s="1256">
        <v>123406206.16</v>
      </c>
      <c r="G35" s="1256">
        <v>123406206.16</v>
      </c>
      <c r="H35" s="1256">
        <v>114037224.28</v>
      </c>
      <c r="I35" s="554"/>
    </row>
    <row r="36" spans="1:10" s="551" customFormat="1" ht="15.25" customHeight="1">
      <c r="B36" s="1254" t="s">
        <v>255</v>
      </c>
      <c r="C36" s="553"/>
      <c r="D36" s="557"/>
      <c r="E36" s="1257"/>
      <c r="F36" s="1256">
        <v>146767912.16999999</v>
      </c>
      <c r="G36" s="1256">
        <v>146767912.16999999</v>
      </c>
      <c r="H36" s="1256">
        <v>134991563.56</v>
      </c>
      <c r="I36" s="554"/>
    </row>
    <row r="37" spans="1:10" s="551" customFormat="1" ht="15.25" customHeight="1">
      <c r="B37" s="1254" t="s">
        <v>256</v>
      </c>
      <c r="C37" s="553"/>
      <c r="D37" s="557"/>
      <c r="E37" s="1255"/>
      <c r="F37" s="1256">
        <v>111384871.79000001</v>
      </c>
      <c r="G37" s="1256">
        <v>111384871.79000001</v>
      </c>
      <c r="H37" s="1256">
        <v>126581574.20999999</v>
      </c>
      <c r="I37" s="554"/>
    </row>
    <row r="38" spans="1:10" s="551" customFormat="1" ht="16.5" customHeight="1">
      <c r="B38" s="1254" t="s">
        <v>257</v>
      </c>
      <c r="C38" s="553"/>
      <c r="D38" s="559"/>
      <c r="E38" s="1255"/>
      <c r="F38" s="1256">
        <v>196836278.44</v>
      </c>
      <c r="G38" s="1256">
        <v>196836278.44</v>
      </c>
      <c r="H38" s="1256">
        <v>165047590.88</v>
      </c>
      <c r="I38" s="554"/>
    </row>
    <row r="39" spans="1:10" s="551" customFormat="1" ht="15.25" customHeight="1">
      <c r="B39" s="1254" t="s">
        <v>258</v>
      </c>
      <c r="C39" s="553"/>
      <c r="D39" s="258"/>
      <c r="E39" s="1257"/>
      <c r="F39" s="1256" t="s">
        <v>29</v>
      </c>
      <c r="G39" s="1256" t="s">
        <v>29</v>
      </c>
      <c r="H39" s="1256" t="s">
        <v>29</v>
      </c>
      <c r="I39" s="554"/>
    </row>
    <row r="40" spans="1:10" s="551" customFormat="1" ht="15.25" customHeight="1">
      <c r="B40" s="1254" t="s">
        <v>259</v>
      </c>
      <c r="C40" s="553"/>
      <c r="D40" s="557"/>
      <c r="E40" s="1255"/>
      <c r="F40" s="1256">
        <v>868263524</v>
      </c>
      <c r="G40" s="1256">
        <v>868263524</v>
      </c>
      <c r="H40" s="1256">
        <v>867227310</v>
      </c>
      <c r="I40" s="554"/>
    </row>
    <row r="41" spans="1:10" s="551" customFormat="1" ht="15.25" customHeight="1">
      <c r="B41" s="1254" t="s">
        <v>260</v>
      </c>
      <c r="C41" s="553"/>
      <c r="D41" s="557"/>
      <c r="E41" s="1255"/>
      <c r="F41" s="1256">
        <v>191240463.33000001</v>
      </c>
      <c r="G41" s="1256">
        <v>191240463.33000001</v>
      </c>
      <c r="H41" s="1256">
        <v>171122295.83000001</v>
      </c>
      <c r="I41" s="554"/>
    </row>
    <row r="42" spans="1:10" s="551" customFormat="1" ht="16.5" customHeight="1">
      <c r="B42" s="1254" t="s">
        <v>857</v>
      </c>
      <c r="C42" s="553"/>
      <c r="D42" s="559"/>
      <c r="E42" s="1255"/>
      <c r="F42" s="1256">
        <v>71621952.819999993</v>
      </c>
      <c r="G42" s="1256">
        <v>71621952.819999993</v>
      </c>
      <c r="H42" s="1256">
        <v>88575346.450000003</v>
      </c>
      <c r="I42" s="554"/>
    </row>
    <row r="43" spans="1:10" s="551" customFormat="1" ht="15.25" customHeight="1">
      <c r="B43" s="1254" t="s">
        <v>262</v>
      </c>
      <c r="C43" s="553"/>
      <c r="D43" s="258"/>
      <c r="E43" s="1257"/>
      <c r="F43" s="1256">
        <v>68143055.819999993</v>
      </c>
      <c r="G43" s="1256">
        <v>68143055.819999993</v>
      </c>
      <c r="H43" s="1256">
        <v>71597655.810000002</v>
      </c>
      <c r="I43" s="554"/>
    </row>
    <row r="44" spans="1:10" s="551" customFormat="1" ht="15.25" customHeight="1">
      <c r="B44" s="1254" t="s">
        <v>1127</v>
      </c>
      <c r="C44" s="553"/>
      <c r="D44" s="557"/>
      <c r="E44" s="1255"/>
      <c r="F44" s="1256">
        <v>445352346</v>
      </c>
      <c r="G44" s="1256">
        <v>445352346</v>
      </c>
      <c r="H44" s="1256">
        <v>526470916.69999999</v>
      </c>
      <c r="I44" s="554"/>
    </row>
    <row r="45" spans="1:10" s="351" customFormat="1" ht="15.25" customHeight="1">
      <c r="B45" s="555"/>
      <c r="C45" s="560"/>
      <c r="D45" s="239"/>
      <c r="E45" s="1257"/>
      <c r="F45" s="1256"/>
      <c r="G45" s="1256"/>
      <c r="H45" s="1256"/>
      <c r="I45" s="554"/>
      <c r="J45" s="551"/>
    </row>
    <row r="46" spans="1:10" s="549" customFormat="1" ht="8.25" customHeight="1">
      <c r="B46" s="562"/>
      <c r="C46" s="555"/>
      <c r="D46" s="563"/>
      <c r="E46" s="564"/>
      <c r="F46" s="565"/>
      <c r="G46" s="564"/>
      <c r="H46" s="564"/>
      <c r="I46" s="564"/>
    </row>
    <row r="47" spans="1:10" s="549" customFormat="1" ht="8.25" customHeight="1" thickBot="1">
      <c r="A47" s="566"/>
      <c r="B47" s="566"/>
      <c r="C47" s="566"/>
      <c r="D47" s="567"/>
      <c r="E47" s="567"/>
      <c r="F47" s="567"/>
      <c r="G47" s="567"/>
      <c r="H47" s="567"/>
      <c r="I47" s="564"/>
    </row>
    <row r="48" spans="1:10" s="549" customFormat="1" ht="15.25" customHeight="1" thickTop="1">
      <c r="E48" s="1429" t="s">
        <v>1130</v>
      </c>
      <c r="F48" s="1429"/>
      <c r="G48" s="1429"/>
      <c r="H48" s="1429"/>
      <c r="I48" s="570"/>
    </row>
    <row r="49" spans="1:9" s="545" customFormat="1" ht="14">
      <c r="E49" s="1332" t="s">
        <v>1131</v>
      </c>
      <c r="F49" s="1332"/>
      <c r="G49" s="1332"/>
      <c r="H49" s="1332"/>
      <c r="I49" s="1258"/>
    </row>
    <row r="50" spans="1:9" s="545" customFormat="1" ht="14">
      <c r="A50" s="1259"/>
      <c r="B50" s="299" t="s">
        <v>135</v>
      </c>
      <c r="C50" s="549"/>
      <c r="D50" s="568"/>
      <c r="E50" s="564"/>
      <c r="F50" s="568"/>
      <c r="G50" s="568"/>
      <c r="H50" s="568"/>
    </row>
    <row r="51" spans="1:9" s="545" customFormat="1" ht="14">
      <c r="A51" s="1259"/>
      <c r="B51" s="570" t="s">
        <v>1132</v>
      </c>
      <c r="C51" s="299"/>
      <c r="D51" s="299"/>
      <c r="E51" s="549"/>
      <c r="F51" s="299"/>
      <c r="G51" s="299"/>
      <c r="H51" s="299"/>
    </row>
    <row r="52" spans="1:9" s="545" customFormat="1" ht="14">
      <c r="B52" s="1258" t="s">
        <v>1133</v>
      </c>
      <c r="C52" s="299"/>
      <c r="D52" s="299"/>
      <c r="E52" s="549"/>
      <c r="F52" s="299"/>
      <c r="G52" s="299"/>
      <c r="H52" s="299"/>
      <c r="I52" s="193"/>
    </row>
  </sheetData>
  <mergeCells count="3">
    <mergeCell ref="B6:C6"/>
    <mergeCell ref="E48:H48"/>
    <mergeCell ref="E49:H49"/>
  </mergeCells>
  <conditionalFormatting sqref="C26">
    <cfRule type="cellIs" dxfId="1" priority="2" stopIfTrue="1" operator="lessThan">
      <formula>0</formula>
    </cfRule>
  </conditionalFormatting>
  <conditionalFormatting sqref="C45">
    <cfRule type="cellIs" dxfId="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44</vt:i4>
      </vt:variant>
      <vt:variant>
        <vt:lpstr>Named Ranges</vt:lpstr>
      </vt:variant>
      <vt:variant>
        <vt:i4>31</vt:i4>
      </vt:variant>
    </vt:vector>
  </HeadingPairs>
  <TitlesOfParts>
    <vt:vector size="75" baseType="lpstr">
      <vt:lpstr>14.0_KDNK</vt:lpstr>
      <vt:lpstr>14.0_KDNK_samb</vt:lpstr>
      <vt:lpstr>14.0_KDNK_sambg1</vt:lpstr>
      <vt:lpstr>15.0_Pasaran_Kewagn</vt:lpstr>
      <vt:lpstr>16.0_Akaun_ SP</vt:lpstr>
      <vt:lpstr>17.0_Akaun_ STMK</vt:lpstr>
      <vt:lpstr>18.0_Stok_Modal</vt:lpstr>
      <vt:lpstr>19.0_Imbagn_Pembayaran</vt:lpstr>
      <vt:lpstr>20.0_Eksport_Import</vt:lpstr>
      <vt:lpstr>21.0_Pelancongn_Domestik</vt:lpstr>
      <vt:lpstr>22.0_Pasaran_Buruh</vt:lpstr>
      <vt:lpstr>22.0_Pasaran_Buruh_sambg</vt:lpstr>
      <vt:lpstr>23.0_IHP</vt:lpstr>
      <vt:lpstr>23.1_Harga_Item_Terpilih</vt:lpstr>
      <vt:lpstr>23.1_Harga_Item_Terpilih_sambg)</vt:lpstr>
      <vt:lpstr>24.0_IHPR</vt:lpstr>
      <vt:lpstr>25.0_Kemalangan_Pekerja</vt:lpstr>
      <vt:lpstr>25.0_Kemalangan_Pekerja(samb)</vt:lpstr>
      <vt:lpstr>26.0_Peratusan_Ahli_Parlimen</vt:lpstr>
      <vt:lpstr>27.0_Bilangan_Hakim</vt:lpstr>
      <vt:lpstr>28.0_Bilangan_Hakim_Syariah</vt:lpstr>
      <vt:lpstr>29.0_Bil_KSU</vt:lpstr>
      <vt:lpstr>30.0_Bil_Murid</vt:lpstr>
      <vt:lpstr>31.0_Jenayah_violent</vt:lpstr>
      <vt:lpstr>31.1_Jenayah_harta</vt:lpstr>
      <vt:lpstr>32.0_Kemalangan_Jalan_Raya</vt:lpstr>
      <vt:lpstr>33.0 Oku kumulatif</vt:lpstr>
      <vt:lpstr>34.0_Capaian_ICT_Isi_Rumh</vt:lpstr>
      <vt:lpstr>35.0_Pendpatn_Perbelanjaan</vt:lpstr>
      <vt:lpstr>36.0_Penggunaan_Perkapita_PCC</vt:lpstr>
      <vt:lpstr>36.1_Perkapita_Pertanian</vt:lpstr>
      <vt:lpstr>37.0_Purata_Suhu</vt:lpstr>
      <vt:lpstr>37.0_Purata_Suhu_sambg</vt:lpstr>
      <vt:lpstr>37.0_Purata_Suhu_sambg1</vt:lpstr>
      <vt:lpstr>37.0_Purata_Suhu_sambg2</vt:lpstr>
      <vt:lpstr>Jad38_hujan</vt:lpstr>
      <vt:lpstr>Jad38_hujan(samb)</vt:lpstr>
      <vt:lpstr>Jad38_hujan(samb1)</vt:lpstr>
      <vt:lpstr>Jad38_hujan(samb2)</vt:lpstr>
      <vt:lpstr>Jad39 Kelembapan</vt:lpstr>
      <vt:lpstr>Jad39 Kelembapan(samb)</vt:lpstr>
      <vt:lpstr>40.0_Kes_COVID 19</vt:lpstr>
      <vt:lpstr>40.1_Penerima_Vaksin malaysia</vt:lpstr>
      <vt:lpstr>41.0_Agihan_Zakat</vt:lpstr>
      <vt:lpstr>'14.0_KDNK_samb'!Print_Area</vt:lpstr>
      <vt:lpstr>'14.0_KDNK_sambg1'!Print_Area</vt:lpstr>
      <vt:lpstr>'16.0_Akaun_ SP'!Print_Area</vt:lpstr>
      <vt:lpstr>'18.0_Stok_Modal'!Print_Area</vt:lpstr>
      <vt:lpstr>'19.0_Imbagn_Pembayaran'!Print_Area</vt:lpstr>
      <vt:lpstr>'20.0_Eksport_Import'!Print_Area</vt:lpstr>
      <vt:lpstr>'22.0_Pasaran_Buruh'!Print_Area</vt:lpstr>
      <vt:lpstr>'23.1_Harga_Item_Terpilih'!Print_Area</vt:lpstr>
      <vt:lpstr>'23.1_Harga_Item_Terpilih_sambg)'!Print_Area</vt:lpstr>
      <vt:lpstr>'24.0_IHPR'!Print_Area</vt:lpstr>
      <vt:lpstr>'25.0_Kemalangan_Pekerja'!Print_Area</vt:lpstr>
      <vt:lpstr>'26.0_Peratusan_Ahli_Parlimen'!Print_Area</vt:lpstr>
      <vt:lpstr>'27.0_Bilangan_Hakim'!Print_Area</vt:lpstr>
      <vt:lpstr>'28.0_Bilangan_Hakim_Syariah'!Print_Area</vt:lpstr>
      <vt:lpstr>'29.0_Bil_KSU'!Print_Area</vt:lpstr>
      <vt:lpstr>'31.0_Jenayah_violent'!Print_Area</vt:lpstr>
      <vt:lpstr>'31.1_Jenayah_harta'!Print_Area</vt:lpstr>
      <vt:lpstr>'33.0 Oku kumulatif'!Print_Area</vt:lpstr>
      <vt:lpstr>'34.0_Capaian_ICT_Isi_Rumh'!Print_Area</vt:lpstr>
      <vt:lpstr>'35.0_Pendpatn_Perbelanjaan'!Print_Area</vt:lpstr>
      <vt:lpstr>'36.0_Penggunaan_Perkapita_PCC'!Print_Area</vt:lpstr>
      <vt:lpstr>'36.1_Perkapita_Pertanian'!Print_Area</vt:lpstr>
      <vt:lpstr>'37.0_Purata_Suhu'!Print_Area</vt:lpstr>
      <vt:lpstr>'37.0_Purata_Suhu_sambg'!Print_Area</vt:lpstr>
      <vt:lpstr>'37.0_Purata_Suhu_sambg1'!Print_Area</vt:lpstr>
      <vt:lpstr>'40.0_Kes_COVID 19'!Print_Area</vt:lpstr>
      <vt:lpstr>'41.0_Agihan_Zakat'!Print_Area</vt:lpstr>
      <vt:lpstr>Jad38_hujan!Print_Area</vt:lpstr>
      <vt:lpstr>'Jad38_hujan(samb)'!Print_Area</vt:lpstr>
      <vt:lpstr>'Jad39 Kelembapan(samb)'!Print_Area</vt:lpstr>
      <vt:lpstr>'23.1_Harga_Item_Terpilih_sambg)'!Print_Titles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Nurzulaika Sukarno</dc:creator>
  <cp:lastModifiedBy>MUHAMMAD AKMAL HAKIM BIN AHMAD ASMAWI</cp:lastModifiedBy>
  <dcterms:created xsi:type="dcterms:W3CDTF">2025-10-22T03:04:54Z</dcterms:created>
  <dcterms:modified xsi:type="dcterms:W3CDTF">2026-08-06T02:20:14Z</dcterms:modified>
</cp:coreProperties>
</file>
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codeName="ThisWorkbook" defaultThemeVersion="166925"/>
  <mc:AlternateContent xmlns:mc="http://schemas.openxmlformats.org/markup-compatibility/2006">
    <mc:Choice Requires="x15">
      <x15ac:absPath xmlns:x15ac="http://schemas.microsoft.com/office/spreadsheetml/2010/11/ac" url="/Users/akmalhakim/Downloads/_NBDAC/Subnasional/parlimen_dun/output/Johor/Parlimen/"/>
    </mc:Choice>
  </mc:AlternateContent>
  <xr:revisionPtr revIDLastSave="0" documentId="8_{129BD2B3-C2A1-4C44-A134-8F117F30CC84}" xr6:coauthVersionLast="47" xr6:coauthVersionMax="47" xr10:uidLastSave="{00000000-0000-0000-0000-000000000000}"/>
  <bookViews>
    <workbookView xWindow="0" yWindow="600" windowWidth="10000" windowHeight="6100" xr2:uid="{1DEFF527-5944-4360-8DB6-79E6A2BB642F}"/>
  </bookViews>
  <sheets>
    <sheet name="14.0_KDNK" sheetId="1" r:id="rId1"/>
    <sheet name="14.0_KDNK_samb" sheetId="2" r:id="rId2"/>
    <sheet name="14.0_KDNK_sambg1" sheetId="3" r:id="rId3"/>
    <sheet name="15.0_Pasaran_Kewagn" sheetId="4" r:id="rId4"/>
    <sheet name="16.0_Akaun_ SP" sheetId="5" r:id="rId5"/>
    <sheet name="17.0_Akaun_ STMK" sheetId="6" r:id="rId6"/>
    <sheet name="18.0_Stok_Modal" sheetId="7" r:id="rId7"/>
    <sheet name="19.0_Imbagn_Pembayaran" sheetId="8" r:id="rId8"/>
    <sheet name="20.0_Eksport_Import" sheetId="9" r:id="rId9"/>
    <sheet name="21.0_Pelancongn_Domestik" sheetId="10" r:id="rId10"/>
    <sheet name="22.0_Pasaran_Buruh" sheetId="11" r:id="rId11"/>
    <sheet name="22.0_Pasaran_Buruh_sambg" sheetId="12" r:id="rId12"/>
    <sheet name="23.0_IHP" sheetId="13" r:id="rId13"/>
    <sheet name="23.1_Harga_Item_Terpilih" sheetId="14" r:id="rId14"/>
    <sheet name="23.1_Harga_Item_Terpilih_sambg)" sheetId="15" r:id="rId15"/>
    <sheet name="24.0_IHPR" sheetId="16" r:id="rId16"/>
    <sheet name="25.0_Kemalangan_Pekerja" sheetId="17" r:id="rId17"/>
    <sheet name="25.0_Kemalangan_Pekerja(samb)" sheetId="18" r:id="rId18"/>
    <sheet name="26.0_Peratusan_Ahli_Parlimen" sheetId="19" r:id="rId19"/>
    <sheet name="27.0_Bilangan_Hakim" sheetId="20" r:id="rId20"/>
    <sheet name="28.0_Bilangan_Hakim_Syariah" sheetId="21" r:id="rId21"/>
    <sheet name="29.0_Bil_KSU" sheetId="22" r:id="rId22"/>
    <sheet name="30.0_Bil_Murid" sheetId="23" r:id="rId23"/>
    <sheet name="31.0_Jenayah_violent" sheetId="24" r:id="rId24"/>
    <sheet name="31.1_Jenayah_harta" sheetId="25" r:id="rId25"/>
    <sheet name="32.0_Kemalangan_Jalan_Raya" sheetId="26" r:id="rId26"/>
    <sheet name="33.0 Oku kumulatif" sheetId="27" r:id="rId27"/>
    <sheet name="34.0_Capaian_ICT_Isi_Rumh" sheetId="28" r:id="rId28"/>
    <sheet name="35.0_Pendpatn_Perbelanjaan" sheetId="29" r:id="rId29"/>
    <sheet name="36.0_Penggunaan_Perkapita_PCC" sheetId="30" r:id="rId30"/>
    <sheet name="36.1_Perkapita_Pertanian" sheetId="31" r:id="rId31"/>
    <sheet name="37.0_Purata_Suhu" sheetId="32" r:id="rId32"/>
    <sheet name="37.0_Purata_Suhu_sambg" sheetId="33" r:id="rId33"/>
    <sheet name="37.0_Purata_Suhu_sambg1" sheetId="34" r:id="rId34"/>
    <sheet name="37.0_Purata_Suhu_sambg2" sheetId="35" r:id="rId35"/>
    <sheet name="Jad38_hujan" sheetId="36" r:id="rId36"/>
    <sheet name="Jad38_hujan(samb)" sheetId="37" r:id="rId37"/>
    <sheet name="Jad38_hujan(samb1)" sheetId="38" r:id="rId38"/>
    <sheet name="Jad38_hujan(samb2)" sheetId="39" r:id="rId39"/>
    <sheet name="Jad39 Kelembapan" sheetId="40" r:id="rId40"/>
    <sheet name="Jad39 Kelembapan(samb)" sheetId="41" r:id="rId41"/>
    <sheet name="40.0_Kes_COVID 19" sheetId="42" r:id="rId42"/>
    <sheet name="40.1_Penerima_Vaksin malaysia" sheetId="43" r:id="rId43"/>
    <sheet name="41.0_Agihan_Zakat" sheetId="44" r:id="rId44"/>
  </sheets>
  <externalReferences>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s>
  <definedNames>
    <definedName name="__123Graph_A" localSheetId="22" hidden="1">'[1]4.9'!#REF!</definedName>
    <definedName name="__123Graph_A" localSheetId="26" hidden="1">'[2]4.9'!#REF!</definedName>
    <definedName name="__123Graph_A" localSheetId="42" hidden="1">'[1]4.9'!#REF!</definedName>
    <definedName name="__123Graph_A" hidden="1">'[1]4.9'!#REF!</definedName>
    <definedName name="__123Graph_A_4" localSheetId="22">#REF!</definedName>
    <definedName name="__123Graph_A_4" localSheetId="26">#REF!</definedName>
    <definedName name="__123Graph_A_4" localSheetId="42">#REF!</definedName>
    <definedName name="__123Graph_A_4">#REF!</definedName>
    <definedName name="__123Graph_ACurrent" localSheetId="22" hidden="1">#REF!</definedName>
    <definedName name="__123Graph_ACurrent" localSheetId="26" hidden="1">#REF!</definedName>
    <definedName name="__123Graph_ACurrent" localSheetId="42" hidden="1">#REF!</definedName>
    <definedName name="__123Graph_ACurrent" hidden="1">#REF!</definedName>
    <definedName name="__123Graph_B" localSheetId="26" hidden="1">'[3]5.16'!$E$36:$K$36</definedName>
    <definedName name="__123Graph_B" hidden="1">'[4]5.11'!$E$15:$J$15</definedName>
    <definedName name="__123Graph_BCurrent" localSheetId="22" hidden="1">#REF!</definedName>
    <definedName name="__123Graph_BCurrent" localSheetId="26" hidden="1">#REF!</definedName>
    <definedName name="__123Graph_BCurrent" localSheetId="42" hidden="1">#REF!</definedName>
    <definedName name="__123Graph_BCurrent" hidden="1">#REF!</definedName>
    <definedName name="__123Graph_C" localSheetId="22" hidden="1">#REF!</definedName>
    <definedName name="__123Graph_C" localSheetId="26" hidden="1">#REF!</definedName>
    <definedName name="__123Graph_C" localSheetId="42" hidden="1">#REF!</definedName>
    <definedName name="__123Graph_C" hidden="1">#REF!</definedName>
    <definedName name="__123Graph_C1" localSheetId="22" hidden="1">#REF!</definedName>
    <definedName name="__123Graph_C1" localSheetId="42" hidden="1">#REF!</definedName>
    <definedName name="__123Graph_C1" hidden="1">#REF!</definedName>
    <definedName name="__123Graph_D" localSheetId="22" hidden="1">'[1]4.3'!#REF!</definedName>
    <definedName name="__123Graph_D" localSheetId="26" hidden="1">'[2]4.3'!#REF!</definedName>
    <definedName name="__123Graph_D" localSheetId="42" hidden="1">'[1]4.3'!#REF!</definedName>
    <definedName name="__123Graph_D" hidden="1">'[1]4.3'!#REF!</definedName>
    <definedName name="__123Graph_E" localSheetId="22" hidden="1">#REF!</definedName>
    <definedName name="__123Graph_E" localSheetId="26" hidden="1">#REF!</definedName>
    <definedName name="__123Graph_E" localSheetId="42" hidden="1">#REF!</definedName>
    <definedName name="__123Graph_E" hidden="1">#REF!</definedName>
    <definedName name="__123Graph_F" localSheetId="22" hidden="1">#REF!</definedName>
    <definedName name="__123Graph_F" localSheetId="26" hidden="1">#REF!</definedName>
    <definedName name="__123Graph_F" localSheetId="42" hidden="1">#REF!</definedName>
    <definedName name="__123Graph_F" hidden="1">#REF!</definedName>
    <definedName name="__123GRaph_G" localSheetId="22" hidden="1">#REF!</definedName>
    <definedName name="__123GRaph_G" localSheetId="42" hidden="1">#REF!</definedName>
    <definedName name="__123GRaph_G" hidden="1">#REF!</definedName>
    <definedName name="__123Graph_LBL_A" localSheetId="22" hidden="1">#REF!</definedName>
    <definedName name="__123Graph_LBL_A" localSheetId="26" hidden="1">#REF!</definedName>
    <definedName name="__123Graph_LBL_A" localSheetId="42" hidden="1">#REF!</definedName>
    <definedName name="__123Graph_LBL_A" hidden="1">#REF!</definedName>
    <definedName name="__123Graph_X" localSheetId="22" hidden="1">'[1]4.9'!#REF!</definedName>
    <definedName name="__123Graph_X" localSheetId="26" hidden="1">'[2]4.9'!#REF!</definedName>
    <definedName name="__123Graph_X" localSheetId="42" hidden="1">'[1]4.9'!#REF!</definedName>
    <definedName name="__123Graph_X" hidden="1">'[1]4.9'!#REF!</definedName>
    <definedName name="__123Graph_X_1" localSheetId="22">#REF!</definedName>
    <definedName name="__123Graph_X_1" localSheetId="26">#REF!</definedName>
    <definedName name="__123Graph_X_1" localSheetId="42">#REF!</definedName>
    <definedName name="__123Graph_X_1">#REF!</definedName>
    <definedName name="__123Graph_XCurrent" localSheetId="22" hidden="1">#REF!</definedName>
    <definedName name="__123Graph_XCurrent" localSheetId="26" hidden="1">#REF!</definedName>
    <definedName name="__123Graph_XCurrent" localSheetId="42" hidden="1">#REF!</definedName>
    <definedName name="__123Graph_XCurrent" hidden="1">#REF!</definedName>
    <definedName name="_123_g" localSheetId="22" hidden="1">#REF!</definedName>
    <definedName name="_123_g" localSheetId="42" hidden="1">#REF!</definedName>
    <definedName name="_123_g" hidden="1">#REF!</definedName>
    <definedName name="_123g" hidden="1">#REF!</definedName>
    <definedName name="_123grakjf_44445" localSheetId="22" hidden="1">#REF!</definedName>
    <definedName name="_123grakjf_44445" localSheetId="42" hidden="1">#REF!</definedName>
    <definedName name="_123grakjf_44445" hidden="1">#REF!</definedName>
    <definedName name="_123Graph_ACurrenrt" localSheetId="22" hidden="1">#REF!</definedName>
    <definedName name="_123Graph_ACurrenrt" localSheetId="26" hidden="1">#REF!</definedName>
    <definedName name="_123Graph_ACurrenrt" localSheetId="42" hidden="1">#REF!</definedName>
    <definedName name="_123Graph_ACurrenrt" hidden="1">#REF!</definedName>
    <definedName name="_123jfhqweufh" localSheetId="22">#REF!</definedName>
    <definedName name="_123jfhqweufh" localSheetId="42">#REF!</definedName>
    <definedName name="_123jfhqweufh">#REF!</definedName>
    <definedName name="_123re" hidden="1">#REF!</definedName>
    <definedName name="_15.9" localSheetId="22" hidden="1">'[5]4.3'!#REF!</definedName>
    <definedName name="_15.9" localSheetId="42" hidden="1">'[5]4.3'!#REF!</definedName>
    <definedName name="_15.9" hidden="1">'[5]4.3'!#REF!</definedName>
    <definedName name="_6.1" hidden="1">'[1]4.9'!#REF!</definedName>
    <definedName name="_7.4a" localSheetId="22" hidden="1">'[6]4.9'!#REF!</definedName>
    <definedName name="_7.4a" localSheetId="42" hidden="1">'[6]4.9'!#REF!</definedName>
    <definedName name="_7.4a" hidden="1">'[6]4.9'!#REF!</definedName>
    <definedName name="_xlnm._FilterDatabase" localSheetId="14" hidden="1">'23.1_Harga_Item_Terpilih_sambg)'!#REF!</definedName>
    <definedName name="_Parse_Out" localSheetId="22" hidden="1">#REF!</definedName>
    <definedName name="_Parse_Out" localSheetId="26" hidden="1">#REF!</definedName>
    <definedName name="_Parse_Out" localSheetId="42" hidden="1">#REF!</definedName>
    <definedName name="_Parse_Out" hidden="1">#REF!</definedName>
    <definedName name="_Sort" localSheetId="22" hidden="1">#REF!</definedName>
    <definedName name="_Sort" localSheetId="26" hidden="1">#REF!</definedName>
    <definedName name="_Sort" localSheetId="42" hidden="1">#REF!</definedName>
    <definedName name="_Sort" hidden="1">#REF!</definedName>
    <definedName name="a" localSheetId="22" hidden="1">#REF!</definedName>
    <definedName name="a" localSheetId="26" hidden="1">#REF!</definedName>
    <definedName name="a" localSheetId="42" hidden="1">#REF!</definedName>
    <definedName name="a" hidden="1">#REF!</definedName>
    <definedName name="aa" localSheetId="22" hidden="1">#REF!</definedName>
    <definedName name="aa" localSheetId="42" hidden="1">#REF!</definedName>
    <definedName name="aa" hidden="1">#REF!</definedName>
    <definedName name="aaa" localSheetId="22">#REF!</definedName>
    <definedName name="aaa" localSheetId="26">#REF!</definedName>
    <definedName name="aaa" localSheetId="42">#REF!</definedName>
    <definedName name="aaa">#REF!</definedName>
    <definedName name="aaab" localSheetId="22">#REF!</definedName>
    <definedName name="aaab" localSheetId="26">#REF!</definedName>
    <definedName name="aaab" localSheetId="42">#REF!</definedName>
    <definedName name="aaab">#REF!</definedName>
    <definedName name="aaad" localSheetId="22">#REF!</definedName>
    <definedName name="aaad" localSheetId="42">#REF!</definedName>
    <definedName name="aaad">#REF!</definedName>
    <definedName name="aaart" localSheetId="22">#REF!</definedName>
    <definedName name="aaart" localSheetId="42">#REF!</definedName>
    <definedName name="aaart">#REF!</definedName>
    <definedName name="aaatr" localSheetId="22">#REF!</definedName>
    <definedName name="aaatr" localSheetId="42">#REF!</definedName>
    <definedName name="aaatr">#REF!</definedName>
    <definedName name="aab" hidden="1">#REF!</definedName>
    <definedName name="ABC" localSheetId="22" hidden="1">#REF!</definedName>
    <definedName name="ABC" localSheetId="26" hidden="1">#REF!</definedName>
    <definedName name="ABC" localSheetId="42" hidden="1">#REF!</definedName>
    <definedName name="ABC" hidden="1">#REF!</definedName>
    <definedName name="abggg" localSheetId="22" hidden="1">'[1]4.9'!#REF!</definedName>
    <definedName name="abggg" localSheetId="26" hidden="1">'[2]4.9'!#REF!</definedName>
    <definedName name="abggg" localSheetId="42" hidden="1">'[1]4.9'!#REF!</definedName>
    <definedName name="abggg" hidden="1">'[1]4.9'!#REF!</definedName>
    <definedName name="afaf" localSheetId="22" hidden="1">'[7]4.9'!#REF!</definedName>
    <definedName name="afaf" localSheetId="42" hidden="1">'[7]4.9'!#REF!</definedName>
    <definedName name="afaf" hidden="1">'[7]4.9'!#REF!</definedName>
    <definedName name="alia" localSheetId="22" hidden="1">#REF!</definedName>
    <definedName name="alia" localSheetId="42" hidden="1">#REF!</definedName>
    <definedName name="alia" hidden="1">#REF!</definedName>
    <definedName name="apa" localSheetId="22" hidden="1">'[8]4.9'!#REF!</definedName>
    <definedName name="apa" localSheetId="42" hidden="1">'[8]4.9'!#REF!</definedName>
    <definedName name="apa" hidden="1">'[8]4.9'!#REF!</definedName>
    <definedName name="apara" localSheetId="22">#REF!</definedName>
    <definedName name="apara" localSheetId="42">#REF!</definedName>
    <definedName name="apara">#REF!</definedName>
    <definedName name="as" localSheetId="22" hidden="1">#REF!</definedName>
    <definedName name="as" localSheetId="26" hidden="1">#REF!</definedName>
    <definedName name="as" localSheetId="42" hidden="1">#REF!</definedName>
    <definedName name="as" hidden="1">#REF!</definedName>
    <definedName name="asas" localSheetId="22">#REF!</definedName>
    <definedName name="asas" localSheetId="42">#REF!</definedName>
    <definedName name="asas">#REF!</definedName>
    <definedName name="ass" localSheetId="22" hidden="1">'[9]4.8'!#REF!</definedName>
    <definedName name="ass" localSheetId="26" hidden="1">'[10]4.8'!#REF!</definedName>
    <definedName name="ass" localSheetId="42" hidden="1">'[9]4.8'!#REF!</definedName>
    <definedName name="ass" hidden="1">'[9]4.8'!#REF!</definedName>
    <definedName name="Asset91" localSheetId="22">#REF!</definedName>
    <definedName name="Asset91" localSheetId="26">#REF!</definedName>
    <definedName name="Asset91" localSheetId="42">#REF!</definedName>
    <definedName name="Asset91">#REF!</definedName>
    <definedName name="Asset92" localSheetId="22">#REF!</definedName>
    <definedName name="Asset92" localSheetId="26">#REF!</definedName>
    <definedName name="Asset92" localSheetId="42">#REF!</definedName>
    <definedName name="Asset92">#REF!</definedName>
    <definedName name="ax" localSheetId="22">#REF!</definedName>
    <definedName name="ax" localSheetId="42">#REF!</definedName>
    <definedName name="ax">#REF!</definedName>
    <definedName name="b" localSheetId="22" hidden="1">#REF!</definedName>
    <definedName name="b" localSheetId="26" hidden="1">#REF!</definedName>
    <definedName name="b" localSheetId="42" hidden="1">#REF!</definedName>
    <definedName name="b" hidden="1">#REF!</definedName>
    <definedName name="bbbg" localSheetId="22">#REF!</definedName>
    <definedName name="bbbg" localSheetId="42">#REF!</definedName>
    <definedName name="bbbg">#REF!</definedName>
    <definedName name="bbbgt" localSheetId="22">#REF!</definedName>
    <definedName name="bbbgt" localSheetId="42">#REF!</definedName>
    <definedName name="bbbgt">#REF!</definedName>
    <definedName name="bbbh" localSheetId="22">#REF!</definedName>
    <definedName name="bbbh" localSheetId="42">#REF!</definedName>
    <definedName name="bbbh">#REF!</definedName>
    <definedName name="bcvb" localSheetId="22">#REF!</definedName>
    <definedName name="bcvb" localSheetId="42">#REF!</definedName>
    <definedName name="bcvb">#REF!</definedName>
    <definedName name="bf" localSheetId="13" hidden="1">'[11]7.6'!#REF!</definedName>
    <definedName name="bf" localSheetId="14" hidden="1">'[11]7.6'!#REF!</definedName>
    <definedName name="bf" localSheetId="22" hidden="1">'[11]7.6'!#REF!</definedName>
    <definedName name="bf" localSheetId="42" hidden="1">'[11]7.6'!#REF!</definedName>
    <definedName name="bf" hidden="1">'[11]7.6'!#REF!</definedName>
    <definedName name="bfeh" localSheetId="22">#REF!</definedName>
    <definedName name="bfeh" localSheetId="42">#REF!</definedName>
    <definedName name="bfeh">#REF!</definedName>
    <definedName name="BH" localSheetId="22">#REF!</definedName>
    <definedName name="BH" localSheetId="42">#REF!</definedName>
    <definedName name="BH">#REF!</definedName>
    <definedName name="bnb" localSheetId="13" hidden="1">'[11]7.6'!#REF!</definedName>
    <definedName name="bnb" localSheetId="14" hidden="1">'[11]7.6'!#REF!</definedName>
    <definedName name="bnb" localSheetId="22" hidden="1">'[11]7.6'!#REF!</definedName>
    <definedName name="bnb" localSheetId="42" hidden="1">'[11]7.6'!#REF!</definedName>
    <definedName name="bnb" hidden="1">'[11]7.6'!#REF!</definedName>
    <definedName name="bnbbbbb" localSheetId="22" hidden="1">'[12]7.6'!#REF!</definedName>
    <definedName name="bnbbbbb" localSheetId="42" hidden="1">'[12]7.6'!#REF!</definedName>
    <definedName name="bnbbbbb" hidden="1">'[12]7.6'!#REF!</definedName>
    <definedName name="BudgetYear" localSheetId="22">#REF!</definedName>
    <definedName name="BudgetYear" localSheetId="42">#REF!</definedName>
    <definedName name="BudgetYear">#REF!</definedName>
    <definedName name="bv" localSheetId="22">#REF!</definedName>
    <definedName name="bv" localSheetId="42">#REF!</definedName>
    <definedName name="bv">#REF!</definedName>
    <definedName name="CalcsDishMatch">#N/A</definedName>
    <definedName name="cc" localSheetId="22">#REF!</definedName>
    <definedName name="cc" localSheetId="26">#REF!</definedName>
    <definedName name="cc" localSheetId="42">#REF!</definedName>
    <definedName name="cc">#REF!</definedName>
    <definedName name="con_05" localSheetId="22">#REF!</definedName>
    <definedName name="con_05" localSheetId="26">#REF!</definedName>
    <definedName name="con_05" localSheetId="42">#REF!</definedName>
    <definedName name="con_05">#REF!</definedName>
    <definedName name="con_06" localSheetId="22">#REF!</definedName>
    <definedName name="con_06" localSheetId="26">#REF!</definedName>
    <definedName name="con_06" localSheetId="42">#REF!</definedName>
    <definedName name="con_06">#REF!</definedName>
    <definedName name="con_07" localSheetId="22">#REF!</definedName>
    <definedName name="con_07" localSheetId="26">#REF!</definedName>
    <definedName name="con_07" localSheetId="42">#REF!</definedName>
    <definedName name="con_07">#REF!</definedName>
    <definedName name="con_08" localSheetId="22">#REF!</definedName>
    <definedName name="con_08" localSheetId="26">#REF!</definedName>
    <definedName name="con_08" localSheetId="42">#REF!</definedName>
    <definedName name="con_08">#REF!</definedName>
    <definedName name="con_09" localSheetId="22">#REF!</definedName>
    <definedName name="con_09" localSheetId="26">#REF!</definedName>
    <definedName name="con_09" localSheetId="42">#REF!</definedName>
    <definedName name="con_09">#REF!</definedName>
    <definedName name="con_10" localSheetId="22">#REF!</definedName>
    <definedName name="con_10" localSheetId="26">#REF!</definedName>
    <definedName name="con_10" localSheetId="42">#REF!</definedName>
    <definedName name="con_10">#REF!</definedName>
    <definedName name="con_11" localSheetId="22">#REF!</definedName>
    <definedName name="con_11" localSheetId="26">#REF!</definedName>
    <definedName name="con_11" localSheetId="42">#REF!</definedName>
    <definedName name="con_11">#REF!</definedName>
    <definedName name="con_13p" localSheetId="22">#REF!</definedName>
    <definedName name="con_13p" localSheetId="42">#REF!</definedName>
    <definedName name="con_13p">#REF!</definedName>
    <definedName name="con_14p" localSheetId="22">#REF!</definedName>
    <definedName name="con_14p" localSheetId="42">#REF!</definedName>
    <definedName name="con_14p">#REF!</definedName>
    <definedName name="cons_12p" localSheetId="22">#REF!</definedName>
    <definedName name="cons_12p" localSheetId="26">#REF!</definedName>
    <definedName name="cons_12p" localSheetId="42">#REF!</definedName>
    <definedName name="cons_12p">#REF!</definedName>
    <definedName name="cons_2005" localSheetId="13">[13]VA_CONSTANT!$A$3:$Z$21</definedName>
    <definedName name="cons_2005" localSheetId="14">[13]VA_CONSTANT!$A$3:$Z$21</definedName>
    <definedName name="cons_2005" localSheetId="26">[11]VA_CONSTANT!$A$3:$Z$21</definedName>
    <definedName name="cons_2005">[13]VA_CONSTANT!$A$3:$Z$21</definedName>
    <definedName name="cons_2006" localSheetId="13">[13]VA_CONSTANT!$A$25:$Z$43</definedName>
    <definedName name="cons_2006" localSheetId="14">[13]VA_CONSTANT!$A$25:$Z$43</definedName>
    <definedName name="cons_2006" localSheetId="26">[11]VA_CONSTANT!$A$25:$Z$43</definedName>
    <definedName name="cons_2006">[13]VA_CONSTANT!$A$25:$Z$43</definedName>
    <definedName name="cons_2007" localSheetId="13">[13]VA_CONSTANT!$A$47:$Z$65</definedName>
    <definedName name="cons_2007" localSheetId="14">[13]VA_CONSTANT!$A$47:$Z$65</definedName>
    <definedName name="cons_2007" localSheetId="26">[11]VA_CONSTANT!$A$47:$Z$65</definedName>
    <definedName name="cons_2007">[13]VA_CONSTANT!$A$47:$Z$65</definedName>
    <definedName name="cons_2008" localSheetId="13">[13]VA_CONSTANT!$A$69:$Z$87</definedName>
    <definedName name="cons_2008" localSheetId="14">[13]VA_CONSTANT!$A$69:$Z$87</definedName>
    <definedName name="cons_2008" localSheetId="26">[11]VA_CONSTANT!$A$69:$Z$87</definedName>
    <definedName name="cons_2008">[13]VA_CONSTANT!$A$69:$Z$87</definedName>
    <definedName name="cons_2009" localSheetId="13">[13]VA_CONSTANT!$A$91:$Z$109</definedName>
    <definedName name="cons_2009" localSheetId="14">[13]VA_CONSTANT!$A$91:$Z$109</definedName>
    <definedName name="cons_2009" localSheetId="26">[11]VA_CONSTANT!$A$91:$Z$109</definedName>
    <definedName name="cons_2009">[13]VA_CONSTANT!$A$91:$Z$109</definedName>
    <definedName name="cons_2010" localSheetId="13">[13]VA_CONSTANT!$A$113:$Z$131</definedName>
    <definedName name="cons_2010" localSheetId="14">[13]VA_CONSTANT!$A$113:$Z$131</definedName>
    <definedName name="cons_2010" localSheetId="26">[11]VA_CONSTANT!$A$113:$Z$131</definedName>
    <definedName name="cons_2010">[13]VA_CONSTANT!$A$113:$Z$131</definedName>
    <definedName name="cons_2011" localSheetId="13">[13]VA_CONSTANT!$A$135:$Z$153</definedName>
    <definedName name="cons_2011" localSheetId="14">[13]VA_CONSTANT!$A$135:$Z$153</definedName>
    <definedName name="cons_2011" localSheetId="26">[11]VA_CONSTANT!$A$135:$Z$153</definedName>
    <definedName name="cons_2011">[13]VA_CONSTANT!$A$135:$Z$153</definedName>
    <definedName name="cons_2012" localSheetId="13">[13]VA_CONSTANT!$A$157:$Z$175</definedName>
    <definedName name="cons_2012" localSheetId="14">[13]VA_CONSTANT!$A$157:$Z$175</definedName>
    <definedName name="cons_2012" localSheetId="26">[11]VA_CONSTANT!$A$157:$Z$175</definedName>
    <definedName name="cons_2012">[13]VA_CONSTANT!$A$157:$Z$175</definedName>
    <definedName name="cons_2013" localSheetId="13">[13]VA_CONSTANT!$A$179:$Z$197</definedName>
    <definedName name="cons_2013" localSheetId="14">[13]VA_CONSTANT!$A$179:$Z$197</definedName>
    <definedName name="cons_2013" localSheetId="26">[11]VA_CONSTANT!$A$179:$Z$197</definedName>
    <definedName name="cons_2013">[13]VA_CONSTANT!$A$179:$Z$197</definedName>
    <definedName name="cons_2013p" localSheetId="22">#REF!</definedName>
    <definedName name="cons_2013p" localSheetId="26">#REF!</definedName>
    <definedName name="cons_2013p" localSheetId="42">#REF!</definedName>
    <definedName name="cons_2013p">#REF!</definedName>
    <definedName name="cons_2013po" localSheetId="22">#REF!</definedName>
    <definedName name="cons_2013po" localSheetId="42">#REF!</definedName>
    <definedName name="cons_2013po">#REF!</definedName>
    <definedName name="cons_22445" localSheetId="22">#REF!</definedName>
    <definedName name="cons_22445" localSheetId="42">#REF!</definedName>
    <definedName name="cons_22445">#REF!</definedName>
    <definedName name="cons_data" localSheetId="13">[13]VA_CONSTANT!$A$1:$Z$197</definedName>
    <definedName name="cons_data" localSheetId="14">[13]VA_CONSTANT!$A$1:$Z$197</definedName>
    <definedName name="cons_data" localSheetId="26">[11]VA_CONSTANT!$A$1:$Z$197</definedName>
    <definedName name="cons_data">[13]VA_CONSTANT!$A$1:$Z$197</definedName>
    <definedName name="_xlnm.Criteria" localSheetId="22">#REF!</definedName>
    <definedName name="_xlnm.Criteria" localSheetId="42">#REF!</definedName>
    <definedName name="_xlnm.Criteria">#REF!</definedName>
    <definedName name="cur_0" localSheetId="22">#REF!</definedName>
    <definedName name="cur_0" localSheetId="26">#REF!</definedName>
    <definedName name="cur_0" localSheetId="42">#REF!</definedName>
    <definedName name="cur_0">#REF!</definedName>
    <definedName name="cur_05" localSheetId="22">#REF!</definedName>
    <definedName name="cur_05" localSheetId="26">#REF!</definedName>
    <definedName name="cur_05" localSheetId="42">#REF!</definedName>
    <definedName name="cur_05">#REF!</definedName>
    <definedName name="cur_06" localSheetId="22">#REF!</definedName>
    <definedName name="cur_06" localSheetId="26">#REF!</definedName>
    <definedName name="cur_06" localSheetId="42">#REF!</definedName>
    <definedName name="cur_06">#REF!</definedName>
    <definedName name="cur_07" localSheetId="22">#REF!</definedName>
    <definedName name="cur_07" localSheetId="26">#REF!</definedName>
    <definedName name="cur_07" localSheetId="42">#REF!</definedName>
    <definedName name="cur_07">#REF!</definedName>
    <definedName name="cur_070" localSheetId="22">#REF!</definedName>
    <definedName name="cur_070" localSheetId="42">#REF!</definedName>
    <definedName name="cur_070">#REF!</definedName>
    <definedName name="cur_08" localSheetId="22">#REF!</definedName>
    <definedName name="cur_08" localSheetId="26">#REF!</definedName>
    <definedName name="cur_08" localSheetId="42">#REF!</definedName>
    <definedName name="cur_08">#REF!</definedName>
    <definedName name="cur_09" localSheetId="22">#REF!</definedName>
    <definedName name="cur_09" localSheetId="26">#REF!</definedName>
    <definedName name="cur_09" localSheetId="42">#REF!</definedName>
    <definedName name="cur_09">#REF!</definedName>
    <definedName name="cur_10" localSheetId="22">#REF!</definedName>
    <definedName name="cur_10" localSheetId="26">#REF!</definedName>
    <definedName name="cur_10" localSheetId="42">#REF!</definedName>
    <definedName name="cur_10">#REF!</definedName>
    <definedName name="cur_11" localSheetId="22">#REF!</definedName>
    <definedName name="cur_11" localSheetId="26">#REF!</definedName>
    <definedName name="cur_11" localSheetId="42">#REF!</definedName>
    <definedName name="cur_11">#REF!</definedName>
    <definedName name="cur_12p" localSheetId="22">#REF!</definedName>
    <definedName name="cur_12p" localSheetId="26">#REF!</definedName>
    <definedName name="cur_12p" localSheetId="42">#REF!</definedName>
    <definedName name="cur_12p">#REF!</definedName>
    <definedName name="cur_13p" localSheetId="22">#REF!</definedName>
    <definedName name="cur_13p" localSheetId="42">#REF!</definedName>
    <definedName name="cur_13p">#REF!</definedName>
    <definedName name="cur_14p" localSheetId="22">#REF!</definedName>
    <definedName name="cur_14p" localSheetId="42">#REF!</definedName>
    <definedName name="cur_14p">#REF!</definedName>
    <definedName name="cur_2013p" localSheetId="22">#REF!</definedName>
    <definedName name="cur_2013p" localSheetId="26">#REF!</definedName>
    <definedName name="cur_2013p" localSheetId="42">#REF!</definedName>
    <definedName name="cur_2013p">#REF!</definedName>
    <definedName name="cur_45" localSheetId="22">#REF!</definedName>
    <definedName name="cur_45" localSheetId="26">#REF!</definedName>
    <definedName name="cur_45" localSheetId="42">#REF!</definedName>
    <definedName name="cur_45">#REF!</definedName>
    <definedName name="cur_52369" localSheetId="22">#REF!</definedName>
    <definedName name="cur_52369" localSheetId="26">#REF!</definedName>
    <definedName name="cur_52369" localSheetId="42">#REF!</definedName>
    <definedName name="cur_52369">#REF!</definedName>
    <definedName name="curr13" localSheetId="22">#REF!</definedName>
    <definedName name="curr13" localSheetId="42">#REF!</definedName>
    <definedName name="curr13">#REF!</definedName>
    <definedName name="cvxc" localSheetId="22" hidden="1">#REF!</definedName>
    <definedName name="cvxc" localSheetId="42" hidden="1">#REF!</definedName>
    <definedName name="cvxc" hidden="1">#REF!</definedName>
    <definedName name="cx" localSheetId="22">#REF!</definedName>
    <definedName name="cx" localSheetId="42">#REF!</definedName>
    <definedName name="cx">#REF!</definedName>
    <definedName name="CY_1225" localSheetId="22">#REF!</definedName>
    <definedName name="CY_1225" localSheetId="42">#REF!</definedName>
    <definedName name="CY_1225">#REF!</definedName>
    <definedName name="d" localSheetId="22">#REF!</definedName>
    <definedName name="d" localSheetId="26">#REF!</definedName>
    <definedName name="d" localSheetId="42">#REF!</definedName>
    <definedName name="d">#REF!</definedName>
    <definedName name="dasdasd" localSheetId="22">#REF!</definedName>
    <definedName name="dasdasd" localSheetId="26">#REF!</definedName>
    <definedName name="dasdasd" localSheetId="42">#REF!</definedName>
    <definedName name="dasdasd">#REF!</definedName>
    <definedName name="db" hidden="1">'[14]4.8'!#REF!</definedName>
    <definedName name="dccv" localSheetId="22">#REF!</definedName>
    <definedName name="dccv" localSheetId="42">#REF!</definedName>
    <definedName name="dccv">#REF!</definedName>
    <definedName name="dd" localSheetId="22" hidden="1">#REF!</definedName>
    <definedName name="dd" localSheetId="42" hidden="1">#REF!</definedName>
    <definedName name="dd" hidden="1">#REF!</definedName>
    <definedName name="ddd" localSheetId="22">#REF!</definedName>
    <definedName name="ddd" localSheetId="26">#REF!</definedName>
    <definedName name="ddd" localSheetId="42">#REF!</definedName>
    <definedName name="ddd">#REF!</definedName>
    <definedName name="dddfrt" localSheetId="22">#REF!</definedName>
    <definedName name="dddfrt" localSheetId="42">#REF!</definedName>
    <definedName name="dddfrt">#REF!</definedName>
    <definedName name="ddds" localSheetId="22">#REF!</definedName>
    <definedName name="ddds" localSheetId="42">#REF!</definedName>
    <definedName name="ddds">#REF!</definedName>
    <definedName name="dfcsz" localSheetId="22" hidden="1">'[7]4.9'!#REF!</definedName>
    <definedName name="dfcsz" localSheetId="42" hidden="1">'[7]4.9'!#REF!</definedName>
    <definedName name="dfcsz" hidden="1">'[7]4.9'!#REF!</definedName>
    <definedName name="dfd" localSheetId="22" hidden="1">'[7]4.9'!#REF!</definedName>
    <definedName name="dfd" localSheetId="42" hidden="1">'[7]4.9'!#REF!</definedName>
    <definedName name="dfd" hidden="1">'[7]4.9'!#REF!</definedName>
    <definedName name="dfdfvz" localSheetId="22">#REF!</definedName>
    <definedName name="dfdfvz" localSheetId="42">#REF!</definedName>
    <definedName name="dfdfvz">#REF!</definedName>
    <definedName name="dfdxv" localSheetId="22">#REF!</definedName>
    <definedName name="dfdxv" localSheetId="42">#REF!</definedName>
    <definedName name="dfdxv">#REF!</definedName>
    <definedName name="dfg" localSheetId="22">#REF!</definedName>
    <definedName name="dfg" localSheetId="42">#REF!</definedName>
    <definedName name="dfg">#REF!</definedName>
    <definedName name="dfhf" localSheetId="22">#REF!</definedName>
    <definedName name="dfhf" localSheetId="42">#REF!</definedName>
    <definedName name="dfhf">#REF!</definedName>
    <definedName name="DFRG" localSheetId="22">#REF!</definedName>
    <definedName name="DFRG" localSheetId="42">#REF!</definedName>
    <definedName name="DFRG">#REF!</definedName>
    <definedName name="dfs" localSheetId="22">#REF!</definedName>
    <definedName name="dfs" localSheetId="42">#REF!</definedName>
    <definedName name="dfs">#REF!</definedName>
    <definedName name="dfsd" localSheetId="22" hidden="1">#REF!</definedName>
    <definedName name="dfsd" localSheetId="42" hidden="1">#REF!</definedName>
    <definedName name="dfsd" hidden="1">#REF!</definedName>
    <definedName name="dfvd" localSheetId="22" hidden="1">'[7]4.9'!#REF!</definedName>
    <definedName name="dfvd" localSheetId="42" hidden="1">'[7]4.9'!#REF!</definedName>
    <definedName name="dfvd" hidden="1">'[7]4.9'!#REF!</definedName>
    <definedName name="DishSelection" localSheetId="22">#REF!</definedName>
    <definedName name="DishSelection" localSheetId="42">#REF!</definedName>
    <definedName name="DishSelection">#REF!</definedName>
    <definedName name="ds" localSheetId="22" hidden="1">'[9]4.8'!#REF!</definedName>
    <definedName name="ds" localSheetId="26" hidden="1">'[10]4.8'!#REF!</definedName>
    <definedName name="ds" localSheetId="42" hidden="1">'[9]4.8'!#REF!</definedName>
    <definedName name="ds" hidden="1">'[9]4.8'!#REF!</definedName>
    <definedName name="dvcx" localSheetId="22">#REF!</definedName>
    <definedName name="dvcx" localSheetId="42">#REF!</definedName>
    <definedName name="dvcx">#REF!</definedName>
    <definedName name="dvvc" localSheetId="22">#REF!</definedName>
    <definedName name="dvvc" localSheetId="42">#REF!</definedName>
    <definedName name="dvvc">#REF!</definedName>
    <definedName name="dxcx" localSheetId="22">#REF!</definedName>
    <definedName name="dxcx" localSheetId="42">#REF!</definedName>
    <definedName name="dxcx">#REF!</definedName>
    <definedName name="e" localSheetId="22">#REF!</definedName>
    <definedName name="e" localSheetId="26">#REF!</definedName>
    <definedName name="e" localSheetId="42">#REF!</definedName>
    <definedName name="e">#REF!</definedName>
    <definedName name="ER" localSheetId="22" hidden="1">'[14]4.8'!#REF!</definedName>
    <definedName name="ER" localSheetId="26" hidden="1">'[15]4.8'!#REF!</definedName>
    <definedName name="ER" localSheetId="42" hidden="1">'[14]4.8'!#REF!</definedName>
    <definedName name="ER" hidden="1">'[14]4.8'!#REF!</definedName>
    <definedName name="EST" localSheetId="22" hidden="1">'[1]4.9'!#REF!</definedName>
    <definedName name="EST" localSheetId="26" hidden="1">'[2]4.9'!#REF!</definedName>
    <definedName name="EST" localSheetId="42" hidden="1">'[1]4.9'!#REF!</definedName>
    <definedName name="EST" hidden="1">'[1]4.9'!#REF!</definedName>
    <definedName name="f" localSheetId="22">#REF!</definedName>
    <definedName name="f" localSheetId="26">#REF!</definedName>
    <definedName name="f" localSheetId="42">#REF!</definedName>
    <definedName name="f">#REF!</definedName>
    <definedName name="fbxd" localSheetId="22">#REF!</definedName>
    <definedName name="fbxd" localSheetId="42">#REF!</definedName>
    <definedName name="fbxd">#REF!</definedName>
    <definedName name="fdf" localSheetId="22">#REF!</definedName>
    <definedName name="fdf" localSheetId="42">#REF!</definedName>
    <definedName name="fdf">#REF!</definedName>
    <definedName name="fdfa" localSheetId="22">#REF!</definedName>
    <definedName name="fdfa" localSheetId="42">#REF!</definedName>
    <definedName name="fdfa">#REF!</definedName>
    <definedName name="fdgdf" localSheetId="22">#REF!</definedName>
    <definedName name="fdgdf" localSheetId="42">#REF!</definedName>
    <definedName name="fdgdf">#REF!</definedName>
    <definedName name="fdgf" localSheetId="22">#REF!</definedName>
    <definedName name="fdgf" localSheetId="42">#REF!</definedName>
    <definedName name="fdgf">#REF!</definedName>
    <definedName name="female" localSheetId="22" hidden="1">'[14]4.8'!#REF!</definedName>
    <definedName name="female" localSheetId="26" hidden="1">'[15]4.8'!#REF!</definedName>
    <definedName name="female" localSheetId="42" hidden="1">'[14]4.8'!#REF!</definedName>
    <definedName name="female" hidden="1">'[14]4.8'!#REF!</definedName>
    <definedName name="ff" localSheetId="22">#REF!</definedName>
    <definedName name="ff" localSheetId="26">#REF!</definedName>
    <definedName name="ff" localSheetId="42">#REF!</definedName>
    <definedName name="ff">#REF!</definedName>
    <definedName name="fffh" localSheetId="22">#REF!</definedName>
    <definedName name="fffh" localSheetId="42">#REF!</definedName>
    <definedName name="fffh">#REF!</definedName>
    <definedName name="fffrt" localSheetId="22">#REF!</definedName>
    <definedName name="fffrt" localSheetId="42">#REF!</definedName>
    <definedName name="fffrt">#REF!</definedName>
    <definedName name="ffft" localSheetId="22">#REF!</definedName>
    <definedName name="ffft" localSheetId="42">#REF!</definedName>
    <definedName name="ffft">#REF!</definedName>
    <definedName name="fgd" localSheetId="22">#REF!</definedName>
    <definedName name="fgd" localSheetId="42">#REF!</definedName>
    <definedName name="fgd">#REF!</definedName>
    <definedName name="fgdf" localSheetId="22">#REF!</definedName>
    <definedName name="fgdf" localSheetId="42">#REF!</definedName>
    <definedName name="fgdf">#REF!</definedName>
    <definedName name="fgfg" localSheetId="22">#REF!</definedName>
    <definedName name="fgfg" localSheetId="42">#REF!</definedName>
    <definedName name="fgfg">#REF!</definedName>
    <definedName name="fghf" localSheetId="22">#REF!</definedName>
    <definedName name="fghf" localSheetId="42">#REF!</definedName>
    <definedName name="fghf">#REF!</definedName>
    <definedName name="fghfg" localSheetId="22">#REF!</definedName>
    <definedName name="fghfg" localSheetId="42">#REF!</definedName>
    <definedName name="fghfg">#REF!</definedName>
    <definedName name="fret" localSheetId="22">#REF!</definedName>
    <definedName name="fret" localSheetId="42">#REF!</definedName>
    <definedName name="fret">#REF!</definedName>
    <definedName name="fsd" localSheetId="22">#REF!</definedName>
    <definedName name="fsd" localSheetId="42">#REF!</definedName>
    <definedName name="fsd">#REF!</definedName>
    <definedName name="g" localSheetId="22">#REF!</definedName>
    <definedName name="g" localSheetId="26">#REF!</definedName>
    <definedName name="g" localSheetId="42">#REF!</definedName>
    <definedName name="g">#REF!</definedName>
    <definedName name="gd" localSheetId="22" hidden="1">'[14]4.8'!#REF!</definedName>
    <definedName name="gd" localSheetId="26" hidden="1">'[15]4.8'!#REF!</definedName>
    <definedName name="gd" localSheetId="42" hidden="1">'[14]4.8'!#REF!</definedName>
    <definedName name="gd" hidden="1">'[14]4.8'!#REF!</definedName>
    <definedName name="gdfg" localSheetId="22">#REF!</definedName>
    <definedName name="gdfg" localSheetId="42">#REF!</definedName>
    <definedName name="gdfg">#REF!</definedName>
    <definedName name="gdgdh" localSheetId="22">#REF!</definedName>
    <definedName name="gdgdh" localSheetId="42">#REF!</definedName>
    <definedName name="gdgdh">#REF!</definedName>
    <definedName name="gfdgf" localSheetId="22">#REF!</definedName>
    <definedName name="gfdgf" localSheetId="42">#REF!</definedName>
    <definedName name="gfdgf">#REF!</definedName>
    <definedName name="gfgdt" localSheetId="22">#REF!</definedName>
    <definedName name="gfgdt" localSheetId="42">#REF!</definedName>
    <definedName name="gfgdt">#REF!</definedName>
    <definedName name="gfhf" localSheetId="22">#REF!</definedName>
    <definedName name="gfhf" localSheetId="42">#REF!</definedName>
    <definedName name="gfhf">#REF!</definedName>
    <definedName name="gfhfg" localSheetId="22">#REF!</definedName>
    <definedName name="gfhfg" localSheetId="42">#REF!</definedName>
    <definedName name="gfhfg">#REF!</definedName>
    <definedName name="ggdf" localSheetId="22" hidden="1">'[16]4.8'!#REF!</definedName>
    <definedName name="ggdf" localSheetId="42" hidden="1">'[16]4.8'!#REF!</definedName>
    <definedName name="ggdf" hidden="1">'[16]4.8'!#REF!</definedName>
    <definedName name="gggdt" localSheetId="22">#REF!</definedName>
    <definedName name="gggdt" localSheetId="42">#REF!</definedName>
    <definedName name="gggdt">#REF!</definedName>
    <definedName name="gggghn" localSheetId="22">#REF!</definedName>
    <definedName name="gggghn" localSheetId="42">#REF!</definedName>
    <definedName name="gggghn">#REF!</definedName>
    <definedName name="ggggt" localSheetId="22">#REF!</definedName>
    <definedName name="ggggt" localSheetId="42">#REF!</definedName>
    <definedName name="ggggt">#REF!</definedName>
    <definedName name="gggt" localSheetId="22">#REF!</definedName>
    <definedName name="gggt" localSheetId="42">#REF!</definedName>
    <definedName name="gggt">#REF!</definedName>
    <definedName name="ghfjk" localSheetId="22">#REF!</definedName>
    <definedName name="ghfjk" localSheetId="26">#REF!</definedName>
    <definedName name="ghfjk" localSheetId="42">#REF!</definedName>
    <definedName name="ghfjk">#REF!</definedName>
    <definedName name="gombak" localSheetId="22">#REF!</definedName>
    <definedName name="gombak" localSheetId="42">#REF!</definedName>
    <definedName name="gombak">#REF!</definedName>
    <definedName name="graph" localSheetId="22" hidden="1">'[17]4.9'!#REF!</definedName>
    <definedName name="graph" localSheetId="42" hidden="1">'[17]4.9'!#REF!</definedName>
    <definedName name="graph" hidden="1">'[17]4.9'!#REF!</definedName>
    <definedName name="gyht" localSheetId="22">#REF!</definedName>
    <definedName name="gyht" localSheetId="42">#REF!</definedName>
    <definedName name="gyht">#REF!</definedName>
    <definedName name="h" localSheetId="22">#REF!</definedName>
    <definedName name="h" localSheetId="26">#REF!</definedName>
    <definedName name="h" localSheetId="42">#REF!</definedName>
    <definedName name="h">#REF!</definedName>
    <definedName name="hb" hidden="1">'[14]4.8'!#REF!</definedName>
    <definedName name="head" localSheetId="22">#REF!</definedName>
    <definedName name="head" localSheetId="26">#REF!</definedName>
    <definedName name="head" localSheetId="42">#REF!</definedName>
    <definedName name="head">#REF!</definedName>
    <definedName name="hep" localSheetId="22">#REF!</definedName>
    <definedName name="hep" localSheetId="42">#REF!</definedName>
    <definedName name="hep">#REF!</definedName>
    <definedName name="hft" localSheetId="22">#REF!</definedName>
    <definedName name="hft" localSheetId="42">#REF!</definedName>
    <definedName name="hft">#REF!</definedName>
    <definedName name="hgt" localSheetId="22" hidden="1">'[7]4.9'!#REF!</definedName>
    <definedName name="hgt" localSheetId="42" hidden="1">'[7]4.9'!#REF!</definedName>
    <definedName name="hgt" hidden="1">'[7]4.9'!#REF!</definedName>
    <definedName name="hh" localSheetId="22">#REF!</definedName>
    <definedName name="hh" localSheetId="42">#REF!</definedName>
    <definedName name="hh">#REF!</definedName>
    <definedName name="hhft" localSheetId="22">#REF!</definedName>
    <definedName name="hhft" localSheetId="42">#REF!</definedName>
    <definedName name="hhft">#REF!</definedName>
    <definedName name="hhhgt" localSheetId="22">#REF!</definedName>
    <definedName name="hhhgt" localSheetId="42">#REF!</definedName>
    <definedName name="hhhgt">#REF!</definedName>
    <definedName name="hhhhjy" localSheetId="22">#REF!</definedName>
    <definedName name="hhhhjy" localSheetId="42">#REF!</definedName>
    <definedName name="hhhhjy">#REF!</definedName>
    <definedName name="hhhht" localSheetId="22">#REF!</definedName>
    <definedName name="hhhht" localSheetId="42">#REF!</definedName>
    <definedName name="hhhht">#REF!</definedName>
    <definedName name="hhjy" localSheetId="22">#REF!</definedName>
    <definedName name="hhjy" localSheetId="42">#REF!</definedName>
    <definedName name="hhjy">#REF!</definedName>
    <definedName name="hjg" localSheetId="22">#REF!</definedName>
    <definedName name="hjg" localSheetId="42">#REF!</definedName>
    <definedName name="hjg">#REF!</definedName>
    <definedName name="hjgy" localSheetId="22">#REF!</definedName>
    <definedName name="hjgy" localSheetId="42">#REF!</definedName>
    <definedName name="hjgy">#REF!</definedName>
    <definedName name="iii" localSheetId="22">#REF!</definedName>
    <definedName name="iii" localSheetId="26">#REF!</definedName>
    <definedName name="iii" localSheetId="42">#REF!</definedName>
    <definedName name="iii">#REF!</definedName>
    <definedName name="iiiii" localSheetId="22" hidden="1">#REF!</definedName>
    <definedName name="iiiii" localSheetId="42" hidden="1">#REF!</definedName>
    <definedName name="iiiii" hidden="1">#REF!</definedName>
    <definedName name="j" localSheetId="22">#REF!</definedName>
    <definedName name="j" localSheetId="26">#REF!</definedName>
    <definedName name="j" localSheetId="42">#REF!</definedName>
    <definedName name="j">#REF!</definedName>
    <definedName name="jb" localSheetId="22">#REF!</definedName>
    <definedName name="jb" localSheetId="42">#REF!</definedName>
    <definedName name="jb">#REF!</definedName>
    <definedName name="jjj" localSheetId="22">#REF!</definedName>
    <definedName name="jjj" localSheetId="42">#REF!</definedName>
    <definedName name="jjj">#REF!</definedName>
    <definedName name="jjjt" localSheetId="22">#REF!</definedName>
    <definedName name="jjjt" localSheetId="42">#REF!</definedName>
    <definedName name="jjjt">#REF!</definedName>
    <definedName name="jjjtg" localSheetId="22">#REF!</definedName>
    <definedName name="jjjtg" localSheetId="42">#REF!</definedName>
    <definedName name="jjjtg">#REF!</definedName>
    <definedName name="jjju" localSheetId="22">#REF!</definedName>
    <definedName name="jjju" localSheetId="42">#REF!</definedName>
    <definedName name="jjju">#REF!</definedName>
    <definedName name="jjjy" localSheetId="22">#REF!</definedName>
    <definedName name="jjjy" localSheetId="42">#REF!</definedName>
    <definedName name="jjjy">#REF!</definedName>
    <definedName name="johor" localSheetId="22" hidden="1">'[18]7.6'!#REF!</definedName>
    <definedName name="johor" localSheetId="26" hidden="1">'[19]7.6'!#REF!</definedName>
    <definedName name="johor" localSheetId="42" hidden="1">'[18]7.6'!#REF!</definedName>
    <definedName name="johor" hidden="1">'[18]7.6'!#REF!</definedName>
    <definedName name="JOHOR1" localSheetId="22" hidden="1">'[20]4.9'!#REF!</definedName>
    <definedName name="JOHOR1" localSheetId="26" hidden="1">'[21]4.9'!#REF!</definedName>
    <definedName name="JOHOR1" localSheetId="42" hidden="1">'[20]4.9'!#REF!</definedName>
    <definedName name="JOHOR1" hidden="1">'[20]4.9'!#REF!</definedName>
    <definedName name="k" localSheetId="22">#REF!</definedName>
    <definedName name="k" localSheetId="26">#REF!</definedName>
    <definedName name="k" localSheetId="42">#REF!</definedName>
    <definedName name="k">#REF!</definedName>
    <definedName name="kelantan" localSheetId="22" hidden="1">#REF!</definedName>
    <definedName name="kelantan" localSheetId="42" hidden="1">#REF!</definedName>
    <definedName name="kelantan" hidden="1">#REF!</definedName>
    <definedName name="kemudahan_internet" localSheetId="22">#REF!</definedName>
    <definedName name="kemudahan_internet" localSheetId="42">#REF!</definedName>
    <definedName name="kemudahan_internet">#REF!</definedName>
    <definedName name="kk" localSheetId="22">#REF!</definedName>
    <definedName name="kk" localSheetId="42">#REF!</definedName>
    <definedName name="kk">#REF!</definedName>
    <definedName name="Kod_01" localSheetId="22">#REF!</definedName>
    <definedName name="Kod_01" localSheetId="26">#REF!</definedName>
    <definedName name="Kod_01" localSheetId="42">#REF!</definedName>
    <definedName name="Kod_01">#REF!</definedName>
    <definedName name="l" localSheetId="22" hidden="1">#REF!</definedName>
    <definedName name="l" localSheetId="42" hidden="1">#REF!</definedName>
    <definedName name="l" hidden="1">#REF!</definedName>
    <definedName name="lia" localSheetId="22">#REF!</definedName>
    <definedName name="lia" localSheetId="42">#REF!</definedName>
    <definedName name="lia">#REF!</definedName>
    <definedName name="LINK_BORONG" localSheetId="22">#REF!</definedName>
    <definedName name="LINK_BORONG" localSheetId="26">#REF!</definedName>
    <definedName name="LINK_BORONG" localSheetId="42">#REF!</definedName>
    <definedName name="LINK_BORONG">#REF!</definedName>
    <definedName name="LINK_MOTOR" localSheetId="22">#REF!</definedName>
    <definedName name="LINK_MOTOR" localSheetId="26">#REF!</definedName>
    <definedName name="LINK_MOTOR" localSheetId="42">#REF!</definedName>
    <definedName name="LINK_MOTOR">#REF!</definedName>
    <definedName name="LINK_RUNCIT" localSheetId="22">#REF!</definedName>
    <definedName name="LINK_RUNCIT" localSheetId="26">#REF!</definedName>
    <definedName name="LINK_RUNCIT" localSheetId="42">#REF!</definedName>
    <definedName name="LINK_RUNCIT">#REF!</definedName>
    <definedName name="list_sehingga_18012011" localSheetId="22">#REF!</definedName>
    <definedName name="list_sehingga_18012011" localSheetId="26">#REF!</definedName>
    <definedName name="list_sehingga_18012011" localSheetId="42">#REF!</definedName>
    <definedName name="list_sehingga_18012011">#REF!</definedName>
    <definedName name="ll" localSheetId="22">#REF!</definedName>
    <definedName name="ll" localSheetId="26">#REF!</definedName>
    <definedName name="ll" localSheetId="42">#REF!</definedName>
    <definedName name="ll">#REF!</definedName>
    <definedName name="LLL" localSheetId="22">#REF!</definedName>
    <definedName name="LLL" localSheetId="42">#REF!</definedName>
    <definedName name="LLL">#REF!</definedName>
    <definedName name="m" localSheetId="22" hidden="1">'[7]4.9'!#REF!</definedName>
    <definedName name="m" localSheetId="42" hidden="1">'[7]4.9'!#REF!</definedName>
    <definedName name="m" hidden="1">'[7]4.9'!#REF!</definedName>
    <definedName name="malaysia3" localSheetId="22" hidden="1">'[18]7.6'!#REF!</definedName>
    <definedName name="malaysia3" localSheetId="26" hidden="1">'[19]7.6'!#REF!</definedName>
    <definedName name="malaysia3" localSheetId="42" hidden="1">'[18]7.6'!#REF!</definedName>
    <definedName name="malaysia3" hidden="1">'[18]7.6'!#REF!</definedName>
    <definedName name="match_sampel_icdt" localSheetId="22">#REF!</definedName>
    <definedName name="match_sampel_icdt" localSheetId="26">#REF!</definedName>
    <definedName name="match_sampel_icdt" localSheetId="42">#REF!</definedName>
    <definedName name="match_sampel_icdt">#REF!</definedName>
    <definedName name="mg" localSheetId="22" hidden="1">'[22]4.9'!#REF!</definedName>
    <definedName name="mg" localSheetId="42" hidden="1">'[22]4.9'!#REF!</definedName>
    <definedName name="mg" hidden="1">'[22]4.9'!#REF!</definedName>
    <definedName name="mmm" localSheetId="22">#REF!</definedName>
    <definedName name="mmm" localSheetId="42">#REF!</definedName>
    <definedName name="mmm">#REF!</definedName>
    <definedName name="mmmt" localSheetId="22">#REF!</definedName>
    <definedName name="mmmt" localSheetId="42">#REF!</definedName>
    <definedName name="mmmt">#REF!</definedName>
    <definedName name="msic_complete" localSheetId="22">#REF!</definedName>
    <definedName name="msic_complete" localSheetId="26">#REF!</definedName>
    <definedName name="msic_complete" localSheetId="42">#REF!</definedName>
    <definedName name="msic_complete">#REF!</definedName>
    <definedName name="msic_complete_new" localSheetId="22">#REF!</definedName>
    <definedName name="msic_complete_new" localSheetId="26">#REF!</definedName>
    <definedName name="msic_complete_new" localSheetId="42">#REF!</definedName>
    <definedName name="msic_complete_new">#REF!</definedName>
    <definedName name="MultiplierFormula">#N/A</definedName>
    <definedName name="n" localSheetId="22">#REF!</definedName>
    <definedName name="n" localSheetId="26" hidden="1">#REF!</definedName>
    <definedName name="n" localSheetId="42">#REF!</definedName>
    <definedName name="n">#REF!</definedName>
    <definedName name="nama" localSheetId="22">#REF!</definedName>
    <definedName name="nama" localSheetId="26">#REF!</definedName>
    <definedName name="nama" localSheetId="42">#REF!</definedName>
    <definedName name="nama">#REF!</definedName>
    <definedName name="nbbb" localSheetId="22">#REF!</definedName>
    <definedName name="nbbb" localSheetId="42">#REF!</definedName>
    <definedName name="nbbb">#REF!</definedName>
    <definedName name="nbngh" localSheetId="22" hidden="1">#REF!</definedName>
    <definedName name="nbngh" localSheetId="42" hidden="1">#REF!</definedName>
    <definedName name="nbngh" hidden="1">#REF!</definedName>
    <definedName name="nbvn" localSheetId="22">#REF!</definedName>
    <definedName name="nbvn" localSheetId="42">#REF!</definedName>
    <definedName name="nbvn">#REF!</definedName>
    <definedName name="new" localSheetId="22">#REF!</definedName>
    <definedName name="new" localSheetId="42">#REF!</definedName>
    <definedName name="new">#REF!</definedName>
    <definedName name="NGDBBP" localSheetId="22">#REF!</definedName>
    <definedName name="NGDBBP" localSheetId="26">#REF!</definedName>
    <definedName name="NGDBBP" localSheetId="42">#REF!</definedName>
    <definedName name="NGDBBP">#REF!</definedName>
    <definedName name="niira" localSheetId="22">#REF!</definedName>
    <definedName name="niira" localSheetId="42">#REF!</definedName>
    <definedName name="niira">#REF!</definedName>
    <definedName name="njy" localSheetId="22">#REF!</definedName>
    <definedName name="njy" localSheetId="42">#REF!</definedName>
    <definedName name="njy">#REF!</definedName>
    <definedName name="nnngf" localSheetId="22">#REF!</definedName>
    <definedName name="nnngf" localSheetId="42">#REF!</definedName>
    <definedName name="nnngf">#REF!</definedName>
    <definedName name="no" localSheetId="22">#REF!</definedName>
    <definedName name="no" localSheetId="42">#REF!</definedName>
    <definedName name="no">#REF!</definedName>
    <definedName name="noorasiah91" localSheetId="22">#REF!</definedName>
    <definedName name="noorasiah91" localSheetId="26">#REF!</definedName>
    <definedName name="noorasiah91" localSheetId="42">#REF!</definedName>
    <definedName name="noorasiah91">#REF!</definedName>
    <definedName name="nv" localSheetId="22">#REF!</definedName>
    <definedName name="nv" localSheetId="42">#REF!</definedName>
    <definedName name="nv">#REF!</definedName>
    <definedName name="nvbnjg" localSheetId="22">#REF!</definedName>
    <definedName name="nvbnjg" localSheetId="42">#REF!</definedName>
    <definedName name="nvbnjg">#REF!</definedName>
    <definedName name="ok" localSheetId="22">#REF!</definedName>
    <definedName name="ok" localSheetId="26">#REF!</definedName>
    <definedName name="ok" localSheetId="42">#REF!</definedName>
    <definedName name="ok">#REF!</definedName>
    <definedName name="okt" localSheetId="22">#REF!</definedName>
    <definedName name="okt" localSheetId="42">#REF!</definedName>
    <definedName name="okt">#REF!</definedName>
    <definedName name="ooo" localSheetId="22">#REF!</definedName>
    <definedName name="ooo" localSheetId="42">#REF!</definedName>
    <definedName name="ooo">#REF!</definedName>
    <definedName name="oooo" localSheetId="22">#REF!</definedName>
    <definedName name="oooo" localSheetId="26">#REF!</definedName>
    <definedName name="oooo" localSheetId="42">#REF!</definedName>
    <definedName name="oooo">#REF!</definedName>
    <definedName name="ooooo" localSheetId="22">#REF!</definedName>
    <definedName name="ooooo" localSheetId="42">#REF!</definedName>
    <definedName name="ooooo">#REF!</definedName>
    <definedName name="oop" localSheetId="22">#REF!</definedName>
    <definedName name="oop" localSheetId="42">#REF!</definedName>
    <definedName name="oop">#REF!</definedName>
    <definedName name="p" localSheetId="22">#REF!</definedName>
    <definedName name="p" localSheetId="42">#REF!</definedName>
    <definedName name="p">#REF!</definedName>
    <definedName name="pendidikan" localSheetId="22">#REF!</definedName>
    <definedName name="pendidikan" localSheetId="26">#REF!</definedName>
    <definedName name="pendidikan" localSheetId="42">#REF!</definedName>
    <definedName name="pendidikan">#REF!</definedName>
    <definedName name="Perak" localSheetId="22">#REF!</definedName>
    <definedName name="Perak" localSheetId="26">#REF!</definedName>
    <definedName name="Perak" localSheetId="42">#REF!</definedName>
    <definedName name="Perak">#REF!</definedName>
    <definedName name="perhubungan" localSheetId="22">#REF!</definedName>
    <definedName name="perhubungan" localSheetId="42">#REF!</definedName>
    <definedName name="perhubungan">#REF!</definedName>
    <definedName name="PERLIS" localSheetId="22">#REF!</definedName>
    <definedName name="PERLIS" localSheetId="26">#REF!</definedName>
    <definedName name="PERLIS" localSheetId="42">#REF!</definedName>
    <definedName name="PERLIS">#REF!</definedName>
    <definedName name="PERMINTAAN_DATA" localSheetId="22">#REF!</definedName>
    <definedName name="PERMINTAAN_DATA" localSheetId="26">#REF!</definedName>
    <definedName name="PERMINTAAN_DATA" localSheetId="42">#REF!</definedName>
    <definedName name="PERMINTAAN_DATA">#REF!</definedName>
    <definedName name="PERMINTAAN_DATA_KP335" localSheetId="22">#REF!</definedName>
    <definedName name="PERMINTAAN_DATA_KP335" localSheetId="26">#REF!</definedName>
    <definedName name="PERMINTAAN_DATA_KP335" localSheetId="42">#REF!</definedName>
    <definedName name="PERMINTAAN_DATA_KP335">#REF!</definedName>
    <definedName name="pilkjk" localSheetId="22">#REF!</definedName>
    <definedName name="pilkjk" localSheetId="26">#REF!</definedName>
    <definedName name="pilkjk" localSheetId="42">#REF!</definedName>
    <definedName name="pilkjk">#REF!</definedName>
    <definedName name="pppp" localSheetId="13" hidden="1">'[11]7.6'!#REF!</definedName>
    <definedName name="pppp" localSheetId="14" hidden="1">'[11]7.6'!#REF!</definedName>
    <definedName name="pppp" localSheetId="22" hidden="1">'[11]7.6'!#REF!</definedName>
    <definedName name="pppp" localSheetId="42" hidden="1">'[11]7.6'!#REF!</definedName>
    <definedName name="pppp" hidden="1">'[11]7.6'!#REF!</definedName>
    <definedName name="_xlnm.Print_Area" localSheetId="1">'14.0_KDNK_samb'!$A$1:$H$58</definedName>
    <definedName name="_xlnm.Print_Area" localSheetId="2">'14.0_KDNK_sambg1'!$A$2:$J$74</definedName>
    <definedName name="_xlnm.Print_Area" localSheetId="4">'16.0_Akaun_ SP'!$A$1:$H$74</definedName>
    <definedName name="_xlnm.Print_Area" localSheetId="6">'18.0_Stok_Modal'!$A$1:$H$67</definedName>
    <definedName name="_xlnm.Print_Area" localSheetId="7">'19.0_Imbagn_Pembayaran'!$A$1:$J$59</definedName>
    <definedName name="_xlnm.Print_Area" localSheetId="8">'20.0_Eksport_Import'!$A$3:$M$52</definedName>
    <definedName name="_xlnm.Print_Area" localSheetId="10">'22.0_Pasaran_Buruh'!$A$1:$G$35</definedName>
    <definedName name="_xlnm.Print_Area" localSheetId="13">'23.1_Harga_Item_Terpilih'!$A$1:$K$101</definedName>
    <definedName name="_xlnm.Print_Area" localSheetId="14">'23.1_Harga_Item_Terpilih_sambg)'!$A$1:$M$93</definedName>
    <definedName name="_xlnm.Print_Area" localSheetId="15">'24.0_IHPR'!$A$1:$G$56</definedName>
    <definedName name="_xlnm.Print_Area" localSheetId="16">'25.0_Kemalangan_Pekerja'!$A$1:$G$71</definedName>
    <definedName name="_xlnm.Print_Area" localSheetId="18">'26.0_Peratusan_Ahli_Parlimen'!$A$1:$J$31</definedName>
    <definedName name="_xlnm.Print_Area" localSheetId="19">'27.0_Bilangan_Hakim'!$A$1:$J$56</definedName>
    <definedName name="_xlnm.Print_Area" localSheetId="20">'28.0_Bilangan_Hakim_Syariah'!$A$1:$J$41</definedName>
    <definedName name="_xlnm.Print_Area" localSheetId="21">'29.0_Bil_KSU'!$A$1:$I$51</definedName>
    <definedName name="_xlnm.Print_Area" localSheetId="23">'31.0_Jenayah_violent'!$A$1:$J$78</definedName>
    <definedName name="_xlnm.Print_Area" localSheetId="24">'31.1_Jenayah_harta'!$A$1:$K$77</definedName>
    <definedName name="_xlnm.Print_Area" localSheetId="26">'33.0 Oku kumulatif'!$A$1:$M$89</definedName>
    <definedName name="_xlnm.Print_Area" localSheetId="27">'34.0_Capaian_ICT_Isi_Rumh'!$A$1:$O$30</definedName>
    <definedName name="_xlnm.Print_Area" localSheetId="28">'35.0_Pendpatn_Perbelanjaan'!$A$1:$I$62</definedName>
    <definedName name="_xlnm.Print_Area" localSheetId="29">'36.0_Penggunaan_Perkapita_PCC'!$A$1:$I$75</definedName>
    <definedName name="_xlnm.Print_Area" localSheetId="30">'36.1_Perkapita_Pertanian'!$A$1:$R$57</definedName>
    <definedName name="_xlnm.Print_Area" localSheetId="31">'37.0_Purata_Suhu'!$A$1:$J$44</definedName>
    <definedName name="_xlnm.Print_Area" localSheetId="32">'37.0_Purata_Suhu_sambg'!$A$1:$I$46</definedName>
    <definedName name="_xlnm.Print_Area" localSheetId="33">'37.0_Purata_Suhu_sambg1'!$A$1:$J$42</definedName>
    <definedName name="_xlnm.Print_Area" localSheetId="41">'40.0_Kes_COVID 19'!$A$1:$F$78</definedName>
    <definedName name="_xlnm.Print_Area" localSheetId="43">'41.0_Agihan_Zakat'!$A$1:$H$52</definedName>
    <definedName name="_xlnm.Print_Area" localSheetId="35">Jad38_hujan!$A$1:$J$42</definedName>
    <definedName name="_xlnm.Print_Area" localSheetId="36">'Jad38_hujan(samb)'!$A$1:$I$42</definedName>
    <definedName name="_xlnm.Print_Area" localSheetId="40">'Jad39 Kelembapan(samb)'!$A$1:$H$35</definedName>
    <definedName name="_xlnm.Print_Titles" localSheetId="14">'23.1_Harga_Item_Terpilih_sambg)'!$1:$11</definedName>
    <definedName name="PUTRAJAYA" localSheetId="22" hidden="1">#REF!</definedName>
    <definedName name="PUTRAJAYA" localSheetId="42" hidden="1">#REF!</definedName>
    <definedName name="PUTRAJAYA" hidden="1">#REF!</definedName>
    <definedName name="q" localSheetId="22">#REF!</definedName>
    <definedName name="q" localSheetId="26">#REF!</definedName>
    <definedName name="q" localSheetId="42">#REF!</definedName>
    <definedName name="q">#REF!</definedName>
    <definedName name="qq" localSheetId="22">#REF!</definedName>
    <definedName name="qq" localSheetId="42">#REF!</definedName>
    <definedName name="qq">#REF!</definedName>
    <definedName name="qqqttt" localSheetId="22">#REF!</definedName>
    <definedName name="qqqttt" localSheetId="42">#REF!</definedName>
    <definedName name="qqqttt">#REF!</definedName>
    <definedName name="qqw" localSheetId="22" hidden="1">'[16]4.8'!#REF!</definedName>
    <definedName name="qqw" localSheetId="42" hidden="1">'[16]4.8'!#REF!</definedName>
    <definedName name="qqw" hidden="1">'[16]4.8'!#REF!</definedName>
    <definedName name="qty" localSheetId="22" hidden="1">'[23]4.8'!#REF!</definedName>
    <definedName name="qty" localSheetId="42" hidden="1">'[23]4.8'!#REF!</definedName>
    <definedName name="qty" hidden="1">'[23]4.8'!#REF!</definedName>
    <definedName name="Region" localSheetId="26">[24]Sheet2!$B$2:$B$7</definedName>
    <definedName name="Region">[25]Sheet2!$B$2:$B$7</definedName>
    <definedName name="Region1" localSheetId="26">[26]Sheet1!$B$2:$B$19</definedName>
    <definedName name="Region1">[27]Sheet1!$B$2:$B$19</definedName>
    <definedName name="RGRH" localSheetId="22">#REF!</definedName>
    <definedName name="RGRH" localSheetId="42">#REF!</definedName>
    <definedName name="RGRH">#REF!</definedName>
    <definedName name="row_no" localSheetId="26">[28]ref!$B$3:$K$20</definedName>
    <definedName name="row_no">[29]ref!$B$3:$K$20</definedName>
    <definedName name="row_no_head" localSheetId="26">[28]ref!$B$3:$K$3</definedName>
    <definedName name="row_no_head">[29]ref!$B$3:$K$3</definedName>
    <definedName name="rrr" localSheetId="22">#REF!</definedName>
    <definedName name="rrr" localSheetId="26">#REF!</definedName>
    <definedName name="rrr" localSheetId="42">#REF!</definedName>
    <definedName name="rrr">#REF!</definedName>
    <definedName name="rte" localSheetId="22" hidden="1">'[14]4.8'!#REF!</definedName>
    <definedName name="rte" localSheetId="26" hidden="1">'[15]4.8'!#REF!</definedName>
    <definedName name="rte" localSheetId="42" hidden="1">'[14]4.8'!#REF!</definedName>
    <definedName name="rte" hidden="1">'[14]4.8'!#REF!</definedName>
    <definedName name="s" localSheetId="22">#REF!</definedName>
    <definedName name="s" localSheetId="26">#REF!</definedName>
    <definedName name="s" localSheetId="42">#REF!</definedName>
    <definedName name="s">#REF!</definedName>
    <definedName name="sa" localSheetId="22">#REF!</definedName>
    <definedName name="sa" localSheetId="26">#REF!</definedName>
    <definedName name="sa" localSheetId="42">#REF!</definedName>
    <definedName name="sa">#REF!</definedName>
    <definedName name="saadqff" localSheetId="22">#REF!</definedName>
    <definedName name="saadqff" localSheetId="26">#REF!</definedName>
    <definedName name="saadqff" localSheetId="42">#REF!</definedName>
    <definedName name="saadqff">#REF!</definedName>
    <definedName name="sabah" localSheetId="26" hidden="1">'[30]5.11'!$E$15:$J$15</definedName>
    <definedName name="sabah" hidden="1">'[31]5.11'!$E$15:$J$15</definedName>
    <definedName name="sama" localSheetId="22" hidden="1">'[7]4.3'!#REF!</definedName>
    <definedName name="sama" localSheetId="42" hidden="1">'[7]4.3'!#REF!</definedName>
    <definedName name="sama" hidden="1">'[7]4.3'!#REF!</definedName>
    <definedName name="sasas" localSheetId="22">#REF!</definedName>
    <definedName name="sasas" localSheetId="26">#REF!</definedName>
    <definedName name="sasas" localSheetId="42">#REF!</definedName>
    <definedName name="sasas">#REF!</definedName>
    <definedName name="sda" localSheetId="22" hidden="1">'[14]4.8'!#REF!</definedName>
    <definedName name="sda" localSheetId="26" hidden="1">'[15]4.8'!#REF!</definedName>
    <definedName name="sda" localSheetId="42" hidden="1">'[14]4.8'!#REF!</definedName>
    <definedName name="sda" hidden="1">'[14]4.8'!#REF!</definedName>
    <definedName name="sdfgg" hidden="1">#REF!</definedName>
    <definedName name="sds" localSheetId="22" hidden="1">#REF!</definedName>
    <definedName name="sds" localSheetId="26" hidden="1">#REF!</definedName>
    <definedName name="sds" localSheetId="42" hidden="1">#REF!</definedName>
    <definedName name="sds" hidden="1">#REF!</definedName>
    <definedName name="sefdhdrtsg" localSheetId="22">#REF!</definedName>
    <definedName name="sefdhdrtsg" localSheetId="26">#REF!</definedName>
    <definedName name="sefdhdrtsg" localSheetId="42">#REF!</definedName>
    <definedName name="sefdhdrtsg">#REF!</definedName>
    <definedName name="sehingga18" localSheetId="22">#REF!</definedName>
    <definedName name="sehingga18" localSheetId="42">#REF!</definedName>
    <definedName name="sehingga18">#REF!</definedName>
    <definedName name="sep" localSheetId="22">#REF!</definedName>
    <definedName name="sep" localSheetId="26">#REF!</definedName>
    <definedName name="sep" localSheetId="42">#REF!</definedName>
    <definedName name="sep">#REF!</definedName>
    <definedName name="sfst" localSheetId="22">#REF!</definedName>
    <definedName name="sfst" localSheetId="42">#REF!</definedName>
    <definedName name="sfst">#REF!</definedName>
    <definedName name="sgd" localSheetId="22">#REF!</definedName>
    <definedName name="sgd" localSheetId="42">#REF!</definedName>
    <definedName name="sgd">#REF!</definedName>
    <definedName name="ShoppingStartDate" localSheetId="22">#REF!</definedName>
    <definedName name="ShoppingStartDate" localSheetId="42">#REF!</definedName>
    <definedName name="ShoppingStartDate">#REF!</definedName>
    <definedName name="slgr" localSheetId="22" hidden="1">#REF!</definedName>
    <definedName name="slgr" localSheetId="26" hidden="1">#REF!</definedName>
    <definedName name="slgr" localSheetId="42" hidden="1">#REF!</definedName>
    <definedName name="slgr" hidden="1">#REF!</definedName>
    <definedName name="SORT" localSheetId="22" hidden="1">#REF!</definedName>
    <definedName name="SORT" localSheetId="26" hidden="1">#REF!</definedName>
    <definedName name="SORT" localSheetId="42" hidden="1">#REF!</definedName>
    <definedName name="SORT" hidden="1">#REF!</definedName>
    <definedName name="sr" localSheetId="22">#REF!</definedName>
    <definedName name="sr" localSheetId="42">#REF!</definedName>
    <definedName name="sr">#REF!</definedName>
    <definedName name="srrr" localSheetId="22">#REF!</definedName>
    <definedName name="srrr" localSheetId="42">#REF!</definedName>
    <definedName name="srrr">#REF!</definedName>
    <definedName name="ss" localSheetId="22" hidden="1">'[1]4.9'!#REF!</definedName>
    <definedName name="ss" localSheetId="42" hidden="1">'[1]4.9'!#REF!</definedName>
    <definedName name="ss" hidden="1">'[1]4.9'!#REF!</definedName>
    <definedName name="sss" localSheetId="22">#REF!</definedName>
    <definedName name="sss" localSheetId="26">#REF!</definedName>
    <definedName name="sss" localSheetId="42">#REF!</definedName>
    <definedName name="sss">#REF!</definedName>
    <definedName name="ssssw" localSheetId="22" hidden="1">'[7]4.9'!#REF!</definedName>
    <definedName name="ssssw" localSheetId="42" hidden="1">'[7]4.9'!#REF!</definedName>
    <definedName name="ssssw" hidden="1">'[7]4.9'!#REF!</definedName>
    <definedName name="ssszzz" localSheetId="22" hidden="1">#REF!</definedName>
    <definedName name="ssszzz" localSheetId="42" hidden="1">#REF!</definedName>
    <definedName name="ssszzz" hidden="1">#REF!</definedName>
    <definedName name="state" localSheetId="26">[28]ref!$B$23:$C$38</definedName>
    <definedName name="state">[29]ref!$B$23:$C$38</definedName>
    <definedName name="sz" localSheetId="22" hidden="1">#REF!</definedName>
    <definedName name="sz" localSheetId="26" hidden="1">#REF!</definedName>
    <definedName name="sz" localSheetId="42" hidden="1">#REF!</definedName>
    <definedName name="sz" hidden="1">#REF!</definedName>
    <definedName name="t" localSheetId="22" hidden="1">#REF!</definedName>
    <definedName name="t" localSheetId="26" hidden="1">#REF!</definedName>
    <definedName name="t" localSheetId="42" hidden="1">#REF!</definedName>
    <definedName name="t" hidden="1">#REF!</definedName>
    <definedName name="table" localSheetId="22">#REF!</definedName>
    <definedName name="table" localSheetId="42">#REF!</definedName>
    <definedName name="table">#REF!</definedName>
    <definedName name="table_no" localSheetId="26">[28]ref!$B$23:$E$38</definedName>
    <definedName name="table_no">[29]ref!$B$23:$E$38</definedName>
    <definedName name="table1" localSheetId="22">#REF!</definedName>
    <definedName name="table1" localSheetId="42">#REF!</definedName>
    <definedName name="table1">#REF!</definedName>
    <definedName name="table2" localSheetId="22">#REF!</definedName>
    <definedName name="table2" localSheetId="42">#REF!</definedName>
    <definedName name="table2">#REF!</definedName>
    <definedName name="tail" localSheetId="22">#REF!</definedName>
    <definedName name="tail" localSheetId="42">#REF!</definedName>
    <definedName name="tail">#REF!</definedName>
    <definedName name="te" localSheetId="22" hidden="1">'[1]4.9'!#REF!</definedName>
    <definedName name="te" localSheetId="26" hidden="1">'[2]4.9'!#REF!</definedName>
    <definedName name="te" localSheetId="42" hidden="1">'[1]4.9'!#REF!</definedName>
    <definedName name="te" hidden="1">'[1]4.9'!#REF!</definedName>
    <definedName name="Ter_a" localSheetId="22" hidden="1">'[1]4.9'!#REF!</definedName>
    <definedName name="Ter_a" localSheetId="26" hidden="1">'[2]4.9'!#REF!</definedName>
    <definedName name="Ter_a" localSheetId="42" hidden="1">'[1]4.9'!#REF!</definedName>
    <definedName name="Ter_a" hidden="1">'[1]4.9'!#REF!</definedName>
    <definedName name="tes" localSheetId="22" hidden="1">'[1]4.9'!#REF!</definedName>
    <definedName name="tes" localSheetId="26" hidden="1">'[2]4.9'!#REF!</definedName>
    <definedName name="tes" localSheetId="42" hidden="1">'[1]4.9'!#REF!</definedName>
    <definedName name="tes" hidden="1">'[1]4.9'!#REF!</definedName>
    <definedName name="test" localSheetId="22" hidden="1">#REF!</definedName>
    <definedName name="test" localSheetId="26" hidden="1">#REF!</definedName>
    <definedName name="test" localSheetId="42" hidden="1">#REF!</definedName>
    <definedName name="test" hidden="1">#REF!</definedName>
    <definedName name="test3333333" localSheetId="22" hidden="1">#REF!</definedName>
    <definedName name="test3333333" localSheetId="26" hidden="1">#REF!</definedName>
    <definedName name="test3333333" localSheetId="42" hidden="1">#REF!</definedName>
    <definedName name="test3333333" hidden="1">#REF!</definedName>
    <definedName name="try" localSheetId="22">#REF!</definedName>
    <definedName name="try" localSheetId="42">#REF!</definedName>
    <definedName name="try">#REF!</definedName>
    <definedName name="tt" localSheetId="22">#REF!</definedName>
    <definedName name="tt" localSheetId="42">#REF!</definedName>
    <definedName name="tt">#REF!</definedName>
    <definedName name="tttt" localSheetId="22" hidden="1">'[7]4.9'!#REF!</definedName>
    <definedName name="tttt" localSheetId="42" hidden="1">'[7]4.9'!#REF!</definedName>
    <definedName name="tttt" hidden="1">'[7]4.9'!#REF!</definedName>
    <definedName name="tttww" localSheetId="22">#REF!</definedName>
    <definedName name="tttww" localSheetId="42">#REF!</definedName>
    <definedName name="tttww">#REF!</definedName>
    <definedName name="u" localSheetId="22">#REF!</definedName>
    <definedName name="u" localSheetId="26">#REF!</definedName>
    <definedName name="u" localSheetId="42">#REF!</definedName>
    <definedName name="u">#REF!</definedName>
    <definedName name="umum" localSheetId="22">#REF!</definedName>
    <definedName name="umum" localSheetId="26">#REF!</definedName>
    <definedName name="umum" localSheetId="42">#REF!</definedName>
    <definedName name="umum">#REF!</definedName>
    <definedName name="uuu" localSheetId="22" hidden="1">#REF!</definedName>
    <definedName name="uuu" localSheetId="42" hidden="1">#REF!</definedName>
    <definedName name="uuu" hidden="1">#REF!</definedName>
    <definedName name="uuuuu" localSheetId="22">#REF!</definedName>
    <definedName name="uuuuu" localSheetId="26">#REF!</definedName>
    <definedName name="uuuuu" localSheetId="42">#REF!</definedName>
    <definedName name="uuuuu">#REF!</definedName>
    <definedName name="uuuvvv" localSheetId="22">#REF!</definedName>
    <definedName name="uuuvvv" localSheetId="42">#REF!</definedName>
    <definedName name="uuuvvv">#REF!</definedName>
    <definedName name="v" localSheetId="22" hidden="1">'[7]4.3'!#REF!</definedName>
    <definedName name="v" localSheetId="42" hidden="1">'[7]4.3'!#REF!</definedName>
    <definedName name="v" hidden="1">'[7]4.3'!#REF!</definedName>
    <definedName name="vbcbvc" localSheetId="22">#REF!</definedName>
    <definedName name="vbcbvc" localSheetId="42">#REF!</definedName>
    <definedName name="vbcbvc">#REF!</definedName>
    <definedName name="vbv" localSheetId="22">#REF!</definedName>
    <definedName name="vbv" localSheetId="42">#REF!</definedName>
    <definedName name="vbv">#REF!</definedName>
    <definedName name="vcb" localSheetId="22">#REF!</definedName>
    <definedName name="vcb" localSheetId="42">#REF!</definedName>
    <definedName name="vcb">#REF!</definedName>
    <definedName name="vcc" localSheetId="22">#REF!</definedName>
    <definedName name="vcc" localSheetId="42">#REF!</definedName>
    <definedName name="vcc">#REF!</definedName>
    <definedName name="vcvc" localSheetId="22">#REF!</definedName>
    <definedName name="vcvc" localSheetId="42">#REF!</definedName>
    <definedName name="vcvc">#REF!</definedName>
    <definedName name="vcx" localSheetId="22">#REF!</definedName>
    <definedName name="vcx" localSheetId="42">#REF!</definedName>
    <definedName name="vcx">#REF!</definedName>
    <definedName name="vdfvd" localSheetId="22" hidden="1">#REF!</definedName>
    <definedName name="vdfvd" localSheetId="42" hidden="1">#REF!</definedName>
    <definedName name="vdfvd" hidden="1">#REF!</definedName>
    <definedName name="vvv" localSheetId="22" hidden="1">#REF!</definedName>
    <definedName name="vvv" localSheetId="42" hidden="1">#REF!</definedName>
    <definedName name="vvv" hidden="1">#REF!</definedName>
    <definedName name="w" localSheetId="22">#REF!</definedName>
    <definedName name="w" localSheetId="26">#REF!</definedName>
    <definedName name="w" localSheetId="42">#REF!</definedName>
    <definedName name="w">#REF!</definedName>
    <definedName name="WD" localSheetId="22" hidden="1">#REF!</definedName>
    <definedName name="WD" localSheetId="26" hidden="1">#REF!</definedName>
    <definedName name="WD" localSheetId="42" hidden="1">#REF!</definedName>
    <definedName name="WD" hidden="1">#REF!</definedName>
    <definedName name="WeekDishes" localSheetId="22">#REF!</definedName>
    <definedName name="WeekDishes" localSheetId="42">#REF!</definedName>
    <definedName name="WeekDishes">#REF!</definedName>
    <definedName name="WeekIngredients" localSheetId="22">#REF!</definedName>
    <definedName name="WeekIngredients" localSheetId="42">#REF!</definedName>
    <definedName name="WeekIngredients">#REF!</definedName>
    <definedName name="WeekIngredients_temp" localSheetId="22">#REF!</definedName>
    <definedName name="WeekIngredients_temp" localSheetId="42">#REF!</definedName>
    <definedName name="WeekIngredients_temp">#REF!</definedName>
    <definedName name="WeekIngredients_tempCriteria" localSheetId="22">#REF!</definedName>
    <definedName name="WeekIngredients_tempCriteria" localSheetId="42">#REF!</definedName>
    <definedName name="WeekIngredients_tempCriteria">#REF!</definedName>
    <definedName name="WeekIngredientsCriteria" localSheetId="22">#REF!</definedName>
    <definedName name="WeekIngredientsCriteria" localSheetId="42">#REF!</definedName>
    <definedName name="WeekIngredientsCriteria">#REF!</definedName>
    <definedName name="WeekPlan" localSheetId="22">#REF!</definedName>
    <definedName name="WeekPlan" localSheetId="42">#REF!</definedName>
    <definedName name="WeekPlan">#REF!</definedName>
    <definedName name="WeekPlanCriteria" localSheetId="22">#REF!</definedName>
    <definedName name="WeekPlanCriteria" localSheetId="42">#REF!</definedName>
    <definedName name="WeekPlanCriteria">#REF!</definedName>
    <definedName name="wwvvv" localSheetId="22">#REF!</definedName>
    <definedName name="wwvvv" localSheetId="42">#REF!</definedName>
    <definedName name="wwvvv">#REF!</definedName>
    <definedName name="www" localSheetId="22">#REF!</definedName>
    <definedName name="www" localSheetId="42">#REF!</definedName>
    <definedName name="www">#REF!</definedName>
    <definedName name="wwwq" localSheetId="22">#REF!</definedName>
    <definedName name="wwwq" localSheetId="42">#REF!</definedName>
    <definedName name="wwwq">#REF!</definedName>
    <definedName name="x" localSheetId="22">#REF!</definedName>
    <definedName name="x" localSheetId="26">#REF!</definedName>
    <definedName name="x" localSheetId="42">#REF!</definedName>
    <definedName name="x">#REF!</definedName>
    <definedName name="xcz" localSheetId="22">#REF!</definedName>
    <definedName name="xcz" localSheetId="42">#REF!</definedName>
    <definedName name="xcz">#REF!</definedName>
    <definedName name="xdc" localSheetId="22">#REF!</definedName>
    <definedName name="xdc" localSheetId="42">#REF!</definedName>
    <definedName name="xdc">#REF!</definedName>
    <definedName name="xxx" localSheetId="22">#REF!</definedName>
    <definedName name="xxx" localSheetId="42">#REF!</definedName>
    <definedName name="xxx">#REF!</definedName>
    <definedName name="xxxa" localSheetId="22" hidden="1">#REF!</definedName>
    <definedName name="xxxa" localSheetId="42" hidden="1">#REF!</definedName>
    <definedName name="xxxa" hidden="1">#REF!</definedName>
    <definedName name="xzcx" localSheetId="22" hidden="1">#REF!</definedName>
    <definedName name="xzcx" localSheetId="42" hidden="1">#REF!</definedName>
    <definedName name="xzcx" hidden="1">#REF!</definedName>
    <definedName name="y" localSheetId="22">#REF!</definedName>
    <definedName name="y" localSheetId="26">#REF!</definedName>
    <definedName name="y" localSheetId="42">#REF!</definedName>
    <definedName name="y">#REF!</definedName>
    <definedName name="ya" localSheetId="22">#REF!</definedName>
    <definedName name="ya" localSheetId="26">#REF!</definedName>
    <definedName name="ya" localSheetId="42">#REF!</definedName>
    <definedName name="ya">#REF!</definedName>
    <definedName name="yaa" localSheetId="22">#REF!</definedName>
    <definedName name="yaa" localSheetId="26">#REF!</definedName>
    <definedName name="yaa" localSheetId="42">#REF!</definedName>
    <definedName name="yaa">#REF!</definedName>
    <definedName name="yaaa" localSheetId="22">#REF!</definedName>
    <definedName name="yaaa" localSheetId="26">#REF!</definedName>
    <definedName name="yaaa" localSheetId="42">#REF!</definedName>
    <definedName name="yaaa">#REF!</definedName>
    <definedName name="yi" localSheetId="22">#REF!</definedName>
    <definedName name="yi" localSheetId="26">#REF!</definedName>
    <definedName name="yi" localSheetId="42">#REF!</definedName>
    <definedName name="yi">#REF!</definedName>
    <definedName name="yyy" localSheetId="22">#REF!</definedName>
    <definedName name="yyy" localSheetId="42">#REF!</definedName>
    <definedName name="yyy">#REF!</definedName>
    <definedName name="Z" localSheetId="22">#REF!</definedName>
    <definedName name="Z" localSheetId="26">#REF!</definedName>
    <definedName name="Z" localSheetId="42">#REF!</definedName>
    <definedName name="Z">#REF!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 i="44" l="1"/>
  <c r="G30" i="44"/>
  <c r="F30" i="44"/>
  <c r="H11" i="44"/>
  <c r="G11" i="44"/>
  <c r="F11" i="44"/>
  <c r="E78" i="27"/>
  <c r="E77" i="27"/>
  <c r="E76" i="27"/>
  <c r="E74" i="27"/>
  <c r="E73" i="27"/>
  <c r="E72" i="27"/>
  <c r="E70" i="27"/>
  <c r="E69" i="27"/>
  <c r="E68" i="27"/>
  <c r="E66" i="27"/>
  <c r="E65" i="27"/>
  <c r="E64" i="27"/>
  <c r="E62" i="27"/>
  <c r="E61" i="27"/>
  <c r="E60" i="27"/>
  <c r="E58" i="27"/>
  <c r="E57" i="27"/>
  <c r="E56" i="27"/>
  <c r="E54" i="27"/>
  <c r="E53" i="27"/>
  <c r="E52" i="27"/>
  <c r="E50" i="27"/>
  <c r="E49" i="27"/>
  <c r="E48" i="27"/>
  <c r="E46" i="27"/>
  <c r="E45" i="27"/>
  <c r="E44" i="27"/>
  <c r="E42" i="27"/>
  <c r="E41" i="27"/>
  <c r="E40" i="27"/>
  <c r="E38" i="27"/>
  <c r="E37" i="27"/>
  <c r="E36" i="27"/>
  <c r="E34" i="27"/>
  <c r="E33" i="27"/>
  <c r="E32" i="27"/>
  <c r="E30" i="27"/>
  <c r="E29" i="27"/>
  <c r="E28" i="27"/>
  <c r="E26" i="27"/>
  <c r="E25" i="27"/>
  <c r="E24" i="27"/>
  <c r="E22" i="27"/>
  <c r="E21" i="27"/>
  <c r="E20" i="27"/>
  <c r="L18" i="27"/>
  <c r="K18" i="27"/>
  <c r="J18" i="27"/>
  <c r="I18" i="27"/>
  <c r="H18" i="27"/>
  <c r="G18" i="27"/>
  <c r="F18" i="27"/>
  <c r="E18" i="27"/>
  <c r="L17" i="27"/>
  <c r="K17" i="27"/>
  <c r="J17" i="27"/>
  <c r="I17" i="27"/>
  <c r="H17" i="27"/>
  <c r="G17" i="27"/>
  <c r="F17" i="27"/>
  <c r="E17" i="27"/>
  <c r="L16" i="27"/>
  <c r="K16" i="27"/>
  <c r="J16" i="27"/>
  <c r="I16" i="27"/>
  <c r="H16" i="27"/>
  <c r="G16" i="27"/>
  <c r="F16" i="27"/>
  <c r="E16" i="27"/>
  <c r="L48" i="9"/>
  <c r="K48" i="9"/>
  <c r="J48" i="9"/>
  <c r="H41" i="9"/>
  <c r="G41" i="9"/>
  <c r="F41" i="9"/>
  <c r="H39" i="9"/>
  <c r="G39" i="9"/>
  <c r="F39" i="9"/>
  <c r="H37" i="9"/>
  <c r="G37" i="9"/>
  <c r="F37" i="9"/>
  <c r="H29" i="9"/>
  <c r="G29" i="9"/>
  <c r="F29" i="9"/>
  <c r="H36" i="7"/>
  <c r="H33" i="7"/>
  <c r="G33" i="7"/>
  <c r="H30" i="7"/>
  <c r="G30" i="7"/>
  <c r="H27" i="7"/>
  <c r="G27" i="7"/>
</calcChain>
</file>

<file path=xl/sharedStrings.xml><?xml version="1.0" encoding="utf-8"?>
<sst xmlns="http://schemas.openxmlformats.org/spreadsheetml/2006/main" count="2478" uniqueCount="1135">
  <si>
    <t>Jadual 14.0</t>
  </si>
  <si>
    <t xml:space="preserve">  Table 14.0</t>
  </si>
  <si>
    <t>: Gross Domestic Product (GDP), Malaysia, 2022 - 2024</t>
  </si>
  <si>
    <r>
      <t xml:space="preserve">KELUARAN DALAM NEGERI KASAR
</t>
    </r>
    <r>
      <rPr>
        <i/>
        <sz val="10"/>
        <rFont val="Century Gothic"/>
        <family val="2"/>
      </rPr>
      <t>GROSS DOMESTIC PRODUCT</t>
    </r>
  </si>
  <si>
    <t>KDNK mengikut Jenis Aktiviti Ekonomi pada Harga Semasa (RM juta)</t>
  </si>
  <si>
    <t>GDP by Kind of Economic Activity at Current Prices (RM million)</t>
  </si>
  <si>
    <r>
      <t xml:space="preserve">KDNK pada harga pembeli
</t>
    </r>
    <r>
      <rPr>
        <i/>
        <sz val="10"/>
        <color theme="1"/>
        <rFont val="Century Gothic"/>
        <family val="2"/>
      </rPr>
      <t>GDP at purchasers' prices</t>
    </r>
  </si>
  <si>
    <r>
      <t xml:space="preserve">Pertanian/ </t>
    </r>
    <r>
      <rPr>
        <i/>
        <sz val="10"/>
        <color theme="1"/>
        <rFont val="Century Gothic"/>
        <family val="2"/>
      </rPr>
      <t>Agriculture</t>
    </r>
  </si>
  <si>
    <r>
      <t xml:space="preserve">Perlombongan dan pengkuarian/ </t>
    </r>
    <r>
      <rPr>
        <i/>
        <sz val="10"/>
        <color theme="1"/>
        <rFont val="Century Gothic"/>
        <family val="2"/>
      </rPr>
      <t>Mining and quarrying</t>
    </r>
  </si>
  <si>
    <r>
      <t xml:space="preserve">Pembuatan/ </t>
    </r>
    <r>
      <rPr>
        <i/>
        <sz val="10"/>
        <color theme="1"/>
        <rFont val="Century Gothic"/>
        <family val="2"/>
      </rPr>
      <t>Manufacturing</t>
    </r>
  </si>
  <si>
    <r>
      <t xml:space="preserve">Pembinaan/ </t>
    </r>
    <r>
      <rPr>
        <i/>
        <sz val="10"/>
        <color theme="1"/>
        <rFont val="Century Gothic"/>
        <family val="2"/>
      </rPr>
      <t>Construction</t>
    </r>
  </si>
  <si>
    <r>
      <t xml:space="preserve">Perkhidmatan/ </t>
    </r>
    <r>
      <rPr>
        <i/>
        <sz val="10"/>
        <color theme="1"/>
        <rFont val="Century Gothic"/>
        <family val="2"/>
      </rPr>
      <t>Services</t>
    </r>
  </si>
  <si>
    <r>
      <t xml:space="preserve">tambah Duti import/ </t>
    </r>
    <r>
      <rPr>
        <i/>
        <sz val="10"/>
        <color theme="1"/>
        <rFont val="Century Gothic"/>
        <family val="2"/>
      </rPr>
      <t>plus Import duties</t>
    </r>
  </si>
  <si>
    <t>KDNK mengikut Jenis Aktiviti Ekonomi pada Harga Semasa - Perubahan Peratusan Tahunan (%)</t>
  </si>
  <si>
    <t xml:space="preserve">GDP by Kind of Economic Activity at Current Prices - Annual Percentage Change </t>
  </si>
  <si>
    <t>KDNK mengikut Jenis Perbelanjaan pada Harga Semasa (RM juta)</t>
  </si>
  <si>
    <t>GDP by Type of Expenditure at Current Prices (RM million)</t>
  </si>
  <si>
    <r>
      <t xml:space="preserve">Perbelanjaan atas KDNK pada harga pembeli                                                                                                           </t>
    </r>
    <r>
      <rPr>
        <i/>
        <sz val="10"/>
        <rFont val="Century Gothic"/>
        <family val="2"/>
      </rPr>
      <t>Expenditure on GDP at purchasers' prices</t>
    </r>
  </si>
  <si>
    <r>
      <t xml:space="preserve">Perbelanjaan penggunaan akhir swasta
</t>
    </r>
    <r>
      <rPr>
        <i/>
        <sz val="10"/>
        <color theme="1"/>
        <rFont val="Century Gothic"/>
        <family val="2"/>
      </rPr>
      <t>Private final consumption expenditure</t>
    </r>
  </si>
  <si>
    <r>
      <t xml:space="preserve">Perbelanjaan penggunaan akhir kerajaan   
</t>
    </r>
    <r>
      <rPr>
        <i/>
        <sz val="10"/>
        <color theme="1"/>
        <rFont val="Century Gothic"/>
        <family val="2"/>
      </rPr>
      <t>Government final consumption expenditure</t>
    </r>
  </si>
  <si>
    <r>
      <t xml:space="preserve">Pembentukan modal tetap kasar    
</t>
    </r>
    <r>
      <rPr>
        <i/>
        <sz val="10"/>
        <color theme="1"/>
        <rFont val="Century Gothic"/>
        <family val="2"/>
      </rPr>
      <t>Gross fixed capital formation</t>
    </r>
  </si>
  <si>
    <r>
      <t xml:space="preserve">Perubahan inventori dan barangan berharga*  
</t>
    </r>
    <r>
      <rPr>
        <i/>
        <sz val="10"/>
        <color theme="1"/>
        <rFont val="Century Gothic"/>
        <family val="2"/>
      </rPr>
      <t>Changes in inventories and valuables</t>
    </r>
  </si>
  <si>
    <r>
      <t xml:space="preserve">Eksport barangan dan perkhidmatan  </t>
    </r>
    <r>
      <rPr>
        <sz val="10"/>
        <color theme="1"/>
        <rFont val="Century Gothic"/>
        <family val="2"/>
      </rPr>
      <t xml:space="preserve">
</t>
    </r>
    <r>
      <rPr>
        <i/>
        <sz val="10"/>
        <color theme="1"/>
        <rFont val="Century Gothic"/>
        <family val="2"/>
      </rPr>
      <t>Exports of goods and services</t>
    </r>
  </si>
  <si>
    <r>
      <t xml:space="preserve">tolak Import barangan dan perkhidmatan  </t>
    </r>
    <r>
      <rPr>
        <b/>
        <i/>
        <sz val="10"/>
        <color theme="1"/>
        <rFont val="Century Gothic"/>
        <family val="2"/>
      </rPr>
      <t xml:space="preserve"> 
</t>
    </r>
    <r>
      <rPr>
        <i/>
        <sz val="10"/>
        <color theme="1"/>
        <rFont val="Century Gothic"/>
        <family val="2"/>
      </rPr>
      <t>less Imports of goods and services</t>
    </r>
  </si>
  <si>
    <t>KDNK mengikut Jenis Perbelanjaan pada Harga Semasa - Perubahan Peratusan Tahunan (%)</t>
  </si>
  <si>
    <t xml:space="preserve">GDP by Type of Expenditure at Current Prices  - Annual Percentage Change </t>
  </si>
  <si>
    <r>
      <t xml:space="preserve">Perbelanjaan atas KDNK pada harga pembeli  
</t>
    </r>
    <r>
      <rPr>
        <i/>
        <sz val="10"/>
        <rFont val="Century Gothic"/>
        <family val="2"/>
      </rPr>
      <t>Expenditure on GDP at purchasers' prices</t>
    </r>
  </si>
  <si>
    <r>
      <t xml:space="preserve">Perbelanjaan penggunaan akhir kerajaan  
</t>
    </r>
    <r>
      <rPr>
        <i/>
        <sz val="10"/>
        <color theme="1"/>
        <rFont val="Century Gothic"/>
        <family val="2"/>
      </rPr>
      <t>Government final consumption expenditure</t>
    </r>
  </si>
  <si>
    <t>n.a</t>
  </si>
  <si>
    <r>
      <t xml:space="preserve">Eksport barangan dan perkhidmatan 
</t>
    </r>
    <r>
      <rPr>
        <i/>
        <sz val="10"/>
        <color theme="1"/>
        <rFont val="Century Gothic"/>
        <family val="2"/>
      </rPr>
      <t>Exports of goods and services</t>
    </r>
  </si>
  <si>
    <r>
      <t xml:space="preserve">tolak Import barangan dan perkhidmatan  
</t>
    </r>
    <r>
      <rPr>
        <i/>
        <sz val="10"/>
        <color theme="1"/>
        <rFont val="Century Gothic"/>
        <family val="2"/>
      </rPr>
      <t>less Imports of goods and services</t>
    </r>
  </si>
  <si>
    <t>Sumber: Jabatan Perangkaan Malaysia</t>
  </si>
  <si>
    <t>Source: Department of Statistics Malaysia</t>
  </si>
  <si>
    <r>
      <rPr>
        <b/>
        <sz val="9"/>
        <rFont val="Century Gothic"/>
        <family val="2"/>
      </rPr>
      <t>Nota</t>
    </r>
    <r>
      <rPr>
        <sz val="9"/>
        <rFont val="Century Gothic"/>
        <family val="2"/>
      </rPr>
      <t>/</t>
    </r>
    <r>
      <rPr>
        <i/>
        <sz val="9"/>
        <rFont val="Century Gothic"/>
        <family val="2"/>
      </rPr>
      <t xml:space="preserve"> Notes:</t>
    </r>
  </si>
  <si>
    <t>1.</t>
  </si>
  <si>
    <r>
      <t xml:space="preserve">* </t>
    </r>
    <r>
      <rPr>
        <b/>
        <sz val="9"/>
        <rFont val="Century Gothic"/>
        <family val="2"/>
      </rPr>
      <t>Termasuk perbezaan statistik</t>
    </r>
    <r>
      <rPr>
        <sz val="9"/>
        <rFont val="Century Gothic"/>
        <family val="2"/>
      </rPr>
      <t xml:space="preserve"> </t>
    </r>
  </si>
  <si>
    <t>* Includes statistical discrepancy</t>
  </si>
  <si>
    <t>2.</t>
  </si>
  <si>
    <t>Data 2023 adalah anggaran, manakala data 2024 adalah permulaan dan tertakluk kepada pindaan dalam keluaran berikutnya</t>
  </si>
  <si>
    <t>The 2023 data are estimates, while the 2024 data are preliminary and subject to revision in subsequent issues</t>
  </si>
  <si>
    <t>: Keluaran Dalam Negeri Kasar (KDNK), Malaysia, 2022 - 2024 (samb.)</t>
  </si>
  <si>
    <t>: Gross Domestic Product (GDP), Malaysia, 2022 - 2024 (cont'd)</t>
  </si>
  <si>
    <t>KDNK mengikut Jenis Aktiviti Ekonomi pada Harga Malar 2015 (RM juta)</t>
  </si>
  <si>
    <t>GDP by Kind of Economic Activity at Constant 2015 Prices (RM million)</t>
  </si>
  <si>
    <t>KDNK mengikut Jenis Aktiviti Ekonomi pada Harga Malar 2015 - Perubahan Peratusan Tahunan (%)</t>
  </si>
  <si>
    <t>GDP by Kind of Economic Activity at Constant 2015 Prices - Annual Percentage Change (%)</t>
  </si>
  <si>
    <t>KDNK mengikut Jenis Perbelanjaan pada Harga Malar 2015 (RM juta)</t>
  </si>
  <si>
    <t>GDP by Type of Expenditure at Constant 2015 Prices (RM million)</t>
  </si>
  <si>
    <r>
      <t xml:space="preserve">Perbelanjaan atas KDNK pada harga pembeli                                                                                                         </t>
    </r>
    <r>
      <rPr>
        <b/>
        <i/>
        <sz val="10"/>
        <rFont val="Century Gothic"/>
        <family val="2"/>
      </rPr>
      <t xml:space="preserve">  </t>
    </r>
    <r>
      <rPr>
        <i/>
        <sz val="10"/>
        <rFont val="Century Gothic"/>
        <family val="2"/>
      </rPr>
      <t>Expenditure on GDP at purchasers' prices</t>
    </r>
  </si>
  <si>
    <r>
      <t xml:space="preserve">Perbelanjaan penggunaan akhir kerajaan    
</t>
    </r>
    <r>
      <rPr>
        <i/>
        <sz val="10"/>
        <color theme="1"/>
        <rFont val="Century Gothic"/>
        <family val="2"/>
      </rPr>
      <t>Government final consumption expenditure</t>
    </r>
  </si>
  <si>
    <r>
      <t xml:space="preserve">Perubahan inventori dan barangan berharga*   
</t>
    </r>
    <r>
      <rPr>
        <i/>
        <sz val="10"/>
        <color theme="1"/>
        <rFont val="Century Gothic"/>
        <family val="2"/>
      </rPr>
      <t>Changes in inventories and valuables</t>
    </r>
  </si>
  <si>
    <r>
      <t xml:space="preserve">Eksport barangan dan perkhidmatan  </t>
    </r>
    <r>
      <rPr>
        <sz val="10"/>
        <color theme="1"/>
        <rFont val="Century Gothic"/>
        <family val="2"/>
      </rPr>
      <t xml:space="preserve"> 
</t>
    </r>
    <r>
      <rPr>
        <i/>
        <sz val="10"/>
        <color theme="1"/>
        <rFont val="Century Gothic"/>
        <family val="2"/>
      </rPr>
      <t>Exports of goods and services</t>
    </r>
  </si>
  <si>
    <t>KDNK mengikut Jenis Perbelanjaan pada Harga Malar 2015 - Perubahan Peratusan Tahunan (%)</t>
  </si>
  <si>
    <t xml:space="preserve">GDP by Type of Expenditure at Constant 2015 Prices - Annual Percentage Change (%) </t>
  </si>
  <si>
    <t>KDNK pada harga pembeli (RM juta)</t>
  </si>
  <si>
    <t>GDP at purchasers' prices (RM million)</t>
  </si>
  <si>
    <r>
      <t xml:space="preserve">Pampasan pekerja/ </t>
    </r>
    <r>
      <rPr>
        <i/>
        <sz val="10"/>
        <rFont val="Century Gothic"/>
        <family val="2"/>
      </rPr>
      <t>Compensation of employees</t>
    </r>
  </si>
  <si>
    <r>
      <t xml:space="preserve">Lebihan kendalian kasar/ </t>
    </r>
    <r>
      <rPr>
        <i/>
        <sz val="10"/>
        <rFont val="Century Gothic"/>
        <family val="2"/>
      </rPr>
      <t>Gross operating surplus</t>
    </r>
  </si>
  <si>
    <r>
      <t xml:space="preserve">Cukai tolak subsidi ke atas pengeluaran dan import/ </t>
    </r>
    <r>
      <rPr>
        <i/>
        <sz val="10"/>
        <rFont val="Century Gothic"/>
        <family val="2"/>
      </rPr>
      <t>Taxes less subsidies on production and imports</t>
    </r>
  </si>
  <si>
    <t>KDNK pada harga pembeli - Perubahan Peratusan Tahunan (%)</t>
  </si>
  <si>
    <t xml:space="preserve">GDP at purchasers' prices - Annual Percentage Change </t>
  </si>
  <si>
    <t>KDNK pada harga pembeli - Peratus Sumbangan kepada KDNK (%)</t>
  </si>
  <si>
    <t xml:space="preserve">GDP at purchasers' prices - Percentage Share to GDP </t>
  </si>
  <si>
    <t xml:space="preserve">Nilai Ditambah PMKS Pada Harga Malar 2015 (RM juta)
</t>
  </si>
  <si>
    <t>Value Added of MSMEs at Constant 2015 Prices (RM million)</t>
  </si>
  <si>
    <t xml:space="preserve">Eksport PMKS Barangan dan Perkhidmatan (RM Bilion)
</t>
  </si>
  <si>
    <t>MSMEs Exports of Goods and Services (RM billion)</t>
  </si>
  <si>
    <t xml:space="preserve">Guna Tenaga PMKS ('000)
</t>
  </si>
  <si>
    <t xml:space="preserve">MSMEs Employment </t>
  </si>
  <si>
    <t xml:space="preserve">Nilai Ditambah PMKS Pada Harga Malar 2015 - Perubahan Peratusan Tahunan (%)
</t>
  </si>
  <si>
    <t xml:space="preserve">Value Added of MSMEs at Constant 2015 Prices - Annual Percentage Change </t>
  </si>
  <si>
    <t xml:space="preserve">Eksport PMKS Barangan dan Perkhidmatan - Perubahan Peratusan Tahunan (%)
</t>
  </si>
  <si>
    <t>MSMEs Exports of Goods and Services - Annual Percentage Change</t>
  </si>
  <si>
    <t xml:space="preserve">Guna Tenaga PMKS - Perubahan Peratusan Tahunan (%)
</t>
  </si>
  <si>
    <t xml:space="preserve">MSMEs Employment - Annual Percentage Change </t>
  </si>
  <si>
    <t xml:space="preserve">Nilai Ditambah PMKS Pada Harga Malar 2015 - Peratus Sumbangan kepada KDNK (%)
</t>
  </si>
  <si>
    <t>Value Added of MSMEs at Constant 2015 Prices - Percentage Share to GDP</t>
  </si>
  <si>
    <t xml:space="preserve">Eksport PMKS Barangan dan Perkhidmatan - Peratus Sumbangan kepada Jumlah Eksport Barangan dan Perkhidmatan (%)
</t>
  </si>
  <si>
    <t xml:space="preserve">MSMEs Exports of Goods and Services - Percentage Share to Total of Exports Goods and Services </t>
  </si>
  <si>
    <t xml:space="preserve">Guna Tenaga PMKS - Peratus Sumbangan kepada Guna Tenaga Malaysia (%)
</t>
  </si>
  <si>
    <t xml:space="preserve">MSMEs Employment - Percentage Share to Malaysia's Employment </t>
  </si>
  <si>
    <t xml:space="preserve">Pembentukan Modal Tetap Kasar (PMTK) - RM juta
</t>
  </si>
  <si>
    <t>Gross Fixed Capital Formation (GFCF) - RM million</t>
  </si>
  <si>
    <t xml:space="preserve">Pembentukan Modal Tetap Kasar (PMTK) - Perubahan Peratusan Tahunan (%)
</t>
  </si>
  <si>
    <t>Gross Fixed Capital Formation (GFCF) - Annual Percentage Change</t>
  </si>
  <si>
    <r>
      <rPr>
        <b/>
        <sz val="9"/>
        <rFont val="Century Gothic"/>
        <family val="2"/>
      </rPr>
      <t>Nota/</t>
    </r>
    <r>
      <rPr>
        <i/>
        <sz val="9"/>
        <rFont val="Century Gothic"/>
        <family val="2"/>
      </rPr>
      <t xml:space="preserve"> Note:</t>
    </r>
  </si>
  <si>
    <t>Jadual 15.0</t>
  </si>
  <si>
    <t>: Statistik Kewangan Kerajaan, Pasaran Kewangan dan Modal, Malaysia, 2022 - 2024</t>
  </si>
  <si>
    <t xml:space="preserve">  Table 15.0</t>
  </si>
  <si>
    <r>
      <t>:</t>
    </r>
    <r>
      <rPr>
        <i/>
        <sz val="11"/>
        <rFont val="Century Gothic"/>
        <family val="2"/>
      </rPr>
      <t xml:space="preserve"> Statistics of Government Finance, Financial and Capital Market, Malaysia, 2022 - 2024</t>
    </r>
  </si>
  <si>
    <r>
      <t xml:space="preserve">KEWANGAN
</t>
    </r>
    <r>
      <rPr>
        <i/>
        <sz val="10"/>
        <rFont val="Century Gothic"/>
        <family val="2"/>
      </rPr>
      <t>FINANCE</t>
    </r>
  </si>
  <si>
    <t>Kewangan Kerajaan/ Government Finance (RM million)</t>
  </si>
  <si>
    <r>
      <rPr>
        <b/>
        <sz val="10"/>
        <rFont val="Century Gothic"/>
        <family val="2"/>
      </rPr>
      <t>Hasil</t>
    </r>
    <r>
      <rPr>
        <sz val="10"/>
        <rFont val="Century Gothic"/>
        <family val="2"/>
      </rPr>
      <t xml:space="preserve">/ </t>
    </r>
    <r>
      <rPr>
        <i/>
        <sz val="10"/>
        <rFont val="Century Gothic"/>
        <family val="2"/>
      </rPr>
      <t>Revenue</t>
    </r>
  </si>
  <si>
    <r>
      <rPr>
        <b/>
        <sz val="10"/>
        <rFont val="Century Gothic"/>
        <family val="2"/>
      </rPr>
      <t>Perbelanjaan mengurus</t>
    </r>
    <r>
      <rPr>
        <sz val="10"/>
        <rFont val="Century Gothic"/>
        <family val="2"/>
      </rPr>
      <t xml:space="preserve">/ </t>
    </r>
    <r>
      <rPr>
        <i/>
        <sz val="10"/>
        <rFont val="Century Gothic"/>
        <family val="2"/>
      </rPr>
      <t>Operating expenditure</t>
    </r>
  </si>
  <si>
    <r>
      <rPr>
        <b/>
        <sz val="10"/>
        <rFont val="Century Gothic"/>
        <family val="2"/>
      </rPr>
      <t>Baki semasa</t>
    </r>
    <r>
      <rPr>
        <sz val="10"/>
        <rFont val="Century Gothic"/>
        <family val="2"/>
      </rPr>
      <t xml:space="preserve">/ </t>
    </r>
    <r>
      <rPr>
        <i/>
        <sz val="10"/>
        <rFont val="Century Gothic"/>
        <family val="2"/>
      </rPr>
      <t>Current balance</t>
    </r>
  </si>
  <si>
    <r>
      <rPr>
        <b/>
        <sz val="10"/>
        <rFont val="Century Gothic"/>
        <family val="2"/>
      </rPr>
      <t xml:space="preserve">Perbelanjaan Pembangunan (Bersih) 
</t>
    </r>
    <r>
      <rPr>
        <i/>
        <sz val="10"/>
        <rFont val="Century Gothic"/>
        <family val="2"/>
      </rPr>
      <t>Development expenditure (Net)</t>
    </r>
  </si>
  <si>
    <r>
      <rPr>
        <b/>
        <sz val="10"/>
        <rFont val="Century Gothic"/>
        <family val="2"/>
      </rPr>
      <t>Kumpulan Wang COVID-19</t>
    </r>
    <r>
      <rPr>
        <sz val="10"/>
        <rFont val="Century Gothic"/>
        <family val="2"/>
      </rPr>
      <t xml:space="preserve">/ </t>
    </r>
    <r>
      <rPr>
        <i/>
        <sz val="10"/>
        <rFont val="Century Gothic"/>
        <family val="2"/>
      </rPr>
      <t>COVID-19 Fund</t>
    </r>
  </si>
  <si>
    <r>
      <rPr>
        <b/>
        <sz val="10"/>
        <rFont val="Century Gothic"/>
        <family val="2"/>
      </rPr>
      <t>Baki keseluruhan</t>
    </r>
    <r>
      <rPr>
        <sz val="10"/>
        <rFont val="Century Gothic"/>
        <family val="2"/>
      </rPr>
      <t xml:space="preserve">/ </t>
    </r>
    <r>
      <rPr>
        <i/>
        <sz val="10"/>
        <rFont val="Century Gothic"/>
        <family val="2"/>
      </rPr>
      <t>Overall balance</t>
    </r>
  </si>
  <si>
    <r>
      <rPr>
        <b/>
        <sz val="10"/>
        <rFont val="Century Gothic"/>
        <family val="2"/>
      </rPr>
      <t>% KDNK</t>
    </r>
    <r>
      <rPr>
        <sz val="10"/>
        <rFont val="Century Gothic"/>
        <family val="2"/>
      </rPr>
      <t xml:space="preserve">/ </t>
    </r>
    <r>
      <rPr>
        <i/>
        <sz val="10"/>
        <rFont val="Century Gothic"/>
        <family val="2"/>
      </rPr>
      <t>% of GDP</t>
    </r>
  </si>
  <si>
    <t>Hasil Terperinci Kerajaan Persekutuan (RM juta)
Details of Federal Government Revenue (RM million)</t>
  </si>
  <si>
    <r>
      <rPr>
        <b/>
        <sz val="10"/>
        <rFont val="Century Gothic"/>
        <family val="2"/>
      </rPr>
      <t>Jumlah cukai langsung</t>
    </r>
    <r>
      <rPr>
        <sz val="10"/>
        <rFont val="Century Gothic"/>
        <family val="2"/>
      </rPr>
      <t xml:space="preserve">/ </t>
    </r>
    <r>
      <rPr>
        <i/>
        <sz val="10"/>
        <rFont val="Century Gothic"/>
        <family val="2"/>
      </rPr>
      <t>Total direct tax</t>
    </r>
  </si>
  <si>
    <r>
      <rPr>
        <b/>
        <sz val="10"/>
        <rFont val="Century Gothic"/>
        <family val="2"/>
      </rPr>
      <t>Cukai Pendapatan Individu</t>
    </r>
    <r>
      <rPr>
        <sz val="10"/>
        <rFont val="Century Gothic"/>
        <family val="2"/>
      </rPr>
      <t xml:space="preserve">/ </t>
    </r>
    <r>
      <rPr>
        <i/>
        <sz val="10"/>
        <rFont val="Century Gothic"/>
        <family val="2"/>
      </rPr>
      <t>Individual Income Tax</t>
    </r>
  </si>
  <si>
    <r>
      <rPr>
        <b/>
        <sz val="10"/>
        <rFont val="Century Gothic"/>
        <family val="2"/>
      </rPr>
      <t>Cukai Pendapatan Syarikat</t>
    </r>
    <r>
      <rPr>
        <sz val="10"/>
        <rFont val="Century Gothic"/>
        <family val="2"/>
      </rPr>
      <t xml:space="preserve">/ </t>
    </r>
    <r>
      <rPr>
        <i/>
        <sz val="10"/>
        <rFont val="Century Gothic"/>
        <family val="2"/>
      </rPr>
      <t>Companies Income Tax</t>
    </r>
  </si>
  <si>
    <r>
      <rPr>
        <b/>
        <sz val="10"/>
        <rFont val="Century Gothic"/>
        <family val="2"/>
      </rPr>
      <t>Cukai Pendapatan Petroleum</t>
    </r>
    <r>
      <rPr>
        <sz val="10"/>
        <rFont val="Century Gothic"/>
        <family val="2"/>
      </rPr>
      <t xml:space="preserve">/ </t>
    </r>
    <r>
      <rPr>
        <i/>
        <sz val="10"/>
        <rFont val="Century Gothic"/>
        <family val="2"/>
      </rPr>
      <t>Petroleum Income Tax</t>
    </r>
  </si>
  <si>
    <r>
      <rPr>
        <b/>
        <sz val="10"/>
        <rFont val="Century Gothic"/>
        <family val="2"/>
      </rPr>
      <t>Cukai Pendapatan Koperasi</t>
    </r>
    <r>
      <rPr>
        <sz val="10"/>
        <rFont val="Century Gothic"/>
        <family val="2"/>
      </rPr>
      <t xml:space="preserve">/ </t>
    </r>
    <r>
      <rPr>
        <i/>
        <sz val="10"/>
        <rFont val="Century Gothic"/>
        <family val="2"/>
      </rPr>
      <t>Coorperatives Income Tax</t>
    </r>
  </si>
  <si>
    <r>
      <rPr>
        <b/>
        <sz val="10"/>
        <rFont val="Century Gothic"/>
        <family val="2"/>
      </rPr>
      <t>Cukai Pegangan</t>
    </r>
    <r>
      <rPr>
        <sz val="10"/>
        <rFont val="Century Gothic"/>
        <family val="2"/>
      </rPr>
      <t>/</t>
    </r>
    <r>
      <rPr>
        <i/>
        <sz val="10"/>
        <rFont val="Century Gothic"/>
        <family val="2"/>
      </rPr>
      <t xml:space="preserve"> Withholding Tax</t>
    </r>
  </si>
  <si>
    <r>
      <rPr>
        <b/>
        <sz val="10"/>
        <rFont val="Century Gothic"/>
        <family val="2"/>
      </rPr>
      <t>Lain-lain</t>
    </r>
    <r>
      <rPr>
        <sz val="10"/>
        <rFont val="Century Gothic"/>
        <family val="2"/>
      </rPr>
      <t xml:space="preserve">/ </t>
    </r>
    <r>
      <rPr>
        <i/>
        <sz val="10"/>
        <rFont val="Century Gothic"/>
        <family val="2"/>
      </rPr>
      <t>Others</t>
    </r>
  </si>
  <si>
    <r>
      <rPr>
        <b/>
        <sz val="10"/>
        <rFont val="Century Gothic"/>
        <family val="2"/>
      </rPr>
      <t>Jumlah cukai tidak langsung</t>
    </r>
    <r>
      <rPr>
        <sz val="10"/>
        <rFont val="Century Gothic"/>
        <family val="2"/>
      </rPr>
      <t xml:space="preserve"> / </t>
    </r>
    <r>
      <rPr>
        <i/>
        <sz val="10"/>
        <rFont val="Century Gothic"/>
        <family val="2"/>
      </rPr>
      <t>Total indirect tax</t>
    </r>
  </si>
  <si>
    <t xml:space="preserve">GST/ SST </t>
  </si>
  <si>
    <r>
      <rPr>
        <b/>
        <sz val="10"/>
        <rFont val="Century Gothic"/>
        <family val="2"/>
      </rPr>
      <t>Duti Eksais</t>
    </r>
    <r>
      <rPr>
        <sz val="10"/>
        <rFont val="Century Gothic"/>
        <family val="2"/>
      </rPr>
      <t xml:space="preserve">/ </t>
    </r>
    <r>
      <rPr>
        <i/>
        <sz val="10"/>
        <rFont val="Century Gothic"/>
        <family val="2"/>
      </rPr>
      <t>Excise Duties</t>
    </r>
  </si>
  <si>
    <r>
      <rPr>
        <b/>
        <sz val="10"/>
        <rFont val="Century Gothic"/>
        <family val="2"/>
      </rPr>
      <t>Duti Import</t>
    </r>
    <r>
      <rPr>
        <sz val="10"/>
        <rFont val="Century Gothic"/>
        <family val="2"/>
      </rPr>
      <t>/</t>
    </r>
    <r>
      <rPr>
        <i/>
        <sz val="10"/>
        <rFont val="Century Gothic"/>
        <family val="2"/>
      </rPr>
      <t xml:space="preserve"> Import Duty</t>
    </r>
  </si>
  <si>
    <r>
      <rPr>
        <b/>
        <sz val="10"/>
        <rFont val="Century Gothic"/>
        <family val="2"/>
      </rPr>
      <t>Duti Eksport</t>
    </r>
    <r>
      <rPr>
        <sz val="10"/>
        <rFont val="Century Gothic"/>
        <family val="2"/>
      </rPr>
      <t xml:space="preserve">/ </t>
    </r>
    <r>
      <rPr>
        <i/>
        <sz val="10"/>
        <rFont val="Century Gothic"/>
        <family val="2"/>
      </rPr>
      <t>Export Duty</t>
    </r>
  </si>
  <si>
    <r>
      <rPr>
        <b/>
        <sz val="10"/>
        <rFont val="Century Gothic"/>
        <family val="2"/>
      </rPr>
      <t xml:space="preserve">Hasil bukan cukai </t>
    </r>
    <r>
      <rPr>
        <sz val="10"/>
        <rFont val="Century Gothic"/>
        <family val="2"/>
      </rPr>
      <t xml:space="preserve">/ </t>
    </r>
    <r>
      <rPr>
        <i/>
        <sz val="10"/>
        <rFont val="Century Gothic"/>
        <family val="2"/>
      </rPr>
      <t>Non-tax revenue</t>
    </r>
  </si>
  <si>
    <r>
      <rPr>
        <b/>
        <sz val="10"/>
        <rFont val="Century Gothic"/>
        <family val="2"/>
      </rPr>
      <t>Lesen dan permit</t>
    </r>
    <r>
      <rPr>
        <sz val="10"/>
        <rFont val="Century Gothic"/>
        <family val="2"/>
      </rPr>
      <t>/</t>
    </r>
    <r>
      <rPr>
        <i/>
        <sz val="10"/>
        <rFont val="Century Gothic"/>
        <family val="2"/>
      </rPr>
      <t xml:space="preserve"> Licenses and permits</t>
    </r>
  </si>
  <si>
    <r>
      <rPr>
        <b/>
        <sz val="10"/>
        <rFont val="Century Gothic"/>
        <family val="2"/>
      </rPr>
      <t>Pendapatan pelaburan</t>
    </r>
    <r>
      <rPr>
        <sz val="10"/>
        <rFont val="Century Gothic"/>
        <family val="2"/>
      </rPr>
      <t xml:space="preserve">/ </t>
    </r>
    <r>
      <rPr>
        <i/>
        <sz val="10"/>
        <rFont val="Century Gothic"/>
        <family val="2"/>
      </rPr>
      <t>Investment income</t>
    </r>
  </si>
  <si>
    <t xml:space="preserve">Agregat Kewangan (RM juta)
Monetary Aggregates (RM million) </t>
  </si>
  <si>
    <t>M1</t>
  </si>
  <si>
    <t>M2</t>
  </si>
  <si>
    <t>M3</t>
  </si>
  <si>
    <r>
      <rPr>
        <b/>
        <sz val="10"/>
        <rFont val="Century Gothic"/>
        <family val="2"/>
      </rPr>
      <t>Kadar Dasar Semalaman pada akhir tempoh (%)</t>
    </r>
    <r>
      <rPr>
        <sz val="10"/>
        <rFont val="Century Gothic"/>
        <family val="2"/>
      </rPr>
      <t xml:space="preserve">
</t>
    </r>
    <r>
      <rPr>
        <i/>
        <sz val="10"/>
        <rFont val="Century Gothic"/>
        <family val="2"/>
      </rPr>
      <t>Overnight Policy Rate as at period end</t>
    </r>
    <r>
      <rPr>
        <sz val="10"/>
        <rFont val="Century Gothic"/>
        <family val="2"/>
      </rPr>
      <t xml:space="preserve"> </t>
    </r>
  </si>
  <si>
    <r>
      <rPr>
        <b/>
        <sz val="10"/>
        <rFont val="Century Gothic"/>
        <family val="2"/>
      </rPr>
      <t>Kadar Faedah Purata Institusi Perbankan (%)</t>
    </r>
    <r>
      <rPr>
        <sz val="10"/>
        <rFont val="Century Gothic"/>
        <family val="2"/>
      </rPr>
      <t xml:space="preserve">
</t>
    </r>
    <r>
      <rPr>
        <i/>
        <sz val="10"/>
        <rFont val="Century Gothic"/>
        <family val="2"/>
      </rPr>
      <t xml:space="preserve">Interest Rates of Banking Institutions </t>
    </r>
  </si>
  <si>
    <r>
      <rPr>
        <b/>
        <sz val="10"/>
        <rFont val="Century Gothic"/>
        <family val="2"/>
      </rPr>
      <t>Kadar Faedah Deposit Tabungan Bank Perdagangan</t>
    </r>
    <r>
      <rPr>
        <sz val="10"/>
        <rFont val="Century Gothic"/>
        <family val="2"/>
      </rPr>
      <t xml:space="preserve">
</t>
    </r>
    <r>
      <rPr>
        <i/>
        <sz val="10"/>
        <rFont val="Century Gothic"/>
        <family val="2"/>
      </rPr>
      <t>Savings Deposit Rate - Commercial Bank</t>
    </r>
  </si>
  <si>
    <r>
      <rPr>
        <b/>
        <sz val="10"/>
        <rFont val="Century Gothic"/>
        <family val="2"/>
      </rPr>
      <t>Deposit Tetap 12 bulan</t>
    </r>
    <r>
      <rPr>
        <sz val="10"/>
        <rFont val="Century Gothic"/>
        <family val="2"/>
      </rPr>
      <t xml:space="preserve">
</t>
    </r>
    <r>
      <rPr>
        <i/>
        <sz val="10"/>
        <rFont val="Century Gothic"/>
        <family val="2"/>
      </rPr>
      <t>Fixed Deposit Rate 12 months</t>
    </r>
  </si>
  <si>
    <r>
      <rPr>
        <b/>
        <sz val="10"/>
        <rFont val="Century Gothic"/>
        <family val="2"/>
      </rPr>
      <t>Kadar Berian Pinjaman Purata Bank Perdagangan</t>
    </r>
    <r>
      <rPr>
        <sz val="10"/>
        <rFont val="Century Gothic"/>
        <family val="2"/>
      </rPr>
      <t xml:space="preserve">
</t>
    </r>
    <r>
      <rPr>
        <i/>
        <sz val="10"/>
        <rFont val="Century Gothic"/>
        <family val="2"/>
      </rPr>
      <t>Average Lending Rate - Commercial Bank</t>
    </r>
  </si>
  <si>
    <r>
      <t xml:space="preserve">Indikator Utama Bursa Malaysia/ </t>
    </r>
    <r>
      <rPr>
        <i/>
        <sz val="10"/>
        <rFont val="Century Gothic"/>
        <family val="2"/>
      </rPr>
      <t>Bursa Malaysia's Key Indicators</t>
    </r>
  </si>
  <si>
    <t>FTSE Bursa Malaysia KLCI, FBM KLCI</t>
  </si>
  <si>
    <t>Nilai Pasaran / Market Capitalisation (RM billion)</t>
  </si>
  <si>
    <t>Nilai Dagangan/ Value Traded (RM billion)</t>
  </si>
  <si>
    <r>
      <rPr>
        <b/>
        <sz val="10"/>
        <rFont val="Century Gothic"/>
        <family val="2"/>
      </rPr>
      <t>Volum Dagangan</t>
    </r>
    <r>
      <rPr>
        <sz val="10"/>
        <rFont val="Century Gothic"/>
        <family val="2"/>
      </rPr>
      <t xml:space="preserve">/ </t>
    </r>
    <r>
      <rPr>
        <i/>
        <sz val="10"/>
        <rFont val="Century Gothic"/>
        <family val="2"/>
      </rPr>
      <t>Volume Traded (Billion Unit)</t>
    </r>
  </si>
  <si>
    <t>Sumber: Kementerian Kewangan Malaysia</t>
  </si>
  <si>
    <t>Bank Negara Malaysia</t>
  </si>
  <si>
    <t>Bursa Malaysia Securities Berhad</t>
  </si>
  <si>
    <t>Source: Ministry of Finance</t>
  </si>
  <si>
    <t>Central Bank of Malaysia</t>
  </si>
  <si>
    <r>
      <rPr>
        <b/>
        <sz val="9"/>
        <rFont val="Century Gothic"/>
        <family val="2"/>
      </rPr>
      <t>Nota</t>
    </r>
    <r>
      <rPr>
        <sz val="9"/>
        <rFont val="Century Gothic"/>
        <family val="2"/>
      </rPr>
      <t xml:space="preserve">/ </t>
    </r>
    <r>
      <rPr>
        <i/>
        <sz val="9"/>
        <rFont val="Century Gothic"/>
        <family val="2"/>
      </rPr>
      <t>Note:</t>
    </r>
  </si>
  <si>
    <t>Data bagi Kewangan Kerajaan 2024 adalah anggaran disemak oleh Kementerian Kewangan Malaysia</t>
  </si>
  <si>
    <t>Data for Government Finance 2024 are revised estimate by Ministry of Finance, Malaysia</t>
  </si>
  <si>
    <t>Jadual 16.0</t>
  </si>
  <si>
    <t>: Statistik utama Akaun Satelit Pelancongan (ASP), Malaysia, 2022 - 2024</t>
  </si>
  <si>
    <t xml:space="preserve">  Table 16.0</t>
  </si>
  <si>
    <t>: Principal statistics Tourism Satellite Account (TSA), Malaysia, 2022 - 2024</t>
  </si>
  <si>
    <r>
      <t xml:space="preserve">AKAUN SATELIT PELANCONGAN (ASP) 
</t>
    </r>
    <r>
      <rPr>
        <i/>
        <sz val="10"/>
        <rFont val="Century Gothic"/>
        <family val="2"/>
      </rPr>
      <t>TOURISM SATELLITE ACCOUNT (TSA)</t>
    </r>
  </si>
  <si>
    <t>Akaun Satelit Pelancongan (Nilai)</t>
  </si>
  <si>
    <t>Tourism Satellite Account (Value)</t>
  </si>
  <si>
    <t>Nilai Ditambah Kasar Industri Pelancongan (NDKIP) (RM juta)</t>
  </si>
  <si>
    <t>Gross Value Added of Tourism Industries (GVATI) (RM million)</t>
  </si>
  <si>
    <t>Keluaran Dalam Negeri Kasar Pelancongan Langsung (KDNKPL) (RM juta)</t>
  </si>
  <si>
    <t>Tourism Direct Gross Domestic Product (TDGDP) (RM million)</t>
  </si>
  <si>
    <t>Perbelanjaan pelancongan inbound bagi pelawat (RM juta)</t>
  </si>
  <si>
    <t>Inbound tourism expenditure of visitors (RM million)</t>
  </si>
  <si>
    <t>Perbelanjaan pelancongan domestik bagi pelawat (RM juta)</t>
  </si>
  <si>
    <t>Domestic tourism expenditure of visitors (RM million)</t>
  </si>
  <si>
    <t>Perbelanjaan pelancongan outbound bagi pelawat (RM juta)</t>
  </si>
  <si>
    <t>Outbound tourism expenditure of visitors (RM million)</t>
  </si>
  <si>
    <t>Guna tenaga dalam industri pelancongan ('000)</t>
  </si>
  <si>
    <t xml:space="preserve">Employment in the tourism industry </t>
  </si>
  <si>
    <t>Akaun Satelit Pelancongan - Perubahan Peratusan Tahunan (%)</t>
  </si>
  <si>
    <t xml:space="preserve">Tourism Satellite Account - Annual Percentage Change </t>
  </si>
  <si>
    <t>Nilai Ditambah Kasar Industri Pelancongan (NDKIP)</t>
  </si>
  <si>
    <t>Gross Value Added of Tourism Industries (GVATI)</t>
  </si>
  <si>
    <t>Keluaran Dalam Negeri Kasar Pelancongan Langsung (KDNKPL)</t>
  </si>
  <si>
    <t>Tourism Direct Gross Domestic Product (TDGDP)</t>
  </si>
  <si>
    <t>Perbelanjaan pelancongan inbound bagi pelawat</t>
  </si>
  <si>
    <t>Inbound tourism expenditure of visitors</t>
  </si>
  <si>
    <t>Perbelanjaan pelancongan domestik bagi pelawat</t>
  </si>
  <si>
    <t>Domestic tourism expenditure of visitors</t>
  </si>
  <si>
    <t xml:space="preserve">Perbelanjaan pelancongan outbound bagi pelawat </t>
  </si>
  <si>
    <t>Outbound tourism expenditure of visitors</t>
  </si>
  <si>
    <t>Guna tenaga dalam industri pelancongan</t>
  </si>
  <si>
    <t>Employment in the tourism industry</t>
  </si>
  <si>
    <t>Akaun Satelit Pelancongan - Peratus Sumbangan kepada KDNK (%)</t>
  </si>
  <si>
    <t>Tourism Satellite Account - Percentage Share to GDP</t>
  </si>
  <si>
    <r>
      <rPr>
        <b/>
        <sz val="9"/>
        <rFont val="Century Gothic"/>
        <family val="2"/>
      </rPr>
      <t>Nota</t>
    </r>
    <r>
      <rPr>
        <sz val="9"/>
        <rFont val="Century Gothic"/>
        <family val="2"/>
      </rPr>
      <t>/</t>
    </r>
    <r>
      <rPr>
        <i/>
        <sz val="9"/>
        <rFont val="Century Gothic"/>
        <family val="2"/>
      </rPr>
      <t xml:space="preserve"> Note:</t>
    </r>
  </si>
  <si>
    <t>Data 2023 adalah anggaran manakala data 2024 adalah permulaan serta tertakluk kepada pindaan dalam keluaran berikutnya</t>
  </si>
  <si>
    <t>The 2023 data are estimates while 2024 data are preliminary and subject to revision in later issues</t>
  </si>
  <si>
    <t>Jadual 17.0</t>
  </si>
  <si>
    <t>: Statistik utama Akaun Satelit Teknologi Maklumat &amp; Komunikasi (ASTMK), Malaysia, 2022 - 2024</t>
  </si>
  <si>
    <t xml:space="preserve">  Table 17.0</t>
  </si>
  <si>
    <t>: Principal statistics of Information and Communication Technology Satellite Account (ICTSA), Malaysia, 2022 - 2024</t>
  </si>
  <si>
    <r>
      <t xml:space="preserve">AKAUN SATELIT TEKNOLOGI MAKLUMAT &amp; KOMUNIKASI (ASTMK) 
</t>
    </r>
    <r>
      <rPr>
        <i/>
        <sz val="10"/>
        <rFont val="Century Gothic"/>
        <family val="2"/>
      </rPr>
      <t>INFORMATION AND COMMUNICATION TECHNOLOGY SATELLITE ACCOUNT (ICTSA)</t>
    </r>
  </si>
  <si>
    <t>Akaun Satelit Teknologi Maklumat &amp; Komunikasi (Nilai)</t>
  </si>
  <si>
    <t>Information and Communication Technology Satellite Account (Value)</t>
  </si>
  <si>
    <t>Nilai Ditambah Kasar Industri TMK (NDKTMK) (RM juta)</t>
  </si>
  <si>
    <t>Gross Value Added of ICT Industry (GVAICT) (RM million)</t>
  </si>
  <si>
    <t>Eksport Produk TMK (RM juta)</t>
  </si>
  <si>
    <t>Exports of ICT Products (RM million)</t>
  </si>
  <si>
    <t>Import Produk TMK (RM juta)</t>
  </si>
  <si>
    <t>Imports of ICT Products (RM million)</t>
  </si>
  <si>
    <t>Nilai Ditambah Kasar e-dagang (RM juta)</t>
  </si>
  <si>
    <t>Gross Value Added of e-commerce (RM million)</t>
  </si>
  <si>
    <t>Sumbangan TMK kepada ekonomi (NDKTMK, e-dagang) (RM juta)</t>
  </si>
  <si>
    <t>ICT Contribution to economy (GVAICT, e-commerce) (RM million)</t>
  </si>
  <si>
    <t xml:space="preserve">Guna Tenaga Dalam Industri TMK ('000) </t>
  </si>
  <si>
    <t xml:space="preserve">Employment in the ICT Industry </t>
  </si>
  <si>
    <t>Akaun Satelit Teknologi Maklumat &amp; Komunikasi - Perubahan Peratusan Tahunan (%)</t>
  </si>
  <si>
    <t xml:space="preserve">Information and Communication Technology Satellite Account - Annual Percentage Change </t>
  </si>
  <si>
    <t>Nilai Ditambah Kasar Industri TMK (NDKTMK)</t>
  </si>
  <si>
    <t>Gross Value Added of ICT Industry (GVATI)</t>
  </si>
  <si>
    <t xml:space="preserve">Eksport Produk TMK </t>
  </si>
  <si>
    <t>Exports of ICT Products</t>
  </si>
  <si>
    <t xml:space="preserve">Import Produk TMK </t>
  </si>
  <si>
    <t>Imports of ICT Products</t>
  </si>
  <si>
    <t>Nilai Ditambah Kasar e-dagang</t>
  </si>
  <si>
    <t>Gross Value Added of e-commerce</t>
  </si>
  <si>
    <t>Sumbangan TMK kepada ekonomi (NDKTMK, e-dagang)</t>
  </si>
  <si>
    <t>ICT Contribution to economy (GVAICT, e-commerce)</t>
  </si>
  <si>
    <t>Guna Tenaga Dalam Industri TMK</t>
  </si>
  <si>
    <t xml:space="preserve"> Employment in the ICT Industry</t>
  </si>
  <si>
    <t>Akaun Satelit Teknologi Maklumat &amp; Komunikasi - Peratus Sumbangan kepada KDNK (%)</t>
  </si>
  <si>
    <t>Information and Communication Technology Satellite Account - Percentage Share to GDP</t>
  </si>
  <si>
    <r>
      <t xml:space="preserve">Nota/ </t>
    </r>
    <r>
      <rPr>
        <i/>
        <sz val="9"/>
        <rFont val="Century Gothic"/>
        <family val="2"/>
      </rPr>
      <t>Note</t>
    </r>
    <r>
      <rPr>
        <sz val="9"/>
        <rFont val="Century Gothic"/>
        <family val="2"/>
      </rPr>
      <t>:</t>
    </r>
  </si>
  <si>
    <t>Jadual 18.0</t>
  </si>
  <si>
    <t>: Statistik utama Stok Modal, Malaysia, 2022 - 2024</t>
  </si>
  <si>
    <t xml:space="preserve">  Table 18.0</t>
  </si>
  <si>
    <t>: Principal statistics of Capital Stock, Malaysia, 2022 - 2024</t>
  </si>
  <si>
    <r>
      <t xml:space="preserve">STOK MODAL 
</t>
    </r>
    <r>
      <rPr>
        <i/>
        <sz val="10"/>
        <rFont val="Century Gothic"/>
        <family val="2"/>
      </rPr>
      <t>CAPITAL STOCK</t>
    </r>
  </si>
  <si>
    <t>Stok Modal pada harga malar 2015 (RM juta)</t>
  </si>
  <si>
    <t>Capital Stock at constant 2015 prices (RM million)</t>
  </si>
  <si>
    <t>Stok Modal Kasar (SMK)</t>
  </si>
  <si>
    <t>Gross Capital Stock (GKS)</t>
  </si>
  <si>
    <t>Stok Modal Bersih (SMB)</t>
  </si>
  <si>
    <t>Net Capital Stock (NKS)</t>
  </si>
  <si>
    <t>Stok Modal Produktif (SMP)</t>
  </si>
  <si>
    <t>Productive Capital Stock (PKS)</t>
  </si>
  <si>
    <t>Penggunaan Modal Tetap (PMT)</t>
  </si>
  <si>
    <t>Consumption of Fixed Capital (COFC)</t>
  </si>
  <si>
    <t>Stok Modal pada harga malar 2015 - Perubahan Peratusan Tahunan (%)</t>
  </si>
  <si>
    <t xml:space="preserve">Capital Stock at constant 2015 prices - Annual Percentage Change </t>
  </si>
  <si>
    <t>Data 2023 adalah anggaran, manakala data 2024 adalah permulaan; serta tertakluk kepada pindaan dalam keluaran berikutnya</t>
  </si>
  <si>
    <t>The 2023 data are estimates, while 2024 data are preliminary; and subject to revision in later issues</t>
  </si>
  <si>
    <t>Jadual 19.0</t>
  </si>
  <si>
    <t>: Statistik imbangan pembayaran, Malaysia, 2022 - 2024</t>
  </si>
  <si>
    <t xml:space="preserve">  Table 19.0</t>
  </si>
  <si>
    <t>: Balance of payments statistics, Malaysia, 2022 - 2024</t>
  </si>
  <si>
    <r>
      <t xml:space="preserve">IMBANGAN PEMBAYARAN
</t>
    </r>
    <r>
      <rPr>
        <i/>
        <sz val="10"/>
        <rFont val="Century Gothic"/>
        <family val="2"/>
      </rPr>
      <t>BALANCE OF PAYMENTS</t>
    </r>
  </si>
  <si>
    <r>
      <t>Imbangan Pembayaran, Bersih  (RM juta)</t>
    </r>
    <r>
      <rPr>
        <b/>
        <vertAlign val="superscript"/>
        <sz val="10"/>
        <rFont val="Century Gothic"/>
        <family val="2"/>
      </rPr>
      <t>1</t>
    </r>
  </si>
  <si>
    <t>Balance of Payments, Net  (RM million)</t>
  </si>
  <si>
    <r>
      <rPr>
        <b/>
        <sz val="10"/>
        <rFont val="Century Gothic"/>
        <family val="2"/>
      </rPr>
      <t xml:space="preserve">Akaun Semasa/ </t>
    </r>
    <r>
      <rPr>
        <i/>
        <sz val="10"/>
        <rFont val="Century Gothic"/>
        <family val="2"/>
      </rPr>
      <t>Current Account</t>
    </r>
  </si>
  <si>
    <r>
      <rPr>
        <b/>
        <sz val="10"/>
        <rFont val="Century Gothic"/>
        <family val="2"/>
      </rPr>
      <t>Barangan</t>
    </r>
    <r>
      <rPr>
        <sz val="10"/>
        <rFont val="Century Gothic"/>
        <family val="2"/>
      </rPr>
      <t xml:space="preserve">/ </t>
    </r>
    <r>
      <rPr>
        <i/>
        <sz val="10"/>
        <rFont val="Century Gothic"/>
        <family val="2"/>
      </rPr>
      <t>Goods</t>
    </r>
  </si>
  <si>
    <r>
      <rPr>
        <b/>
        <sz val="10"/>
        <rFont val="Century Gothic"/>
        <family val="2"/>
      </rPr>
      <t>Perkhidmatan</t>
    </r>
    <r>
      <rPr>
        <sz val="10"/>
        <rFont val="Century Gothic"/>
        <family val="2"/>
      </rPr>
      <t xml:space="preserve">/ </t>
    </r>
    <r>
      <rPr>
        <i/>
        <sz val="10"/>
        <rFont val="Century Gothic"/>
        <family val="2"/>
      </rPr>
      <t>Services</t>
    </r>
  </si>
  <si>
    <r>
      <rPr>
        <b/>
        <sz val="10"/>
        <rFont val="Century Gothic"/>
        <family val="2"/>
      </rPr>
      <t>Pendapatan primer</t>
    </r>
    <r>
      <rPr>
        <sz val="10"/>
        <rFont val="Century Gothic"/>
        <family val="2"/>
      </rPr>
      <t xml:space="preserve">/ </t>
    </r>
    <r>
      <rPr>
        <i/>
        <sz val="10"/>
        <rFont val="Century Gothic"/>
        <family val="2"/>
      </rPr>
      <t>Primary income</t>
    </r>
  </si>
  <si>
    <r>
      <rPr>
        <b/>
        <sz val="10"/>
        <rFont val="Century Gothic"/>
        <family val="2"/>
      </rPr>
      <t>Pendapatan sekunder</t>
    </r>
    <r>
      <rPr>
        <sz val="10"/>
        <rFont val="Century Gothic"/>
        <family val="2"/>
      </rPr>
      <t xml:space="preserve">/ </t>
    </r>
    <r>
      <rPr>
        <i/>
        <sz val="10"/>
        <rFont val="Century Gothic"/>
        <family val="2"/>
      </rPr>
      <t>Secondary income</t>
    </r>
  </si>
  <si>
    <r>
      <t xml:space="preserve">Akaun Modal/ </t>
    </r>
    <r>
      <rPr>
        <i/>
        <sz val="10"/>
        <rFont val="Century Gothic"/>
        <family val="2"/>
      </rPr>
      <t>Capital Account</t>
    </r>
  </si>
  <si>
    <r>
      <t xml:space="preserve">Akaun Kewangan/ </t>
    </r>
    <r>
      <rPr>
        <i/>
        <sz val="10"/>
        <rFont val="Century Gothic"/>
        <family val="2"/>
      </rPr>
      <t>Financial Account</t>
    </r>
  </si>
  <si>
    <r>
      <t xml:space="preserve">Pelaburan Langsung/ </t>
    </r>
    <r>
      <rPr>
        <i/>
        <sz val="10"/>
        <rFont val="Century Gothic"/>
        <family val="2"/>
      </rPr>
      <t>Direct Investment</t>
    </r>
  </si>
  <si>
    <r>
      <rPr>
        <b/>
        <sz val="10"/>
        <rFont val="Century Gothic"/>
        <family val="2"/>
      </rPr>
      <t>Pelaburan Langsung di Luar Negeri</t>
    </r>
    <r>
      <rPr>
        <sz val="10"/>
        <rFont val="Century Gothic"/>
        <family val="2"/>
      </rPr>
      <t xml:space="preserve">/ </t>
    </r>
    <r>
      <rPr>
        <i/>
        <sz val="10"/>
        <rFont val="Century Gothic"/>
        <family val="2"/>
      </rPr>
      <t>Direct Investment Abroad</t>
    </r>
  </si>
  <si>
    <r>
      <rPr>
        <b/>
        <sz val="10"/>
        <rFont val="Century Gothic"/>
        <family val="2"/>
      </rPr>
      <t>Pelaburan Langsung Asing di Malaysia</t>
    </r>
    <r>
      <rPr>
        <sz val="10"/>
        <rFont val="Century Gothic"/>
        <family val="2"/>
      </rPr>
      <t xml:space="preserve">/ </t>
    </r>
    <r>
      <rPr>
        <i/>
        <sz val="10"/>
        <rFont val="Century Gothic"/>
        <family val="2"/>
      </rPr>
      <t>Foreign Direct Investment</t>
    </r>
  </si>
  <si>
    <r>
      <t xml:space="preserve">Kedudukan Pelaburan Antarabangsa
</t>
    </r>
    <r>
      <rPr>
        <i/>
        <sz val="10"/>
        <rFont val="Century Gothic"/>
        <family val="2"/>
      </rPr>
      <t>International Investment Position</t>
    </r>
  </si>
  <si>
    <r>
      <t>Pelaburan Swasta Diluluskan</t>
    </r>
    <r>
      <rPr>
        <b/>
        <vertAlign val="superscript"/>
        <sz val="10"/>
        <rFont val="Century Gothic"/>
        <family val="2"/>
      </rPr>
      <t>2</t>
    </r>
    <r>
      <rPr>
        <b/>
        <sz val="10"/>
        <rFont val="Century Gothic"/>
        <family val="2"/>
      </rPr>
      <t xml:space="preserve">
</t>
    </r>
    <r>
      <rPr>
        <i/>
        <sz val="10"/>
        <rFont val="Century Gothic"/>
        <family val="2"/>
      </rPr>
      <t>Approved Private Investment (MIDA)</t>
    </r>
    <r>
      <rPr>
        <b/>
        <i/>
        <vertAlign val="superscript"/>
        <sz val="10"/>
        <rFont val="Century Gothic"/>
        <family val="2"/>
      </rPr>
      <t>2</t>
    </r>
  </si>
  <si>
    <t>Johor</t>
  </si>
  <si>
    <t>Kedah</t>
  </si>
  <si>
    <t>Kelantan</t>
  </si>
  <si>
    <t>Melaka</t>
  </si>
  <si>
    <t>Negeri Sembilan</t>
  </si>
  <si>
    <t>Pahang</t>
  </si>
  <si>
    <t>Pulau Pinang</t>
  </si>
  <si>
    <t>Perak</t>
  </si>
  <si>
    <t>Perlis</t>
  </si>
  <si>
    <t>Selangor</t>
  </si>
  <si>
    <t>Terengganu</t>
  </si>
  <si>
    <t>Sabah</t>
  </si>
  <si>
    <t>Sarawak</t>
  </si>
  <si>
    <t>W.P. Kuala Lumpur</t>
  </si>
  <si>
    <t>W.P. Labuan</t>
  </si>
  <si>
    <t>W.P. Putrajaya</t>
  </si>
  <si>
    <t>Lembaga Pembangunan Pelaburan Malaysia</t>
  </si>
  <si>
    <t>Malaysian Investment Development Authority</t>
  </si>
  <si>
    <r>
      <rPr>
        <b/>
        <sz val="9"/>
        <rFont val="Century Gothic"/>
        <family val="2"/>
      </rPr>
      <t>Nota</t>
    </r>
    <r>
      <rPr>
        <sz val="9"/>
        <rFont val="Century Gothic"/>
        <family val="2"/>
      </rPr>
      <t xml:space="preserve">/ </t>
    </r>
    <r>
      <rPr>
        <i/>
        <sz val="9"/>
        <rFont val="Century Gothic"/>
        <family val="2"/>
      </rPr>
      <t>Notes</t>
    </r>
    <r>
      <rPr>
        <sz val="9"/>
        <rFont val="Century Gothic"/>
        <family val="2"/>
      </rPr>
      <t>:</t>
    </r>
  </si>
  <si>
    <r>
      <rPr>
        <b/>
        <vertAlign val="superscript"/>
        <sz val="9"/>
        <rFont val="Century Gothic"/>
        <family val="2"/>
      </rPr>
      <t>1</t>
    </r>
    <r>
      <rPr>
        <b/>
        <sz val="9"/>
        <rFont val="Century Gothic"/>
        <family val="2"/>
      </rPr>
      <t xml:space="preserve"> Data 2023 adalah anggaran, manakala data 2024 adalah permulaan dan tertakluk kepada pindaan dalam keluaran berikutnya</t>
    </r>
  </si>
  <si>
    <r>
      <rPr>
        <i/>
        <vertAlign val="superscript"/>
        <sz val="9"/>
        <rFont val="Century Gothic"/>
        <family val="2"/>
      </rPr>
      <t xml:space="preserve">1 </t>
    </r>
    <r>
      <rPr>
        <i/>
        <sz val="9"/>
        <rFont val="Century Gothic"/>
        <family val="2"/>
      </rPr>
      <t>The 2023 data are estimates, while the 2024 data are preliminary and subject to revision in subsequent issues</t>
    </r>
  </si>
  <si>
    <r>
      <rPr>
        <b/>
        <vertAlign val="superscript"/>
        <sz val="9"/>
        <rFont val="Century Gothic"/>
        <family val="2"/>
      </rPr>
      <t xml:space="preserve">2 </t>
    </r>
    <r>
      <rPr>
        <b/>
        <sz val="9"/>
        <rFont val="Century Gothic"/>
        <family val="2"/>
      </rPr>
      <t>Termasuk jumlah cadangan butiran negeri tidak tersedia</t>
    </r>
  </si>
  <si>
    <r>
      <rPr>
        <i/>
        <vertAlign val="superscript"/>
        <sz val="9"/>
        <rFont val="Century Gothic"/>
        <family val="2"/>
      </rPr>
      <t xml:space="preserve">2 </t>
    </r>
    <r>
      <rPr>
        <i/>
        <sz val="9"/>
        <rFont val="Century Gothic"/>
        <family val="2"/>
      </rPr>
      <t>Includes total proposed state details not available</t>
    </r>
  </si>
  <si>
    <t>3.</t>
  </si>
  <si>
    <r>
      <rPr>
        <b/>
        <vertAlign val="superscript"/>
        <sz val="9"/>
        <rFont val="Century Gothic"/>
        <family val="2"/>
      </rPr>
      <t xml:space="preserve">r </t>
    </r>
    <r>
      <rPr>
        <b/>
        <sz val="9"/>
        <rFont val="Century Gothic"/>
        <family val="2"/>
      </rPr>
      <t>Dikemas kini</t>
    </r>
  </si>
  <si>
    <r>
      <rPr>
        <i/>
        <vertAlign val="superscript"/>
        <sz val="9"/>
        <rFont val="Century Gothic"/>
        <family val="2"/>
      </rPr>
      <t>r</t>
    </r>
    <r>
      <rPr>
        <i/>
        <sz val="9"/>
        <rFont val="Century Gothic"/>
        <family val="2"/>
      </rPr>
      <t>Revised</t>
    </r>
  </si>
  <si>
    <t>Jadual 20.0</t>
  </si>
  <si>
    <t>: Eksport, import, jumlah dagangan dan imbangan dagangan, Malaysia, 2022 - 2024</t>
  </si>
  <si>
    <t>Table 20.0</t>
  </si>
  <si>
    <t>: Exports, imports, total trade and balance of trade, Malaysia, 2022 - 2024</t>
  </si>
  <si>
    <r>
      <t xml:space="preserve">Nilai (RM juta)
</t>
    </r>
    <r>
      <rPr>
        <i/>
        <sz val="10"/>
        <rFont val="Century Gothic"/>
        <family val="2"/>
      </rPr>
      <t>Value (RM million)</t>
    </r>
  </si>
  <si>
    <r>
      <t xml:space="preserve">Pertumbuhan tahunan (%)
 </t>
    </r>
    <r>
      <rPr>
        <i/>
        <sz val="10"/>
        <rFont val="Century Gothic"/>
        <family val="2"/>
      </rPr>
      <t>Annual Growth (%)</t>
    </r>
  </si>
  <si>
    <r>
      <t xml:space="preserve">ALIRAN PERDAGANGAN 
</t>
    </r>
    <r>
      <rPr>
        <i/>
        <sz val="10"/>
        <rFont val="Century Gothic"/>
        <family val="2"/>
      </rPr>
      <t>TRADE FLOW</t>
    </r>
  </si>
  <si>
    <r>
      <t xml:space="preserve">Eksport/ </t>
    </r>
    <r>
      <rPr>
        <i/>
        <sz val="10"/>
        <rFont val="Century Gothic"/>
        <family val="2"/>
      </rPr>
      <t>Exports</t>
    </r>
  </si>
  <si>
    <r>
      <t>mengikut sektor</t>
    </r>
    <r>
      <rPr>
        <sz val="10"/>
        <rFont val="Century Gothic"/>
        <family val="2"/>
      </rPr>
      <t xml:space="preserve">/ </t>
    </r>
    <r>
      <rPr>
        <i/>
        <sz val="10"/>
        <rFont val="Century Gothic"/>
        <family val="2"/>
      </rPr>
      <t>by sector:</t>
    </r>
  </si>
  <si>
    <r>
      <rPr>
        <b/>
        <sz val="10"/>
        <rFont val="Century Gothic"/>
        <family val="2"/>
      </rPr>
      <t>Pertanian</t>
    </r>
    <r>
      <rPr>
        <sz val="10"/>
        <rFont val="Century Gothic"/>
        <family val="2"/>
      </rPr>
      <t xml:space="preserve">/ </t>
    </r>
    <r>
      <rPr>
        <i/>
        <sz val="10"/>
        <rFont val="Century Gothic"/>
        <family val="2"/>
      </rPr>
      <t>Agriculture</t>
    </r>
  </si>
  <si>
    <r>
      <rPr>
        <b/>
        <sz val="10"/>
        <rFont val="Century Gothic"/>
        <family val="2"/>
      </rPr>
      <t>Perlombongan</t>
    </r>
    <r>
      <rPr>
        <sz val="10"/>
        <rFont val="Century Gothic"/>
        <family val="2"/>
      </rPr>
      <t xml:space="preserve">/ </t>
    </r>
    <r>
      <rPr>
        <i/>
        <sz val="10"/>
        <rFont val="Century Gothic"/>
        <family val="2"/>
      </rPr>
      <t>Mining</t>
    </r>
  </si>
  <si>
    <r>
      <rPr>
        <b/>
        <sz val="10"/>
        <rFont val="Century Gothic"/>
        <family val="2"/>
      </rPr>
      <t>Pembuatan</t>
    </r>
    <r>
      <rPr>
        <sz val="10"/>
        <rFont val="Century Gothic"/>
        <family val="2"/>
      </rPr>
      <t xml:space="preserve">/ </t>
    </r>
    <r>
      <rPr>
        <i/>
        <sz val="10"/>
        <rFont val="Century Gothic"/>
        <family val="2"/>
      </rPr>
      <t>Manufacturing</t>
    </r>
  </si>
  <si>
    <r>
      <t>mengikut Produk Utama Terpilih</t>
    </r>
    <r>
      <rPr>
        <sz val="10"/>
        <rFont val="Century Gothic"/>
        <family val="2"/>
      </rPr>
      <t>/</t>
    </r>
  </si>
  <si>
    <t>by of Selected Major Products:</t>
  </si>
  <si>
    <r>
      <rPr>
        <b/>
        <sz val="10"/>
        <rFont val="Century Gothic"/>
        <family val="2"/>
      </rPr>
      <t>Produk elektrik &amp; elektronik</t>
    </r>
    <r>
      <rPr>
        <sz val="10"/>
        <rFont val="Century Gothic"/>
        <family val="2"/>
      </rPr>
      <t xml:space="preserve">/ </t>
    </r>
    <r>
      <rPr>
        <i/>
        <sz val="10"/>
        <rFont val="Century Gothic"/>
        <family val="2"/>
      </rPr>
      <t>E&amp;E products</t>
    </r>
  </si>
  <si>
    <r>
      <rPr>
        <b/>
        <sz val="10"/>
        <rFont val="Century Gothic"/>
        <family val="2"/>
      </rPr>
      <t>Keluaran petroleum bertapis</t>
    </r>
    <r>
      <rPr>
        <sz val="10"/>
        <rFont val="Century Gothic"/>
        <family val="2"/>
      </rPr>
      <t xml:space="preserve">/ </t>
    </r>
    <r>
      <rPr>
        <i/>
        <sz val="10"/>
        <rFont val="Century Gothic"/>
        <family val="2"/>
      </rPr>
      <t>Refined petroleum products</t>
    </r>
  </si>
  <si>
    <r>
      <rPr>
        <b/>
        <sz val="10"/>
        <rFont val="Century Gothic"/>
        <family val="2"/>
      </rPr>
      <t>Minyak sawit &amp; produk berasaskan minyak sawit</t>
    </r>
    <r>
      <rPr>
        <sz val="10"/>
        <rFont val="Century Gothic"/>
        <family val="2"/>
      </rPr>
      <t>/</t>
    </r>
  </si>
  <si>
    <t>Palm oil &amp; palm oil-based products</t>
  </si>
  <si>
    <r>
      <t xml:space="preserve">Import/ </t>
    </r>
    <r>
      <rPr>
        <i/>
        <sz val="10"/>
        <rFont val="Century Gothic"/>
        <family val="2"/>
      </rPr>
      <t>Imports</t>
    </r>
  </si>
  <si>
    <r>
      <t>Import tertangguh</t>
    </r>
    <r>
      <rPr>
        <sz val="10"/>
        <rFont val="Century Gothic"/>
        <family val="2"/>
      </rPr>
      <t xml:space="preserve">/ </t>
    </r>
    <r>
      <rPr>
        <i/>
        <sz val="10"/>
        <rFont val="Century Gothic"/>
        <family val="2"/>
      </rPr>
      <t>Retain import</t>
    </r>
  </si>
  <si>
    <r>
      <t>menggunakan Penggunaan Akhir</t>
    </r>
    <r>
      <rPr>
        <sz val="10"/>
        <rFont val="Century Gothic"/>
        <family val="2"/>
      </rPr>
      <t xml:space="preserve">/ </t>
    </r>
    <r>
      <rPr>
        <i/>
        <sz val="10"/>
        <rFont val="Century Gothic"/>
        <family val="2"/>
      </rPr>
      <t>by End Use:</t>
    </r>
  </si>
  <si>
    <r>
      <rPr>
        <b/>
        <sz val="10"/>
        <rFont val="Century Gothic"/>
        <family val="2"/>
      </rPr>
      <t>Barangan Moda</t>
    </r>
    <r>
      <rPr>
        <sz val="10"/>
        <rFont val="Century Gothic"/>
        <family val="2"/>
      </rPr>
      <t xml:space="preserve">l/ </t>
    </r>
    <r>
      <rPr>
        <i/>
        <sz val="10"/>
        <rFont val="Century Gothic"/>
        <family val="2"/>
      </rPr>
      <t>Capital Goods</t>
    </r>
  </si>
  <si>
    <r>
      <rPr>
        <b/>
        <sz val="10"/>
        <rFont val="Century Gothic"/>
        <family val="2"/>
      </rPr>
      <t>Barangan Perantaraan</t>
    </r>
    <r>
      <rPr>
        <sz val="10"/>
        <rFont val="Century Gothic"/>
        <family val="2"/>
      </rPr>
      <t xml:space="preserve">/ </t>
    </r>
    <r>
      <rPr>
        <i/>
        <sz val="10"/>
        <rFont val="Century Gothic"/>
        <family val="2"/>
      </rPr>
      <t>Intermediate Goods</t>
    </r>
  </si>
  <si>
    <r>
      <rPr>
        <b/>
        <sz val="10"/>
        <rFont val="Century Gothic"/>
        <family val="2"/>
      </rPr>
      <t>Barangan Penggunaan</t>
    </r>
    <r>
      <rPr>
        <sz val="10"/>
        <rFont val="Century Gothic"/>
        <family val="2"/>
      </rPr>
      <t xml:space="preserve">/ </t>
    </r>
    <r>
      <rPr>
        <i/>
        <sz val="10"/>
        <rFont val="Century Gothic"/>
        <family val="2"/>
      </rPr>
      <t>Consumption Goods</t>
    </r>
  </si>
  <si>
    <r>
      <rPr>
        <b/>
        <sz val="10"/>
        <rFont val="Century Gothic"/>
        <family val="2"/>
      </rPr>
      <t>Petroleum mentah</t>
    </r>
    <r>
      <rPr>
        <sz val="10"/>
        <rFont val="Century Gothic"/>
        <family val="2"/>
      </rPr>
      <t xml:space="preserve">/ </t>
    </r>
    <r>
      <rPr>
        <i/>
        <sz val="10"/>
        <rFont val="Century Gothic"/>
        <family val="2"/>
      </rPr>
      <t>Crude petroleum</t>
    </r>
  </si>
  <si>
    <r>
      <t xml:space="preserve">Jumlah Dagangan/ </t>
    </r>
    <r>
      <rPr>
        <i/>
        <sz val="10"/>
        <rFont val="Century Gothic"/>
        <family val="2"/>
      </rPr>
      <t>Total Trade</t>
    </r>
  </si>
  <si>
    <r>
      <t xml:space="preserve">Imbangan Dagangan/ </t>
    </r>
    <r>
      <rPr>
        <i/>
        <sz val="10"/>
        <rFont val="Century Gothic"/>
        <family val="2"/>
      </rPr>
      <t>Balance of Trade</t>
    </r>
  </si>
  <si>
    <r>
      <rPr>
        <b/>
        <i/>
        <sz val="10"/>
        <rFont val="Century Gothic"/>
        <family val="2"/>
      </rPr>
      <t>5 Rakan Dagangan Utama (Jumlah Dagangan)</t>
    </r>
    <r>
      <rPr>
        <i/>
        <sz val="10"/>
        <rFont val="Century Gothic"/>
        <family val="2"/>
      </rPr>
      <t xml:space="preserve">
Top 5 Trading Partners (Total Trade)</t>
    </r>
  </si>
  <si>
    <t>China</t>
  </si>
  <si>
    <t>Singapore</t>
  </si>
  <si>
    <t>United States</t>
  </si>
  <si>
    <t>European Union</t>
  </si>
  <si>
    <t>Taiwan</t>
  </si>
  <si>
    <r>
      <rPr>
        <b/>
        <sz val="10"/>
        <rFont val="Century Gothic"/>
        <family val="2"/>
      </rPr>
      <t>Sumbangan kepada Jumlah Dagangan Malaysia (%)</t>
    </r>
    <r>
      <rPr>
        <sz val="10"/>
        <rFont val="Century Gothic"/>
        <family val="2"/>
      </rPr>
      <t xml:space="preserve">
</t>
    </r>
    <r>
      <rPr>
        <i/>
        <sz val="10"/>
        <rFont val="Century Gothic"/>
        <family val="2"/>
      </rPr>
      <t>Contribution to Malaysia's Total Trade(%)</t>
    </r>
  </si>
  <si>
    <t>Jadual 21.0</t>
  </si>
  <si>
    <t>: Statistik utama pelancongan domestik, Malaysia, 2022 - 2024</t>
  </si>
  <si>
    <t xml:space="preserve">  Table 21.0</t>
  </si>
  <si>
    <t>: Principal statistics of domestic tourism, Malaysia, 2022 - 2024</t>
  </si>
  <si>
    <r>
      <t xml:space="preserve">PELANCONGAN DOMESTIK
</t>
    </r>
    <r>
      <rPr>
        <i/>
        <sz val="10"/>
        <rFont val="Century Gothic"/>
        <family val="2"/>
      </rPr>
      <t>DOMESTIC TOURISM</t>
    </r>
  </si>
  <si>
    <t>Jumlah Terimaan (RM juta)</t>
  </si>
  <si>
    <t>Total Receipts (RM million)</t>
  </si>
  <si>
    <r>
      <t xml:space="preserve">Pelawat Domestik/ </t>
    </r>
    <r>
      <rPr>
        <i/>
        <sz val="10"/>
        <color rgb="FF000000"/>
        <rFont val="Century Gothic"/>
        <family val="2"/>
      </rPr>
      <t>Domestic Visitors</t>
    </r>
    <r>
      <rPr>
        <b/>
        <sz val="10"/>
        <color rgb="FF000000"/>
        <rFont val="Century Gothic"/>
        <family val="2"/>
      </rPr>
      <t xml:space="preserve">
</t>
    </r>
  </si>
  <si>
    <r>
      <t xml:space="preserve">Isi Rumah yang Dilawati/ </t>
    </r>
    <r>
      <rPr>
        <i/>
        <sz val="10"/>
        <color rgb="FF000000"/>
        <rFont val="Century Gothic"/>
        <family val="2"/>
      </rPr>
      <t xml:space="preserve">Visited Households
</t>
    </r>
  </si>
  <si>
    <t xml:space="preserve">Jumlah Pelawat (’000)
</t>
  </si>
  <si>
    <t>Number of Visitors</t>
  </si>
  <si>
    <r>
      <t xml:space="preserve">Pelawat Harian/ </t>
    </r>
    <r>
      <rPr>
        <i/>
        <sz val="10"/>
        <color rgb="FF000000"/>
        <rFont val="Century Gothic"/>
        <family val="2"/>
      </rPr>
      <t>Excursionist</t>
    </r>
    <r>
      <rPr>
        <b/>
        <sz val="10"/>
        <color rgb="FF000000"/>
        <rFont val="Century Gothic"/>
        <family val="2"/>
      </rPr>
      <t xml:space="preserve">
</t>
    </r>
  </si>
  <si>
    <r>
      <t xml:space="preserve">Pelancong/ </t>
    </r>
    <r>
      <rPr>
        <i/>
        <sz val="10"/>
        <color rgb="FF000000"/>
        <rFont val="Century Gothic"/>
        <family val="2"/>
      </rPr>
      <t>Tourist</t>
    </r>
    <r>
      <rPr>
        <b/>
        <sz val="10"/>
        <color rgb="FF000000"/>
        <rFont val="Century Gothic"/>
        <family val="2"/>
      </rPr>
      <t xml:space="preserve">
</t>
    </r>
  </si>
  <si>
    <t xml:space="preserve">Jumlah Perjalanan Pelancongan (’000)
</t>
  </si>
  <si>
    <t>Number of Tourism Trips</t>
  </si>
  <si>
    <t>Jadual 22.0</t>
  </si>
  <si>
    <t>: Statistik Pasaran Buruh, Malaysia, 2023 - 2025</t>
  </si>
  <si>
    <t xml:space="preserve">  Table 22.0</t>
  </si>
  <si>
    <t>: Labour Market Statistics, Malaysia, 2023 - 2025</t>
  </si>
  <si>
    <r>
      <t xml:space="preserve">PASARAN BURUH
</t>
    </r>
    <r>
      <rPr>
        <i/>
        <sz val="10"/>
        <color theme="1"/>
        <rFont val="Century Gothic"/>
        <family val="2"/>
      </rPr>
      <t>LABOUR MARKET</t>
    </r>
  </si>
  <si>
    <r>
      <t xml:space="preserve">Statistik Utama Tenaga Buruh
</t>
    </r>
    <r>
      <rPr>
        <i/>
        <sz val="10"/>
        <rFont val="Century Gothic"/>
        <family val="1"/>
      </rPr>
      <t>Principal Statistics of Labour Force</t>
    </r>
  </si>
  <si>
    <r>
      <rPr>
        <b/>
        <sz val="10"/>
        <color theme="1"/>
        <rFont val="Century Gothic"/>
        <family val="2"/>
      </rPr>
      <t>Tenaga Buruh  ('000)</t>
    </r>
    <r>
      <rPr>
        <i/>
        <sz val="10"/>
        <color theme="1"/>
        <rFont val="Century Gothic"/>
        <family val="1"/>
      </rPr>
      <t xml:space="preserve">
Labour Force</t>
    </r>
  </si>
  <si>
    <r>
      <rPr>
        <b/>
        <sz val="10"/>
        <color theme="1"/>
        <rFont val="Century Gothic"/>
        <family val="1"/>
      </rPr>
      <t>Penduduk Bekerja</t>
    </r>
    <r>
      <rPr>
        <sz val="10"/>
        <color theme="1"/>
        <rFont val="Century Gothic"/>
        <family val="1"/>
      </rPr>
      <t xml:space="preserve"> </t>
    </r>
    <r>
      <rPr>
        <b/>
        <sz val="10"/>
        <color theme="1"/>
        <rFont val="Century Gothic"/>
        <family val="2"/>
      </rPr>
      <t>('000)</t>
    </r>
    <r>
      <rPr>
        <sz val="10"/>
        <color theme="1"/>
        <rFont val="Century Gothic"/>
        <family val="1"/>
      </rPr>
      <t xml:space="preserve">
</t>
    </r>
    <r>
      <rPr>
        <i/>
        <sz val="10"/>
        <color theme="1"/>
        <rFont val="Century Gothic"/>
        <family val="1"/>
      </rPr>
      <t>Employed Persons</t>
    </r>
  </si>
  <si>
    <r>
      <rPr>
        <b/>
        <sz val="10"/>
        <color theme="1"/>
        <rFont val="Century Gothic"/>
        <family val="1"/>
      </rPr>
      <t>Penganggur ('000)</t>
    </r>
    <r>
      <rPr>
        <sz val="10"/>
        <color theme="1"/>
        <rFont val="Century Gothic"/>
        <family val="1"/>
      </rPr>
      <t xml:space="preserve">
</t>
    </r>
    <r>
      <rPr>
        <i/>
        <sz val="10"/>
        <color theme="1"/>
        <rFont val="Century Gothic"/>
        <family val="1"/>
      </rPr>
      <t>Unemployed</t>
    </r>
  </si>
  <si>
    <r>
      <rPr>
        <b/>
        <sz val="10"/>
        <color theme="1"/>
        <rFont val="Century Gothic"/>
        <family val="1"/>
      </rPr>
      <t>Luar Tenaga Buruh ('000)</t>
    </r>
    <r>
      <rPr>
        <sz val="10"/>
        <color theme="1"/>
        <rFont val="Century Gothic"/>
        <family val="1"/>
      </rPr>
      <t xml:space="preserve">
</t>
    </r>
    <r>
      <rPr>
        <i/>
        <sz val="10"/>
        <color theme="1"/>
        <rFont val="Century Gothic"/>
        <family val="1"/>
      </rPr>
      <t>Outside Labour Force</t>
    </r>
  </si>
  <si>
    <r>
      <rPr>
        <b/>
        <sz val="10"/>
        <color theme="1"/>
        <rFont val="Century Gothic"/>
        <family val="1"/>
      </rPr>
      <t>Kadar Penyertaan Tenaga Buruh (%)</t>
    </r>
    <r>
      <rPr>
        <sz val="10"/>
        <color theme="1"/>
        <rFont val="Century Gothic"/>
        <family val="1"/>
      </rPr>
      <t xml:space="preserve">
</t>
    </r>
    <r>
      <rPr>
        <i/>
        <sz val="10"/>
        <color theme="1"/>
        <rFont val="Century Gothic"/>
        <family val="1"/>
      </rPr>
      <t>Labour Force Participation Rate</t>
    </r>
  </si>
  <si>
    <r>
      <rPr>
        <b/>
        <sz val="10"/>
        <color theme="1"/>
        <rFont val="Century Gothic"/>
        <family val="1"/>
      </rPr>
      <t>Kadar Pengangguran (%)</t>
    </r>
    <r>
      <rPr>
        <sz val="10"/>
        <color theme="1"/>
        <rFont val="Century Gothic"/>
        <family val="1"/>
      </rPr>
      <t xml:space="preserve">
</t>
    </r>
    <r>
      <rPr>
        <i/>
        <sz val="10"/>
        <color theme="1"/>
        <rFont val="Century Gothic"/>
        <family val="1"/>
      </rPr>
      <t>Unemployment Rate</t>
    </r>
  </si>
  <si>
    <r>
      <rPr>
        <b/>
        <sz val="10"/>
        <color theme="1"/>
        <rFont val="Century Gothic"/>
        <family val="1"/>
      </rPr>
      <t>Penduduk Bekerja Mengikut Kemahiran</t>
    </r>
    <r>
      <rPr>
        <sz val="10"/>
        <color theme="1"/>
        <rFont val="Century Gothic"/>
        <family val="1"/>
      </rPr>
      <t xml:space="preserve"> 
</t>
    </r>
    <r>
      <rPr>
        <i/>
        <sz val="10"/>
        <color theme="1"/>
        <rFont val="Century Gothic"/>
        <family val="1"/>
      </rPr>
      <t>Employed Persons by Skill</t>
    </r>
  </si>
  <si>
    <r>
      <rPr>
        <b/>
        <sz val="10"/>
        <color theme="1"/>
        <rFont val="Century Gothic"/>
        <family val="1"/>
      </rPr>
      <t>Mahir ('000)</t>
    </r>
    <r>
      <rPr>
        <sz val="10"/>
        <color theme="1"/>
        <rFont val="Century Gothic"/>
        <family val="1"/>
      </rPr>
      <t xml:space="preserve">
</t>
    </r>
    <r>
      <rPr>
        <i/>
        <sz val="10"/>
        <color theme="1"/>
        <rFont val="Century Gothic"/>
        <family val="1"/>
      </rPr>
      <t>Skilled</t>
    </r>
  </si>
  <si>
    <r>
      <rPr>
        <b/>
        <sz val="10"/>
        <color theme="1"/>
        <rFont val="Century Gothic"/>
        <family val="1"/>
      </rPr>
      <t>Separuh Mahir ('000)</t>
    </r>
    <r>
      <rPr>
        <sz val="10"/>
        <color theme="1"/>
        <rFont val="Century Gothic"/>
        <family val="1"/>
      </rPr>
      <t xml:space="preserve">
</t>
    </r>
    <r>
      <rPr>
        <i/>
        <sz val="10"/>
        <color theme="1"/>
        <rFont val="Century Gothic"/>
        <family val="1"/>
      </rPr>
      <t>Semi-skilled</t>
    </r>
  </si>
  <si>
    <r>
      <rPr>
        <b/>
        <sz val="10"/>
        <color theme="1"/>
        <rFont val="Century Gothic"/>
        <family val="1"/>
      </rPr>
      <t>Berkemahiran Rendah ('000)</t>
    </r>
    <r>
      <rPr>
        <sz val="10"/>
        <color theme="1"/>
        <rFont val="Century Gothic"/>
        <family val="1"/>
      </rPr>
      <t xml:space="preserve">
</t>
    </r>
    <r>
      <rPr>
        <i/>
        <sz val="10"/>
        <color theme="1"/>
        <rFont val="Century Gothic"/>
        <family val="1"/>
      </rPr>
      <t>Low-skilled</t>
    </r>
  </si>
  <si>
    <r>
      <rPr>
        <b/>
        <sz val="10"/>
        <color theme="1"/>
        <rFont val="Century Gothic"/>
        <family val="1"/>
      </rPr>
      <t>Penduduk Bekerja Mengikut Pencapaian Pendidikan</t>
    </r>
    <r>
      <rPr>
        <sz val="10"/>
        <color theme="1"/>
        <rFont val="Century Gothic"/>
        <family val="1"/>
      </rPr>
      <t xml:space="preserve"> 
</t>
    </r>
    <r>
      <rPr>
        <i/>
        <sz val="10"/>
        <color theme="1"/>
        <rFont val="Century Gothic"/>
        <family val="1"/>
      </rPr>
      <t>Employed Persons by Education Attainment</t>
    </r>
  </si>
  <si>
    <r>
      <rPr>
        <b/>
        <sz val="10"/>
        <color theme="1"/>
        <rFont val="Century Gothic"/>
        <family val="1"/>
      </rPr>
      <t>Tertiari ('000)</t>
    </r>
    <r>
      <rPr>
        <sz val="10"/>
        <color theme="1"/>
        <rFont val="Century Gothic"/>
        <family val="1"/>
      </rPr>
      <t xml:space="preserve">
</t>
    </r>
    <r>
      <rPr>
        <i/>
        <sz val="10"/>
        <color theme="1"/>
        <rFont val="Century Gothic"/>
        <family val="1"/>
      </rPr>
      <t>Tertiary</t>
    </r>
  </si>
  <si>
    <r>
      <rPr>
        <b/>
        <sz val="10"/>
        <color theme="1"/>
        <rFont val="Century Gothic"/>
        <family val="1"/>
      </rPr>
      <t>Menengah ('000)</t>
    </r>
    <r>
      <rPr>
        <sz val="10"/>
        <color theme="1"/>
        <rFont val="Century Gothic"/>
        <family val="1"/>
      </rPr>
      <t xml:space="preserve"> 
</t>
    </r>
    <r>
      <rPr>
        <i/>
        <sz val="10"/>
        <color theme="1"/>
        <rFont val="Century Gothic"/>
        <family val="1"/>
      </rPr>
      <t>Secondary</t>
    </r>
  </si>
  <si>
    <r>
      <rPr>
        <b/>
        <sz val="10"/>
        <color theme="1"/>
        <rFont val="Century Gothic"/>
        <family val="1"/>
      </rPr>
      <t>Rendah ('000)</t>
    </r>
    <r>
      <rPr>
        <sz val="10"/>
        <color theme="1"/>
        <rFont val="Century Gothic"/>
        <family val="1"/>
      </rPr>
      <t xml:space="preserve">
</t>
    </r>
    <r>
      <rPr>
        <i/>
        <sz val="10"/>
        <color theme="1"/>
        <rFont val="Century Gothic"/>
        <family val="1"/>
      </rPr>
      <t>Primary</t>
    </r>
    <r>
      <rPr>
        <sz val="10"/>
        <color theme="1"/>
        <rFont val="Century Gothic"/>
        <family val="1"/>
      </rPr>
      <t xml:space="preserve"> </t>
    </r>
  </si>
  <si>
    <r>
      <rPr>
        <b/>
        <sz val="10"/>
        <color theme="1"/>
        <rFont val="Century Gothic"/>
        <family val="1"/>
      </rPr>
      <t>Tiada Pendidikan Rasmi ('000)</t>
    </r>
    <r>
      <rPr>
        <sz val="10"/>
        <color theme="1"/>
        <rFont val="Century Gothic"/>
        <family val="1"/>
      </rPr>
      <t xml:space="preserve">
</t>
    </r>
    <r>
      <rPr>
        <i/>
        <sz val="10"/>
        <color theme="1"/>
        <rFont val="Century Gothic"/>
        <family val="1"/>
      </rPr>
      <t>No Formal Education</t>
    </r>
  </si>
  <si>
    <r>
      <rPr>
        <b/>
        <sz val="10"/>
        <rFont val="Century Gothic"/>
        <family val="1"/>
      </rPr>
      <t>Statistik Gaji &amp; Upah</t>
    </r>
    <r>
      <rPr>
        <sz val="10"/>
        <rFont val="Century Gothic"/>
        <family val="2"/>
      </rPr>
      <t xml:space="preserve"> 
</t>
    </r>
    <r>
      <rPr>
        <i/>
        <sz val="10"/>
        <rFont val="Century Gothic"/>
        <family val="1"/>
      </rPr>
      <t>Salaries &amp; Wages Statistics</t>
    </r>
  </si>
  <si>
    <r>
      <rPr>
        <b/>
        <sz val="10"/>
        <rFont val="Century Gothic"/>
        <family val="1"/>
      </rPr>
      <t>Bilangan Penerima ('000)</t>
    </r>
    <r>
      <rPr>
        <sz val="10"/>
        <rFont val="Century Gothic"/>
        <family val="2"/>
      </rPr>
      <t xml:space="preserve">
</t>
    </r>
    <r>
      <rPr>
        <i/>
        <sz val="10"/>
        <rFont val="Century Gothic"/>
        <family val="1"/>
      </rPr>
      <t>Number of Recipients</t>
    </r>
  </si>
  <si>
    <r>
      <rPr>
        <b/>
        <sz val="10"/>
        <rFont val="Century Gothic"/>
        <family val="1"/>
      </rPr>
      <t>Penengah Gaji &amp; Upah Bulanan Pekerja</t>
    </r>
    <r>
      <rPr>
        <b/>
        <sz val="10"/>
        <rFont val="Century Gothic"/>
        <family val="2"/>
      </rPr>
      <t xml:space="preserve"> (RM)</t>
    </r>
    <r>
      <rPr>
        <sz val="10"/>
        <rFont val="Century Gothic"/>
        <family val="2"/>
      </rPr>
      <t xml:space="preserve">
</t>
    </r>
    <r>
      <rPr>
        <i/>
        <sz val="10"/>
        <rFont val="Century Gothic"/>
        <family val="1"/>
      </rPr>
      <t>Median Monthly Salaries &amp; Wages of Employees</t>
    </r>
  </si>
  <si>
    <r>
      <rPr>
        <b/>
        <sz val="10"/>
        <rFont val="Century Gothic"/>
        <family val="1"/>
      </rPr>
      <t>Purata Gaji &amp; Upah Bulanan Pekerja</t>
    </r>
    <r>
      <rPr>
        <b/>
        <sz val="10"/>
        <rFont val="Century Gothic"/>
        <family val="2"/>
      </rPr>
      <t xml:space="preserve"> (RM)</t>
    </r>
    <r>
      <rPr>
        <sz val="10"/>
        <rFont val="Century Gothic"/>
        <family val="2"/>
      </rPr>
      <t xml:space="preserve">
</t>
    </r>
    <r>
      <rPr>
        <i/>
        <sz val="10"/>
        <rFont val="Century Gothic"/>
        <family val="1"/>
      </rPr>
      <t>Mean Monthly Salaries &amp; Wages of Employees</t>
    </r>
  </si>
  <si>
    <r>
      <rPr>
        <b/>
        <sz val="9"/>
        <rFont val="Century Gothic"/>
        <family val="2"/>
      </rPr>
      <t>Nota</t>
    </r>
    <r>
      <rPr>
        <sz val="9"/>
        <rFont val="Century Gothic"/>
        <family val="2"/>
      </rPr>
      <t xml:space="preserve">/ </t>
    </r>
    <r>
      <rPr>
        <i/>
        <sz val="9"/>
        <rFont val="Century Gothic"/>
        <family val="2"/>
      </rPr>
      <t>Note</t>
    </r>
    <r>
      <rPr>
        <sz val="9"/>
        <rFont val="Century Gothic"/>
        <family val="2"/>
      </rPr>
      <t>:</t>
    </r>
  </si>
  <si>
    <r>
      <rPr>
        <b/>
        <vertAlign val="superscript"/>
        <sz val="9"/>
        <rFont val="Century Gothic"/>
        <family val="2"/>
      </rPr>
      <t xml:space="preserve">a </t>
    </r>
    <r>
      <rPr>
        <b/>
        <sz val="9"/>
        <rFont val="Century Gothic"/>
        <family val="2"/>
      </rPr>
      <t>Penggunaan data secara berhati-hati kerana faktor ralat piawai relatif yang tinggi</t>
    </r>
  </si>
  <si>
    <t xml:space="preserve">  Data to be used with caution due to high relative standard error</t>
  </si>
  <si>
    <t>: Statistik Pasaran Buruh, Malaysia, 2023 - 2025 (samb.)</t>
  </si>
  <si>
    <t>: Labour Market Statistics, Malaysia, 2023 - 2025 (cont'd)</t>
  </si>
  <si>
    <r>
      <t xml:space="preserve">Statistik Siswazah 
</t>
    </r>
    <r>
      <rPr>
        <i/>
        <sz val="10"/>
        <color theme="1"/>
        <rFont val="Century Gothic"/>
        <family val="1"/>
      </rPr>
      <t>Graduate Statistics</t>
    </r>
  </si>
  <si>
    <r>
      <rPr>
        <b/>
        <sz val="10"/>
        <color theme="1"/>
        <rFont val="Century Gothic"/>
        <family val="1"/>
      </rPr>
      <t>Tenaga Buruh ('000)</t>
    </r>
    <r>
      <rPr>
        <i/>
        <sz val="10"/>
        <color theme="1"/>
        <rFont val="Century Gothic"/>
        <family val="1"/>
      </rPr>
      <t xml:space="preserve">
Labour Force</t>
    </r>
  </si>
  <si>
    <r>
      <rPr>
        <b/>
        <sz val="10"/>
        <color theme="1"/>
        <rFont val="Century Gothic"/>
        <family val="1"/>
      </rPr>
      <t>Penduduk Bekerja ('000)</t>
    </r>
    <r>
      <rPr>
        <sz val="10"/>
        <color theme="1"/>
        <rFont val="Century Gothic"/>
        <family val="1"/>
      </rPr>
      <t xml:space="preserve">
</t>
    </r>
    <r>
      <rPr>
        <i/>
        <sz val="10"/>
        <color theme="1"/>
        <rFont val="Century Gothic"/>
        <family val="1"/>
      </rPr>
      <t>Employed Persons</t>
    </r>
  </si>
  <si>
    <r>
      <rPr>
        <b/>
        <sz val="10"/>
        <color theme="1"/>
        <rFont val="Century Gothic"/>
        <family val="1"/>
      </rPr>
      <t>Penganggur</t>
    </r>
    <r>
      <rPr>
        <b/>
        <vertAlign val="superscript"/>
        <sz val="10"/>
        <color theme="1"/>
        <rFont val="Century Gothic"/>
        <family val="1"/>
      </rPr>
      <t>a</t>
    </r>
    <r>
      <rPr>
        <sz val="10"/>
        <color theme="1"/>
        <rFont val="Century Gothic"/>
        <family val="1"/>
      </rPr>
      <t xml:space="preserve"> </t>
    </r>
    <r>
      <rPr>
        <b/>
        <sz val="10"/>
        <color theme="1"/>
        <rFont val="Century Gothic"/>
        <family val="2"/>
      </rPr>
      <t>('000)</t>
    </r>
    <r>
      <rPr>
        <sz val="10"/>
        <color theme="1"/>
        <rFont val="Century Gothic"/>
        <family val="1"/>
      </rPr>
      <t xml:space="preserve">
</t>
    </r>
    <r>
      <rPr>
        <i/>
        <sz val="10"/>
        <color theme="1"/>
        <rFont val="Century Gothic"/>
        <family val="1"/>
      </rPr>
      <t>Unemployed</t>
    </r>
    <r>
      <rPr>
        <sz val="10"/>
        <color theme="1"/>
        <rFont val="Century Gothic"/>
        <family val="1"/>
      </rPr>
      <t xml:space="preserve"> </t>
    </r>
  </si>
  <si>
    <r>
      <rPr>
        <b/>
        <sz val="10"/>
        <color theme="1"/>
        <rFont val="Century Gothic"/>
        <family val="1"/>
      </rPr>
      <t>Kadar Pengangguran</t>
    </r>
    <r>
      <rPr>
        <b/>
        <vertAlign val="superscript"/>
        <sz val="10"/>
        <color theme="1"/>
        <rFont val="Century Gothic"/>
        <family val="1"/>
      </rPr>
      <t>a</t>
    </r>
    <r>
      <rPr>
        <b/>
        <sz val="10"/>
        <color theme="1"/>
        <rFont val="Century Gothic"/>
        <family val="2"/>
      </rPr>
      <t xml:space="preserve"> (%)</t>
    </r>
    <r>
      <rPr>
        <sz val="10"/>
        <color theme="1"/>
        <rFont val="Century Gothic"/>
        <family val="1"/>
      </rPr>
      <t xml:space="preserve">
</t>
    </r>
    <r>
      <rPr>
        <i/>
        <sz val="10"/>
        <color theme="1"/>
        <rFont val="Century Gothic"/>
        <family val="1"/>
      </rPr>
      <t>Unemployment Rate</t>
    </r>
    <r>
      <rPr>
        <sz val="10"/>
        <color theme="1"/>
        <rFont val="Century Gothic"/>
        <family val="1"/>
      </rPr>
      <t xml:space="preserve"> </t>
    </r>
  </si>
  <si>
    <r>
      <rPr>
        <b/>
        <sz val="10"/>
        <color theme="1"/>
        <rFont val="Century Gothic"/>
        <family val="1"/>
      </rPr>
      <t>Penengah Gaji &amp; Upah Bulanan Siswazah Bekerja</t>
    </r>
    <r>
      <rPr>
        <sz val="10"/>
        <color theme="1"/>
        <rFont val="Century Gothic"/>
        <family val="1"/>
      </rPr>
      <t xml:space="preserve"> </t>
    </r>
    <r>
      <rPr>
        <b/>
        <sz val="10"/>
        <color theme="1"/>
        <rFont val="Century Gothic"/>
        <family val="2"/>
      </rPr>
      <t>(RM)</t>
    </r>
    <r>
      <rPr>
        <sz val="10"/>
        <color theme="1"/>
        <rFont val="Century Gothic"/>
        <family val="1"/>
      </rPr>
      <t xml:space="preserve">
</t>
    </r>
    <r>
      <rPr>
        <i/>
        <sz val="10"/>
        <color theme="1"/>
        <rFont val="Century Gothic"/>
        <family val="1"/>
      </rPr>
      <t>Median Monthly Salaries &amp; Wages of Employed Graduates</t>
    </r>
  </si>
  <si>
    <r>
      <rPr>
        <b/>
        <sz val="10"/>
        <color theme="1"/>
        <rFont val="Century Gothic"/>
        <family val="1"/>
      </rPr>
      <t>Purata Gaji &amp; Upah Bulanan Siswazah Bekerja (RM)</t>
    </r>
    <r>
      <rPr>
        <sz val="10"/>
        <color theme="1"/>
        <rFont val="Century Gothic"/>
        <family val="1"/>
      </rPr>
      <t xml:space="preserve">
</t>
    </r>
    <r>
      <rPr>
        <i/>
        <sz val="10"/>
        <color theme="1"/>
        <rFont val="Century Gothic"/>
        <family val="2"/>
      </rPr>
      <t>Mean</t>
    </r>
    <r>
      <rPr>
        <i/>
        <sz val="10"/>
        <color theme="1"/>
        <rFont val="Century Gothic"/>
        <family val="1"/>
      </rPr>
      <t xml:space="preserve"> Monthly Salaries &amp; Wages of Employed Graduates</t>
    </r>
  </si>
  <si>
    <r>
      <rPr>
        <b/>
        <sz val="10"/>
        <color theme="1"/>
        <rFont val="Century Gothic"/>
        <family val="1"/>
      </rPr>
      <t>Produktiviti Buruh</t>
    </r>
    <r>
      <rPr>
        <sz val="10"/>
        <color theme="1"/>
        <rFont val="Century Gothic"/>
        <family val="1"/>
      </rPr>
      <t xml:space="preserve"> 
</t>
    </r>
    <r>
      <rPr>
        <i/>
        <sz val="10"/>
        <color theme="1"/>
        <rFont val="Century Gothic"/>
        <family val="1"/>
      </rPr>
      <t>Labour Productivity</t>
    </r>
  </si>
  <si>
    <r>
      <rPr>
        <b/>
        <sz val="10"/>
        <color theme="1"/>
        <rFont val="Century Gothic"/>
        <family val="1"/>
      </rPr>
      <t>Produktiviti Buruh, Nilai Ditambah per Jam Bekerja (RM)</t>
    </r>
    <r>
      <rPr>
        <sz val="10"/>
        <color theme="1"/>
        <rFont val="Century Gothic"/>
        <family val="1"/>
      </rPr>
      <t xml:space="preserve">
</t>
    </r>
    <r>
      <rPr>
        <i/>
        <sz val="10"/>
        <color theme="1"/>
        <rFont val="Century Gothic"/>
        <family val="1"/>
      </rPr>
      <t>Labour Productivity, Value Added per Hours Worked</t>
    </r>
  </si>
  <si>
    <r>
      <rPr>
        <b/>
        <sz val="10"/>
        <color theme="1"/>
        <rFont val="Century Gothic"/>
        <family val="1"/>
      </rPr>
      <t>Perubahan Peratusan Tahunan Produktivti Buruh, Nilai Ditambah 
per Jam Pekerja</t>
    </r>
    <r>
      <rPr>
        <b/>
        <sz val="10"/>
        <color theme="1"/>
        <rFont val="Century Gothic"/>
        <family val="2"/>
      </rPr>
      <t xml:space="preserve"> (%)</t>
    </r>
    <r>
      <rPr>
        <sz val="10"/>
        <color theme="1"/>
        <rFont val="Century Gothic"/>
        <family val="1"/>
      </rPr>
      <t xml:space="preserve">
</t>
    </r>
    <r>
      <rPr>
        <i/>
        <sz val="10"/>
        <color theme="1"/>
        <rFont val="Century Gothic"/>
        <family val="1"/>
      </rPr>
      <t>Annual Percentage Change of</t>
    </r>
    <r>
      <rPr>
        <sz val="10"/>
        <color theme="1"/>
        <rFont val="Century Gothic"/>
        <family val="1"/>
      </rPr>
      <t xml:space="preserve"> </t>
    </r>
    <r>
      <rPr>
        <i/>
        <sz val="10"/>
        <color theme="1"/>
        <rFont val="Century Gothic"/>
        <family val="1"/>
      </rPr>
      <t>Labour Productivity, Value Added per Hour Worked</t>
    </r>
  </si>
  <si>
    <r>
      <rPr>
        <b/>
        <sz val="10"/>
        <color theme="1"/>
        <rFont val="Century Gothic"/>
        <family val="1"/>
      </rPr>
      <t>Produktiviti Buruh, Nilai Ditambah per Pekerja (RM)</t>
    </r>
    <r>
      <rPr>
        <sz val="10"/>
        <color theme="1"/>
        <rFont val="Century Gothic"/>
        <family val="1"/>
      </rPr>
      <t xml:space="preserve">
</t>
    </r>
    <r>
      <rPr>
        <i/>
        <sz val="10"/>
        <color theme="1"/>
        <rFont val="Century Gothic"/>
        <family val="1"/>
      </rPr>
      <t>Labour Productivity, Value Added per Employment</t>
    </r>
  </si>
  <si>
    <r>
      <rPr>
        <b/>
        <sz val="10"/>
        <color theme="1"/>
        <rFont val="Century Gothic"/>
        <family val="1"/>
      </rPr>
      <t>Perubahan Peratusan Tahunan Produktiviti Buruh, Nilai Ditambah per Pekerja (%)</t>
    </r>
    <r>
      <rPr>
        <sz val="10"/>
        <color theme="1"/>
        <rFont val="Century Gothic"/>
        <family val="1"/>
      </rPr>
      <t xml:space="preserve">
</t>
    </r>
    <r>
      <rPr>
        <i/>
        <sz val="10"/>
        <color theme="1"/>
        <rFont val="Century Gothic"/>
        <family val="1"/>
      </rPr>
      <t>Annual Percentage Change of</t>
    </r>
    <r>
      <rPr>
        <sz val="10"/>
        <color theme="1"/>
        <rFont val="Century Gothic"/>
        <family val="1"/>
      </rPr>
      <t xml:space="preserve"> </t>
    </r>
    <r>
      <rPr>
        <i/>
        <sz val="10"/>
        <color theme="1"/>
        <rFont val="Century Gothic"/>
        <family val="1"/>
      </rPr>
      <t>Labour Productivity, Value Added per Employment</t>
    </r>
  </si>
  <si>
    <r>
      <rPr>
        <b/>
        <sz val="10"/>
        <color theme="1"/>
        <rFont val="Century Gothic"/>
        <family val="1"/>
      </rPr>
      <t>Prestasi Malaysia dalam Buku Daya Saing Dunia 2025</t>
    </r>
    <r>
      <rPr>
        <sz val="10"/>
        <color theme="1"/>
        <rFont val="Century Gothic"/>
        <family val="1"/>
      </rPr>
      <t xml:space="preserve">
</t>
    </r>
    <r>
      <rPr>
        <i/>
        <sz val="10"/>
        <color theme="1"/>
        <rFont val="Century Gothic"/>
        <family val="1"/>
      </rPr>
      <t>Malaysia's Performance in the World Competitiveness Yearbook 2025</t>
    </r>
  </si>
  <si>
    <r>
      <rPr>
        <b/>
        <sz val="10"/>
        <color theme="1"/>
        <rFont val="Century Gothic"/>
        <family val="1"/>
      </rPr>
      <t>Prestasi Ekonomi</t>
    </r>
    <r>
      <rPr>
        <sz val="10"/>
        <color theme="1"/>
        <rFont val="Century Gothic"/>
        <family val="1"/>
      </rPr>
      <t xml:space="preserve"> 
</t>
    </r>
    <r>
      <rPr>
        <i/>
        <sz val="10"/>
        <color theme="1"/>
        <rFont val="Century Gothic"/>
        <family val="1"/>
      </rPr>
      <t>Economic Performance</t>
    </r>
  </si>
  <si>
    <r>
      <rPr>
        <b/>
        <sz val="10"/>
        <color theme="1"/>
        <rFont val="Century Gothic"/>
        <family val="1"/>
      </rPr>
      <t>Kecekapan Kerajaan</t>
    </r>
    <r>
      <rPr>
        <sz val="10"/>
        <color theme="1"/>
        <rFont val="Century Gothic"/>
        <family val="1"/>
      </rPr>
      <t xml:space="preserve"> 
</t>
    </r>
    <r>
      <rPr>
        <i/>
        <sz val="10"/>
        <color theme="1"/>
        <rFont val="Century Gothic"/>
        <family val="1"/>
      </rPr>
      <t>Government Efficiency</t>
    </r>
  </si>
  <si>
    <r>
      <rPr>
        <b/>
        <sz val="10"/>
        <color theme="1"/>
        <rFont val="Century Gothic"/>
        <family val="1"/>
      </rPr>
      <t>Kecekapan Perniagaan</t>
    </r>
    <r>
      <rPr>
        <sz val="10"/>
        <color theme="1"/>
        <rFont val="Century Gothic"/>
        <family val="1"/>
      </rPr>
      <t xml:space="preserve"> 
</t>
    </r>
    <r>
      <rPr>
        <i/>
        <sz val="10"/>
        <color theme="1"/>
        <rFont val="Century Gothic"/>
        <family val="1"/>
      </rPr>
      <t>Business Efficiency</t>
    </r>
  </si>
  <si>
    <r>
      <rPr>
        <b/>
        <sz val="10"/>
        <color theme="1"/>
        <rFont val="Century Gothic"/>
        <family val="1"/>
      </rPr>
      <t>Infrastruktur</t>
    </r>
    <r>
      <rPr>
        <sz val="10"/>
        <color theme="1"/>
        <rFont val="Century Gothic"/>
        <family val="1"/>
      </rPr>
      <t xml:space="preserve"> 
</t>
    </r>
    <r>
      <rPr>
        <i/>
        <sz val="10"/>
        <color theme="1"/>
        <rFont val="Century Gothic"/>
        <family val="1"/>
      </rPr>
      <t>Infrastructure</t>
    </r>
  </si>
  <si>
    <r>
      <t xml:space="preserve">Perbadanan Produktiviti Malaysia, </t>
    </r>
    <r>
      <rPr>
        <b/>
        <i/>
        <sz val="9"/>
        <color theme="1"/>
        <rFont val="Century Gothic"/>
        <family val="1"/>
      </rPr>
      <t>In The IMD World Competitiveness Yearbook</t>
    </r>
    <r>
      <rPr>
        <b/>
        <sz val="9"/>
        <color theme="1"/>
        <rFont val="Century Gothic"/>
        <family val="1"/>
      </rPr>
      <t xml:space="preserve"> 2025</t>
    </r>
  </si>
  <si>
    <t>Malaysia Productivity Corporation, Malaysia in the IMD World Competitiveness Yearbook, 2025</t>
  </si>
  <si>
    <r>
      <rPr>
        <b/>
        <sz val="9"/>
        <color theme="1"/>
        <rFont val="Century Gothic"/>
        <family val="2"/>
      </rPr>
      <t>Nota</t>
    </r>
    <r>
      <rPr>
        <sz val="9"/>
        <color theme="1"/>
        <rFont val="Century Gothic"/>
        <family val="2"/>
      </rPr>
      <t xml:space="preserve">/ </t>
    </r>
    <r>
      <rPr>
        <i/>
        <sz val="9"/>
        <color theme="1"/>
        <rFont val="Century Gothic"/>
        <family val="2"/>
      </rPr>
      <t>Note</t>
    </r>
    <r>
      <rPr>
        <sz val="9"/>
        <color theme="1"/>
        <rFont val="Century Gothic"/>
        <family val="2"/>
      </rPr>
      <t>:</t>
    </r>
  </si>
  <si>
    <r>
      <rPr>
        <b/>
        <vertAlign val="superscript"/>
        <sz val="9"/>
        <color theme="1"/>
        <rFont val="Century Gothic"/>
        <family val="2"/>
      </rPr>
      <t xml:space="preserve">a </t>
    </r>
    <r>
      <rPr>
        <b/>
        <sz val="9"/>
        <color theme="1"/>
        <rFont val="Century Gothic"/>
        <family val="2"/>
      </rPr>
      <t>Penggunaan data secara berhati-hati kerana faktor ralat piawai relatif yang tinggi</t>
    </r>
  </si>
  <si>
    <r>
      <rPr>
        <i/>
        <vertAlign val="superscript"/>
        <sz val="9"/>
        <color theme="1"/>
        <rFont val="Century Gothic"/>
        <family val="2"/>
      </rPr>
      <t xml:space="preserve">   </t>
    </r>
    <r>
      <rPr>
        <i/>
        <sz val="9"/>
        <color theme="1"/>
        <rFont val="Century Gothic"/>
        <family val="2"/>
      </rPr>
      <t>Data to be used with caution due to high relative standard error</t>
    </r>
  </si>
  <si>
    <t>Jadual 23.0</t>
  </si>
  <si>
    <t>: Indeks Harga Pengguna dan Inflasi Tahunan mengikut Kumpulan Utama, Malaysia, 2022 - 2024</t>
  </si>
  <si>
    <t>Table 23.0</t>
  </si>
  <si>
    <t>: Consumer Price Index and Annual Inflation by Main Group, Malaysia, 2022 - 2024</t>
  </si>
  <si>
    <t>INDEKS HARGA PENGGUNA DAN INFLASI</t>
  </si>
  <si>
    <t>CONSUMER PRICE INDEX AND INFLATION</t>
  </si>
  <si>
    <t>(2010 = 100)</t>
  </si>
  <si>
    <t>Indeks Harga Pengguna</t>
  </si>
  <si>
    <t>Consumer Price Index</t>
  </si>
  <si>
    <t>Jumlah</t>
  </si>
  <si>
    <t>Total</t>
  </si>
  <si>
    <t xml:space="preserve">Makanan &amp; Minuman </t>
  </si>
  <si>
    <t>Food &amp; Beverages</t>
  </si>
  <si>
    <t>Minuman Alkohol &amp; Tembakau</t>
  </si>
  <si>
    <t>Alcoholic Beverages &amp; Tobacco</t>
  </si>
  <si>
    <t>Pakaian &amp; Kasut</t>
  </si>
  <si>
    <t>Clothing &amp; Footwear</t>
  </si>
  <si>
    <t>Perumahan, Air, Elektrik, Gas &amp; Bahan Api Lain</t>
  </si>
  <si>
    <t>Housing, Water, Electricity, Gas &amp; Other Fuels</t>
  </si>
  <si>
    <t>Hiasan, Perkakasan &amp; Penyelenggaraan Isi Rumah</t>
  </si>
  <si>
    <t>Furnishings, Household Equipment &amp; Routine Household Maintenance</t>
  </si>
  <si>
    <t>Kesihatan</t>
  </si>
  <si>
    <t>Health</t>
  </si>
  <si>
    <t>Pengangkutan</t>
  </si>
  <si>
    <t>Transport</t>
  </si>
  <si>
    <t>Komunikasi</t>
  </si>
  <si>
    <t>Communication</t>
  </si>
  <si>
    <t>Perkhidmatan Rekreasi &amp; Kebudayaan</t>
  </si>
  <si>
    <t>Recreation Services &amp; Culture</t>
  </si>
  <si>
    <t>Pendidikan</t>
  </si>
  <si>
    <t>Education</t>
  </si>
  <si>
    <t>Restoran &amp; Hotel</t>
  </si>
  <si>
    <t>Restaurants &amp; Hotels</t>
  </si>
  <si>
    <t>Insurans &amp; Perkhidmatan Kewangan</t>
  </si>
  <si>
    <t>Insurance &amp; Financial Services</t>
  </si>
  <si>
    <t>Pelbagai Barangan &amp; Perkhidmatan</t>
  </si>
  <si>
    <t>Miscellaneous Goods &amp; Services</t>
  </si>
  <si>
    <t>Inflasi Tahunan (Perubahan %)</t>
  </si>
  <si>
    <t>Annual Inflation (% Change)</t>
  </si>
  <si>
    <t>Jadual 23.1</t>
  </si>
  <si>
    <t>: Harga purata item terpilih, Malaysia, 2022 - 2024</t>
  </si>
  <si>
    <t>Table 23.1</t>
  </si>
  <si>
    <t>: Average price for selected items, Malaysia, 2022 - 2024</t>
  </si>
  <si>
    <r>
      <t xml:space="preserve">ITEM TERPILIH
</t>
    </r>
    <r>
      <rPr>
        <i/>
        <sz val="10"/>
        <color theme="1"/>
        <rFont val="Century Gothic"/>
        <family val="2"/>
      </rPr>
      <t>SELECTED ITEMS</t>
    </r>
  </si>
  <si>
    <t>Sayuran</t>
  </si>
  <si>
    <t>Vegetables</t>
  </si>
  <si>
    <r>
      <rPr>
        <b/>
        <sz val="10"/>
        <color theme="1"/>
        <rFont val="Century Gothic"/>
        <family val="2"/>
      </rPr>
      <t>Bayam</t>
    </r>
    <r>
      <rPr>
        <sz val="10"/>
        <color theme="1"/>
        <rFont val="Century Gothic"/>
        <family val="2"/>
      </rPr>
      <t>/</t>
    </r>
    <r>
      <rPr>
        <i/>
        <sz val="10"/>
        <color theme="1"/>
        <rFont val="Century Gothic"/>
        <family val="2"/>
      </rPr>
      <t xml:space="preserve"> Spinach</t>
    </r>
  </si>
  <si>
    <t>Kg</t>
  </si>
  <si>
    <r>
      <rPr>
        <b/>
        <sz val="10"/>
        <color theme="1"/>
        <rFont val="Century Gothic"/>
        <family val="2"/>
      </rPr>
      <t>Bendi</t>
    </r>
    <r>
      <rPr>
        <i/>
        <sz val="10"/>
        <color theme="1"/>
        <rFont val="Century Gothic"/>
        <family val="2"/>
      </rPr>
      <t>/ Ladies Fingers</t>
    </r>
  </si>
  <si>
    <r>
      <rPr>
        <b/>
        <sz val="10"/>
        <color theme="1"/>
        <rFont val="Century Gothic"/>
        <family val="2"/>
      </rPr>
      <t>Petola</t>
    </r>
    <r>
      <rPr>
        <i/>
        <sz val="10"/>
        <color theme="1"/>
        <rFont val="Century Gothic"/>
        <family val="2"/>
      </rPr>
      <t>/ Angel Gourd</t>
    </r>
  </si>
  <si>
    <r>
      <rPr>
        <b/>
        <sz val="10"/>
        <color theme="1"/>
        <rFont val="Century Gothic"/>
        <family val="2"/>
      </rPr>
      <t>Bawang Besar, India</t>
    </r>
    <r>
      <rPr>
        <i/>
        <sz val="10"/>
        <color theme="1"/>
        <rFont val="Century Gothic"/>
        <family val="2"/>
      </rPr>
      <t>/ Onions, India</t>
    </r>
  </si>
  <si>
    <r>
      <rPr>
        <b/>
        <sz val="10"/>
        <color theme="1"/>
        <rFont val="Century Gothic"/>
        <family val="2"/>
      </rPr>
      <t>Cili (Burung/padi) Import</t>
    </r>
    <r>
      <rPr>
        <i/>
        <sz val="10"/>
        <color theme="1"/>
        <rFont val="Century Gothic"/>
        <family val="2"/>
      </rPr>
      <t>/ Chilli (Burung/padi) Import</t>
    </r>
  </si>
  <si>
    <t>200 gm</t>
  </si>
  <si>
    <r>
      <rPr>
        <b/>
        <sz val="10"/>
        <color theme="1"/>
        <rFont val="Century Gothic"/>
        <family val="2"/>
      </rPr>
      <t>Cili Merah (Kulai)</t>
    </r>
    <r>
      <rPr>
        <i/>
        <sz val="10"/>
        <color theme="1"/>
        <rFont val="Century Gothic"/>
        <family val="2"/>
      </rPr>
      <t>/ Red Chilli (Kulai)</t>
    </r>
  </si>
  <si>
    <r>
      <rPr>
        <b/>
        <sz val="10"/>
        <color theme="1"/>
        <rFont val="Century Gothic"/>
        <family val="2"/>
      </rPr>
      <t>Cili Merah (Minyak)</t>
    </r>
    <r>
      <rPr>
        <i/>
        <sz val="10"/>
        <color theme="1"/>
        <rFont val="Century Gothic"/>
        <family val="2"/>
      </rPr>
      <t>/ Red Chilli (Minyak)</t>
    </r>
  </si>
  <si>
    <r>
      <rPr>
        <b/>
        <sz val="10"/>
        <color theme="1"/>
        <rFont val="Century Gothic"/>
        <family val="2"/>
      </rPr>
      <t>Kacang Panjang</t>
    </r>
    <r>
      <rPr>
        <i/>
        <sz val="10"/>
        <color theme="1"/>
        <rFont val="Century Gothic"/>
        <family val="2"/>
      </rPr>
      <t>/ Long Beans</t>
    </r>
  </si>
  <si>
    <r>
      <rPr>
        <b/>
        <sz val="10"/>
        <color theme="1"/>
        <rFont val="Century Gothic"/>
        <family val="2"/>
      </rPr>
      <t>Kacang Buncis</t>
    </r>
    <r>
      <rPr>
        <i/>
        <sz val="10"/>
        <color theme="1"/>
        <rFont val="Century Gothic"/>
        <family val="2"/>
      </rPr>
      <t>/ French Beans</t>
    </r>
  </si>
  <si>
    <r>
      <rPr>
        <b/>
        <sz val="10"/>
        <color theme="1"/>
        <rFont val="Century Gothic"/>
        <family val="2"/>
      </rPr>
      <t>Kobis Bulat</t>
    </r>
    <r>
      <rPr>
        <i/>
        <sz val="10"/>
        <color theme="1"/>
        <rFont val="Century Gothic"/>
        <family val="2"/>
      </rPr>
      <t>/ Round Cabbage</t>
    </r>
  </si>
  <si>
    <r>
      <rPr>
        <b/>
        <sz val="10"/>
        <color theme="1"/>
        <rFont val="Century Gothic"/>
        <family val="2"/>
      </rPr>
      <t>Kobis Bunga</t>
    </r>
    <r>
      <rPr>
        <i/>
        <sz val="10"/>
        <color theme="1"/>
        <rFont val="Century Gothic"/>
        <family val="2"/>
      </rPr>
      <t>/ Cauliflower</t>
    </r>
  </si>
  <si>
    <r>
      <rPr>
        <b/>
        <sz val="10"/>
        <color theme="1"/>
        <rFont val="Century Gothic"/>
        <family val="2"/>
      </rPr>
      <t>Lobak Merah</t>
    </r>
    <r>
      <rPr>
        <i/>
        <sz val="10"/>
        <color theme="1"/>
        <rFont val="Century Gothic"/>
        <family val="2"/>
      </rPr>
      <t>/ Carrot</t>
    </r>
  </si>
  <si>
    <r>
      <rPr>
        <b/>
        <sz val="10"/>
        <color theme="1"/>
        <rFont val="Century Gothic"/>
        <family val="2"/>
      </rPr>
      <t>Sawi Jepun</t>
    </r>
    <r>
      <rPr>
        <i/>
        <sz val="10"/>
        <color theme="1"/>
        <rFont val="Century Gothic"/>
        <family val="2"/>
      </rPr>
      <t>/ Siew Pak Choy *</t>
    </r>
  </si>
  <si>
    <t>-</t>
  </si>
  <si>
    <r>
      <rPr>
        <b/>
        <sz val="10"/>
        <color theme="1"/>
        <rFont val="Century Gothic"/>
        <family val="2"/>
      </rPr>
      <t>Tomato</t>
    </r>
    <r>
      <rPr>
        <i/>
        <sz val="10"/>
        <color theme="1"/>
        <rFont val="Century Gothic"/>
        <family val="2"/>
      </rPr>
      <t>/ Tomatoes</t>
    </r>
  </si>
  <si>
    <r>
      <rPr>
        <b/>
        <sz val="10"/>
        <color theme="1"/>
        <rFont val="Century Gothic"/>
        <family val="2"/>
      </rPr>
      <t>Terung</t>
    </r>
    <r>
      <rPr>
        <i/>
        <sz val="10"/>
        <color theme="1"/>
        <rFont val="Century Gothic"/>
        <family val="2"/>
      </rPr>
      <t>/ Brinjals</t>
    </r>
  </si>
  <si>
    <r>
      <rPr>
        <b/>
        <sz val="10"/>
        <color theme="1"/>
        <rFont val="Century Gothic"/>
        <family val="2"/>
      </rPr>
      <t>Timun</t>
    </r>
    <r>
      <rPr>
        <i/>
        <sz val="10"/>
        <color theme="1"/>
        <rFont val="Century Gothic"/>
        <family val="2"/>
      </rPr>
      <t>/ Cucumber</t>
    </r>
  </si>
  <si>
    <t>Buah-Buahan</t>
  </si>
  <si>
    <t>Fruits</t>
  </si>
  <si>
    <r>
      <rPr>
        <b/>
        <sz val="10"/>
        <color theme="1"/>
        <rFont val="Century Gothic"/>
        <family val="2"/>
      </rPr>
      <t>Epal Fuji/</t>
    </r>
    <r>
      <rPr>
        <i/>
        <sz val="10"/>
        <color theme="1"/>
        <rFont val="Century Gothic"/>
        <family val="2"/>
      </rPr>
      <t xml:space="preserve"> Apple Fuji</t>
    </r>
  </si>
  <si>
    <r>
      <t xml:space="preserve">biji/ </t>
    </r>
    <r>
      <rPr>
        <i/>
        <sz val="10"/>
        <color theme="1"/>
        <rFont val="Century Gothic"/>
        <family val="2"/>
      </rPr>
      <t>each</t>
    </r>
  </si>
  <si>
    <r>
      <rPr>
        <b/>
        <sz val="10"/>
        <color theme="1"/>
        <rFont val="Century Gothic"/>
        <family val="2"/>
      </rPr>
      <t>Epal (Green Skin)/</t>
    </r>
    <r>
      <rPr>
        <i/>
        <sz val="10"/>
        <color theme="1"/>
        <rFont val="Century Gothic"/>
        <family val="2"/>
      </rPr>
      <t xml:space="preserve"> Apple (Green Skin)</t>
    </r>
  </si>
  <si>
    <r>
      <rPr>
        <b/>
        <sz val="10"/>
        <color theme="1"/>
        <rFont val="Century Gothic"/>
        <family val="2"/>
      </rPr>
      <t>Epal Merah/</t>
    </r>
    <r>
      <rPr>
        <i/>
        <sz val="10"/>
        <color theme="1"/>
        <rFont val="Century Gothic"/>
        <family val="2"/>
      </rPr>
      <t xml:space="preserve"> Apple Red </t>
    </r>
  </si>
  <si>
    <r>
      <rPr>
        <b/>
        <sz val="10"/>
        <color theme="1"/>
        <rFont val="Century Gothic"/>
        <family val="2"/>
      </rPr>
      <t>Betik/</t>
    </r>
    <r>
      <rPr>
        <i/>
        <sz val="10"/>
        <color theme="1"/>
        <rFont val="Century Gothic"/>
        <family val="2"/>
      </rPr>
      <t xml:space="preserve"> Papaya</t>
    </r>
  </si>
  <si>
    <r>
      <rPr>
        <b/>
        <sz val="10"/>
        <color theme="1"/>
        <rFont val="Century Gothic"/>
        <family val="2"/>
      </rPr>
      <t>Nenas/</t>
    </r>
    <r>
      <rPr>
        <i/>
        <sz val="10"/>
        <color theme="1"/>
        <rFont val="Century Gothic"/>
        <family val="2"/>
      </rPr>
      <t xml:space="preserve"> Pineapple</t>
    </r>
  </si>
  <si>
    <r>
      <rPr>
        <b/>
        <sz val="10"/>
        <color theme="1"/>
        <rFont val="Century Gothic"/>
        <family val="2"/>
      </rPr>
      <t>Pisang Emas/</t>
    </r>
    <r>
      <rPr>
        <i/>
        <sz val="10"/>
        <color theme="1"/>
        <rFont val="Century Gothic"/>
        <family val="2"/>
      </rPr>
      <t xml:space="preserve"> Pisang Emas (Banana)</t>
    </r>
  </si>
  <si>
    <r>
      <rPr>
        <b/>
        <sz val="10"/>
        <color theme="1"/>
        <rFont val="Century Gothic"/>
        <family val="2"/>
      </rPr>
      <t>Tembikai Susu/</t>
    </r>
    <r>
      <rPr>
        <i/>
        <sz val="10"/>
        <color theme="1"/>
        <rFont val="Century Gothic"/>
        <family val="2"/>
      </rPr>
      <t xml:space="preserve"> (Honeydew) *</t>
    </r>
  </si>
  <si>
    <r>
      <rPr>
        <b/>
        <sz val="10"/>
        <color theme="1"/>
        <rFont val="Century Gothic"/>
        <family val="2"/>
      </rPr>
      <t>Pisang Berangan/</t>
    </r>
    <r>
      <rPr>
        <i/>
        <sz val="10"/>
        <color theme="1"/>
        <rFont val="Century Gothic"/>
        <family val="2"/>
      </rPr>
      <t xml:space="preserve"> Pisang Berangan (Banana)</t>
    </r>
  </si>
  <si>
    <r>
      <rPr>
        <b/>
        <sz val="10"/>
        <color theme="1"/>
        <rFont val="Century Gothic"/>
        <family val="2"/>
      </rPr>
      <t>Tembikai, Tanpa Biji/</t>
    </r>
    <r>
      <rPr>
        <i/>
        <sz val="10"/>
        <color theme="1"/>
        <rFont val="Century Gothic"/>
        <family val="2"/>
      </rPr>
      <t xml:space="preserve"> Watermelon, Seedless</t>
    </r>
  </si>
  <si>
    <t>Kelapa dan Telur</t>
  </si>
  <si>
    <t>Coconut &amp; Eggs</t>
  </si>
  <si>
    <r>
      <rPr>
        <b/>
        <sz val="10"/>
        <color theme="1"/>
        <rFont val="Century Gothic"/>
        <family val="2"/>
      </rPr>
      <t>Kelapa Parut/</t>
    </r>
    <r>
      <rPr>
        <i/>
        <sz val="10"/>
        <color theme="1"/>
        <rFont val="Century Gothic"/>
        <family val="2"/>
      </rPr>
      <t xml:space="preserve"> Coconut Grated</t>
    </r>
  </si>
  <si>
    <r>
      <rPr>
        <b/>
        <sz val="10"/>
        <color theme="1"/>
        <rFont val="Century Gothic"/>
        <family val="2"/>
      </rPr>
      <t>Santan/</t>
    </r>
    <r>
      <rPr>
        <i/>
        <sz val="10"/>
        <color theme="1"/>
        <rFont val="Century Gothic"/>
        <family val="2"/>
      </rPr>
      <t xml:space="preserve"> Fresh Coconut Milk</t>
    </r>
  </si>
  <si>
    <r>
      <rPr>
        <b/>
        <sz val="10"/>
        <color theme="1"/>
        <rFont val="Century Gothic"/>
        <family val="2"/>
      </rPr>
      <t>Telur Gred A/</t>
    </r>
    <r>
      <rPr>
        <i/>
        <sz val="10"/>
        <color theme="1"/>
        <rFont val="Century Gothic"/>
        <family val="2"/>
      </rPr>
      <t xml:space="preserve"> Hen's Egg Grade A</t>
    </r>
  </si>
  <si>
    <r>
      <t xml:space="preserve">10 biji/ </t>
    </r>
    <r>
      <rPr>
        <i/>
        <sz val="10"/>
        <color theme="1"/>
        <rFont val="Century Gothic"/>
        <family val="2"/>
      </rPr>
      <t>each</t>
    </r>
  </si>
  <si>
    <r>
      <rPr>
        <b/>
        <sz val="10"/>
        <color theme="1"/>
        <rFont val="Century Gothic"/>
        <family val="2"/>
      </rPr>
      <t>Telur Gred B/</t>
    </r>
    <r>
      <rPr>
        <i/>
        <sz val="10"/>
        <color theme="1"/>
        <rFont val="Century Gothic"/>
        <family val="2"/>
      </rPr>
      <t xml:space="preserve"> Hen's Egg Grade B</t>
    </r>
  </si>
  <si>
    <r>
      <rPr>
        <b/>
        <sz val="10"/>
        <color theme="1"/>
        <rFont val="Century Gothic"/>
        <family val="2"/>
      </rPr>
      <t>Telur Gred C/</t>
    </r>
    <r>
      <rPr>
        <i/>
        <sz val="10"/>
        <color theme="1"/>
        <rFont val="Century Gothic"/>
        <family val="2"/>
      </rPr>
      <t xml:space="preserve"> Hen's Egg Grade C</t>
    </r>
  </si>
  <si>
    <t>Ikan, Ayam dan Daging</t>
  </si>
  <si>
    <t>Fish, Chicken &amp; Meat</t>
  </si>
  <si>
    <r>
      <rPr>
        <b/>
        <sz val="10"/>
        <color theme="1"/>
        <rFont val="Century Gothic"/>
        <family val="2"/>
      </rPr>
      <t>Ikan Bawal Hitam/</t>
    </r>
    <r>
      <rPr>
        <i/>
        <sz val="10"/>
        <color theme="1"/>
        <rFont val="Century Gothic"/>
        <family val="2"/>
      </rPr>
      <t xml:space="preserve"> Black Pomfret (Fish)</t>
    </r>
  </si>
  <si>
    <r>
      <rPr>
        <b/>
        <sz val="10"/>
        <color theme="1"/>
        <rFont val="Century Gothic"/>
        <family val="2"/>
      </rPr>
      <t>Ikan Cencaru/</t>
    </r>
    <r>
      <rPr>
        <i/>
        <sz val="10"/>
        <color theme="1"/>
        <rFont val="Century Gothic"/>
        <family val="2"/>
      </rPr>
      <t xml:space="preserve"> Hardtail Scad (Fish)</t>
    </r>
  </si>
  <si>
    <r>
      <rPr>
        <b/>
        <sz val="10"/>
        <color theme="1"/>
        <rFont val="Century Gothic"/>
        <family val="2"/>
      </rPr>
      <t>Ikan Kembung/</t>
    </r>
    <r>
      <rPr>
        <i/>
        <sz val="10"/>
        <color theme="1"/>
        <rFont val="Century Gothic"/>
        <family val="2"/>
      </rPr>
      <t xml:space="preserve"> Indian Mackerel (Fish)</t>
    </r>
  </si>
  <si>
    <r>
      <rPr>
        <b/>
        <sz val="10"/>
        <color theme="1"/>
        <rFont val="Century Gothic"/>
        <family val="2"/>
      </rPr>
      <t>Ikan Kerisi/</t>
    </r>
    <r>
      <rPr>
        <i/>
        <sz val="10"/>
        <color theme="1"/>
        <rFont val="Century Gothic"/>
        <family val="2"/>
      </rPr>
      <t xml:space="preserve"> Threadfin Bream (Fish)</t>
    </r>
  </si>
  <si>
    <r>
      <rPr>
        <b/>
        <sz val="10"/>
        <color theme="1"/>
        <rFont val="Century Gothic"/>
        <family val="2"/>
      </rPr>
      <t>Ikan Merah/</t>
    </r>
    <r>
      <rPr>
        <i/>
        <sz val="10"/>
        <color theme="1"/>
        <rFont val="Century Gothic"/>
        <family val="2"/>
      </rPr>
      <t xml:space="preserve"> Red Snapper (Fish)</t>
    </r>
  </si>
  <si>
    <r>
      <rPr>
        <b/>
        <sz val="10"/>
        <color theme="1"/>
        <rFont val="Century Gothic"/>
        <family val="2"/>
      </rPr>
      <t>Ikan Tenggiri, Batang/</t>
    </r>
    <r>
      <rPr>
        <i/>
        <sz val="10"/>
        <color theme="1"/>
        <rFont val="Century Gothic"/>
        <family val="2"/>
      </rPr>
      <t xml:space="preserve"> Spanish Mackerel, Batang (Fish)</t>
    </r>
  </si>
  <si>
    <r>
      <rPr>
        <b/>
        <sz val="10"/>
        <color theme="1"/>
        <rFont val="Century Gothic"/>
        <family val="2"/>
      </rPr>
      <t>Ikan Tongkol, Hitam/</t>
    </r>
    <r>
      <rPr>
        <i/>
        <sz val="10"/>
        <color theme="1"/>
        <rFont val="Century Gothic"/>
        <family val="2"/>
      </rPr>
      <t xml:space="preserve"> Longtail Tuna, Black (Fish)</t>
    </r>
  </si>
  <si>
    <r>
      <rPr>
        <b/>
        <sz val="10"/>
        <color theme="1"/>
        <rFont val="Century Gothic"/>
        <family val="2"/>
      </rPr>
      <t>Ikan Selayang/</t>
    </r>
    <r>
      <rPr>
        <i/>
        <sz val="10"/>
        <color theme="1"/>
        <rFont val="Century Gothic"/>
        <family val="2"/>
      </rPr>
      <t xml:space="preserve"> Sardine (Fish)</t>
    </r>
  </si>
  <si>
    <r>
      <rPr>
        <b/>
        <sz val="10"/>
        <color theme="1"/>
        <rFont val="Century Gothic"/>
        <family val="2"/>
      </rPr>
      <t>Ikan Siakap/</t>
    </r>
    <r>
      <rPr>
        <i/>
        <sz val="10"/>
        <color theme="1"/>
        <rFont val="Century Gothic"/>
        <family val="2"/>
      </rPr>
      <t xml:space="preserve"> Barramundi (Fish)</t>
    </r>
  </si>
  <si>
    <r>
      <rPr>
        <b/>
        <sz val="10"/>
        <color theme="1"/>
        <rFont val="Century Gothic"/>
        <family val="2"/>
      </rPr>
      <t>Ayam/</t>
    </r>
    <r>
      <rPr>
        <i/>
        <sz val="10"/>
        <color theme="1"/>
        <rFont val="Century Gothic"/>
        <family val="2"/>
      </rPr>
      <t xml:space="preserve"> Chicken</t>
    </r>
  </si>
  <si>
    <r>
      <rPr>
        <b/>
        <sz val="10"/>
        <color theme="1"/>
        <rFont val="Century Gothic"/>
        <family val="2"/>
      </rPr>
      <t>Daging Lembu Tempatan/</t>
    </r>
    <r>
      <rPr>
        <i/>
        <sz val="10"/>
        <color theme="1"/>
        <rFont val="Century Gothic"/>
        <family val="2"/>
      </rPr>
      <t xml:space="preserve"> Local Beef</t>
    </r>
  </si>
  <si>
    <t>Udang, Sotong dan Ketam</t>
  </si>
  <si>
    <t>Prawn, Cuttlefish and Crab</t>
  </si>
  <si>
    <r>
      <rPr>
        <b/>
        <sz val="10"/>
        <color theme="1"/>
        <rFont val="Century Gothic"/>
        <family val="2"/>
      </rPr>
      <t>Udang (8-12 sm)/</t>
    </r>
    <r>
      <rPr>
        <i/>
        <sz val="10"/>
        <color theme="1"/>
        <rFont val="Century Gothic"/>
        <family val="2"/>
      </rPr>
      <t xml:space="preserve"> Prawns (8 – 12 cm)</t>
    </r>
  </si>
  <si>
    <r>
      <rPr>
        <b/>
        <sz val="10"/>
        <color theme="1"/>
        <rFont val="Century Gothic"/>
        <family val="2"/>
      </rPr>
      <t>Sotong (10-12 sm)/</t>
    </r>
    <r>
      <rPr>
        <i/>
        <sz val="10"/>
        <color theme="1"/>
        <rFont val="Century Gothic"/>
        <family val="2"/>
      </rPr>
      <t xml:space="preserve"> Cuttlefish Fresh (10 – 12 cm)</t>
    </r>
  </si>
  <si>
    <r>
      <rPr>
        <b/>
        <sz val="10"/>
        <color theme="1"/>
        <rFont val="Century Gothic"/>
        <family val="2"/>
      </rPr>
      <t>Ketam/</t>
    </r>
    <r>
      <rPr>
        <i/>
        <sz val="10"/>
        <color theme="1"/>
        <rFont val="Century Gothic"/>
        <family val="2"/>
      </rPr>
      <t xml:space="preserve"> Crabs</t>
    </r>
  </si>
  <si>
    <t>Makanan dan Minuman</t>
  </si>
  <si>
    <t>Nasi Lemak</t>
  </si>
  <si>
    <r>
      <t xml:space="preserve">bungkus/ </t>
    </r>
    <r>
      <rPr>
        <i/>
        <sz val="10"/>
        <color theme="1"/>
        <rFont val="Century Gothic"/>
        <family val="2"/>
      </rPr>
      <t>each</t>
    </r>
  </si>
  <si>
    <r>
      <rPr>
        <b/>
        <sz val="10"/>
        <color theme="1"/>
        <rFont val="Century Gothic"/>
        <family val="2"/>
      </rPr>
      <t>Nasi Kosong/</t>
    </r>
    <r>
      <rPr>
        <i/>
        <sz val="10"/>
        <color theme="1"/>
        <rFont val="Century Gothic"/>
        <family val="2"/>
      </rPr>
      <t xml:space="preserve"> Plain Rice</t>
    </r>
  </si>
  <si>
    <r>
      <t xml:space="preserve">pinggan/ </t>
    </r>
    <r>
      <rPr>
        <i/>
        <sz val="10"/>
        <color theme="1"/>
        <rFont val="Century Gothic"/>
        <family val="2"/>
      </rPr>
      <t>plate</t>
    </r>
  </si>
  <si>
    <r>
      <rPr>
        <b/>
        <sz val="10"/>
        <color theme="1"/>
        <rFont val="Century Gothic"/>
        <family val="2"/>
      </rPr>
      <t>Nasi Goreng/</t>
    </r>
    <r>
      <rPr>
        <i/>
        <sz val="10"/>
        <color theme="1"/>
        <rFont val="Century Gothic"/>
        <family val="2"/>
      </rPr>
      <t xml:space="preserve"> Fried Rice</t>
    </r>
  </si>
  <si>
    <r>
      <rPr>
        <b/>
        <sz val="10"/>
        <color theme="1"/>
        <rFont val="Century Gothic"/>
        <family val="2"/>
      </rPr>
      <t>Kuey Teow Goreng/</t>
    </r>
    <r>
      <rPr>
        <i/>
        <sz val="10"/>
        <color theme="1"/>
        <rFont val="Century Gothic"/>
        <family val="2"/>
      </rPr>
      <t xml:space="preserve"> Fried Kuey Teow</t>
    </r>
  </si>
  <si>
    <r>
      <rPr>
        <b/>
        <sz val="10"/>
        <color theme="1"/>
        <rFont val="Century Gothic"/>
        <family val="2"/>
      </rPr>
      <t xml:space="preserve">Mee Hoon Goreng/ </t>
    </r>
    <r>
      <rPr>
        <i/>
        <sz val="10"/>
        <color theme="1"/>
        <rFont val="Century Gothic"/>
        <family val="2"/>
      </rPr>
      <t>Fried Mee Hoon</t>
    </r>
  </si>
  <si>
    <r>
      <rPr>
        <b/>
        <sz val="10"/>
        <color theme="1"/>
        <rFont val="Century Gothic"/>
        <family val="2"/>
      </rPr>
      <t>Nasi Biryani/</t>
    </r>
    <r>
      <rPr>
        <i/>
        <sz val="10"/>
        <color theme="1"/>
        <rFont val="Century Gothic"/>
        <family val="2"/>
      </rPr>
      <t xml:space="preserve"> Biryani Rice</t>
    </r>
  </si>
  <si>
    <t>Roti Canai</t>
  </si>
  <si>
    <r>
      <t xml:space="preserve">keping/ </t>
    </r>
    <r>
      <rPr>
        <i/>
        <sz val="10"/>
        <color theme="1"/>
        <rFont val="Century Gothic"/>
        <family val="2"/>
      </rPr>
      <t>each</t>
    </r>
  </si>
  <si>
    <r>
      <rPr>
        <b/>
        <sz val="10"/>
        <color theme="1"/>
        <rFont val="Century Gothic"/>
        <family val="2"/>
      </rPr>
      <t>Air Mineral/</t>
    </r>
    <r>
      <rPr>
        <i/>
        <sz val="10"/>
        <color theme="1"/>
        <rFont val="Century Gothic"/>
        <family val="2"/>
      </rPr>
      <t xml:space="preserve"> Mineral Water *</t>
    </r>
  </si>
  <si>
    <t>500 ml</t>
  </si>
  <si>
    <r>
      <rPr>
        <b/>
        <sz val="10"/>
        <color theme="1"/>
        <rFont val="Century Gothic"/>
        <family val="2"/>
      </rPr>
      <t>Satay Ayam/</t>
    </r>
    <r>
      <rPr>
        <i/>
        <sz val="10"/>
        <color theme="1"/>
        <rFont val="Century Gothic"/>
        <family val="2"/>
      </rPr>
      <t xml:space="preserve"> Chicken Satay</t>
    </r>
  </si>
  <si>
    <r>
      <t xml:space="preserve">cucuk/ </t>
    </r>
    <r>
      <rPr>
        <i/>
        <sz val="10"/>
        <color theme="1"/>
        <rFont val="Century Gothic"/>
        <family val="2"/>
      </rPr>
      <t>each</t>
    </r>
  </si>
  <si>
    <r>
      <rPr>
        <b/>
        <sz val="10"/>
        <color theme="1"/>
        <rFont val="Century Gothic"/>
        <family val="2"/>
      </rPr>
      <t>Nasi Ayam/</t>
    </r>
    <r>
      <rPr>
        <i/>
        <sz val="10"/>
        <color theme="1"/>
        <rFont val="Century Gothic"/>
        <family val="2"/>
      </rPr>
      <t xml:space="preserve"> Chicken Rice</t>
    </r>
  </si>
  <si>
    <t>Teh Tarik</t>
  </si>
  <si>
    <r>
      <t>cawan/</t>
    </r>
    <r>
      <rPr>
        <i/>
        <sz val="10"/>
        <color theme="1"/>
        <rFont val="Century Gothic"/>
        <family val="2"/>
      </rPr>
      <t xml:space="preserve"> cup</t>
    </r>
  </si>
  <si>
    <t>Kopi-O</t>
  </si>
  <si>
    <t>Teh-O</t>
  </si>
  <si>
    <t>Milo</t>
  </si>
  <si>
    <r>
      <t xml:space="preserve">Nota/ </t>
    </r>
    <r>
      <rPr>
        <i/>
        <sz val="9"/>
        <rFont val="Century Gothic"/>
        <family val="2"/>
      </rPr>
      <t>Notes</t>
    </r>
    <r>
      <rPr>
        <sz val="9"/>
        <rFont val="Century Gothic"/>
        <family val="2"/>
      </rPr>
      <t>:</t>
    </r>
  </si>
  <si>
    <t>* Item baharu bermula Januari 2024</t>
  </si>
  <si>
    <t xml:space="preserve">    New item starting January 2024</t>
  </si>
  <si>
    <t>** Perubahan spesifikasi item bermula Januari 2024</t>
  </si>
  <si>
    <t xml:space="preserve">     Change in the specification of item starting January 2024</t>
  </si>
  <si>
    <t>: Harga purata item terpilih, Malaysia, 2022 - 2024 (samb.)</t>
  </si>
  <si>
    <t>: Average price for selected items, Malaysia, 2022 - 2024 (cont'd)</t>
  </si>
  <si>
    <t>Perkakas Isi Rumah &amp; Barangan Elektrik</t>
  </si>
  <si>
    <t>Household Appliances &amp; Electrical Goods</t>
  </si>
  <si>
    <r>
      <rPr>
        <b/>
        <sz val="10"/>
        <color theme="1"/>
        <rFont val="Century Gothic"/>
        <family val="2"/>
      </rPr>
      <t>Periuk Nasi Elektrik, 1.8LT/</t>
    </r>
    <r>
      <rPr>
        <i/>
        <sz val="10"/>
        <color theme="1"/>
        <rFont val="Century Gothic"/>
        <family val="2"/>
      </rPr>
      <t xml:space="preserve"> Electric Rice Cooker, 1.8LT</t>
    </r>
  </si>
  <si>
    <r>
      <t xml:space="preserve">sebiji/ </t>
    </r>
    <r>
      <rPr>
        <i/>
        <sz val="10"/>
        <color theme="1"/>
        <rFont val="Century Gothic"/>
        <family val="2"/>
      </rPr>
      <t>each</t>
    </r>
  </si>
  <si>
    <r>
      <rPr>
        <b/>
        <sz val="10"/>
        <color theme="1"/>
        <rFont val="Century Gothic"/>
        <family val="2"/>
      </rPr>
      <t xml:space="preserve">Peti Sejuk 2-Pintu, kapasiti 280-300L
</t>
    </r>
    <r>
      <rPr>
        <i/>
        <sz val="10"/>
        <color theme="1"/>
        <rFont val="Century Gothic"/>
        <family val="2"/>
      </rPr>
      <t>Refrigerator, 2 Doors, with capacity 280-300L</t>
    </r>
  </si>
  <si>
    <r>
      <t xml:space="preserve">sebuah/ </t>
    </r>
    <r>
      <rPr>
        <i/>
        <sz val="10"/>
        <color theme="1"/>
        <rFont val="Century Gothic"/>
        <family val="2"/>
      </rPr>
      <t>each</t>
    </r>
  </si>
  <si>
    <r>
      <rPr>
        <b/>
        <sz val="10"/>
        <color theme="1"/>
        <rFont val="Century Gothic"/>
        <family val="2"/>
      </rPr>
      <t xml:space="preserve">Televisyen Warna, Full HD 40"-43"/ </t>
    </r>
    <r>
      <rPr>
        <i/>
        <sz val="10"/>
        <color theme="1"/>
        <rFont val="Century Gothic"/>
        <family val="2"/>
      </rPr>
      <t>TV Colour, 40”-43" Full HD **</t>
    </r>
  </si>
  <si>
    <t>Perkakas Lain, Barang-Barang  dan Produk Untuk Penjagaan Diri</t>
  </si>
  <si>
    <t>Other Appliances, Articles &amp; Products for Personal Care</t>
  </si>
  <si>
    <r>
      <rPr>
        <b/>
        <sz val="10"/>
        <color theme="1"/>
        <rFont val="Century Gothic"/>
        <family val="2"/>
      </rPr>
      <t xml:space="preserve">Lampin Bayi, Saiz M/ </t>
    </r>
    <r>
      <rPr>
        <i/>
        <sz val="10"/>
        <color theme="1"/>
        <rFont val="Century Gothic"/>
        <family val="2"/>
      </rPr>
      <t>Baby Diapers, Size M</t>
    </r>
  </si>
  <si>
    <r>
      <t xml:space="preserve">pek/ </t>
    </r>
    <r>
      <rPr>
        <i/>
        <sz val="10"/>
        <color theme="1"/>
        <rFont val="Century Gothic"/>
        <family val="2"/>
      </rPr>
      <t>pack</t>
    </r>
  </si>
  <si>
    <r>
      <rPr>
        <b/>
        <sz val="10"/>
        <color theme="1"/>
        <rFont val="Century Gothic"/>
        <family val="2"/>
      </rPr>
      <t>Syampu, 300 ML/</t>
    </r>
    <r>
      <rPr>
        <i/>
        <sz val="10"/>
        <color theme="1"/>
        <rFont val="Century Gothic"/>
        <family val="2"/>
      </rPr>
      <t xml:space="preserve"> Shampoo, 300 ML **</t>
    </r>
  </si>
  <si>
    <r>
      <t>botol/</t>
    </r>
    <r>
      <rPr>
        <i/>
        <sz val="10"/>
        <color theme="1"/>
        <rFont val="Century Gothic"/>
        <family val="2"/>
      </rPr>
      <t xml:space="preserve"> bottle</t>
    </r>
  </si>
  <si>
    <t>Susu Segar, Susu Pekat, Susu Tepung &amp; Keluaran Susu Lain</t>
  </si>
  <si>
    <t>Fresh Milk, Condensed Milk, Milk Powder &amp; Other Dairy Products</t>
  </si>
  <si>
    <r>
      <rPr>
        <b/>
        <sz val="10"/>
        <color theme="1"/>
        <rFont val="Century Gothic"/>
        <family val="2"/>
      </rPr>
      <t xml:space="preserve">Susu Segar UHT/ </t>
    </r>
    <r>
      <rPr>
        <i/>
        <sz val="10"/>
        <color theme="1"/>
        <rFont val="Century Gothic"/>
        <family val="2"/>
      </rPr>
      <t>Fresh Milk UHT</t>
    </r>
  </si>
  <si>
    <t>1 L</t>
  </si>
  <si>
    <r>
      <rPr>
        <b/>
        <sz val="10"/>
        <color theme="1"/>
        <rFont val="Century Gothic"/>
        <family val="2"/>
      </rPr>
      <t>Susu, Krimer Pekat Manis/</t>
    </r>
    <r>
      <rPr>
        <i/>
        <sz val="10"/>
        <color theme="1"/>
        <rFont val="Century Gothic"/>
        <family val="2"/>
      </rPr>
      <t xml:space="preserve"> Sweetened Creamer Milk</t>
    </r>
  </si>
  <si>
    <t>500 gm</t>
  </si>
  <si>
    <r>
      <rPr>
        <b/>
        <sz val="10"/>
        <color theme="1"/>
        <rFont val="Century Gothic"/>
        <family val="2"/>
      </rPr>
      <t xml:space="preserve">Susu Tepung Bayi, PK/ </t>
    </r>
    <r>
      <rPr>
        <i/>
        <sz val="10"/>
        <color theme="1"/>
        <rFont val="Century Gothic"/>
        <family val="2"/>
      </rPr>
      <t>Powdered Milk (Infant), PK</t>
    </r>
  </si>
  <si>
    <t>650 gm</t>
  </si>
  <si>
    <r>
      <rPr>
        <b/>
        <sz val="10"/>
        <color theme="1"/>
        <rFont val="Century Gothic"/>
        <family val="2"/>
      </rPr>
      <t>Keju (12) PK/</t>
    </r>
    <r>
      <rPr>
        <i/>
        <sz val="10"/>
        <color theme="1"/>
        <rFont val="Century Gothic"/>
        <family val="2"/>
      </rPr>
      <t xml:space="preserve"> Cheese (12), PK</t>
    </r>
  </si>
  <si>
    <t>250 g</t>
  </si>
  <si>
    <t>Barang Pengeluaran Perubatan</t>
  </si>
  <si>
    <t>Pharmaceutical Products</t>
  </si>
  <si>
    <r>
      <rPr>
        <b/>
        <sz val="10"/>
        <color theme="1"/>
        <rFont val="Century Gothic"/>
        <family val="2"/>
      </rPr>
      <t>Ubat batuk/</t>
    </r>
    <r>
      <rPr>
        <i/>
        <sz val="10"/>
        <color theme="1"/>
        <rFont val="Century Gothic"/>
        <family val="2"/>
      </rPr>
      <t xml:space="preserve"> Cough Mixture / Syrup</t>
    </r>
  </si>
  <si>
    <r>
      <t xml:space="preserve">60 ml botol/ </t>
    </r>
    <r>
      <rPr>
        <i/>
        <sz val="10"/>
        <color theme="1"/>
        <rFont val="Century Gothic"/>
        <family val="2"/>
      </rPr>
      <t>bottle</t>
    </r>
  </si>
  <si>
    <t>Paracetamol</t>
  </si>
  <si>
    <t>12 strip</t>
  </si>
  <si>
    <t>Ikan &amp; Makanan Laut yang diproses dan Minyak Masak</t>
  </si>
  <si>
    <t>Processed Fish and Cooking Oil</t>
  </si>
  <si>
    <r>
      <rPr>
        <b/>
        <sz val="10"/>
        <color theme="1"/>
        <rFont val="Century Gothic"/>
        <family val="2"/>
      </rPr>
      <t xml:space="preserve">Ikan dalam Sos Tomato/ </t>
    </r>
    <r>
      <rPr>
        <i/>
        <sz val="10"/>
        <color theme="1"/>
        <rFont val="Century Gothic"/>
        <family val="2"/>
      </rPr>
      <t>Fish in tomato sauce</t>
    </r>
  </si>
  <si>
    <t>425 gm</t>
  </si>
  <si>
    <r>
      <rPr>
        <b/>
        <sz val="10"/>
        <color theme="1"/>
        <rFont val="Century Gothic"/>
        <family val="2"/>
      </rPr>
      <t>Minyak Masak/</t>
    </r>
    <r>
      <rPr>
        <i/>
        <sz val="10"/>
        <color theme="1"/>
        <rFont val="Century Gothic"/>
        <family val="2"/>
      </rPr>
      <t xml:space="preserve"> Cooking Oil</t>
    </r>
  </si>
  <si>
    <t>3 Kg bot</t>
  </si>
  <si>
    <r>
      <rPr>
        <b/>
        <sz val="10"/>
        <color theme="1"/>
        <rFont val="Century Gothic"/>
        <family val="2"/>
      </rPr>
      <t>Minyak Masak</t>
    </r>
    <r>
      <rPr>
        <i/>
        <sz val="10"/>
        <color theme="1"/>
        <rFont val="Century Gothic"/>
        <family val="2"/>
      </rPr>
      <t>/ Cooking Oil</t>
    </r>
  </si>
  <si>
    <t>5 Kg bot</t>
  </si>
  <si>
    <t>1 Kg bot</t>
  </si>
  <si>
    <t>Beras, Minuman Bermalt dan Minuman Isotonik</t>
  </si>
  <si>
    <t>Rice, Malt Drinks and Isotonic Drinks</t>
  </si>
  <si>
    <r>
      <rPr>
        <b/>
        <sz val="10"/>
        <color theme="1"/>
        <rFont val="Century Gothic"/>
        <family val="2"/>
      </rPr>
      <t xml:space="preserve">Beras SST 5%/ </t>
    </r>
    <r>
      <rPr>
        <i/>
        <sz val="10"/>
        <color theme="1"/>
        <rFont val="Century Gothic"/>
        <family val="2"/>
      </rPr>
      <t>Rice SST 5%</t>
    </r>
  </si>
  <si>
    <t>10 Kg</t>
  </si>
  <si>
    <r>
      <rPr>
        <b/>
        <sz val="10"/>
        <color theme="1"/>
        <rFont val="Century Gothic"/>
        <family val="2"/>
      </rPr>
      <t>Minuman bermalt, PK/</t>
    </r>
    <r>
      <rPr>
        <i/>
        <sz val="10"/>
        <color theme="1"/>
        <rFont val="Century Gothic"/>
        <family val="2"/>
      </rPr>
      <t xml:space="preserve"> Malt Drinks, PK</t>
    </r>
  </si>
  <si>
    <r>
      <rPr>
        <b/>
        <sz val="10"/>
        <color theme="1"/>
        <rFont val="Century Gothic"/>
        <family val="2"/>
      </rPr>
      <t xml:space="preserve">Minuman Isotonik/ </t>
    </r>
    <r>
      <rPr>
        <i/>
        <sz val="10"/>
        <color theme="1"/>
        <rFont val="Century Gothic"/>
        <family val="2"/>
      </rPr>
      <t>Isotonic Drinks</t>
    </r>
  </si>
  <si>
    <t>1.5 L</t>
  </si>
  <si>
    <t>Mee Kering, Kicap Kacang Soya Manis, Sos, Mayonis, Minuman Beralkohol dan Ubat Nyamuk</t>
  </si>
  <si>
    <t>Dried Mee, Sweet Soy Sauce,Mayonnaise, Alcoholic Beverages and Mosquito Repellent</t>
  </si>
  <si>
    <r>
      <rPr>
        <b/>
        <sz val="10"/>
        <color theme="1"/>
        <rFont val="Century Gothic"/>
        <family val="2"/>
      </rPr>
      <t>Mee Kering/</t>
    </r>
    <r>
      <rPr>
        <i/>
        <sz val="10"/>
        <color theme="1"/>
        <rFont val="Century Gothic"/>
        <family val="2"/>
      </rPr>
      <t xml:space="preserve"> Dried Mee</t>
    </r>
  </si>
  <si>
    <r>
      <t xml:space="preserve">5 pek/ </t>
    </r>
    <r>
      <rPr>
        <i/>
        <sz val="10"/>
        <color theme="1"/>
        <rFont val="Century Gothic"/>
        <family val="2"/>
      </rPr>
      <t>pack</t>
    </r>
  </si>
  <si>
    <r>
      <rPr>
        <b/>
        <sz val="10"/>
        <color theme="1"/>
        <rFont val="Century Gothic"/>
        <family val="2"/>
      </rPr>
      <t>Kicap Kacang Soya, manis/</t>
    </r>
    <r>
      <rPr>
        <i/>
        <sz val="10"/>
        <color theme="1"/>
        <rFont val="Century Gothic"/>
        <family val="2"/>
      </rPr>
      <t xml:space="preserve"> Sweet Soy Sauce</t>
    </r>
  </si>
  <si>
    <t>345 ml</t>
  </si>
  <si>
    <r>
      <rPr>
        <b/>
        <sz val="10"/>
        <color theme="1"/>
        <rFont val="Century Gothic"/>
        <family val="2"/>
      </rPr>
      <t xml:space="preserve">Sos Tomato/ </t>
    </r>
    <r>
      <rPr>
        <i/>
        <sz val="10"/>
        <color theme="1"/>
        <rFont val="Century Gothic"/>
        <family val="2"/>
      </rPr>
      <t>Tomato Sauce</t>
    </r>
  </si>
  <si>
    <t>475 gm bot</t>
  </si>
  <si>
    <r>
      <rPr>
        <b/>
        <sz val="10"/>
        <color theme="1"/>
        <rFont val="Century Gothic"/>
        <family val="2"/>
      </rPr>
      <t>Sos Cili/</t>
    </r>
    <r>
      <rPr>
        <i/>
        <sz val="10"/>
        <color theme="1"/>
        <rFont val="Century Gothic"/>
        <family val="2"/>
      </rPr>
      <t xml:space="preserve"> Chilli Sauce</t>
    </r>
  </si>
  <si>
    <t>340 gm bot</t>
  </si>
  <si>
    <r>
      <rPr>
        <b/>
        <sz val="10"/>
        <color theme="1"/>
        <rFont val="Century Gothic"/>
        <family val="2"/>
      </rPr>
      <t xml:space="preserve">Mayonis/ </t>
    </r>
    <r>
      <rPr>
        <i/>
        <sz val="10"/>
        <color theme="1"/>
        <rFont val="Century Gothic"/>
        <family val="2"/>
      </rPr>
      <t>Mayonnaise **</t>
    </r>
  </si>
  <si>
    <t>205 ml bot</t>
  </si>
  <si>
    <r>
      <rPr>
        <b/>
        <sz val="10"/>
        <color theme="1"/>
        <rFont val="Century Gothic"/>
        <family val="2"/>
      </rPr>
      <t>Minuman Beralkohol/</t>
    </r>
    <r>
      <rPr>
        <i/>
        <sz val="10"/>
        <color theme="1"/>
        <rFont val="Century Gothic"/>
        <family val="2"/>
      </rPr>
      <t xml:space="preserve"> Alcoholic Beverages</t>
    </r>
  </si>
  <si>
    <t>320 ml tin</t>
  </si>
  <si>
    <r>
      <rPr>
        <b/>
        <sz val="10"/>
        <color theme="1"/>
        <rFont val="Century Gothic"/>
        <family val="2"/>
      </rPr>
      <t xml:space="preserve">Ubat Nyamuk/ </t>
    </r>
    <r>
      <rPr>
        <i/>
        <sz val="10"/>
        <color theme="1"/>
        <rFont val="Century Gothic"/>
        <family val="2"/>
      </rPr>
      <t>Mosquito Repellent</t>
    </r>
  </si>
  <si>
    <r>
      <t>10 keping/</t>
    </r>
    <r>
      <rPr>
        <sz val="10"/>
        <color theme="1"/>
        <rFont val="Century Gothic"/>
        <family val="2"/>
      </rPr>
      <t xml:space="preserve"> pieces</t>
    </r>
  </si>
  <si>
    <r>
      <rPr>
        <b/>
        <sz val="10"/>
        <color theme="1"/>
        <rFont val="Century Gothic"/>
        <family val="2"/>
      </rPr>
      <t>Ubat Nyamuk/</t>
    </r>
    <r>
      <rPr>
        <i/>
        <sz val="10"/>
        <color theme="1"/>
        <rFont val="Century Gothic"/>
        <family val="2"/>
      </rPr>
      <t xml:space="preserve"> Mosquito Repellent</t>
    </r>
  </si>
  <si>
    <r>
      <t>30 keping/</t>
    </r>
    <r>
      <rPr>
        <i/>
        <sz val="10"/>
        <color theme="1"/>
        <rFont val="Century Gothic"/>
        <family val="2"/>
      </rPr>
      <t xml:space="preserve"> pieces</t>
    </r>
  </si>
  <si>
    <t>360 gm tin</t>
  </si>
  <si>
    <t>Barangan &amp; Penyelenggaraan  Isi Rumah, Buku &amp; Alat tulis dan Barangan Untuk Penjagaan Diri</t>
  </si>
  <si>
    <t>Goods &amp; Services For Routine Household Maintenance, Books &amp; Stationery and Products for Personal Care</t>
  </si>
  <si>
    <r>
      <rPr>
        <b/>
        <sz val="10"/>
        <color theme="1"/>
        <rFont val="Century Gothic"/>
        <family val="2"/>
      </rPr>
      <t>Plastik Sampah/</t>
    </r>
    <r>
      <rPr>
        <i/>
        <sz val="10"/>
        <color theme="1"/>
        <rFont val="Century Gothic"/>
        <family val="2"/>
      </rPr>
      <t xml:space="preserve"> Garbage Plastic Bag</t>
    </r>
  </si>
  <si>
    <r>
      <t xml:space="preserve">10 keping/ </t>
    </r>
    <r>
      <rPr>
        <i/>
        <sz val="10"/>
        <color theme="1"/>
        <rFont val="Century Gothic"/>
        <family val="2"/>
      </rPr>
      <t>pack</t>
    </r>
  </si>
  <si>
    <r>
      <rPr>
        <b/>
        <sz val="10"/>
        <color theme="1"/>
        <rFont val="Century Gothic"/>
        <family val="2"/>
      </rPr>
      <t xml:space="preserve">Pelembut Fabrik/ </t>
    </r>
    <r>
      <rPr>
        <i/>
        <sz val="10"/>
        <color theme="1"/>
        <rFont val="Century Gothic"/>
        <family val="2"/>
      </rPr>
      <t>Fabric Softener **</t>
    </r>
  </si>
  <si>
    <t>3 L bot</t>
  </si>
  <si>
    <t>Pen</t>
  </si>
  <si>
    <r>
      <t xml:space="preserve">sebatang/ </t>
    </r>
    <r>
      <rPr>
        <i/>
        <sz val="10"/>
        <color theme="1"/>
        <rFont val="Century Gothic"/>
        <family val="2"/>
      </rPr>
      <t>each</t>
    </r>
  </si>
  <si>
    <r>
      <rPr>
        <b/>
        <sz val="10"/>
        <color theme="1"/>
        <rFont val="Century Gothic"/>
        <family val="2"/>
      </rPr>
      <t>Pensel Warna/</t>
    </r>
    <r>
      <rPr>
        <i/>
        <sz val="10"/>
        <color theme="1"/>
        <rFont val="Century Gothic"/>
        <family val="2"/>
      </rPr>
      <t xml:space="preserve"> Pencil, Colour</t>
    </r>
  </si>
  <si>
    <r>
      <t xml:space="preserve">12 batang, kotak/ </t>
    </r>
    <r>
      <rPr>
        <i/>
        <sz val="10"/>
        <color theme="1"/>
        <rFont val="Century Gothic"/>
        <family val="2"/>
      </rPr>
      <t>pieces, box</t>
    </r>
  </si>
  <si>
    <r>
      <rPr>
        <b/>
        <sz val="10"/>
        <color theme="1"/>
        <rFont val="Century Gothic"/>
        <family val="2"/>
      </rPr>
      <t>Kertas Fotostat/</t>
    </r>
    <r>
      <rPr>
        <i/>
        <sz val="10"/>
        <color theme="1"/>
        <rFont val="Century Gothic"/>
        <family val="2"/>
      </rPr>
      <t xml:space="preserve"> Photostat Paper</t>
    </r>
  </si>
  <si>
    <t>1 rim</t>
  </si>
  <si>
    <r>
      <rPr>
        <b/>
        <sz val="10"/>
        <color theme="1"/>
        <rFont val="Century Gothic"/>
        <family val="2"/>
      </rPr>
      <t>Buku Latihan/</t>
    </r>
    <r>
      <rPr>
        <i/>
        <sz val="10"/>
        <color theme="1"/>
        <rFont val="Century Gothic"/>
        <family val="2"/>
      </rPr>
      <t xml:space="preserve"> Exercise Book</t>
    </r>
  </si>
  <si>
    <r>
      <rPr>
        <b/>
        <sz val="10"/>
        <color theme="1"/>
        <rFont val="Century Gothic"/>
        <family val="2"/>
      </rPr>
      <t>Potong Rambut (Lelaki)/</t>
    </r>
    <r>
      <rPr>
        <i/>
        <sz val="10"/>
        <color theme="1"/>
        <rFont val="Century Gothic"/>
        <family val="2"/>
      </rPr>
      <t xml:space="preserve"> Men’s Hair Cut</t>
    </r>
  </si>
  <si>
    <r>
      <t xml:space="preserve">satu/ </t>
    </r>
    <r>
      <rPr>
        <i/>
        <sz val="10"/>
        <color theme="1"/>
        <rFont val="Century Gothic"/>
        <family val="2"/>
      </rPr>
      <t>each</t>
    </r>
  </si>
  <si>
    <r>
      <rPr>
        <b/>
        <sz val="10"/>
        <color theme="1"/>
        <rFont val="Century Gothic"/>
        <family val="2"/>
      </rPr>
      <t>Berus Gigi/</t>
    </r>
    <r>
      <rPr>
        <i/>
        <sz val="10"/>
        <color theme="1"/>
        <rFont val="Century Gothic"/>
        <family val="2"/>
      </rPr>
      <t xml:space="preserve"> Toothbrush</t>
    </r>
  </si>
  <si>
    <r>
      <t xml:space="preserve">satu/ </t>
    </r>
    <r>
      <rPr>
        <i/>
        <sz val="10"/>
        <color theme="1"/>
        <rFont val="Century Gothic"/>
        <family val="2"/>
      </rPr>
      <t xml:space="preserve"> each</t>
    </r>
  </si>
  <si>
    <r>
      <rPr>
        <b/>
        <sz val="10"/>
        <color theme="1"/>
        <rFont val="Century Gothic"/>
        <family val="2"/>
      </rPr>
      <t>Ubat Gigi/</t>
    </r>
    <r>
      <rPr>
        <i/>
        <sz val="10"/>
        <color theme="1"/>
        <rFont val="Century Gothic"/>
        <family val="2"/>
      </rPr>
      <t xml:space="preserve"> Toothpaste</t>
    </r>
  </si>
  <si>
    <r>
      <t xml:space="preserve"> 175 gm tiub/ </t>
    </r>
    <r>
      <rPr>
        <i/>
        <sz val="10"/>
        <color theme="1"/>
        <rFont val="Century Gothic"/>
        <family val="2"/>
      </rPr>
      <t>tube</t>
    </r>
  </si>
  <si>
    <r>
      <rPr>
        <b/>
        <sz val="10"/>
        <color theme="1"/>
        <rFont val="Century Gothic"/>
        <family val="2"/>
      </rPr>
      <t>Tisu Tandas/</t>
    </r>
    <r>
      <rPr>
        <i/>
        <sz val="10"/>
        <color theme="1"/>
        <rFont val="Century Gothic"/>
        <family val="2"/>
      </rPr>
      <t xml:space="preserve"> Toilet Paper **</t>
    </r>
  </si>
  <si>
    <r>
      <t>20 gulung/</t>
    </r>
    <r>
      <rPr>
        <i/>
        <sz val="10"/>
        <color theme="1"/>
        <rFont val="Century Gothic"/>
        <family val="2"/>
      </rPr>
      <t xml:space="preserve"> rolls</t>
    </r>
  </si>
  <si>
    <r>
      <rPr>
        <b/>
        <sz val="10"/>
        <color theme="1"/>
        <rFont val="Century Gothic"/>
        <family val="2"/>
      </rPr>
      <t xml:space="preserve">Sabun Mandian Buku/ </t>
    </r>
    <r>
      <rPr>
        <i/>
        <sz val="10"/>
        <color theme="1"/>
        <rFont val="Century Gothic"/>
        <family val="2"/>
      </rPr>
      <t>Bar Soap **</t>
    </r>
  </si>
  <si>
    <r>
      <t xml:space="preserve">1 pek 3, 70 gm/ </t>
    </r>
    <r>
      <rPr>
        <i/>
        <sz val="10"/>
        <color theme="1"/>
        <rFont val="Century Gothic"/>
        <family val="2"/>
      </rPr>
      <t>pack of 3</t>
    </r>
  </si>
  <si>
    <r>
      <rPr>
        <b/>
        <sz val="10"/>
        <color theme="1"/>
        <rFont val="Century Gothic"/>
        <family val="2"/>
      </rPr>
      <t>Sabun Mandi/</t>
    </r>
    <r>
      <rPr>
        <i/>
        <sz val="10"/>
        <color theme="1"/>
        <rFont val="Century Gothic"/>
        <family val="2"/>
      </rPr>
      <t xml:space="preserve"> Shower Cream **</t>
    </r>
  </si>
  <si>
    <t>250 ml bot</t>
  </si>
  <si>
    <t>Jadual 24.0</t>
  </si>
  <si>
    <t xml:space="preserve">: Indeks Harga Pengeluar (IHPR) Pengeluaran Tempatan dan Perubahan Peratus Tahunan mengikut </t>
  </si>
  <si>
    <t xml:space="preserve">  Sektor, Malaysia, 2022 - 2024 </t>
  </si>
  <si>
    <t xml:space="preserve">  Table 24.0</t>
  </si>
  <si>
    <t xml:space="preserve">: Producer Price Index (PPI) Local Production and Annual Percentage Change by Sector, Malaysia, </t>
  </si>
  <si>
    <t xml:space="preserve">  2022 - 2024</t>
  </si>
  <si>
    <t>INDEKS HARGA PENGELUAR (IHPR)</t>
  </si>
  <si>
    <t>PRODUCER PRICE INDEX (PPI)</t>
  </si>
  <si>
    <t>(2010=100)</t>
  </si>
  <si>
    <t>Indeks Harga Pengeluar (IHPR)</t>
  </si>
  <si>
    <t>Producer Price Index (PPI)</t>
  </si>
  <si>
    <t>Pertanian, perhutanan dan perikanan</t>
  </si>
  <si>
    <t>Agriculture, forestry and fishing</t>
  </si>
  <si>
    <t>Perlombongan</t>
  </si>
  <si>
    <t xml:space="preserve">Mining </t>
  </si>
  <si>
    <t>Pembuatan</t>
  </si>
  <si>
    <t>Manufacturing</t>
  </si>
  <si>
    <t>Bekalan elektrik dan gas</t>
  </si>
  <si>
    <t>Electricity and gas supply</t>
  </si>
  <si>
    <t>Bekalan air</t>
  </si>
  <si>
    <t>Water supply</t>
  </si>
  <si>
    <t>Perubahan Peratus Tahunan (%)</t>
  </si>
  <si>
    <t>Annual Percentage Change (%)</t>
  </si>
  <si>
    <t>Jadual 25.0</t>
  </si>
  <si>
    <t>: Statistik utama kecederaan pekerjaan, Malaysia, 2021 - 2023</t>
  </si>
  <si>
    <t xml:space="preserve">  Table 25.0</t>
  </si>
  <si>
    <t>: Principal statistics of occupational injury , Malaysia, 2021 - 2023</t>
  </si>
  <si>
    <r>
      <t xml:space="preserve">KECEDERAAN PEKERJAAN
</t>
    </r>
    <r>
      <rPr>
        <i/>
        <sz val="10"/>
        <rFont val="Century Gothic"/>
        <family val="2"/>
      </rPr>
      <t>OCCUPATIONAL</t>
    </r>
    <r>
      <rPr>
        <b/>
        <sz val="10"/>
        <rFont val="Century Gothic"/>
        <family val="2"/>
      </rPr>
      <t xml:space="preserve"> </t>
    </r>
    <r>
      <rPr>
        <i/>
        <sz val="10"/>
        <rFont val="Century Gothic"/>
        <family val="2"/>
      </rPr>
      <t xml:space="preserve">INJURY </t>
    </r>
  </si>
  <si>
    <t>Bilangan Kecederaan Pekerjaan</t>
  </si>
  <si>
    <t xml:space="preserve">Number of occupational Injury </t>
  </si>
  <si>
    <r>
      <t xml:space="preserve">Jumlah/ </t>
    </r>
    <r>
      <rPr>
        <i/>
        <sz val="10"/>
        <rFont val="Century Gothic"/>
        <family val="2"/>
      </rPr>
      <t>Total</t>
    </r>
  </si>
  <si>
    <r>
      <t xml:space="preserve">Kewarganegaraan/ </t>
    </r>
    <r>
      <rPr>
        <i/>
        <sz val="10"/>
        <rFont val="Century Gothic"/>
        <family val="2"/>
      </rPr>
      <t>Citizenship</t>
    </r>
  </si>
  <si>
    <r>
      <t>Warganegara</t>
    </r>
    <r>
      <rPr>
        <sz val="10"/>
        <rFont val="Century Gothic"/>
        <family val="2"/>
      </rPr>
      <t xml:space="preserve">/ </t>
    </r>
    <r>
      <rPr>
        <i/>
        <sz val="10"/>
        <rFont val="Century Gothic"/>
        <family val="2"/>
      </rPr>
      <t>Citizens</t>
    </r>
  </si>
  <si>
    <r>
      <t xml:space="preserve">Bukan warganegara/ </t>
    </r>
    <r>
      <rPr>
        <i/>
        <sz val="10"/>
        <rFont val="Century Gothic"/>
        <family val="2"/>
      </rPr>
      <t>Non-citizens</t>
    </r>
  </si>
  <si>
    <r>
      <t>Jantina</t>
    </r>
    <r>
      <rPr>
        <sz val="10"/>
        <rFont val="Century Gothic"/>
        <family val="2"/>
      </rPr>
      <t xml:space="preserve">/ </t>
    </r>
    <r>
      <rPr>
        <i/>
        <sz val="10"/>
        <rFont val="Century Gothic"/>
        <family val="2"/>
      </rPr>
      <t>Sex</t>
    </r>
  </si>
  <si>
    <r>
      <t xml:space="preserve">Lelaki/ </t>
    </r>
    <r>
      <rPr>
        <i/>
        <sz val="10"/>
        <rFont val="Century Gothic"/>
        <family val="2"/>
      </rPr>
      <t>Male</t>
    </r>
  </si>
  <si>
    <r>
      <t xml:space="preserve">Perempuan/ </t>
    </r>
    <r>
      <rPr>
        <i/>
        <sz val="10"/>
        <rFont val="Century Gothic"/>
        <family val="2"/>
      </rPr>
      <t>Female</t>
    </r>
  </si>
  <si>
    <t>Sektor OSHA</t>
  </si>
  <si>
    <t>OSHA Sector</t>
  </si>
  <si>
    <r>
      <t xml:space="preserve">Pertanian, Perhutanan dan Perikanan/ </t>
    </r>
    <r>
      <rPr>
        <i/>
        <sz val="10"/>
        <rFont val="Century Gothic"/>
        <family val="2"/>
      </rPr>
      <t>Agriculture, Forestry and Fishing</t>
    </r>
  </si>
  <si>
    <r>
      <t xml:space="preserve">Perlombongan dan Pengkuarian/ </t>
    </r>
    <r>
      <rPr>
        <i/>
        <sz val="10"/>
        <rFont val="Century Gothic"/>
        <family val="2"/>
      </rPr>
      <t>Mining and Quarrying</t>
    </r>
  </si>
  <si>
    <r>
      <t xml:space="preserve">Pembuatan/ </t>
    </r>
    <r>
      <rPr>
        <i/>
        <sz val="10"/>
        <rFont val="Century Gothic"/>
        <family val="2"/>
      </rPr>
      <t>Manufacturing</t>
    </r>
  </si>
  <si>
    <r>
      <t>Pembinaan/</t>
    </r>
    <r>
      <rPr>
        <i/>
        <sz val="10"/>
        <rFont val="Century Gothic"/>
        <family val="2"/>
      </rPr>
      <t xml:space="preserve"> Construction</t>
    </r>
  </si>
  <si>
    <r>
      <t xml:space="preserve">Utiliti/ </t>
    </r>
    <r>
      <rPr>
        <i/>
        <sz val="10"/>
        <rFont val="Century Gothic"/>
        <family val="2"/>
      </rPr>
      <t>Utilities</t>
    </r>
  </si>
  <si>
    <r>
      <t xml:space="preserve">Perdagangan Borong dan Runcit/ </t>
    </r>
    <r>
      <rPr>
        <i/>
        <sz val="10"/>
        <rFont val="Century Gothic"/>
        <family val="2"/>
      </rPr>
      <t>Wholesale and Retail Trades</t>
    </r>
  </si>
  <si>
    <t>Pengangkutan, Penyimpanan dan Komunikasi</t>
  </si>
  <si>
    <t>Transport, Storage and Communication</t>
  </si>
  <si>
    <r>
      <t xml:space="preserve">Hotel dan Restoran/ </t>
    </r>
    <r>
      <rPr>
        <i/>
        <sz val="10"/>
        <rFont val="Century Gothic"/>
        <family val="2"/>
      </rPr>
      <t>Hotels and Restaurants</t>
    </r>
  </si>
  <si>
    <t xml:space="preserve">Kewangan, Insurans, Hartanah dan Perkhidmatan Perniagaan </t>
  </si>
  <si>
    <t>Finance, Insurance, Real Estate and Business Services</t>
  </si>
  <si>
    <r>
      <t xml:space="preserve">Perkhidmatan/ </t>
    </r>
    <r>
      <rPr>
        <i/>
        <sz val="10"/>
        <rFont val="Century Gothic"/>
        <family val="2"/>
      </rPr>
      <t>Services</t>
    </r>
  </si>
  <si>
    <t>Bilangan Kematian Pekerjaan</t>
  </si>
  <si>
    <t>Number of Occupational Fatality</t>
  </si>
  <si>
    <t xml:space="preserve">Sumber: Jabatan Keselamatan dan Kesihatan Pekerjaan (JKKP) </t>
  </si>
  <si>
    <t>Pertubuhan Keselamatan Sosial (PERKESO)</t>
  </si>
  <si>
    <t>Source: Department of Occupational Safety and Health (DOSH)</t>
  </si>
  <si>
    <t xml:space="preserve"> Social Security Organisation (SOCSO)</t>
  </si>
  <si>
    <t>: Statistik utama kecederaan pekerjaan, Malaysia, 2021 - 2023 (samb.)</t>
  </si>
  <si>
    <t>: Principal statistics of occupational injury, Malaysia, 2021 - 2023 (cont'd)</t>
  </si>
  <si>
    <t>Kadar Kecederaan Pekerjaan (setiap 1,000 pekerja)</t>
  </si>
  <si>
    <t>Occupational Injury Rate (per 1,000 workers)</t>
  </si>
  <si>
    <t>Kadar Kematian Pekerjaan (setiap 100,000 pekerja)</t>
  </si>
  <si>
    <t>Occupational Fatality Rate (per 100,000 workers)</t>
  </si>
  <si>
    <t>Jadual 26.0</t>
  </si>
  <si>
    <t>: Peratusan ahli parlimen dan anggota pentadbiran mengikut jantina, Malaysia, 2021 - 2023</t>
  </si>
  <si>
    <t>Table 26.0</t>
  </si>
  <si>
    <t>: Percentage of members of parliament and administration by sex, Malaysia, 2021 - 2023</t>
  </si>
  <si>
    <r>
      <t xml:space="preserve">PERKARA
</t>
    </r>
    <r>
      <rPr>
        <i/>
        <sz val="10"/>
        <rFont val="Century Gothic"/>
        <family val="2"/>
      </rPr>
      <t>ITEM</t>
    </r>
  </si>
  <si>
    <r>
      <t>Dewan Negara</t>
    </r>
    <r>
      <rPr>
        <sz val="10"/>
        <rFont val="Century Gothic"/>
        <family val="2"/>
      </rPr>
      <t>/</t>
    </r>
    <r>
      <rPr>
        <b/>
        <sz val="10"/>
        <rFont val="Century Gothic"/>
        <family val="2"/>
      </rPr>
      <t xml:space="preserve"> </t>
    </r>
    <r>
      <rPr>
        <i/>
        <sz val="10"/>
        <rFont val="Century Gothic"/>
        <family val="2"/>
      </rPr>
      <t>Senate</t>
    </r>
  </si>
  <si>
    <r>
      <t>Lelaki</t>
    </r>
    <r>
      <rPr>
        <sz val="10"/>
        <rFont val="Century Gothic"/>
        <family val="2"/>
      </rPr>
      <t xml:space="preserve">/ </t>
    </r>
    <r>
      <rPr>
        <i/>
        <sz val="10"/>
        <rFont val="Century Gothic"/>
        <family val="2"/>
      </rPr>
      <t>Male</t>
    </r>
  </si>
  <si>
    <r>
      <t>Perempuan</t>
    </r>
    <r>
      <rPr>
        <sz val="10"/>
        <rFont val="Century Gothic"/>
        <family val="2"/>
      </rPr>
      <t xml:space="preserve">/ </t>
    </r>
    <r>
      <rPr>
        <i/>
        <sz val="10"/>
        <rFont val="Century Gothic"/>
        <family val="2"/>
      </rPr>
      <t>Female</t>
    </r>
  </si>
  <si>
    <r>
      <t>Dewan Rakyat</t>
    </r>
    <r>
      <rPr>
        <sz val="10"/>
        <rFont val="Century Gothic"/>
        <family val="2"/>
      </rPr>
      <t>/</t>
    </r>
    <r>
      <rPr>
        <b/>
        <sz val="10"/>
        <rFont val="Century Gothic"/>
        <family val="2"/>
      </rPr>
      <t xml:space="preserve"> </t>
    </r>
    <r>
      <rPr>
        <i/>
        <sz val="10"/>
        <rFont val="Century Gothic"/>
        <family val="2"/>
      </rPr>
      <t>House of Representatives</t>
    </r>
  </si>
  <si>
    <r>
      <t>Menteri Kabinet</t>
    </r>
    <r>
      <rPr>
        <sz val="10"/>
        <rFont val="Century Gothic"/>
        <family val="2"/>
      </rPr>
      <t>/</t>
    </r>
    <r>
      <rPr>
        <b/>
        <sz val="10"/>
        <rFont val="Century Gothic"/>
        <family val="2"/>
      </rPr>
      <t xml:space="preserve"> </t>
    </r>
    <r>
      <rPr>
        <i/>
        <sz val="10"/>
        <rFont val="Century Gothic"/>
        <family val="2"/>
      </rPr>
      <t>Cabinet Minister</t>
    </r>
  </si>
  <si>
    <r>
      <t>Timbalan Menteri</t>
    </r>
    <r>
      <rPr>
        <sz val="10"/>
        <rFont val="Century Gothic"/>
        <family val="2"/>
      </rPr>
      <t xml:space="preserve">/ </t>
    </r>
    <r>
      <rPr>
        <i/>
        <sz val="10"/>
        <rFont val="Century Gothic"/>
        <family val="2"/>
      </rPr>
      <t>Deputy Minister</t>
    </r>
  </si>
  <si>
    <t>Sumber: Parlimen Malaysia</t>
  </si>
  <si>
    <t>Source: Parliament of Malaysia</t>
  </si>
  <si>
    <t>Terdapat 0.9 peratus kekosongan di Dewan Rakyat pada 2021</t>
  </si>
  <si>
    <t>There was 0.9 per cent vacancy in House of Representatives in 2021</t>
  </si>
  <si>
    <t>Jadual 27.0</t>
  </si>
  <si>
    <t>: Bilangan hakim di Badan Kehakiman mengikut jawatan dan jantina, Malaysia, 2021 - 2023</t>
  </si>
  <si>
    <t>Table 27.0</t>
  </si>
  <si>
    <t>: Number of judges in the Judiciary board by position and sex, Malaysia, 2021 - 2023</t>
  </si>
  <si>
    <r>
      <t>Jumlah</t>
    </r>
    <r>
      <rPr>
        <sz val="10"/>
        <rFont val="Century Gothic"/>
        <family val="2"/>
      </rPr>
      <t xml:space="preserve">/ </t>
    </r>
    <r>
      <rPr>
        <i/>
        <sz val="10"/>
        <rFont val="Century Gothic"/>
        <family val="2"/>
      </rPr>
      <t>Total</t>
    </r>
  </si>
  <si>
    <r>
      <t>Ketua Hakim Negara</t>
    </r>
    <r>
      <rPr>
        <sz val="10"/>
        <rFont val="Century Gothic"/>
        <family val="2"/>
      </rPr>
      <t>/</t>
    </r>
    <r>
      <rPr>
        <b/>
        <sz val="10"/>
        <rFont val="Century Gothic"/>
        <family val="2"/>
      </rPr>
      <t xml:space="preserve"> </t>
    </r>
    <r>
      <rPr>
        <i/>
        <sz val="10"/>
        <rFont val="Century Gothic"/>
        <family val="2"/>
      </rPr>
      <t>Chief Justice of Malaysia</t>
    </r>
  </si>
  <si>
    <r>
      <t>Presiden Mahkamah Rayuan Malaysia</t>
    </r>
    <r>
      <rPr>
        <i/>
        <sz val="10"/>
        <rFont val="Century Gothic"/>
        <family val="2"/>
      </rPr>
      <t>/ President of the Court of Appeal of Malaysia</t>
    </r>
  </si>
  <si>
    <r>
      <t>Hakim Besar Malaya</t>
    </r>
    <r>
      <rPr>
        <i/>
        <sz val="10"/>
        <rFont val="Century Gothic"/>
        <family val="2"/>
      </rPr>
      <t>/ Chief Judge of Malaya</t>
    </r>
  </si>
  <si>
    <r>
      <t>Hakim Besar Sabah dan Sarawak</t>
    </r>
    <r>
      <rPr>
        <i/>
        <sz val="10"/>
        <rFont val="Century Gothic"/>
        <family val="2"/>
      </rPr>
      <t>/ Chief Judge of Sabah and Sarawak</t>
    </r>
  </si>
  <si>
    <r>
      <t>Hakim Mahkamah Persekutuan Malaysia</t>
    </r>
    <r>
      <rPr>
        <i/>
        <sz val="10"/>
        <rFont val="Century Gothic"/>
        <family val="2"/>
      </rPr>
      <t>/ Judges of the Federal Court of Malaysia</t>
    </r>
  </si>
  <si>
    <r>
      <rPr>
        <b/>
        <sz val="10"/>
        <rFont val="Century Gothic"/>
        <family val="2"/>
      </rPr>
      <t>Hakim Mahkamah Rayuan Malaysia</t>
    </r>
    <r>
      <rPr>
        <sz val="10"/>
        <rFont val="Century Gothic"/>
        <family val="2"/>
      </rPr>
      <t xml:space="preserve">/ </t>
    </r>
    <r>
      <rPr>
        <i/>
        <sz val="10"/>
        <rFont val="Century Gothic"/>
        <family val="2"/>
      </rPr>
      <t>Judges of the Court of Appeal of Malaysia</t>
    </r>
  </si>
  <si>
    <r>
      <t>Hakim Mahkamah Tinggi</t>
    </r>
    <r>
      <rPr>
        <i/>
        <sz val="10"/>
        <rFont val="Century Gothic"/>
        <family val="2"/>
      </rPr>
      <t>/ Judges of the High Courts</t>
    </r>
  </si>
  <si>
    <r>
      <t>Pesuruhjaya Kehakiman Mahkamah Tinggi</t>
    </r>
    <r>
      <rPr>
        <sz val="10"/>
        <rFont val="Century Gothic"/>
        <family val="2"/>
      </rPr>
      <t xml:space="preserve">/ </t>
    </r>
    <r>
      <rPr>
        <i/>
        <sz val="10"/>
        <rFont val="Century Gothic"/>
        <family val="2"/>
      </rPr>
      <t>Judicial Commissioners of the High Courts</t>
    </r>
  </si>
  <si>
    <t>Sumber: Suruhanjaya Pelantikan Kehakiman</t>
  </si>
  <si>
    <t>Source: Judicial Appoiments Commission</t>
  </si>
  <si>
    <t>Jadual 28.0</t>
  </si>
  <si>
    <t>: Bilangan hakim di Kehakiman Syariah mengikut jawatan dan jantina, Malaysia, 2021 - 2023</t>
  </si>
  <si>
    <t>Table 28.0</t>
  </si>
  <si>
    <t>: Number of judges in the Syariah Judiciary by position and sex, Malaysia, 2021 - 2023</t>
  </si>
  <si>
    <r>
      <t>Ketua Pengarah/ Ketua Hakim Syarie</t>
    </r>
    <r>
      <rPr>
        <sz val="10"/>
        <rFont val="Century Gothic"/>
        <family val="2"/>
      </rPr>
      <t>/</t>
    </r>
    <r>
      <rPr>
        <b/>
        <sz val="10"/>
        <rFont val="Century Gothic"/>
        <family val="2"/>
      </rPr>
      <t xml:space="preserve"> </t>
    </r>
    <r>
      <rPr>
        <i/>
        <sz val="10"/>
        <rFont val="Century Gothic"/>
        <family val="2"/>
      </rPr>
      <t>Director General/ Syarie Chief Justice</t>
    </r>
  </si>
  <si>
    <r>
      <t>Hakim Mahkamah Rayuan Syariah</t>
    </r>
    <r>
      <rPr>
        <i/>
        <sz val="10"/>
        <rFont val="Century Gothic"/>
        <family val="2"/>
      </rPr>
      <t>/ Judges of the Court of Appeal Syarie</t>
    </r>
  </si>
  <si>
    <r>
      <t>Ketua Hakim Syarie Negeri</t>
    </r>
    <r>
      <rPr>
        <i/>
        <sz val="10"/>
        <rFont val="Century Gothic"/>
        <family val="2"/>
      </rPr>
      <t>/ State Syarie Chief Judge</t>
    </r>
  </si>
  <si>
    <r>
      <t>Ketua Pendaftar Mahkamah Syariah Negeri</t>
    </r>
    <r>
      <rPr>
        <i/>
        <sz val="10"/>
        <rFont val="Century Gothic"/>
        <family val="2"/>
      </rPr>
      <t>/ Chief Register of the State Syariah Court</t>
    </r>
  </si>
  <si>
    <r>
      <t>Hakim Syarie</t>
    </r>
    <r>
      <rPr>
        <i/>
        <sz val="10"/>
        <rFont val="Century Gothic"/>
        <family val="2"/>
      </rPr>
      <t>/ Syarie Judge</t>
    </r>
  </si>
  <si>
    <t>Sumber: Jabatan Kehakiman Syariah Malaysia</t>
  </si>
  <si>
    <t>Source: Syariah Judiciary Department Malaysia</t>
  </si>
  <si>
    <t>Jadual 29.0</t>
  </si>
  <si>
    <t>: Bilangan Ketua Setiausaha, Timbalan Ketua Setiausaha dan Ketua Pengarah mengikut jawatan dan jantina, Malaysia, 2021 - 2023</t>
  </si>
  <si>
    <t>Table 29.0</t>
  </si>
  <si>
    <t>: Number of Secretary General, Deputy Secretary General and Director General by position and sex, Malaysia, 2021 - 2023</t>
  </si>
  <si>
    <r>
      <t>Ketua Setiausaha Negara</t>
    </r>
    <r>
      <rPr>
        <sz val="10"/>
        <rFont val="Century Gothic"/>
        <family val="2"/>
      </rPr>
      <t>/</t>
    </r>
    <r>
      <rPr>
        <b/>
        <sz val="10"/>
        <rFont val="Century Gothic"/>
        <family val="2"/>
      </rPr>
      <t xml:space="preserve"> </t>
    </r>
    <r>
      <rPr>
        <i/>
        <sz val="10"/>
        <rFont val="Century Gothic"/>
        <family val="2"/>
      </rPr>
      <t>Chief Secretary to the Government</t>
    </r>
  </si>
  <si>
    <r>
      <t>Ketua Setiausaha</t>
    </r>
    <r>
      <rPr>
        <i/>
        <sz val="10"/>
        <rFont val="Century Gothic"/>
        <family val="2"/>
      </rPr>
      <t>/ Secretary General</t>
    </r>
    <r>
      <rPr>
        <b/>
        <sz val="10"/>
        <rFont val="Century Gothic"/>
        <family val="2"/>
      </rPr>
      <t xml:space="preserve"> </t>
    </r>
  </si>
  <si>
    <r>
      <t>Timbalan Ketua Setiausaha</t>
    </r>
    <r>
      <rPr>
        <i/>
        <sz val="10"/>
        <rFont val="Century Gothic"/>
        <family val="2"/>
      </rPr>
      <t>/ Deputy Secretary General</t>
    </r>
    <r>
      <rPr>
        <b/>
        <sz val="10"/>
        <rFont val="Century Gothic"/>
        <family val="2"/>
      </rPr>
      <t xml:space="preserve"> </t>
    </r>
  </si>
  <si>
    <t>Ketua-Ketua Pengarah, Pengarah dan Pengurus Besar Badan-Badan Berkanun</t>
  </si>
  <si>
    <t>Director General, Director and General Manager of Statutory Bodies</t>
  </si>
  <si>
    <r>
      <t>Ketua-Ketua Pengarah Jabatan Persekutuan</t>
    </r>
    <r>
      <rPr>
        <i/>
        <sz val="10"/>
        <rFont val="Century Gothic"/>
        <family val="2"/>
      </rPr>
      <t>/ Director General of Federal Departments</t>
    </r>
  </si>
  <si>
    <t xml:space="preserve"> Sumber: Bahagian Istiadat dan Urusetia Persidangan Antarabangsa, Jabatan Perdana Menteri</t>
  </si>
  <si>
    <t>Source: The Ceremonial &amp; International Conference Secretariat Division, Prime Minister's Department</t>
  </si>
  <si>
    <r>
      <rPr>
        <b/>
        <sz val="9"/>
        <rFont val="Century Gothic"/>
        <family val="2"/>
      </rPr>
      <t>Nota</t>
    </r>
    <r>
      <rPr>
        <sz val="9"/>
        <rFont val="Century Gothic"/>
        <family val="2"/>
      </rPr>
      <t xml:space="preserve">/ </t>
    </r>
    <r>
      <rPr>
        <i/>
        <sz val="9"/>
        <rFont val="Century Gothic"/>
        <family val="2"/>
      </rPr>
      <t>Notes:</t>
    </r>
  </si>
  <si>
    <t>1. Tidak termasuk jawatan kosong KSU (KSM)</t>
  </si>
  <si>
    <t xml:space="preserve">    Excludes KSU (KSM) vacancies</t>
  </si>
  <si>
    <t>2. Tidak termasuk jawatan kosong TKSU (KUSKOP), TKSU (MOD) dan TKSU (JPM)</t>
  </si>
  <si>
    <t xml:space="preserve">    Excludes TKSU (KUSKOP), TKSU (MOD) and TKSU (JPM) vacancies</t>
  </si>
  <si>
    <t>3. Tidak termasuk jawatan kosong KPE (MAIWP), KP (Dewan Bahasa dan Pustaka) dan KP (Lembaga Perindustrian Kayu Malaysia)</t>
  </si>
  <si>
    <t xml:space="preserve">    Excludes KPE (MAIWP), KP (Institute of Language and Literature) and KP (Malaysian Timber Industry Board) vacancies</t>
  </si>
  <si>
    <t xml:space="preserve">4. Tidak termasuk jawatan kosong KPPA, Ketua Hakim Syarie, KP (Jabatan Warisan Negara), KP (GIACC), KP (Jabatan Protokol KLN), KP (NAHRIM),
    KP (ILKAP), KP (Lembaga Perlesenan Tenaga Atom), KP (Jabatan Kerja Raya), KP (Jabatan Kimia Malaysia) dan KP (RTM)  </t>
  </si>
  <si>
    <t xml:space="preserve">    Excludes KPPA, Syarie Chief Justice, KP (Department of National Heritage), KP (GIACC), KP (Protocol and Consular Department KLN), KP (NAHRIM), KP (ILKAP),
    KP (Atomic Energy Licensing Board), KP (Public Works Department), KP (Department of Chemistry Malaysia) and KP (RTM) vacancies </t>
  </si>
  <si>
    <t>Jadual 30.0</t>
  </si>
  <si>
    <t>: Bilangan murid pelbagai peringkat dan jenis sekolah, Malaysia, 2022 - 2023</t>
  </si>
  <si>
    <t xml:space="preserve">        </t>
  </si>
  <si>
    <t>Table 30.0</t>
  </si>
  <si>
    <t>: Number of pupils of various level and types of school, Malaysia, 2022 - 2023</t>
  </si>
  <si>
    <r>
      <t xml:space="preserve">MURID
</t>
    </r>
    <r>
      <rPr>
        <i/>
        <sz val="10"/>
        <rFont val="Century Gothic"/>
        <family val="2"/>
      </rPr>
      <t>PUPILS</t>
    </r>
  </si>
  <si>
    <t>Sekolah kerajaan &amp; bantuan kerajaan</t>
  </si>
  <si>
    <t>Government school &amp; government aid</t>
  </si>
  <si>
    <t>Prasekolah</t>
  </si>
  <si>
    <t>Pre-school</t>
  </si>
  <si>
    <t>Rendah</t>
  </si>
  <si>
    <t>Primary</t>
  </si>
  <si>
    <t>Menengah rendah</t>
  </si>
  <si>
    <t>Lower secondary</t>
  </si>
  <si>
    <t xml:space="preserve">Menengah atas
</t>
  </si>
  <si>
    <t>Upper secondary</t>
  </si>
  <si>
    <t xml:space="preserve">Pendidikan khas, peringkat rendah
</t>
  </si>
  <si>
    <t>Special education, primary level</t>
  </si>
  <si>
    <t xml:space="preserve">Pendidikan khas , peringkat menengah
</t>
  </si>
  <si>
    <t>Special education, secondary level</t>
  </si>
  <si>
    <t xml:space="preserve">Tadika, sekolah rendah dan menengah swasta
</t>
  </si>
  <si>
    <t>Private kindergarten, primary and secondary school</t>
  </si>
  <si>
    <t xml:space="preserve">Tadika
</t>
  </si>
  <si>
    <t>Kindergarten</t>
  </si>
  <si>
    <t xml:space="preserve">Rendah
</t>
  </si>
  <si>
    <t xml:space="preserve">Menengah
</t>
  </si>
  <si>
    <t>Secondary</t>
  </si>
  <si>
    <t xml:space="preserve">Sekolah Pendidikan Khas
</t>
  </si>
  <si>
    <t>Special Education School</t>
  </si>
  <si>
    <t xml:space="preserve">Sekolah Antarabangsa
</t>
  </si>
  <si>
    <t>International School</t>
  </si>
  <si>
    <t>Sekolah Ekspatriat</t>
  </si>
  <si>
    <t>Expatriate School</t>
  </si>
  <si>
    <t xml:space="preserve"> Sumber:  Jabatan Kebajikan Masyarakat</t>
  </si>
  <si>
    <t>Kementerian Pendidikan Malaysia</t>
  </si>
  <si>
    <t>Source: Department of Social Welfare</t>
  </si>
  <si>
    <t>Ministry of Education Malaysia</t>
  </si>
  <si>
    <t>Data pada 30 Jun</t>
  </si>
  <si>
    <t>Data as at 30 June</t>
  </si>
  <si>
    <t>Jadual 31.0</t>
  </si>
  <si>
    <t>: Jenayah kekerasan mengikut negeri dan jenis jenayah, Malaysia, 2022 - 2024</t>
  </si>
  <si>
    <t>Table 31.0</t>
  </si>
  <si>
    <t xml:space="preserve">: Assault crime by state and type of crime, Malaysia, 2022 - 2024
                  </t>
  </si>
  <si>
    <r>
      <rPr>
        <b/>
        <sz val="10"/>
        <rFont val="Century Gothic"/>
        <family val="2"/>
      </rPr>
      <t>Negeri/ Kontinjen</t>
    </r>
    <r>
      <rPr>
        <i/>
        <sz val="10"/>
        <rFont val="Century Gothic"/>
        <family val="2"/>
      </rPr>
      <t xml:space="preserve">         </t>
    </r>
  </si>
  <si>
    <t>Tahun</t>
  </si>
  <si>
    <t>Bunuh</t>
  </si>
  <si>
    <t>Rogol</t>
  </si>
  <si>
    <r>
      <rPr>
        <b/>
        <sz val="10"/>
        <color theme="1"/>
        <rFont val="Century Gothic"/>
        <family val="2"/>
      </rPr>
      <t xml:space="preserve">    Samun</t>
    </r>
    <r>
      <rPr>
        <b/>
        <vertAlign val="superscript"/>
        <sz val="10"/>
        <color theme="1"/>
        <rFont val="Century Gothic"/>
        <family val="2"/>
      </rPr>
      <t>a</t>
    </r>
  </si>
  <si>
    <t>Mencederakan</t>
  </si>
  <si>
    <t>State/ Contingent</t>
  </si>
  <si>
    <t>Year</t>
  </si>
  <si>
    <t>Murder</t>
  </si>
  <si>
    <t>Raped</t>
  </si>
  <si>
    <t>Robbery</t>
  </si>
  <si>
    <t>Injury</t>
  </si>
  <si>
    <t>MALAYSIA</t>
  </si>
  <si>
    <r>
      <rPr>
        <sz val="10"/>
        <rFont val="Century Gothic"/>
        <family val="2"/>
      </rPr>
      <t>Sabah</t>
    </r>
    <r>
      <rPr>
        <vertAlign val="superscript"/>
        <sz val="10"/>
        <rFont val="Century Gothic"/>
        <family val="2"/>
      </rPr>
      <t>b</t>
    </r>
  </si>
  <si>
    <r>
      <rPr>
        <sz val="10"/>
        <rFont val="Century Gothic"/>
        <family val="2"/>
      </rPr>
      <t>W.P. Kuala Lumpur</t>
    </r>
    <r>
      <rPr>
        <vertAlign val="superscript"/>
        <sz val="10"/>
        <rFont val="Century Gothic"/>
        <family val="2"/>
      </rPr>
      <t>c</t>
    </r>
  </si>
  <si>
    <t>Sumber: Polis Diraja Malaysia</t>
  </si>
  <si>
    <t>Source: Royal Malaysia Police</t>
  </si>
  <si>
    <r>
      <rPr>
        <b/>
        <sz val="9"/>
        <color theme="1"/>
        <rFont val="Century Gothic"/>
        <family val="2"/>
      </rPr>
      <t>Nota/</t>
    </r>
    <r>
      <rPr>
        <i/>
        <sz val="9"/>
        <color theme="1"/>
        <rFont val="Century Gothic"/>
        <family val="2"/>
      </rPr>
      <t>Notes</t>
    </r>
    <r>
      <rPr>
        <b/>
        <i/>
        <sz val="9"/>
        <color theme="1"/>
        <rFont val="Century Gothic"/>
        <family val="2"/>
      </rPr>
      <t>:</t>
    </r>
  </si>
  <si>
    <r>
      <rPr>
        <b/>
        <vertAlign val="superscript"/>
        <sz val="9"/>
        <color theme="1"/>
        <rFont val="Century Gothic"/>
        <family val="2"/>
      </rPr>
      <t>a</t>
    </r>
    <r>
      <rPr>
        <b/>
        <sz val="9"/>
        <color theme="1"/>
        <rFont val="Century Gothic"/>
        <family val="2"/>
      </rPr>
      <t xml:space="preserve"> Termasuk samun berkawan bersenjata api, samun berkawan tidak bersenjata api, samun bersenjata api dan </t>
    </r>
  </si>
  <si>
    <t xml:space="preserve">samun tidak bersenjata api </t>
  </si>
  <si>
    <t>Includes gang robbery with firearms, gang robbery without firearms, robbery with firearms and robbery without firearms</t>
  </si>
  <si>
    <r>
      <rPr>
        <b/>
        <vertAlign val="superscript"/>
        <sz val="9"/>
        <color theme="1"/>
        <rFont val="Century Gothic"/>
        <family val="2"/>
      </rPr>
      <t>b</t>
    </r>
    <r>
      <rPr>
        <b/>
        <sz val="9"/>
        <color theme="1"/>
        <rFont val="Century Gothic"/>
        <family val="2"/>
      </rPr>
      <t xml:space="preserve"> Termasuk W.P. Labuan</t>
    </r>
  </si>
  <si>
    <t xml:space="preserve">     Includes W.P. Labuan</t>
  </si>
  <si>
    <r>
      <rPr>
        <b/>
        <vertAlign val="superscript"/>
        <sz val="9"/>
        <color theme="1"/>
        <rFont val="Century Gothic"/>
        <family val="2"/>
      </rPr>
      <t xml:space="preserve">c </t>
    </r>
    <r>
      <rPr>
        <b/>
        <sz val="9"/>
        <color theme="1"/>
        <rFont val="Century Gothic"/>
        <family val="2"/>
      </rPr>
      <t>Termasuk W.P. Putrajaya</t>
    </r>
  </si>
  <si>
    <t xml:space="preserve">    Includes W.P. Putrajaya</t>
  </si>
  <si>
    <t>Jadual 31.1</t>
  </si>
  <si>
    <t>: Jenayah harta benda mengikut negeri dan jenis jenayah, Malaysia, 2022 - 2024</t>
  </si>
  <si>
    <t>Table 31.1</t>
  </si>
  <si>
    <t>: Property crime by state and type of crime, Malaysia, 2022 - 2024</t>
  </si>
  <si>
    <r>
      <rPr>
        <b/>
        <sz val="10"/>
        <color theme="1"/>
        <rFont val="Century Gothic"/>
        <family val="2"/>
      </rPr>
      <t>Negeri/ Kontinjen</t>
    </r>
    <r>
      <rPr>
        <sz val="10"/>
        <color theme="1"/>
        <rFont val="Century Gothic"/>
        <family val="2"/>
      </rPr>
      <t xml:space="preserve">           </t>
    </r>
  </si>
  <si>
    <t xml:space="preserve">Pecah rumah dan curi           </t>
  </si>
  <si>
    <t>Kecurian kenderaan</t>
  </si>
  <si>
    <t>Kecurian lain</t>
  </si>
  <si>
    <t>House break-in and thefts</t>
  </si>
  <si>
    <t>Vehicles theft</t>
  </si>
  <si>
    <t>Other thefts</t>
  </si>
  <si>
    <t>Lori/Van</t>
  </si>
  <si>
    <t>Kereta</t>
  </si>
  <si>
    <t>Motosikal/ Skuter</t>
  </si>
  <si>
    <t>Lorry/Van</t>
  </si>
  <si>
    <t>Motorcar</t>
  </si>
  <si>
    <t>Motorcycle/ Scooter</t>
  </si>
  <si>
    <t xml:space="preserve">MALAYSIA </t>
  </si>
  <si>
    <r>
      <t xml:space="preserve">Sabah </t>
    </r>
    <r>
      <rPr>
        <vertAlign val="superscript"/>
        <sz val="10"/>
        <rFont val="Century Gothic"/>
        <family val="2"/>
      </rPr>
      <t>a</t>
    </r>
  </si>
  <si>
    <r>
      <t xml:space="preserve">W.P. Kuala Lumpur </t>
    </r>
    <r>
      <rPr>
        <vertAlign val="superscript"/>
        <sz val="10"/>
        <rFont val="Century Gothic"/>
        <family val="2"/>
      </rPr>
      <t>b</t>
    </r>
  </si>
  <si>
    <r>
      <rPr>
        <b/>
        <vertAlign val="superscript"/>
        <sz val="9"/>
        <color theme="1"/>
        <rFont val="Century Gothic"/>
        <family val="2"/>
      </rPr>
      <t>a</t>
    </r>
    <r>
      <rPr>
        <b/>
        <sz val="9"/>
        <color theme="1"/>
        <rFont val="Century Gothic"/>
        <family val="2"/>
      </rPr>
      <t xml:space="preserve"> Termasuk W.P. Labuan</t>
    </r>
  </si>
  <si>
    <r>
      <rPr>
        <b/>
        <vertAlign val="superscript"/>
        <sz val="9"/>
        <color theme="1"/>
        <rFont val="Century Gothic"/>
        <family val="2"/>
      </rPr>
      <t xml:space="preserve">b </t>
    </r>
    <r>
      <rPr>
        <b/>
        <sz val="9"/>
        <color theme="1"/>
        <rFont val="Century Gothic"/>
        <family val="2"/>
      </rPr>
      <t>Termasuk W.P. Putrajaya</t>
    </r>
  </si>
  <si>
    <t>Jadual 32.0</t>
  </si>
  <si>
    <t>: Bilangan kemalangan jalan raya, kecederaan dan kematian yang dilaporkan mengikut</t>
  </si>
  <si>
    <t>negeri, Malaysia, 2021 - 2023</t>
  </si>
  <si>
    <t>Table 32.0</t>
  </si>
  <si>
    <t>: Number of road accidents, injuries and deaths reported by state, Malaysia, 2021 - 2023</t>
  </si>
  <si>
    <t>Kemalangan</t>
  </si>
  <si>
    <t>Kecederaan dan Kematian</t>
  </si>
  <si>
    <t>Negeri</t>
  </si>
  <si>
    <t>jalan raya</t>
  </si>
  <si>
    <t>Injury and Death</t>
  </si>
  <si>
    <t>State</t>
  </si>
  <si>
    <t>Road accident</t>
  </si>
  <si>
    <t xml:space="preserve">Kecederaan </t>
  </si>
  <si>
    <t>Kematian</t>
  </si>
  <si>
    <t>Death</t>
  </si>
  <si>
    <t>Sumber: Jabatan Siasatan dan Penguatkuasaan Trafik,</t>
  </si>
  <si>
    <t>Polis Diraja Malaysia</t>
  </si>
  <si>
    <t>Source: Investigation and Enforcement of the Traffic Department,</t>
  </si>
  <si>
    <t>Royal Malaysia Police</t>
  </si>
  <si>
    <t>Jadual 33.0</t>
  </si>
  <si>
    <t>: Bilangan kumulatif Orang Kurang Upaya (OKU) yang berdaftar mengikut negeri dan kategori ketidakupayaan,</t>
  </si>
  <si>
    <t xml:space="preserve">  Malaysia, 2021-2023</t>
  </si>
  <si>
    <t>Table 33.0</t>
  </si>
  <si>
    <t xml:space="preserve">: Cumulative number of registered Persons with Disabilities (PWD) cases  by state and category of disabilities, </t>
  </si>
  <si>
    <t xml:space="preserve"> </t>
  </si>
  <si>
    <t>Penglihatan</t>
  </si>
  <si>
    <t>Pendengaran</t>
  </si>
  <si>
    <r>
      <t>Fizikal</t>
    </r>
    <r>
      <rPr>
        <b/>
        <vertAlign val="superscript"/>
        <sz val="10"/>
        <rFont val="Century Gothic"/>
        <family val="2"/>
      </rPr>
      <t>a</t>
    </r>
  </si>
  <si>
    <t>Masalah</t>
  </si>
  <si>
    <t>Pertuturan</t>
  </si>
  <si>
    <t>Mental</t>
  </si>
  <si>
    <t>Ketidak</t>
  </si>
  <si>
    <t>Visually</t>
  </si>
  <si>
    <t>Hearing</t>
  </si>
  <si>
    <t>Physical</t>
  </si>
  <si>
    <t>pembelajaran</t>
  </si>
  <si>
    <t>Speech</t>
  </si>
  <si>
    <t>upayaan</t>
  </si>
  <si>
    <t>impaired</t>
  </si>
  <si>
    <t>Learning</t>
  </si>
  <si>
    <t>Pelbagai</t>
  </si>
  <si>
    <t>disability</t>
  </si>
  <si>
    <t>Multiple</t>
  </si>
  <si>
    <t>disabilities</t>
  </si>
  <si>
    <t xml:space="preserve">Selangor </t>
  </si>
  <si>
    <t xml:space="preserve">Sabah </t>
  </si>
  <si>
    <t>Sumber: Jabatan Kebajikan Masyarakat</t>
  </si>
  <si>
    <r>
      <t xml:space="preserve">Nota/ </t>
    </r>
    <r>
      <rPr>
        <i/>
        <sz val="9"/>
        <rFont val="Century Gothic"/>
        <family val="2"/>
      </rPr>
      <t>Note:</t>
    </r>
  </si>
  <si>
    <r>
      <rPr>
        <b/>
        <vertAlign val="superscript"/>
        <sz val="9"/>
        <rFont val="Century Gothic"/>
        <family val="2"/>
      </rPr>
      <t>a</t>
    </r>
    <r>
      <rPr>
        <b/>
        <sz val="9"/>
        <rFont val="Century Gothic"/>
        <family val="2"/>
      </rPr>
      <t xml:space="preserve"> Termasuk </t>
    </r>
    <r>
      <rPr>
        <b/>
        <i/>
        <sz val="9"/>
        <rFont val="Century Gothic"/>
        <family val="2"/>
      </rPr>
      <t>Cerebral Palsy</t>
    </r>
  </si>
  <si>
    <t xml:space="preserve">   Includes Cerebral Palsy</t>
  </si>
  <si>
    <t>Data OKU W.P. Putrajaya termasuk dalam W.P. Kuala Lumpur</t>
  </si>
  <si>
    <t>OKU data of W.P. Putrajaya is included in W.P. Kuala Lumpur</t>
  </si>
  <si>
    <t>Jadual 34.0</t>
  </si>
  <si>
    <t>: Peratusan capaian isi rumah terhadap perkhidmatan dan peralatan ICT mengikut strata, Malaysia, 2022 - 2024</t>
  </si>
  <si>
    <t>Table 34.0</t>
  </si>
  <si>
    <t>: Percentage of households with access to ICT services and equipment by strata, Malaysia, 2022 - 2024</t>
  </si>
  <si>
    <r>
      <rPr>
        <b/>
        <sz val="10"/>
        <rFont val="Century Gothic"/>
        <family val="2"/>
      </rPr>
      <t xml:space="preserve">Perkhidmatan dan peralatan ICT (%)  </t>
    </r>
    <r>
      <rPr>
        <sz val="10"/>
        <rFont val="Century Gothic"/>
        <family val="2"/>
      </rPr>
      <t xml:space="preserve">                     
</t>
    </r>
    <r>
      <rPr>
        <i/>
        <sz val="10"/>
        <rFont val="Century Gothic"/>
        <family val="2"/>
      </rPr>
      <t>ICT services and equipment</t>
    </r>
    <r>
      <rPr>
        <sz val="10"/>
        <rFont val="Century Gothic"/>
        <family val="2"/>
      </rPr>
      <t xml:space="preserve"> (%)</t>
    </r>
  </si>
  <si>
    <r>
      <t xml:space="preserve">Jumlah
</t>
    </r>
    <r>
      <rPr>
        <i/>
        <sz val="10"/>
        <rFont val="Century Gothic"/>
        <family val="2"/>
      </rPr>
      <t>Total</t>
    </r>
  </si>
  <si>
    <r>
      <t xml:space="preserve">Bandar
</t>
    </r>
    <r>
      <rPr>
        <i/>
        <sz val="10"/>
        <rFont val="Century Gothic"/>
        <family val="2"/>
      </rPr>
      <t>Urban</t>
    </r>
  </si>
  <si>
    <r>
      <t xml:space="preserve">Luar bandar 
</t>
    </r>
    <r>
      <rPr>
        <i/>
        <sz val="10"/>
        <rFont val="Century Gothic"/>
        <family val="2"/>
      </rPr>
      <t>Rural</t>
    </r>
  </si>
  <si>
    <t>Telefon bimbit</t>
  </si>
  <si>
    <t>Mobile phone</t>
  </si>
  <si>
    <t>Internet</t>
  </si>
  <si>
    <t>Komputer</t>
  </si>
  <si>
    <t>Computer</t>
  </si>
  <si>
    <t>Siaran TV berbayar</t>
  </si>
  <si>
    <t>Pay TV channel</t>
  </si>
  <si>
    <t>Televisyen</t>
  </si>
  <si>
    <t>Television</t>
  </si>
  <si>
    <t>Radio</t>
  </si>
  <si>
    <t>Telefon talian tetap</t>
  </si>
  <si>
    <t>Fixed-line telephone</t>
  </si>
  <si>
    <t>Jadual 35.0</t>
  </si>
  <si>
    <t>: Pendapatan, perbelanjaan dan kemiskinan, Malaysia, 2022 dan 2024</t>
  </si>
  <si>
    <t xml:space="preserve">  Table 35.0 </t>
  </si>
  <si>
    <t>: Income, expenditure and poverty, Malaysia, 2022 and 2024</t>
  </si>
  <si>
    <r>
      <t xml:space="preserve">Pendapatan
</t>
    </r>
    <r>
      <rPr>
        <i/>
        <sz val="10"/>
        <rFont val="Century Gothic"/>
        <family val="2"/>
      </rPr>
      <t>Income</t>
    </r>
  </si>
  <si>
    <r>
      <t xml:space="preserve">Perbelanjaan
</t>
    </r>
    <r>
      <rPr>
        <i/>
        <sz val="10"/>
        <rFont val="Century Gothic"/>
        <family val="2"/>
      </rPr>
      <t>Expenditure</t>
    </r>
  </si>
  <si>
    <r>
      <t xml:space="preserve">Kemiskinan
</t>
    </r>
    <r>
      <rPr>
        <i/>
        <sz val="10"/>
        <rFont val="Century Gothic"/>
        <family val="2"/>
      </rPr>
      <t>Poverty</t>
    </r>
  </si>
  <si>
    <r>
      <rPr>
        <b/>
        <sz val="10"/>
        <color rgb="FF000000"/>
        <rFont val="Century Gothic"/>
        <family val="2"/>
      </rPr>
      <t>Negeri</t>
    </r>
    <r>
      <rPr>
        <i/>
        <sz val="10"/>
        <color indexed="8"/>
        <rFont val="Century Gothic"/>
        <family val="2"/>
      </rPr>
      <t xml:space="preserve">
State</t>
    </r>
  </si>
  <si>
    <r>
      <t xml:space="preserve">Tahun
</t>
    </r>
    <r>
      <rPr>
        <i/>
        <sz val="10"/>
        <rFont val="Century Gothic"/>
        <family val="2"/>
      </rPr>
      <t>Year</t>
    </r>
  </si>
  <si>
    <r>
      <t xml:space="preserve">Purata
</t>
    </r>
    <r>
      <rPr>
        <i/>
        <sz val="10"/>
        <rFont val="Century Gothic"/>
        <family val="2"/>
      </rPr>
      <t>Mean</t>
    </r>
  </si>
  <si>
    <r>
      <t xml:space="preserve">Penengah
</t>
    </r>
    <r>
      <rPr>
        <i/>
        <sz val="10"/>
        <rFont val="Century Gothic"/>
        <family val="2"/>
      </rPr>
      <t>Median</t>
    </r>
  </si>
  <si>
    <r>
      <t>Penggunaan isi rumah bulanan purata</t>
    </r>
    <r>
      <rPr>
        <i/>
        <sz val="10"/>
        <rFont val="Century Gothic"/>
        <family val="2"/>
      </rPr>
      <t xml:space="preserve">
Mean monthly households consumption</t>
    </r>
  </si>
  <si>
    <r>
      <t xml:space="preserve">Insiden miskin mutlak
</t>
    </r>
    <r>
      <rPr>
        <i/>
        <sz val="10"/>
        <rFont val="Century Gothic"/>
        <family val="2"/>
      </rPr>
      <t>Incidence of absolute poverty</t>
    </r>
  </si>
  <si>
    <r>
      <t xml:space="preserve">Pekali gini
</t>
    </r>
    <r>
      <rPr>
        <i/>
        <sz val="10"/>
        <rFont val="Century Gothic"/>
        <family val="2"/>
      </rPr>
      <t>Gini coefficient</t>
    </r>
  </si>
  <si>
    <t>(RM)</t>
  </si>
  <si>
    <t>(%)</t>
  </si>
  <si>
    <t xml:space="preserve">Jadual 36.0 </t>
  </si>
  <si>
    <t>: Statistik Penggunaan Per Kapita, Kadar Sara Diri dan Kadar Kebergantungan Import Item Pertanian,</t>
  </si>
  <si>
    <t xml:space="preserve">  Malaysia, 2023</t>
  </si>
  <si>
    <t xml:space="preserve">Table 36.0 </t>
  </si>
  <si>
    <t xml:space="preserve">: Statistics of Per Capita Consumption, Self-Sufficiency Ratio and Import Dependency Ratio of </t>
  </si>
  <si>
    <t xml:space="preserve">  Agricultural Items, Malaysia, 2023</t>
  </si>
  <si>
    <r>
      <t xml:space="preserve">ITEM PERTANIAN TERPILIH
</t>
    </r>
    <r>
      <rPr>
        <i/>
        <sz val="10"/>
        <color theme="1"/>
        <rFont val="Century Gothic"/>
        <family val="2"/>
      </rPr>
      <t>SELECTED AGRICULTURAL ITEM</t>
    </r>
  </si>
  <si>
    <t>PCC (KG/ Tahun)</t>
  </si>
  <si>
    <t>SSR (%)</t>
  </si>
  <si>
    <t>IDR (%)</t>
  </si>
  <si>
    <t>PCC (KG/ Year)</t>
  </si>
  <si>
    <r>
      <t xml:space="preserve">Daging ayam/ </t>
    </r>
    <r>
      <rPr>
        <i/>
        <sz val="10"/>
        <color theme="1"/>
        <rFont val="Century Gothic"/>
        <family val="2"/>
      </rPr>
      <t>Chicken meat</t>
    </r>
  </si>
  <si>
    <r>
      <t xml:space="preserve">Telur ayam/ itik/ </t>
    </r>
    <r>
      <rPr>
        <i/>
        <sz val="10"/>
        <color theme="1"/>
        <rFont val="Century Gothic"/>
        <family val="2"/>
      </rPr>
      <t xml:space="preserve">Chicken/ duck egg </t>
    </r>
    <r>
      <rPr>
        <i/>
        <vertAlign val="superscript"/>
        <sz val="10"/>
        <color theme="1"/>
        <rFont val="Century Gothic"/>
        <family val="2"/>
      </rPr>
      <t>a</t>
    </r>
  </si>
  <si>
    <r>
      <rPr>
        <b/>
        <sz val="10"/>
        <color theme="1"/>
        <rFont val="Century Gothic"/>
        <family val="2"/>
      </rPr>
      <t>Kelapa</t>
    </r>
    <r>
      <rPr>
        <i/>
        <sz val="10"/>
        <color theme="1"/>
        <rFont val="Century Gothic"/>
        <family val="2"/>
      </rPr>
      <t>/ Coconut</t>
    </r>
  </si>
  <si>
    <r>
      <t xml:space="preserve">Daging babi/ </t>
    </r>
    <r>
      <rPr>
        <i/>
        <sz val="10"/>
        <color theme="1"/>
        <rFont val="Century Gothic"/>
        <family val="2"/>
      </rPr>
      <t>Pork</t>
    </r>
  </si>
  <si>
    <t>Durian</t>
  </si>
  <si>
    <r>
      <t xml:space="preserve">Bawang besar/ </t>
    </r>
    <r>
      <rPr>
        <i/>
        <sz val="10"/>
        <color theme="1"/>
        <rFont val="Century Gothic"/>
        <family val="2"/>
      </rPr>
      <t>Onions</t>
    </r>
  </si>
  <si>
    <r>
      <t xml:space="preserve">Pisang/ </t>
    </r>
    <r>
      <rPr>
        <i/>
        <sz val="10"/>
        <color theme="1"/>
        <rFont val="Century Gothic"/>
        <family val="2"/>
      </rPr>
      <t>Banana</t>
    </r>
  </si>
  <si>
    <r>
      <t xml:space="preserve">Nanas/ </t>
    </r>
    <r>
      <rPr>
        <i/>
        <sz val="10"/>
        <color theme="1"/>
        <rFont val="Century Gothic"/>
        <family val="2"/>
      </rPr>
      <t>Pineapple</t>
    </r>
  </si>
  <si>
    <r>
      <t xml:space="preserve">Kobis bulat/ </t>
    </r>
    <r>
      <rPr>
        <i/>
        <sz val="10"/>
        <color theme="1"/>
        <rFont val="Century Gothic"/>
        <family val="2"/>
      </rPr>
      <t>Round Cabbage</t>
    </r>
  </si>
  <si>
    <r>
      <t xml:space="preserve">Daging lembu/ kerbau/ </t>
    </r>
    <r>
      <rPr>
        <i/>
        <sz val="10"/>
        <color theme="1"/>
        <rFont val="Century Gothic"/>
        <family val="2"/>
      </rPr>
      <t>Beef</t>
    </r>
  </si>
  <si>
    <r>
      <t xml:space="preserve">Bawang putih/ </t>
    </r>
    <r>
      <rPr>
        <i/>
        <sz val="10"/>
        <color theme="1"/>
        <rFont val="Century Gothic"/>
        <family val="2"/>
      </rPr>
      <t>Garlic</t>
    </r>
  </si>
  <si>
    <t>Mackerel</t>
  </si>
  <si>
    <r>
      <t xml:space="preserve">Sawi/ </t>
    </r>
    <r>
      <rPr>
        <i/>
        <sz val="10"/>
        <rFont val="Century Gothic"/>
        <family val="2"/>
      </rPr>
      <t>Mustard</t>
    </r>
  </si>
  <si>
    <r>
      <t xml:space="preserve">Udang/ </t>
    </r>
    <r>
      <rPr>
        <i/>
        <sz val="10"/>
        <rFont val="Century Gothic"/>
        <family val="2"/>
      </rPr>
      <t>Prawn</t>
    </r>
  </si>
  <si>
    <t>Tomato</t>
  </si>
  <si>
    <r>
      <t xml:space="preserve">Timun/ </t>
    </r>
    <r>
      <rPr>
        <i/>
        <sz val="10"/>
        <color theme="1"/>
        <rFont val="Century Gothic"/>
        <family val="2"/>
      </rPr>
      <t>Cucumber</t>
    </r>
  </si>
  <si>
    <r>
      <t xml:space="preserve">Tembikai/ </t>
    </r>
    <r>
      <rPr>
        <i/>
        <sz val="10"/>
        <color theme="1"/>
        <rFont val="Century Gothic"/>
        <family val="2"/>
      </rPr>
      <t>Watermelon</t>
    </r>
  </si>
  <si>
    <r>
      <t xml:space="preserve">Epal/ </t>
    </r>
    <r>
      <rPr>
        <i/>
        <sz val="10"/>
        <color theme="1"/>
        <rFont val="Century Gothic"/>
        <family val="2"/>
      </rPr>
      <t>Apple</t>
    </r>
  </si>
  <si>
    <t>Salad</t>
  </si>
  <si>
    <r>
      <t xml:space="preserve">Selayang/ </t>
    </r>
    <r>
      <rPr>
        <i/>
        <sz val="10"/>
        <color theme="1"/>
        <rFont val="Century Gothic"/>
        <family val="2"/>
      </rPr>
      <t xml:space="preserve">Sardine </t>
    </r>
  </si>
  <si>
    <r>
      <t xml:space="preserve">Sotong/ </t>
    </r>
    <r>
      <rPr>
        <i/>
        <sz val="10"/>
        <color theme="1"/>
        <rFont val="Century Gothic"/>
        <family val="2"/>
      </rPr>
      <t xml:space="preserve">Cuttlefish </t>
    </r>
  </si>
  <si>
    <r>
      <t xml:space="preserve">Nota/ </t>
    </r>
    <r>
      <rPr>
        <i/>
        <sz val="9"/>
        <color theme="1"/>
        <rFont val="Century Gothic"/>
        <family val="2"/>
      </rPr>
      <t>Notes</t>
    </r>
    <r>
      <rPr>
        <sz val="9"/>
        <color theme="1"/>
        <rFont val="Century Gothic"/>
        <family val="2"/>
      </rPr>
      <t>:</t>
    </r>
  </si>
  <si>
    <r>
      <rPr>
        <b/>
        <vertAlign val="superscript"/>
        <sz val="9"/>
        <color theme="1"/>
        <rFont val="Century Gothic"/>
        <family val="2"/>
      </rPr>
      <t>a</t>
    </r>
    <r>
      <rPr>
        <b/>
        <sz val="9"/>
        <color theme="1"/>
        <rFont val="Century Gothic"/>
        <family val="2"/>
      </rPr>
      <t xml:space="preserve"> Satu biji telur bersamaan 60 gram</t>
    </r>
  </si>
  <si>
    <t>One piece egg equal to 60 grams</t>
  </si>
  <si>
    <t>Penggunaan Per Kapita (PCC) merujuk kepada amaun penggunaan makanan oleh setiap penduduk dalam setahun</t>
  </si>
  <si>
    <t>Per Capita Consumption (PCC ) refers to the amount of food consumed by each person per year</t>
  </si>
  <si>
    <t>Kadar Sara Diri (SSR) yang mencapai 100.0 peratus atau lebih menunjukkan bekalan atau pengeluaran bagi sesuatu komoditi pertanian adalah mencukupi untuk memenuhi keperluan dalam negara, dan sebaliknya</t>
  </si>
  <si>
    <t>The Self-Sufficiency Ratio (SSR) which obtained 100.0 per cent or more indicates the supply or production of agricultural commodities is sufficient to meet the country’s demands and vice versa</t>
  </si>
  <si>
    <t>4.</t>
  </si>
  <si>
    <t>Kadar Kebergantungan Import (IDR) menerangkan kebergantungan sesebuah negara kepada import komoditi pertanian dalam memenuhi keperluan domestik. Semakin tinggi IDR menunjukkan semakin banyak bekalan komoditi pertanian yang diimport</t>
  </si>
  <si>
    <t>Import Dependency Ratio (IDR) explains a country's dependence on imports of agricultural commodities to meet domestic needs. The higher IDR shows the more supply of agricultural commodities to be imported</t>
  </si>
  <si>
    <t>Jadual 36.1</t>
  </si>
  <si>
    <t>: Statistik terpilih Penggunaan Per Kapita item pertanian mengikut negeri, Malaysia, 2023</t>
  </si>
  <si>
    <t>Table 36.1</t>
  </si>
  <si>
    <t>: Selected statistics of Per Capita Consumption of agricultural item by state, Malaysia, 2023</t>
  </si>
  <si>
    <r>
      <rPr>
        <b/>
        <sz val="10"/>
        <rFont val="Century Gothic"/>
        <family val="2"/>
      </rPr>
      <t>Negeri</t>
    </r>
    <r>
      <rPr>
        <sz val="10"/>
        <rFont val="Century Gothic"/>
        <family val="2"/>
      </rPr>
      <t xml:space="preserve">
</t>
    </r>
    <r>
      <rPr>
        <i/>
        <sz val="10"/>
        <rFont val="Century Gothic"/>
        <family val="2"/>
      </rPr>
      <t>State</t>
    </r>
  </si>
  <si>
    <r>
      <t xml:space="preserve">ITEM PERTANIAN TERPILIH
</t>
    </r>
    <r>
      <rPr>
        <i/>
        <sz val="10"/>
        <rFont val="Century Gothic"/>
        <family val="2"/>
      </rPr>
      <t>SELECTED AGRICULTURAL ITEM</t>
    </r>
  </si>
  <si>
    <t>Mangga</t>
  </si>
  <si>
    <t>Nanas</t>
  </si>
  <si>
    <r>
      <t xml:space="preserve">Cili </t>
    </r>
    <r>
      <rPr>
        <b/>
        <vertAlign val="superscript"/>
        <sz val="10"/>
        <rFont val="Century Gothic"/>
        <family val="2"/>
      </rPr>
      <t>a</t>
    </r>
  </si>
  <si>
    <t>Kobis bulat</t>
  </si>
  <si>
    <t>Timun</t>
  </si>
  <si>
    <t>Sawi</t>
  </si>
  <si>
    <t>Mango</t>
  </si>
  <si>
    <t>Pineapple</t>
  </si>
  <si>
    <t>Chilli</t>
  </si>
  <si>
    <t>Round cabbage</t>
  </si>
  <si>
    <t>Cucumber</t>
  </si>
  <si>
    <t>Mustard</t>
  </si>
  <si>
    <t>Malaysia</t>
  </si>
  <si>
    <r>
      <rPr>
        <b/>
        <vertAlign val="superscript"/>
        <sz val="9"/>
        <rFont val="Century Gothic"/>
        <family val="2"/>
      </rPr>
      <t xml:space="preserve">a </t>
    </r>
    <r>
      <rPr>
        <b/>
        <sz val="9"/>
        <rFont val="Century Gothic"/>
        <family val="2"/>
      </rPr>
      <t>Tidak termasuk cili padi</t>
    </r>
  </si>
  <si>
    <r>
      <rPr>
        <vertAlign val="superscript"/>
        <sz val="9"/>
        <rFont val="Century Gothic"/>
        <family val="2"/>
      </rPr>
      <t xml:space="preserve">  </t>
    </r>
    <r>
      <rPr>
        <i/>
        <sz val="9"/>
        <rFont val="Century Gothic"/>
        <family val="2"/>
      </rPr>
      <t>Not included hot chilli</t>
    </r>
  </si>
  <si>
    <t>Penggunaan Per Kapita 2024 dikira menggunakan proksi data Survei Pendapatan, Perbelanjaan Isi Rumah dan Kemudahan Asas (HIES/BA) 2024</t>
  </si>
  <si>
    <t xml:space="preserve">Per Capita Consumption 2024 is calculated based on proxy of Household Income, Expenditure and Basic Amenities (HIES/BA) Survey 2024 data </t>
  </si>
  <si>
    <t>Jadual 37.0</t>
  </si>
  <si>
    <t>: Purata suhu, Malaysia, 2021 - 2023</t>
  </si>
  <si>
    <t>Table 37.0</t>
  </si>
  <si>
    <t>: Mean temperature, Malaysia, 2021 - 2023</t>
  </si>
  <si>
    <r>
      <t xml:space="preserve">STESEN METEOROLOGI TERPILIH (KETINGGIAN DARI PURATA PARAS LAUT DALAM METER) 
</t>
    </r>
    <r>
      <rPr>
        <i/>
        <sz val="10"/>
        <color theme="1"/>
        <rFont val="Century Gothic"/>
        <family val="2"/>
      </rPr>
      <t xml:space="preserve">SELECTED METEOROLOGICAL STATION (HEIGHT ABOVE MEAN SEA LEVEL IN METRES) </t>
    </r>
  </si>
  <si>
    <r>
      <rPr>
        <b/>
        <sz val="10"/>
        <color theme="1"/>
        <rFont val="Century Gothic"/>
        <family val="2"/>
      </rPr>
      <t xml:space="preserve">Daerah
</t>
    </r>
    <r>
      <rPr>
        <i/>
        <sz val="10"/>
        <color theme="1"/>
        <rFont val="Century Gothic"/>
        <family val="2"/>
      </rPr>
      <t>District</t>
    </r>
  </si>
  <si>
    <r>
      <rPr>
        <b/>
        <sz val="10"/>
        <color theme="1"/>
        <rFont val="Century Gothic"/>
        <family val="2"/>
      </rPr>
      <t>Suhu</t>
    </r>
    <r>
      <rPr>
        <sz val="10"/>
        <color theme="1"/>
        <rFont val="Century Gothic"/>
        <family val="2"/>
      </rPr>
      <t xml:space="preserve">
</t>
    </r>
    <r>
      <rPr>
        <i/>
        <sz val="10"/>
        <color theme="1"/>
        <rFont val="Century Gothic"/>
        <family val="2"/>
      </rPr>
      <t>Temperature</t>
    </r>
    <r>
      <rPr>
        <sz val="10"/>
        <color theme="1"/>
        <rFont val="Century Gothic"/>
        <family val="2"/>
      </rPr>
      <t xml:space="preserve"> </t>
    </r>
  </si>
  <si>
    <r>
      <t>2021
(</t>
    </r>
    <r>
      <rPr>
        <b/>
        <vertAlign val="superscript"/>
        <sz val="10"/>
        <color theme="1"/>
        <rFont val="Century Gothic"/>
        <family val="2"/>
      </rPr>
      <t>o</t>
    </r>
    <r>
      <rPr>
        <b/>
        <sz val="10"/>
        <color theme="1"/>
        <rFont val="Century Gothic"/>
        <family val="2"/>
      </rPr>
      <t>C)</t>
    </r>
  </si>
  <si>
    <r>
      <t>2022
(</t>
    </r>
    <r>
      <rPr>
        <b/>
        <vertAlign val="superscript"/>
        <sz val="10"/>
        <rFont val="Century Gothic"/>
        <family val="2"/>
      </rPr>
      <t>o</t>
    </r>
    <r>
      <rPr>
        <b/>
        <sz val="10"/>
        <rFont val="Century Gothic"/>
        <family val="2"/>
      </rPr>
      <t>C)</t>
    </r>
  </si>
  <si>
    <r>
      <t>2023
(</t>
    </r>
    <r>
      <rPr>
        <b/>
        <vertAlign val="superscript"/>
        <sz val="10"/>
        <rFont val="Century Gothic"/>
        <family val="2"/>
      </rPr>
      <t>o</t>
    </r>
    <r>
      <rPr>
        <b/>
        <sz val="10"/>
        <rFont val="Century Gothic"/>
        <family val="2"/>
      </rPr>
      <t>C)</t>
    </r>
  </si>
  <si>
    <t>Batu Pahat
(6.3 m)</t>
  </si>
  <si>
    <t>Batu Pahat</t>
  </si>
  <si>
    <t>Min.</t>
  </si>
  <si>
    <r>
      <t xml:space="preserve">Maks.
</t>
    </r>
    <r>
      <rPr>
        <i/>
        <sz val="10"/>
        <color theme="1"/>
        <rFont val="Century Gothic"/>
        <family val="2"/>
      </rPr>
      <t>Max.</t>
    </r>
  </si>
  <si>
    <t>Kluang 
(88.1 m)</t>
  </si>
  <si>
    <t>Kluang</t>
  </si>
  <si>
    <r>
      <rPr>
        <b/>
        <sz val="10"/>
        <color theme="1"/>
        <rFont val="Century Gothic"/>
        <family val="2"/>
      </rPr>
      <t>Maks</t>
    </r>
    <r>
      <rPr>
        <sz val="10"/>
        <color theme="1"/>
        <rFont val="Century Gothic"/>
        <family val="2"/>
      </rPr>
      <t xml:space="preserve">.
</t>
    </r>
    <r>
      <rPr>
        <i/>
        <sz val="10"/>
        <color theme="1"/>
        <rFont val="Century Gothic"/>
        <family val="2"/>
      </rPr>
      <t>Max.</t>
    </r>
  </si>
  <si>
    <t>Mersing
(43.6 m)</t>
  </si>
  <si>
    <t>Mersing</t>
  </si>
  <si>
    <t>Senai 
(37.8 m)</t>
  </si>
  <si>
    <t>Senai</t>
  </si>
  <si>
    <t>Alor Setar
(3.9 m)</t>
  </si>
  <si>
    <t>Alor Setar</t>
  </si>
  <si>
    <t>Pulau Langkawi
(6.4 m)</t>
  </si>
  <si>
    <t>Langkawi</t>
  </si>
  <si>
    <t>Kota Bharu
(4.4 m)</t>
  </si>
  <si>
    <t>Kota Bharu</t>
  </si>
  <si>
    <t>Kuala Krai
(34.9 m)</t>
  </si>
  <si>
    <t>Kuala Krai</t>
  </si>
  <si>
    <t>Gong Kedak
(6.0 m)</t>
  </si>
  <si>
    <t>Pasir Puteh</t>
  </si>
  <si>
    <t>Melaka
(8.5 m)</t>
  </si>
  <si>
    <t>Melaka Tengah</t>
  </si>
  <si>
    <t>Kuala Pilah
(144.0 m)</t>
  </si>
  <si>
    <t>Kuala Pilah</t>
  </si>
  <si>
    <r>
      <t>Cameron Highlands</t>
    </r>
    <r>
      <rPr>
        <vertAlign val="superscript"/>
        <sz val="10"/>
        <color theme="1"/>
        <rFont val="Century Gothic"/>
        <family val="2"/>
      </rPr>
      <t>1</t>
    </r>
    <r>
      <rPr>
        <sz val="10"/>
        <color theme="1"/>
        <rFont val="Century Gothic"/>
        <family val="2"/>
      </rPr>
      <t xml:space="preserve">
(1,545.0 m)</t>
    </r>
  </si>
  <si>
    <t>Cameron Highlands</t>
  </si>
  <si>
    <t>Batu Embun, Jerantut
(59.5 m)</t>
  </si>
  <si>
    <t>Jerantut</t>
  </si>
  <si>
    <t>Sumber: Jabatan Meteorologi Malaysia</t>
  </si>
  <si>
    <t>Source: Malaysia Meteorological Department</t>
  </si>
  <si>
    <r>
      <t xml:space="preserve">Nota/ </t>
    </r>
    <r>
      <rPr>
        <i/>
        <sz val="9"/>
        <color theme="1"/>
        <rFont val="Century Gothic"/>
        <family val="2"/>
      </rPr>
      <t>Notes</t>
    </r>
    <r>
      <rPr>
        <sz val="9"/>
        <color theme="1"/>
        <rFont val="Century Gothic"/>
        <family val="2"/>
      </rPr>
      <t>:</t>
    </r>
    <r>
      <rPr>
        <b/>
        <sz val="9"/>
        <color theme="1"/>
        <rFont val="Century Gothic"/>
        <family val="2"/>
      </rPr>
      <t xml:space="preserve"> </t>
    </r>
  </si>
  <si>
    <r>
      <rPr>
        <b/>
        <vertAlign val="superscript"/>
        <sz val="9"/>
        <color theme="1"/>
        <rFont val="Century Gothic"/>
        <family val="2"/>
      </rPr>
      <t xml:space="preserve">1 </t>
    </r>
    <r>
      <rPr>
        <b/>
        <sz val="9"/>
        <color theme="1"/>
        <rFont val="Century Gothic"/>
        <family val="2"/>
      </rPr>
      <t xml:space="preserve">Stesen bukit/ </t>
    </r>
    <r>
      <rPr>
        <i/>
        <sz val="9"/>
        <color theme="1"/>
        <rFont val="Century Gothic"/>
        <family val="2"/>
      </rPr>
      <t>Hill station</t>
    </r>
  </si>
  <si>
    <r>
      <t xml:space="preserve">Def: nilai defektif/ </t>
    </r>
    <r>
      <rPr>
        <i/>
        <sz val="9"/>
        <color theme="1"/>
        <rFont val="Century Gothic"/>
        <family val="2"/>
      </rPr>
      <t>Defective value</t>
    </r>
  </si>
  <si>
    <t>Pemboleh ubah adalah menggambarkan data dalam lingkungan radius 15 kilometer daripada stesen dan bukan mewakili keseluruhan Parlimen</t>
  </si>
  <si>
    <t>The variables are reflective of data within 15 kilometer radius of the station and are not representative of the entire Parliament</t>
  </si>
  <si>
    <t>: Purata suhu, Malaysia, 2021 - 2023 (samb.)</t>
  </si>
  <si>
    <t>: Mean temperature, Malaysia, 2021 - 2023 (cont'd)</t>
  </si>
  <si>
    <t>Kuantan
(15.2 m)</t>
  </si>
  <si>
    <t>Kuantan</t>
  </si>
  <si>
    <t>Muadzam Shah
(33.3 m)</t>
  </si>
  <si>
    <t>Rompin</t>
  </si>
  <si>
    <t>Temerloh
(39.1 m)</t>
  </si>
  <si>
    <t>Temerloh</t>
  </si>
  <si>
    <t>Bayan Lepas
(2.5 m)</t>
  </si>
  <si>
    <t>Barat Daya</t>
  </si>
  <si>
    <t>Butterworth
(3.3 m)</t>
  </si>
  <si>
    <t>Seberang Perai</t>
  </si>
  <si>
    <t>Ipoh
(40.1 m)</t>
  </si>
  <si>
    <t>Kinta</t>
  </si>
  <si>
    <t>Lubok Merbau, Kuala Kangsar
(77.5 m)</t>
  </si>
  <si>
    <t>Kuala Kangsar</t>
  </si>
  <si>
    <t>Sitiawan
(6.8 m)</t>
  </si>
  <si>
    <t>Manjung</t>
  </si>
  <si>
    <t>Chuping
(21.7 m)</t>
  </si>
  <si>
    <t>Kangar</t>
  </si>
  <si>
    <t>Petaling Jaya
(58.6 m)</t>
  </si>
  <si>
    <t xml:space="preserve">Petaling </t>
  </si>
  <si>
    <t>Subang
(16.6 m)</t>
  </si>
  <si>
    <t>KLIA Sepang
(16.1 m)</t>
  </si>
  <si>
    <t>Sepang</t>
  </si>
  <si>
    <t>Kerteh
(3.7 m)</t>
  </si>
  <si>
    <t>Kemaman</t>
  </si>
  <si>
    <t>Kuala Terengganu
(5.2 m)</t>
  </si>
  <si>
    <t>Kuala Terengganu</t>
  </si>
  <si>
    <t>Keningau
(319.0 m)</t>
  </si>
  <si>
    <t>Keningau</t>
  </si>
  <si>
    <t>Kota Kinabalu
(2.1 m)</t>
  </si>
  <si>
    <t>Kota Kinabalu</t>
  </si>
  <si>
    <t>Kudat
(3.5 m)</t>
  </si>
  <si>
    <t>Kudat</t>
  </si>
  <si>
    <t>Ranau
(501.0 m)</t>
  </si>
  <si>
    <t>Ranau</t>
  </si>
  <si>
    <t>Sandakan
(12.1 m)</t>
  </si>
  <si>
    <t>Sandakan</t>
  </si>
  <si>
    <t>Tawau
(17.5 m)</t>
  </si>
  <si>
    <t>Tawau</t>
  </si>
  <si>
    <t>Bintulu
(24.3 m)</t>
  </si>
  <si>
    <t>Bintulu</t>
  </si>
  <si>
    <t>Kapit
(35.0 m)</t>
  </si>
  <si>
    <t>Kapit</t>
  </si>
  <si>
    <t>Kuching
(20.9 m)</t>
  </si>
  <si>
    <t>Kuching</t>
  </si>
  <si>
    <t>Limbang
(3.6 m)</t>
  </si>
  <si>
    <t>Limbang</t>
  </si>
  <si>
    <t>Miri
(17.0 m)</t>
  </si>
  <si>
    <t>Miri</t>
  </si>
  <si>
    <t>Mulu
(26.2 m)</t>
  </si>
  <si>
    <t>Sibu
(30.9 m)</t>
  </si>
  <si>
    <t>Sibu</t>
  </si>
  <si>
    <t>Sri Aman
(9.6 m)</t>
  </si>
  <si>
    <t>Sri Aman</t>
  </si>
  <si>
    <r>
      <t xml:space="preserve">Pemboleh ubah adalah menggambarkan data dalam lingkungan radius 15 kilometer daripada stesen dan bukan mewakili keseluruhan Parlimen
</t>
    </r>
    <r>
      <rPr>
        <i/>
        <sz val="9"/>
        <color theme="1"/>
        <rFont val="Century Gothic"/>
        <family val="2"/>
      </rPr>
      <t>The variables are reflective of data within 15 kilometer radius of the station and are not representative of the entire Parliament</t>
    </r>
  </si>
  <si>
    <t>: Mean temperature, Malaysia,2021 - 2023 (cont'd)</t>
  </si>
  <si>
    <t>Labuan
(27.9 m)</t>
  </si>
  <si>
    <t>Labuan</t>
  </si>
  <si>
    <t>Jadual 38.0</t>
  </si>
  <si>
    <t>: Volum hujan, Malaysia, 2021 - 2023</t>
  </si>
  <si>
    <t>Table 38.0</t>
  </si>
  <si>
    <t>: Rainfall volume, Malaysia, 2021 - 2023</t>
  </si>
  <si>
    <r>
      <t xml:space="preserve">Jumlah (mm)
</t>
    </r>
    <r>
      <rPr>
        <i/>
        <sz val="10"/>
        <color theme="1"/>
        <rFont val="Century Gothic"/>
        <family val="2"/>
      </rPr>
      <t>Total</t>
    </r>
  </si>
  <si>
    <r>
      <rPr>
        <b/>
        <sz val="10"/>
        <color theme="1"/>
        <rFont val="Century Gothic"/>
        <family val="2"/>
      </rPr>
      <t>Bil. Hari</t>
    </r>
    <r>
      <rPr>
        <sz val="10"/>
        <color theme="1"/>
        <rFont val="Century Gothic"/>
        <family val="2"/>
      </rPr>
      <t xml:space="preserve">
</t>
    </r>
    <r>
      <rPr>
        <i/>
        <sz val="10"/>
        <color theme="1"/>
        <rFont val="Century Gothic"/>
        <family val="2"/>
      </rPr>
      <t>No. of days</t>
    </r>
  </si>
  <si>
    <t>Kluang
(88.1 m)</t>
  </si>
  <si>
    <t>Senai
(37.8 m)</t>
  </si>
  <si>
    <t>Def.</t>
  </si>
  <si>
    <t xml:space="preserve">Melaka </t>
  </si>
  <si>
    <t>Melaka 
(8.5 m)</t>
  </si>
  <si>
    <t>: Volum hujan, Malaysia, 2021 - 2023 (samb.)</t>
  </si>
  <si>
    <t>: Rainfall volume, Malaysia, 2021 - 2023 (cont'd)</t>
  </si>
  <si>
    <t>Chuping  
(21.7 m)</t>
  </si>
  <si>
    <t xml:space="preserve">Labuan
(27.9 m)
</t>
  </si>
  <si>
    <t>Jadual 39.0</t>
  </si>
  <si>
    <t>: Purata kelembapan relatif, Malaysia, 2021 - 2023</t>
  </si>
  <si>
    <t>Table 39.0</t>
  </si>
  <si>
    <t>: Mean relative humidity, Malaysia, 2021 - 2023</t>
  </si>
  <si>
    <r>
      <rPr>
        <b/>
        <sz val="10"/>
        <color theme="1"/>
        <rFont val="Century Gothic"/>
        <family val="2"/>
      </rPr>
      <t>Daerah</t>
    </r>
    <r>
      <rPr>
        <sz val="10"/>
        <color theme="1"/>
        <rFont val="Century Gothic"/>
        <family val="2"/>
      </rPr>
      <t xml:space="preserve">
</t>
    </r>
    <r>
      <rPr>
        <i/>
        <sz val="10"/>
        <color theme="1"/>
        <rFont val="Century Gothic"/>
        <family val="2"/>
      </rPr>
      <t>District</t>
    </r>
  </si>
  <si>
    <t>2021
(%)</t>
  </si>
  <si>
    <t>2022
(%)</t>
  </si>
  <si>
    <t>2023
(%)</t>
  </si>
  <si>
    <t xml:space="preserve">Def. </t>
  </si>
  <si>
    <t>: Purata kelembapan relatif Malaysia, 2021 - 2023 (samb.)</t>
  </si>
  <si>
    <t>: Mean relative humidity, Malaysia, 2021 - 2023 (cont'd)</t>
  </si>
  <si>
    <t>Jadual 40.0</t>
  </si>
  <si>
    <t>: Bilangan kes positif dan kematian disebabkan COVID-19 mengikut negeri, Malaysia, 2021 - 2023</t>
  </si>
  <si>
    <t>Table 40.0</t>
  </si>
  <si>
    <t>: Number of positive cases and deaths due to COVID-19 by state, Malaysia, 2021 - 2023</t>
  </si>
  <si>
    <r>
      <rPr>
        <b/>
        <sz val="10"/>
        <rFont val="Century Gothic"/>
        <family val="2"/>
      </rPr>
      <t>Tahun</t>
    </r>
    <r>
      <rPr>
        <sz val="10"/>
        <rFont val="Century Gothic"/>
        <family val="2"/>
      </rPr>
      <t xml:space="preserve">
</t>
    </r>
    <r>
      <rPr>
        <i/>
        <sz val="10"/>
        <rFont val="Century Gothic"/>
        <family val="2"/>
      </rPr>
      <t>Year</t>
    </r>
  </si>
  <si>
    <t>Bilangan kes positif</t>
  </si>
  <si>
    <t>Bilangan kematian</t>
  </si>
  <si>
    <t xml:space="preserve">Number of positive cases </t>
  </si>
  <si>
    <t>Number of deaths</t>
  </si>
  <si>
    <t>Sumber: Kementerian Kesihatan Malaysia</t>
  </si>
  <si>
    <t>Source: Ministry of Health Malaysia</t>
  </si>
  <si>
    <t>Jadual 40.1</t>
  </si>
  <si>
    <t>: Statistik penerima vaksin COVID-19 mengikut umur, Malaysia, 2023</t>
  </si>
  <si>
    <t>Table 40.1</t>
  </si>
  <si>
    <t>: Statistics of COVID-19 vaccine recipient by age, Malaysia, 2023</t>
  </si>
  <si>
    <r>
      <t xml:space="preserve">Negeri
</t>
    </r>
    <r>
      <rPr>
        <i/>
        <sz val="10"/>
        <rFont val="Century Gothic"/>
        <family val="2"/>
      </rPr>
      <t>State</t>
    </r>
  </si>
  <si>
    <r>
      <t xml:space="preserve">Umur 5 - 17 tahun
</t>
    </r>
    <r>
      <rPr>
        <i/>
        <sz val="10"/>
        <rFont val="Century Gothic"/>
        <family val="2"/>
      </rPr>
      <t>Age 5 - 17</t>
    </r>
    <r>
      <rPr>
        <b/>
        <sz val="10"/>
        <rFont val="Century Gothic"/>
        <family val="2"/>
      </rPr>
      <t xml:space="preserve"> </t>
    </r>
    <r>
      <rPr>
        <i/>
        <sz val="10"/>
        <rFont val="Century Gothic"/>
        <family val="2"/>
      </rPr>
      <t>years</t>
    </r>
  </si>
  <si>
    <r>
      <t xml:space="preserve">Umur 18 - 59 tahun
</t>
    </r>
    <r>
      <rPr>
        <i/>
        <sz val="10"/>
        <rFont val="Century Gothic"/>
        <family val="2"/>
      </rPr>
      <t>Age 18 - 59 years</t>
    </r>
  </si>
  <si>
    <r>
      <t xml:space="preserve">Umur 60 dan lebih
</t>
    </r>
    <r>
      <rPr>
        <sz val="10"/>
        <rFont val="Century Gothic"/>
        <family val="2"/>
      </rPr>
      <t>Age 60</t>
    </r>
    <r>
      <rPr>
        <i/>
        <sz val="10"/>
        <rFont val="Century Gothic"/>
        <family val="2"/>
      </rPr>
      <t xml:space="preserve"> and over</t>
    </r>
  </si>
  <si>
    <r>
      <rPr>
        <b/>
        <sz val="10"/>
        <rFont val="Century Gothic"/>
        <family val="2"/>
      </rPr>
      <t>Dos</t>
    </r>
    <r>
      <rPr>
        <sz val="10"/>
        <rFont val="Century Gothic"/>
        <family val="2"/>
      </rPr>
      <t xml:space="preserve"> </t>
    </r>
    <r>
      <rPr>
        <b/>
        <sz val="10"/>
        <rFont val="Century Gothic"/>
        <family val="2"/>
      </rPr>
      <t>1</t>
    </r>
    <r>
      <rPr>
        <sz val="10"/>
        <rFont val="Century Gothic"/>
        <family val="2"/>
      </rPr>
      <t xml:space="preserve"> 
</t>
    </r>
    <r>
      <rPr>
        <i/>
        <sz val="10"/>
        <rFont val="Century Gothic"/>
        <family val="2"/>
      </rPr>
      <t>Dose 1</t>
    </r>
  </si>
  <si>
    <r>
      <rPr>
        <b/>
        <sz val="10"/>
        <rFont val="Century Gothic"/>
        <family val="2"/>
      </rPr>
      <t>Dos</t>
    </r>
    <r>
      <rPr>
        <sz val="10"/>
        <rFont val="Century Gothic"/>
        <family val="2"/>
      </rPr>
      <t xml:space="preserve"> </t>
    </r>
    <r>
      <rPr>
        <b/>
        <sz val="10"/>
        <rFont val="Century Gothic"/>
        <family val="2"/>
      </rPr>
      <t>2</t>
    </r>
    <r>
      <rPr>
        <sz val="10"/>
        <rFont val="Century Gothic"/>
        <family val="2"/>
      </rPr>
      <t xml:space="preserve"> 
</t>
    </r>
    <r>
      <rPr>
        <i/>
        <sz val="10"/>
        <rFont val="Century Gothic"/>
        <family val="2"/>
      </rPr>
      <t>Dose 2</t>
    </r>
  </si>
  <si>
    <r>
      <rPr>
        <b/>
        <sz val="10"/>
        <rFont val="Century Gothic"/>
        <family val="2"/>
      </rPr>
      <t>Penggalak 1</t>
    </r>
    <r>
      <rPr>
        <sz val="10"/>
        <rFont val="Century Gothic"/>
        <family val="2"/>
      </rPr>
      <t xml:space="preserve">
</t>
    </r>
    <r>
      <rPr>
        <i/>
        <sz val="10"/>
        <rFont val="Century Gothic"/>
        <family val="2"/>
      </rPr>
      <t>Booster 1</t>
    </r>
  </si>
  <si>
    <r>
      <rPr>
        <b/>
        <sz val="10"/>
        <rFont val="Century Gothic"/>
        <family val="2"/>
      </rPr>
      <t>Penggalak 2</t>
    </r>
    <r>
      <rPr>
        <sz val="10"/>
        <rFont val="Century Gothic"/>
        <family val="2"/>
      </rPr>
      <t xml:space="preserve">
</t>
    </r>
    <r>
      <rPr>
        <i/>
        <sz val="10"/>
        <rFont val="Century Gothic"/>
        <family val="2"/>
      </rPr>
      <t>Booster 2</t>
    </r>
  </si>
  <si>
    <t>Jadual 41.0</t>
  </si>
  <si>
    <t>: Statistik kutipan dan agihan zakat mengikut negeri, Malaysia, 2022 - 2024</t>
  </si>
  <si>
    <t>Table 41.0</t>
  </si>
  <si>
    <t>: Zakat collection and distribution statistics by state, Malaysia, 2022 - 2024</t>
  </si>
  <si>
    <t>ZAKAT</t>
  </si>
  <si>
    <t>Kutipan zakat</t>
  </si>
  <si>
    <t>Zakat collection</t>
  </si>
  <si>
    <t>Wilayah Persekutuan</t>
  </si>
  <si>
    <t>Agihan zakat</t>
  </si>
  <si>
    <t>Zakat distribution</t>
  </si>
  <si>
    <t>Sumber: Majlis Agama Islam Negeri-Negeri</t>
  </si>
  <si>
    <t>Source: State Islamic Religious Council</t>
  </si>
  <si>
    <t>Nilai kutipan dan agihan dalam Ringgit Malaysia (RM)</t>
  </si>
  <si>
    <t>Collection and distribution value in Ringgit Malaysia (RM)</t>
  </si>
  <si>
    <t>Keluaran Dalam Negeri Kasar (KDNK), Malaysia, 2022 - 2024</t>
  </si>
  <si>
    <t>Gross Domestic Product (GDP), Malaysia, 2022 - 2024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</si>
</sst>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1" formatCode="_(* #,##0_);_(* \(#,##0\);_(* &quot;-&quot;_);_(@_)"/>
    <numFmt numFmtId="43" formatCode="_(* #,##0.00_);_(* \(#,##0.00\);_(* &quot;-&quot;??_);_(@_)"/>
    <numFmt numFmtId="164" formatCode="[$$-409]#,##0.00;[Red]&quot;-&quot;[$$-409]#,##0.00"/>
    <numFmt numFmtId="165" formatCode="#,##0.0"/>
    <numFmt numFmtId="166" formatCode="General&quot; &quot;"/>
    <numFmt numFmtId="167" formatCode="0.0"/>
    <numFmt numFmtId="168" formatCode="[$-409]mmm\-yy;@"/>
    <numFmt numFmtId="169" formatCode="_(* #,##0_);_(* \(#,##0\);_(* &quot;-&quot;??_);_(@_)"/>
    <numFmt numFmtId="170" formatCode="_(* #,##0.0_);_(* \(#,##0.0\);_(* &quot;-&quot;??_);_(@_)"/>
    <numFmt numFmtId="171" formatCode="#,##0_ ;\-#,##0\ "/>
    <numFmt numFmtId="172" formatCode="#,##0.0_ ;\-#,##0.0\ "/>
    <numFmt numFmtId="173" formatCode="_-* #,##0_-;\-* #,##0_-;_-* &quot;-&quot;??_-;_-@_-"/>
    <numFmt numFmtId="174" formatCode="_(* #,##0.0_);_(* \(#,##0.0\);_(* &quot;-&quot;_);_(@_)"/>
    <numFmt numFmtId="175" formatCode="_-* #,##0.0_-;\-* #,##0.0_-;_-* &quot;-&quot;??_-;_-@_-"/>
    <numFmt numFmtId="176" formatCode="General_)"/>
    <numFmt numFmtId="177" formatCode="0.0%"/>
    <numFmt numFmtId="178" formatCode="0;[Red]0"/>
    <numFmt numFmtId="179" formatCode="#,##0.000"/>
  </numFmts>
  <fonts count="103">
    <font>
      <sz val="11"/>
      <color theme="1"/>
      <name val="Calibri"/>
      <family val="2"/>
      <scheme val="minor"/>
    </font>
    <font>
      <sz val="11"/>
      <color theme="1"/>
      <name val="Calibri"/>
      <family val="2"/>
      <scheme val="minor"/>
    </font>
    <font>
      <b/>
      <sz val="11"/>
      <color theme="1"/>
      <name val="Calibri"/>
      <family val="2"/>
      <scheme val="minor"/>
    </font>
    <font>
      <sz val="11"/>
      <name val="Century Gothic"/>
      <family val="2"/>
    </font>
    <font>
      <b/>
      <sz val="11"/>
      <name val="Century Gothic"/>
      <family val="2"/>
    </font>
    <font>
      <sz val="11"/>
      <color indexed="8"/>
      <name val="Calibri"/>
      <family val="2"/>
    </font>
    <font>
      <i/>
      <sz val="11"/>
      <name val="Century Gothic"/>
      <family val="2"/>
    </font>
    <font>
      <sz val="10"/>
      <name val="Century Gothic"/>
      <family val="2"/>
    </font>
    <font>
      <b/>
      <sz val="10"/>
      <name val="Century Gothic"/>
      <family val="2"/>
    </font>
    <font>
      <sz val="11"/>
      <color theme="1"/>
      <name val="Arial"/>
      <family val="2"/>
    </font>
    <font>
      <i/>
      <sz val="10"/>
      <name val="Century Gothic"/>
      <family val="2"/>
    </font>
    <font>
      <sz val="10"/>
      <name val="Arial"/>
      <family val="2"/>
    </font>
    <font>
      <b/>
      <sz val="10"/>
      <color theme="1"/>
      <name val="Century Gothic"/>
      <family val="2"/>
    </font>
    <font>
      <i/>
      <sz val="10"/>
      <color theme="1"/>
      <name val="Century Gothic"/>
      <family val="2"/>
    </font>
    <font>
      <b/>
      <sz val="11"/>
      <color theme="1"/>
      <name val="Century Gothic"/>
      <family val="2"/>
    </font>
    <font>
      <i/>
      <sz val="11"/>
      <color theme="1"/>
      <name val="Century Gothic"/>
      <family val="2"/>
    </font>
    <font>
      <sz val="10"/>
      <color theme="1"/>
      <name val="Century Gothic"/>
      <family val="2"/>
    </font>
    <font>
      <b/>
      <i/>
      <sz val="10"/>
      <color theme="1"/>
      <name val="Century Gothic"/>
      <family val="2"/>
    </font>
    <font>
      <b/>
      <sz val="9"/>
      <name val="Century Gothic"/>
      <family val="2"/>
    </font>
    <font>
      <i/>
      <sz val="9"/>
      <name val="Century Gothic"/>
      <family val="2"/>
    </font>
    <font>
      <sz val="9"/>
      <name val="Century Gothic"/>
      <family val="2"/>
    </font>
    <font>
      <sz val="13"/>
      <color theme="1"/>
      <name val="Calibri"/>
      <family val="2"/>
      <scheme val="minor"/>
    </font>
    <font>
      <sz val="10"/>
      <name val="MS Sans Serif"/>
      <charset val="134"/>
    </font>
    <font>
      <sz val="13"/>
      <color theme="1"/>
      <name val="Century Gothic"/>
      <family val="2"/>
    </font>
    <font>
      <b/>
      <sz val="13"/>
      <color theme="1"/>
      <name val="Century Gothic"/>
      <family val="2"/>
    </font>
    <font>
      <b/>
      <i/>
      <sz val="13"/>
      <color theme="1"/>
      <name val="Century Gothic"/>
      <family val="2"/>
    </font>
    <font>
      <b/>
      <i/>
      <sz val="10"/>
      <name val="Century Gothic"/>
      <family val="2"/>
    </font>
    <font>
      <sz val="10"/>
      <color rgb="FF0000FF"/>
      <name val="Century Gothic"/>
      <family val="2"/>
    </font>
    <font>
      <sz val="11"/>
      <name val="Calibri"/>
      <family val="2"/>
      <scheme val="minor"/>
    </font>
    <font>
      <sz val="12"/>
      <color theme="1"/>
      <name val="Helv"/>
      <charset val="134"/>
    </font>
    <font>
      <sz val="10"/>
      <color rgb="FF000000"/>
      <name val="Times New Roman"/>
      <family val="1"/>
    </font>
    <font>
      <b/>
      <vertAlign val="superscript"/>
      <sz val="10"/>
      <name val="Century Gothic"/>
      <family val="2"/>
    </font>
    <font>
      <sz val="10"/>
      <color rgb="FFFF0000"/>
      <name val="Century Gothic"/>
      <family val="2"/>
    </font>
    <font>
      <b/>
      <i/>
      <vertAlign val="superscript"/>
      <sz val="10"/>
      <name val="Century Gothic"/>
      <family val="2"/>
    </font>
    <font>
      <b/>
      <vertAlign val="superscript"/>
      <sz val="9"/>
      <name val="Century Gothic"/>
      <family val="2"/>
    </font>
    <font>
      <i/>
      <vertAlign val="superscript"/>
      <sz val="9"/>
      <name val="Century Gothic"/>
      <family val="2"/>
    </font>
    <font>
      <sz val="11"/>
      <color rgb="FFFF0000"/>
      <name val="Century Gothic"/>
      <family val="2"/>
    </font>
    <font>
      <b/>
      <sz val="10"/>
      <color rgb="FFFF0000"/>
      <name val="Century Gothic"/>
      <family val="2"/>
    </font>
    <font>
      <b/>
      <sz val="11"/>
      <color rgb="FFFF0000"/>
      <name val="Century Gothic"/>
      <family val="2"/>
    </font>
    <font>
      <i/>
      <sz val="10"/>
      <color rgb="FFFF0000"/>
      <name val="Century Gothic"/>
      <family val="2"/>
    </font>
    <font>
      <sz val="8"/>
      <color rgb="FFFF0000"/>
      <name val="Century Gothic"/>
      <family val="2"/>
    </font>
    <font>
      <sz val="8"/>
      <name val="Century Gothic"/>
      <family val="2"/>
    </font>
    <font>
      <sz val="9"/>
      <color rgb="FFFF0000"/>
      <name val="Century Gothic"/>
      <family val="2"/>
    </font>
    <font>
      <b/>
      <sz val="9"/>
      <color rgb="FFFF0000"/>
      <name val="Century Gothic"/>
      <family val="2"/>
    </font>
    <font>
      <i/>
      <sz val="9"/>
      <color rgb="FFFF0000"/>
      <name val="Century Gothic"/>
      <family val="2"/>
    </font>
    <font>
      <sz val="11"/>
      <color theme="1"/>
      <name val="Century Gothic"/>
      <family val="2"/>
    </font>
    <font>
      <b/>
      <sz val="10"/>
      <color rgb="FF000000"/>
      <name val="Century Gothic"/>
      <family val="2"/>
    </font>
    <font>
      <i/>
      <sz val="10"/>
      <color rgb="FF000000"/>
      <name val="Century Gothic"/>
      <family val="2"/>
    </font>
    <font>
      <sz val="10"/>
      <color rgb="FF000000"/>
      <name val="Century Gothic"/>
      <family val="2"/>
    </font>
    <font>
      <b/>
      <sz val="9"/>
      <name val="Arial"/>
      <family val="2"/>
    </font>
    <font>
      <i/>
      <sz val="10"/>
      <name val="Century Gothic"/>
      <family val="1"/>
    </font>
    <font>
      <i/>
      <sz val="10"/>
      <color theme="1"/>
      <name val="Century Gothic"/>
      <family val="1"/>
    </font>
    <font>
      <sz val="10"/>
      <color theme="1"/>
      <name val="Century Gothic"/>
      <family val="1"/>
    </font>
    <font>
      <b/>
      <sz val="10"/>
      <color theme="1"/>
      <name val="Century Gothic"/>
      <family val="1"/>
    </font>
    <font>
      <sz val="10"/>
      <name val="Century Gothic"/>
      <family val="1"/>
    </font>
    <font>
      <b/>
      <sz val="10"/>
      <name val="Century Gothic"/>
      <family val="1"/>
    </font>
    <font>
      <sz val="7"/>
      <name val="Helv"/>
      <charset val="134"/>
    </font>
    <font>
      <sz val="9"/>
      <color theme="1"/>
      <name val="Century Gothic"/>
      <family val="2"/>
    </font>
    <font>
      <b/>
      <sz val="8"/>
      <name val="Century Gothic"/>
      <family val="2"/>
    </font>
    <font>
      <i/>
      <sz val="8"/>
      <color theme="1"/>
      <name val="Century Gothic"/>
      <family val="1"/>
    </font>
    <font>
      <b/>
      <vertAlign val="superscript"/>
      <sz val="10"/>
      <color theme="1"/>
      <name val="Century Gothic"/>
      <family val="1"/>
    </font>
    <font>
      <b/>
      <sz val="9"/>
      <color theme="1"/>
      <name val="Century Gothic"/>
      <family val="1"/>
    </font>
    <font>
      <b/>
      <i/>
      <sz val="9"/>
      <color theme="1"/>
      <name val="Century Gothic"/>
      <family val="1"/>
    </font>
    <font>
      <i/>
      <sz val="9"/>
      <color theme="1"/>
      <name val="Century Gothic"/>
      <family val="1"/>
    </font>
    <font>
      <b/>
      <sz val="9"/>
      <color theme="1"/>
      <name val="Century Gothic"/>
      <family val="2"/>
    </font>
    <font>
      <i/>
      <sz val="9"/>
      <color theme="1"/>
      <name val="Century Gothic"/>
      <family val="2"/>
    </font>
    <font>
      <b/>
      <vertAlign val="superscript"/>
      <sz val="9"/>
      <color theme="1"/>
      <name val="Century Gothic"/>
      <family val="2"/>
    </font>
    <font>
      <i/>
      <vertAlign val="superscript"/>
      <sz val="9"/>
      <color theme="1"/>
      <name val="Century Gothic"/>
      <family val="2"/>
    </font>
    <font>
      <i/>
      <sz val="8"/>
      <name val="Century Gothic"/>
      <family val="2"/>
    </font>
    <font>
      <b/>
      <sz val="8"/>
      <color theme="1"/>
      <name val="Century Gothic"/>
      <family val="1"/>
    </font>
    <font>
      <b/>
      <sz val="11"/>
      <color rgb="FF000000"/>
      <name val="Century Gothic"/>
      <family val="2"/>
    </font>
    <font>
      <i/>
      <sz val="11"/>
      <color rgb="FF000000"/>
      <name val="Century Gothic"/>
      <family val="2"/>
    </font>
    <font>
      <i/>
      <sz val="1"/>
      <color rgb="FF000000"/>
      <name val="Century Gothic"/>
      <family val="2"/>
    </font>
    <font>
      <sz val="11"/>
      <color theme="1"/>
      <name val="Calibri"/>
      <family val="2"/>
    </font>
    <font>
      <sz val="8.5"/>
      <name val="Arial"/>
      <family val="2"/>
    </font>
    <font>
      <sz val="12"/>
      <name val="Segoe UI"/>
      <family val="2"/>
    </font>
    <font>
      <sz val="10"/>
      <name val="Helv"/>
      <charset val="134"/>
    </font>
    <font>
      <b/>
      <vertAlign val="superscript"/>
      <sz val="10"/>
      <color theme="1"/>
      <name val="Century Gothic"/>
      <family val="2"/>
    </font>
    <font>
      <b/>
      <sz val="10"/>
      <color theme="3" tint="0.39994506668294322"/>
      <name val="Century Gothic"/>
      <family val="2"/>
    </font>
    <font>
      <sz val="10"/>
      <color theme="3" tint="0.39994506668294322"/>
      <name val="Century Gothic"/>
      <family val="2"/>
    </font>
    <font>
      <vertAlign val="superscript"/>
      <sz val="10"/>
      <name val="Century Gothic"/>
      <family val="2"/>
    </font>
    <font>
      <sz val="11"/>
      <color rgb="FF000000"/>
      <name val="Calibri"/>
      <family val="2"/>
    </font>
    <font>
      <b/>
      <i/>
      <sz val="9"/>
      <color theme="1"/>
      <name val="Century Gothic"/>
      <family val="2"/>
    </font>
    <font>
      <sz val="10"/>
      <color theme="8"/>
      <name val="Century Gothic"/>
      <family val="2"/>
    </font>
    <font>
      <b/>
      <sz val="10"/>
      <color theme="8"/>
      <name val="Century Gothic"/>
      <family val="2"/>
    </font>
    <font>
      <b/>
      <i/>
      <sz val="9"/>
      <name val="Century Gothic"/>
      <family val="2"/>
    </font>
    <font>
      <sz val="10"/>
      <color theme="1"/>
      <name val="Tahoma"/>
      <family val="2"/>
    </font>
    <font>
      <i/>
      <sz val="11"/>
      <color indexed="8"/>
      <name val="Century Gothic"/>
      <family val="2"/>
    </font>
    <font>
      <i/>
      <sz val="10"/>
      <color indexed="8"/>
      <name val="Century Gothic"/>
      <family val="2"/>
    </font>
    <font>
      <sz val="10"/>
      <color indexed="8"/>
      <name val="Century Gothic"/>
      <family val="2"/>
    </font>
    <font>
      <b/>
      <sz val="10"/>
      <color indexed="8"/>
      <name val="Century Gothic"/>
      <family val="2"/>
    </font>
    <font>
      <sz val="10"/>
      <color theme="1"/>
      <name val="Calibri"/>
      <family val="2"/>
      <scheme val="minor"/>
    </font>
    <font>
      <i/>
      <vertAlign val="superscript"/>
      <sz val="10"/>
      <color theme="1"/>
      <name val="Century Gothic"/>
      <family val="2"/>
    </font>
    <font>
      <sz val="9"/>
      <color theme="1"/>
      <name val="Calibri"/>
      <family val="2"/>
    </font>
    <font>
      <sz val="11"/>
      <name val="Calibri"/>
      <family val="2"/>
    </font>
    <font>
      <sz val="10"/>
      <name val="Calibri"/>
      <family val="2"/>
    </font>
    <font>
      <vertAlign val="superscript"/>
      <sz val="9"/>
      <name val="Century Gothic"/>
      <family val="2"/>
    </font>
    <font>
      <sz val="9"/>
      <name val="Calibri"/>
      <family val="2"/>
    </font>
    <font>
      <vertAlign val="superscript"/>
      <sz val="10"/>
      <color theme="1"/>
      <name val="Century Gothic"/>
      <family val="2"/>
    </font>
    <font>
      <sz val="10"/>
      <color theme="0"/>
      <name val="Century Gothic"/>
      <family val="2"/>
    </font>
    <font>
      <sz val="12"/>
      <name val="Calibri"/>
      <family val="2"/>
      <scheme val="minor"/>
    </font>
    <font>
      <b/>
      <sz val="12"/>
      <name val="Calibri"/>
      <family val="2"/>
      <scheme val="minor"/>
    </font>
    <font>
      <sz val="10"/>
      <name val="Helv"/>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s>
  <borders count="13">
    <border>
      <left/>
      <right/>
      <top/>
      <bottom/>
      <diagonal/>
    </border>
    <border>
      <left/>
      <right/>
      <top/>
      <bottom style="medium">
        <color indexed="64"/>
      </bottom>
      <diagonal/>
    </border>
    <border>
      <left/>
      <right/>
      <top style="medium">
        <color auto="1"/>
      </top>
      <bottom style="medium">
        <color auto="1"/>
      </bottom>
      <diagonal/>
    </border>
    <border>
      <left/>
      <right/>
      <top style="medium">
        <color indexed="64"/>
      </top>
      <bottom/>
      <diagonal/>
    </border>
    <border>
      <left/>
      <right/>
      <top/>
      <bottom style="thick">
        <color auto="1"/>
      </bottom>
      <diagonal/>
    </border>
    <border>
      <left/>
      <right/>
      <top style="thick">
        <color auto="1"/>
      </top>
      <bottom/>
      <diagonal/>
    </border>
    <border>
      <left/>
      <right/>
      <top/>
      <bottom style="medium">
        <color rgb="FF000000"/>
      </bottom>
      <diagonal/>
    </border>
    <border>
      <left/>
      <right/>
      <top/>
      <bottom style="thin">
        <color indexed="64"/>
      </bottom>
      <diagonal/>
    </border>
    <border>
      <left/>
      <right/>
      <top/>
      <bottom style="medium">
        <color rgb="FF351553"/>
      </bottom>
      <diagonal/>
    </border>
    <border>
      <left/>
      <right/>
      <top style="medium">
        <color rgb="FF351553"/>
      </top>
      <bottom/>
      <diagonal/>
    </border>
    <border>
      <left/>
      <right/>
      <top/>
      <bottom style="thick">
        <color theme="0"/>
      </bottom>
      <diagonal/>
    </border>
    <border>
      <left/>
      <right/>
      <top/>
      <bottom style="thick">
        <color rgb="FF000000"/>
      </bottom>
      <diagonal/>
    </border>
    <border>
      <left/>
      <right/>
      <top style="thick">
        <color rgb="FF000000"/>
      </top>
      <bottom/>
      <diagonal/>
    </border>
  </borders>
  <cellStyleXfs count="67">
    <xf numFmtId="0" fontId="0"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164" fontId="5" fillId="0" borderId="0">
      <alignment vertical="center"/>
    </xf>
    <xf numFmtId="0" fontId="1" fillId="0" borderId="0"/>
    <xf numFmtId="0" fontId="9" fillId="0" borderId="0"/>
    <xf numFmtId="43" fontId="1" fillId="0" borderId="0" applyFont="0" applyFill="0" applyBorder="0" applyAlignment="0" applyProtection="0">
      <alignment vertical="center"/>
    </xf>
    <xf numFmtId="0" fontId="11" fillId="0" borderId="0"/>
    <xf numFmtId="43" fontId="1" fillId="0" borderId="0" applyFont="0" applyFill="0" applyBorder="0" applyAlignment="0" applyProtection="0"/>
    <xf numFmtId="0" fontId="11" fillId="0" borderId="0"/>
    <xf numFmtId="0" fontId="1" fillId="0" borderId="0"/>
    <xf numFmtId="0" fontId="1" fillId="0" borderId="0"/>
    <xf numFmtId="168" fontId="22" fillId="0" borderId="0"/>
    <xf numFmtId="9" fontId="1" fillId="0" borderId="0" applyFont="0" applyFill="0" applyBorder="0" applyAlignment="0" applyProtection="0"/>
    <xf numFmtId="166" fontId="29" fillId="0" borderId="0"/>
    <xf numFmtId="41" fontId="30"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0" fontId="1" fillId="0" borderId="0"/>
    <xf numFmtId="168" fontId="22" fillId="0" borderId="0"/>
    <xf numFmtId="168" fontId="1" fillId="0" borderId="0"/>
    <xf numFmtId="43" fontId="1" fillId="0" borderId="0" applyFont="0" applyFill="0" applyBorder="0" applyAlignment="0" applyProtection="0">
      <alignment vertical="center"/>
    </xf>
    <xf numFmtId="0" fontId="1" fillId="0" borderId="0"/>
    <xf numFmtId="0" fontId="1" fillId="0" borderId="0"/>
    <xf numFmtId="164" fontId="1" fillId="0" borderId="0"/>
    <xf numFmtId="43" fontId="1" fillId="0" borderId="0" applyFont="0" applyFill="0" applyBorder="0" applyAlignment="0" applyProtection="0"/>
    <xf numFmtId="41" fontId="11" fillId="0" borderId="0" applyFont="0" applyFill="0" applyBorder="0" applyAlignment="0" applyProtection="0"/>
    <xf numFmtId="176" fontId="56" fillId="0" borderId="0"/>
    <xf numFmtId="0" fontId="11" fillId="0" borderId="0"/>
    <xf numFmtId="0" fontId="73" fillId="0" borderId="0"/>
    <xf numFmtId="0" fontId="73" fillId="0" borderId="0"/>
    <xf numFmtId="43" fontId="1" fillId="0" borderId="0" applyFont="0" applyFill="0" applyBorder="0" applyAlignment="0" applyProtection="0"/>
    <xf numFmtId="43" fontId="56" fillId="0" borderId="0" applyFont="0" applyFill="0" applyBorder="0" applyAlignment="0" applyProtection="0"/>
    <xf numFmtId="43" fontId="1" fillId="0" borderId="0" applyFont="0" applyFill="0" applyBorder="0" applyAlignment="0" applyProtection="0"/>
    <xf numFmtId="164" fontId="1" fillId="0" borderId="0"/>
    <xf numFmtId="0" fontId="1" fillId="0" borderId="0"/>
    <xf numFmtId="178" fontId="76" fillId="0" borderId="0"/>
    <xf numFmtId="0" fontId="1" fillId="0" borderId="0"/>
    <xf numFmtId="0" fontId="11" fillId="0" borderId="0"/>
    <xf numFmtId="0" fontId="1" fillId="0" borderId="0"/>
    <xf numFmtId="0" fontId="81" fillId="0" borderId="0"/>
    <xf numFmtId="0" fontId="1" fillId="0" borderId="0"/>
    <xf numFmtId="0" fontId="5" fillId="0" borderId="0">
      <alignment vertical="center"/>
    </xf>
    <xf numFmtId="0" fontId="11" fillId="0" borderId="0"/>
    <xf numFmtId="43" fontId="1" fillId="0" borderId="0" applyFont="0" applyFill="0" applyBorder="0" applyAlignment="0" applyProtection="0"/>
    <xf numFmtId="176" fontId="76" fillId="0" borderId="0"/>
    <xf numFmtId="41" fontId="1" fillId="0" borderId="0" applyFont="0" applyFill="0" applyBorder="0" applyAlignment="0" applyProtection="0"/>
    <xf numFmtId="178" fontId="76" fillId="0" borderId="0"/>
    <xf numFmtId="168" fontId="86" fillId="0" borderId="0"/>
    <xf numFmtId="0" fontId="1" fillId="0" borderId="0"/>
    <xf numFmtId="0" fontId="1" fillId="0" borderId="0"/>
    <xf numFmtId="43" fontId="1" fillId="0" borderId="0" applyFont="0" applyFill="0" applyBorder="0" applyAlignment="0" applyProtection="0"/>
    <xf numFmtId="178" fontId="76" fillId="0" borderId="0"/>
    <xf numFmtId="0" fontId="1" fillId="0" borderId="0"/>
    <xf numFmtId="0" fontId="5" fillId="0" borderId="0">
      <alignment vertical="center"/>
    </xf>
    <xf numFmtId="164" fontId="1" fillId="0" borderId="0"/>
    <xf numFmtId="0" fontId="1" fillId="0" borderId="0"/>
    <xf numFmtId="43" fontId="1" fillId="0" borderId="0" applyFont="0" applyFill="0" applyBorder="0" applyAlignment="0" applyProtection="0"/>
    <xf numFmtId="0" fontId="11" fillId="0" borderId="0"/>
    <xf numFmtId="0" fontId="86" fillId="0" borderId="0"/>
    <xf numFmtId="43" fontId="1" fillId="0" borderId="0" applyFont="0" applyFill="0" applyBorder="0" applyAlignment="0" applyProtection="0">
      <alignment vertical="center"/>
    </xf>
    <xf numFmtId="0" fontId="102" fillId="0" borderId="0"/>
    <xf numFmtId="0" fontId="1" fillId="0" borderId="0"/>
    <xf numFmtId="0" fontId="1" fillId="0" borderId="0"/>
    <xf numFmtId="164" fontId="1" fillId="0" borderId="0"/>
    <xf numFmtId="0" fontId="1" fillId="0" borderId="0"/>
  </cellStyleXfs>
  <cellXfs count="1430">
    <xf numFmtId="0" fontId="0" fillId="0" borderId="0" xfId="0"/>
    <xf numFmtId="0" fontId="3" fillId="0" borderId="0" xfId="3" applyFont="1"/>
    <xf numFmtId="0" fontId="4" fillId="0" borderId="0" xfId="3" applyFont="1" applyAlignment="1">
      <alignment horizontal="right" vertical="center"/>
    </xf>
    <xf numFmtId="164" fontId="4" fillId="0" borderId="0" xfId="4" applyFont="1">
      <alignment vertical="center"/>
    </xf>
    <xf numFmtId="165" fontId="4" fillId="0" borderId="0" xfId="3" applyNumberFormat="1" applyFont="1"/>
    <xf numFmtId="0" fontId="6" fillId="0" borderId="0" xfId="3" applyFont="1" applyAlignment="1">
      <alignment horizontal="right" vertical="center"/>
    </xf>
    <xf numFmtId="164" fontId="6" fillId="0" borderId="0" xfId="4" applyFont="1">
      <alignment vertical="center"/>
    </xf>
    <xf numFmtId="0" fontId="3" fillId="0" borderId="0" xfId="5" applyFont="1" applyAlignment="1">
      <alignment vertical="center"/>
    </xf>
    <xf numFmtId="0" fontId="7" fillId="0" borderId="0" xfId="5" applyFont="1" applyAlignment="1">
      <alignment vertical="center"/>
    </xf>
    <xf numFmtId="0" fontId="7" fillId="0" borderId="1" xfId="5" applyFont="1" applyBorder="1" applyAlignment="1">
      <alignment vertical="center"/>
    </xf>
    <xf numFmtId="0" fontId="8" fillId="0" borderId="1" xfId="6" applyFont="1" applyBorder="1" applyAlignment="1">
      <alignment horizontal="right" vertical="center"/>
    </xf>
    <xf numFmtId="166" fontId="8" fillId="0" borderId="2" xfId="7" applyNumberFormat="1" applyFont="1" applyBorder="1" applyAlignment="1">
      <alignment horizontal="right" vertical="center"/>
    </xf>
    <xf numFmtId="0" fontId="7" fillId="0" borderId="0" xfId="3" applyFont="1"/>
    <xf numFmtId="0" fontId="8" fillId="0" borderId="0" xfId="6" applyFont="1" applyAlignment="1">
      <alignment horizontal="right" vertical="center"/>
    </xf>
    <xf numFmtId="166" fontId="8" fillId="0" borderId="0" xfId="7" applyNumberFormat="1" applyFont="1" applyBorder="1" applyAlignment="1">
      <alignment horizontal="right" vertical="center"/>
    </xf>
    <xf numFmtId="0" fontId="13" fillId="0" borderId="0" xfId="0" applyFont="1" applyAlignment="1">
      <alignment horizontal="left" vertical="top"/>
    </xf>
    <xf numFmtId="0" fontId="7" fillId="0" borderId="0" xfId="3" applyFont="1" applyAlignment="1">
      <alignment vertical="center"/>
    </xf>
    <xf numFmtId="0" fontId="8" fillId="0" borderId="0" xfId="5" applyFont="1" applyAlignment="1">
      <alignment horizontal="right" vertical="center"/>
    </xf>
    <xf numFmtId="0" fontId="12" fillId="0" borderId="0" xfId="0" applyFont="1" applyAlignment="1">
      <alignment horizontal="left" vertical="center" wrapText="1"/>
    </xf>
    <xf numFmtId="3" fontId="12" fillId="0" borderId="0" xfId="9" applyNumberFormat="1" applyFont="1" applyFill="1" applyBorder="1" applyAlignment="1">
      <alignment horizontal="right" vertical="center"/>
    </xf>
    <xf numFmtId="3" fontId="7" fillId="0" borderId="0" xfId="9" applyNumberFormat="1" applyFont="1" applyAlignment="1">
      <alignment horizontal="right" vertical="center"/>
    </xf>
    <xf numFmtId="165" fontId="7" fillId="0" borderId="0" xfId="3" applyNumberFormat="1" applyFont="1" applyAlignment="1">
      <alignment horizontal="right" vertical="center" indent="1"/>
    </xf>
    <xf numFmtId="165" fontId="7" fillId="0" borderId="0" xfId="3" applyNumberFormat="1" applyFont="1" applyAlignment="1">
      <alignment horizontal="right" vertical="center"/>
    </xf>
    <xf numFmtId="3" fontId="7" fillId="0" borderId="0" xfId="3" applyNumberFormat="1" applyFont="1" applyAlignment="1">
      <alignment horizontal="right" vertical="center"/>
    </xf>
    <xf numFmtId="3" fontId="7" fillId="0" borderId="0" xfId="7" applyNumberFormat="1" applyFont="1" applyAlignment="1">
      <alignment horizontal="right" vertical="center"/>
    </xf>
    <xf numFmtId="167" fontId="7" fillId="0" borderId="0" xfId="3" applyNumberFormat="1" applyFont="1" applyAlignment="1">
      <alignment vertical="center"/>
    </xf>
    <xf numFmtId="165" fontId="12" fillId="0" borderId="0" xfId="9" applyNumberFormat="1" applyFont="1" applyFill="1" applyBorder="1" applyAlignment="1">
      <alignment horizontal="right" vertical="center"/>
    </xf>
    <xf numFmtId="165" fontId="16" fillId="0" borderId="0" xfId="9" applyNumberFormat="1" applyFont="1" applyFill="1" applyBorder="1" applyAlignment="1">
      <alignment horizontal="right" vertical="center"/>
    </xf>
    <xf numFmtId="0" fontId="8" fillId="0" borderId="0" xfId="3" applyFont="1" applyAlignment="1">
      <alignment horizontal="left" vertical="center" indent="2"/>
    </xf>
    <xf numFmtId="165" fontId="7" fillId="0" borderId="0" xfId="3" applyNumberFormat="1" applyFont="1" applyAlignment="1">
      <alignment horizontal="right" indent="1"/>
    </xf>
    <xf numFmtId="165" fontId="7" fillId="0" borderId="0" xfId="7" applyNumberFormat="1" applyFont="1" applyAlignment="1">
      <alignment horizontal="right" vertical="top"/>
    </xf>
    <xf numFmtId="0" fontId="12" fillId="0" borderId="0" xfId="8" applyFont="1"/>
    <xf numFmtId="165" fontId="8" fillId="0" borderId="0" xfId="3" applyNumberFormat="1" applyFont="1" applyAlignment="1">
      <alignment horizontal="right"/>
    </xf>
    <xf numFmtId="165" fontId="7" fillId="0" borderId="0" xfId="3" applyNumberFormat="1" applyFont="1" applyAlignment="1">
      <alignment horizontal="right"/>
    </xf>
    <xf numFmtId="0" fontId="13" fillId="0" borderId="0" xfId="0" applyFont="1" applyAlignment="1">
      <alignment vertical="top"/>
    </xf>
    <xf numFmtId="165" fontId="7" fillId="0" borderId="0" xfId="7" applyNumberFormat="1" applyFont="1" applyAlignment="1">
      <alignment horizontal="right"/>
    </xf>
    <xf numFmtId="167" fontId="7" fillId="0" borderId="0" xfId="3" applyNumberFormat="1" applyFont="1"/>
    <xf numFmtId="0" fontId="8" fillId="0" borderId="0" xfId="5" applyFont="1" applyAlignment="1">
      <alignment vertical="center"/>
    </xf>
    <xf numFmtId="3" fontId="16" fillId="0" borderId="0" xfId="9" applyNumberFormat="1" applyFont="1" applyFill="1" applyBorder="1" applyAlignment="1">
      <alignment horizontal="right" vertical="center"/>
    </xf>
    <xf numFmtId="0" fontId="7" fillId="0" borderId="0" xfId="10" applyFont="1" applyAlignment="1">
      <alignment vertical="center"/>
    </xf>
    <xf numFmtId="0" fontId="14" fillId="0" borderId="0" xfId="0" applyFont="1" applyAlignment="1">
      <alignment horizontal="right"/>
    </xf>
    <xf numFmtId="0" fontId="3" fillId="0" borderId="4" xfId="3" applyFont="1" applyBorder="1" applyAlignment="1">
      <alignment vertical="center"/>
    </xf>
    <xf numFmtId="0" fontId="3" fillId="0" borderId="0" xfId="3" applyFont="1" applyAlignment="1">
      <alignment vertical="center"/>
    </xf>
    <xf numFmtId="0" fontId="18" fillId="0" borderId="0" xfId="11" applyFont="1" applyAlignment="1">
      <alignment horizontal="right" vertical="center"/>
    </xf>
    <xf numFmtId="0" fontId="19" fillId="0" borderId="0" xfId="11" applyFont="1" applyAlignment="1">
      <alignment horizontal="right" vertical="center"/>
    </xf>
    <xf numFmtId="0" fontId="20" fillId="0" borderId="0" xfId="3" quotePrefix="1" applyFont="1" applyAlignment="1">
      <alignment vertical="center"/>
    </xf>
    <xf numFmtId="0" fontId="20" fillId="0" borderId="0" xfId="10" applyFont="1" applyAlignment="1">
      <alignment vertical="center"/>
    </xf>
    <xf numFmtId="0" fontId="20" fillId="0" borderId="0" xfId="11" applyFont="1" applyAlignment="1">
      <alignment vertical="center"/>
    </xf>
    <xf numFmtId="0" fontId="20" fillId="0" borderId="0" xfId="12" applyFont="1" applyAlignment="1">
      <alignment vertical="center"/>
    </xf>
    <xf numFmtId="0" fontId="20" fillId="0" borderId="0" xfId="3" applyFont="1" applyAlignment="1">
      <alignment vertical="center"/>
    </xf>
    <xf numFmtId="0" fontId="21" fillId="0" borderId="0" xfId="0" applyFont="1"/>
    <xf numFmtId="0" fontId="18" fillId="0" borderId="0" xfId="3" quotePrefix="1" applyFont="1" applyAlignment="1">
      <alignment horizontal="right" vertical="center"/>
    </xf>
    <xf numFmtId="0" fontId="19" fillId="0" borderId="0" xfId="10" applyFont="1" applyAlignment="1">
      <alignment vertical="center"/>
    </xf>
    <xf numFmtId="0" fontId="18" fillId="0" borderId="0" xfId="10" applyFont="1" applyAlignment="1">
      <alignment vertical="center"/>
    </xf>
    <xf numFmtId="0" fontId="3" fillId="0" borderId="0" xfId="11" applyFont="1"/>
    <xf numFmtId="0" fontId="19" fillId="0" borderId="0" xfId="13" applyNumberFormat="1" applyFont="1" applyAlignment="1">
      <alignment horizontal="left" vertical="center"/>
    </xf>
    <xf numFmtId="0" fontId="23" fillId="0" borderId="0" xfId="0" applyFont="1"/>
    <xf numFmtId="0" fontId="24" fillId="0" borderId="0" xfId="8" applyFont="1"/>
    <xf numFmtId="0" fontId="25" fillId="0" borderId="0" xfId="0" applyFont="1" applyAlignment="1">
      <alignment vertical="top"/>
    </xf>
    <xf numFmtId="3" fontId="24" fillId="0" borderId="0" xfId="9" applyNumberFormat="1" applyFont="1" applyFill="1" applyBorder="1" applyAlignment="1">
      <alignment horizontal="right" vertical="center"/>
    </xf>
    <xf numFmtId="0" fontId="8" fillId="0" borderId="0" xfId="6" applyFont="1" applyAlignment="1">
      <alignment horizontal="left" vertical="top"/>
    </xf>
    <xf numFmtId="166" fontId="8" fillId="0" borderId="0" xfId="7" applyNumberFormat="1" applyFont="1" applyBorder="1" applyAlignment="1">
      <alignment horizontal="left" vertical="top"/>
    </xf>
    <xf numFmtId="0" fontId="7" fillId="0" borderId="0" xfId="3" applyFont="1" applyAlignment="1">
      <alignment horizontal="left" vertical="top"/>
    </xf>
    <xf numFmtId="3" fontId="24" fillId="0" borderId="0" xfId="9" applyNumberFormat="1" applyFont="1" applyFill="1" applyBorder="1" applyAlignment="1">
      <alignment horizontal="left" vertical="top"/>
    </xf>
    <xf numFmtId="3" fontId="24" fillId="0" borderId="0" xfId="9" applyNumberFormat="1" applyFont="1" applyFill="1" applyBorder="1" applyAlignment="1">
      <alignment horizontal="right" vertical="top"/>
    </xf>
    <xf numFmtId="3" fontId="16" fillId="0" borderId="0" xfId="9" applyNumberFormat="1" applyFont="1" applyFill="1" applyBorder="1" applyAlignment="1">
      <alignment horizontal="right" vertical="top"/>
    </xf>
    <xf numFmtId="169" fontId="7" fillId="0" borderId="0" xfId="7" applyNumberFormat="1" applyFont="1" applyAlignment="1">
      <alignment horizontal="right" vertical="top"/>
    </xf>
    <xf numFmtId="165" fontId="24" fillId="0" borderId="0" xfId="9" applyNumberFormat="1" applyFont="1" applyFill="1" applyBorder="1" applyAlignment="1">
      <alignment horizontal="right" vertical="center"/>
    </xf>
    <xf numFmtId="165" fontId="24" fillId="0" borderId="0" xfId="9" applyNumberFormat="1" applyFont="1" applyFill="1" applyBorder="1" applyAlignment="1">
      <alignment horizontal="right" vertical="top"/>
    </xf>
    <xf numFmtId="165" fontId="16" fillId="0" borderId="0" xfId="9" applyNumberFormat="1" applyFont="1" applyFill="1" applyBorder="1" applyAlignment="1">
      <alignment horizontal="right" vertical="top"/>
    </xf>
    <xf numFmtId="3" fontId="25" fillId="0" borderId="0" xfId="0" applyNumberFormat="1" applyFont="1" applyAlignment="1">
      <alignment vertical="top"/>
    </xf>
    <xf numFmtId="0" fontId="24" fillId="0" borderId="0" xfId="0" applyFont="1"/>
    <xf numFmtId="0" fontId="24" fillId="0" borderId="0" xfId="0" applyFont="1" applyAlignment="1">
      <alignment horizontal="right"/>
    </xf>
    <xf numFmtId="0" fontId="7" fillId="0" borderId="0" xfId="3" applyFont="1" applyAlignment="1">
      <alignment horizontal="center" vertical="center"/>
    </xf>
    <xf numFmtId="0" fontId="8" fillId="0" borderId="0" xfId="3" applyFont="1" applyAlignment="1">
      <alignment horizontal="center" vertical="center"/>
    </xf>
    <xf numFmtId="165" fontId="8" fillId="0" borderId="0" xfId="3" applyNumberFormat="1" applyFont="1" applyAlignment="1">
      <alignment horizontal="right" vertical="center"/>
    </xf>
    <xf numFmtId="3" fontId="8" fillId="0" borderId="0" xfId="3" applyNumberFormat="1" applyFont="1" applyAlignment="1">
      <alignment horizontal="right" vertical="center"/>
    </xf>
    <xf numFmtId="3" fontId="8" fillId="0" borderId="0" xfId="7" applyNumberFormat="1" applyFont="1" applyFill="1" applyAlignment="1">
      <alignment horizontal="right" vertical="center"/>
    </xf>
    <xf numFmtId="0" fontId="10" fillId="0" borderId="0" xfId="5" applyFont="1" applyAlignment="1">
      <alignment vertical="center"/>
    </xf>
    <xf numFmtId="169" fontId="7" fillId="0" borderId="0" xfId="7" applyNumberFormat="1" applyFont="1" applyFill="1" applyAlignment="1">
      <alignment horizontal="right" vertical="top"/>
    </xf>
    <xf numFmtId="0" fontId="7" fillId="0" borderId="0" xfId="3" applyFont="1" applyAlignment="1">
      <alignment horizontal="right" vertical="center"/>
    </xf>
    <xf numFmtId="0" fontId="8" fillId="0" borderId="0" xfId="3" applyFont="1" applyAlignment="1">
      <alignment vertical="center" wrapText="1"/>
    </xf>
    <xf numFmtId="3" fontId="7" fillId="0" borderId="0" xfId="7" applyNumberFormat="1" applyFont="1" applyFill="1" applyAlignment="1">
      <alignment horizontal="right" vertical="center"/>
    </xf>
    <xf numFmtId="3" fontId="7" fillId="0" borderId="0" xfId="7" applyNumberFormat="1" applyFont="1" applyFill="1" applyAlignment="1">
      <alignment horizontal="right" vertical="top"/>
    </xf>
    <xf numFmtId="167" fontId="8" fillId="0" borderId="0" xfId="9" applyNumberFormat="1" applyFont="1" applyFill="1" applyBorder="1" applyAlignment="1">
      <alignment vertical="center"/>
    </xf>
    <xf numFmtId="165" fontId="8" fillId="0" borderId="0" xfId="9" applyNumberFormat="1" applyFont="1" applyFill="1" applyBorder="1" applyAlignment="1">
      <alignment horizontal="right" vertical="center"/>
    </xf>
    <xf numFmtId="3" fontId="7" fillId="0" borderId="0" xfId="7" applyNumberFormat="1" applyFont="1" applyAlignment="1">
      <alignment horizontal="right" vertical="top"/>
    </xf>
    <xf numFmtId="167" fontId="7" fillId="0" borderId="0" xfId="9" applyNumberFormat="1" applyFont="1" applyFill="1" applyBorder="1" applyAlignment="1">
      <alignment vertical="center"/>
    </xf>
    <xf numFmtId="165" fontId="7" fillId="0" borderId="0" xfId="9" applyNumberFormat="1" applyFont="1" applyFill="1" applyBorder="1" applyAlignment="1">
      <alignment horizontal="right" vertical="center"/>
    </xf>
    <xf numFmtId="170" fontId="7" fillId="0" borderId="0" xfId="7" applyNumberFormat="1" applyFont="1" applyAlignment="1">
      <alignment horizontal="right" vertical="top"/>
    </xf>
    <xf numFmtId="3" fontId="8" fillId="0" borderId="0" xfId="7" applyNumberFormat="1" applyFont="1" applyAlignment="1">
      <alignment horizontal="right" vertical="center"/>
    </xf>
    <xf numFmtId="165" fontId="8" fillId="0" borderId="0" xfId="7" applyNumberFormat="1" applyFont="1" applyAlignment="1">
      <alignment horizontal="right" vertical="center"/>
    </xf>
    <xf numFmtId="0" fontId="10" fillId="0" borderId="0" xfId="0" applyFont="1" applyAlignment="1">
      <alignment horizontal="left" vertical="center" indent="2"/>
    </xf>
    <xf numFmtId="165" fontId="7" fillId="0" borderId="0" xfId="7" applyNumberFormat="1" applyFont="1" applyAlignment="1">
      <alignment horizontal="right" vertical="center"/>
    </xf>
    <xf numFmtId="0" fontId="7" fillId="0" borderId="0" xfId="3" applyFont="1" applyAlignment="1">
      <alignment horizontal="right" vertical="center" indent="1"/>
    </xf>
    <xf numFmtId="165" fontId="27" fillId="0" borderId="0" xfId="3" applyNumberFormat="1" applyFont="1" applyAlignment="1">
      <alignment horizontal="right" vertical="center"/>
    </xf>
    <xf numFmtId="165" fontId="27" fillId="0" borderId="0" xfId="7" applyNumberFormat="1" applyFont="1" applyAlignment="1">
      <alignment horizontal="right" vertical="top"/>
    </xf>
    <xf numFmtId="0" fontId="27" fillId="0" borderId="0" xfId="3" applyFont="1" applyAlignment="1">
      <alignment vertical="center"/>
    </xf>
    <xf numFmtId="167" fontId="7" fillId="0" borderId="0" xfId="14" applyNumberFormat="1" applyFont="1" applyFill="1" applyAlignment="1">
      <alignment vertical="center"/>
    </xf>
    <xf numFmtId="0" fontId="8" fillId="0" borderId="0" xfId="3" applyFont="1" applyAlignment="1">
      <alignment vertical="center"/>
    </xf>
    <xf numFmtId="165" fontId="7" fillId="0" borderId="0" xfId="3" applyNumberFormat="1" applyFont="1" applyAlignment="1">
      <alignment vertical="center"/>
    </xf>
    <xf numFmtId="0" fontId="7" fillId="0" borderId="0" xfId="3" applyFont="1" applyAlignment="1">
      <alignment horizontal="left" vertical="center" indent="2"/>
    </xf>
    <xf numFmtId="1" fontId="7" fillId="0" borderId="0" xfId="3" applyNumberFormat="1" applyFont="1" applyAlignment="1">
      <alignment horizontal="right" indent="1"/>
    </xf>
    <xf numFmtId="3" fontId="7" fillId="0" borderId="0" xfId="3" applyNumberFormat="1" applyFont="1" applyAlignment="1">
      <alignment vertical="center"/>
    </xf>
    <xf numFmtId="0" fontId="10" fillId="0" borderId="0" xfId="3" applyFont="1" applyAlignment="1">
      <alignment vertical="center"/>
    </xf>
    <xf numFmtId="0" fontId="18" fillId="0" borderId="0" xfId="10" applyFont="1"/>
    <xf numFmtId="0" fontId="18" fillId="0" borderId="0" xfId="3" applyFont="1" applyAlignment="1">
      <alignment vertical="center"/>
    </xf>
    <xf numFmtId="0" fontId="19" fillId="0" borderId="0" xfId="10" applyFont="1" applyAlignment="1">
      <alignment vertical="top"/>
    </xf>
    <xf numFmtId="164" fontId="3" fillId="0" borderId="0" xfId="4" applyFont="1">
      <alignment vertical="center"/>
    </xf>
    <xf numFmtId="0" fontId="7" fillId="0" borderId="0" xfId="11" applyFont="1"/>
    <xf numFmtId="0" fontId="7" fillId="0" borderId="0" xfId="11" applyFont="1" applyAlignment="1">
      <alignment horizontal="left" vertical="center" wrapText="1"/>
    </xf>
    <xf numFmtId="0" fontId="7" fillId="0" borderId="0" xfId="11" applyFont="1" applyAlignment="1">
      <alignment horizontal="left" indent="2"/>
    </xf>
    <xf numFmtId="171" fontId="7" fillId="0" borderId="0" xfId="7" applyNumberFormat="1" applyFont="1" applyFill="1" applyAlignment="1"/>
    <xf numFmtId="171" fontId="7" fillId="0" borderId="0" xfId="7" applyNumberFormat="1" applyFont="1" applyFill="1" applyAlignment="1">
      <alignment horizontal="right" vertical="center"/>
    </xf>
    <xf numFmtId="171" fontId="7" fillId="0" borderId="0" xfId="7" applyNumberFormat="1" applyFont="1" applyFill="1" applyAlignment="1">
      <alignment vertical="center"/>
    </xf>
    <xf numFmtId="171" fontId="7" fillId="0" borderId="0" xfId="7" applyNumberFormat="1" applyFont="1" applyFill="1" applyAlignment="1">
      <alignment horizontal="right"/>
    </xf>
    <xf numFmtId="172" fontId="7" fillId="0" borderId="0" xfId="7" applyNumberFormat="1" applyFont="1" applyFill="1" applyAlignment="1"/>
    <xf numFmtId="172" fontId="7" fillId="0" borderId="0" xfId="7" applyNumberFormat="1" applyFont="1" applyFill="1" applyAlignment="1">
      <alignment horizontal="right" vertical="center"/>
    </xf>
    <xf numFmtId="0" fontId="7" fillId="0" borderId="0" xfId="11" applyFont="1" applyAlignment="1">
      <alignment horizontal="left" indent="1"/>
    </xf>
    <xf numFmtId="173" fontId="8" fillId="0" borderId="0" xfId="7" applyNumberFormat="1" applyFont="1" applyFill="1" applyAlignment="1">
      <alignment vertical="center"/>
    </xf>
    <xf numFmtId="171" fontId="8" fillId="0" borderId="0" xfId="7" applyNumberFormat="1" applyFont="1" applyFill="1" applyAlignment="1">
      <alignment horizontal="right" vertical="center"/>
    </xf>
    <xf numFmtId="173" fontId="7" fillId="0" borderId="0" xfId="7" applyNumberFormat="1" applyFont="1" applyFill="1" applyAlignment="1"/>
    <xf numFmtId="173" fontId="8" fillId="0" borderId="0" xfId="7" applyNumberFormat="1" applyFont="1" applyFill="1" applyAlignment="1"/>
    <xf numFmtId="3" fontId="28" fillId="0" borderId="0" xfId="0" applyNumberFormat="1" applyFont="1"/>
    <xf numFmtId="173" fontId="7" fillId="0" borderId="0" xfId="7" applyNumberFormat="1" applyFont="1" applyAlignment="1"/>
    <xf numFmtId="0" fontId="8" fillId="0" borderId="0" xfId="11" applyFont="1"/>
    <xf numFmtId="173" fontId="7" fillId="0" borderId="0" xfId="3" applyNumberFormat="1" applyFont="1"/>
    <xf numFmtId="173" fontId="7" fillId="0" borderId="0" xfId="7" applyNumberFormat="1" applyFont="1" applyAlignment="1">
      <alignment horizontal="right" vertical="center"/>
    </xf>
    <xf numFmtId="2" fontId="7" fillId="0" borderId="0" xfId="11" applyNumberFormat="1" applyFont="1" applyAlignment="1">
      <alignment vertical="center"/>
    </xf>
    <xf numFmtId="3" fontId="7" fillId="0" borderId="0" xfId="11" applyNumberFormat="1" applyFont="1" applyAlignment="1">
      <alignment horizontal="right" vertical="center"/>
    </xf>
    <xf numFmtId="0" fontId="8" fillId="0" borderId="0" xfId="5" applyFont="1" applyAlignment="1">
      <alignment horizontal="left" vertical="center" indent="2"/>
    </xf>
    <xf numFmtId="165" fontId="7" fillId="0" borderId="0" xfId="11" applyNumberFormat="1" applyFont="1" applyAlignment="1">
      <alignment horizontal="right" vertical="center"/>
    </xf>
    <xf numFmtId="165" fontId="7" fillId="0" borderId="0" xfId="7" applyNumberFormat="1" applyFont="1" applyFill="1" applyAlignment="1">
      <alignment horizontal="right" vertical="top"/>
    </xf>
    <xf numFmtId="174" fontId="7" fillId="0" borderId="0" xfId="16" applyNumberFormat="1" applyFont="1" applyFill="1" applyBorder="1" applyAlignment="1">
      <alignment vertical="center"/>
    </xf>
    <xf numFmtId="165" fontId="7" fillId="0" borderId="0" xfId="16" applyNumberFormat="1" applyFont="1" applyFill="1" applyBorder="1" applyAlignment="1">
      <alignment horizontal="right" vertical="center"/>
    </xf>
    <xf numFmtId="165" fontId="7" fillId="0" borderId="0" xfId="17" applyNumberFormat="1" applyFont="1" applyFill="1" applyBorder="1" applyAlignment="1">
      <alignment horizontal="right" vertical="center"/>
    </xf>
    <xf numFmtId="165" fontId="7" fillId="0" borderId="0" xfId="18" applyNumberFormat="1" applyFont="1" applyFill="1" applyAlignment="1">
      <alignment horizontal="right" vertical="center"/>
    </xf>
    <xf numFmtId="0" fontId="18" fillId="0" borderId="0" xfId="3" applyFont="1" applyAlignment="1">
      <alignment horizontal="right" vertical="center"/>
    </xf>
    <xf numFmtId="0" fontId="19" fillId="0" borderId="0" xfId="3" applyFont="1" applyAlignment="1">
      <alignment horizontal="right" vertical="center"/>
    </xf>
    <xf numFmtId="0" fontId="18" fillId="0" borderId="0" xfId="19" applyFont="1" applyAlignment="1">
      <alignment vertical="center"/>
    </xf>
    <xf numFmtId="0" fontId="20" fillId="0" borderId="0" xfId="3" applyFont="1"/>
    <xf numFmtId="0" fontId="19" fillId="0" borderId="0" xfId="3" applyFont="1"/>
    <xf numFmtId="0" fontId="18" fillId="0" borderId="0" xfId="20" applyNumberFormat="1" applyFont="1" applyAlignment="1">
      <alignment horizontal="left" vertical="center"/>
    </xf>
    <xf numFmtId="0" fontId="19" fillId="0" borderId="0" xfId="3" applyFont="1" applyAlignment="1">
      <alignment horizontal="right"/>
    </xf>
    <xf numFmtId="0" fontId="8" fillId="0" borderId="1" xfId="6" applyFont="1" applyBorder="1" applyAlignment="1">
      <alignment horizontal="right" vertical="center" wrapText="1"/>
    </xf>
    <xf numFmtId="169" fontId="8" fillId="0" borderId="0" xfId="9" applyNumberFormat="1" applyFont="1" applyBorder="1" applyAlignment="1">
      <alignment vertical="center"/>
    </xf>
    <xf numFmtId="169" fontId="7" fillId="0" borderId="0" xfId="9" applyNumberFormat="1" applyFont="1" applyBorder="1" applyAlignment="1">
      <alignment vertical="center"/>
    </xf>
    <xf numFmtId="3" fontId="7" fillId="0" borderId="0" xfId="9" applyNumberFormat="1" applyFont="1" applyBorder="1" applyAlignment="1">
      <alignment horizontal="right" vertical="center"/>
    </xf>
    <xf numFmtId="0" fontId="8" fillId="0" borderId="0" xfId="0" applyFont="1" applyAlignment="1">
      <alignment horizontal="left" vertical="center" wrapText="1" indent="1"/>
    </xf>
    <xf numFmtId="0" fontId="10" fillId="0" borderId="0" xfId="5" applyFont="1" applyAlignment="1">
      <alignment horizontal="left" vertical="center" indent="2"/>
    </xf>
    <xf numFmtId="3" fontId="8" fillId="0" borderId="0" xfId="9" applyNumberFormat="1" applyFont="1" applyBorder="1" applyAlignment="1">
      <alignment horizontal="right" vertical="center"/>
    </xf>
    <xf numFmtId="165" fontId="7" fillId="0" borderId="0" xfId="9" applyNumberFormat="1" applyFont="1" applyBorder="1" applyAlignment="1">
      <alignment horizontal="right" vertical="center"/>
    </xf>
    <xf numFmtId="165" fontId="8" fillId="0" borderId="0" xfId="9" applyNumberFormat="1" applyFont="1" applyBorder="1" applyAlignment="1">
      <alignment horizontal="right" vertical="center"/>
    </xf>
    <xf numFmtId="167" fontId="8" fillId="0" borderId="0" xfId="9" applyNumberFormat="1" applyFont="1" applyBorder="1" applyAlignment="1">
      <alignment vertical="center"/>
    </xf>
    <xf numFmtId="0" fontId="8" fillId="0" borderId="0" xfId="0" applyFont="1" applyAlignment="1">
      <alignment horizontal="left" vertical="center" indent="2"/>
    </xf>
    <xf numFmtId="0" fontId="7" fillId="0" borderId="4" xfId="3" applyFont="1" applyBorder="1" applyAlignment="1">
      <alignment vertical="center"/>
    </xf>
    <xf numFmtId="0" fontId="7" fillId="0" borderId="0" xfId="11" applyFont="1" applyAlignment="1">
      <alignment vertical="center"/>
    </xf>
    <xf numFmtId="0" fontId="7" fillId="0" borderId="0" xfId="12" applyFont="1" applyAlignment="1">
      <alignment vertical="center"/>
    </xf>
    <xf numFmtId="0" fontId="8" fillId="0" borderId="0" xfId="11" applyFont="1" applyAlignment="1">
      <alignment horizontal="right" vertical="center"/>
    </xf>
    <xf numFmtId="0" fontId="10" fillId="0" borderId="0" xfId="11" applyFont="1" applyAlignment="1">
      <alignment horizontal="right" vertical="center"/>
    </xf>
    <xf numFmtId="173" fontId="7" fillId="0" borderId="0" xfId="7" applyNumberFormat="1" applyFont="1" applyAlignment="1">
      <alignment vertical="center"/>
    </xf>
    <xf numFmtId="169" fontId="7" fillId="0" borderId="0" xfId="9" applyNumberFormat="1" applyFont="1" applyBorder="1" applyAlignment="1">
      <alignment horizontal="center" vertical="center"/>
    </xf>
    <xf numFmtId="0" fontId="10" fillId="0" borderId="0" xfId="0" applyFont="1" applyAlignment="1">
      <alignment horizontal="left" vertical="center" wrapText="1" indent="1"/>
    </xf>
    <xf numFmtId="167" fontId="7" fillId="0" borderId="0" xfId="9" applyNumberFormat="1" applyFont="1" applyBorder="1" applyAlignment="1">
      <alignment vertical="center"/>
    </xf>
    <xf numFmtId="167" fontId="7" fillId="0" borderId="0" xfId="9" applyNumberFormat="1" applyFont="1" applyAlignment="1">
      <alignment vertical="center"/>
    </xf>
    <xf numFmtId="165" fontId="7" fillId="0" borderId="0" xfId="9" applyNumberFormat="1" applyFont="1" applyAlignment="1">
      <alignment horizontal="right" vertical="center"/>
    </xf>
    <xf numFmtId="167" fontId="7" fillId="0" borderId="0" xfId="9" applyNumberFormat="1" applyFont="1" applyAlignment="1">
      <alignment horizontal="right" vertical="center"/>
    </xf>
    <xf numFmtId="167" fontId="7" fillId="0" borderId="0" xfId="9" applyNumberFormat="1" applyFont="1" applyAlignment="1">
      <alignment horizontal="right" vertical="top"/>
    </xf>
    <xf numFmtId="0" fontId="7" fillId="0" borderId="1" xfId="3" applyFont="1" applyBorder="1" applyAlignment="1">
      <alignment vertical="center"/>
    </xf>
    <xf numFmtId="0" fontId="8" fillId="0" borderId="1" xfId="3" applyFont="1" applyBorder="1" applyAlignment="1">
      <alignment horizontal="left" vertical="center" indent="2"/>
    </xf>
    <xf numFmtId="165" fontId="7" fillId="0" borderId="1" xfId="3" applyNumberFormat="1" applyFont="1" applyBorder="1" applyAlignment="1">
      <alignment horizontal="right" indent="1"/>
    </xf>
    <xf numFmtId="165" fontId="7" fillId="0" borderId="1" xfId="7" applyNumberFormat="1" applyFont="1" applyBorder="1" applyAlignment="1">
      <alignment horizontal="right" vertical="top"/>
    </xf>
    <xf numFmtId="165" fontId="18" fillId="0" borderId="0" xfId="7" applyNumberFormat="1" applyFont="1" applyBorder="1" applyAlignment="1">
      <alignment horizontal="right" vertical="top"/>
    </xf>
    <xf numFmtId="165" fontId="19" fillId="0" borderId="0" xfId="7" applyNumberFormat="1" applyFont="1" applyAlignment="1">
      <alignment horizontal="right" vertical="top"/>
    </xf>
    <xf numFmtId="0" fontId="18" fillId="0" borderId="0" xfId="21" applyNumberFormat="1" applyFont="1" applyAlignment="1">
      <alignment horizontal="left" vertical="center"/>
    </xf>
    <xf numFmtId="0" fontId="26" fillId="0" borderId="0" xfId="5" applyFont="1" applyAlignment="1">
      <alignment horizontal="left" vertical="center" indent="1"/>
    </xf>
    <xf numFmtId="0" fontId="8" fillId="0" borderId="0" xfId="3" applyFont="1" applyAlignment="1">
      <alignment horizontal="left" vertical="center" indent="1"/>
    </xf>
    <xf numFmtId="0" fontId="32" fillId="0" borderId="0" xfId="3" applyFont="1" applyAlignment="1">
      <alignment vertical="center"/>
    </xf>
    <xf numFmtId="0" fontId="8" fillId="0" borderId="0" xfId="3" applyFont="1" applyAlignment="1">
      <alignment horizontal="left" vertical="center"/>
    </xf>
    <xf numFmtId="0" fontId="8" fillId="0" borderId="0" xfId="5" applyFont="1" applyAlignment="1">
      <alignment vertical="top"/>
    </xf>
    <xf numFmtId="3" fontId="8" fillId="0" borderId="0" xfId="3" applyNumberFormat="1" applyFont="1" applyAlignment="1">
      <alignment horizontal="right" vertical="top"/>
    </xf>
    <xf numFmtId="0" fontId="8" fillId="0" borderId="0" xfId="3" applyFont="1" applyAlignment="1">
      <alignment horizontal="left" vertical="top"/>
    </xf>
    <xf numFmtId="165" fontId="7" fillId="0" borderId="0" xfId="3" applyNumberFormat="1" applyFont="1" applyAlignment="1">
      <alignment horizontal="right" vertical="top"/>
    </xf>
    <xf numFmtId="3" fontId="7" fillId="0" borderId="0" xfId="3" applyNumberFormat="1" applyFont="1" applyAlignment="1">
      <alignment horizontal="right" vertical="top"/>
    </xf>
    <xf numFmtId="3" fontId="7" fillId="0" borderId="0" xfId="22" applyNumberFormat="1" applyFont="1" applyAlignment="1">
      <alignment horizontal="right" vertical="center"/>
    </xf>
    <xf numFmtId="3" fontId="8" fillId="0" borderId="0" xfId="22" applyNumberFormat="1" applyFont="1" applyAlignment="1">
      <alignment horizontal="right" vertical="center"/>
    </xf>
    <xf numFmtId="169" fontId="7" fillId="0" borderId="0" xfId="22" applyNumberFormat="1" applyFont="1" applyAlignment="1">
      <alignment horizontal="right" vertical="top"/>
    </xf>
    <xf numFmtId="165" fontId="7" fillId="0" borderId="0" xfId="22" applyNumberFormat="1" applyFont="1" applyAlignment="1">
      <alignment horizontal="right" vertical="top"/>
    </xf>
    <xf numFmtId="3" fontId="7" fillId="0" borderId="0" xfId="22" applyNumberFormat="1" applyFont="1" applyAlignment="1">
      <alignment horizontal="right" vertical="top"/>
    </xf>
    <xf numFmtId="0" fontId="18" fillId="0" borderId="1" xfId="23" applyFont="1" applyBorder="1" applyAlignment="1">
      <alignment vertical="center"/>
    </xf>
    <xf numFmtId="0" fontId="20" fillId="0" borderId="1" xfId="3" applyFont="1" applyBorder="1" applyAlignment="1">
      <alignment vertical="center"/>
    </xf>
    <xf numFmtId="3" fontId="20" fillId="0" borderId="1" xfId="3" applyNumberFormat="1" applyFont="1" applyBorder="1" applyAlignment="1">
      <alignment horizontal="right" vertical="center"/>
    </xf>
    <xf numFmtId="0" fontId="18" fillId="0" borderId="0" xfId="24" applyFont="1" applyAlignment="1">
      <alignment horizontal="right" vertical="center"/>
    </xf>
    <xf numFmtId="0" fontId="19" fillId="0" borderId="0" xfId="24" applyFont="1" applyAlignment="1">
      <alignment horizontal="right" vertical="center"/>
    </xf>
    <xf numFmtId="0" fontId="36" fillId="0" borderId="0" xfId="11" applyFont="1"/>
    <xf numFmtId="164" fontId="4" fillId="0" borderId="0" xfId="4" applyFont="1" applyAlignment="1">
      <alignment horizontal="right"/>
    </xf>
    <xf numFmtId="164" fontId="4" fillId="0" borderId="0" xfId="4" applyFont="1" applyAlignment="1">
      <alignment horizontal="left" vertical="top"/>
    </xf>
    <xf numFmtId="165" fontId="4" fillId="0" borderId="0" xfId="11" applyNumberFormat="1" applyFont="1"/>
    <xf numFmtId="164" fontId="6" fillId="0" borderId="0" xfId="4" applyFont="1" applyAlignment="1">
      <alignment horizontal="right" vertical="top"/>
    </xf>
    <xf numFmtId="164" fontId="6" fillId="0" borderId="0" xfId="4" applyFont="1" applyAlignment="1">
      <alignment horizontal="left" vertical="top"/>
    </xf>
    <xf numFmtId="0" fontId="3" fillId="0" borderId="0" xfId="11" applyFont="1" applyAlignment="1">
      <alignment vertical="center"/>
    </xf>
    <xf numFmtId="164" fontId="6" fillId="0" borderId="0" xfId="4" applyFont="1" applyAlignment="1">
      <alignment horizontal="left" vertical="top" indent="1"/>
    </xf>
    <xf numFmtId="0" fontId="32" fillId="0" borderId="1" xfId="11" applyFont="1" applyBorder="1" applyAlignment="1">
      <alignment vertical="top"/>
    </xf>
    <xf numFmtId="0" fontId="7" fillId="0" borderId="0" xfId="11" applyFont="1" applyAlignment="1">
      <alignment vertical="top"/>
    </xf>
    <xf numFmtId="0" fontId="32" fillId="0" borderId="0" xfId="11" applyFont="1" applyAlignment="1">
      <alignment vertical="top"/>
    </xf>
    <xf numFmtId="0" fontId="37" fillId="0" borderId="1" xfId="6" applyFont="1" applyBorder="1" applyAlignment="1">
      <alignment horizontal="right" vertical="center"/>
    </xf>
    <xf numFmtId="0" fontId="32" fillId="0" borderId="0" xfId="11" applyFont="1"/>
    <xf numFmtId="0" fontId="32" fillId="0" borderId="0" xfId="11" applyFont="1" applyAlignment="1">
      <alignment horizontal="center" vertical="center"/>
    </xf>
    <xf numFmtId="0" fontId="37" fillId="0" borderId="0" xfId="11" applyFont="1" applyAlignment="1">
      <alignment horizontal="center" vertical="center"/>
    </xf>
    <xf numFmtId="165" fontId="37" fillId="0" borderId="0" xfId="11" applyNumberFormat="1" applyFont="1" applyAlignment="1">
      <alignment horizontal="right" vertical="center"/>
    </xf>
    <xf numFmtId="0" fontId="37" fillId="0" borderId="0" xfId="11" applyFont="1" applyAlignment="1">
      <alignment horizontal="right" vertical="center"/>
    </xf>
    <xf numFmtId="0" fontId="7" fillId="0" borderId="0" xfId="11" applyFont="1" applyAlignment="1">
      <alignment horizontal="right"/>
    </xf>
    <xf numFmtId="0" fontId="37" fillId="0" borderId="0" xfId="11" applyFont="1" applyAlignment="1">
      <alignment vertical="center"/>
    </xf>
    <xf numFmtId="0" fontId="8" fillId="0" borderId="0" xfId="11" applyFont="1" applyAlignment="1">
      <alignment vertical="center"/>
    </xf>
    <xf numFmtId="3" fontId="8" fillId="0" borderId="0" xfId="24" applyNumberFormat="1" applyFont="1" applyAlignment="1">
      <alignment horizontal="right" vertical="center"/>
    </xf>
    <xf numFmtId="173" fontId="8" fillId="0" borderId="0" xfId="1" applyNumberFormat="1" applyFont="1" applyAlignment="1">
      <alignment horizontal="right" vertical="center"/>
    </xf>
    <xf numFmtId="175" fontId="38" fillId="0" borderId="0" xfId="1" applyNumberFormat="1" applyFont="1" applyAlignment="1">
      <alignment vertical="center"/>
    </xf>
    <xf numFmtId="167" fontId="8" fillId="0" borderId="0" xfId="1" applyNumberFormat="1" applyFont="1" applyAlignment="1">
      <alignment horizontal="right" vertical="center"/>
    </xf>
    <xf numFmtId="0" fontId="32" fillId="0" borderId="0" xfId="11" applyFont="1" applyAlignment="1">
      <alignment vertical="center"/>
    </xf>
    <xf numFmtId="3" fontId="32" fillId="0" borderId="0" xfId="24" applyNumberFormat="1" applyFont="1" applyAlignment="1">
      <alignment horizontal="right" vertical="center"/>
    </xf>
    <xf numFmtId="173" fontId="32" fillId="0" borderId="0" xfId="1" applyNumberFormat="1" applyFont="1" applyAlignment="1">
      <alignment horizontal="right" vertical="center"/>
    </xf>
    <xf numFmtId="175" fontId="36" fillId="0" borderId="0" xfId="1" applyNumberFormat="1" applyFont="1" applyAlignment="1">
      <alignment vertical="center"/>
    </xf>
    <xf numFmtId="167" fontId="7" fillId="0" borderId="0" xfId="1" applyNumberFormat="1" applyFont="1" applyAlignment="1">
      <alignment horizontal="right" vertical="center"/>
    </xf>
    <xf numFmtId="0" fontId="39" fillId="0" borderId="0" xfId="11" applyFont="1" applyAlignment="1">
      <alignment horizontal="right" vertical="center"/>
    </xf>
    <xf numFmtId="0" fontId="7" fillId="0" borderId="0" xfId="11" applyFont="1" applyAlignment="1">
      <alignment horizontal="left" vertical="center"/>
    </xf>
    <xf numFmtId="173" fontId="7" fillId="0" borderId="0" xfId="25" applyNumberFormat="1" applyFont="1" applyAlignment="1">
      <alignment vertical="center"/>
    </xf>
    <xf numFmtId="173" fontId="7" fillId="0" borderId="0" xfId="1" applyNumberFormat="1" applyFont="1" applyAlignment="1">
      <alignment vertical="center"/>
    </xf>
    <xf numFmtId="175" fontId="32" fillId="0" borderId="0" xfId="1" applyNumberFormat="1" applyFont="1" applyAlignment="1">
      <alignment horizontal="right" vertical="center"/>
    </xf>
    <xf numFmtId="43" fontId="32" fillId="0" borderId="0" xfId="1" applyFont="1" applyAlignment="1">
      <alignment vertical="center"/>
    </xf>
    <xf numFmtId="0" fontId="37" fillId="0" borderId="0" xfId="11" applyFont="1" applyAlignment="1">
      <alignment horizontal="left" vertical="center"/>
    </xf>
    <xf numFmtId="43" fontId="40" fillId="0" borderId="0" xfId="1" applyFont="1" applyAlignment="1">
      <alignment horizontal="right" vertical="center"/>
    </xf>
    <xf numFmtId="173" fontId="40" fillId="0" borderId="0" xfId="1" applyNumberFormat="1" applyFont="1" applyFill="1" applyAlignment="1">
      <alignment horizontal="right" vertical="center"/>
    </xf>
    <xf numFmtId="0" fontId="10" fillId="0" borderId="0" xfId="11" applyFont="1" applyAlignment="1">
      <alignment vertical="center"/>
    </xf>
    <xf numFmtId="0" fontId="10" fillId="0" borderId="0" xfId="11" applyFont="1" applyAlignment="1">
      <alignment horizontal="left" vertical="center"/>
    </xf>
    <xf numFmtId="173" fontId="32" fillId="0" borderId="0" xfId="25" applyNumberFormat="1" applyFont="1" applyAlignment="1">
      <alignment vertical="center"/>
    </xf>
    <xf numFmtId="173" fontId="32" fillId="0" borderId="0" xfId="1" applyNumberFormat="1" applyFont="1" applyAlignment="1">
      <alignment vertical="center"/>
    </xf>
    <xf numFmtId="0" fontId="8" fillId="0" borderId="0" xfId="11" applyFont="1" applyAlignment="1">
      <alignment horizontal="center" vertical="center"/>
    </xf>
    <xf numFmtId="175" fontId="37" fillId="0" borderId="0" xfId="1" applyNumberFormat="1" applyFont="1" applyAlignment="1">
      <alignment horizontal="right" vertical="center"/>
    </xf>
    <xf numFmtId="43" fontId="37" fillId="0" borderId="0" xfId="1" applyFont="1" applyAlignment="1">
      <alignment vertical="center"/>
    </xf>
    <xf numFmtId="3" fontId="7" fillId="0" borderId="0" xfId="24" applyNumberFormat="1" applyFont="1" applyAlignment="1">
      <alignment horizontal="right" vertical="center"/>
    </xf>
    <xf numFmtId="173" fontId="7" fillId="0" borderId="0" xfId="1" applyNumberFormat="1" applyFont="1" applyAlignment="1">
      <alignment horizontal="right" vertical="center"/>
    </xf>
    <xf numFmtId="175" fontId="3" fillId="0" borderId="0" xfId="1" applyNumberFormat="1" applyFont="1" applyAlignment="1">
      <alignment vertical="center"/>
    </xf>
    <xf numFmtId="175" fontId="7" fillId="0" borderId="0" xfId="1" applyNumberFormat="1" applyFont="1" applyAlignment="1">
      <alignment horizontal="right" vertical="center"/>
    </xf>
    <xf numFmtId="43" fontId="7" fillId="0" borderId="0" xfId="1" applyFont="1" applyFill="1" applyAlignment="1">
      <alignment vertical="center"/>
    </xf>
    <xf numFmtId="43" fontId="41" fillId="0" borderId="0" xfId="1" applyFont="1" applyFill="1" applyAlignment="1">
      <alignment horizontal="right" vertical="center"/>
    </xf>
    <xf numFmtId="173" fontId="41" fillId="0" borderId="0" xfId="1" applyNumberFormat="1" applyFont="1" applyFill="1" applyAlignment="1">
      <alignment horizontal="right" vertical="center"/>
    </xf>
    <xf numFmtId="3" fontId="37" fillId="0" borderId="0" xfId="24" applyNumberFormat="1" applyFont="1" applyAlignment="1">
      <alignment horizontal="right" vertical="center"/>
    </xf>
    <xf numFmtId="173" fontId="37" fillId="0" borderId="0" xfId="1" applyNumberFormat="1" applyFont="1" applyAlignment="1">
      <alignment horizontal="right" vertical="center"/>
    </xf>
    <xf numFmtId="173" fontId="7" fillId="0" borderId="0" xfId="9" applyNumberFormat="1" applyFont="1" applyFill="1" applyAlignment="1">
      <alignment vertical="center"/>
    </xf>
    <xf numFmtId="173" fontId="7" fillId="0" borderId="0" xfId="1" applyNumberFormat="1" applyFont="1" applyFill="1" applyAlignment="1">
      <alignment vertical="center"/>
    </xf>
    <xf numFmtId="0" fontId="8" fillId="0" borderId="1" xfId="11" applyFont="1" applyBorder="1" applyAlignment="1">
      <alignment vertical="center"/>
    </xf>
    <xf numFmtId="0" fontId="7" fillId="0" borderId="1" xfId="11" applyFont="1" applyBorder="1" applyAlignment="1">
      <alignment vertical="center"/>
    </xf>
    <xf numFmtId="173" fontId="7" fillId="0" borderId="1" xfId="1" applyNumberFormat="1" applyFont="1" applyFill="1" applyBorder="1" applyAlignment="1">
      <alignment vertical="center"/>
    </xf>
    <xf numFmtId="175" fontId="32" fillId="0" borderId="1" xfId="1" applyNumberFormat="1" applyFont="1" applyBorder="1" applyAlignment="1">
      <alignment horizontal="right" vertical="center"/>
    </xf>
    <xf numFmtId="167" fontId="7" fillId="0" borderId="1" xfId="1" applyNumberFormat="1" applyFont="1" applyBorder="1" applyAlignment="1">
      <alignment horizontal="right" vertical="center"/>
    </xf>
    <xf numFmtId="173" fontId="32" fillId="0" borderId="0" xfId="9" applyNumberFormat="1" applyFont="1" applyFill="1" applyAlignment="1">
      <alignment vertical="center"/>
    </xf>
    <xf numFmtId="175" fontId="32" fillId="0" borderId="0" xfId="1" applyNumberFormat="1" applyFont="1" applyFill="1" applyAlignment="1">
      <alignment vertical="center"/>
    </xf>
    <xf numFmtId="0" fontId="7" fillId="0" borderId="0" xfId="11" applyFont="1" applyAlignment="1">
      <alignment vertical="center" wrapText="1"/>
    </xf>
    <xf numFmtId="165" fontId="8" fillId="0" borderId="0" xfId="24" applyNumberFormat="1" applyFont="1" applyAlignment="1">
      <alignment horizontal="right" vertical="center"/>
    </xf>
    <xf numFmtId="175" fontId="8" fillId="0" borderId="0" xfId="1" applyNumberFormat="1" applyFont="1" applyAlignment="1">
      <alignment horizontal="right" vertical="center"/>
    </xf>
    <xf numFmtId="0" fontId="36" fillId="0" borderId="4" xfId="11" applyFont="1" applyBorder="1" applyAlignment="1">
      <alignment vertical="center"/>
    </xf>
    <xf numFmtId="0" fontId="3" fillId="0" borderId="4" xfId="11" applyFont="1" applyBorder="1" applyAlignment="1">
      <alignment vertical="center"/>
    </xf>
    <xf numFmtId="0" fontId="36" fillId="0" borderId="0" xfId="11" applyFont="1" applyAlignment="1">
      <alignment vertical="center"/>
    </xf>
    <xf numFmtId="0" fontId="42" fillId="0" borderId="0" xfId="12" applyFont="1" applyAlignment="1">
      <alignment vertical="center"/>
    </xf>
    <xf numFmtId="0" fontId="42" fillId="0" borderId="0" xfId="11" applyFont="1" applyAlignment="1">
      <alignment vertical="center"/>
    </xf>
    <xf numFmtId="0" fontId="43" fillId="0" borderId="0" xfId="19" applyFont="1" applyAlignment="1">
      <alignment vertical="center"/>
    </xf>
    <xf numFmtId="0" fontId="42" fillId="0" borderId="0" xfId="11" applyFont="1"/>
    <xf numFmtId="0" fontId="43" fillId="0" borderId="0" xfId="11" applyFont="1" applyAlignment="1">
      <alignment vertical="center"/>
    </xf>
    <xf numFmtId="0" fontId="42" fillId="0" borderId="0" xfId="11" applyFont="1" applyAlignment="1">
      <alignment vertical="center" wrapText="1"/>
    </xf>
    <xf numFmtId="0" fontId="42" fillId="2" borderId="0" xfId="11" applyFont="1" applyFill="1"/>
    <xf numFmtId="0" fontId="42" fillId="0" borderId="0" xfId="11" applyFont="1" applyAlignment="1">
      <alignment horizontal="left"/>
    </xf>
    <xf numFmtId="0" fontId="44" fillId="0" borderId="0" xfId="11" applyFont="1" applyAlignment="1">
      <alignment vertical="center"/>
    </xf>
    <xf numFmtId="0" fontId="36" fillId="2" borderId="0" xfId="11" applyFont="1" applyFill="1"/>
    <xf numFmtId="0" fontId="7" fillId="0" borderId="0" xfId="3" applyFont="1" applyAlignment="1">
      <alignment horizontal="left"/>
    </xf>
    <xf numFmtId="164" fontId="4" fillId="0" borderId="0" xfId="4" applyFont="1" applyAlignment="1">
      <alignment horizontal="left" vertical="center"/>
    </xf>
    <xf numFmtId="0" fontId="3" fillId="0" borderId="0" xfId="3" applyFont="1" applyAlignment="1">
      <alignment horizontal="left"/>
    </xf>
    <xf numFmtId="165" fontId="4" fillId="0" borderId="0" xfId="3" applyNumberFormat="1" applyFont="1" applyAlignment="1">
      <alignment horizontal="left"/>
    </xf>
    <xf numFmtId="0" fontId="3" fillId="0" borderId="0" xfId="3" applyFont="1" applyAlignment="1">
      <alignment horizontal="left" vertical="top"/>
    </xf>
    <xf numFmtId="0" fontId="3" fillId="0" borderId="0" xfId="5" applyFont="1" applyAlignment="1">
      <alignment horizontal="left" vertical="center"/>
    </xf>
    <xf numFmtId="0" fontId="7" fillId="0" borderId="0" xfId="5" applyFont="1" applyAlignment="1">
      <alignment horizontal="left" vertical="center"/>
    </xf>
    <xf numFmtId="0" fontId="12" fillId="0" borderId="2" xfId="0" applyFont="1" applyBorder="1" applyAlignment="1">
      <alignment vertical="center" wrapText="1"/>
    </xf>
    <xf numFmtId="0" fontId="18" fillId="0" borderId="0" xfId="0" applyFont="1" applyAlignment="1">
      <alignment horizontal="right" vertical="center" wrapText="1" readingOrder="1"/>
    </xf>
    <xf numFmtId="0" fontId="45" fillId="0" borderId="0" xfId="0" applyFont="1"/>
    <xf numFmtId="167" fontId="20" fillId="0" borderId="0" xfId="0" applyNumberFormat="1" applyFont="1" applyAlignment="1">
      <alignment horizontal="right" vertical="center" wrapText="1" readingOrder="1"/>
    </xf>
    <xf numFmtId="167" fontId="42" fillId="0" borderId="0" xfId="0" applyNumberFormat="1" applyFont="1" applyAlignment="1">
      <alignment horizontal="right" vertical="center" wrapText="1" readingOrder="1"/>
    </xf>
    <xf numFmtId="3" fontId="46" fillId="0" borderId="0" xfId="0" applyNumberFormat="1" applyFont="1" applyAlignment="1">
      <alignment horizontal="right" vertical="top" wrapText="1"/>
    </xf>
    <xf numFmtId="3" fontId="46" fillId="0" borderId="0" xfId="0" applyNumberFormat="1" applyFont="1" applyAlignment="1">
      <alignment horizontal="right" vertical="center" wrapText="1"/>
    </xf>
    <xf numFmtId="3" fontId="8" fillId="0" borderId="0" xfId="0" applyNumberFormat="1" applyFont="1" applyAlignment="1">
      <alignment horizontal="right" vertical="center" wrapText="1"/>
    </xf>
    <xf numFmtId="3" fontId="18" fillId="0" borderId="0" xfId="0" applyNumberFormat="1" applyFont="1" applyAlignment="1">
      <alignment horizontal="right" vertical="center" wrapText="1" readingOrder="1"/>
    </xf>
    <xf numFmtId="3" fontId="43" fillId="0" borderId="0" xfId="0" applyNumberFormat="1" applyFont="1" applyAlignment="1">
      <alignment horizontal="right" vertical="center" wrapText="1" readingOrder="1"/>
    </xf>
    <xf numFmtId="0" fontId="3" fillId="0" borderId="0" xfId="0" applyFont="1"/>
    <xf numFmtId="0" fontId="10" fillId="0" borderId="0" xfId="5" applyFont="1" applyAlignment="1">
      <alignment vertical="top"/>
    </xf>
    <xf numFmtId="3" fontId="48" fillId="0" borderId="0" xfId="0" applyNumberFormat="1" applyFont="1" applyAlignment="1">
      <alignment horizontal="right" vertical="top" wrapText="1"/>
    </xf>
    <xf numFmtId="3" fontId="48" fillId="0" borderId="0" xfId="0" applyNumberFormat="1" applyFont="1" applyAlignment="1">
      <alignment horizontal="right" vertical="center" wrapText="1"/>
    </xf>
    <xf numFmtId="3" fontId="7" fillId="0" borderId="0" xfId="0" applyNumberFormat="1" applyFont="1" applyAlignment="1">
      <alignment horizontal="right" vertical="center" wrapText="1"/>
    </xf>
    <xf numFmtId="0" fontId="46" fillId="0" borderId="0" xfId="0" applyFont="1" applyAlignment="1">
      <alignment horizontal="left" vertical="top" wrapText="1" indent="2"/>
    </xf>
    <xf numFmtId="0" fontId="47" fillId="0" borderId="0" xfId="0" applyFont="1" applyAlignment="1">
      <alignment horizontal="left" vertical="top" wrapText="1" indent="2"/>
    </xf>
    <xf numFmtId="173" fontId="49" fillId="0" borderId="0" xfId="26" applyNumberFormat="1" applyFont="1" applyFill="1" applyAlignment="1">
      <alignment horizontal="right" vertical="center" wrapText="1" readingOrder="1"/>
    </xf>
    <xf numFmtId="0" fontId="45" fillId="0" borderId="1" xfId="0" applyFont="1" applyBorder="1"/>
    <xf numFmtId="0" fontId="20" fillId="0" borderId="0" xfId="24" applyFont="1" applyAlignment="1">
      <alignment vertical="center"/>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8" fillId="0" borderId="1" xfId="0" applyFont="1" applyBorder="1" applyAlignment="1">
      <alignment vertical="center" wrapText="1"/>
    </xf>
    <xf numFmtId="0" fontId="12" fillId="0" borderId="0" xfId="0" applyFont="1" applyAlignment="1">
      <alignment horizontal="center" vertical="center"/>
    </xf>
    <xf numFmtId="0" fontId="16" fillId="0" borderId="2" xfId="0" applyFont="1" applyBorder="1" applyAlignment="1">
      <alignment horizontal="center" vertical="center"/>
    </xf>
    <xf numFmtId="0" fontId="12" fillId="0" borderId="1" xfId="0" applyFont="1" applyBorder="1" applyAlignment="1">
      <alignment horizontal="right" vertical="center"/>
    </xf>
    <xf numFmtId="0" fontId="16" fillId="0" borderId="0" xfId="0" applyFont="1" applyAlignment="1">
      <alignment horizontal="center" vertical="center"/>
    </xf>
    <xf numFmtId="0" fontId="16" fillId="0" borderId="0" xfId="0" applyFont="1" applyAlignment="1">
      <alignment vertical="center"/>
    </xf>
    <xf numFmtId="0" fontId="16" fillId="0" borderId="0" xfId="0" applyFont="1" applyAlignment="1">
      <alignment vertical="center" wrapText="1"/>
    </xf>
    <xf numFmtId="0" fontId="8" fillId="0" borderId="0" xfId="0" applyFont="1" applyAlignment="1">
      <alignment horizontal="center" vertical="center" wrapText="1"/>
    </xf>
    <xf numFmtId="0" fontId="8" fillId="0" borderId="0" xfId="0" applyFont="1" applyAlignment="1">
      <alignment horizontal="center" vertical="center"/>
    </xf>
    <xf numFmtId="0" fontId="12" fillId="0" borderId="0" xfId="0" applyFont="1" applyAlignment="1">
      <alignment vertical="center"/>
    </xf>
    <xf numFmtId="0" fontId="8" fillId="0" borderId="0" xfId="0" applyFont="1" applyAlignment="1">
      <alignment vertical="center" wrapText="1"/>
    </xf>
    <xf numFmtId="174" fontId="12" fillId="0" borderId="0" xfId="0" applyNumberFormat="1" applyFont="1" applyAlignment="1">
      <alignment vertical="center"/>
    </xf>
    <xf numFmtId="165" fontId="12" fillId="0" borderId="0" xfId="0" applyNumberFormat="1" applyFont="1" applyAlignment="1">
      <alignment horizontal="right" vertical="center"/>
    </xf>
    <xf numFmtId="0" fontId="16" fillId="0" borderId="0" xfId="24" applyFont="1" applyAlignment="1">
      <alignment horizontal="left" vertical="center" wrapText="1" indent="2"/>
    </xf>
    <xf numFmtId="174" fontId="16" fillId="0" borderId="0" xfId="27" applyNumberFormat="1" applyFont="1" applyFill="1" applyBorder="1" applyAlignment="1">
      <alignment vertical="center"/>
    </xf>
    <xf numFmtId="165" fontId="16" fillId="0" borderId="0" xfId="27" applyNumberFormat="1" applyFont="1" applyFill="1" applyBorder="1" applyAlignment="1">
      <alignment horizontal="right" vertical="center"/>
    </xf>
    <xf numFmtId="0" fontId="52" fillId="0" borderId="0" xfId="24" applyFont="1" applyAlignment="1">
      <alignment horizontal="left" vertical="center" wrapText="1" indent="2"/>
    </xf>
    <xf numFmtId="0" fontId="52" fillId="0" borderId="0" xfId="24" applyFont="1" applyAlignment="1">
      <alignment horizontal="left" vertical="center"/>
    </xf>
    <xf numFmtId="0" fontId="52" fillId="0" borderId="0" xfId="24" applyFont="1" applyAlignment="1">
      <alignment vertical="center" wrapText="1"/>
    </xf>
    <xf numFmtId="174" fontId="12" fillId="0" borderId="0" xfId="27" applyNumberFormat="1" applyFont="1" applyFill="1" applyBorder="1" applyAlignment="1">
      <alignment vertical="center"/>
    </xf>
    <xf numFmtId="165" fontId="12" fillId="0" borderId="0" xfId="27" applyNumberFormat="1" applyFont="1" applyFill="1" applyBorder="1" applyAlignment="1">
      <alignment horizontal="right" vertical="center"/>
    </xf>
    <xf numFmtId="165" fontId="52" fillId="0" borderId="0" xfId="27" applyNumberFormat="1" applyFont="1" applyFill="1" applyBorder="1" applyAlignment="1">
      <alignment horizontal="right" vertical="center"/>
    </xf>
    <xf numFmtId="0" fontId="52" fillId="0" borderId="0" xfId="0" applyFont="1" applyAlignment="1">
      <alignment horizontal="left" vertical="center" wrapText="1"/>
    </xf>
    <xf numFmtId="0" fontId="16" fillId="0" borderId="0" xfId="0" applyFont="1" applyAlignment="1">
      <alignment horizontal="left" vertical="center" wrapText="1"/>
    </xf>
    <xf numFmtId="0" fontId="54" fillId="0" borderId="0" xfId="24" applyFont="1" applyAlignment="1">
      <alignment vertical="center" wrapText="1"/>
    </xf>
    <xf numFmtId="0" fontId="54" fillId="0" borderId="0" xfId="24" applyFont="1" applyAlignment="1">
      <alignment horizontal="left" vertical="center" wrapText="1" indent="2"/>
    </xf>
    <xf numFmtId="41" fontId="16" fillId="0" borderId="0" xfId="27" applyFont="1" applyFill="1" applyBorder="1" applyAlignment="1">
      <alignment vertical="center"/>
    </xf>
    <xf numFmtId="3" fontId="16" fillId="0" borderId="0" xfId="27" applyNumberFormat="1" applyFont="1" applyFill="1" applyBorder="1" applyAlignment="1">
      <alignment horizontal="right" vertical="center"/>
    </xf>
    <xf numFmtId="0" fontId="16" fillId="0" borderId="1" xfId="0" applyFont="1" applyBorder="1" applyAlignment="1">
      <alignment vertical="center"/>
    </xf>
    <xf numFmtId="0" fontId="16" fillId="0" borderId="1" xfId="0" applyFont="1" applyBorder="1" applyAlignment="1">
      <alignment horizontal="center" vertical="center"/>
    </xf>
    <xf numFmtId="0" fontId="54" fillId="0" borderId="1" xfId="24" applyFont="1" applyBorder="1" applyAlignment="1">
      <alignment horizontal="left" vertical="center" wrapText="1" indent="2"/>
    </xf>
    <xf numFmtId="41" fontId="16" fillId="0" borderId="1" xfId="27" applyFont="1" applyFill="1" applyBorder="1" applyAlignment="1">
      <alignment vertical="center"/>
    </xf>
    <xf numFmtId="3" fontId="16" fillId="0" borderId="1" xfId="27" applyNumberFormat="1" applyFont="1" applyFill="1" applyBorder="1" applyAlignment="1">
      <alignment horizontal="right" vertical="center"/>
    </xf>
    <xf numFmtId="0" fontId="52" fillId="0" borderId="0" xfId="24" applyFont="1" applyAlignment="1">
      <alignment horizontal="left" wrapText="1" indent="2"/>
    </xf>
    <xf numFmtId="0" fontId="18" fillId="3" borderId="0" xfId="0" applyFont="1" applyFill="1" applyAlignment="1">
      <alignment horizontal="right"/>
    </xf>
    <xf numFmtId="176" fontId="19" fillId="3" borderId="0" xfId="28" applyFont="1" applyFill="1" applyAlignment="1">
      <alignment horizontal="right"/>
    </xf>
    <xf numFmtId="41" fontId="20" fillId="0" borderId="0" xfId="27" applyFont="1" applyFill="1" applyBorder="1" applyAlignment="1">
      <alignment vertical="center"/>
    </xf>
    <xf numFmtId="0" fontId="57" fillId="0" borderId="0" xfId="0" applyFont="1" applyAlignment="1">
      <alignment vertical="center"/>
    </xf>
    <xf numFmtId="0" fontId="18" fillId="0" borderId="0" xfId="29" applyFont="1"/>
    <xf numFmtId="0" fontId="12" fillId="0" borderId="0" xfId="0" quotePrefix="1" applyFont="1" applyAlignment="1">
      <alignment vertical="center"/>
    </xf>
    <xf numFmtId="0" fontId="58" fillId="0" borderId="0" xfId="29" applyFont="1" applyAlignment="1">
      <alignment horizontal="left"/>
    </xf>
    <xf numFmtId="0" fontId="7" fillId="0" borderId="0" xfId="0" applyFont="1" applyAlignment="1">
      <alignment vertical="center" wrapText="1"/>
    </xf>
    <xf numFmtId="0" fontId="7" fillId="0" borderId="0" xfId="0" applyFont="1" applyAlignment="1">
      <alignment vertical="center"/>
    </xf>
    <xf numFmtId="0" fontId="59" fillId="0" borderId="0" xfId="29" applyFont="1" applyAlignment="1">
      <alignment horizontal="left"/>
    </xf>
    <xf numFmtId="0" fontId="12" fillId="0" borderId="2" xfId="0" applyFont="1" applyBorder="1" applyAlignment="1">
      <alignment horizontal="right" vertical="center"/>
    </xf>
    <xf numFmtId="0" fontId="53" fillId="0" borderId="0" xfId="24" applyFont="1" applyAlignment="1">
      <alignment vertical="center" wrapText="1"/>
    </xf>
    <xf numFmtId="165" fontId="16" fillId="0" borderId="0" xfId="0" applyNumberFormat="1" applyFont="1" applyAlignment="1">
      <alignment horizontal="right" vertical="center"/>
    </xf>
    <xf numFmtId="3" fontId="16" fillId="0" borderId="0" xfId="0" applyNumberFormat="1" applyFont="1" applyAlignment="1">
      <alignment horizontal="right" vertical="center"/>
    </xf>
    <xf numFmtId="0" fontId="52" fillId="0" borderId="0" xfId="24" applyFont="1" applyAlignment="1">
      <alignment horizontal="left" vertical="center" wrapText="1"/>
    </xf>
    <xf numFmtId="0" fontId="7" fillId="0" borderId="0" xfId="24" applyFont="1" applyAlignment="1">
      <alignment vertical="center"/>
    </xf>
    <xf numFmtId="41" fontId="53" fillId="0" borderId="0" xfId="27" applyFont="1" applyFill="1" applyBorder="1" applyAlignment="1">
      <alignment horizontal="right" vertical="center"/>
    </xf>
    <xf numFmtId="3" fontId="53" fillId="0" borderId="0" xfId="27" applyNumberFormat="1" applyFont="1" applyFill="1" applyBorder="1" applyAlignment="1">
      <alignment horizontal="right" vertical="center"/>
    </xf>
    <xf numFmtId="41" fontId="52" fillId="0" borderId="0" xfId="27" applyFont="1" applyFill="1" applyBorder="1" applyAlignment="1">
      <alignment horizontal="right" vertical="center"/>
    </xf>
    <xf numFmtId="3" fontId="52" fillId="0" borderId="0" xfId="27" applyNumberFormat="1" applyFont="1" applyFill="1" applyBorder="1" applyAlignment="1">
      <alignment horizontal="right" vertical="center"/>
    </xf>
    <xf numFmtId="0" fontId="52" fillId="0" borderId="1" xfId="24" applyFont="1" applyBorder="1" applyAlignment="1">
      <alignment horizontal="left" vertical="center" wrapText="1" indent="2"/>
    </xf>
    <xf numFmtId="41" fontId="52" fillId="0" borderId="1" xfId="27" applyFont="1" applyFill="1" applyBorder="1" applyAlignment="1">
      <alignment horizontal="right" vertical="center"/>
    </xf>
    <xf numFmtId="3" fontId="52" fillId="0" borderId="1" xfId="27" applyNumberFormat="1" applyFont="1" applyFill="1" applyBorder="1" applyAlignment="1">
      <alignment horizontal="right" vertical="center"/>
    </xf>
    <xf numFmtId="0" fontId="18" fillId="3" borderId="0" xfId="0" applyFont="1" applyFill="1" applyAlignment="1">
      <alignment horizontal="right" vertical="center"/>
    </xf>
    <xf numFmtId="0" fontId="61" fillId="0" borderId="0" xfId="24" applyFont="1" applyAlignment="1">
      <alignment horizontal="right" vertical="center"/>
    </xf>
    <xf numFmtId="176" fontId="19" fillId="3" borderId="0" xfId="28" applyFont="1" applyFill="1" applyAlignment="1">
      <alignment horizontal="right" vertical="center"/>
    </xf>
    <xf numFmtId="0" fontId="63" fillId="0" borderId="0" xfId="24" applyFont="1" applyAlignment="1">
      <alignment horizontal="right" vertical="center"/>
    </xf>
    <xf numFmtId="41" fontId="57" fillId="0" borderId="0" xfId="27" applyFont="1" applyFill="1" applyBorder="1" applyAlignment="1">
      <alignment vertical="center"/>
    </xf>
    <xf numFmtId="0" fontId="12" fillId="0" borderId="0" xfId="0" quotePrefix="1" applyFont="1" applyAlignment="1">
      <alignment horizontal="right" vertical="center"/>
    </xf>
    <xf numFmtId="0" fontId="58" fillId="0" borderId="0" xfId="29" applyFont="1" applyAlignment="1">
      <alignment horizontal="left" vertical="center"/>
    </xf>
    <xf numFmtId="0" fontId="68" fillId="0" borderId="0" xfId="29" applyFont="1" applyAlignment="1">
      <alignment horizontal="left" vertical="center"/>
    </xf>
    <xf numFmtId="0" fontId="69" fillId="0" borderId="0" xfId="29" applyFont="1" applyAlignment="1">
      <alignment horizontal="left"/>
    </xf>
    <xf numFmtId="0" fontId="70" fillId="0" borderId="0" xfId="0" applyFont="1" applyAlignment="1">
      <alignment horizontal="right" vertical="center"/>
    </xf>
    <xf numFmtId="0" fontId="70" fillId="0" borderId="0" xfId="0" applyFont="1" applyAlignment="1">
      <alignment vertical="center"/>
    </xf>
    <xf numFmtId="0" fontId="71" fillId="0" borderId="0" xfId="0" applyFont="1" applyAlignment="1">
      <alignment horizontal="right" vertical="center"/>
    </xf>
    <xf numFmtId="0" fontId="71" fillId="0" borderId="0" xfId="0" applyFont="1" applyAlignment="1">
      <alignment vertical="center"/>
    </xf>
    <xf numFmtId="0" fontId="72" fillId="0" borderId="0" xfId="0" applyFont="1" applyAlignment="1">
      <alignment vertical="center"/>
    </xf>
    <xf numFmtId="0" fontId="46" fillId="0" borderId="3" xfId="0" applyFont="1" applyBorder="1" applyAlignment="1">
      <alignment vertical="center"/>
    </xf>
    <xf numFmtId="0" fontId="46" fillId="0" borderId="3" xfId="0" applyFont="1" applyBorder="1" applyAlignment="1">
      <alignment horizontal="center" vertical="center" wrapText="1"/>
    </xf>
    <xf numFmtId="0" fontId="46" fillId="0" borderId="3" xfId="0" applyFont="1" applyBorder="1" applyAlignment="1">
      <alignment horizontal="right" vertical="center" wrapText="1"/>
    </xf>
    <xf numFmtId="0" fontId="8" fillId="0" borderId="3" xfId="0" applyFont="1" applyBorder="1" applyAlignment="1">
      <alignment horizontal="right" vertical="center" wrapText="1"/>
    </xf>
    <xf numFmtId="0" fontId="16" fillId="0" borderId="0" xfId="0" applyFont="1"/>
    <xf numFmtId="0" fontId="47" fillId="0" borderId="1" xfId="0" applyFont="1" applyBorder="1" applyAlignment="1">
      <alignment vertical="center"/>
    </xf>
    <xf numFmtId="0" fontId="46" fillId="0" borderId="1" xfId="0" applyFont="1" applyBorder="1" applyAlignment="1">
      <alignment vertical="center" wrapText="1"/>
    </xf>
    <xf numFmtId="0" fontId="46" fillId="0" borderId="0" xfId="0" applyFont="1" applyAlignment="1">
      <alignment vertical="center"/>
    </xf>
    <xf numFmtId="0" fontId="47" fillId="0" borderId="0" xfId="0" applyFont="1" applyAlignment="1">
      <alignment vertical="center" wrapText="1"/>
    </xf>
    <xf numFmtId="0" fontId="46" fillId="0" borderId="0" xfId="0" applyFont="1" applyAlignment="1">
      <alignment vertical="center" wrapText="1"/>
    </xf>
    <xf numFmtId="0" fontId="46" fillId="0" borderId="0" xfId="0" applyFont="1" applyAlignment="1">
      <alignment horizontal="center" vertical="center" wrapText="1"/>
    </xf>
    <xf numFmtId="165" fontId="46" fillId="0" borderId="0" xfId="0" applyNumberFormat="1" applyFont="1" applyAlignment="1">
      <alignment horizontal="right" vertical="center" wrapText="1"/>
    </xf>
    <xf numFmtId="165" fontId="8" fillId="0" borderId="0" xfId="0" applyNumberFormat="1" applyFont="1" applyAlignment="1">
      <alignment horizontal="right" vertical="center" wrapText="1"/>
    </xf>
    <xf numFmtId="0" fontId="47" fillId="0" borderId="0" xfId="0" applyFont="1" applyAlignment="1">
      <alignment vertical="center"/>
    </xf>
    <xf numFmtId="0" fontId="46" fillId="0" borderId="0" xfId="0" applyFont="1" applyAlignment="1">
      <alignment horizontal="left" vertical="center" indent="2"/>
    </xf>
    <xf numFmtId="0" fontId="16" fillId="0" borderId="0" xfId="0" applyFont="1" applyAlignment="1">
      <alignment vertical="top" wrapText="1"/>
    </xf>
    <xf numFmtId="167" fontId="46" fillId="0" borderId="0" xfId="0" applyNumberFormat="1" applyFont="1" applyAlignment="1">
      <alignment horizontal="center" vertical="center" wrapText="1"/>
    </xf>
    <xf numFmtId="165" fontId="12" fillId="0" borderId="0" xfId="0" applyNumberFormat="1" applyFont="1" applyAlignment="1">
      <alignment horizontal="right" vertical="center" wrapText="1"/>
    </xf>
    <xf numFmtId="0" fontId="13" fillId="0" borderId="0" xfId="0" applyFont="1" applyAlignment="1">
      <alignment horizontal="left" vertical="center" indent="2"/>
    </xf>
    <xf numFmtId="0" fontId="13" fillId="0" borderId="0" xfId="0" applyFont="1" applyAlignment="1">
      <alignment vertical="center"/>
    </xf>
    <xf numFmtId="167" fontId="48" fillId="0" borderId="0" xfId="0" applyNumberFormat="1" applyFont="1" applyAlignment="1">
      <alignment horizontal="center" vertical="center" wrapText="1"/>
    </xf>
    <xf numFmtId="165" fontId="16" fillId="0" borderId="0" xfId="0" applyNumberFormat="1" applyFont="1" applyAlignment="1">
      <alignment horizontal="right" vertical="center" wrapText="1"/>
    </xf>
    <xf numFmtId="165" fontId="7" fillId="0" borderId="0" xfId="0" applyNumberFormat="1" applyFont="1" applyAlignment="1">
      <alignment horizontal="right" vertical="center" wrapText="1"/>
    </xf>
    <xf numFmtId="0" fontId="47" fillId="0" borderId="0" xfId="0" applyFont="1" applyAlignment="1">
      <alignment horizontal="left" vertical="center" indent="2"/>
    </xf>
    <xf numFmtId="0" fontId="48" fillId="0" borderId="0" xfId="0" applyFont="1" applyAlignment="1">
      <alignment vertical="center"/>
    </xf>
    <xf numFmtId="165" fontId="48" fillId="0" borderId="0" xfId="0" applyNumberFormat="1" applyFont="1" applyAlignment="1">
      <alignment horizontal="right" vertical="center"/>
    </xf>
    <xf numFmtId="165" fontId="7" fillId="0" borderId="0" xfId="0" applyNumberFormat="1" applyFont="1" applyAlignment="1">
      <alignment horizontal="right" vertical="center"/>
    </xf>
    <xf numFmtId="165" fontId="46" fillId="0" borderId="0" xfId="0" applyNumberFormat="1" applyFont="1" applyAlignment="1">
      <alignment horizontal="right" vertical="center"/>
    </xf>
    <xf numFmtId="165" fontId="8" fillId="0" borderId="0" xfId="0" applyNumberFormat="1" applyFont="1" applyAlignment="1">
      <alignment horizontal="right" vertical="center"/>
    </xf>
    <xf numFmtId="0" fontId="16" fillId="0" borderId="1" xfId="0" applyFont="1" applyBorder="1"/>
    <xf numFmtId="0" fontId="3" fillId="0" borderId="1" xfId="0" applyFont="1" applyBorder="1"/>
    <xf numFmtId="0" fontId="28" fillId="0" borderId="0" xfId="0" applyFont="1"/>
    <xf numFmtId="0" fontId="45" fillId="0" borderId="0" xfId="30" applyFont="1"/>
    <xf numFmtId="0" fontId="14" fillId="0" borderId="0" xfId="30" applyFont="1"/>
    <xf numFmtId="0" fontId="45" fillId="0" borderId="0" xfId="30" applyFont="1" applyAlignment="1">
      <alignment horizontal="right"/>
    </xf>
    <xf numFmtId="0" fontId="3" fillId="0" borderId="0" xfId="30" applyFont="1"/>
    <xf numFmtId="0" fontId="14" fillId="0" borderId="0" xfId="30" applyFont="1" applyAlignment="1">
      <alignment horizontal="right" vertical="top"/>
    </xf>
    <xf numFmtId="0" fontId="14" fillId="0" borderId="0" xfId="30" applyFont="1" applyAlignment="1">
      <alignment horizontal="right" vertical="center"/>
    </xf>
    <xf numFmtId="0" fontId="15" fillId="0" borderId="0" xfId="30" applyFont="1" applyAlignment="1">
      <alignment horizontal="right" vertical="center"/>
    </xf>
    <xf numFmtId="0" fontId="45" fillId="0" borderId="6" xfId="30" applyFont="1" applyBorder="1"/>
    <xf numFmtId="0" fontId="14" fillId="0" borderId="6" xfId="30" applyFont="1" applyBorder="1"/>
    <xf numFmtId="0" fontId="45" fillId="0" borderId="6" xfId="30" applyFont="1" applyBorder="1" applyAlignment="1">
      <alignment horizontal="right"/>
    </xf>
    <xf numFmtId="0" fontId="3" fillId="0" borderId="6" xfId="30" applyFont="1" applyBorder="1"/>
    <xf numFmtId="0" fontId="16" fillId="0" borderId="0" xfId="30" applyFont="1"/>
    <xf numFmtId="0" fontId="12" fillId="0" borderId="0" xfId="30" applyFont="1"/>
    <xf numFmtId="0" fontId="16" fillId="0" borderId="0" xfId="30" applyFont="1" applyAlignment="1">
      <alignment horizontal="right"/>
    </xf>
    <xf numFmtId="0" fontId="7" fillId="0" borderId="0" xfId="30" applyFont="1"/>
    <xf numFmtId="176" fontId="12" fillId="0" borderId="0" xfId="30" applyNumberFormat="1" applyFont="1" applyAlignment="1">
      <alignment horizontal="right" vertical="top" wrapText="1"/>
    </xf>
    <xf numFmtId="0" fontId="12" fillId="0" borderId="0" xfId="30" applyFont="1" applyAlignment="1">
      <alignment vertical="center" wrapText="1"/>
    </xf>
    <xf numFmtId="0" fontId="12" fillId="0" borderId="0" xfId="30" applyFont="1" applyAlignment="1">
      <alignment horizontal="right" vertical="center" wrapText="1"/>
    </xf>
    <xf numFmtId="0" fontId="8" fillId="0" borderId="0" xfId="30" applyFont="1" applyAlignment="1">
      <alignment horizontal="right" vertical="center" wrapText="1"/>
    </xf>
    <xf numFmtId="0" fontId="12" fillId="0" borderId="0" xfId="30" applyFont="1" applyAlignment="1">
      <alignment horizontal="right" vertical="center"/>
    </xf>
    <xf numFmtId="176" fontId="12" fillId="0" borderId="6" xfId="30" applyNumberFormat="1" applyFont="1" applyBorder="1" applyAlignment="1">
      <alignment horizontal="right" vertical="top" wrapText="1"/>
    </xf>
    <xf numFmtId="0" fontId="16" fillId="0" borderId="6" xfId="30" applyFont="1" applyBorder="1" applyAlignment="1">
      <alignment horizontal="right" vertical="center"/>
    </xf>
    <xf numFmtId="0" fontId="12" fillId="0" borderId="6" xfId="30" applyFont="1" applyBorder="1" applyAlignment="1">
      <alignment horizontal="right" vertical="center"/>
    </xf>
    <xf numFmtId="0" fontId="7" fillId="0" borderId="6" xfId="30" applyFont="1" applyBorder="1" applyAlignment="1">
      <alignment vertical="center"/>
    </xf>
    <xf numFmtId="0" fontId="16" fillId="0" borderId="0" xfId="30" applyFont="1" applyAlignment="1">
      <alignment horizontal="center" vertical="center"/>
    </xf>
    <xf numFmtId="176" fontId="16" fillId="0" borderId="0" xfId="30" applyNumberFormat="1" applyFont="1" applyAlignment="1">
      <alignment horizontal="right" vertical="top" wrapText="1"/>
    </xf>
    <xf numFmtId="0" fontId="12" fillId="0" borderId="0" xfId="30" applyFont="1" applyAlignment="1">
      <alignment horizontal="left" vertical="center"/>
    </xf>
    <xf numFmtId="4" fontId="16" fillId="0" borderId="0" xfId="30" applyNumberFormat="1" applyFont="1" applyAlignment="1">
      <alignment horizontal="right" vertical="center" wrapText="1"/>
    </xf>
    <xf numFmtId="4" fontId="7" fillId="0" borderId="0" xfId="30" applyNumberFormat="1" applyFont="1" applyAlignment="1">
      <alignment horizontal="right" vertical="center"/>
    </xf>
    <xf numFmtId="0" fontId="13" fillId="0" borderId="0" xfId="30" applyFont="1" applyAlignment="1">
      <alignment horizontal="left" vertical="center"/>
    </xf>
    <xf numFmtId="0" fontId="13" fillId="0" borderId="0" xfId="30" applyFont="1" applyAlignment="1">
      <alignment horizontal="left" vertical="center" indent="2"/>
    </xf>
    <xf numFmtId="0" fontId="12" fillId="0" borderId="0" xfId="30" applyFont="1" applyAlignment="1">
      <alignment horizontal="center" vertical="center"/>
    </xf>
    <xf numFmtId="4" fontId="16" fillId="0" borderId="0" xfId="30" applyNumberFormat="1" applyFont="1" applyAlignment="1">
      <alignment horizontal="right" vertical="center"/>
    </xf>
    <xf numFmtId="0" fontId="16" fillId="0" borderId="0" xfId="30" applyFont="1" applyAlignment="1">
      <alignment vertical="center"/>
    </xf>
    <xf numFmtId="165" fontId="16" fillId="0" borderId="0" xfId="30" applyNumberFormat="1" applyFont="1" applyAlignment="1">
      <alignment horizontal="right" vertical="center"/>
    </xf>
    <xf numFmtId="2" fontId="16" fillId="0" borderId="0" xfId="30" applyNumberFormat="1" applyFont="1" applyAlignment="1">
      <alignment horizontal="right" vertical="center"/>
    </xf>
    <xf numFmtId="0" fontId="12" fillId="0" borderId="0" xfId="30" applyFont="1" applyAlignment="1">
      <alignment horizontal="left" vertical="center" indent="2"/>
    </xf>
    <xf numFmtId="165" fontId="12" fillId="0" borderId="0" xfId="30" applyNumberFormat="1" applyFont="1" applyAlignment="1">
      <alignment horizontal="right" vertical="center"/>
    </xf>
    <xf numFmtId="4" fontId="7" fillId="0" borderId="0" xfId="31" applyNumberFormat="1" applyFont="1" applyAlignment="1">
      <alignment horizontal="right" vertical="center"/>
    </xf>
    <xf numFmtId="2" fontId="16" fillId="0" borderId="0" xfId="30" applyNumberFormat="1" applyFont="1" applyAlignment="1">
      <alignment horizontal="left"/>
    </xf>
    <xf numFmtId="0" fontId="17" fillId="0" borderId="0" xfId="30" applyFont="1" applyAlignment="1">
      <alignment horizontal="left" vertical="center"/>
    </xf>
    <xf numFmtId="165" fontId="16" fillId="0" borderId="0" xfId="30" applyNumberFormat="1" applyFont="1" applyAlignment="1">
      <alignment horizontal="right"/>
    </xf>
    <xf numFmtId="0" fontId="13" fillId="0" borderId="0" xfId="30" applyFont="1" applyAlignment="1">
      <alignment horizontal="right" vertical="center"/>
    </xf>
    <xf numFmtId="164" fontId="17" fillId="0" borderId="0" xfId="30" applyNumberFormat="1" applyFont="1"/>
    <xf numFmtId="0" fontId="12" fillId="0" borderId="0" xfId="30" applyFont="1" applyAlignment="1">
      <alignment vertical="center"/>
    </xf>
    <xf numFmtId="0" fontId="13" fillId="0" borderId="0" xfId="30" applyFont="1" applyAlignment="1">
      <alignment vertical="center"/>
    </xf>
    <xf numFmtId="164" fontId="12" fillId="0" borderId="0" xfId="30" applyNumberFormat="1" applyFont="1" applyAlignment="1">
      <alignment vertical="center" wrapText="1"/>
    </xf>
    <xf numFmtId="0" fontId="16" fillId="0" borderId="0" xfId="30" applyFont="1" applyAlignment="1">
      <alignment horizontal="right" vertical="center"/>
    </xf>
    <xf numFmtId="164" fontId="13" fillId="0" borderId="0" xfId="30" applyNumberFormat="1" applyFont="1" applyAlignment="1">
      <alignment wrapText="1"/>
    </xf>
    <xf numFmtId="0" fontId="13" fillId="0" borderId="0" xfId="30" applyFont="1"/>
    <xf numFmtId="0" fontId="45" fillId="0" borderId="1" xfId="30" applyFont="1" applyBorder="1"/>
    <xf numFmtId="0" fontId="14" fillId="0" borderId="1" xfId="30" applyFont="1" applyBorder="1"/>
    <xf numFmtId="0" fontId="45" fillId="0" borderId="1" xfId="30" applyFont="1" applyBorder="1" applyAlignment="1">
      <alignment horizontal="right"/>
    </xf>
    <xf numFmtId="0" fontId="3" fillId="0" borderId="1" xfId="30" applyFont="1" applyBorder="1"/>
    <xf numFmtId="0" fontId="64" fillId="0" borderId="0" xfId="30" applyFont="1" applyAlignment="1">
      <alignment vertical="center"/>
    </xf>
    <xf numFmtId="0" fontId="65" fillId="0" borderId="0" xfId="30" applyFont="1" applyAlignment="1">
      <alignment vertical="center"/>
    </xf>
    <xf numFmtId="0" fontId="19" fillId="0" borderId="0" xfId="10" applyFont="1"/>
    <xf numFmtId="0" fontId="45" fillId="0" borderId="0" xfId="0" applyFont="1" applyAlignment="1">
      <alignment vertical="center"/>
    </xf>
    <xf numFmtId="0" fontId="3" fillId="0" borderId="0" xfId="0" applyFont="1" applyAlignment="1">
      <alignment vertical="center"/>
    </xf>
    <xf numFmtId="0" fontId="12" fillId="0" borderId="0" xfId="30" applyFont="1" applyAlignment="1">
      <alignment horizontal="center" vertical="center" wrapText="1"/>
    </xf>
    <xf numFmtId="0" fontId="16" fillId="0" borderId="6" xfId="30" applyFont="1" applyBorder="1" applyAlignment="1">
      <alignment vertical="center"/>
    </xf>
    <xf numFmtId="0" fontId="10" fillId="0" borderId="0" xfId="30" applyFont="1"/>
    <xf numFmtId="2" fontId="16" fillId="0" borderId="0" xfId="30" applyNumberFormat="1" applyFont="1"/>
    <xf numFmtId="0" fontId="12" fillId="0" borderId="0" xfId="30" applyFont="1" applyAlignment="1">
      <alignment horizontal="left" vertical="top"/>
    </xf>
    <xf numFmtId="0" fontId="13" fillId="0" borderId="0" xfId="30" applyFont="1" applyAlignment="1">
      <alignment horizontal="left" vertical="top"/>
    </xf>
    <xf numFmtId="0" fontId="17" fillId="0" borderId="0" xfId="30" applyFont="1" applyAlignment="1">
      <alignment horizontal="left" vertical="top"/>
    </xf>
    <xf numFmtId="2" fontId="16" fillId="0" borderId="0" xfId="30" applyNumberFormat="1" applyFont="1" applyAlignment="1">
      <alignment horizontal="right" vertical="center" wrapText="1"/>
    </xf>
    <xf numFmtId="0" fontId="16" fillId="0" borderId="1" xfId="30" applyFont="1" applyBorder="1"/>
    <xf numFmtId="0" fontId="13" fillId="0" borderId="1" xfId="30" applyFont="1" applyBorder="1" applyAlignment="1">
      <alignment horizontal="left" vertical="center" indent="2"/>
    </xf>
    <xf numFmtId="0" fontId="17" fillId="0" borderId="1" xfId="30" applyFont="1" applyBorder="1" applyAlignment="1">
      <alignment horizontal="left" vertical="center"/>
    </xf>
    <xf numFmtId="0" fontId="12" fillId="0" borderId="1" xfId="30" applyFont="1" applyBorder="1" applyAlignment="1">
      <alignment horizontal="center" vertical="center"/>
    </xf>
    <xf numFmtId="4" fontId="16" fillId="0" borderId="1" xfId="30" applyNumberFormat="1" applyFont="1" applyBorder="1" applyAlignment="1">
      <alignment horizontal="right"/>
    </xf>
    <xf numFmtId="0" fontId="64" fillId="0" borderId="0" xfId="30" applyFont="1" applyAlignment="1">
      <alignment horizontal="right" vertical="center"/>
    </xf>
    <xf numFmtId="164" fontId="6" fillId="0" borderId="0" xfId="4" applyFont="1" applyAlignment="1">
      <alignment vertical="top"/>
    </xf>
    <xf numFmtId="0" fontId="15" fillId="0" borderId="0" xfId="0" applyFont="1"/>
    <xf numFmtId="0" fontId="7" fillId="0" borderId="0" xfId="0" applyFont="1"/>
    <xf numFmtId="0" fontId="8" fillId="0" borderId="3" xfId="0" applyFont="1" applyBorder="1" applyAlignment="1">
      <alignment horizontal="center" vertical="center" wrapText="1"/>
    </xf>
    <xf numFmtId="0" fontId="7" fillId="0" borderId="1" xfId="0" applyFont="1" applyBorder="1"/>
    <xf numFmtId="0" fontId="8" fillId="0" borderId="1" xfId="0" applyFont="1" applyBorder="1" applyAlignment="1">
      <alignment horizontal="center" vertical="center" wrapText="1"/>
    </xf>
    <xf numFmtId="0" fontId="10" fillId="0" borderId="0" xfId="0" applyFont="1" applyAlignment="1">
      <alignment vertical="center" wrapText="1"/>
    </xf>
    <xf numFmtId="0" fontId="8" fillId="0" borderId="0" xfId="0" applyFont="1" applyAlignment="1">
      <alignment horizontal="left" vertical="center" wrapText="1"/>
    </xf>
    <xf numFmtId="0" fontId="8" fillId="0" borderId="0" xfId="0" applyFont="1" applyAlignment="1">
      <alignment horizontal="left" vertical="center" wrapText="1" indent="2"/>
    </xf>
    <xf numFmtId="0" fontId="7" fillId="0" borderId="0" xfId="0" applyFont="1" applyAlignment="1">
      <alignment vertical="top" wrapText="1"/>
    </xf>
    <xf numFmtId="167" fontId="8" fillId="0" borderId="0" xfId="0" applyNumberFormat="1" applyFont="1" applyAlignment="1">
      <alignment horizontal="center" vertical="center"/>
    </xf>
    <xf numFmtId="0" fontId="8" fillId="0" borderId="0" xfId="0" applyFont="1" applyAlignment="1">
      <alignment horizontal="left" indent="2"/>
    </xf>
    <xf numFmtId="167" fontId="7" fillId="0" borderId="0" xfId="0" applyNumberFormat="1" applyFont="1" applyAlignment="1">
      <alignment horizontal="center" vertical="center"/>
    </xf>
    <xf numFmtId="0" fontId="10" fillId="0" borderId="0" xfId="0" applyFont="1" applyAlignment="1">
      <alignment horizontal="left" indent="2"/>
    </xf>
    <xf numFmtId="167" fontId="74" fillId="0" borderId="0" xfId="0" applyNumberFormat="1" applyFont="1" applyAlignment="1">
      <alignment horizontal="center" vertical="center"/>
    </xf>
    <xf numFmtId="165" fontId="74" fillId="0" borderId="0" xfId="0" applyNumberFormat="1" applyFont="1" applyAlignment="1">
      <alignment horizontal="right" vertical="center" wrapText="1"/>
    </xf>
    <xf numFmtId="165" fontId="3" fillId="0" borderId="0" xfId="0" applyNumberFormat="1" applyFont="1" applyAlignment="1">
      <alignment horizontal="right" vertical="center"/>
    </xf>
    <xf numFmtId="0" fontId="8" fillId="0" borderId="0" xfId="0" applyFont="1"/>
    <xf numFmtId="0" fontId="10" fillId="0" borderId="0" xfId="0" applyFont="1" applyAlignment="1">
      <alignment vertical="center"/>
    </xf>
    <xf numFmtId="0" fontId="6" fillId="0" borderId="0" xfId="0" applyFont="1" applyAlignment="1">
      <alignment vertical="center"/>
    </xf>
    <xf numFmtId="177" fontId="7" fillId="0" borderId="0" xfId="2" applyNumberFormat="1" applyFont="1"/>
    <xf numFmtId="167" fontId="7" fillId="0" borderId="0" xfId="0" applyNumberFormat="1" applyFont="1" applyAlignment="1">
      <alignment horizontal="center" vertical="center" wrapText="1"/>
    </xf>
    <xf numFmtId="167" fontId="74" fillId="0" borderId="0" xfId="0" applyNumberFormat="1" applyFont="1" applyAlignment="1">
      <alignment horizontal="center" vertical="center" wrapText="1"/>
    </xf>
    <xf numFmtId="0" fontId="4" fillId="0" borderId="0" xfId="3" applyFont="1" applyAlignment="1">
      <alignment vertical="center"/>
    </xf>
    <xf numFmtId="0" fontId="6" fillId="0" borderId="0" xfId="3" applyFont="1" applyAlignment="1">
      <alignment vertical="top"/>
    </xf>
    <xf numFmtId="3" fontId="8" fillId="0" borderId="0" xfId="7" applyNumberFormat="1" applyFont="1" applyAlignment="1">
      <alignment horizontal="right" vertical="top"/>
    </xf>
    <xf numFmtId="165" fontId="10" fillId="0" borderId="0" xfId="3" applyNumberFormat="1" applyFont="1" applyAlignment="1">
      <alignment horizontal="right" vertical="center"/>
    </xf>
    <xf numFmtId="169" fontId="10" fillId="0" borderId="0" xfId="7" applyNumberFormat="1" applyFont="1" applyAlignment="1">
      <alignment horizontal="right" vertical="top"/>
    </xf>
    <xf numFmtId="3" fontId="10" fillId="0" borderId="0" xfId="3" applyNumberFormat="1" applyFont="1" applyAlignment="1">
      <alignment horizontal="right" vertical="center"/>
    </xf>
    <xf numFmtId="0" fontId="10" fillId="0" borderId="0" xfId="3" applyFont="1" applyAlignment="1">
      <alignment horizontal="right" vertical="center"/>
    </xf>
    <xf numFmtId="3" fontId="7" fillId="0" borderId="0" xfId="3" applyNumberFormat="1" applyFont="1" applyAlignment="1">
      <alignment horizontal="center" vertical="center"/>
    </xf>
    <xf numFmtId="3" fontId="8" fillId="0" borderId="0" xfId="32" applyNumberFormat="1" applyFont="1" applyAlignment="1">
      <alignment horizontal="right" vertical="center"/>
    </xf>
    <xf numFmtId="3" fontId="8" fillId="0" borderId="0" xfId="33" applyNumberFormat="1" applyFont="1" applyAlignment="1">
      <alignment horizontal="right" vertical="center"/>
    </xf>
    <xf numFmtId="0" fontId="8" fillId="0" borderId="0" xfId="3" applyFont="1" applyAlignment="1">
      <alignment horizontal="left" vertical="center" indent="4"/>
    </xf>
    <xf numFmtId="3" fontId="7" fillId="0" borderId="0" xfId="32" applyNumberFormat="1" applyFont="1" applyAlignment="1">
      <alignment horizontal="right" vertical="center"/>
    </xf>
    <xf numFmtId="3" fontId="7" fillId="0" borderId="0" xfId="33" applyNumberFormat="1" applyFont="1" applyAlignment="1">
      <alignment horizontal="right" vertical="center"/>
    </xf>
    <xf numFmtId="43" fontId="7" fillId="0" borderId="0" xfId="34" applyFont="1" applyAlignment="1">
      <alignment vertical="center"/>
    </xf>
    <xf numFmtId="0" fontId="7" fillId="0" borderId="0" xfId="3" applyFont="1" applyAlignment="1">
      <alignment horizontal="left" vertical="center" indent="1"/>
    </xf>
    <xf numFmtId="0" fontId="10" fillId="0" borderId="0" xfId="3" applyFont="1" applyAlignment="1">
      <alignment horizontal="left" vertical="center" indent="2"/>
    </xf>
    <xf numFmtId="0" fontId="8" fillId="0" borderId="0" xfId="0" applyFont="1" applyAlignment="1">
      <alignment horizontal="left" vertical="center" indent="4"/>
    </xf>
    <xf numFmtId="0" fontId="8" fillId="0" borderId="0" xfId="24" applyFont="1" applyAlignment="1">
      <alignment horizontal="left" vertical="center" indent="4"/>
    </xf>
    <xf numFmtId="0" fontId="10" fillId="0" borderId="0" xfId="0" applyFont="1" applyAlignment="1">
      <alignment horizontal="left" vertical="center" indent="4"/>
    </xf>
    <xf numFmtId="0" fontId="10" fillId="0" borderId="0" xfId="0" applyFont="1" applyAlignment="1">
      <alignment horizontal="left" vertical="center" indent="3"/>
    </xf>
    <xf numFmtId="3" fontId="3" fillId="0" borderId="0" xfId="3" applyNumberFormat="1" applyFont="1" applyAlignment="1">
      <alignment vertical="center"/>
    </xf>
    <xf numFmtId="3" fontId="3" fillId="0" borderId="0" xfId="3" applyNumberFormat="1" applyFont="1" applyAlignment="1">
      <alignment horizontal="right" vertical="center"/>
    </xf>
    <xf numFmtId="0" fontId="10" fillId="0" borderId="3" xfId="3" applyFont="1" applyBorder="1" applyAlignment="1">
      <alignment vertical="center"/>
    </xf>
    <xf numFmtId="1" fontId="7" fillId="0" borderId="3" xfId="3" applyNumberFormat="1" applyFont="1" applyBorder="1" applyAlignment="1">
      <alignment horizontal="right" indent="1"/>
    </xf>
    <xf numFmtId="3" fontId="7" fillId="0" borderId="3" xfId="3" applyNumberFormat="1" applyFont="1" applyBorder="1" applyAlignment="1">
      <alignment vertical="center"/>
    </xf>
    <xf numFmtId="3" fontId="7" fillId="0" borderId="3" xfId="3" applyNumberFormat="1" applyFont="1" applyBorder="1" applyAlignment="1">
      <alignment horizontal="right" vertical="center"/>
    </xf>
    <xf numFmtId="3" fontId="3" fillId="0" borderId="3" xfId="3" applyNumberFormat="1" applyFont="1" applyBorder="1" applyAlignment="1">
      <alignment horizontal="right" vertical="center"/>
    </xf>
    <xf numFmtId="3" fontId="10" fillId="0" borderId="0" xfId="7" applyNumberFormat="1" applyFont="1" applyAlignment="1">
      <alignment horizontal="right" vertical="top"/>
    </xf>
    <xf numFmtId="3" fontId="10" fillId="0" borderId="0" xfId="7" applyNumberFormat="1" applyFont="1" applyAlignment="1">
      <alignment horizontal="right" vertical="center"/>
    </xf>
    <xf numFmtId="0" fontId="3" fillId="0" borderId="1" xfId="3" applyFont="1" applyBorder="1" applyAlignment="1">
      <alignment vertical="center"/>
    </xf>
    <xf numFmtId="3" fontId="3" fillId="0" borderId="1" xfId="3" applyNumberFormat="1" applyFont="1" applyBorder="1" applyAlignment="1">
      <alignment vertical="center"/>
    </xf>
    <xf numFmtId="0" fontId="4" fillId="0" borderId="0" xfId="3" applyFont="1"/>
    <xf numFmtId="0" fontId="6" fillId="0" borderId="0" xfId="3" applyFont="1"/>
    <xf numFmtId="4" fontId="8" fillId="0" borderId="0" xfId="3" applyNumberFormat="1" applyFont="1" applyAlignment="1">
      <alignment horizontal="right" vertical="center"/>
    </xf>
    <xf numFmtId="4" fontId="7" fillId="0" borderId="0" xfId="3" applyNumberFormat="1" applyFont="1" applyAlignment="1">
      <alignment horizontal="right" vertical="center"/>
    </xf>
    <xf numFmtId="4" fontId="8" fillId="0" borderId="0" xfId="7" applyNumberFormat="1" applyFont="1" applyAlignment="1">
      <alignment horizontal="right" vertical="center"/>
    </xf>
    <xf numFmtId="4" fontId="10" fillId="0" borderId="0" xfId="7" applyNumberFormat="1" applyFont="1" applyAlignment="1">
      <alignment horizontal="right" vertical="center"/>
    </xf>
    <xf numFmtId="4" fontId="10" fillId="0" borderId="0" xfId="3" applyNumberFormat="1" applyFont="1" applyAlignment="1">
      <alignment horizontal="right" vertical="center"/>
    </xf>
    <xf numFmtId="4" fontId="7" fillId="0" borderId="0" xfId="3" applyNumberFormat="1" applyFont="1" applyAlignment="1">
      <alignment horizontal="center" vertical="center"/>
    </xf>
    <xf numFmtId="4" fontId="3" fillId="0" borderId="1" xfId="3" applyNumberFormat="1" applyFont="1" applyBorder="1" applyAlignment="1">
      <alignment horizontal="right" vertical="center"/>
    </xf>
    <xf numFmtId="165" fontId="26" fillId="0" borderId="0" xfId="3" applyNumberFormat="1" applyFont="1" applyAlignment="1">
      <alignment horizontal="right" vertical="center"/>
    </xf>
    <xf numFmtId="4" fontId="26" fillId="0" borderId="0" xfId="3" applyNumberFormat="1" applyFont="1" applyAlignment="1">
      <alignment horizontal="right" vertical="center"/>
    </xf>
    <xf numFmtId="0" fontId="42" fillId="0" borderId="0" xfId="3" applyFont="1" applyAlignment="1">
      <alignment vertical="center"/>
    </xf>
    <xf numFmtId="0" fontId="36" fillId="0" borderId="0" xfId="3" applyFont="1"/>
    <xf numFmtId="0" fontId="3" fillId="0" borderId="0" xfId="24" applyFont="1"/>
    <xf numFmtId="0" fontId="4" fillId="0" borderId="0" xfId="24" applyFont="1" applyAlignment="1">
      <alignment horizontal="right" vertical="center"/>
    </xf>
    <xf numFmtId="165" fontId="4" fillId="0" borderId="0" xfId="24" applyNumberFormat="1" applyFont="1"/>
    <xf numFmtId="0" fontId="6" fillId="0" borderId="0" xfId="24" applyFont="1" applyAlignment="1">
      <alignment horizontal="right" vertical="center"/>
    </xf>
    <xf numFmtId="0" fontId="3" fillId="0" borderId="0" xfId="24" applyFont="1" applyAlignment="1">
      <alignment vertical="center"/>
    </xf>
    <xf numFmtId="0" fontId="7" fillId="0" borderId="1" xfId="24" applyFont="1" applyBorder="1" applyAlignment="1">
      <alignment vertical="center"/>
    </xf>
    <xf numFmtId="0" fontId="7" fillId="0" borderId="0" xfId="24" applyFont="1"/>
    <xf numFmtId="0" fontId="7" fillId="0" borderId="0" xfId="24" applyFont="1" applyAlignment="1">
      <alignment horizontal="center" vertical="center"/>
    </xf>
    <xf numFmtId="0" fontId="8" fillId="0" borderId="0" xfId="24" applyFont="1" applyAlignment="1">
      <alignment horizontal="center" vertical="center"/>
    </xf>
    <xf numFmtId="0" fontId="7" fillId="0" borderId="0" xfId="24" applyFont="1" applyAlignment="1">
      <alignment horizontal="right"/>
    </xf>
    <xf numFmtId="0" fontId="8" fillId="0" borderId="0" xfId="24" applyFont="1" applyAlignment="1">
      <alignment vertical="center"/>
    </xf>
    <xf numFmtId="0" fontId="8" fillId="0" borderId="0" xfId="24" applyFont="1" applyAlignment="1">
      <alignment horizontal="left" vertical="center" indent="2"/>
    </xf>
    <xf numFmtId="165" fontId="7" fillId="0" borderId="0" xfId="24" applyNumberFormat="1" applyFont="1" applyAlignment="1">
      <alignment horizontal="right"/>
    </xf>
    <xf numFmtId="165" fontId="7" fillId="0" borderId="0" xfId="24" applyNumberFormat="1" applyFont="1" applyAlignment="1">
      <alignment horizontal="right" vertical="center"/>
    </xf>
    <xf numFmtId="3" fontId="7" fillId="0" borderId="0" xfId="24" applyNumberFormat="1" applyFont="1" applyAlignment="1">
      <alignment horizontal="right"/>
    </xf>
    <xf numFmtId="1" fontId="7" fillId="0" borderId="0" xfId="24" applyNumberFormat="1" applyFont="1" applyAlignment="1">
      <alignment horizontal="right" indent="1"/>
    </xf>
    <xf numFmtId="165" fontId="7" fillId="0" borderId="0" xfId="24" applyNumberFormat="1" applyFont="1" applyAlignment="1">
      <alignment horizontal="right" vertical="center" indent="1"/>
    </xf>
    <xf numFmtId="0" fontId="8" fillId="0" borderId="0" xfId="24" applyFont="1" applyAlignment="1">
      <alignment horizontal="left" vertical="center" indent="1"/>
    </xf>
    <xf numFmtId="0" fontId="3" fillId="0" borderId="0" xfId="24" applyFont="1" applyAlignment="1">
      <alignment horizontal="right"/>
    </xf>
    <xf numFmtId="0" fontId="3" fillId="0" borderId="0" xfId="24" applyFont="1" applyAlignment="1">
      <alignment horizontal="right" vertical="center"/>
    </xf>
    <xf numFmtId="165" fontId="3" fillId="0" borderId="0" xfId="24" applyNumberFormat="1" applyFont="1" applyAlignment="1">
      <alignment horizontal="right" vertical="center" indent="1"/>
    </xf>
    <xf numFmtId="0" fontId="3" fillId="0" borderId="4" xfId="24" applyFont="1" applyBorder="1" applyAlignment="1">
      <alignment vertical="center"/>
    </xf>
    <xf numFmtId="0" fontId="3" fillId="0" borderId="4" xfId="24" applyFont="1" applyBorder="1" applyAlignment="1">
      <alignment horizontal="right" vertical="center"/>
    </xf>
    <xf numFmtId="0" fontId="20" fillId="0" borderId="0" xfId="24" applyFont="1" applyAlignment="1">
      <alignment horizontal="right" vertical="center"/>
    </xf>
    <xf numFmtId="0" fontId="20" fillId="0" borderId="0" xfId="12" applyFont="1" applyAlignment="1">
      <alignment horizontal="right" vertical="center"/>
    </xf>
    <xf numFmtId="0" fontId="18" fillId="0" borderId="0" xfId="24" applyFont="1" applyAlignment="1">
      <alignment vertical="center"/>
    </xf>
    <xf numFmtId="0" fontId="20" fillId="0" borderId="0" xfId="24" applyFont="1" applyAlignment="1">
      <alignment horizontal="left" vertical="center"/>
    </xf>
    <xf numFmtId="0" fontId="18" fillId="0" borderId="0" xfId="24" applyFont="1" applyAlignment="1">
      <alignment horizontal="left"/>
    </xf>
    <xf numFmtId="0" fontId="20" fillId="0" borderId="0" xfId="24" applyFont="1" applyAlignment="1">
      <alignment vertical="center" wrapText="1"/>
    </xf>
    <xf numFmtId="0" fontId="3" fillId="2" borderId="0" xfId="24" applyFont="1" applyFill="1"/>
    <xf numFmtId="0" fontId="19" fillId="0" borderId="0" xfId="24" applyFont="1" applyAlignment="1">
      <alignment horizontal="left"/>
    </xf>
    <xf numFmtId="0" fontId="8" fillId="0" borderId="0" xfId="24" applyFont="1" applyAlignment="1">
      <alignment horizontal="right"/>
    </xf>
    <xf numFmtId="3" fontId="8" fillId="0" borderId="0" xfId="11" applyNumberFormat="1" applyFont="1" applyAlignment="1">
      <alignment horizontal="right" vertical="center"/>
    </xf>
    <xf numFmtId="3" fontId="8" fillId="0" borderId="0" xfId="24" applyNumberFormat="1" applyFont="1" applyAlignment="1">
      <alignment horizontal="right"/>
    </xf>
    <xf numFmtId="3" fontId="7" fillId="0" borderId="0" xfId="24" quotePrefix="1" applyNumberFormat="1" applyFont="1" applyAlignment="1">
      <alignment horizontal="right"/>
    </xf>
    <xf numFmtId="3" fontId="7" fillId="0" borderId="0" xfId="24" quotePrefix="1" applyNumberFormat="1" applyFont="1" applyAlignment="1">
      <alignment horizontal="right" vertical="center"/>
    </xf>
    <xf numFmtId="3" fontId="7" fillId="0" borderId="0" xfId="11" quotePrefix="1" applyNumberFormat="1" applyFont="1" applyAlignment="1">
      <alignment horizontal="right" vertical="center"/>
    </xf>
    <xf numFmtId="3" fontId="3" fillId="0" borderId="0" xfId="24" applyNumberFormat="1" applyFont="1" applyAlignment="1">
      <alignment horizontal="right" vertical="center"/>
    </xf>
    <xf numFmtId="0" fontId="3" fillId="0" borderId="1" xfId="24" applyFont="1" applyBorder="1" applyAlignment="1">
      <alignment vertical="center"/>
    </xf>
    <xf numFmtId="0" fontId="3" fillId="0" borderId="1" xfId="24" applyFont="1" applyBorder="1" applyAlignment="1">
      <alignment horizontal="right" vertical="center"/>
    </xf>
    <xf numFmtId="0" fontId="18" fillId="0" borderId="0" xfId="24" applyFont="1"/>
    <xf numFmtId="0" fontId="19" fillId="0" borderId="0" xfId="24" applyFont="1"/>
    <xf numFmtId="0" fontId="8" fillId="0" borderId="0" xfId="24" applyFont="1" applyAlignment="1">
      <alignment horizontal="right" vertical="center"/>
    </xf>
    <xf numFmtId="0" fontId="7" fillId="0" borderId="0" xfId="24" applyFont="1" applyAlignment="1">
      <alignment horizontal="right" vertical="center"/>
    </xf>
    <xf numFmtId="0" fontId="4" fillId="0" borderId="0" xfId="24" applyFont="1" applyAlignment="1">
      <alignment horizontal="right" vertical="top"/>
    </xf>
    <xf numFmtId="0" fontId="6" fillId="0" borderId="0" xfId="24" applyFont="1" applyAlignment="1">
      <alignment horizontal="right" vertical="top"/>
    </xf>
    <xf numFmtId="3" fontId="7" fillId="0" borderId="0" xfId="11" quotePrefix="1" applyNumberFormat="1" applyFont="1" applyAlignment="1">
      <alignment horizontal="right"/>
    </xf>
    <xf numFmtId="0" fontId="10" fillId="0" borderId="0" xfId="24" applyFont="1" applyAlignment="1">
      <alignment vertical="center"/>
    </xf>
    <xf numFmtId="164" fontId="18" fillId="0" borderId="0" xfId="35" applyFont="1"/>
    <xf numFmtId="164" fontId="20" fillId="0" borderId="0" xfId="35" applyFont="1"/>
    <xf numFmtId="164" fontId="20" fillId="0" borderId="0" xfId="35" applyFont="1" applyAlignment="1">
      <alignment horizontal="center"/>
    </xf>
    <xf numFmtId="167" fontId="20" fillId="0" borderId="0" xfId="35" applyNumberFormat="1" applyFont="1"/>
    <xf numFmtId="164" fontId="75" fillId="0" borderId="0" xfId="35" applyFont="1"/>
    <xf numFmtId="164" fontId="75" fillId="0" borderId="0" xfId="35" applyFont="1" applyAlignment="1">
      <alignment horizontal="center"/>
    </xf>
    <xf numFmtId="167" fontId="75" fillId="0" borderId="0" xfId="35" applyNumberFormat="1" applyFont="1"/>
    <xf numFmtId="164" fontId="19" fillId="0" borderId="0" xfId="35" applyFont="1" applyAlignment="1">
      <alignment horizontal="left" vertical="top"/>
    </xf>
    <xf numFmtId="164" fontId="18" fillId="0" borderId="0" xfId="35" applyFont="1" applyAlignment="1">
      <alignment horizontal="left" vertical="center"/>
    </xf>
    <xf numFmtId="0" fontId="7" fillId="0" borderId="0" xfId="0" applyFont="1" applyAlignment="1">
      <alignment horizontal="left" vertical="top"/>
    </xf>
    <xf numFmtId="0" fontId="7" fillId="0" borderId="0" xfId="0" applyFont="1" applyAlignment="1">
      <alignment horizontal="left" vertical="top" wrapText="1"/>
    </xf>
    <xf numFmtId="0" fontId="8" fillId="0" borderId="0" xfId="0" applyFont="1" applyAlignment="1">
      <alignment horizontal="left" vertical="top"/>
    </xf>
    <xf numFmtId="0" fontId="4" fillId="0" borderId="0" xfId="0" applyFont="1" applyAlignment="1">
      <alignment horizontal="right" vertical="center"/>
    </xf>
    <xf numFmtId="0" fontId="4" fillId="0" borderId="0" xfId="36" applyFont="1" applyAlignment="1">
      <alignment vertical="center"/>
    </xf>
    <xf numFmtId="0" fontId="4" fillId="0" borderId="0" xfId="36" applyFont="1"/>
    <xf numFmtId="0" fontId="10" fillId="0" borderId="0" xfId="0" applyFont="1" applyAlignment="1">
      <alignment horizontal="left" vertical="top"/>
    </xf>
    <xf numFmtId="0" fontId="6" fillId="0" borderId="0" xfId="36" applyFont="1" applyAlignment="1">
      <alignment vertical="center"/>
    </xf>
    <xf numFmtId="0" fontId="6" fillId="0" borderId="0" xfId="36" applyFont="1" applyAlignment="1">
      <alignment horizontal="right" vertical="center"/>
    </xf>
    <xf numFmtId="0" fontId="7" fillId="0" borderId="0" xfId="36" applyFont="1" applyAlignment="1">
      <alignment vertical="center"/>
    </xf>
    <xf numFmtId="0" fontId="8" fillId="0" borderId="0" xfId="36" applyFont="1" applyAlignment="1">
      <alignment vertical="center"/>
    </xf>
    <xf numFmtId="0" fontId="8" fillId="0" borderId="0" xfId="36" applyFont="1" applyAlignment="1">
      <alignment horizontal="right" vertical="center"/>
    </xf>
    <xf numFmtId="0" fontId="7" fillId="0" borderId="0" xfId="36" applyFont="1" applyAlignment="1">
      <alignment horizontal="center" vertical="center"/>
    </xf>
    <xf numFmtId="0" fontId="8" fillId="0" borderId="0" xfId="36" applyFont="1" applyAlignment="1">
      <alignment vertical="center" wrapText="1"/>
    </xf>
    <xf numFmtId="0" fontId="8" fillId="0" borderId="3" xfId="36" applyFont="1" applyBorder="1" applyAlignment="1">
      <alignment vertical="center" wrapText="1"/>
    </xf>
    <xf numFmtId="0" fontId="8" fillId="0" borderId="3" xfId="36" applyFont="1" applyBorder="1" applyAlignment="1">
      <alignment horizontal="center" vertical="center" wrapText="1"/>
    </xf>
    <xf numFmtId="0" fontId="8" fillId="0" borderId="3" xfId="36" applyFont="1" applyBorder="1" applyAlignment="1">
      <alignment vertical="center"/>
    </xf>
    <xf numFmtId="0" fontId="8" fillId="4" borderId="0" xfId="36" applyFont="1" applyFill="1" applyAlignment="1">
      <alignment vertical="center"/>
    </xf>
    <xf numFmtId="0" fontId="8" fillId="0" borderId="0" xfId="36" applyFont="1" applyAlignment="1">
      <alignment vertical="top" wrapText="1"/>
    </xf>
    <xf numFmtId="0" fontId="8" fillId="0" borderId="1" xfId="36" applyFont="1" applyBorder="1" applyAlignment="1">
      <alignment vertical="top" wrapText="1"/>
    </xf>
    <xf numFmtId="0" fontId="8" fillId="0" borderId="1" xfId="36" applyFont="1" applyBorder="1" applyAlignment="1">
      <alignment horizontal="right" vertical="center" wrapText="1"/>
    </xf>
    <xf numFmtId="0" fontId="7" fillId="4" borderId="0" xfId="36" applyFont="1" applyFill="1" applyAlignment="1">
      <alignment vertical="center"/>
    </xf>
    <xf numFmtId="0" fontId="7" fillId="0" borderId="0" xfId="0" applyFont="1" applyAlignment="1">
      <alignment horizontal="left"/>
    </xf>
    <xf numFmtId="0" fontId="8" fillId="0" borderId="0" xfId="36" applyFont="1" applyAlignment="1">
      <alignment horizontal="center" vertical="top" wrapText="1"/>
    </xf>
    <xf numFmtId="0" fontId="8" fillId="0" borderId="0" xfId="36" applyFont="1" applyAlignment="1">
      <alignment horizontal="right" vertical="top" wrapText="1"/>
    </xf>
    <xf numFmtId="169" fontId="7" fillId="0" borderId="0" xfId="7" applyNumberFormat="1" applyFont="1" applyAlignment="1">
      <alignment horizontal="right" wrapText="1"/>
    </xf>
    <xf numFmtId="3" fontId="7" fillId="0" borderId="0" xfId="7" applyNumberFormat="1" applyFont="1" applyAlignment="1">
      <alignment horizontal="right" vertical="center" wrapText="1"/>
    </xf>
    <xf numFmtId="3" fontId="10" fillId="0" borderId="0" xfId="7" applyNumberFormat="1" applyFont="1" applyAlignment="1">
      <alignment horizontal="right" vertical="center" wrapText="1"/>
    </xf>
    <xf numFmtId="14" fontId="10" fillId="0" borderId="0" xfId="0" applyNumberFormat="1" applyFont="1" applyAlignment="1">
      <alignment horizontal="left" vertical="top"/>
    </xf>
    <xf numFmtId="3" fontId="7" fillId="0" borderId="0" xfId="36" applyNumberFormat="1" applyFont="1" applyAlignment="1">
      <alignment horizontal="right" vertical="center" wrapText="1"/>
    </xf>
    <xf numFmtId="3" fontId="10" fillId="0" borderId="0" xfId="36" applyNumberFormat="1" applyFont="1" applyAlignment="1">
      <alignment horizontal="right" vertical="center" wrapText="1"/>
    </xf>
    <xf numFmtId="0" fontId="32" fillId="0" borderId="0" xfId="0" applyFont="1" applyAlignment="1">
      <alignment horizontal="left" vertical="top"/>
    </xf>
    <xf numFmtId="3" fontId="32" fillId="0" borderId="0" xfId="7" applyNumberFormat="1" applyFont="1" applyAlignment="1">
      <alignment horizontal="right" vertical="center" wrapText="1"/>
    </xf>
    <xf numFmtId="0" fontId="39" fillId="0" borderId="0" xfId="0" applyFont="1" applyAlignment="1">
      <alignment horizontal="left" vertical="top"/>
    </xf>
    <xf numFmtId="3" fontId="10" fillId="0" borderId="0" xfId="0" applyNumberFormat="1" applyFont="1" applyAlignment="1">
      <alignment horizontal="right" vertical="center"/>
    </xf>
    <xf numFmtId="3" fontId="7" fillId="0" borderId="0" xfId="36" applyNumberFormat="1" applyFont="1" applyAlignment="1">
      <alignment vertical="center"/>
    </xf>
    <xf numFmtId="0" fontId="20" fillId="0" borderId="0" xfId="0" applyFont="1" applyAlignment="1">
      <alignment horizontal="left" vertical="top"/>
    </xf>
    <xf numFmtId="3" fontId="7" fillId="0" borderId="1" xfId="36" applyNumberFormat="1" applyFont="1" applyBorder="1" applyAlignment="1">
      <alignment horizontal="right" vertical="center"/>
    </xf>
    <xf numFmtId="0" fontId="7" fillId="0" borderId="1" xfId="36" applyFont="1" applyBorder="1" applyAlignment="1">
      <alignment vertical="center"/>
    </xf>
    <xf numFmtId="0" fontId="20" fillId="0" borderId="0" xfId="36" applyFont="1" applyAlignment="1">
      <alignment vertical="center"/>
    </xf>
    <xf numFmtId="178" fontId="19" fillId="0" borderId="0" xfId="37" applyFont="1" applyAlignment="1">
      <alignment horizontal="right" vertical="top"/>
    </xf>
    <xf numFmtId="0" fontId="18" fillId="0" borderId="0" xfId="36" applyFont="1" applyAlignment="1">
      <alignment vertical="center"/>
    </xf>
    <xf numFmtId="0" fontId="20" fillId="0" borderId="0" xfId="0" applyFont="1" applyAlignment="1">
      <alignment horizontal="left" vertical="top" wrapText="1"/>
    </xf>
    <xf numFmtId="0" fontId="19" fillId="0" borderId="0" xfId="36" applyFont="1" applyAlignment="1">
      <alignment vertical="center"/>
    </xf>
    <xf numFmtId="0" fontId="16" fillId="0" borderId="0" xfId="0" applyFont="1" applyAlignment="1">
      <alignment horizontal="left" indent="1"/>
    </xf>
    <xf numFmtId="0" fontId="16" fillId="0" borderId="0" xfId="0" applyFont="1" applyAlignment="1">
      <alignment horizontal="center"/>
    </xf>
    <xf numFmtId="0" fontId="12" fillId="0" borderId="0" xfId="0" applyFont="1" applyAlignment="1">
      <alignment horizontal="right" indent="1"/>
    </xf>
    <xf numFmtId="0" fontId="16" fillId="0" borderId="0" xfId="0" applyFont="1" applyAlignment="1">
      <alignment horizontal="right" indent="1"/>
    </xf>
    <xf numFmtId="0" fontId="16" fillId="0" borderId="0" xfId="0" applyFont="1" applyAlignment="1">
      <alignment horizontal="right" indent="2"/>
    </xf>
    <xf numFmtId="0" fontId="4" fillId="0" borderId="0" xfId="0" applyFont="1" applyAlignment="1">
      <alignment horizontal="right"/>
    </xf>
    <xf numFmtId="0" fontId="4" fillId="0" borderId="0" xfId="0" applyFont="1" applyAlignment="1">
      <alignment vertical="top"/>
    </xf>
    <xf numFmtId="0" fontId="45" fillId="0" borderId="0" xfId="0" applyFont="1" applyAlignment="1">
      <alignment horizontal="center"/>
    </xf>
    <xf numFmtId="0" fontId="14" fillId="0" borderId="0" xfId="0" applyFont="1" applyAlignment="1">
      <alignment horizontal="right" indent="1"/>
    </xf>
    <xf numFmtId="0" fontId="6" fillId="0" borderId="0" xfId="0" applyFont="1" applyAlignment="1">
      <alignment horizontal="right" vertical="center"/>
    </xf>
    <xf numFmtId="0" fontId="16" fillId="0" borderId="1" xfId="0" applyFont="1" applyBorder="1" applyAlignment="1">
      <alignment horizontal="center"/>
    </xf>
    <xf numFmtId="0" fontId="12" fillId="0" borderId="1" xfId="0" applyFont="1" applyBorder="1" applyAlignment="1">
      <alignment horizontal="right" indent="1"/>
    </xf>
    <xf numFmtId="0" fontId="10" fillId="0" borderId="1" xfId="0" applyFont="1" applyBorder="1"/>
    <xf numFmtId="0" fontId="10" fillId="0" borderId="1" xfId="0" applyFont="1" applyBorder="1" applyAlignment="1">
      <alignment vertical="top"/>
    </xf>
    <xf numFmtId="0" fontId="10" fillId="0" borderId="0" xfId="0" applyFont="1"/>
    <xf numFmtId="0" fontId="10" fillId="0" borderId="0" xfId="0" applyFont="1" applyAlignment="1">
      <alignment horizontal="left"/>
    </xf>
    <xf numFmtId="0" fontId="10" fillId="0" borderId="0" xfId="0" applyFont="1" applyAlignment="1">
      <alignment horizontal="left" wrapText="1"/>
    </xf>
    <xf numFmtId="0" fontId="8" fillId="0" borderId="0" xfId="0" applyFont="1" applyAlignment="1">
      <alignment horizontal="center"/>
    </xf>
    <xf numFmtId="49" fontId="12" fillId="0" borderId="0" xfId="0" applyNumberFormat="1" applyFont="1" applyAlignment="1">
      <alignment horizontal="right"/>
    </xf>
    <xf numFmtId="49" fontId="12" fillId="0" borderId="0" xfId="0" applyNumberFormat="1" applyFont="1" applyAlignment="1">
      <alignment horizontal="right" wrapText="1"/>
    </xf>
    <xf numFmtId="0" fontId="12" fillId="0" borderId="0" xfId="0" applyFont="1" applyAlignment="1">
      <alignment horizontal="right" wrapText="1"/>
    </xf>
    <xf numFmtId="0" fontId="12" fillId="0" borderId="0" xfId="0" applyFont="1"/>
    <xf numFmtId="0" fontId="10" fillId="0" borderId="1" xfId="0" applyFont="1" applyBorder="1" applyAlignment="1">
      <alignment horizontal="left" vertical="top"/>
    </xf>
    <xf numFmtId="0" fontId="10" fillId="0" borderId="1" xfId="0" applyFont="1" applyBorder="1" applyAlignment="1">
      <alignment horizontal="left" vertical="top" wrapText="1"/>
    </xf>
    <xf numFmtId="0" fontId="10" fillId="0" borderId="1" xfId="0" applyFont="1" applyBorder="1" applyAlignment="1">
      <alignment horizontal="center" vertical="top"/>
    </xf>
    <xf numFmtId="0" fontId="13" fillId="0" borderId="1" xfId="0" applyFont="1" applyBorder="1" applyAlignment="1">
      <alignment horizontal="right" vertical="top" wrapText="1"/>
    </xf>
    <xf numFmtId="49" fontId="13" fillId="0" borderId="1" xfId="0" applyNumberFormat="1" applyFont="1" applyBorder="1" applyAlignment="1">
      <alignment horizontal="right" vertical="top"/>
    </xf>
    <xf numFmtId="49" fontId="13" fillId="0" borderId="1" xfId="0" applyNumberFormat="1" applyFont="1" applyBorder="1" applyAlignment="1">
      <alignment horizontal="right" vertical="top" wrapText="1"/>
    </xf>
    <xf numFmtId="0" fontId="12" fillId="0" borderId="0" xfId="0" applyFont="1" applyAlignment="1">
      <alignment vertical="top"/>
    </xf>
    <xf numFmtId="0" fontId="16" fillId="0" borderId="0" xfId="0" applyFont="1" applyAlignment="1">
      <alignment vertical="top"/>
    </xf>
    <xf numFmtId="0" fontId="78" fillId="0" borderId="0" xfId="0" applyFont="1"/>
    <xf numFmtId="0" fontId="78" fillId="0" borderId="0" xfId="38" applyFont="1" applyAlignment="1">
      <alignment vertical="center"/>
    </xf>
    <xf numFmtId="3" fontId="78" fillId="0" borderId="0" xfId="0" applyNumberFormat="1" applyFont="1" applyAlignment="1">
      <alignment horizontal="right" vertical="center" indent="1"/>
    </xf>
    <xf numFmtId="0" fontId="12" fillId="0" borderId="0" xfId="38" applyFont="1" applyAlignment="1">
      <alignment vertical="center"/>
    </xf>
    <xf numFmtId="3" fontId="12" fillId="0" borderId="0" xfId="0" applyNumberFormat="1" applyFont="1" applyAlignment="1">
      <alignment horizontal="right" vertical="center"/>
    </xf>
    <xf numFmtId="0" fontId="78" fillId="0" borderId="0" xfId="38" applyFont="1" applyAlignment="1">
      <alignment horizontal="left" vertical="center" indent="1"/>
    </xf>
    <xf numFmtId="0" fontId="7" fillId="0" borderId="0" xfId="0" applyFont="1" applyAlignment="1">
      <alignment horizontal="center" vertical="center"/>
    </xf>
    <xf numFmtId="3" fontId="7" fillId="0" borderId="0" xfId="0" applyNumberFormat="1" applyFont="1" applyAlignment="1">
      <alignment horizontal="right" vertical="center"/>
    </xf>
    <xf numFmtId="0" fontId="79" fillId="0" borderId="0" xfId="0" applyFont="1"/>
    <xf numFmtId="0" fontId="7" fillId="0" borderId="0" xfId="38" applyFont="1" applyAlignment="1">
      <alignment horizontal="left" vertical="center" indent="1"/>
    </xf>
    <xf numFmtId="0" fontId="79" fillId="0" borderId="0" xfId="38" applyFont="1" applyAlignment="1">
      <alignment horizontal="left" vertical="center" indent="1"/>
    </xf>
    <xf numFmtId="3" fontId="79" fillId="0" borderId="0" xfId="0" applyNumberFormat="1" applyFont="1"/>
    <xf numFmtId="0" fontId="16" fillId="0" borderId="0" xfId="0" applyFont="1" applyAlignment="1">
      <alignment horizontal="left" vertical="center" indent="1"/>
    </xf>
    <xf numFmtId="3" fontId="16" fillId="0" borderId="0" xfId="0" applyNumberFormat="1" applyFont="1"/>
    <xf numFmtId="176" fontId="7" fillId="0" borderId="0" xfId="29" applyNumberFormat="1" applyFont="1" applyAlignment="1">
      <alignment horizontal="left" vertical="center" indent="1"/>
    </xf>
    <xf numFmtId="0" fontId="16" fillId="0" borderId="0" xfId="0" applyFont="1" applyAlignment="1">
      <alignment horizontal="left" vertical="center" wrapText="1" indent="1"/>
    </xf>
    <xf numFmtId="0" fontId="7" fillId="0" borderId="0" xfId="39" applyFont="1" applyAlignment="1">
      <alignment horizontal="left" vertical="center" indent="1"/>
    </xf>
    <xf numFmtId="0" fontId="7" fillId="0" borderId="0" xfId="40" applyFont="1" applyAlignment="1">
      <alignment horizontal="left" vertical="center" wrapText="1" indent="1"/>
    </xf>
    <xf numFmtId="0" fontId="7" fillId="0" borderId="0" xfId="0" applyFont="1" applyAlignment="1">
      <alignment horizontal="left" vertical="center" indent="1"/>
    </xf>
    <xf numFmtId="3" fontId="16" fillId="0" borderId="0" xfId="0" applyNumberFormat="1" applyFont="1" applyAlignment="1">
      <alignment horizontal="right" vertical="center" wrapText="1"/>
    </xf>
    <xf numFmtId="0" fontId="16" fillId="0" borderId="1" xfId="0" applyFont="1" applyBorder="1" applyAlignment="1">
      <alignment horizontal="left" indent="1"/>
    </xf>
    <xf numFmtId="3" fontId="16" fillId="0" borderId="1" xfId="0" applyNumberFormat="1" applyFont="1" applyBorder="1" applyAlignment="1">
      <alignment horizontal="right" vertical="center"/>
    </xf>
    <xf numFmtId="0" fontId="57" fillId="0" borderId="0" xfId="0" applyFont="1"/>
    <xf numFmtId="0" fontId="57" fillId="0" borderId="0" xfId="0" applyFont="1" applyAlignment="1">
      <alignment horizontal="center"/>
    </xf>
    <xf numFmtId="0" fontId="18" fillId="0" borderId="0" xfId="41" applyFont="1" applyAlignment="1">
      <alignment horizontal="right"/>
    </xf>
    <xf numFmtId="0" fontId="18" fillId="0" borderId="3" xfId="41" applyFont="1" applyBorder="1" applyAlignment="1">
      <alignment horizontal="right"/>
    </xf>
    <xf numFmtId="0" fontId="19" fillId="0" borderId="0" xfId="0" applyFont="1" applyAlignment="1">
      <alignment horizontal="right" vertical="top"/>
    </xf>
    <xf numFmtId="0" fontId="64" fillId="0" borderId="0" xfId="0" applyFont="1"/>
    <xf numFmtId="0" fontId="64" fillId="0" borderId="0" xfId="0" quotePrefix="1" applyFont="1"/>
    <xf numFmtId="0" fontId="64" fillId="0" borderId="0" xfId="0" applyFont="1" applyAlignment="1">
      <alignment horizontal="left" indent="1"/>
    </xf>
    <xf numFmtId="0" fontId="64" fillId="0" borderId="0" xfId="0" applyFont="1" applyAlignment="1">
      <alignment horizontal="center"/>
    </xf>
    <xf numFmtId="0" fontId="64" fillId="0" borderId="0" xfId="0" applyFont="1" applyAlignment="1">
      <alignment horizontal="left" vertical="top" indent="1"/>
    </xf>
    <xf numFmtId="0" fontId="65" fillId="0" borderId="0" xfId="0" applyFont="1" applyAlignment="1">
      <alignment horizontal="left" vertical="top"/>
    </xf>
    <xf numFmtId="0" fontId="65" fillId="0" borderId="0" xfId="0" applyFont="1" applyAlignment="1">
      <alignment horizontal="center" vertical="top"/>
    </xf>
    <xf numFmtId="0" fontId="57" fillId="0" borderId="0" xfId="0" applyFont="1" applyAlignment="1">
      <alignment horizontal="right" indent="2"/>
    </xf>
    <xf numFmtId="0" fontId="57" fillId="0" borderId="0" xfId="0" applyFont="1" applyAlignment="1">
      <alignment horizontal="right" indent="1"/>
    </xf>
    <xf numFmtId="0" fontId="65" fillId="0" borderId="0" xfId="0" applyFont="1" applyAlignment="1">
      <alignment horizontal="left" vertical="top" indent="1"/>
    </xf>
    <xf numFmtId="0" fontId="64" fillId="0" borderId="0" xfId="0" applyFont="1" applyAlignment="1">
      <alignment horizontal="left" vertical="center"/>
    </xf>
    <xf numFmtId="0" fontId="57" fillId="0" borderId="0" xfId="0" applyFont="1" applyAlignment="1">
      <alignment horizontal="left" vertical="center"/>
    </xf>
    <xf numFmtId="0" fontId="57" fillId="0" borderId="0" xfId="0" applyFont="1" applyAlignment="1">
      <alignment horizontal="center" vertical="center"/>
    </xf>
    <xf numFmtId="0" fontId="64" fillId="0" borderId="0" xfId="0" applyFont="1" applyAlignment="1">
      <alignment horizontal="right" vertical="center"/>
    </xf>
    <xf numFmtId="0" fontId="57" fillId="0" borderId="0" xfId="0" applyFont="1" applyAlignment="1">
      <alignment horizontal="right"/>
    </xf>
    <xf numFmtId="0" fontId="64" fillId="0" borderId="0" xfId="0" applyFont="1" applyAlignment="1">
      <alignment horizontal="right"/>
    </xf>
    <xf numFmtId="0" fontId="65" fillId="0" borderId="0" xfId="0" applyFont="1" applyAlignment="1">
      <alignment horizontal="left" vertical="center"/>
    </xf>
    <xf numFmtId="0" fontId="66" fillId="0" borderId="0" xfId="0" applyFont="1" applyAlignment="1">
      <alignment horizontal="left" vertical="center"/>
    </xf>
    <xf numFmtId="0" fontId="12" fillId="0" borderId="0" xfId="0" applyFont="1" applyAlignment="1">
      <alignment horizontal="right"/>
    </xf>
    <xf numFmtId="0" fontId="16" fillId="0" borderId="0" xfId="0" applyFont="1" applyAlignment="1">
      <alignment horizontal="right"/>
    </xf>
    <xf numFmtId="0" fontId="4" fillId="0" borderId="0" xfId="0" applyFont="1"/>
    <xf numFmtId="0" fontId="3" fillId="0" borderId="0" xfId="0" applyFont="1" applyAlignment="1">
      <alignment horizontal="center"/>
    </xf>
    <xf numFmtId="0" fontId="3" fillId="0" borderId="0" xfId="0" applyFont="1" applyAlignment="1">
      <alignment horizontal="right"/>
    </xf>
    <xf numFmtId="0" fontId="4" fillId="0" borderId="0" xfId="0" applyFont="1" applyAlignment="1">
      <alignment wrapText="1"/>
    </xf>
    <xf numFmtId="0" fontId="3" fillId="0" borderId="0" xfId="0" applyFont="1" applyAlignment="1">
      <alignment vertical="top"/>
    </xf>
    <xf numFmtId="0" fontId="6" fillId="0" borderId="0" xfId="0" applyFont="1" applyAlignment="1">
      <alignment horizontal="right" vertical="top"/>
    </xf>
    <xf numFmtId="0" fontId="6" fillId="0" borderId="0" xfId="0" applyFont="1"/>
    <xf numFmtId="0" fontId="6" fillId="0" borderId="0" xfId="0" applyFont="1" applyAlignment="1">
      <alignment vertical="top"/>
    </xf>
    <xf numFmtId="0" fontId="4" fillId="0" borderId="0" xfId="0" applyFont="1" applyAlignment="1">
      <alignment vertical="top" wrapText="1"/>
    </xf>
    <xf numFmtId="0" fontId="39" fillId="0" borderId="1" xfId="0" applyFont="1" applyBorder="1" applyAlignment="1">
      <alignment horizontal="left"/>
    </xf>
    <xf numFmtId="0" fontId="16" fillId="0" borderId="1" xfId="0" applyFont="1" applyBorder="1" applyAlignment="1">
      <alignment horizontal="right"/>
    </xf>
    <xf numFmtId="0" fontId="83" fillId="0" borderId="0" xfId="0" applyFont="1"/>
    <xf numFmtId="0" fontId="12" fillId="0" borderId="0" xfId="0" applyFont="1" applyAlignment="1">
      <alignment horizontal="center"/>
    </xf>
    <xf numFmtId="0" fontId="84" fillId="0" borderId="0" xfId="0" applyFont="1" applyAlignment="1">
      <alignment vertical="top"/>
    </xf>
    <xf numFmtId="0" fontId="13" fillId="0" borderId="0" xfId="0" applyFont="1" applyAlignment="1">
      <alignment horizontal="center" vertical="top"/>
    </xf>
    <xf numFmtId="0" fontId="13" fillId="0" borderId="0" xfId="0" applyFont="1" applyAlignment="1">
      <alignment horizontal="right" vertical="top"/>
    </xf>
    <xf numFmtId="0" fontId="13" fillId="0" borderId="0" xfId="0" applyFont="1" applyAlignment="1">
      <alignment horizontal="right" vertical="top" wrapText="1"/>
    </xf>
    <xf numFmtId="0" fontId="13" fillId="0" borderId="1" xfId="0" applyFont="1" applyBorder="1" applyAlignment="1">
      <alignment horizontal="center" vertical="top"/>
    </xf>
    <xf numFmtId="0" fontId="13" fillId="0" borderId="0" xfId="0" applyFont="1" applyAlignment="1">
      <alignment horizontal="center" vertical="top" wrapText="1"/>
    </xf>
    <xf numFmtId="0" fontId="84" fillId="0" borderId="0" xfId="0" applyFont="1"/>
    <xf numFmtId="0" fontId="12" fillId="0" borderId="0" xfId="0" applyFont="1" applyAlignment="1">
      <alignment wrapText="1"/>
    </xf>
    <xf numFmtId="3" fontId="12" fillId="0" borderId="0" xfId="0" applyNumberFormat="1" applyFont="1"/>
    <xf numFmtId="0" fontId="84" fillId="0" borderId="1" xfId="0" applyFont="1" applyBorder="1" applyAlignment="1">
      <alignment vertical="top"/>
    </xf>
    <xf numFmtId="0" fontId="13" fillId="0" borderId="1" xfId="0" applyFont="1" applyBorder="1" applyAlignment="1">
      <alignment vertical="top"/>
    </xf>
    <xf numFmtId="0" fontId="13" fillId="0" borderId="1" xfId="0" applyFont="1" applyBorder="1" applyAlignment="1">
      <alignment horizontal="right" vertical="top"/>
    </xf>
    <xf numFmtId="3" fontId="12" fillId="0" borderId="0" xfId="0" applyNumberFormat="1" applyFont="1" applyAlignment="1">
      <alignment vertical="top"/>
    </xf>
    <xf numFmtId="0" fontId="12" fillId="0" borderId="0" xfId="0" applyFont="1" applyAlignment="1">
      <alignment horizontal="right" vertical="top" wrapText="1"/>
    </xf>
    <xf numFmtId="0" fontId="16" fillId="0" borderId="0" xfId="0" applyFont="1" applyAlignment="1">
      <alignment horizontal="right" vertical="top" wrapText="1"/>
    </xf>
    <xf numFmtId="0" fontId="12" fillId="0" borderId="0" xfId="0" applyFont="1" applyAlignment="1">
      <alignment horizontal="left"/>
    </xf>
    <xf numFmtId="3" fontId="7" fillId="0" borderId="0" xfId="26" applyNumberFormat="1" applyFont="1" applyFill="1" applyBorder="1" applyAlignment="1">
      <alignment horizontal="right" vertical="center"/>
    </xf>
    <xf numFmtId="0" fontId="7" fillId="0" borderId="0" xfId="38" applyFont="1" applyAlignment="1">
      <alignment vertical="center"/>
    </xf>
    <xf numFmtId="0" fontId="79" fillId="0" borderId="0" xfId="38" applyFont="1" applyAlignment="1">
      <alignment vertical="center"/>
    </xf>
    <xf numFmtId="176" fontId="7" fillId="0" borderId="0" xfId="29" applyNumberFormat="1" applyFont="1" applyAlignment="1">
      <alignment vertical="center"/>
    </xf>
    <xf numFmtId="3" fontId="7" fillId="0" borderId="0" xfId="0" quotePrefix="1" applyNumberFormat="1" applyFont="1" applyAlignment="1">
      <alignment horizontal="right" vertical="center"/>
    </xf>
    <xf numFmtId="0" fontId="7" fillId="0" borderId="0" xfId="39" applyFont="1" applyAlignment="1">
      <alignment vertical="center"/>
    </xf>
    <xf numFmtId="0" fontId="16" fillId="0" borderId="0" xfId="0" applyFont="1" applyAlignment="1">
      <alignment horizontal="left" vertical="center" indent="2"/>
    </xf>
    <xf numFmtId="0" fontId="7" fillId="0" borderId="1" xfId="0" applyFont="1" applyBorder="1" applyAlignment="1">
      <alignment horizontal="center" vertical="center"/>
    </xf>
    <xf numFmtId="0" fontId="12" fillId="0" borderId="1" xfId="0" applyFont="1" applyBorder="1" applyAlignment="1">
      <alignment horizontal="right"/>
    </xf>
    <xf numFmtId="0" fontId="16" fillId="0" borderId="1" xfId="0" applyFont="1" applyBorder="1" applyAlignment="1">
      <alignment horizontal="right" indent="1"/>
    </xf>
    <xf numFmtId="0" fontId="16" fillId="0" borderId="1" xfId="0" applyFont="1" applyBorder="1" applyAlignment="1">
      <alignment horizontal="right" indent="2"/>
    </xf>
    <xf numFmtId="0" fontId="20" fillId="0" borderId="0" xfId="0" applyFont="1" applyAlignment="1">
      <alignment horizontal="center" vertical="center"/>
    </xf>
    <xf numFmtId="0" fontId="18" fillId="0" borderId="0" xfId="0" applyFont="1" applyAlignment="1">
      <alignment horizontal="right"/>
    </xf>
    <xf numFmtId="0" fontId="57" fillId="0" borderId="0" xfId="0" applyFont="1" applyAlignment="1">
      <alignment horizontal="left" indent="1"/>
    </xf>
    <xf numFmtId="0" fontId="4" fillId="0" borderId="0" xfId="0" applyFont="1" applyAlignment="1">
      <alignment horizontal="center"/>
    </xf>
    <xf numFmtId="0" fontId="4" fillId="0" borderId="0" xfId="0" applyFont="1" applyAlignment="1">
      <alignment horizontal="left" indent="1"/>
    </xf>
    <xf numFmtId="0" fontId="6" fillId="0" borderId="0" xfId="0" applyFont="1" applyAlignment="1">
      <alignment horizontal="right"/>
    </xf>
    <xf numFmtId="0" fontId="6" fillId="0" borderId="0" xfId="0" applyFont="1" applyAlignment="1">
      <alignment horizontal="center"/>
    </xf>
    <xf numFmtId="0" fontId="10" fillId="0" borderId="1" xfId="0" applyFont="1" applyBorder="1" applyAlignment="1">
      <alignment horizontal="center"/>
    </xf>
    <xf numFmtId="0" fontId="10" fillId="0" borderId="1" xfId="0" applyFont="1" applyBorder="1" applyAlignment="1">
      <alignment horizontal="right"/>
    </xf>
    <xf numFmtId="0" fontId="8" fillId="0" borderId="3" xfId="0" applyFont="1" applyBorder="1" applyAlignment="1">
      <alignment wrapText="1"/>
    </xf>
    <xf numFmtId="0" fontId="10" fillId="0" borderId="3" xfId="0" applyFont="1" applyBorder="1" applyAlignment="1">
      <alignment vertical="center" wrapText="1"/>
    </xf>
    <xf numFmtId="0" fontId="8" fillId="0" borderId="3" xfId="0" applyFont="1" applyBorder="1" applyAlignment="1">
      <alignment vertical="center" wrapText="1"/>
    </xf>
    <xf numFmtId="0" fontId="10" fillId="0" borderId="3" xfId="0" applyFont="1" applyBorder="1" applyAlignment="1">
      <alignment wrapText="1"/>
    </xf>
    <xf numFmtId="0" fontId="8" fillId="0" borderId="3" xfId="0" applyFont="1" applyBorder="1" applyAlignment="1">
      <alignment horizontal="right" wrapText="1"/>
    </xf>
    <xf numFmtId="0" fontId="8" fillId="0" borderId="0" xfId="0" applyFont="1" applyAlignment="1">
      <alignment horizontal="center" wrapText="1"/>
    </xf>
    <xf numFmtId="0" fontId="7" fillId="0" borderId="0" xfId="0" applyFont="1" applyAlignment="1">
      <alignment wrapText="1"/>
    </xf>
    <xf numFmtId="0" fontId="8" fillId="0" borderId="0" xfId="0" applyFont="1" applyAlignment="1">
      <alignment wrapText="1"/>
    </xf>
    <xf numFmtId="0" fontId="8" fillId="0" borderId="0" xfId="0" applyFont="1" applyAlignment="1">
      <alignment horizontal="right" vertical="top" wrapText="1"/>
    </xf>
    <xf numFmtId="0" fontId="10" fillId="0" borderId="1" xfId="0" applyFont="1" applyBorder="1" applyAlignment="1">
      <alignment horizontal="right" wrapText="1"/>
    </xf>
    <xf numFmtId="0" fontId="10" fillId="0" borderId="1" xfId="0" applyFont="1" applyBorder="1" applyAlignment="1">
      <alignment horizontal="right" vertical="top"/>
    </xf>
    <xf numFmtId="0" fontId="8" fillId="0" borderId="0" xfId="0" applyFont="1" applyAlignment="1">
      <alignment horizontal="center" vertical="top" wrapText="1"/>
    </xf>
    <xf numFmtId="0" fontId="10" fillId="0" borderId="0" xfId="0" applyFont="1" applyAlignment="1">
      <alignment wrapText="1"/>
    </xf>
    <xf numFmtId="0" fontId="10" fillId="0" borderId="0" xfId="0" applyFont="1" applyAlignment="1">
      <alignment vertical="top"/>
    </xf>
    <xf numFmtId="0" fontId="10" fillId="0" borderId="0" xfId="0" applyFont="1" applyAlignment="1">
      <alignment horizontal="center" vertical="top" wrapText="1"/>
    </xf>
    <xf numFmtId="0" fontId="10" fillId="0" borderId="0" xfId="0" applyFont="1" applyAlignment="1">
      <alignment horizontal="right" vertical="top" wrapText="1"/>
    </xf>
    <xf numFmtId="0" fontId="10" fillId="0" borderId="0" xfId="0" applyFont="1" applyAlignment="1">
      <alignment horizontal="right" wrapText="1"/>
    </xf>
    <xf numFmtId="0" fontId="8" fillId="0" borderId="0" xfId="0" applyFont="1" applyAlignment="1">
      <alignment horizontal="right" wrapText="1"/>
    </xf>
    <xf numFmtId="0" fontId="10" fillId="0" borderId="0" xfId="0" applyFont="1" applyAlignment="1">
      <alignment horizontal="center" wrapText="1"/>
    </xf>
    <xf numFmtId="0" fontId="10" fillId="0" borderId="1" xfId="0" applyFont="1" applyBorder="1" applyAlignment="1">
      <alignment vertical="top" wrapText="1"/>
    </xf>
    <xf numFmtId="0" fontId="10" fillId="0" borderId="1" xfId="0" applyFont="1" applyBorder="1" applyAlignment="1">
      <alignment vertical="center" wrapText="1"/>
    </xf>
    <xf numFmtId="0" fontId="10" fillId="0" borderId="1" xfId="0" applyFont="1" applyBorder="1" applyAlignment="1">
      <alignment horizontal="center" vertical="top" wrapText="1"/>
    </xf>
    <xf numFmtId="0" fontId="10" fillId="0" borderId="1" xfId="0" applyFont="1" applyBorder="1" applyAlignment="1">
      <alignment horizontal="right" vertical="top" wrapText="1"/>
    </xf>
    <xf numFmtId="0" fontId="7" fillId="0" borderId="0" xfId="0" applyFont="1" applyAlignment="1">
      <alignment vertical="top"/>
    </xf>
    <xf numFmtId="0" fontId="8" fillId="0" borderId="0" xfId="0" applyFont="1" applyAlignment="1">
      <alignment vertical="center"/>
    </xf>
    <xf numFmtId="3" fontId="8" fillId="0" borderId="0" xfId="0" applyNumberFormat="1" applyFont="1" applyAlignment="1">
      <alignment horizontal="right" vertical="center"/>
    </xf>
    <xf numFmtId="0" fontId="7" fillId="0" borderId="0" xfId="0" applyFont="1" applyAlignment="1">
      <alignment horizontal="left" indent="1"/>
    </xf>
    <xf numFmtId="0" fontId="7" fillId="0" borderId="0" xfId="0" applyFont="1" applyAlignment="1">
      <alignment horizontal="left" vertical="center" wrapText="1" indent="1"/>
    </xf>
    <xf numFmtId="0" fontId="7" fillId="0" borderId="0" xfId="0" applyFont="1" applyAlignment="1">
      <alignment horizontal="right"/>
    </xf>
    <xf numFmtId="3" fontId="7" fillId="0" borderId="0" xfId="26" applyNumberFormat="1" applyFont="1" applyFill="1" applyAlignment="1">
      <alignment horizontal="right" vertical="center"/>
    </xf>
    <xf numFmtId="0" fontId="7" fillId="0" borderId="0" xfId="0" applyFont="1" applyAlignment="1">
      <alignment horizontal="left" vertical="center"/>
    </xf>
    <xf numFmtId="0" fontId="7" fillId="0" borderId="1" xfId="0" applyFont="1" applyBorder="1" applyAlignment="1">
      <alignment horizontal="left" vertical="center"/>
    </xf>
    <xf numFmtId="0" fontId="7" fillId="0" borderId="1" xfId="0" applyFont="1" applyBorder="1" applyAlignment="1">
      <alignment horizontal="left" indent="1"/>
    </xf>
    <xf numFmtId="0" fontId="7" fillId="0" borderId="1" xfId="0" applyFont="1" applyBorder="1" applyAlignment="1">
      <alignment horizontal="right"/>
    </xf>
    <xf numFmtId="0" fontId="20" fillId="0" borderId="0" xfId="0" applyFont="1" applyAlignment="1">
      <alignment horizontal="left" vertical="center"/>
    </xf>
    <xf numFmtId="0" fontId="20" fillId="0" borderId="0" xfId="0" applyFont="1" applyAlignment="1">
      <alignment horizontal="left" indent="1"/>
    </xf>
    <xf numFmtId="0" fontId="20" fillId="0" borderId="0" xfId="0" applyFont="1" applyAlignment="1">
      <alignment horizontal="right"/>
    </xf>
    <xf numFmtId="176" fontId="18" fillId="0" borderId="0" xfId="29" applyNumberFormat="1" applyFont="1"/>
    <xf numFmtId="0" fontId="20" fillId="0" borderId="0" xfId="0" applyFont="1"/>
    <xf numFmtId="0" fontId="20" fillId="0" borderId="0" xfId="0" applyFont="1" applyAlignment="1">
      <alignment horizontal="center"/>
    </xf>
    <xf numFmtId="176" fontId="19" fillId="0" borderId="0" xfId="29" applyNumberFormat="1" applyFont="1" applyAlignment="1">
      <alignment horizontal="right"/>
    </xf>
    <xf numFmtId="176" fontId="19" fillId="0" borderId="0" xfId="29" applyNumberFormat="1" applyFont="1"/>
    <xf numFmtId="0" fontId="19" fillId="0" borderId="0" xfId="0" applyFont="1" applyAlignment="1">
      <alignment horizontal="right"/>
    </xf>
    <xf numFmtId="0" fontId="45" fillId="0" borderId="0" xfId="42" applyFont="1"/>
    <xf numFmtId="0" fontId="4" fillId="0" borderId="0" xfId="43" applyFont="1" applyAlignment="1">
      <alignment horizontal="right"/>
    </xf>
    <xf numFmtId="0" fontId="4" fillId="0" borderId="0" xfId="43" applyFont="1" applyAlignment="1"/>
    <xf numFmtId="0" fontId="4" fillId="0" borderId="0" xfId="43" applyFont="1" applyAlignment="1">
      <alignment horizontal="center"/>
    </xf>
    <xf numFmtId="0" fontId="4" fillId="0" borderId="0" xfId="43" applyFont="1">
      <alignment vertical="center"/>
    </xf>
    <xf numFmtId="0" fontId="4" fillId="0" borderId="0" xfId="43" applyFont="1" applyAlignment="1">
      <alignment horizontal="left"/>
    </xf>
    <xf numFmtId="0" fontId="4" fillId="0" borderId="0" xfId="43" applyFont="1" applyAlignment="1">
      <alignment vertical="top"/>
    </xf>
    <xf numFmtId="0" fontId="6" fillId="0" borderId="0" xfId="42" applyFont="1" applyAlignment="1">
      <alignment horizontal="right"/>
    </xf>
    <xf numFmtId="0" fontId="6" fillId="0" borderId="0" xfId="42" applyFont="1"/>
    <xf numFmtId="0" fontId="3" fillId="0" borderId="0" xfId="42" applyFont="1" applyAlignment="1">
      <alignment horizontal="center"/>
    </xf>
    <xf numFmtId="0" fontId="3" fillId="0" borderId="0" xfId="42" applyFont="1"/>
    <xf numFmtId="0" fontId="6" fillId="0" borderId="0" xfId="42" applyFont="1" applyAlignment="1">
      <alignment vertical="top"/>
    </xf>
    <xf numFmtId="0" fontId="7" fillId="0" borderId="1" xfId="42" applyFont="1" applyBorder="1"/>
    <xf numFmtId="0" fontId="45" fillId="0" borderId="1" xfId="42" applyFont="1" applyBorder="1"/>
    <xf numFmtId="0" fontId="7" fillId="0" borderId="1" xfId="42" applyFont="1" applyBorder="1" applyAlignment="1">
      <alignment horizontal="center"/>
    </xf>
    <xf numFmtId="0" fontId="3" fillId="0" borderId="1" xfId="42" applyFont="1" applyBorder="1"/>
    <xf numFmtId="0" fontId="3" fillId="0" borderId="3" xfId="44" applyFont="1" applyBorder="1"/>
    <xf numFmtId="0" fontId="4" fillId="0" borderId="3" xfId="44" applyFont="1" applyBorder="1" applyAlignment="1">
      <alignment horizontal="left"/>
    </xf>
    <xf numFmtId="0" fontId="4" fillId="0" borderId="3" xfId="44" applyFont="1" applyBorder="1" applyAlignment="1">
      <alignment horizontal="center"/>
    </xf>
    <xf numFmtId="0" fontId="4" fillId="0" borderId="3" xfId="44" applyFont="1" applyBorder="1" applyAlignment="1">
      <alignment horizontal="right"/>
    </xf>
    <xf numFmtId="0" fontId="7" fillId="0" borderId="0" xfId="44" applyFont="1"/>
    <xf numFmtId="0" fontId="8" fillId="0" borderId="0" xfId="44" applyFont="1" applyAlignment="1">
      <alignment horizontal="left"/>
    </xf>
    <xf numFmtId="0" fontId="8" fillId="0" borderId="0" xfId="44" applyFont="1" applyAlignment="1">
      <alignment horizontal="center"/>
    </xf>
    <xf numFmtId="0" fontId="8" fillId="0" borderId="0" xfId="44" applyFont="1" applyAlignment="1">
      <alignment horizontal="right"/>
    </xf>
    <xf numFmtId="0" fontId="16" fillId="0" borderId="0" xfId="42" applyFont="1"/>
    <xf numFmtId="0" fontId="8" fillId="0" borderId="0" xfId="44" applyFont="1"/>
    <xf numFmtId="0" fontId="10" fillId="0" borderId="0" xfId="44" applyFont="1" applyAlignment="1">
      <alignment horizontal="left"/>
    </xf>
    <xf numFmtId="0" fontId="10" fillId="0" borderId="0" xfId="44" applyFont="1" applyAlignment="1">
      <alignment horizontal="center"/>
    </xf>
    <xf numFmtId="0" fontId="10" fillId="0" borderId="0" xfId="44" applyFont="1" applyAlignment="1">
      <alignment horizontal="right"/>
    </xf>
    <xf numFmtId="0" fontId="7" fillId="0" borderId="0" xfId="44" applyFont="1" applyAlignment="1">
      <alignment horizontal="center"/>
    </xf>
    <xf numFmtId="0" fontId="7" fillId="0" borderId="0" xfId="44" applyFont="1" applyAlignment="1">
      <alignment horizontal="right"/>
    </xf>
    <xf numFmtId="37" fontId="10" fillId="0" borderId="0" xfId="44" applyNumberFormat="1" applyFont="1" applyAlignment="1">
      <alignment horizontal="right"/>
    </xf>
    <xf numFmtId="0" fontId="7" fillId="0" borderId="7" xfId="44" applyFont="1" applyBorder="1"/>
    <xf numFmtId="0" fontId="7" fillId="0" borderId="7" xfId="44" applyFont="1" applyBorder="1" applyAlignment="1">
      <alignment horizontal="center"/>
    </xf>
    <xf numFmtId="0" fontId="7" fillId="0" borderId="7" xfId="44" applyFont="1" applyBorder="1" applyAlignment="1">
      <alignment horizontal="right"/>
    </xf>
    <xf numFmtId="0" fontId="10" fillId="0" borderId="7" xfId="44" applyFont="1" applyBorder="1" applyAlignment="1">
      <alignment horizontal="right"/>
    </xf>
    <xf numFmtId="3" fontId="7" fillId="0" borderId="0" xfId="44" applyNumberFormat="1" applyFont="1" applyAlignment="1">
      <alignment horizontal="right"/>
    </xf>
    <xf numFmtId="0" fontId="8" fillId="0" borderId="0" xfId="42" applyFont="1"/>
    <xf numFmtId="3" fontId="8" fillId="0" borderId="0" xfId="45" applyNumberFormat="1" applyFont="1" applyFill="1" applyBorder="1" applyAlignment="1">
      <alignment horizontal="right" vertical="center"/>
    </xf>
    <xf numFmtId="0" fontId="7" fillId="0" borderId="0" xfId="42" applyFont="1"/>
    <xf numFmtId="165" fontId="7" fillId="0" borderId="0" xfId="42" applyNumberFormat="1" applyFont="1"/>
    <xf numFmtId="0" fontId="8" fillId="0" borderId="0" xfId="42" applyFont="1" applyAlignment="1">
      <alignment horizontal="center" wrapText="1"/>
    </xf>
    <xf numFmtId="0" fontId="8" fillId="0" borderId="0" xfId="42" applyFont="1" applyAlignment="1">
      <alignment horizontal="left" wrapText="1"/>
    </xf>
    <xf numFmtId="0" fontId="7" fillId="0" borderId="0" xfId="42" applyFont="1" applyAlignment="1">
      <alignment horizontal="center"/>
    </xf>
    <xf numFmtId="3" fontId="7" fillId="0" borderId="0" xfId="45" applyNumberFormat="1" applyFont="1" applyFill="1" applyBorder="1" applyAlignment="1">
      <alignment horizontal="right" vertical="center"/>
    </xf>
    <xf numFmtId="0" fontId="7" fillId="0" borderId="0" xfId="42" applyFont="1" applyAlignment="1">
      <alignment horizontal="left" indent="1"/>
    </xf>
    <xf numFmtId="0" fontId="7" fillId="0" borderId="0" xfId="42" applyFont="1" applyAlignment="1">
      <alignment horizontal="left"/>
    </xf>
    <xf numFmtId="3" fontId="7" fillId="0" borderId="0" xfId="42" applyNumberFormat="1" applyFont="1" applyAlignment="1">
      <alignment horizontal="right" vertical="center"/>
    </xf>
    <xf numFmtId="0" fontId="7" fillId="0" borderId="0" xfId="42" applyFont="1" applyAlignment="1">
      <alignment horizontal="left" wrapText="1"/>
    </xf>
    <xf numFmtId="0" fontId="8" fillId="0" borderId="0" xfId="42" applyFont="1" applyAlignment="1">
      <alignment horizontal="left"/>
    </xf>
    <xf numFmtId="3" fontId="16" fillId="0" borderId="0" xfId="42" applyNumberFormat="1" applyFont="1" applyAlignment="1">
      <alignment horizontal="right" vertical="center"/>
    </xf>
    <xf numFmtId="0" fontId="8" fillId="0" borderId="1" xfId="42" applyFont="1" applyBorder="1" applyAlignment="1">
      <alignment horizontal="left" indent="1"/>
    </xf>
    <xf numFmtId="169" fontId="7" fillId="0" borderId="1" xfId="45" applyNumberFormat="1" applyFont="1" applyFill="1" applyBorder="1" applyAlignment="1">
      <alignment horizontal="right" vertical="center" wrapText="1"/>
    </xf>
    <xf numFmtId="0" fontId="20" fillId="0" borderId="0" xfId="44" applyFont="1"/>
    <xf numFmtId="0" fontId="20" fillId="0" borderId="0" xfId="44" applyFont="1" applyAlignment="1">
      <alignment horizontal="center"/>
    </xf>
    <xf numFmtId="0" fontId="41" fillId="0" borderId="0" xfId="44" applyFont="1" applyAlignment="1">
      <alignment horizontal="right"/>
    </xf>
    <xf numFmtId="0" fontId="68" fillId="0" borderId="0" xfId="44" applyFont="1"/>
    <xf numFmtId="0" fontId="41" fillId="0" borderId="0" xfId="44" applyFont="1"/>
    <xf numFmtId="176" fontId="18" fillId="0" borderId="0" xfId="46" applyFont="1" applyAlignment="1">
      <alignment horizontal="right"/>
    </xf>
    <xf numFmtId="0" fontId="41" fillId="0" borderId="0" xfId="44" applyFont="1" applyAlignment="1">
      <alignment vertical="top"/>
    </xf>
    <xf numFmtId="0" fontId="41" fillId="0" borderId="0" xfId="44" applyFont="1" applyAlignment="1">
      <alignment horizontal="right" vertical="top"/>
    </xf>
    <xf numFmtId="176" fontId="19" fillId="0" borderId="0" xfId="46" applyFont="1" applyAlignment="1">
      <alignment horizontal="right" vertical="top"/>
    </xf>
    <xf numFmtId="0" fontId="18" fillId="0" borderId="0" xfId="42" applyFont="1" applyAlignment="1">
      <alignment horizontal="left" indent="1"/>
    </xf>
    <xf numFmtId="0" fontId="18" fillId="0" borderId="0" xfId="44" applyFont="1" applyAlignment="1">
      <alignment horizontal="left" vertical="top" indent="1"/>
    </xf>
    <xf numFmtId="0" fontId="18" fillId="0" borderId="0" xfId="44" applyFont="1" applyAlignment="1">
      <alignment horizontal="center"/>
    </xf>
    <xf numFmtId="0" fontId="14" fillId="0" borderId="0" xfId="42" quotePrefix="1" applyFont="1"/>
    <xf numFmtId="0" fontId="18" fillId="0" borderId="0" xfId="44" applyFont="1" applyAlignment="1">
      <alignment horizontal="left" vertical="top"/>
    </xf>
    <xf numFmtId="0" fontId="20" fillId="0" borderId="0" xfId="44" applyFont="1" applyAlignment="1">
      <alignment horizontal="left" vertical="top" indent="1"/>
    </xf>
    <xf numFmtId="176" fontId="41" fillId="0" borderId="0" xfId="46" applyFont="1" applyAlignment="1">
      <alignment horizontal="right"/>
    </xf>
    <xf numFmtId="176" fontId="41" fillId="0" borderId="0" xfId="46" applyFont="1"/>
    <xf numFmtId="0" fontId="19" fillId="0" borderId="0" xfId="44" applyFont="1" applyAlignment="1">
      <alignment vertical="top"/>
    </xf>
    <xf numFmtId="0" fontId="20" fillId="0" borderId="0" xfId="44" applyFont="1" applyAlignment="1">
      <alignment horizontal="right"/>
    </xf>
    <xf numFmtId="176" fontId="7" fillId="0" borderId="0" xfId="46" applyFont="1"/>
    <xf numFmtId="0" fontId="19" fillId="0" borderId="0" xfId="44" applyFont="1" applyAlignment="1">
      <alignment horizontal="left"/>
    </xf>
    <xf numFmtId="176" fontId="20" fillId="0" borderId="0" xfId="46" applyFont="1" applyAlignment="1">
      <alignment horizontal="center"/>
    </xf>
    <xf numFmtId="176" fontId="20" fillId="0" borderId="0" xfId="46" applyFont="1" applyAlignment="1">
      <alignment horizontal="left"/>
    </xf>
    <xf numFmtId="0" fontId="4" fillId="0" borderId="0" xfId="11" quotePrefix="1" applyFont="1"/>
    <xf numFmtId="0" fontId="7" fillId="0" borderId="0" xfId="42" applyFont="1" applyAlignment="1">
      <alignment horizontal="left" vertical="center" indent="1"/>
    </xf>
    <xf numFmtId="0" fontId="8" fillId="0" borderId="0" xfId="42" applyFont="1" applyAlignment="1">
      <alignment horizontal="center"/>
    </xf>
    <xf numFmtId="0" fontId="7" fillId="0" borderId="0" xfId="42" applyFont="1" applyAlignment="1">
      <alignment vertical="center"/>
    </xf>
    <xf numFmtId="0" fontId="7" fillId="0" borderId="0" xfId="47" applyNumberFormat="1" applyFont="1" applyFill="1" applyBorder="1" applyAlignment="1">
      <alignment vertical="center"/>
    </xf>
    <xf numFmtId="0" fontId="7" fillId="0" borderId="0" xfId="47" applyNumberFormat="1" applyFont="1" applyFill="1" applyBorder="1" applyAlignment="1">
      <alignment horizontal="right" vertical="center"/>
    </xf>
    <xf numFmtId="0" fontId="10" fillId="0" borderId="0" xfId="42" applyFont="1" applyAlignment="1">
      <alignment horizontal="left" indent="3"/>
    </xf>
    <xf numFmtId="0" fontId="10" fillId="0" borderId="0" xfId="42" applyFont="1" applyAlignment="1">
      <alignment horizontal="center"/>
    </xf>
    <xf numFmtId="0" fontId="10" fillId="0" borderId="0" xfId="42" applyFont="1" applyAlignment="1">
      <alignment vertical="center"/>
    </xf>
    <xf numFmtId="0" fontId="4" fillId="0" borderId="0" xfId="3" applyFont="1" applyAlignment="1">
      <alignment horizontal="left" vertical="center"/>
    </xf>
    <xf numFmtId="0" fontId="6" fillId="0" borderId="0" xfId="0" applyFont="1" applyAlignment="1">
      <alignment horizontal="left" vertical="top"/>
    </xf>
    <xf numFmtId="178" fontId="8" fillId="0" borderId="1" xfId="48" applyFont="1" applyBorder="1" applyAlignment="1">
      <alignment vertical="center"/>
    </xf>
    <xf numFmtId="178" fontId="4" fillId="0" borderId="0" xfId="48" applyFont="1" applyAlignment="1">
      <alignment horizontal="center" vertical="center"/>
    </xf>
    <xf numFmtId="178" fontId="4" fillId="0" borderId="0" xfId="48" applyFont="1" applyAlignment="1">
      <alignment horizontal="right" vertical="center"/>
    </xf>
    <xf numFmtId="178" fontId="4" fillId="0" borderId="0" xfId="48" applyFont="1" applyAlignment="1">
      <alignment vertical="center"/>
    </xf>
    <xf numFmtId="178" fontId="8" fillId="0" borderId="0" xfId="48" applyFont="1" applyAlignment="1">
      <alignment vertical="center"/>
    </xf>
    <xf numFmtId="178" fontId="7" fillId="0" borderId="0" xfId="48" applyFont="1" applyAlignment="1">
      <alignment vertical="center"/>
    </xf>
    <xf numFmtId="178" fontId="7" fillId="0" borderId="9" xfId="48" applyFont="1" applyBorder="1" applyAlignment="1">
      <alignment horizontal="left" vertical="center" wrapText="1"/>
    </xf>
    <xf numFmtId="178" fontId="8" fillId="0" borderId="9" xfId="48" applyFont="1" applyBorder="1" applyAlignment="1">
      <alignment horizontal="center" vertical="center" wrapText="1"/>
    </xf>
    <xf numFmtId="178" fontId="7" fillId="0" borderId="0" xfId="48" applyFont="1" applyAlignment="1">
      <alignment horizontal="left" vertical="center" wrapText="1"/>
    </xf>
    <xf numFmtId="178" fontId="8" fillId="0" borderId="0" xfId="48" applyFont="1" applyAlignment="1">
      <alignment horizontal="center" vertical="center" wrapText="1"/>
    </xf>
    <xf numFmtId="178" fontId="7" fillId="0" borderId="1" xfId="48" applyFont="1" applyBorder="1" applyAlignment="1">
      <alignment vertical="center"/>
    </xf>
    <xf numFmtId="178" fontId="7" fillId="0" borderId="8" xfId="48" applyFont="1" applyBorder="1" applyAlignment="1">
      <alignment horizontal="left" vertical="center" wrapText="1"/>
    </xf>
    <xf numFmtId="178" fontId="8" fillId="0" borderId="8" xfId="48" applyFont="1" applyBorder="1" applyAlignment="1">
      <alignment horizontal="center" vertical="center" wrapText="1"/>
    </xf>
    <xf numFmtId="168" fontId="8" fillId="0" borderId="0" xfId="49" applyFont="1" applyAlignment="1">
      <alignment horizontal="left" vertical="center" wrapText="1"/>
    </xf>
    <xf numFmtId="168" fontId="8" fillId="0" borderId="0" xfId="49" applyFont="1" applyAlignment="1">
      <alignment horizontal="right" vertical="center" wrapText="1"/>
    </xf>
    <xf numFmtId="178" fontId="8" fillId="0" borderId="0" xfId="48" applyFont="1" applyAlignment="1">
      <alignment horizontal="left" vertical="center" wrapText="1"/>
    </xf>
    <xf numFmtId="165" fontId="7" fillId="0" borderId="10" xfId="48" applyNumberFormat="1" applyFont="1" applyBorder="1" applyAlignment="1">
      <alignment horizontal="right" vertical="center"/>
    </xf>
    <xf numFmtId="165" fontId="7" fillId="0" borderId="0" xfId="48" applyNumberFormat="1" applyFont="1" applyAlignment="1">
      <alignment horizontal="right" vertical="center"/>
    </xf>
    <xf numFmtId="178" fontId="10" fillId="0" borderId="0" xfId="48" applyFont="1" applyAlignment="1">
      <alignment horizontal="left" vertical="center" wrapText="1"/>
    </xf>
    <xf numFmtId="167" fontId="7" fillId="0" borderId="0" xfId="48" applyNumberFormat="1" applyFont="1" applyAlignment="1">
      <alignment horizontal="center" vertical="center"/>
    </xf>
    <xf numFmtId="178" fontId="7" fillId="0" borderId="1" xfId="48" applyFont="1" applyBorder="1" applyAlignment="1">
      <alignment horizontal="left" vertical="center"/>
    </xf>
    <xf numFmtId="167" fontId="7" fillId="0" borderId="1" xfId="48" applyNumberFormat="1" applyFont="1" applyBorder="1" applyAlignment="1">
      <alignment horizontal="center" vertical="center"/>
    </xf>
    <xf numFmtId="0" fontId="18" fillId="0" borderId="0" xfId="50" applyFont="1" applyAlignment="1">
      <alignment horizontal="right" vertical="center"/>
    </xf>
    <xf numFmtId="0" fontId="19" fillId="0" borderId="0" xfId="50" applyFont="1" applyAlignment="1">
      <alignment horizontal="right" vertical="center"/>
    </xf>
    <xf numFmtId="0" fontId="14" fillId="0" borderId="0" xfId="51" applyFont="1" applyAlignment="1">
      <alignment horizontal="right"/>
    </xf>
    <xf numFmtId="0" fontId="14" fillId="0" borderId="0" xfId="51" applyFont="1" applyAlignment="1">
      <alignment horizontal="left"/>
    </xf>
    <xf numFmtId="0" fontId="14" fillId="0" borderId="0" xfId="51" applyFont="1"/>
    <xf numFmtId="0" fontId="87" fillId="0" borderId="0" xfId="23" applyFont="1" applyAlignment="1">
      <alignment vertical="center"/>
    </xf>
    <xf numFmtId="0" fontId="45" fillId="0" borderId="0" xfId="51" applyFont="1"/>
    <xf numFmtId="0" fontId="15" fillId="0" borderId="0" xfId="51" applyFont="1" applyAlignment="1">
      <alignment horizontal="right"/>
    </xf>
    <xf numFmtId="0" fontId="15" fillId="0" borderId="0" xfId="51" applyFont="1" applyAlignment="1">
      <alignment horizontal="left"/>
    </xf>
    <xf numFmtId="0" fontId="15" fillId="0" borderId="0" xfId="51" applyFont="1"/>
    <xf numFmtId="0" fontId="87" fillId="0" borderId="1" xfId="23" applyFont="1" applyBorder="1" applyAlignment="1">
      <alignment vertical="center"/>
    </xf>
    <xf numFmtId="173" fontId="88" fillId="0" borderId="1" xfId="52" applyNumberFormat="1" applyFont="1" applyFill="1" applyBorder="1" applyAlignment="1">
      <alignment vertical="center"/>
    </xf>
    <xf numFmtId="0" fontId="0" fillId="0" borderId="1" xfId="0" applyBorder="1"/>
    <xf numFmtId="0" fontId="88" fillId="0" borderId="1" xfId="23" applyFont="1" applyBorder="1" applyAlignment="1">
      <alignment vertical="center"/>
    </xf>
    <xf numFmtId="0" fontId="16" fillId="0" borderId="0" xfId="51" applyFont="1"/>
    <xf numFmtId="0" fontId="88" fillId="0" borderId="0" xfId="23" applyFont="1" applyAlignment="1">
      <alignment vertical="center"/>
    </xf>
    <xf numFmtId="0" fontId="88" fillId="0" borderId="0" xfId="23" applyFont="1" applyAlignment="1">
      <alignment vertical="center" wrapText="1"/>
    </xf>
    <xf numFmtId="176" fontId="8" fillId="0" borderId="0" xfId="54" applyNumberFormat="1" applyFont="1" applyAlignment="1">
      <alignment horizontal="center" vertical="center" wrapText="1"/>
    </xf>
    <xf numFmtId="178" fontId="8" fillId="0" borderId="3" xfId="53" applyFont="1" applyBorder="1" applyAlignment="1">
      <alignment horizontal="right" vertical="center" wrapText="1"/>
    </xf>
    <xf numFmtId="178" fontId="8" fillId="0" borderId="0" xfId="53" applyFont="1" applyAlignment="1">
      <alignment horizontal="right" vertical="center" wrapText="1"/>
    </xf>
    <xf numFmtId="0" fontId="16" fillId="0" borderId="0" xfId="51" applyFont="1" applyAlignment="1">
      <alignment vertical="center"/>
    </xf>
    <xf numFmtId="0" fontId="89" fillId="0" borderId="1" xfId="23" applyFont="1" applyBorder="1"/>
    <xf numFmtId="0" fontId="12" fillId="0" borderId="1" xfId="23" applyFont="1" applyBorder="1" applyAlignment="1">
      <alignment horizontal="right" vertical="center" wrapText="1"/>
    </xf>
    <xf numFmtId="0" fontId="8" fillId="0" borderId="1" xfId="55" applyFont="1" applyBorder="1" applyAlignment="1">
      <alignment horizontal="right" vertical="center" wrapText="1"/>
    </xf>
    <xf numFmtId="0" fontId="16" fillId="0" borderId="0" xfId="23" applyFont="1"/>
    <xf numFmtId="0" fontId="16" fillId="0" borderId="0" xfId="52" applyNumberFormat="1" applyFont="1" applyFill="1" applyAlignment="1">
      <alignment vertical="center"/>
    </xf>
    <xf numFmtId="0" fontId="16" fillId="0" borderId="3" xfId="51" applyFont="1" applyBorder="1" applyAlignment="1">
      <alignment vertical="center"/>
    </xf>
    <xf numFmtId="0" fontId="16" fillId="0" borderId="0" xfId="23" applyFont="1" applyAlignment="1">
      <alignment vertical="center"/>
    </xf>
    <xf numFmtId="0" fontId="90" fillId="0" borderId="0" xfId="23" applyFont="1" applyAlignment="1">
      <alignment vertical="center"/>
    </xf>
    <xf numFmtId="1" fontId="8" fillId="0" borderId="0" xfId="56" applyNumberFormat="1" applyFont="1" applyAlignment="1">
      <alignment horizontal="center" vertical="center"/>
    </xf>
    <xf numFmtId="3" fontId="8" fillId="0" borderId="0" xfId="52" applyNumberFormat="1" applyFont="1" applyFill="1" applyBorder="1" applyAlignment="1">
      <alignment horizontal="right" vertical="center"/>
    </xf>
    <xf numFmtId="165" fontId="12" fillId="0" borderId="0" xfId="52" applyNumberFormat="1" applyFont="1" applyFill="1" applyAlignment="1">
      <alignment horizontal="right" vertical="center"/>
    </xf>
    <xf numFmtId="179" fontId="8" fillId="0" borderId="0" xfId="23" applyNumberFormat="1" applyFont="1" applyAlignment="1">
      <alignment horizontal="right" vertical="center"/>
    </xf>
    <xf numFmtId="3" fontId="16" fillId="0" borderId="0" xfId="51" applyNumberFormat="1" applyFont="1" applyAlignment="1">
      <alignment horizontal="right" vertical="center"/>
    </xf>
    <xf numFmtId="165" fontId="16" fillId="0" borderId="0" xfId="51" applyNumberFormat="1" applyFont="1" applyAlignment="1">
      <alignment horizontal="right" vertical="center"/>
    </xf>
    <xf numFmtId="179" fontId="16" fillId="0" borderId="0" xfId="51" applyNumberFormat="1" applyFont="1" applyAlignment="1">
      <alignment horizontal="right" vertical="center"/>
    </xf>
    <xf numFmtId="0" fontId="48" fillId="0" borderId="0" xfId="51" applyFont="1" applyAlignment="1">
      <alignment horizontal="left" vertical="center" indent="1"/>
    </xf>
    <xf numFmtId="1" fontId="7" fillId="0" borderId="0" xfId="56" applyNumberFormat="1" applyFont="1" applyAlignment="1">
      <alignment horizontal="center" vertical="center"/>
    </xf>
    <xf numFmtId="3" fontId="7" fillId="0" borderId="0" xfId="52" quotePrefix="1" applyNumberFormat="1" applyFont="1" applyFill="1" applyBorder="1" applyAlignment="1">
      <alignment horizontal="right" vertical="center"/>
    </xf>
    <xf numFmtId="165" fontId="16" fillId="0" borderId="0" xfId="52" applyNumberFormat="1" applyFont="1" applyFill="1" applyAlignment="1">
      <alignment horizontal="right" vertical="center"/>
    </xf>
    <xf numFmtId="179" fontId="7" fillId="0" borderId="0" xfId="23" applyNumberFormat="1" applyFont="1" applyAlignment="1">
      <alignment horizontal="right" vertical="center"/>
    </xf>
    <xf numFmtId="0" fontId="16" fillId="0" borderId="1" xfId="51" applyFont="1" applyBorder="1" applyAlignment="1">
      <alignment horizontal="left" vertical="center"/>
    </xf>
    <xf numFmtId="3" fontId="7" fillId="0" borderId="1" xfId="52" applyNumberFormat="1" applyFont="1" applyFill="1" applyBorder="1" applyAlignment="1">
      <alignment vertical="center"/>
    </xf>
    <xf numFmtId="165" fontId="16" fillId="0" borderId="1" xfId="52" applyNumberFormat="1" applyFont="1" applyFill="1" applyBorder="1" applyAlignment="1">
      <alignment vertical="center"/>
    </xf>
    <xf numFmtId="165" fontId="7" fillId="0" borderId="1" xfId="23" applyNumberFormat="1" applyFont="1" applyBorder="1" applyAlignment="1">
      <alignment vertical="center"/>
    </xf>
    <xf numFmtId="179" fontId="7" fillId="0" borderId="1" xfId="23" applyNumberFormat="1" applyFont="1" applyBorder="1" applyAlignment="1">
      <alignment vertical="center"/>
    </xf>
    <xf numFmtId="173" fontId="16" fillId="0" borderId="0" xfId="52" applyNumberFormat="1" applyFont="1" applyAlignment="1"/>
    <xf numFmtId="0" fontId="91" fillId="0" borderId="0" xfId="51" applyFont="1"/>
    <xf numFmtId="0" fontId="28" fillId="0" borderId="0" xfId="0" applyFont="1" applyAlignment="1">
      <alignment horizontal="right"/>
    </xf>
    <xf numFmtId="0" fontId="4" fillId="0" borderId="0" xfId="0" applyFont="1" applyAlignment="1">
      <alignment horizontal="right" vertical="top"/>
    </xf>
    <xf numFmtId="0" fontId="4" fillId="0" borderId="0" xfId="0" applyFont="1" applyAlignment="1">
      <alignment horizontal="right" vertical="top" wrapText="1"/>
    </xf>
    <xf numFmtId="0" fontId="4" fillId="0" borderId="0" xfId="0" applyFont="1" applyAlignment="1">
      <alignment horizontal="left" vertical="center"/>
    </xf>
    <xf numFmtId="0" fontId="6" fillId="0" borderId="0" xfId="0" applyFont="1" applyAlignment="1">
      <alignment vertical="top" wrapText="1"/>
    </xf>
    <xf numFmtId="0" fontId="6" fillId="0" borderId="0" xfId="0" applyFont="1" applyAlignment="1">
      <alignment horizontal="right" vertical="top" wrapText="1"/>
    </xf>
    <xf numFmtId="0" fontId="16" fillId="0" borderId="6" xfId="0" applyFont="1" applyBorder="1"/>
    <xf numFmtId="0" fontId="16" fillId="0" borderId="6" xfId="0" applyFont="1" applyBorder="1" applyAlignment="1">
      <alignment horizontal="right"/>
    </xf>
    <xf numFmtId="176" fontId="12" fillId="0" borderId="0" xfId="0" applyNumberFormat="1" applyFont="1" applyAlignment="1">
      <alignment horizontal="right" vertical="top" wrapText="1"/>
    </xf>
    <xf numFmtId="0" fontId="12" fillId="0" borderId="0" xfId="0" applyFont="1" applyAlignment="1">
      <alignment vertical="center" wrapText="1"/>
    </xf>
    <xf numFmtId="0" fontId="12" fillId="0" borderId="0" xfId="0" applyFont="1" applyAlignment="1">
      <alignment horizontal="right" vertical="center"/>
    </xf>
    <xf numFmtId="0" fontId="0" fillId="0" borderId="0" xfId="0" applyAlignment="1">
      <alignment horizontal="right"/>
    </xf>
    <xf numFmtId="0" fontId="73" fillId="0" borderId="0" xfId="0" applyFont="1" applyAlignment="1">
      <alignment vertical="center"/>
    </xf>
    <xf numFmtId="0" fontId="13" fillId="0" borderId="0" xfId="0" applyFont="1" applyAlignment="1">
      <alignment horizontal="left" vertical="center"/>
    </xf>
    <xf numFmtId="176" fontId="12" fillId="0" borderId="6" xfId="0" applyNumberFormat="1" applyFont="1" applyBorder="1" applyAlignment="1">
      <alignment horizontal="right" vertical="top" wrapText="1"/>
    </xf>
    <xf numFmtId="176" fontId="12" fillId="0" borderId="6" xfId="0" applyNumberFormat="1" applyFont="1" applyBorder="1" applyAlignment="1">
      <alignment vertical="center" wrapText="1"/>
    </xf>
    <xf numFmtId="0" fontId="16" fillId="0" borderId="6" xfId="0" applyFont="1" applyBorder="1" applyAlignment="1">
      <alignment horizontal="right" vertical="center"/>
    </xf>
    <xf numFmtId="176" fontId="16" fillId="0" borderId="0" xfId="0" applyNumberFormat="1" applyFont="1" applyAlignment="1">
      <alignment horizontal="right" vertical="top" wrapText="1"/>
    </xf>
    <xf numFmtId="0" fontId="12" fillId="0" borderId="0" xfId="0" applyFont="1" applyAlignment="1">
      <alignment horizontal="left" vertical="center"/>
    </xf>
    <xf numFmtId="0" fontId="2" fillId="0" borderId="0" xfId="57" applyFont="1" applyAlignment="1">
      <alignment horizontal="left" vertical="center"/>
    </xf>
    <xf numFmtId="165" fontId="16" fillId="0" borderId="0" xfId="0" applyNumberFormat="1" applyFont="1" applyAlignment="1">
      <alignment horizontal="center" vertical="center"/>
    </xf>
    <xf numFmtId="165" fontId="73" fillId="0" borderId="0" xfId="0" applyNumberFormat="1" applyFont="1" applyAlignment="1">
      <alignment horizontal="right" vertical="center"/>
    </xf>
    <xf numFmtId="2" fontId="16" fillId="0" borderId="0" xfId="0" applyNumberFormat="1" applyFont="1" applyAlignment="1">
      <alignment horizontal="right" vertical="center"/>
    </xf>
    <xf numFmtId="2" fontId="16" fillId="0" borderId="0" xfId="0" applyNumberFormat="1" applyFont="1" applyAlignment="1">
      <alignment horizontal="left"/>
    </xf>
    <xf numFmtId="165" fontId="16" fillId="0" borderId="0" xfId="0" applyNumberFormat="1" applyFont="1" applyAlignment="1">
      <alignment horizontal="right"/>
    </xf>
    <xf numFmtId="0" fontId="8" fillId="0" borderId="0" xfId="0" applyFont="1" applyAlignment="1">
      <alignment horizontal="left" vertical="center"/>
    </xf>
    <xf numFmtId="165" fontId="7" fillId="0" borderId="0" xfId="0" applyNumberFormat="1" applyFont="1" applyAlignment="1">
      <alignment horizontal="center" vertical="center"/>
    </xf>
    <xf numFmtId="2" fontId="7" fillId="0" borderId="0" xfId="0" applyNumberFormat="1" applyFont="1" applyAlignment="1">
      <alignment horizontal="right" vertical="center"/>
    </xf>
    <xf numFmtId="2" fontId="7" fillId="0" borderId="0" xfId="0" applyNumberFormat="1" applyFont="1" applyAlignment="1">
      <alignment horizontal="left"/>
    </xf>
    <xf numFmtId="0" fontId="10" fillId="0" borderId="0" xfId="0" applyFont="1" applyAlignment="1">
      <alignment horizontal="left" vertical="center"/>
    </xf>
    <xf numFmtId="0" fontId="16" fillId="0" borderId="11" xfId="0" applyFont="1" applyBorder="1" applyAlignment="1">
      <alignment vertical="center"/>
    </xf>
    <xf numFmtId="0" fontId="16" fillId="0" borderId="11" xfId="0" applyFont="1" applyBorder="1" applyAlignment="1">
      <alignment horizontal="right" vertical="center"/>
    </xf>
    <xf numFmtId="0" fontId="64" fillId="0" borderId="0" xfId="0" applyFont="1" applyAlignment="1">
      <alignment vertical="center"/>
    </xf>
    <xf numFmtId="0" fontId="65" fillId="0" borderId="0" xfId="0" applyFont="1" applyAlignment="1">
      <alignment horizontal="right" vertical="center"/>
    </xf>
    <xf numFmtId="0" fontId="65" fillId="0" borderId="0" xfId="0" applyFont="1" applyAlignment="1">
      <alignment vertical="center"/>
    </xf>
    <xf numFmtId="0" fontId="93" fillId="0" borderId="0" xfId="0" applyFont="1"/>
    <xf numFmtId="164" fontId="64" fillId="0" borderId="0" xfId="0" applyNumberFormat="1" applyFont="1" applyAlignment="1">
      <alignment vertical="center"/>
    </xf>
    <xf numFmtId="164" fontId="65" fillId="0" borderId="0" xfId="0" applyNumberFormat="1" applyFont="1" applyAlignment="1">
      <alignment vertical="center"/>
    </xf>
    <xf numFmtId="0" fontId="57" fillId="0" borderId="0" xfId="0" applyFont="1" applyAlignment="1">
      <alignment horizontal="right" vertical="center"/>
    </xf>
    <xf numFmtId="164" fontId="65" fillId="0" borderId="0" xfId="0" applyNumberFormat="1" applyFont="1" applyAlignment="1">
      <alignment horizontal="left" vertical="top"/>
    </xf>
    <xf numFmtId="164" fontId="65" fillId="0" borderId="0" xfId="0" applyNumberFormat="1" applyFont="1" applyAlignment="1">
      <alignment horizontal="right" vertical="top"/>
    </xf>
    <xf numFmtId="0" fontId="65" fillId="0" borderId="0" xfId="0" applyFont="1" applyAlignment="1">
      <alignment horizontal="left" vertical="top" wrapText="1"/>
    </xf>
    <xf numFmtId="0" fontId="65" fillId="0" borderId="0" xfId="0" applyFont="1" applyAlignment="1">
      <alignment horizontal="right" vertical="top" wrapText="1"/>
    </xf>
    <xf numFmtId="0" fontId="7" fillId="0" borderId="6" xfId="0" applyFont="1" applyBorder="1"/>
    <xf numFmtId="176" fontId="8" fillId="0" borderId="0" xfId="0" applyNumberFormat="1" applyFont="1" applyAlignment="1">
      <alignment horizontal="right" vertical="top" wrapText="1"/>
    </xf>
    <xf numFmtId="0" fontId="94" fillId="0" borderId="0" xfId="0" applyFont="1" applyAlignment="1">
      <alignment vertical="center"/>
    </xf>
    <xf numFmtId="0" fontId="8" fillId="0" borderId="0" xfId="0" applyFont="1" applyAlignment="1">
      <alignment horizontal="right" vertical="center"/>
    </xf>
    <xf numFmtId="0" fontId="7" fillId="0" borderId="0" xfId="0" applyFont="1" applyAlignment="1">
      <alignment horizontal="right" vertical="center"/>
    </xf>
    <xf numFmtId="0" fontId="8" fillId="0" borderId="0" xfId="0" applyFont="1" applyAlignment="1">
      <alignment horizontal="right" vertical="top"/>
    </xf>
    <xf numFmtId="0" fontId="7" fillId="0" borderId="0" xfId="0" applyFont="1" applyAlignment="1">
      <alignment horizontal="right" vertical="top"/>
    </xf>
    <xf numFmtId="176" fontId="8" fillId="0" borderId="6" xfId="0" applyNumberFormat="1" applyFont="1" applyBorder="1" applyAlignment="1">
      <alignment horizontal="right" vertical="top" wrapText="1"/>
    </xf>
    <xf numFmtId="0" fontId="7" fillId="0" borderId="6" xfId="0" applyFont="1" applyBorder="1" applyAlignment="1">
      <alignment horizontal="right" vertical="top"/>
    </xf>
    <xf numFmtId="0" fontId="10" fillId="0" borderId="6" xfId="0" applyFont="1" applyBorder="1" applyAlignment="1">
      <alignment horizontal="right" vertical="top"/>
    </xf>
    <xf numFmtId="0" fontId="10" fillId="0" borderId="6" xfId="0" applyFont="1" applyBorder="1" applyAlignment="1">
      <alignment horizontal="right" vertical="top" wrapText="1"/>
    </xf>
    <xf numFmtId="176" fontId="7" fillId="0" borderId="0" xfId="0" applyNumberFormat="1" applyFont="1" applyAlignment="1">
      <alignment horizontal="right" vertical="top" wrapText="1"/>
    </xf>
    <xf numFmtId="0" fontId="95" fillId="0" borderId="0" xfId="0" applyFont="1"/>
    <xf numFmtId="0" fontId="95" fillId="0" borderId="0" xfId="0" applyFont="1" applyAlignment="1">
      <alignment horizontal="left" indent="1"/>
    </xf>
    <xf numFmtId="0" fontId="10" fillId="0" borderId="0" xfId="0" applyFont="1" applyAlignment="1">
      <alignment horizontal="left" vertical="center" indent="1"/>
    </xf>
    <xf numFmtId="0" fontId="7" fillId="0" borderId="11" xfId="0" applyFont="1" applyBorder="1" applyAlignment="1">
      <alignment vertical="center"/>
    </xf>
    <xf numFmtId="0" fontId="20" fillId="0" borderId="0" xfId="0" applyFont="1" applyAlignment="1">
      <alignment vertical="center"/>
    </xf>
    <xf numFmtId="0" fontId="18" fillId="0" borderId="12" xfId="0" applyFont="1" applyBorder="1" applyAlignment="1">
      <alignment horizontal="right" vertical="center"/>
    </xf>
    <xf numFmtId="0" fontId="18" fillId="0" borderId="0" xfId="0" applyFont="1" applyAlignment="1">
      <alignment vertical="center"/>
    </xf>
    <xf numFmtId="0" fontId="19" fillId="0" borderId="0" xfId="0" applyFont="1" applyAlignment="1">
      <alignment vertical="center"/>
    </xf>
    <xf numFmtId="0" fontId="19" fillId="0" borderId="0" xfId="0" applyFont="1" applyAlignment="1">
      <alignment horizontal="right" vertical="center"/>
    </xf>
    <xf numFmtId="0" fontId="10" fillId="0" borderId="0" xfId="0" applyFont="1" applyAlignment="1">
      <alignment horizontal="right" vertical="center"/>
    </xf>
    <xf numFmtId="164" fontId="18" fillId="0" borderId="0" xfId="0" applyNumberFormat="1" applyFont="1"/>
    <xf numFmtId="164" fontId="20" fillId="0" borderId="0" xfId="0" applyNumberFormat="1" applyFont="1"/>
    <xf numFmtId="164" fontId="18" fillId="0" borderId="0" xfId="0" applyNumberFormat="1" applyFont="1" applyAlignment="1">
      <alignment vertical="center"/>
    </xf>
    <xf numFmtId="164" fontId="19" fillId="0" borderId="0" xfId="0" applyNumberFormat="1" applyFont="1"/>
    <xf numFmtId="164" fontId="19" fillId="0" borderId="0" xfId="0" applyNumberFormat="1" applyFont="1" applyAlignment="1">
      <alignment wrapText="1"/>
    </xf>
    <xf numFmtId="0" fontId="97" fillId="0" borderId="0" xfId="0" applyFont="1"/>
    <xf numFmtId="175" fontId="16" fillId="0" borderId="0" xfId="52" applyNumberFormat="1" applyFont="1"/>
    <xf numFmtId="175" fontId="7" fillId="0" borderId="0" xfId="52" applyNumberFormat="1" applyFont="1"/>
    <xf numFmtId="0" fontId="14" fillId="0" borderId="0" xfId="0" applyFont="1" applyAlignment="1">
      <alignment horizontal="left"/>
    </xf>
    <xf numFmtId="0" fontId="14" fillId="0" borderId="0" xfId="0" applyFont="1" applyAlignment="1">
      <alignment horizontal="left" vertical="top"/>
    </xf>
    <xf numFmtId="0" fontId="4" fillId="0" borderId="0" xfId="0" applyFont="1" applyAlignment="1">
      <alignment horizontal="left" vertical="top"/>
    </xf>
    <xf numFmtId="0" fontId="16" fillId="0" borderId="0" xfId="0" applyFont="1" applyAlignment="1">
      <alignment horizontal="left" vertical="top"/>
    </xf>
    <xf numFmtId="0" fontId="15" fillId="0" borderId="0" xfId="0" applyFont="1" applyAlignment="1">
      <alignment horizontal="right"/>
    </xf>
    <xf numFmtId="0" fontId="15" fillId="0" borderId="0" xfId="0" applyFont="1" applyAlignment="1">
      <alignment horizontal="left"/>
    </xf>
    <xf numFmtId="0" fontId="15" fillId="0" borderId="0" xfId="0" applyFont="1" applyAlignment="1">
      <alignment horizontal="left" vertical="center"/>
    </xf>
    <xf numFmtId="0" fontId="6" fillId="0" borderId="0" xfId="0" applyFont="1" applyAlignment="1">
      <alignment horizontal="left" vertical="center"/>
    </xf>
    <xf numFmtId="0" fontId="16" fillId="0" borderId="0" xfId="0" applyFont="1" applyAlignment="1">
      <alignment horizontal="left"/>
    </xf>
    <xf numFmtId="175" fontId="16" fillId="0" borderId="0" xfId="52" applyNumberFormat="1" applyFont="1" applyAlignment="1">
      <alignment horizontal="right"/>
    </xf>
    <xf numFmtId="0" fontId="16" fillId="0" borderId="2" xfId="0" applyFont="1" applyBorder="1" applyAlignment="1">
      <alignment horizontal="left" vertical="center" wrapText="1"/>
    </xf>
    <xf numFmtId="0" fontId="16" fillId="0" borderId="2" xfId="52" applyNumberFormat="1" applyFont="1" applyBorder="1" applyAlignment="1">
      <alignment vertical="center" wrapText="1"/>
    </xf>
    <xf numFmtId="0" fontId="12" fillId="0" borderId="2" xfId="52" applyNumberFormat="1" applyFont="1" applyBorder="1" applyAlignment="1">
      <alignment horizontal="right" vertical="center" wrapText="1"/>
    </xf>
    <xf numFmtId="0" fontId="8" fillId="0" borderId="2" xfId="52" applyNumberFormat="1" applyFont="1" applyBorder="1" applyAlignment="1">
      <alignment horizontal="right" vertical="center" wrapText="1"/>
    </xf>
    <xf numFmtId="0" fontId="12" fillId="0" borderId="0" xfId="0" applyFont="1" applyAlignment="1">
      <alignment vertical="top" wrapText="1"/>
    </xf>
    <xf numFmtId="175" fontId="16" fillId="0" borderId="0" xfId="52" applyNumberFormat="1" applyFont="1" applyFill="1" applyBorder="1" applyAlignment="1">
      <alignment vertical="center" wrapText="1"/>
    </xf>
    <xf numFmtId="175" fontId="16" fillId="0" borderId="0" xfId="52" applyNumberFormat="1" applyFont="1" applyFill="1" applyBorder="1" applyAlignment="1">
      <alignment horizontal="right" vertical="center" wrapText="1"/>
    </xf>
    <xf numFmtId="175" fontId="7" fillId="0" borderId="0" xfId="52" applyNumberFormat="1" applyFont="1" applyFill="1" applyBorder="1" applyAlignment="1">
      <alignment horizontal="right" vertical="center" wrapText="1"/>
    </xf>
    <xf numFmtId="175" fontId="16" fillId="0" borderId="0" xfId="52" applyNumberFormat="1" applyFont="1" applyBorder="1" applyAlignment="1">
      <alignment horizontal="right" vertical="top" wrapText="1"/>
    </xf>
    <xf numFmtId="175" fontId="7" fillId="0" borderId="0" xfId="52" applyNumberFormat="1" applyFont="1" applyBorder="1" applyAlignment="1">
      <alignment horizontal="right" vertical="top" wrapText="1"/>
    </xf>
    <xf numFmtId="172" fontId="7" fillId="0" borderId="0" xfId="52" applyNumberFormat="1" applyFont="1" applyBorder="1" applyAlignment="1">
      <alignment horizontal="right" vertical="top" wrapText="1"/>
    </xf>
    <xf numFmtId="175" fontId="16" fillId="0" borderId="0" xfId="52" applyNumberFormat="1" applyFont="1" applyFill="1" applyBorder="1" applyAlignment="1">
      <alignment vertical="top" wrapText="1"/>
    </xf>
    <xf numFmtId="175" fontId="7" fillId="0" borderId="0" xfId="52" applyNumberFormat="1" applyFont="1" applyFill="1" applyBorder="1" applyAlignment="1">
      <alignment vertical="top" wrapText="1"/>
    </xf>
    <xf numFmtId="172" fontId="7" fillId="0" borderId="0" xfId="52" applyNumberFormat="1" applyFont="1" applyFill="1" applyBorder="1" applyAlignment="1">
      <alignment horizontal="right" vertical="top" wrapText="1"/>
    </xf>
    <xf numFmtId="0" fontId="16" fillId="0" borderId="0" xfId="42" applyFont="1" applyAlignment="1">
      <alignment horizontal="left" vertical="top" wrapText="1"/>
    </xf>
    <xf numFmtId="0" fontId="16" fillId="0" borderId="1" xfId="0" applyFont="1" applyBorder="1" applyAlignment="1">
      <alignment vertical="top" wrapText="1"/>
    </xf>
    <xf numFmtId="175" fontId="16" fillId="0" borderId="1" xfId="52" applyNumberFormat="1" applyFont="1" applyBorder="1" applyAlignment="1">
      <alignment horizontal="right" vertical="top" wrapText="1"/>
    </xf>
    <xf numFmtId="175" fontId="7" fillId="0" borderId="1" xfId="52" applyNumberFormat="1" applyFont="1" applyBorder="1" applyAlignment="1">
      <alignment horizontal="right" vertical="top" wrapText="1"/>
    </xf>
    <xf numFmtId="172" fontId="7" fillId="0" borderId="1" xfId="52" applyNumberFormat="1" applyFont="1" applyBorder="1" applyAlignment="1">
      <alignment horizontal="right" vertical="top" wrapText="1"/>
    </xf>
    <xf numFmtId="0" fontId="8" fillId="0" borderId="0" xfId="0" applyFont="1" applyAlignment="1">
      <alignment horizontal="right"/>
    </xf>
    <xf numFmtId="0" fontId="10" fillId="0" borderId="0" xfId="0" applyFont="1" applyAlignment="1">
      <alignment horizontal="right"/>
    </xf>
    <xf numFmtId="0" fontId="12" fillId="0" borderId="0" xfId="0" quotePrefix="1" applyFont="1"/>
    <xf numFmtId="0" fontId="2" fillId="0" borderId="0" xfId="0" quotePrefix="1" applyFont="1"/>
    <xf numFmtId="0" fontId="65" fillId="0" borderId="0" xfId="0" applyFont="1" applyAlignment="1">
      <alignment vertical="top"/>
    </xf>
    <xf numFmtId="0" fontId="65" fillId="0" borderId="0" xfId="0" applyFont="1"/>
    <xf numFmtId="0" fontId="14" fillId="0" borderId="0" xfId="0" applyFont="1" applyAlignment="1">
      <alignment horizontal="left" vertical="center"/>
    </xf>
    <xf numFmtId="0" fontId="16" fillId="0" borderId="2" xfId="0" applyFont="1" applyBorder="1" applyAlignment="1">
      <alignment vertical="center" wrapText="1"/>
    </xf>
    <xf numFmtId="172" fontId="7" fillId="0" borderId="0" xfId="52" applyNumberFormat="1" applyFont="1" applyFill="1" applyBorder="1" applyAlignment="1">
      <alignment horizontal="right" vertical="center" wrapText="1"/>
    </xf>
    <xf numFmtId="172" fontId="7" fillId="0" borderId="0" xfId="52" applyNumberFormat="1" applyFont="1" applyBorder="1" applyAlignment="1">
      <alignment horizontal="right" vertical="center" wrapText="1"/>
    </xf>
    <xf numFmtId="0" fontId="12" fillId="0" borderId="1" xfId="0" applyFont="1" applyBorder="1" applyAlignment="1">
      <alignment vertical="top" wrapText="1"/>
    </xf>
    <xf numFmtId="0" fontId="2" fillId="0" borderId="0" xfId="0" quotePrefix="1" applyFont="1" applyAlignment="1">
      <alignment vertical="top"/>
    </xf>
    <xf numFmtId="0" fontId="16" fillId="0" borderId="1" xfId="0" applyFont="1" applyBorder="1" applyAlignment="1">
      <alignment vertical="center" wrapText="1"/>
    </xf>
    <xf numFmtId="175" fontId="16" fillId="0" borderId="1" xfId="52" applyNumberFormat="1" applyFont="1" applyBorder="1" applyAlignment="1">
      <alignment horizontal="right" vertical="center" wrapText="1"/>
    </xf>
    <xf numFmtId="175" fontId="7" fillId="0" borderId="1" xfId="52" applyNumberFormat="1" applyFont="1" applyBorder="1" applyAlignment="1">
      <alignment horizontal="right" vertical="center" wrapText="1"/>
    </xf>
    <xf numFmtId="0" fontId="0" fillId="0" borderId="0" xfId="0" applyAlignment="1">
      <alignment horizontal="left" vertical="center"/>
    </xf>
    <xf numFmtId="175" fontId="0" fillId="0" borderId="0" xfId="58" applyNumberFormat="1" applyFont="1" applyFill="1" applyBorder="1"/>
    <xf numFmtId="0" fontId="14" fillId="0" borderId="0" xfId="0" applyFont="1" applyAlignment="1">
      <alignment horizontal="right" vertical="center"/>
    </xf>
    <xf numFmtId="0" fontId="15" fillId="0" borderId="0" xfId="0" applyFont="1" applyAlignment="1">
      <alignment horizontal="right" vertical="top"/>
    </xf>
    <xf numFmtId="175" fontId="0" fillId="0" borderId="0" xfId="58" applyNumberFormat="1" applyFont="1" applyFill="1" applyBorder="1" applyAlignment="1">
      <alignment horizontal="right"/>
    </xf>
    <xf numFmtId="0" fontId="16" fillId="0" borderId="2" xfId="58" applyNumberFormat="1" applyFont="1" applyFill="1" applyBorder="1" applyAlignment="1">
      <alignment vertical="center" wrapText="1"/>
    </xf>
    <xf numFmtId="0" fontId="12" fillId="0" borderId="2" xfId="52" applyNumberFormat="1" applyFont="1" applyBorder="1" applyAlignment="1">
      <alignment vertical="center" wrapText="1"/>
    </xf>
    <xf numFmtId="175" fontId="12" fillId="0" borderId="0" xfId="58" applyNumberFormat="1" applyFont="1" applyFill="1" applyBorder="1" applyAlignment="1">
      <alignment vertical="center" wrapText="1"/>
    </xf>
    <xf numFmtId="175" fontId="12" fillId="0" borderId="0" xfId="58" applyNumberFormat="1" applyFont="1" applyFill="1" applyBorder="1" applyAlignment="1">
      <alignment horizontal="right" vertical="center" wrapText="1"/>
    </xf>
    <xf numFmtId="0" fontId="16" fillId="0" borderId="0" xfId="0" applyFont="1" applyAlignment="1">
      <alignment horizontal="left" vertical="top" wrapText="1"/>
    </xf>
    <xf numFmtId="0" fontId="12" fillId="0" borderId="0" xfId="0" applyFont="1" applyAlignment="1">
      <alignment horizontal="left" vertical="top" wrapText="1"/>
    </xf>
    <xf numFmtId="175" fontId="16" fillId="0" borderId="0" xfId="58" applyNumberFormat="1" applyFont="1" applyFill="1" applyBorder="1" applyAlignment="1">
      <alignment horizontal="right" vertical="top" wrapText="1"/>
    </xf>
    <xf numFmtId="165" fontId="16" fillId="0" borderId="0" xfId="58" applyNumberFormat="1" applyFont="1" applyFill="1" applyBorder="1" applyAlignment="1">
      <alignment horizontal="right" vertical="top" wrapText="1"/>
    </xf>
    <xf numFmtId="173" fontId="16" fillId="0" borderId="0" xfId="58" applyNumberFormat="1" applyFont="1" applyFill="1" applyBorder="1" applyAlignment="1">
      <alignment horizontal="right" vertical="top" wrapText="1"/>
    </xf>
    <xf numFmtId="0" fontId="12" fillId="0" borderId="0" xfId="0" applyFont="1" applyAlignment="1">
      <alignment horizontal="left" vertical="top"/>
    </xf>
    <xf numFmtId="175" fontId="12" fillId="0" borderId="0" xfId="58" applyNumberFormat="1" applyFont="1" applyFill="1" applyBorder="1" applyAlignment="1">
      <alignment horizontal="right" vertical="top" wrapText="1"/>
    </xf>
    <xf numFmtId="165" fontId="12" fillId="0" borderId="0" xfId="58" applyNumberFormat="1" applyFont="1" applyFill="1" applyBorder="1" applyAlignment="1">
      <alignment horizontal="right" vertical="top" wrapText="1"/>
    </xf>
    <xf numFmtId="175" fontId="16" fillId="0" borderId="0" xfId="58" applyNumberFormat="1" applyFont="1" applyBorder="1" applyAlignment="1">
      <alignment horizontal="right" vertical="top" wrapText="1"/>
    </xf>
    <xf numFmtId="0" fontId="12" fillId="0" borderId="0" xfId="42" applyFont="1" applyAlignment="1">
      <alignment horizontal="left" vertical="top" wrapText="1"/>
    </xf>
    <xf numFmtId="165" fontId="16" fillId="0" borderId="0" xfId="58" applyNumberFormat="1" applyFont="1" applyFill="1" applyBorder="1" applyAlignment="1">
      <alignment horizontal="right" vertical="center" wrapText="1"/>
    </xf>
    <xf numFmtId="0" fontId="1" fillId="0" borderId="0" xfId="42"/>
    <xf numFmtId="0" fontId="16" fillId="0" borderId="1" xfId="42" applyFont="1" applyBorder="1" applyAlignment="1">
      <alignment horizontal="left" vertical="top" wrapText="1"/>
    </xf>
    <xf numFmtId="173" fontId="16" fillId="0" borderId="1" xfId="58" applyNumberFormat="1" applyFont="1" applyFill="1" applyBorder="1" applyAlignment="1">
      <alignment horizontal="right" vertical="top" wrapText="1"/>
    </xf>
    <xf numFmtId="165" fontId="16" fillId="0" borderId="1" xfId="58" applyNumberFormat="1" applyFont="1" applyFill="1" applyBorder="1" applyAlignment="1">
      <alignment horizontal="right" vertical="center" wrapText="1"/>
    </xf>
    <xf numFmtId="165" fontId="16" fillId="0" borderId="1" xfId="58" applyNumberFormat="1" applyFont="1" applyFill="1" applyBorder="1" applyAlignment="1">
      <alignment horizontal="right" vertical="top" wrapText="1"/>
    </xf>
    <xf numFmtId="0" fontId="1" fillId="0" borderId="0" xfId="42" applyAlignment="1">
      <alignment horizontal="left" vertical="center"/>
    </xf>
    <xf numFmtId="0" fontId="64" fillId="0" borderId="0" xfId="42" applyFont="1" applyAlignment="1">
      <alignment horizontal="right"/>
    </xf>
    <xf numFmtId="0" fontId="65" fillId="0" borderId="0" xfId="42" applyFont="1" applyAlignment="1">
      <alignment horizontal="right"/>
    </xf>
    <xf numFmtId="0" fontId="64" fillId="0" borderId="0" xfId="42" applyFont="1"/>
    <xf numFmtId="0" fontId="12" fillId="0" borderId="0" xfId="42" applyFont="1"/>
    <xf numFmtId="0" fontId="64" fillId="0" borderId="0" xfId="42" applyFont="1" applyAlignment="1">
      <alignment vertical="center"/>
    </xf>
    <xf numFmtId="0" fontId="12" fillId="0" borderId="0" xfId="42" applyFont="1" applyAlignment="1">
      <alignment vertical="center"/>
    </xf>
    <xf numFmtId="0" fontId="65" fillId="0" borderId="0" xfId="42" applyFont="1" applyAlignment="1">
      <alignment vertical="top"/>
    </xf>
    <xf numFmtId="0" fontId="65" fillId="0" borderId="0" xfId="42" applyFont="1"/>
    <xf numFmtId="0" fontId="14" fillId="0" borderId="0" xfId="42" applyFont="1" applyAlignment="1">
      <alignment horizontal="right" vertical="center"/>
    </xf>
    <xf numFmtId="0" fontId="14" fillId="0" borderId="0" xfId="42" applyFont="1" applyAlignment="1">
      <alignment horizontal="left" vertical="center"/>
    </xf>
    <xf numFmtId="0" fontId="15" fillId="0" borderId="0" xfId="42" applyFont="1" applyAlignment="1">
      <alignment horizontal="right" vertical="top"/>
    </xf>
    <xf numFmtId="0" fontId="15" fillId="0" borderId="0" xfId="42" applyFont="1" applyAlignment="1">
      <alignment horizontal="left" vertical="center"/>
    </xf>
    <xf numFmtId="0" fontId="1" fillId="0" borderId="0" xfId="42" applyAlignment="1">
      <alignment horizontal="right"/>
    </xf>
    <xf numFmtId="0" fontId="16" fillId="0" borderId="2" xfId="42" applyFont="1" applyBorder="1" applyAlignment="1">
      <alignment horizontal="left" vertical="center" wrapText="1"/>
    </xf>
    <xf numFmtId="0" fontId="16" fillId="0" borderId="2" xfId="42" applyFont="1" applyBorder="1" applyAlignment="1">
      <alignment vertical="center" wrapText="1"/>
    </xf>
    <xf numFmtId="0" fontId="16" fillId="0" borderId="0" xfId="42" applyFont="1" applyAlignment="1">
      <alignment horizontal="left" vertical="center" wrapText="1"/>
    </xf>
    <xf numFmtId="0" fontId="12" fillId="0" borderId="0" xfId="42" applyFont="1" applyAlignment="1">
      <alignment horizontal="left" vertical="center" wrapText="1"/>
    </xf>
    <xf numFmtId="0" fontId="16" fillId="0" borderId="0" xfId="42" applyFont="1" applyAlignment="1">
      <alignment vertical="center" wrapText="1"/>
    </xf>
    <xf numFmtId="0" fontId="12" fillId="0" borderId="0" xfId="42" applyFont="1" applyAlignment="1">
      <alignment horizontal="left" vertical="top"/>
    </xf>
    <xf numFmtId="0" fontId="16" fillId="0" borderId="0" xfId="42" applyFont="1" applyAlignment="1">
      <alignment vertical="top" wrapText="1"/>
    </xf>
    <xf numFmtId="0" fontId="16" fillId="0" borderId="1" xfId="42" applyFont="1" applyBorder="1" applyAlignment="1">
      <alignment horizontal="left" vertical="center" wrapText="1"/>
    </xf>
    <xf numFmtId="0" fontId="1" fillId="0" borderId="1" xfId="42" applyBorder="1" applyAlignment="1">
      <alignment horizontal="left" vertical="center"/>
    </xf>
    <xf numFmtId="175" fontId="16" fillId="0" borderId="1" xfId="58" applyNumberFormat="1" applyFont="1" applyFill="1" applyBorder="1" applyAlignment="1">
      <alignment horizontal="right" vertical="center" wrapText="1"/>
    </xf>
    <xf numFmtId="0" fontId="99" fillId="0" borderId="0" xfId="42" applyFont="1"/>
    <xf numFmtId="175" fontId="16" fillId="0" borderId="0" xfId="58" applyNumberFormat="1" applyFont="1"/>
    <xf numFmtId="0" fontId="14" fillId="0" borderId="0" xfId="42" applyFont="1" applyAlignment="1">
      <alignment vertical="center"/>
    </xf>
    <xf numFmtId="0" fontId="15" fillId="0" borderId="0" xfId="42" applyFont="1" applyAlignment="1">
      <alignment vertical="center"/>
    </xf>
    <xf numFmtId="175" fontId="16" fillId="0" borderId="1" xfId="58" applyNumberFormat="1" applyFont="1" applyBorder="1" applyAlignment="1">
      <alignment horizontal="right"/>
    </xf>
    <xf numFmtId="175" fontId="12" fillId="0" borderId="1" xfId="58" applyNumberFormat="1" applyFont="1" applyBorder="1" applyAlignment="1">
      <alignment horizontal="right" vertical="center" wrapText="1"/>
    </xf>
    <xf numFmtId="0" fontId="16" fillId="0" borderId="3" xfId="42" applyFont="1" applyBorder="1" applyAlignment="1">
      <alignment vertical="center" wrapText="1"/>
    </xf>
    <xf numFmtId="0" fontId="16" fillId="0" borderId="1" xfId="42" applyFont="1" applyBorder="1" applyAlignment="1">
      <alignment vertical="center" wrapText="1"/>
    </xf>
    <xf numFmtId="0" fontId="12" fillId="0" borderId="1" xfId="58" applyNumberFormat="1" applyFont="1" applyBorder="1" applyAlignment="1">
      <alignment horizontal="right" vertical="center" wrapText="1"/>
    </xf>
    <xf numFmtId="0" fontId="12" fillId="0" borderId="0" xfId="42" applyFont="1" applyAlignment="1">
      <alignment vertical="center" wrapText="1"/>
    </xf>
    <xf numFmtId="0" fontId="12" fillId="0" borderId="0" xfId="42" applyFont="1" applyAlignment="1">
      <alignment vertical="top" wrapText="1"/>
    </xf>
    <xf numFmtId="175" fontId="16" fillId="0" borderId="0" xfId="58" applyNumberFormat="1" applyFont="1" applyFill="1" applyBorder="1" applyAlignment="1">
      <alignment vertical="center" wrapText="1"/>
    </xf>
    <xf numFmtId="175" fontId="16" fillId="0" borderId="3" xfId="58" applyNumberFormat="1" applyFont="1" applyFill="1" applyBorder="1" applyAlignment="1">
      <alignment horizontal="right" vertical="center" wrapText="1"/>
    </xf>
    <xf numFmtId="172" fontId="16" fillId="0" borderId="0" xfId="58" applyNumberFormat="1" applyFont="1" applyBorder="1" applyAlignment="1">
      <alignment horizontal="right" vertical="top" wrapText="1"/>
    </xf>
    <xf numFmtId="0" fontId="99" fillId="0" borderId="0" xfId="42" applyFont="1" applyAlignment="1">
      <alignment horizontal="left" vertical="center" wrapText="1"/>
    </xf>
    <xf numFmtId="172" fontId="16" fillId="0" borderId="0" xfId="58" applyNumberFormat="1" applyFont="1" applyFill="1" applyBorder="1" applyAlignment="1">
      <alignment horizontal="right" vertical="top" wrapText="1"/>
    </xf>
    <xf numFmtId="0" fontId="99" fillId="0" borderId="0" xfId="42" applyFont="1" applyAlignment="1">
      <alignment vertical="center" wrapText="1"/>
    </xf>
    <xf numFmtId="175" fontId="16" fillId="0" borderId="0" xfId="58" applyNumberFormat="1" applyFont="1" applyFill="1" applyBorder="1" applyAlignment="1">
      <alignment vertical="top" wrapText="1"/>
    </xf>
    <xf numFmtId="0" fontId="16" fillId="0" borderId="1" xfId="42" applyFont="1" applyBorder="1" applyAlignment="1">
      <alignment vertical="top" wrapText="1"/>
    </xf>
    <xf numFmtId="172" fontId="16" fillId="0" borderId="1" xfId="58" applyNumberFormat="1" applyFont="1" applyBorder="1" applyAlignment="1">
      <alignment horizontal="right" vertical="top" wrapText="1"/>
    </xf>
    <xf numFmtId="0" fontId="12" fillId="0" borderId="0" xfId="42" applyFont="1" applyAlignment="1">
      <alignment horizontal="right"/>
    </xf>
    <xf numFmtId="0" fontId="13" fillId="0" borderId="0" xfId="42" applyFont="1" applyAlignment="1">
      <alignment horizontal="right"/>
    </xf>
    <xf numFmtId="175" fontId="57" fillId="0" borderId="0" xfId="58" applyNumberFormat="1" applyFont="1"/>
    <xf numFmtId="172" fontId="16" fillId="0" borderId="0" xfId="58" applyNumberFormat="1" applyFont="1" applyFill="1" applyBorder="1" applyAlignment="1">
      <alignment horizontal="right" vertical="center" wrapText="1"/>
    </xf>
    <xf numFmtId="0" fontId="16" fillId="0" borderId="1" xfId="42" applyFont="1" applyBorder="1" applyAlignment="1">
      <alignment wrapText="1"/>
    </xf>
    <xf numFmtId="175" fontId="16" fillId="0" borderId="1" xfId="58" applyNumberFormat="1" applyFont="1" applyBorder="1" applyAlignment="1">
      <alignment horizontal="right" vertical="center" wrapText="1"/>
    </xf>
    <xf numFmtId="0" fontId="7" fillId="0" borderId="0" xfId="59" applyFont="1"/>
    <xf numFmtId="165" fontId="7" fillId="0" borderId="0" xfId="59" applyNumberFormat="1" applyFont="1" applyAlignment="1">
      <alignment horizontal="right"/>
    </xf>
    <xf numFmtId="0" fontId="7" fillId="0" borderId="0" xfId="59" applyFont="1" applyAlignment="1">
      <alignment horizontal="right"/>
    </xf>
    <xf numFmtId="165" fontId="4" fillId="0" borderId="0" xfId="43" applyNumberFormat="1" applyFont="1" applyAlignment="1">
      <alignment horizontal="right"/>
    </xf>
    <xf numFmtId="0" fontId="3" fillId="0" borderId="0" xfId="59" applyFont="1"/>
    <xf numFmtId="0" fontId="6" fillId="0" borderId="0" xfId="43" applyFont="1" applyAlignment="1">
      <alignment horizontal="right" vertical="top"/>
    </xf>
    <xf numFmtId="0" fontId="6" fillId="0" borderId="0" xfId="43" applyFont="1" applyAlignment="1">
      <alignment vertical="top"/>
    </xf>
    <xf numFmtId="165" fontId="4" fillId="0" borderId="0" xfId="43" applyNumberFormat="1" applyFont="1" applyAlignment="1">
      <alignment horizontal="right" vertical="top"/>
    </xf>
    <xf numFmtId="0" fontId="4" fillId="0" borderId="0" xfId="43" applyFont="1" applyAlignment="1">
      <alignment horizontal="right" vertical="top"/>
    </xf>
    <xf numFmtId="0" fontId="3" fillId="0" borderId="0" xfId="59" applyFont="1" applyAlignment="1">
      <alignment vertical="top"/>
    </xf>
    <xf numFmtId="0" fontId="8" fillId="0" borderId="0" xfId="59" applyFont="1" applyAlignment="1">
      <alignment horizontal="right"/>
    </xf>
    <xf numFmtId="0" fontId="7" fillId="0" borderId="3" xfId="59" applyFont="1" applyBorder="1" applyAlignment="1">
      <alignment wrapText="1"/>
    </xf>
    <xf numFmtId="0" fontId="8" fillId="0" borderId="3" xfId="59" applyFont="1" applyBorder="1" applyAlignment="1">
      <alignment wrapText="1"/>
    </xf>
    <xf numFmtId="0" fontId="7" fillId="0" borderId="3" xfId="59" applyFont="1" applyBorder="1" applyAlignment="1">
      <alignment horizontal="left" vertical="top" wrapText="1"/>
    </xf>
    <xf numFmtId="165" fontId="8" fillId="0" borderId="3" xfId="59" applyNumberFormat="1" applyFont="1" applyBorder="1" applyAlignment="1">
      <alignment horizontal="right" wrapText="1"/>
    </xf>
    <xf numFmtId="0" fontId="7" fillId="0" borderId="0" xfId="59" applyFont="1" applyAlignment="1">
      <alignment horizontal="right" wrapText="1"/>
    </xf>
    <xf numFmtId="0" fontId="10" fillId="0" borderId="1" xfId="59" applyFont="1" applyBorder="1" applyAlignment="1">
      <alignment vertical="top" wrapText="1"/>
    </xf>
    <xf numFmtId="0" fontId="10" fillId="0" borderId="1" xfId="59" applyFont="1" applyBorder="1" applyAlignment="1">
      <alignment horizontal="left" vertical="top" wrapText="1"/>
    </xf>
    <xf numFmtId="165" fontId="10" fillId="0" borderId="1" xfId="59" applyNumberFormat="1" applyFont="1" applyBorder="1" applyAlignment="1">
      <alignment horizontal="right" vertical="top" wrapText="1"/>
    </xf>
    <xf numFmtId="0" fontId="10" fillId="0" borderId="0" xfId="59" applyFont="1" applyAlignment="1">
      <alignment horizontal="right" vertical="top" wrapText="1"/>
    </xf>
    <xf numFmtId="0" fontId="10" fillId="0" borderId="0" xfId="59" applyFont="1" applyAlignment="1">
      <alignment horizontal="left" vertical="top" wrapText="1"/>
    </xf>
    <xf numFmtId="165" fontId="10" fillId="0" borderId="0" xfId="59" applyNumberFormat="1" applyFont="1" applyAlignment="1">
      <alignment horizontal="right" vertical="top" wrapText="1"/>
    </xf>
    <xf numFmtId="3" fontId="8" fillId="0" borderId="0" xfId="60" applyNumberFormat="1" applyFont="1" applyAlignment="1">
      <alignment vertical="center"/>
    </xf>
    <xf numFmtId="0" fontId="8" fillId="0" borderId="0" xfId="59" applyFont="1" applyAlignment="1">
      <alignment vertical="center"/>
    </xf>
    <xf numFmtId="3" fontId="8" fillId="0" borderId="0" xfId="59" applyNumberFormat="1" applyFont="1" applyAlignment="1">
      <alignment horizontal="right" vertical="center"/>
    </xf>
    <xf numFmtId="0" fontId="8" fillId="0" borderId="0" xfId="59" applyFont="1" applyAlignment="1">
      <alignment horizontal="right" vertical="center"/>
    </xf>
    <xf numFmtId="3" fontId="10" fillId="0" borderId="0" xfId="59" applyNumberFormat="1" applyFont="1" applyAlignment="1">
      <alignment horizontal="right" vertical="center" wrapText="1"/>
    </xf>
    <xf numFmtId="0" fontId="7" fillId="0" borderId="0" xfId="59" applyFont="1" applyAlignment="1">
      <alignment horizontal="left" vertical="center" indent="1"/>
    </xf>
    <xf numFmtId="0" fontId="7" fillId="0" borderId="0" xfId="59" applyFont="1" applyAlignment="1">
      <alignment vertical="center"/>
    </xf>
    <xf numFmtId="3" fontId="7" fillId="0" borderId="0" xfId="59" applyNumberFormat="1" applyFont="1" applyAlignment="1">
      <alignment horizontal="right" vertical="center"/>
    </xf>
    <xf numFmtId="0" fontId="100" fillId="0" borderId="0" xfId="59" applyFont="1" applyAlignment="1">
      <alignment vertical="center"/>
    </xf>
    <xf numFmtId="0" fontId="7" fillId="0" borderId="0" xfId="59" applyFont="1" applyAlignment="1">
      <alignment horizontal="right" vertical="center"/>
    </xf>
    <xf numFmtId="0" fontId="10" fillId="0" borderId="0" xfId="59" applyFont="1" applyAlignment="1">
      <alignment horizontal="left" vertical="top" wrapText="1" indent="1"/>
    </xf>
    <xf numFmtId="0" fontId="7" fillId="0" borderId="0" xfId="59" applyFont="1" applyAlignment="1">
      <alignment horizontal="left" indent="1"/>
    </xf>
    <xf numFmtId="3" fontId="8" fillId="0" borderId="0" xfId="60" applyNumberFormat="1" applyFont="1"/>
    <xf numFmtId="3" fontId="7" fillId="0" borderId="0" xfId="61" applyNumberFormat="1" applyFont="1" applyBorder="1" applyAlignment="1">
      <alignment horizontal="right" vertical="center" wrapText="1"/>
    </xf>
    <xf numFmtId="0" fontId="101" fillId="0" borderId="0" xfId="59" applyFont="1" applyAlignment="1">
      <alignment vertical="center"/>
    </xf>
    <xf numFmtId="176" fontId="7" fillId="0" borderId="0" xfId="62" applyNumberFormat="1" applyFont="1" applyAlignment="1">
      <alignment horizontal="left" indent="1"/>
    </xf>
    <xf numFmtId="3" fontId="7" fillId="0" borderId="0" xfId="59" quotePrefix="1" applyNumberFormat="1" applyFont="1" applyAlignment="1">
      <alignment horizontal="right" vertical="center"/>
    </xf>
    <xf numFmtId="169" fontId="7" fillId="0" borderId="0" xfId="61" applyNumberFormat="1" applyFont="1" applyBorder="1" applyAlignment="1">
      <alignment horizontal="right" vertical="center" wrapText="1"/>
    </xf>
    <xf numFmtId="176" fontId="7" fillId="0" borderId="0" xfId="28" applyFont="1"/>
    <xf numFmtId="176" fontId="7" fillId="0" borderId="0" xfId="62" applyNumberFormat="1" applyFont="1"/>
    <xf numFmtId="0" fontId="7" fillId="0" borderId="1" xfId="59" applyFont="1" applyBorder="1"/>
    <xf numFmtId="165" fontId="7" fillId="0" borderId="1" xfId="59" applyNumberFormat="1" applyFont="1" applyBorder="1" applyAlignment="1">
      <alignment horizontal="right"/>
    </xf>
    <xf numFmtId="0" fontId="20" fillId="0" borderId="0" xfId="59" applyFont="1"/>
    <xf numFmtId="0" fontId="18" fillId="0" borderId="0" xfId="59" applyFont="1" applyAlignment="1">
      <alignment vertical="center"/>
    </xf>
    <xf numFmtId="0" fontId="18" fillId="0" borderId="0" xfId="59" applyFont="1"/>
    <xf numFmtId="176" fontId="20" fillId="0" borderId="0" xfId="28" applyFont="1"/>
    <xf numFmtId="0" fontId="19" fillId="0" borderId="0" xfId="59" applyFont="1" applyAlignment="1">
      <alignment vertical="center"/>
    </xf>
    <xf numFmtId="0" fontId="7" fillId="0" borderId="0" xfId="0" applyFont="1" applyAlignment="1">
      <alignment horizontal="center"/>
    </xf>
    <xf numFmtId="0" fontId="45" fillId="0" borderId="0" xfId="0" applyFont="1" applyAlignment="1">
      <alignment horizontal="right"/>
    </xf>
    <xf numFmtId="0" fontId="3" fillId="0" borderId="0" xfId="0" applyFont="1" applyAlignment="1">
      <alignment horizontal="center" vertical="center"/>
    </xf>
    <xf numFmtId="0" fontId="14" fillId="0" borderId="0" xfId="0" applyFont="1" applyAlignment="1">
      <alignment vertical="center"/>
    </xf>
    <xf numFmtId="0" fontId="4" fillId="0" borderId="0" xfId="0" applyFont="1" applyAlignment="1">
      <alignment vertical="center"/>
    </xf>
    <xf numFmtId="0" fontId="6" fillId="0" borderId="0" xfId="0" applyFont="1" applyAlignment="1">
      <alignment horizontal="center" vertical="center"/>
    </xf>
    <xf numFmtId="0" fontId="13" fillId="0" borderId="0" xfId="0" applyFont="1"/>
    <xf numFmtId="0" fontId="13" fillId="0" borderId="0" xfId="0" applyFont="1" applyAlignment="1">
      <alignment horizontal="right"/>
    </xf>
    <xf numFmtId="0" fontId="7" fillId="0" borderId="1" xfId="0" applyFont="1" applyBorder="1" applyAlignment="1">
      <alignment horizontal="center"/>
    </xf>
    <xf numFmtId="0" fontId="13" fillId="0" borderId="1" xfId="0" applyFont="1" applyBorder="1"/>
    <xf numFmtId="0" fontId="13" fillId="0" borderId="1" xfId="0" applyFont="1" applyBorder="1" applyAlignment="1">
      <alignment horizontal="right"/>
    </xf>
    <xf numFmtId="0" fontId="7" fillId="0" borderId="1" xfId="0" applyFont="1" applyBorder="1" applyAlignment="1">
      <alignment vertical="center"/>
    </xf>
    <xf numFmtId="3" fontId="10" fillId="0" borderId="1" xfId="60" applyNumberFormat="1" applyFont="1" applyBorder="1" applyAlignment="1">
      <alignment vertical="top"/>
    </xf>
    <xf numFmtId="0" fontId="8" fillId="0" borderId="1" xfId="0" applyFont="1" applyBorder="1" applyAlignment="1">
      <alignment vertical="center"/>
    </xf>
    <xf numFmtId="0" fontId="7" fillId="0" borderId="1" xfId="63" applyFont="1" applyBorder="1" applyAlignment="1">
      <alignment horizontal="right" vertical="top" wrapText="1"/>
    </xf>
    <xf numFmtId="0" fontId="7" fillId="0" borderId="1" xfId="0" applyFont="1" applyBorder="1" applyAlignment="1">
      <alignment horizontal="center" vertical="top" wrapText="1"/>
    </xf>
    <xf numFmtId="0" fontId="7" fillId="0" borderId="1" xfId="0" applyFont="1" applyBorder="1" applyAlignment="1">
      <alignment horizontal="right" vertical="top" wrapText="1"/>
    </xf>
    <xf numFmtId="0" fontId="8" fillId="0" borderId="0" xfId="0" applyFont="1" applyAlignment="1">
      <alignment vertical="top" wrapText="1"/>
    </xf>
    <xf numFmtId="0" fontId="8" fillId="0" borderId="0" xfId="64" applyFont="1" applyAlignment="1">
      <alignment vertical="center"/>
    </xf>
    <xf numFmtId="0" fontId="8" fillId="0" borderId="0" xfId="64" applyFont="1" applyAlignment="1">
      <alignment horizontal="left" vertical="center"/>
    </xf>
    <xf numFmtId="3" fontId="8" fillId="0" borderId="0" xfId="64" applyNumberFormat="1" applyFont="1" applyAlignment="1">
      <alignment horizontal="right" vertical="center"/>
    </xf>
    <xf numFmtId="3" fontId="73" fillId="0" borderId="0" xfId="0" applyNumberFormat="1" applyFont="1" applyAlignment="1">
      <alignment horizontal="right" vertical="center"/>
    </xf>
    <xf numFmtId="0" fontId="7" fillId="0" borderId="0" xfId="64" applyFont="1" applyAlignment="1">
      <alignment vertical="center"/>
    </xf>
    <xf numFmtId="0" fontId="7" fillId="0" borderId="0" xfId="64" applyFont="1" applyAlignment="1">
      <alignment horizontal="left" vertical="center"/>
    </xf>
    <xf numFmtId="3" fontId="7" fillId="0" borderId="0" xfId="64" applyNumberFormat="1" applyFont="1" applyAlignment="1">
      <alignment horizontal="right" vertical="center"/>
    </xf>
    <xf numFmtId="0" fontId="7" fillId="0" borderId="0" xfId="64" applyFont="1" applyAlignment="1">
      <alignment horizontal="left" vertical="center" indent="1"/>
    </xf>
    <xf numFmtId="3" fontId="48" fillId="0" borderId="0" xfId="65" applyNumberFormat="1" applyFont="1" applyAlignment="1">
      <alignment horizontal="right" vertical="center" wrapText="1"/>
    </xf>
    <xf numFmtId="3" fontId="48" fillId="0" borderId="0" xfId="65" applyNumberFormat="1" applyFont="1" applyAlignment="1">
      <alignment horizontal="right" vertical="center"/>
    </xf>
    <xf numFmtId="164" fontId="48" fillId="0" borderId="0" xfId="65" applyFont="1" applyAlignment="1">
      <alignment vertical="center"/>
    </xf>
    <xf numFmtId="164" fontId="48" fillId="0" borderId="0" xfId="65" applyFont="1" applyAlignment="1">
      <alignment vertical="center" wrapText="1"/>
    </xf>
    <xf numFmtId="0" fontId="48" fillId="0" borderId="0" xfId="66" applyFont="1" applyAlignment="1">
      <alignment horizontal="left" vertical="center" wrapText="1" indent="1"/>
    </xf>
    <xf numFmtId="0" fontId="48" fillId="0" borderId="0" xfId="66" applyFont="1" applyAlignment="1">
      <alignment horizontal="center" wrapText="1"/>
    </xf>
    <xf numFmtId="3" fontId="48" fillId="0" borderId="0" xfId="66" applyNumberFormat="1" applyFont="1" applyAlignment="1">
      <alignment horizontal="right" vertical="center" wrapText="1"/>
    </xf>
    <xf numFmtId="3" fontId="16" fillId="0" borderId="0" xfId="26" applyNumberFormat="1" applyFont="1" applyFill="1" applyAlignment="1">
      <alignment horizontal="right" vertical="center" wrapText="1"/>
    </xf>
    <xf numFmtId="3" fontId="45" fillId="0" borderId="0" xfId="26" applyNumberFormat="1" applyFont="1" applyAlignment="1">
      <alignment horizontal="right" vertical="center" wrapText="1"/>
    </xf>
    <xf numFmtId="169" fontId="16" fillId="0" borderId="0" xfId="26" applyNumberFormat="1" applyFont="1" applyFill="1"/>
    <xf numFmtId="0" fontId="7" fillId="0" borderId="1" xfId="0" applyFont="1" applyBorder="1" applyAlignment="1">
      <alignment horizontal="left"/>
    </xf>
    <xf numFmtId="3" fontId="7" fillId="0" borderId="1" xfId="0" applyNumberFormat="1" applyFont="1" applyBorder="1" applyAlignment="1">
      <alignment horizontal="right" vertical="center"/>
    </xf>
    <xf numFmtId="169" fontId="7" fillId="0" borderId="1" xfId="26" applyNumberFormat="1" applyFont="1" applyFill="1" applyBorder="1" applyAlignment="1">
      <alignment horizontal="right"/>
    </xf>
    <xf numFmtId="0" fontId="8" fillId="0" borderId="0" xfId="24" applyFont="1"/>
    <xf numFmtId="0" fontId="10" fillId="0" borderId="0" xfId="24" applyFont="1"/>
    <xf numFmtId="0" fontId="7" fillId="0" borderId="0" xfId="24" applyFont="1" applyAlignment="1">
      <alignment horizontal="left" vertical="center" indent="2"/>
    </xf>
    <xf numFmtId="173" fontId="7" fillId="0" borderId="0" xfId="52" applyNumberFormat="1" applyFont="1" applyAlignment="1">
      <alignment horizontal="right"/>
    </xf>
    <xf numFmtId="3" fontId="7" fillId="0" borderId="0" xfId="52" applyNumberFormat="1" applyFont="1" applyAlignment="1">
      <alignment horizontal="right" vertical="center"/>
    </xf>
    <xf numFmtId="173" fontId="7" fillId="0" borderId="0" xfId="52" applyNumberFormat="1" applyFont="1" applyAlignment="1">
      <alignment horizontal="right" vertical="center"/>
    </xf>
    <xf numFmtId="0" fontId="19" fillId="0" borderId="0" xfId="24" applyFont="1" applyAlignment="1">
      <alignment vertical="center"/>
    </xf>
    <xf numFmtId="0" fontId="4" fillId="0" borderId="0" xfId="24" quotePrefix="1" applyFont="1"/>
    <xf numFmtId="0" fontId="12" fillId="0" borderId="0" xfId="0" applyFont="1" applyAlignment="1">
      <alignment horizontal="left" vertical="top" wrapText="1" indent="2"/>
    </xf>
    <xf numFmtId="3" fontId="12" fillId="0" borderId="0" xfId="0" applyNumberFormat="1" applyFont="1" applyAlignment="1">
      <alignment horizontal="left" vertical="top" wrapText="1" indent="2"/>
    </xf>
    <xf numFmtId="0" fontId="12" fillId="0" borderId="0" xfId="8" applyFont="1" applyAlignment="1">
      <alignment horizontal="left" wrapText="1"/>
    </xf>
    <xf numFmtId="0" fontId="13" fillId="0" borderId="0" xfId="0" applyFont="1" applyAlignment="1">
      <alignment horizontal="left" vertical="top" wrapText="1"/>
    </xf>
    <xf numFmtId="0" fontId="8" fillId="0" borderId="0" xfId="5" applyFont="1" applyAlignment="1">
      <alignment horizontal="left" vertical="center" wrapText="1"/>
    </xf>
    <xf numFmtId="0" fontId="14" fillId="0" borderId="0" xfId="8" applyFont="1" applyAlignment="1">
      <alignment horizontal="left" wrapText="1"/>
    </xf>
    <xf numFmtId="0" fontId="15" fillId="0" borderId="0" xfId="0" applyFont="1" applyAlignment="1">
      <alignment horizontal="left" wrapText="1"/>
    </xf>
    <xf numFmtId="0" fontId="12" fillId="0" borderId="0" xfId="8" applyFont="1" applyAlignment="1">
      <alignment horizontal="left" vertical="center" wrapText="1"/>
    </xf>
    <xf numFmtId="3" fontId="14" fillId="0" borderId="0" xfId="8" applyNumberFormat="1" applyFont="1" applyAlignment="1">
      <alignment horizontal="right" vertical="center" wrapText="1"/>
    </xf>
    <xf numFmtId="3" fontId="15" fillId="0" borderId="0" xfId="0" applyNumberFormat="1" applyFont="1" applyAlignment="1">
      <alignment horizontal="right" vertical="center" wrapText="1"/>
    </xf>
    <xf numFmtId="0" fontId="8" fillId="0" borderId="0" xfId="5" applyFont="1" applyAlignment="1">
      <alignment horizontal="right" vertical="center"/>
    </xf>
    <xf numFmtId="0" fontId="12" fillId="0" borderId="0" xfId="0" applyFont="1" applyAlignment="1">
      <alignment horizontal="left" vertical="center" wrapText="1"/>
    </xf>
    <xf numFmtId="0" fontId="8" fillId="0" borderId="1" xfId="5" applyFont="1" applyBorder="1" applyAlignment="1">
      <alignment horizontal="right" vertical="center"/>
    </xf>
    <xf numFmtId="0" fontId="8" fillId="0" borderId="2" xfId="6" applyFont="1" applyBorder="1" applyAlignment="1">
      <alignment horizontal="left" vertical="center" wrapText="1"/>
    </xf>
    <xf numFmtId="0" fontId="12" fillId="0" borderId="3" xfId="8" applyFont="1" applyBorder="1" applyAlignment="1">
      <alignment horizontal="left" vertical="center"/>
    </xf>
    <xf numFmtId="0" fontId="13" fillId="0" borderId="0" xfId="0" applyFont="1" applyAlignment="1">
      <alignment horizontal="left" vertical="top"/>
    </xf>
    <xf numFmtId="0" fontId="24" fillId="0" borderId="0" xfId="0" quotePrefix="1" applyFont="1" applyAlignment="1">
      <alignment horizontal="right" vertical="center"/>
    </xf>
    <xf numFmtId="0" fontId="24" fillId="0" borderId="0" xfId="0" applyFont="1" applyAlignment="1">
      <alignment horizontal="right" vertical="center"/>
    </xf>
    <xf numFmtId="0" fontId="13" fillId="0" borderId="0" xfId="0" applyFont="1" applyAlignment="1">
      <alignment horizontal="left" vertical="center" wrapText="1"/>
    </xf>
    <xf numFmtId="0" fontId="15" fillId="0" borderId="0" xfId="0" applyFont="1" applyAlignment="1">
      <alignment horizontal="left" vertical="top" wrapText="1"/>
    </xf>
    <xf numFmtId="0" fontId="12" fillId="0" borderId="3" xfId="0" quotePrefix="1" applyFont="1" applyBorder="1" applyAlignment="1">
      <alignment horizontal="left"/>
    </xf>
    <xf numFmtId="0" fontId="13" fillId="0" borderId="0" xfId="0" quotePrefix="1" applyFont="1" applyAlignment="1">
      <alignment horizontal="left" vertical="top"/>
    </xf>
    <xf numFmtId="0" fontId="19" fillId="0" borderId="0" xfId="3" applyFont="1" applyAlignment="1">
      <alignment horizontal="right" vertical="center"/>
    </xf>
    <xf numFmtId="166" fontId="7" fillId="0" borderId="0" xfId="15" applyFont="1" applyAlignment="1">
      <alignment horizontal="left" vertical="top" wrapText="1" indent="2"/>
    </xf>
    <xf numFmtId="166" fontId="7" fillId="0" borderId="0" xfId="15" applyFont="1" applyAlignment="1">
      <alignment horizontal="left" vertical="top" indent="2"/>
    </xf>
    <xf numFmtId="0" fontId="18" fillId="0" borderId="5" xfId="3" applyFont="1" applyBorder="1" applyAlignment="1">
      <alignment horizontal="right" vertical="center"/>
    </xf>
    <xf numFmtId="0" fontId="18" fillId="0" borderId="0" xfId="3" applyFont="1" applyAlignment="1">
      <alignment horizontal="right" vertical="center"/>
    </xf>
    <xf numFmtId="0" fontId="7" fillId="0" borderId="0" xfId="11" applyFont="1" applyAlignment="1">
      <alignment horizontal="left" vertical="center" wrapText="1"/>
    </xf>
    <xf numFmtId="0" fontId="7" fillId="0" borderId="0" xfId="11" applyFont="1" applyAlignment="1">
      <alignment horizontal="left" vertical="center" wrapText="1" indent="2"/>
    </xf>
    <xf numFmtId="166" fontId="8" fillId="0" borderId="0" xfId="15" applyFont="1" applyAlignment="1">
      <alignment horizontal="left" vertical="center"/>
    </xf>
    <xf numFmtId="166" fontId="8" fillId="0" borderId="0" xfId="15" applyFont="1" applyAlignment="1">
      <alignment horizontal="left" vertical="top" indent="2"/>
    </xf>
    <xf numFmtId="0" fontId="7" fillId="0" borderId="0" xfId="11" applyFont="1" applyAlignment="1">
      <alignment horizontal="left" wrapText="1" indent="2"/>
    </xf>
    <xf numFmtId="0" fontId="8" fillId="0" borderId="0" xfId="11" applyFont="1" applyAlignment="1">
      <alignment horizontal="left" vertical="center" wrapText="1" indent="1"/>
    </xf>
    <xf numFmtId="0" fontId="8" fillId="0" borderId="2" xfId="6" applyFont="1" applyBorder="1" applyAlignment="1">
      <alignment horizontal="left" vertical="center"/>
    </xf>
    <xf numFmtId="0" fontId="10" fillId="0" borderId="0" xfId="5" applyFont="1" applyAlignment="1">
      <alignment horizontal="left" vertical="center" wrapText="1" indent="2"/>
    </xf>
    <xf numFmtId="0" fontId="8" fillId="0" borderId="0" xfId="5" applyFont="1" applyAlignment="1">
      <alignment horizontal="left" vertical="top" wrapText="1"/>
    </xf>
    <xf numFmtId="0" fontId="8" fillId="0" borderId="0" xfId="3" applyFont="1" applyAlignment="1">
      <alignment horizontal="left" vertical="top" wrapText="1"/>
    </xf>
    <xf numFmtId="0" fontId="8" fillId="0" borderId="1" xfId="11" applyFont="1" applyBorder="1" applyAlignment="1">
      <alignment horizontal="right" vertical="top" wrapText="1"/>
    </xf>
    <xf numFmtId="0" fontId="10" fillId="0" borderId="0" xfId="11" applyFont="1" applyAlignment="1">
      <alignment horizontal="left" vertical="center" wrapText="1"/>
    </xf>
    <xf numFmtId="0" fontId="46" fillId="0" borderId="0" xfId="0" applyFont="1" applyAlignment="1">
      <alignment horizontal="left" vertical="top" wrapText="1" indent="2"/>
    </xf>
    <xf numFmtId="0" fontId="8" fillId="0" borderId="2" xfId="0" applyFont="1" applyBorder="1" applyAlignment="1">
      <alignment horizontal="left" wrapText="1"/>
    </xf>
    <xf numFmtId="0" fontId="8" fillId="0" borderId="0" xfId="5" applyFont="1" applyAlignment="1">
      <alignment horizontal="left" wrapText="1"/>
    </xf>
    <xf numFmtId="0" fontId="46" fillId="0" borderId="0" xfId="3" applyFont="1" applyAlignment="1">
      <alignment horizontal="left" vertical="top" wrapText="1" indent="2"/>
    </xf>
    <xf numFmtId="0" fontId="8" fillId="0" borderId="0" xfId="3" applyFont="1" applyAlignment="1">
      <alignment horizontal="left" vertical="top" wrapText="1" indent="2"/>
    </xf>
    <xf numFmtId="0" fontId="10" fillId="0" borderId="0" xfId="3" applyFont="1" applyAlignment="1">
      <alignment horizontal="left" vertical="center" wrapText="1" indent="2"/>
    </xf>
    <xf numFmtId="0" fontId="4" fillId="0" borderId="0" xfId="3" applyFont="1" applyAlignment="1">
      <alignment horizontal="right" vertical="center"/>
    </xf>
    <xf numFmtId="0" fontId="6" fillId="0" borderId="0" xfId="3" applyFont="1" applyAlignment="1">
      <alignment horizontal="right" vertical="center"/>
    </xf>
    <xf numFmtId="0" fontId="12" fillId="0" borderId="2" xfId="0" applyFont="1" applyBorder="1" applyAlignment="1">
      <alignment horizontal="left" vertical="center" wrapText="1"/>
    </xf>
    <xf numFmtId="0" fontId="8" fillId="0" borderId="0" xfId="0" applyFont="1" applyAlignment="1">
      <alignment horizontal="center" vertical="center" wrapText="1"/>
    </xf>
    <xf numFmtId="0" fontId="8" fillId="0" borderId="0" xfId="0" applyFont="1" applyAlignment="1">
      <alignment horizontal="center" vertical="center"/>
    </xf>
    <xf numFmtId="0" fontId="20" fillId="0" borderId="0" xfId="29" applyFont="1" applyAlignment="1">
      <alignment horizontal="left"/>
    </xf>
    <xf numFmtId="0" fontId="19" fillId="0" borderId="0" xfId="29" applyFont="1" applyAlignment="1">
      <alignment horizontal="left"/>
    </xf>
    <xf numFmtId="0" fontId="57" fillId="0" borderId="0" xfId="29" applyFont="1" applyAlignment="1">
      <alignment horizontal="left" vertical="center"/>
    </xf>
    <xf numFmtId="0" fontId="64" fillId="0" borderId="0" xfId="29" applyFont="1" applyAlignment="1">
      <alignment horizontal="left" vertical="center"/>
    </xf>
    <xf numFmtId="0" fontId="65" fillId="0" borderId="0" xfId="29" applyFont="1" applyAlignment="1">
      <alignment horizontal="left" vertical="center"/>
    </xf>
    <xf numFmtId="0" fontId="46" fillId="0" borderId="3" xfId="0" applyFont="1" applyBorder="1" applyAlignment="1">
      <alignment horizontal="left" vertical="center" wrapText="1"/>
    </xf>
    <xf numFmtId="0" fontId="47" fillId="0" borderId="1" xfId="0" applyFont="1" applyBorder="1" applyAlignment="1">
      <alignment horizontal="left" vertical="center" wrapText="1"/>
    </xf>
    <xf numFmtId="0" fontId="46" fillId="0" borderId="1" xfId="0" applyFont="1" applyBorder="1" applyAlignment="1">
      <alignment horizontal="center" vertical="center" wrapText="1"/>
    </xf>
    <xf numFmtId="0" fontId="14" fillId="0" borderId="0" xfId="30" applyFont="1" applyAlignment="1">
      <alignment horizontal="left" vertical="top" wrapText="1"/>
    </xf>
    <xf numFmtId="0" fontId="15" fillId="0" borderId="0" xfId="30" applyFont="1" applyAlignment="1">
      <alignment horizontal="left" vertical="top" wrapText="1"/>
    </xf>
    <xf numFmtId="176" fontId="12" fillId="0" borderId="0" xfId="30" applyNumberFormat="1" applyFont="1" applyAlignment="1">
      <alignment vertical="center" wrapText="1"/>
    </xf>
    <xf numFmtId="176" fontId="12" fillId="0" borderId="6" xfId="30" applyNumberFormat="1" applyFont="1" applyBorder="1" applyAlignment="1">
      <alignment vertical="center" wrapText="1"/>
    </xf>
    <xf numFmtId="0" fontId="64" fillId="0" borderId="3" xfId="30" applyFont="1" applyBorder="1" applyAlignment="1">
      <alignment horizontal="right" vertical="center"/>
    </xf>
    <xf numFmtId="0" fontId="65" fillId="0" borderId="0" xfId="30" applyFont="1" applyAlignment="1">
      <alignment horizontal="right" vertical="center"/>
    </xf>
    <xf numFmtId="0" fontId="13" fillId="0" borderId="0" xfId="30" applyFont="1" applyAlignment="1">
      <alignment horizontal="left" vertical="center" wrapText="1" indent="2"/>
    </xf>
    <xf numFmtId="0" fontId="8" fillId="0" borderId="3" xfId="0" applyFont="1" applyBorder="1" applyAlignment="1">
      <alignment horizontal="left" vertical="center" wrapText="1"/>
    </xf>
    <xf numFmtId="0" fontId="10" fillId="0" borderId="1" xfId="0" applyFont="1" applyBorder="1" applyAlignment="1">
      <alignment horizontal="left" vertical="center" wrapText="1"/>
    </xf>
    <xf numFmtId="0" fontId="8" fillId="0" borderId="0" xfId="0" applyFont="1" applyAlignment="1">
      <alignment horizontal="left" vertical="center" wrapText="1"/>
    </xf>
    <xf numFmtId="0" fontId="10" fillId="0" borderId="0" xfId="0" applyFont="1" applyAlignment="1">
      <alignment horizontal="left" vertical="center" wrapText="1"/>
    </xf>
    <xf numFmtId="0" fontId="8" fillId="0" borderId="0" xfId="0" applyFont="1" applyAlignment="1">
      <alignment horizontal="left" wrapText="1" indent="2"/>
    </xf>
    <xf numFmtId="0" fontId="18" fillId="0" borderId="3" xfId="24" applyFont="1" applyBorder="1" applyAlignment="1">
      <alignment horizontal="right" vertical="center"/>
    </xf>
    <xf numFmtId="0" fontId="18" fillId="0" borderId="0" xfId="24" applyFont="1" applyAlignment="1">
      <alignment horizontal="right" vertical="center"/>
    </xf>
    <xf numFmtId="0" fontId="19" fillId="0" borderId="0" xfId="24" applyFont="1" applyAlignment="1">
      <alignment horizontal="right" vertical="center"/>
    </xf>
    <xf numFmtId="0" fontId="4" fillId="0" borderId="0" xfId="24" applyFont="1" applyAlignment="1">
      <alignment horizontal="right" vertical="center"/>
    </xf>
    <xf numFmtId="0" fontId="6" fillId="0" borderId="0" xfId="24" applyFont="1" applyAlignment="1">
      <alignment horizontal="right" vertical="center"/>
    </xf>
    <xf numFmtId="164" fontId="4" fillId="0" borderId="0" xfId="4" applyFont="1" applyAlignment="1">
      <alignment horizontal="left" vertical="top" wrapText="1"/>
    </xf>
    <xf numFmtId="164" fontId="6" fillId="0" borderId="0" xfId="4" applyFont="1" applyAlignment="1">
      <alignment horizontal="left" vertical="top" wrapText="1"/>
    </xf>
    <xf numFmtId="0" fontId="20" fillId="0" borderId="0" xfId="24" applyFont="1" applyAlignment="1">
      <alignment horizontal="left" vertical="center"/>
    </xf>
    <xf numFmtId="164" fontId="18" fillId="0" borderId="0" xfId="35" applyFont="1" applyAlignment="1">
      <alignment horizontal="left" wrapText="1"/>
    </xf>
    <xf numFmtId="164" fontId="19" fillId="0" borderId="0" xfId="35" applyFont="1" applyAlignment="1">
      <alignment horizontal="left" vertical="top" wrapText="1"/>
    </xf>
    <xf numFmtId="0" fontId="10" fillId="0" borderId="0" xfId="0" applyFont="1" applyAlignment="1">
      <alignment horizontal="left" vertical="top" wrapText="1" indent="2"/>
    </xf>
    <xf numFmtId="0" fontId="20" fillId="0" borderId="1" xfId="0" applyFont="1" applyBorder="1" applyAlignment="1">
      <alignment horizontal="left" vertical="top"/>
    </xf>
    <xf numFmtId="178" fontId="18" fillId="0" borderId="3" xfId="37" applyFont="1" applyBorder="1" applyAlignment="1">
      <alignment horizontal="right" vertical="center"/>
    </xf>
    <xf numFmtId="178" fontId="18" fillId="0" borderId="0" xfId="37" applyFont="1" applyAlignment="1">
      <alignment horizontal="right" vertical="top"/>
    </xf>
    <xf numFmtId="178" fontId="19" fillId="0" borderId="0" xfId="37" applyFont="1" applyAlignment="1">
      <alignment horizontal="right" vertical="top"/>
    </xf>
    <xf numFmtId="0" fontId="7" fillId="0" borderId="0" xfId="0" applyFont="1" applyAlignment="1">
      <alignment horizontal="left" vertical="top" indent="2"/>
    </xf>
    <xf numFmtId="0" fontId="8" fillId="0" borderId="0" xfId="0" applyFont="1" applyAlignment="1">
      <alignment horizontal="left" vertical="top" wrapText="1" indent="2"/>
    </xf>
    <xf numFmtId="0" fontId="8" fillId="0" borderId="0" xfId="0" applyFont="1" applyAlignment="1">
      <alignment horizontal="left" vertical="top" wrapText="1"/>
    </xf>
    <xf numFmtId="0" fontId="10" fillId="0" borderId="0" xfId="0" applyFont="1" applyAlignment="1">
      <alignment horizontal="left" vertical="top"/>
    </xf>
    <xf numFmtId="0" fontId="7" fillId="0" borderId="0" xfId="0" applyFont="1" applyAlignment="1">
      <alignment horizontal="left" vertical="top"/>
    </xf>
    <xf numFmtId="0" fontId="8" fillId="0" borderId="1" xfId="36" applyFont="1" applyBorder="1" applyAlignment="1">
      <alignment horizontal="center" vertical="center"/>
    </xf>
    <xf numFmtId="0" fontId="8" fillId="0" borderId="0" xfId="36" applyFont="1" applyAlignment="1">
      <alignment horizontal="center" vertical="center" wrapText="1"/>
    </xf>
    <xf numFmtId="0" fontId="8" fillId="0" borderId="1" xfId="36" applyFont="1" applyBorder="1" applyAlignment="1">
      <alignment horizontal="left" vertical="center" wrapText="1"/>
    </xf>
    <xf numFmtId="0" fontId="7" fillId="0" borderId="3" xfId="0" applyFont="1" applyBorder="1" applyAlignment="1">
      <alignment horizontal="center"/>
    </xf>
    <xf numFmtId="0" fontId="8" fillId="0" borderId="0" xfId="0" applyFont="1" applyAlignment="1">
      <alignment horizontal="left" wrapText="1"/>
    </xf>
    <xf numFmtId="0" fontId="6" fillId="0" borderId="0" xfId="0" applyFont="1" applyAlignment="1">
      <alignment horizontal="left" vertical="top" wrapText="1"/>
    </xf>
    <xf numFmtId="0" fontId="12" fillId="0" borderId="0" xfId="0" applyFont="1" applyAlignment="1">
      <alignment horizontal="center" wrapText="1"/>
    </xf>
    <xf numFmtId="0" fontId="13" fillId="0" borderId="0" xfId="0" applyFont="1" applyAlignment="1">
      <alignment horizontal="right" vertical="top" wrapText="1"/>
    </xf>
    <xf numFmtId="0" fontId="45" fillId="0" borderId="0" xfId="0" applyFont="1" applyAlignment="1">
      <alignment horizontal="right" wrapText="1"/>
    </xf>
    <xf numFmtId="0" fontId="13" fillId="0" borderId="1" xfId="0" applyFont="1" applyBorder="1" applyAlignment="1">
      <alignment horizontal="center" vertical="top"/>
    </xf>
    <xf numFmtId="0" fontId="8" fillId="0" borderId="3" xfId="0" applyFont="1" applyBorder="1" applyAlignment="1">
      <alignment horizontal="center" vertical="center" wrapText="1"/>
    </xf>
    <xf numFmtId="176" fontId="18" fillId="0" borderId="3" xfId="29" applyNumberFormat="1" applyFont="1" applyBorder="1" applyAlignment="1">
      <alignment horizontal="right"/>
    </xf>
    <xf numFmtId="176" fontId="18" fillId="0" borderId="0" xfId="29" applyNumberFormat="1" applyFont="1" applyAlignment="1">
      <alignment horizontal="right"/>
    </xf>
    <xf numFmtId="176" fontId="19" fillId="0" borderId="0" xfId="29" applyNumberFormat="1" applyFont="1" applyAlignment="1">
      <alignment horizontal="right"/>
    </xf>
    <xf numFmtId="178" fontId="8" fillId="0" borderId="0" xfId="48" applyFont="1" applyAlignment="1">
      <alignment horizontal="left" vertical="center" wrapText="1"/>
    </xf>
    <xf numFmtId="178" fontId="10" fillId="0" borderId="0" xfId="48" applyFont="1" applyAlignment="1">
      <alignment horizontal="left" vertical="center" wrapText="1"/>
    </xf>
    <xf numFmtId="178" fontId="8" fillId="0" borderId="9" xfId="48" applyFont="1" applyBorder="1" applyAlignment="1">
      <alignment horizontal="right" vertical="center" wrapText="1"/>
    </xf>
    <xf numFmtId="178" fontId="8" fillId="0" borderId="0" xfId="48" applyFont="1" applyAlignment="1">
      <alignment horizontal="right" vertical="center" wrapText="1"/>
    </xf>
    <xf numFmtId="178" fontId="8" fillId="0" borderId="8" xfId="48" applyFont="1" applyBorder="1" applyAlignment="1">
      <alignment horizontal="right" vertical="center" wrapText="1"/>
    </xf>
    <xf numFmtId="178" fontId="4" fillId="0" borderId="8" xfId="48" applyFont="1" applyBorder="1" applyAlignment="1">
      <alignment horizontal="center" vertical="center"/>
    </xf>
    <xf numFmtId="178" fontId="7" fillId="0" borderId="9" xfId="48" applyFont="1" applyBorder="1" applyAlignment="1">
      <alignment horizontal="left" vertical="center" wrapText="1"/>
    </xf>
    <xf numFmtId="178" fontId="7" fillId="0" borderId="0" xfId="48" applyFont="1" applyAlignment="1">
      <alignment horizontal="left" vertical="center" wrapText="1"/>
    </xf>
    <xf numFmtId="178" fontId="7" fillId="0" borderId="8" xfId="48" applyFont="1" applyBorder="1" applyAlignment="1">
      <alignment horizontal="left" vertical="center" wrapText="1"/>
    </xf>
    <xf numFmtId="178" fontId="8" fillId="0" borderId="9" xfId="48" applyFont="1" applyBorder="1" applyAlignment="1">
      <alignment horizontal="center" vertical="center" wrapText="1"/>
    </xf>
    <xf numFmtId="178" fontId="10" fillId="0" borderId="9" xfId="48" applyFont="1" applyBorder="1" applyAlignment="1">
      <alignment horizontal="center" vertical="center" wrapText="1"/>
    </xf>
    <xf numFmtId="178" fontId="8" fillId="0" borderId="0" xfId="53" applyFont="1" applyAlignment="1">
      <alignment horizontal="center" vertical="center" wrapText="1"/>
    </xf>
    <xf numFmtId="178" fontId="8" fillId="0" borderId="0" xfId="53" applyFont="1" applyAlignment="1">
      <alignment horizontal="center" vertical="center"/>
    </xf>
    <xf numFmtId="178" fontId="8" fillId="0" borderId="1" xfId="53" applyFont="1" applyBorder="1" applyAlignment="1">
      <alignment horizontal="center" vertical="center"/>
    </xf>
    <xf numFmtId="178" fontId="8" fillId="0" borderId="1" xfId="53" applyFont="1" applyBorder="1" applyAlignment="1">
      <alignment horizontal="center" vertical="center" wrapText="1"/>
    </xf>
    <xf numFmtId="164" fontId="65" fillId="0" borderId="0" xfId="0" applyNumberFormat="1" applyFont="1" applyAlignment="1">
      <alignment horizontal="left" vertical="top"/>
    </xf>
    <xf numFmtId="0" fontId="64" fillId="0" borderId="0" xfId="0" applyFont="1" applyAlignment="1">
      <alignment horizontal="left" vertical="top" wrapText="1"/>
    </xf>
    <xf numFmtId="0" fontId="65" fillId="0" borderId="0" xfId="0" applyFont="1" applyAlignment="1">
      <alignment horizontal="left" vertical="top" wrapText="1"/>
    </xf>
    <xf numFmtId="176" fontId="12" fillId="0" borderId="0" xfId="0" applyNumberFormat="1" applyFont="1" applyAlignment="1">
      <alignment horizontal="left" vertical="center" wrapText="1"/>
    </xf>
    <xf numFmtId="0" fontId="12" fillId="0" borderId="0" xfId="0" applyFont="1" applyAlignment="1">
      <alignment horizontal="right" vertical="center" wrapText="1"/>
    </xf>
    <xf numFmtId="0" fontId="64" fillId="0" borderId="12" xfId="0" applyFont="1" applyBorder="1" applyAlignment="1">
      <alignment horizontal="right" vertical="center"/>
    </xf>
    <xf numFmtId="0" fontId="65" fillId="0" borderId="0" xfId="0" applyFont="1" applyAlignment="1">
      <alignment horizontal="right" vertical="center"/>
    </xf>
    <xf numFmtId="164" fontId="64" fillId="0" borderId="0" xfId="0" applyNumberFormat="1"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center" wrapText="1"/>
    </xf>
    <xf numFmtId="0" fontId="7" fillId="0" borderId="6" xfId="0" applyFont="1" applyBorder="1" applyAlignment="1">
      <alignment horizontal="left" vertical="center" wrapText="1"/>
    </xf>
    <xf numFmtId="176" fontId="8" fillId="0" borderId="0" xfId="0" applyNumberFormat="1" applyFont="1" applyAlignment="1">
      <alignment horizontal="center" vertical="center" wrapText="1"/>
    </xf>
    <xf numFmtId="0" fontId="8" fillId="0" borderId="0" xfId="0" applyFont="1" applyAlignment="1">
      <alignment horizontal="right" vertical="top"/>
    </xf>
    <xf numFmtId="0" fontId="8" fillId="0" borderId="6" xfId="0" applyFont="1" applyBorder="1" applyAlignment="1">
      <alignment horizontal="right" vertical="top"/>
    </xf>
    <xf numFmtId="0" fontId="16" fillId="0" borderId="0" xfId="42" applyFont="1" applyAlignment="1">
      <alignment horizontal="left" vertical="top" wrapText="1"/>
    </xf>
    <xf numFmtId="0" fontId="16" fillId="0" borderId="0" xfId="0" applyFont="1" applyAlignment="1">
      <alignment vertical="top" wrapText="1"/>
    </xf>
    <xf numFmtId="0" fontId="16" fillId="0" borderId="1" xfId="0" applyFont="1" applyBorder="1" applyAlignment="1">
      <alignment vertical="top" wrapText="1"/>
    </xf>
    <xf numFmtId="0" fontId="64" fillId="0" borderId="0" xfId="0" applyFont="1" applyAlignment="1">
      <alignment vertical="center" wrapText="1"/>
    </xf>
    <xf numFmtId="0" fontId="12" fillId="0" borderId="0" xfId="52" applyNumberFormat="1" applyFont="1" applyBorder="1" applyAlignment="1">
      <alignment horizontal="right" vertical="center" wrapText="1"/>
    </xf>
    <xf numFmtId="0" fontId="16" fillId="0" borderId="0" xfId="0" applyFont="1" applyAlignment="1">
      <alignment vertical="top"/>
    </xf>
    <xf numFmtId="0" fontId="64" fillId="0" borderId="0" xfId="0" applyFont="1" applyAlignment="1">
      <alignment vertical="top" wrapText="1"/>
    </xf>
    <xf numFmtId="0" fontId="16" fillId="0" borderId="0" xfId="0" applyFont="1" applyAlignment="1">
      <alignment horizontal="left" vertical="center" wrapText="1"/>
    </xf>
    <xf numFmtId="0" fontId="16" fillId="0" borderId="0" xfId="0" applyFont="1" applyAlignment="1">
      <alignment horizontal="left" vertical="top" wrapText="1"/>
    </xf>
    <xf numFmtId="0" fontId="16" fillId="0" borderId="1" xfId="42" applyFont="1" applyBorder="1" applyAlignment="1">
      <alignment horizontal="left" vertical="top" wrapText="1"/>
    </xf>
    <xf numFmtId="0" fontId="64" fillId="0" borderId="0" xfId="42" applyFont="1" applyAlignment="1">
      <alignment horizontal="left" vertical="top" wrapText="1"/>
    </xf>
    <xf numFmtId="0" fontId="16" fillId="0" borderId="0" xfId="0" applyFont="1" applyAlignment="1">
      <alignment vertical="center" wrapText="1"/>
    </xf>
    <xf numFmtId="175" fontId="16" fillId="0" borderId="0" xfId="58" applyNumberFormat="1" applyFont="1" applyFill="1" applyBorder="1" applyAlignment="1">
      <alignment horizontal="center" vertical="center" wrapText="1"/>
    </xf>
    <xf numFmtId="0" fontId="16" fillId="0" borderId="0" xfId="0" applyFont="1" applyAlignment="1">
      <alignment horizontal="left" vertical="center"/>
    </xf>
    <xf numFmtId="0" fontId="16" fillId="0" borderId="0" xfId="0" applyFont="1" applyAlignment="1">
      <alignment horizontal="left" vertical="top"/>
    </xf>
    <xf numFmtId="0" fontId="16" fillId="0" borderId="0" xfId="42" applyFont="1" applyAlignment="1">
      <alignment horizontal="left" vertical="center" wrapText="1"/>
    </xf>
    <xf numFmtId="0" fontId="16" fillId="0" borderId="0" xfId="42" applyFont="1" applyAlignment="1">
      <alignment vertical="center"/>
    </xf>
    <xf numFmtId="0" fontId="16" fillId="0" borderId="0" xfId="42" applyFont="1" applyAlignment="1">
      <alignment horizontal="left" vertical="top"/>
    </xf>
    <xf numFmtId="0" fontId="16" fillId="0" borderId="0" xfId="42" applyFont="1" applyAlignment="1">
      <alignment horizontal="left" vertical="center"/>
    </xf>
    <xf numFmtId="0" fontId="12" fillId="0" borderId="2" xfId="42" applyFont="1" applyBorder="1" applyAlignment="1">
      <alignment horizontal="left" vertical="center" wrapText="1"/>
    </xf>
    <xf numFmtId="0" fontId="16" fillId="0" borderId="0" xfId="42" applyFont="1" applyAlignment="1">
      <alignment vertical="top" wrapText="1"/>
    </xf>
    <xf numFmtId="0" fontId="16" fillId="0" borderId="0" xfId="42" applyFont="1" applyAlignment="1">
      <alignment vertical="center" wrapText="1"/>
    </xf>
    <xf numFmtId="0" fontId="16" fillId="0" borderId="0" xfId="42" applyFont="1" applyAlignment="1">
      <alignment horizontal="center" vertical="center" wrapText="1"/>
    </xf>
    <xf numFmtId="0" fontId="12" fillId="0" borderId="0" xfId="42" applyFont="1" applyAlignment="1">
      <alignment horizontal="left" vertical="center" wrapText="1"/>
    </xf>
    <xf numFmtId="175" fontId="12" fillId="0" borderId="1" xfId="58" applyNumberFormat="1" applyFont="1" applyBorder="1" applyAlignment="1">
      <alignment horizontal="right" vertical="center" wrapText="1"/>
    </xf>
    <xf numFmtId="0" fontId="12" fillId="0" borderId="3" xfId="42" applyFont="1" applyBorder="1" applyAlignment="1">
      <alignment horizontal="left" vertical="center" wrapText="1"/>
    </xf>
    <xf numFmtId="0" fontId="12" fillId="0" borderId="1" xfId="42" applyFont="1" applyBorder="1" applyAlignment="1">
      <alignment horizontal="left" vertical="center" wrapText="1"/>
    </xf>
    <xf numFmtId="0" fontId="16" fillId="0" borderId="3" xfId="42" applyFont="1" applyBorder="1" applyAlignment="1">
      <alignment vertical="center" wrapText="1"/>
    </xf>
    <xf numFmtId="0" fontId="16" fillId="0" borderId="1" xfId="42" applyFont="1" applyBorder="1" applyAlignment="1">
      <alignment vertical="center" wrapText="1"/>
    </xf>
    <xf numFmtId="0" fontId="12" fillId="0" borderId="3" xfId="58" applyNumberFormat="1" applyFont="1" applyBorder="1" applyAlignment="1">
      <alignment horizontal="center" vertical="center" wrapText="1"/>
    </xf>
    <xf numFmtId="0" fontId="7" fillId="0" borderId="3" xfId="59" applyFont="1" applyBorder="1" applyAlignment="1">
      <alignment horizontal="right" vertical="center" wrapText="1"/>
    </xf>
    <xf numFmtId="0" fontId="7" fillId="0" borderId="1" xfId="59" applyFont="1" applyBorder="1" applyAlignment="1">
      <alignment horizontal="right" vertical="center" wrapText="1"/>
    </xf>
    <xf numFmtId="0" fontId="18" fillId="0" borderId="3" xfId="59" applyFont="1" applyBorder="1" applyAlignment="1">
      <alignment horizontal="right" vertical="center"/>
    </xf>
    <xf numFmtId="0" fontId="19" fillId="0" borderId="0" xfId="59" applyFont="1" applyAlignment="1">
      <alignment horizontal="right" vertical="center"/>
    </xf>
    <xf numFmtId="0" fontId="8" fillId="0" borderId="1" xfId="63" applyFont="1" applyBorder="1" applyAlignment="1">
      <alignment horizontal="center" vertical="center" wrapText="1"/>
    </xf>
    <xf numFmtId="0" fontId="8" fillId="0" borderId="1" xfId="0" applyFont="1" applyBorder="1" applyAlignment="1">
      <alignment horizontal="center" vertical="center" wrapText="1"/>
    </xf>
    <xf numFmtId="0" fontId="18" fillId="0" borderId="5" xfId="24" applyFont="1" applyBorder="1" applyAlignment="1">
      <alignment horizontal="right" vertical="center"/>
    </xf>
  </cellXfs>
  <cellStyles count="67">
    <cellStyle name="Comma" xfId="1" builtinId="3"/>
    <cellStyle name="Comma [0] 14" xfId="47" xr:uid="{176CAB8F-54A5-4373-94BE-33DCD17D5911}"/>
    <cellStyle name="Comma [0] 2" xfId="27" xr:uid="{FEA4E19C-C3D9-46D7-83B4-5580F68F007F}"/>
    <cellStyle name="Comma [0] 2 2" xfId="16" xr:uid="{C6EAD460-4A3E-4393-AD70-8F3B611A82F6}"/>
    <cellStyle name="Comma [0] 2 2 6" xfId="17" xr:uid="{3E779F1C-E623-4C1C-94A5-413F58C0DD28}"/>
    <cellStyle name="Comma 2 147 2 2" xfId="26" xr:uid="{85496EED-2D63-403A-A092-EE059EBE089B}"/>
    <cellStyle name="Comma 2 2 262" xfId="9" xr:uid="{0B657C4F-97FE-4E11-9BFD-16F272D93AC0}"/>
    <cellStyle name="Comma 2 2 263" xfId="52" xr:uid="{49E27CA5-47D2-43BF-9A92-90367527A11B}"/>
    <cellStyle name="Comma 2 2 265" xfId="58" xr:uid="{38679CF7-88FC-48B9-9CD3-A5AF52C45AC7}"/>
    <cellStyle name="Comma 3 200" xfId="33" xr:uid="{4EAE55B3-DE9F-4740-A86D-1F9DF8EE8180}"/>
    <cellStyle name="Comma 3 202" xfId="32" xr:uid="{ED6548FD-10A1-42EA-9547-E21DBD37805D}"/>
    <cellStyle name="Comma 857" xfId="61" xr:uid="{CAEF8561-5B92-4C33-A28A-3A6B746FB248}"/>
    <cellStyle name="Comma 870 2 2" xfId="7" xr:uid="{8D584C0F-F38F-4890-87D6-C4D6436F6F7A}"/>
    <cellStyle name="Comma 870 2 2 2" xfId="22" xr:uid="{BC39090A-23F7-496E-8041-9F3109AC62BB}"/>
    <cellStyle name="Comma 870 2 2 3" xfId="18" xr:uid="{31D9E5F9-E971-48D0-B806-033C6B000C65}"/>
    <cellStyle name="Comma 873" xfId="34" xr:uid="{95939941-0CDB-4DBA-98D3-8259D2D161C5}"/>
    <cellStyle name="Comma 876" xfId="45" xr:uid="{4413071A-608A-4BB2-8C21-591B411406E3}"/>
    <cellStyle name="Normal" xfId="0" builtinId="0"/>
    <cellStyle name="Normal 10 11 2 2 2 3" xfId="11" xr:uid="{4C4D44B1-50C4-4FE9-B540-D5A0751943BB}"/>
    <cellStyle name="Normal 10 11 2 2 2 3 2" xfId="24" xr:uid="{08160BA3-1CA6-4C17-A54C-E30412E4C772}"/>
    <cellStyle name="Normal 10 11 2 2 2 3 2 5" xfId="63" xr:uid="{6FC79506-8F76-46A2-A53D-F9236CD8EA9E}"/>
    <cellStyle name="Normal 10 11 2 8 2" xfId="5" xr:uid="{CF45FD6A-08A6-40A8-B9C1-CD05EF31B344}"/>
    <cellStyle name="Normal 10 2" xfId="15" xr:uid="{44ED8B46-F41C-4BC5-AED3-3268E5949146}"/>
    <cellStyle name="Normal 11" xfId="46" xr:uid="{5D17CE86-175D-436F-B4D6-5B2A3F0EE9D9}"/>
    <cellStyle name="Normal 13 2" xfId="20" xr:uid="{F405CE3E-B849-46D3-9CE7-AF19129A89F7}"/>
    <cellStyle name="Normal 13 2 2" xfId="21" xr:uid="{5DE24382-28AA-476A-9280-8BF30592EFC7}"/>
    <cellStyle name="Normal 13 2 5" xfId="41" xr:uid="{0C0B3CF6-B731-4648-96B7-125A0214ECCB}"/>
    <cellStyle name="Normal 2" xfId="25" xr:uid="{C1E7C9B1-4341-4680-87F9-05A345344409}"/>
    <cellStyle name="Normal 2 2 2 2 2 4 2 2 5" xfId="57" xr:uid="{F128F016-4340-4013-B052-52153AC4A6D7}"/>
    <cellStyle name="Normal 2 2 2 2 2 4 4 2" xfId="12" xr:uid="{5F2BDE67-D571-44AB-8EA2-FA09DF6144A5}"/>
    <cellStyle name="Normal 2 2 2 7" xfId="44" xr:uid="{B5B6E9A4-DDA2-4323-8834-AD73EAE83B5A}"/>
    <cellStyle name="Normal 2 2 85 2 3 3 2" xfId="51" xr:uid="{E8C5F59F-D3CB-4B74-98D4-0FE99E3248B4}"/>
    <cellStyle name="Normal 2 258" xfId="55" xr:uid="{2CF9CF3B-9577-4EF5-B592-7BF0114C35A2}"/>
    <cellStyle name="Normal 2 262 3" xfId="50" xr:uid="{60E5CBBE-387F-4A03-9101-21FB49CBC461}"/>
    <cellStyle name="Normal 2 3" xfId="60" xr:uid="{CB833F36-EBC3-4200-876F-D4FF6B727384}"/>
    <cellStyle name="Normal 27" xfId="49" xr:uid="{CFCE9630-27B1-4993-A2A1-7FF64978B607}"/>
    <cellStyle name="Normal 3" xfId="35" xr:uid="{5DB03FFD-7EBE-4641-86E2-104B7284AEEF}"/>
    <cellStyle name="Normal 3 2 3 13" xfId="19" xr:uid="{CF4A0F15-7AAB-4F91-BF60-7AEB0C444A7E}"/>
    <cellStyle name="Normal 3 2 3 13 2" xfId="23" xr:uid="{9669F28E-4597-4EDA-B021-82ECBD68CF87}"/>
    <cellStyle name="Normal 3 2 3 13 3 2" xfId="64" xr:uid="{FAA10E57-B67F-4AF7-A175-6060980892D7}"/>
    <cellStyle name="Normal 3 2 3 3" xfId="13" xr:uid="{9B641513-F142-451C-9354-2F5FC491F8FF}"/>
    <cellStyle name="Normal 3 3 10" xfId="43" xr:uid="{1622EE07-1CA4-48A1-BEC8-97B90B96AA10}"/>
    <cellStyle name="Normal 3 3 3" xfId="4" xr:uid="{B8BC6AED-AD68-4135-86E4-7840A7620085}"/>
    <cellStyle name="Normal 3 5 2 5 6" xfId="66" xr:uid="{609EA279-E79C-4F1F-9505-B7FFE632200C}"/>
    <cellStyle name="Normal 3 5 8" xfId="65" xr:uid="{D687F204-3685-4F27-BA71-97BE08697009}"/>
    <cellStyle name="Normal 3 85" xfId="6" xr:uid="{B0C28A31-E34D-49C4-8146-C7E925A74A77}"/>
    <cellStyle name="Normal 4 2" xfId="29" xr:uid="{71139743-17ED-46BB-BF4C-41AE2C2F1C44}"/>
    <cellStyle name="Normal 4 2 10 2" xfId="62" xr:uid="{37CB5E44-2F9F-4ECF-AA9F-0F0AEA2528F6}"/>
    <cellStyle name="Normal 4 2 9 2 3" xfId="54" xr:uid="{E71FD3DB-B25E-4AB4-A8C7-67CDCE6734F0}"/>
    <cellStyle name="Normal 4 4 2 2" xfId="40" xr:uid="{6929DA11-CC8E-42DB-9B76-13737411476A}"/>
    <cellStyle name="Normal 4 4 2 8" xfId="56" xr:uid="{808932AC-C115-4826-A00A-BD45E6F1B44A}"/>
    <cellStyle name="Normal 5 13" xfId="39" xr:uid="{7FB2DA32-4689-4738-8342-D621E7B3E978}"/>
    <cellStyle name="Normal 6" xfId="48" xr:uid="{066A8A02-3A14-426E-82CD-F8EF4EE7B271}"/>
    <cellStyle name="Normal 6 57" xfId="38" xr:uid="{BD4FC55A-B6B1-4969-892F-2FA383D28423}"/>
    <cellStyle name="Normal 7 2 9" xfId="53" xr:uid="{7493ECD7-C843-4284-B550-C049BEFD877D}"/>
    <cellStyle name="Normal 724 2" xfId="28" xr:uid="{CB4E393B-A5A7-46F5-A92A-41022AF8199C}"/>
    <cellStyle name="Normal 725" xfId="59" xr:uid="{E520463E-2E07-4618-A3E4-D22F1A4D0B7F}"/>
    <cellStyle name="Normal 8" xfId="37" xr:uid="{E27CC957-A324-4445-9C38-155EB2464E85}"/>
    <cellStyle name="Normal 8 45" xfId="36" xr:uid="{1588C444-DEFE-4E45-8451-7CCB63C61469}"/>
    <cellStyle name="Normal 805 2" xfId="3" xr:uid="{1E5BB153-8C41-46E2-A75B-D60127C32EEC}"/>
    <cellStyle name="Normal 808" xfId="30" xr:uid="{E854EE20-2022-4DDE-86D8-99B65A9F2391}"/>
    <cellStyle name="Normal 808 2" xfId="31" xr:uid="{FDDD5B8B-679B-40DC-9D0E-06BF55A7A0CD}"/>
    <cellStyle name="Normal 809 2" xfId="42" xr:uid="{CC9C1C3D-C86E-4068-BA29-306D1584FEC3}"/>
    <cellStyle name="Normal_TABLE1A" xfId="8" xr:uid="{3125EFAB-4168-4869-AC41-C35734C836CA}"/>
    <cellStyle name="Normal_TABLE5(A),(B)&amp;(C)" xfId="10" xr:uid="{F29A2CDB-C6F4-4B6B-9576-DC75B747E8FF}"/>
    <cellStyle name="Per cent" xfId="2" builtinId="5"/>
    <cellStyle name="Percent 16" xfId="14" xr:uid="{FD372544-BE1A-4AF7-AC80-78B7AE143DA0}"/>
  </cellStyles>
  <dxfs count="54">
    <dxf>
      <font>
        <b/>
        <i val="0"/>
        <color indexed="10"/>
      </font>
      <fill>
        <patternFill patternType="none"/>
      </fill>
    </dxf>
    <dxf>
      <font>
        <b/>
        <i val="0"/>
        <color indexed="10"/>
      </font>
      <fill>
        <patternFill patternType="none"/>
      </fill>
    </dxf>
    <dxf>
      <font>
        <b/>
        <color rgb="FFFF0000"/>
      </font>
      <fill>
        <patternFill patternType="none"/>
      </fill>
    </dxf>
    <dxf>
      <font>
        <b/>
        <color rgb="FFFF000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color rgb="FFFF0000"/>
      </font>
      <fill>
        <patternFill patternType="none"/>
      </fill>
    </dxf>
    <dxf>
      <font>
        <b/>
        <color rgb="FFFF0000"/>
      </font>
      <fill>
        <patternFill patternType="none"/>
      </fill>
    </dxf>
    <dxf>
      <font>
        <b/>
        <color rgb="FFFF000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externalLink" Target="externalLinks/externalLink3.xml"/><Relationship Id="rId63" Type="http://schemas.openxmlformats.org/officeDocument/2006/relationships/externalLink" Target="externalLinks/externalLink19.xml"/><Relationship Id="rId68" Type="http://schemas.openxmlformats.org/officeDocument/2006/relationships/externalLink" Target="externalLinks/externalLink24.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1.xml"/><Relationship Id="rId53" Type="http://schemas.openxmlformats.org/officeDocument/2006/relationships/externalLink" Target="externalLinks/externalLink9.xml"/><Relationship Id="rId58" Type="http://schemas.openxmlformats.org/officeDocument/2006/relationships/externalLink" Target="externalLinks/externalLink14.xml"/><Relationship Id="rId66" Type="http://schemas.openxmlformats.org/officeDocument/2006/relationships/externalLink" Target="externalLinks/externalLink22.xml"/><Relationship Id="rId74" Type="http://schemas.openxmlformats.org/officeDocument/2006/relationships/externalLink" Target="externalLinks/externalLink30.xml"/><Relationship Id="rId79"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externalLink" Target="externalLinks/externalLink1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externalLink" Target="externalLinks/externalLink4.xml"/><Relationship Id="rId56" Type="http://schemas.openxmlformats.org/officeDocument/2006/relationships/externalLink" Target="externalLinks/externalLink12.xml"/><Relationship Id="rId64" Type="http://schemas.openxmlformats.org/officeDocument/2006/relationships/externalLink" Target="externalLinks/externalLink20.xml"/><Relationship Id="rId69" Type="http://schemas.openxmlformats.org/officeDocument/2006/relationships/externalLink" Target="externalLinks/externalLink25.xml"/><Relationship Id="rId77"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7.xml"/><Relationship Id="rId72" Type="http://schemas.openxmlformats.org/officeDocument/2006/relationships/externalLink" Target="externalLinks/externalLink2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2.xml"/><Relationship Id="rId59" Type="http://schemas.openxmlformats.org/officeDocument/2006/relationships/externalLink" Target="externalLinks/externalLink15.xml"/><Relationship Id="rId67" Type="http://schemas.openxmlformats.org/officeDocument/2006/relationships/externalLink" Target="externalLinks/externalLink23.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10.xml"/><Relationship Id="rId62" Type="http://schemas.openxmlformats.org/officeDocument/2006/relationships/externalLink" Target="externalLinks/externalLink18.xml"/><Relationship Id="rId70" Type="http://schemas.openxmlformats.org/officeDocument/2006/relationships/externalLink" Target="externalLinks/externalLink26.xml"/><Relationship Id="rId75" Type="http://schemas.openxmlformats.org/officeDocument/2006/relationships/externalLink" Target="externalLinks/externalLink3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5.xml"/><Relationship Id="rId57" Type="http://schemas.openxmlformats.org/officeDocument/2006/relationships/externalLink" Target="externalLinks/externalLink1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externalLink" Target="externalLinks/externalLink8.xml"/><Relationship Id="rId60" Type="http://schemas.openxmlformats.org/officeDocument/2006/relationships/externalLink" Target="externalLinks/externalLink16.xml"/><Relationship Id="rId65" Type="http://schemas.openxmlformats.org/officeDocument/2006/relationships/externalLink" Target="externalLinks/externalLink21.xml"/><Relationship Id="rId73" Type="http://schemas.openxmlformats.org/officeDocument/2006/relationships/externalLink" Target="externalLinks/externalLink29.xml"/><Relationship Id="rId78"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6.xml"/><Relationship Id="rId55" Type="http://schemas.openxmlformats.org/officeDocument/2006/relationships/externalLink" Target="externalLinks/externalLink11.xml"/><Relationship Id="rId76"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externalLink" Target="externalLinks/externalLink27.xml"/><Relationship Id="rId2" Type="http://schemas.openxmlformats.org/officeDocument/2006/relationships/worksheet" Target="worksheets/sheet2.xml"/><Relationship Id="rId29" Type="http://schemas.openxmlformats.org/officeDocument/2006/relationships/worksheet" Target="worksheets/sheet2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JOHOR/compile/SAS%20State/compile/SAS%20State/compile/SAS%20State/Users/nurul.iman/Desktop/buku%20sas/Documents%20and%20Settings/nurdiyana/My%20Documents/BPS%202012/Tab4-1--4.18-new.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94627D91/Tab4-1--4.18-new.xls" TargetMode="External"/><Relationship Id="rId1" Type="http://schemas.openxmlformats.org/officeDocument/2006/relationships/externalLinkPath" Target="/94627D91/Tab4-1--4.18-new.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3AE38973/5.2-5.20.xls" TargetMode="External"/><Relationship Id="rId1" Type="http://schemas.openxmlformats.org/officeDocument/2006/relationships/externalLinkPath" Target="/3AE38973/5.2-5.2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d.docs.live.net/8D4E18AA/Jad.%205.10-5.11-new.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94627D91/Tab4-1--4.18-new.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44DAF542/Tab4-1--4.18-new.xl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RecoveredExternalLink7"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d.docs.live.net/Users/nuruljamilah/AppData/Local/Microsoft/Windows/Temporary%20Internet%20Files/Content.Outlook/YMUCZMU8/Documents%20and%20Settings/nurdiyana/My%20Documents/BPS%202012/Tab4-1--4.18-new.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d.docs.live.net/Users/nurul.iman/Desktop/buku%20sas/Mastercopy%20Penerbitan%20KDNK%20Negeri%202015/Mastercopy%20Publication%20KDNK%20Negeri%202010-2014/Table%20Publication%20of%20GDP%202013p_100914.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H:/utk%20email/2013/4-5%20kesihatan/Bab%204%20-%20Kesihatan%202013(TAB%204%201-4%2011)%20hantar%20DOSM.xls"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DAB320F7/Table%20Publication%20of%20GDP%202013p_100914.xlsx" TargetMode="External"/><Relationship Id="rId1" Type="http://schemas.openxmlformats.org/officeDocument/2006/relationships/externalLinkPath" Target="/DAB320F7/Table%20Publication%20of%20GDP%202013p_100914.xlsx"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10.21.45.70/Parlimen%202024/Johor/Documents%20and%20Settings/rosnani/Local%20Settings/Temporary%20Internet%20Files/Content.Outlook/NRZDZE5N/Buletin%20Perangkaan%20Sosial,%20Malaysia%202013/Jadual/Jadual/Bab%207-%20Guna%20Tenaga%202013.xlsx" TargetMode="External"/><Relationship Id="rId1" Type="http://schemas.openxmlformats.org/officeDocument/2006/relationships/externalLinkPath" Target="/10.21.45.70/Parlimen%202024/Johor/Documents%20and%20Settings/rosnani/Local%20Settings/Temporary%20Internet%20Files/Content.Outlook/NRZDZE5N/Buletin%20Perangkaan%20Sosial,%20Malaysia%202013/Jadual/Jadual/Bab%207-%20Guna%20Tenaga%202013.xlsx"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DF4AAA00/Table%20Publication%20of%20GDP%202013p_100914.xlsx" TargetMode="External"/><Relationship Id="rId1" Type="http://schemas.openxmlformats.org/officeDocument/2006/relationships/externalLinkPath" Target="/DF4AAA00/Table%20Publication%20of%20GDP%202013p_100914.xlsx"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10.21.45.70/Parlimen%202024/2013/4-5%20kesihatan/Bab%204%20-%20Kesihatan%202013(TAB%204%201-4%2011)%20hantar%20DOSM.xls" TargetMode="External"/><Relationship Id="rId1" Type="http://schemas.openxmlformats.org/officeDocument/2006/relationships/externalLinkPath" Target="/10.21.45.70/Parlimen%202024/2013/4-5%20kesihatan/Bab%204%20-%20Kesihatan%202013(TAB%204%201-4%2011)%20hantar%20DOSM.xls" TargetMode="External"/></Relationships>
</file>

<file path=xl/externalLinks/_rels/externalLink15.xml.rels><?xml version="1.0" encoding="UTF-8" standalone="yes"?>
<Relationships xmlns="http://schemas.openxmlformats.org/package/2006/relationships"><Relationship Id="rId2" Type="http://schemas.openxmlformats.org/officeDocument/2006/relationships/externalLinkPath" Target="../../../../../../../../../10.21.45.70/Parlimen%202024/Users/nurdiyana/AppData/Local/Microsoft/Windows/Temporary%20Internet%20Files/Content.Outlook/6TCJTEX0/2013/4-5%20kesihatan/Bab%204%20-%20Kesihatan%202013(TAB%204%201-4%2011)%20hantar%20DOSM.xls" TargetMode="External"/><Relationship Id="rId1" Type="http://schemas.openxmlformats.org/officeDocument/2006/relationships/externalLinkPath" Target="/10.21.45.70/Parlimen%202024/Users/nurdiyana/AppData/Local/Microsoft/Windows/Temporary%20Internet%20Files/Content.Outlook/6TCJTEX0/2013/4-5%20kesihatan/Bab%204%20-%20Kesihatan%202013(TAB%204%201-4%2011)%20hantar%20DOSM.xls"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RecoveredExternalLink11" TargetMode="External"/></Relationships>
</file>

<file path=xl/externalLinks/_rels/externalLink17.xml.rels><?xml version="1.0" encoding="UTF-8" standalone="yes"?>
<Relationships xmlns="http://schemas.openxmlformats.org/package/2006/relationships"><Relationship Id="rId2" Type="http://schemas.openxmlformats.org/officeDocument/2006/relationships/externalLinkPath" Target="../../../../../../../../../10.21.45.70/Parlimen%202024/JOHOR/compile/SAS%20State/compile/SAS%20State/compile/SAS%20State/Users/nurul.iman/Desktop/buku%20sas/Documents%20and%20Settings/nurdiyana/My%20Documents/BPS%202012/Tab4-1--4.18-new.xls" TargetMode="External"/><Relationship Id="rId1" Type="http://schemas.openxmlformats.org/officeDocument/2006/relationships/externalLinkPath" Target="/10.21.45.70/Parlimen%202024/JOHOR/compile/SAS%20State/compile/SAS%20State/compile/SAS%20State/Users/nurul.iman/Desktop/buku%20sas/Documents%20and%20Settings/nurdiyana/My%20Documents/BPS%202012/Tab4-1--4.18-new.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d.docs.live.net/E6E60695/Table%20Publication%20of%20GDP%202013p_100914.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C:/Johor/Documents%20and%20Settings/rosnani/Local%20Settings/Temporary%20Internet%20Files/Content.Outlook/NRZDZE5N/Buletin%20Perangkaan%20Sosial,%20Malaysia%202013/Jadual/Jadual/Bab%207-%20Guna%20Tenaga%202013.xlsx"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coveredExternalLink16"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9%20JAnuari%202018/JOHOR%2026.11.2017/FULL%20MALAYSIA-SAS/JOHOR/compile/SAS%20State/compile/SAS%20State/compile/SAS%20State/Documents%20and%20Settings/nurdiyana/My%20Documents/BPS%202012/Tab4-1--4.18-new.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d.docs.live.net/E56BD6E9/Malaysia%20HES%202014.xlsx" TargetMode="External"/></Relationships>
</file>

<file path=xl/externalLinks/_rels/externalLink23.xml.rels><?xml version="1.0" encoding="UTF-8" standalone="yes"?>
<Relationships xmlns="http://schemas.openxmlformats.org/package/2006/relationships"><Relationship Id="rId2" Type="http://schemas.openxmlformats.org/officeDocument/2006/relationships/externalLinkPath" Target="../../../../../../../../../10.21.45.70/Parlimen%202024/utk%20email/2013/4-5%20kesihatan/Bab%204%20-%20Kesihatan%202013(TAB%204%201-4%2011)%20hantar%20DOSM.xls" TargetMode="External"/><Relationship Id="rId1" Type="http://schemas.openxmlformats.org/officeDocument/2006/relationships/externalLinkPath" Target="/10.21.45.70/Parlimen%202024/utk%20email/2013/4-5%20kesihatan/Bab%204%20-%20Kesihatan%202013(TAB%204%201-4%2011)%20hantar%20DOSM.xls" TargetMode="External"/></Relationships>
</file>

<file path=xl/externalLinks/_rels/externalLink24.xml.rels><?xml version="1.0" encoding="UTF-8" standalone="yes"?>
<Relationships xmlns="http://schemas.openxmlformats.org/package/2006/relationships"><Relationship Id="rId2" Type="http://schemas.openxmlformats.org/officeDocument/2006/relationships/externalLinkPath" Target="../../../../../../../../../30C2DD45/Malaysia%20HES%202014.xlsx" TargetMode="External"/><Relationship Id="rId1" Type="http://schemas.openxmlformats.org/officeDocument/2006/relationships/externalLinkPath" Target="/30C2DD45/Malaysia%20HES%202014.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d.docs.live.net/5D7FC19C/7.1%20&amp;%207.4_MSIA.xls" TargetMode="External"/></Relationships>
</file>

<file path=xl/externalLinks/_rels/externalLink26.xml.rels><?xml version="1.0" encoding="UTF-8" standalone="yes"?>
<Relationships xmlns="http://schemas.openxmlformats.org/package/2006/relationships"><Relationship Id="rId2" Type="http://schemas.openxmlformats.org/officeDocument/2006/relationships/externalLinkPath" Target="../../../../../../../../../30C2DD45/7.1%20&amp;%207.4_MSIA.xls" TargetMode="External"/><Relationship Id="rId1" Type="http://schemas.openxmlformats.org/officeDocument/2006/relationships/externalLinkPath" Target="/30C2DD45/7.1%20&amp;%207.4_MSIA.xls"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ecoveredExternalLink22"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Users/ADMINI~1.ICU/AppData/Local/Temp/Rar$DI00.384/Mastercopy%20Penerbitan%20KDNK%20Negeri%202015/Mastercopy%20Publication%20KDNK%20Negeri%202010-2014/Table%20Publication%20of%20GDP%202013p_100914.xlsx" TargetMode="External"/></Relationships>
</file>

<file path=xl/externalLinks/_rels/externalLink29.xml.rels><?xml version="1.0" encoding="UTF-8" standalone="yes"?>
<Relationships xmlns="http://schemas.openxmlformats.org/package/2006/relationships"><Relationship Id="rId2" Type="http://schemas.openxmlformats.org/officeDocument/2006/relationships/externalLinkPath" Target="../../../../../../../../../10.21.45.70/Parlimen%202024/Users/ADMINI~1.ICU/AppData/Local/Temp/Rar$DI00.384/Mastercopy%20Penerbitan%20KDNK%20Negeri%202015/Mastercopy%20Publication%20KDNK%20Negeri%202010-2014/Table%20Publication%20of%20GDP%202013p_100914.xlsx" TargetMode="External"/><Relationship Id="rId1" Type="http://schemas.openxmlformats.org/officeDocument/2006/relationships/externalLinkPath" Target="/10.21.45.70/Parlimen%202024/Users/ADMINI~1.ICU/AppData/Local/Temp/Rar$DI00.384/Mastercopy%20Penerbitan%20KDNK%20Negeri%202015/Mastercopy%20Publication%20KDNK%20Negeri%202010-2014/Table%20Publication%20of%20GDP%202013p_100914.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C:/Users/norul.aziemah/Desktop/buku%20sas/Users/roziana/AppData/Local/Microsoft/Windows/Temporary%20Internet%20Files/Content.Outlook/OXSTD2JP/Jad.%205.10-5.11-new.xls" TargetMode="External"/></Relationships>
</file>

<file path=xl/externalLinks/_rels/externalLink31.xml.rels><?xml version="1.0" encoding="UTF-8" standalone="yes"?>
<Relationships xmlns="http://schemas.openxmlformats.org/package/2006/relationships"><Relationship Id="rId2" Type="http://schemas.openxmlformats.org/officeDocument/2006/relationships/externalLinkPath" Target="../../../../../../../../../10.21.45.70/Parlimen%202024/Users/norul.aziemah/Desktop/buku%20sas/Users/roziana/AppData/Local/Microsoft/Windows/Temporary%20Internet%20Files/Content.Outlook/OXSTD2JP/Jad.%205.10-5.11-new.xls" TargetMode="External"/><Relationship Id="rId1" Type="http://schemas.openxmlformats.org/officeDocument/2006/relationships/externalLinkPath" Target="/10.21.45.70/Parlimen%202024/Users/norul.aziemah/Desktop/buku%20sas/Users/roziana/AppData/Local/Microsoft/Windows/Temporary%20Internet%20Files/Content.Outlook/OXSTD2JP/Jad.%205.10-5.11-new.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1"/>
      <sheetName val="4.2"/>
      <sheetName val="4.3"/>
      <sheetName val="4.4"/>
      <sheetName val="4.5"/>
      <sheetName val="4.6"/>
      <sheetName val="4.7"/>
      <sheetName val="4.7samb"/>
      <sheetName val="4.9"/>
      <sheetName val="4.10"/>
      <sheetName val="4.11"/>
      <sheetName val="4.12"/>
      <sheetName val="4.13"/>
      <sheetName val="Sheet1"/>
      <sheetName val="VA_CONSTANT"/>
      <sheetName val="ref"/>
      <sheetName val="4.8"/>
      <sheetName val="5.11"/>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4.1"/>
      <sheetName val="4.2"/>
      <sheetName val="4.3"/>
      <sheetName val="4.4"/>
      <sheetName val="4.5"/>
      <sheetName val="4.6"/>
      <sheetName val="4.7"/>
      <sheetName val="4.7samb"/>
      <sheetName val="4.9"/>
      <sheetName val="4.10"/>
      <sheetName val="4.11"/>
      <sheetName val="4.12"/>
      <sheetName val="4.13"/>
      <sheetName val="Sheet1"/>
      <sheetName val="4.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5.2A (2)"/>
      <sheetName val="5.2B (2)"/>
      <sheetName val="5.2C (2)"/>
      <sheetName val="5.2D (2)"/>
      <sheetName val="5.5"/>
      <sheetName val="5.7"/>
      <sheetName val="5.8 (2)"/>
      <sheetName val="5.9"/>
      <sheetName val="5.10"/>
      <sheetName val="5.11"/>
      <sheetName val="5.12"/>
      <sheetName val="5.13"/>
      <sheetName val="5.15"/>
      <sheetName val="5.16"/>
      <sheetName val="5.17 "/>
      <sheetName val="5.18"/>
      <sheetName val="5.19"/>
      <sheetName val="5.20"/>
      <sheetName val="5.21"/>
      <sheetName val="5.22"/>
    </sheetNames>
    <sheetDataSet>
      <sheetData sheetId="0" refreshError="1"/>
      <sheetData sheetId="1" refreshError="1"/>
      <sheetData sheetId="2"/>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sheetData sheetId="17"/>
      <sheetData sheetId="18" refreshError="1"/>
      <sheetData sheetId="1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5.11"/>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3"/>
      <sheetName val="4.9"/>
    </sheetNames>
    <sheetDataSet>
      <sheetData sheetId="0" refreshError="1"/>
      <sheetData sheetId="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9"/>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1"/>
      <sheetName val="4.2"/>
      <sheetName val="4.3"/>
      <sheetName val="4.4"/>
      <sheetName val="4.5"/>
      <sheetName val="4.6"/>
      <sheetName val="4.7"/>
      <sheetName val="4.7samb"/>
      <sheetName val="4.9"/>
      <sheetName val="4.10"/>
      <sheetName val="4.11"/>
      <sheetName val="4.12"/>
      <sheetName val="4.13"/>
      <sheetName val="Sheet1"/>
      <sheetName val="STATE FINAL"/>
      <sheetName val="Perl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1"/>
      <sheetName val="4.2"/>
      <sheetName val="4.3"/>
      <sheetName val="4.4"/>
      <sheetName val="4.5"/>
      <sheetName val="4.6"/>
      <sheetName val="4.7"/>
      <sheetName val="4.7samb"/>
      <sheetName val="4.9"/>
      <sheetName val="4.10"/>
      <sheetName val="4.11"/>
      <sheetName val="4.12"/>
      <sheetName val="4.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VA-curr"/>
      <sheetName val="VA-cons"/>
      <sheetName val="VA_CONSTANT"/>
      <sheetName val="ref"/>
      <sheetName val="Tbl1_Msia"/>
      <sheetName val="Tbl3_05"/>
      <sheetName val="Tbl5_06"/>
      <sheetName val="Tbl7_06"/>
      <sheetName val="Tbl8_07"/>
      <sheetName val="Tbl10_07"/>
      <sheetName val="Tbl11_08"/>
      <sheetName val="Tbl13_08"/>
      <sheetName val="Tbl14_09"/>
      <sheetName val="Tbl16_09"/>
      <sheetName val="Tbl17_10"/>
      <sheetName val="Tbl19_10"/>
      <sheetName val="Tbl20_11"/>
      <sheetName val="Tbl22_11"/>
      <sheetName val="Tbl23_12"/>
      <sheetName val="Tbl25_12"/>
      <sheetName val="Tbl26_13"/>
      <sheetName val="Tbl28_13"/>
      <sheetName val="Tbl29_Curr&amp;perCapita"/>
      <sheetName val="JHR"/>
      <sheetName val="KDH"/>
      <sheetName val="KLTN"/>
      <sheetName val="MLK"/>
      <sheetName val="N9"/>
      <sheetName val="PHG"/>
      <sheetName val="PP"/>
      <sheetName val="PRK"/>
      <sheetName val="PRLS"/>
      <sheetName val="SLGR"/>
      <sheetName val="TRGN"/>
      <sheetName val="SBH"/>
      <sheetName val="SRWK"/>
      <sheetName val="WPKL"/>
      <sheetName val="WPL"/>
      <sheetName val="Sheet2"/>
      <sheetName val="Sheet3"/>
      <sheetName val="Sheet6"/>
      <sheetName val="Sheet4"/>
      <sheetName val="Sheet4 (2)"/>
      <sheetName val="Sheet5"/>
      <sheetName val="Sheet7"/>
      <sheetName val="7.6"/>
      <sheetName val="4.9"/>
      <sheetName val="4.8"/>
    </sheetNames>
    <sheetDataSet>
      <sheetData sheetId="0">
        <row r="1">
          <cell r="C1" t="str">
            <v>agri</v>
          </cell>
        </row>
      </sheetData>
      <sheetData sheetId="1">
        <row r="1">
          <cell r="C1" t="str">
            <v>agri</v>
          </cell>
        </row>
      </sheetData>
      <sheetData sheetId="2">
        <row r="3">
          <cell r="B3" t="str">
            <v>row</v>
          </cell>
        </row>
      </sheetData>
      <sheetData sheetId="3">
        <row r="1">
          <cell r="C1" t="str">
            <v>agri</v>
          </cell>
        </row>
      </sheetData>
      <sheetData sheetId="4">
        <row r="3">
          <cell r="B3" t="str">
            <v>row</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1"/>
      <sheetName val="4.3"/>
      <sheetName val="4.4"/>
      <sheetName val="4.5"/>
      <sheetName val="4.6"/>
      <sheetName val="4.7"/>
      <sheetName val="4.7 samb"/>
      <sheetName val="4.8"/>
      <sheetName val="4.10"/>
      <sheetName val="5.11"/>
      <sheetName val="4.9"/>
      <sheetName val="7.6"/>
      <sheetName val="VA_CONSTANT"/>
      <sheetName val="ref"/>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 val="VA-curr"/>
      <sheetName val="VA-cons"/>
      <sheetName val="VA_CONSTANT"/>
      <sheetName val="ref"/>
      <sheetName val="Tbl1_Msia"/>
      <sheetName val="Tbl3_05"/>
      <sheetName val="Tbl5_06"/>
      <sheetName val="Tbl7_06"/>
      <sheetName val="Tbl8_07"/>
      <sheetName val="Tbl10_07"/>
      <sheetName val="Tbl11_08"/>
      <sheetName val="Tbl13_08"/>
      <sheetName val="Tbl14_09"/>
      <sheetName val="Tbl16_09"/>
      <sheetName val="Tbl17_10"/>
      <sheetName val="Tbl19_10"/>
      <sheetName val="Tbl20_11"/>
      <sheetName val="Tbl22_11"/>
      <sheetName val="Tbl23_12"/>
      <sheetName val="Tbl25_12"/>
      <sheetName val="Tbl26_13"/>
      <sheetName val="Tbl28_13"/>
      <sheetName val="Tbl29_Curr&amp;perCapita"/>
      <sheetName val="JHR"/>
      <sheetName val="KDH"/>
      <sheetName val="KLTN"/>
      <sheetName val="MLK"/>
      <sheetName val="N9"/>
      <sheetName val="PHG"/>
      <sheetName val="PP"/>
      <sheetName val="PRK"/>
      <sheetName val="PRLS"/>
      <sheetName val="SLGR"/>
      <sheetName val="TRGN"/>
      <sheetName val="SBH"/>
      <sheetName val="SRWK"/>
      <sheetName val="WPKL"/>
      <sheetName val="WPL"/>
      <sheetName val="Sheet2"/>
      <sheetName val="Sheet3"/>
      <sheetName val="Sheet6"/>
      <sheetName val="Sheet4"/>
      <sheetName val="Sheet4 (2)"/>
      <sheetName val="Sheet5"/>
      <sheetName val="Sheet7"/>
      <sheetName val="7.6"/>
      <sheetName val="4.8"/>
      <sheetName val="4.9"/>
      <sheetName val="4.3"/>
    </sheetNames>
    <sheetDataSet>
      <sheetData sheetId="0"/>
      <sheetData sheetId="1"/>
      <sheetData sheetId="2"/>
      <sheetData sheetId="3">
        <row r="1">
          <cell r="C1" t="str">
            <v>agri</v>
          </cell>
          <cell r="D1" t="str">
            <v>a1</v>
          </cell>
          <cell r="E1" t="str">
            <v>a2</v>
          </cell>
          <cell r="F1" t="str">
            <v>a3</v>
          </cell>
          <cell r="I1" t="str">
            <v>mq</v>
          </cell>
          <cell r="J1" t="str">
            <v>mfg</v>
          </cell>
          <cell r="R1" t="str">
            <v>c</v>
          </cell>
          <cell r="S1" t="str">
            <v>svs</v>
          </cell>
          <cell r="T1" t="str">
            <v>s1</v>
          </cell>
          <cell r="U1" t="str">
            <v>s2</v>
          </cell>
          <cell r="V1" t="str">
            <v>s3</v>
          </cell>
          <cell r="W1" t="str">
            <v>s4</v>
          </cell>
          <cell r="X1" t="str">
            <v>s5</v>
          </cell>
          <cell r="Y1" t="str">
            <v>di</v>
          </cell>
        </row>
        <row r="2">
          <cell r="A2" t="str">
            <v>CONSTANT</v>
          </cell>
          <cell r="B2" t="str">
            <v>Industry</v>
          </cell>
          <cell r="D2">
            <v>1</v>
          </cell>
          <cell r="E2">
            <v>2</v>
          </cell>
          <cell r="F2">
            <v>3</v>
          </cell>
          <cell r="I2">
            <v>4</v>
          </cell>
          <cell r="K2">
            <v>6</v>
          </cell>
          <cell r="L2">
            <v>7</v>
          </cell>
          <cell r="M2">
            <v>8</v>
          </cell>
          <cell r="N2">
            <v>9</v>
          </cell>
          <cell r="O2">
            <v>10</v>
          </cell>
          <cell r="P2">
            <v>11</v>
          </cell>
          <cell r="Q2">
            <v>12</v>
          </cell>
          <cell r="R2">
            <v>5</v>
          </cell>
          <cell r="T2">
            <v>13</v>
          </cell>
          <cell r="U2">
            <v>14</v>
          </cell>
          <cell r="V2">
            <v>15</v>
          </cell>
          <cell r="W2">
            <v>16</v>
          </cell>
        </row>
        <row r="3">
          <cell r="A3">
            <v>2005</v>
          </cell>
          <cell r="B3" t="str">
            <v>I</v>
          </cell>
          <cell r="C3" t="str">
            <v>Agriculture</v>
          </cell>
          <cell r="D3" t="str">
            <v>Tanaman</v>
          </cell>
          <cell r="E3" t="str">
            <v>Pembalakan</v>
          </cell>
          <cell r="F3" t="str">
            <v>Perikanan</v>
          </cell>
          <cell r="I3" t="str">
            <v>Mining andQuarrying</v>
          </cell>
          <cell r="J3" t="str">
            <v>Manufacturing</v>
          </cell>
          <cell r="K3" t="str">
            <v>Prosesan Makanan, Minuman dan Produk Tembakau</v>
          </cell>
          <cell r="L3" t="str">
            <v>Tekstil, Pakaian, Kulit dan Kasut</v>
          </cell>
          <cell r="M3" t="str">
            <v>Keluaran Kayu, Perabot, Produk Kertas, Percetakan dan Penerbitan</v>
          </cell>
          <cell r="N3" t="str">
            <v>Produk Petroleum, Bahan kimia, Getah dan Plastik</v>
          </cell>
          <cell r="O3" t="str">
            <v>Produk Mineral Bukan Logam, Logam Asli dan Produk Logam Yang Direka</v>
          </cell>
          <cell r="P3" t="str">
            <v>Elektrik dan Elektronik</v>
          </cell>
          <cell r="Q3" t="str">
            <v>Kelengkapan Pengangkutan dan Pembuatan Lain</v>
          </cell>
          <cell r="R3" t="str">
            <v>Construction</v>
          </cell>
          <cell r="S3" t="str">
            <v>Services</v>
          </cell>
          <cell r="T3" t="str">
            <v>Utiliti, Transport &amp; Communication</v>
          </cell>
          <cell r="U3" t="str">
            <v>WRT, Accomm &amp; Restaurant</v>
          </cell>
          <cell r="V3" t="str">
            <v>Finance &amp; Insurance, Real Estate &amp; Business Services</v>
          </cell>
          <cell r="W3" t="str">
            <v>Other Services</v>
          </cell>
          <cell r="X3" t="str">
            <v>Government Services</v>
          </cell>
          <cell r="Y3" t="str">
            <v>Plus :Import Duties</v>
          </cell>
          <cell r="Z3" t="str">
            <v>GDP atPurchasers' Prices</v>
          </cell>
        </row>
        <row r="4">
          <cell r="A4" t="str">
            <v>States</v>
          </cell>
          <cell r="B4" t="str">
            <v>Converter</v>
          </cell>
        </row>
        <row r="5">
          <cell r="A5" t="str">
            <v>Johor</v>
          </cell>
          <cell r="B5" t="str">
            <v>01</v>
          </cell>
          <cell r="C5">
            <v>6188.6869740789298</v>
          </cell>
          <cell r="D5">
            <v>5669.7259013497996</v>
          </cell>
          <cell r="E5">
            <v>45.404660919470203</v>
          </cell>
          <cell r="F5">
            <v>473.55641180965398</v>
          </cell>
          <cell r="I5">
            <v>50.620516345188399</v>
          </cell>
          <cell r="J5">
            <v>19313.560805921999</v>
          </cell>
          <cell r="K5">
            <v>1888.2624376276301</v>
          </cell>
          <cell r="L5">
            <v>1149.0903681325999</v>
          </cell>
          <cell r="M5">
            <v>1714.3932465764999</v>
          </cell>
          <cell r="N5">
            <v>2991.2672766727201</v>
          </cell>
          <cell r="O5">
            <v>2006.31809600568</v>
          </cell>
          <cell r="P5">
            <v>8059.1865180237201</v>
          </cell>
          <cell r="Q5">
            <v>1505.0428628831401</v>
          </cell>
          <cell r="R5">
            <v>1670.54664818574</v>
          </cell>
          <cell r="S5">
            <v>22105.495280909901</v>
          </cell>
          <cell r="T5">
            <v>5121.6287950521801</v>
          </cell>
          <cell r="U5">
            <v>4738.8112307610199</v>
          </cell>
          <cell r="V5">
            <v>6491.4735762118498</v>
          </cell>
          <cell r="W5">
            <v>2496.7540465810398</v>
          </cell>
          <cell r="X5">
            <v>3256.8276323038199</v>
          </cell>
          <cell r="Y5">
            <v>728.65346871345605</v>
          </cell>
          <cell r="Z5">
            <v>50057.5636941552</v>
          </cell>
        </row>
        <row r="6">
          <cell r="A6" t="str">
            <v>Kedah</v>
          </cell>
          <cell r="B6" t="str">
            <v>02</v>
          </cell>
          <cell r="C6">
            <v>2205.86141292909</v>
          </cell>
          <cell r="D6">
            <v>1914.1195857136699</v>
          </cell>
          <cell r="E6">
            <v>48.185576857368801</v>
          </cell>
          <cell r="F6">
            <v>243.55625035804999</v>
          </cell>
          <cell r="I6">
            <v>16.798627679947501</v>
          </cell>
          <cell r="J6">
            <v>6439.0935720568305</v>
          </cell>
          <cell r="K6">
            <v>281.20731449561799</v>
          </cell>
          <cell r="L6">
            <v>96.930988138971202</v>
          </cell>
          <cell r="M6">
            <v>440.53144658206003</v>
          </cell>
          <cell r="N6">
            <v>1243.63644861429</v>
          </cell>
          <cell r="O6">
            <v>1069.4520876377201</v>
          </cell>
          <cell r="P6">
            <v>2468.58309146803</v>
          </cell>
          <cell r="Q6">
            <v>838.75219512014905</v>
          </cell>
          <cell r="R6">
            <v>479.920265520209</v>
          </cell>
          <cell r="S6">
            <v>8577.0303768635804</v>
          </cell>
          <cell r="T6">
            <v>1286.23198685443</v>
          </cell>
          <cell r="U6">
            <v>2023.71962814313</v>
          </cell>
          <cell r="V6">
            <v>1562.0316095077601</v>
          </cell>
          <cell r="W6">
            <v>1614.1054910212999</v>
          </cell>
          <cell r="X6">
            <v>2090.9416613369599</v>
          </cell>
          <cell r="Y6">
            <v>109.9703374261</v>
          </cell>
          <cell r="Z6">
            <v>17828.6745924758</v>
          </cell>
        </row>
        <row r="7">
          <cell r="A7" t="str">
            <v>Kelantan</v>
          </cell>
          <cell r="B7" t="str">
            <v>03</v>
          </cell>
          <cell r="C7">
            <v>2344.5991933385599</v>
          </cell>
          <cell r="D7">
            <v>1883.75251168818</v>
          </cell>
          <cell r="E7">
            <v>292.99724383027001</v>
          </cell>
          <cell r="F7">
            <v>167.84943782010399</v>
          </cell>
          <cell r="I7">
            <v>16.786386316163199</v>
          </cell>
          <cell r="J7">
            <v>546.021104581906</v>
          </cell>
          <cell r="K7">
            <v>133.716111525911</v>
          </cell>
          <cell r="L7">
            <v>82.117642096891799</v>
          </cell>
          <cell r="M7">
            <v>99.548580440402105</v>
          </cell>
          <cell r="N7">
            <v>77.427332457531506</v>
          </cell>
          <cell r="O7">
            <v>34.503208304897598</v>
          </cell>
          <cell r="P7">
            <v>114.890064756613</v>
          </cell>
          <cell r="Q7">
            <v>3.8181649996589799</v>
          </cell>
          <cell r="R7">
            <v>177.04286407597399</v>
          </cell>
          <cell r="S7">
            <v>5935.6247485070598</v>
          </cell>
          <cell r="T7">
            <v>723.53971458984802</v>
          </cell>
          <cell r="U7">
            <v>1624.3435341894599</v>
          </cell>
          <cell r="V7">
            <v>647.72293706302503</v>
          </cell>
          <cell r="W7">
            <v>1141.9703719863901</v>
          </cell>
          <cell r="X7">
            <v>1798.04819067834</v>
          </cell>
          <cell r="Y7">
            <v>11.1525705205711</v>
          </cell>
          <cell r="Z7">
            <v>9031.2268673402305</v>
          </cell>
        </row>
        <row r="8">
          <cell r="A8" t="str">
            <v>Melaka</v>
          </cell>
          <cell r="B8" t="str">
            <v>04</v>
          </cell>
          <cell r="C8">
            <v>813.34341062993201</v>
          </cell>
          <cell r="D8">
            <v>799.24648329818001</v>
          </cell>
          <cell r="E8">
            <v>4.0672606939171997E-2</v>
          </cell>
          <cell r="F8">
            <v>14.0562547248129</v>
          </cell>
          <cell r="I8">
            <v>7.9443777633508503</v>
          </cell>
          <cell r="J8">
            <v>7593.5701683297902</v>
          </cell>
          <cell r="K8">
            <v>229.645071173025</v>
          </cell>
          <cell r="L8">
            <v>98.459729658165202</v>
          </cell>
          <cell r="M8">
            <v>411.14213293316999</v>
          </cell>
          <cell r="N8">
            <v>2862.92900939939</v>
          </cell>
          <cell r="O8">
            <v>611.91226312907202</v>
          </cell>
          <cell r="P8">
            <v>2167.05771523879</v>
          </cell>
          <cell r="Q8">
            <v>1212.4242467981801</v>
          </cell>
          <cell r="R8">
            <v>340.14170407848502</v>
          </cell>
          <cell r="S8">
            <v>6281.4052104497096</v>
          </cell>
          <cell r="T8">
            <v>1256.6868027578</v>
          </cell>
          <cell r="U8">
            <v>1861.2386838883499</v>
          </cell>
          <cell r="V8">
            <v>1276.8413914809501</v>
          </cell>
          <cell r="W8">
            <v>959.94229629765505</v>
          </cell>
          <cell r="X8">
            <v>926.69603602494703</v>
          </cell>
          <cell r="Y8">
            <v>12.647305123930799</v>
          </cell>
          <cell r="Z8">
            <v>15049.0521763752</v>
          </cell>
        </row>
        <row r="9">
          <cell r="A9" t="str">
            <v>Negeri Sembilan</v>
          </cell>
          <cell r="B9" t="str">
            <v>05</v>
          </cell>
          <cell r="C9">
            <v>1638.4824392743301</v>
          </cell>
          <cell r="D9">
            <v>1577.11907276651</v>
          </cell>
          <cell r="E9">
            <v>36.968810853014197</v>
          </cell>
          <cell r="F9">
            <v>24.394555654808499</v>
          </cell>
          <cell r="I9">
            <v>17.8073562157117</v>
          </cell>
          <cell r="J9">
            <v>10528.084675726601</v>
          </cell>
          <cell r="K9">
            <v>1056.1793738148799</v>
          </cell>
          <cell r="L9">
            <v>396.31895420225999</v>
          </cell>
          <cell r="M9">
            <v>371.14684069650701</v>
          </cell>
          <cell r="N9">
            <v>2262.04761504506</v>
          </cell>
          <cell r="O9">
            <v>723.17558514235202</v>
          </cell>
          <cell r="P9">
            <v>4681.3968444028596</v>
          </cell>
          <cell r="Q9">
            <v>1037.8194624227001</v>
          </cell>
          <cell r="R9">
            <v>411.71665288432098</v>
          </cell>
          <cell r="S9">
            <v>7045.2758865559599</v>
          </cell>
          <cell r="T9">
            <v>1564.2072475928301</v>
          </cell>
          <cell r="U9">
            <v>1685.5216305358299</v>
          </cell>
          <cell r="V9">
            <v>1465.2132277160799</v>
          </cell>
          <cell r="W9">
            <v>1045.59591398047</v>
          </cell>
          <cell r="X9">
            <v>1284.7378667307601</v>
          </cell>
          <cell r="Y9">
            <v>94.643394910766901</v>
          </cell>
          <cell r="Z9">
            <v>19736.0104055677</v>
          </cell>
        </row>
        <row r="10">
          <cell r="A10" t="str">
            <v>Pahang</v>
          </cell>
          <cell r="B10" t="str">
            <v>06</v>
          </cell>
          <cell r="C10">
            <v>5408.1524182366702</v>
          </cell>
          <cell r="D10">
            <v>4247.9775913840704</v>
          </cell>
          <cell r="E10">
            <v>700.02655418262998</v>
          </cell>
          <cell r="F10">
            <v>460.14827266996701</v>
          </cell>
          <cell r="I10">
            <v>100.97265852557599</v>
          </cell>
          <cell r="J10">
            <v>6422.5911004641202</v>
          </cell>
          <cell r="K10">
            <v>496.46787956383002</v>
          </cell>
          <cell r="L10">
            <v>17.898124393975099</v>
          </cell>
          <cell r="M10">
            <v>571.63532464968898</v>
          </cell>
          <cell r="N10">
            <v>3138.7165912176501</v>
          </cell>
          <cell r="O10">
            <v>579.36037098090799</v>
          </cell>
          <cell r="P10">
            <v>155.79759004910699</v>
          </cell>
          <cell r="Q10">
            <v>1462.7152196089601</v>
          </cell>
          <cell r="R10">
            <v>575.26311602041301</v>
          </cell>
          <cell r="S10">
            <v>10514.660589892301</v>
          </cell>
          <cell r="T10">
            <v>1182.4679888487699</v>
          </cell>
          <cell r="U10">
            <v>3212.7132296569698</v>
          </cell>
          <cell r="V10">
            <v>1370.6219651210999</v>
          </cell>
          <cell r="W10">
            <v>2811.54899205008</v>
          </cell>
          <cell r="X10">
            <v>1937.30841421541</v>
          </cell>
          <cell r="Y10">
            <v>39.701491019977198</v>
          </cell>
          <cell r="Z10">
            <v>23061.341374159099</v>
          </cell>
        </row>
        <row r="11">
          <cell r="A11" t="str">
            <v>Pulau Pinang</v>
          </cell>
          <cell r="B11" t="str">
            <v>07</v>
          </cell>
          <cell r="C11">
            <v>633.88290365591899</v>
          </cell>
          <cell r="D11">
            <v>486.018817116371</v>
          </cell>
          <cell r="E11">
            <v>0</v>
          </cell>
          <cell r="F11">
            <v>147.86408653954899</v>
          </cell>
          <cell r="I11">
            <v>17.481763989479099</v>
          </cell>
          <cell r="J11">
            <v>21249.074678795201</v>
          </cell>
          <cell r="K11">
            <v>593.55731447201003</v>
          </cell>
          <cell r="L11">
            <v>586.91874447794896</v>
          </cell>
          <cell r="M11">
            <v>620.24819278525695</v>
          </cell>
          <cell r="N11">
            <v>1660.50973175387</v>
          </cell>
          <cell r="O11">
            <v>1319.6283323750499</v>
          </cell>
          <cell r="P11">
            <v>15385.732970271099</v>
          </cell>
          <cell r="Q11">
            <v>1082.4793926599</v>
          </cell>
          <cell r="R11">
            <v>844.03512199132797</v>
          </cell>
          <cell r="S11">
            <v>16137.5740257668</v>
          </cell>
          <cell r="T11">
            <v>3422.52377358782</v>
          </cell>
          <cell r="U11">
            <v>4377.50240669906</v>
          </cell>
          <cell r="V11">
            <v>4705.9583963055902</v>
          </cell>
          <cell r="W11">
            <v>1743.76443271893</v>
          </cell>
          <cell r="X11">
            <v>1887.8250164554099</v>
          </cell>
          <cell r="Y11">
            <v>303.93796150801199</v>
          </cell>
          <cell r="Z11">
            <v>39185.986455706698</v>
          </cell>
        </row>
        <row r="12">
          <cell r="A12" t="str">
            <v>Perak</v>
          </cell>
          <cell r="B12" t="str">
            <v>08</v>
          </cell>
          <cell r="C12">
            <v>4685.9803496023796</v>
          </cell>
          <cell r="D12">
            <v>3298.0502540899201</v>
          </cell>
          <cell r="E12">
            <v>406.45567201757098</v>
          </cell>
          <cell r="F12">
            <v>981.47442349488597</v>
          </cell>
          <cell r="I12">
            <v>91.091266776845004</v>
          </cell>
          <cell r="J12">
            <v>5548.31659775966</v>
          </cell>
          <cell r="K12">
            <v>765.12245350003798</v>
          </cell>
          <cell r="L12">
            <v>265.726435190225</v>
          </cell>
          <cell r="M12">
            <v>338.617127108055</v>
          </cell>
          <cell r="N12">
            <v>1389.44580012133</v>
          </cell>
          <cell r="O12">
            <v>1099.7346644869101</v>
          </cell>
          <cell r="P12">
            <v>1503.72828676476</v>
          </cell>
          <cell r="Q12">
            <v>185.94183058834599</v>
          </cell>
          <cell r="R12">
            <v>703.66473522178899</v>
          </cell>
          <cell r="S12">
            <v>16636.6462646972</v>
          </cell>
          <cell r="T12">
            <v>5265.6380011209203</v>
          </cell>
          <cell r="U12">
            <v>3383.9586427775098</v>
          </cell>
          <cell r="V12">
            <v>2990.64760046632</v>
          </cell>
          <cell r="W12">
            <v>2275.7173696558698</v>
          </cell>
          <cell r="X12">
            <v>2720.6846506766201</v>
          </cell>
          <cell r="Y12">
            <v>67.206208322212206</v>
          </cell>
          <cell r="Z12">
            <v>27732.905422380099</v>
          </cell>
        </row>
        <row r="13">
          <cell r="A13" t="str">
            <v>Perlis</v>
          </cell>
          <cell r="B13" t="str">
            <v>09</v>
          </cell>
          <cell r="C13">
            <v>725.89663866670503</v>
          </cell>
          <cell r="D13">
            <v>278.91880025355698</v>
          </cell>
          <cell r="E13">
            <v>0</v>
          </cell>
          <cell r="F13">
            <v>446.97783841314799</v>
          </cell>
          <cell r="I13">
            <v>6.9470361339644002</v>
          </cell>
          <cell r="J13">
            <v>351.52005627757399</v>
          </cell>
          <cell r="K13">
            <v>44.269024490114496</v>
          </cell>
          <cell r="L13">
            <v>60.578535001281097</v>
          </cell>
          <cell r="M13">
            <v>6.5541373030035297</v>
          </cell>
          <cell r="N13">
            <v>168.24860846190299</v>
          </cell>
          <cell r="O13">
            <v>70.705771288334802</v>
          </cell>
          <cell r="P13">
            <v>0.92189678059466695</v>
          </cell>
          <cell r="Q13">
            <v>0.24208295234268001</v>
          </cell>
          <cell r="R13">
            <v>103.337365275102</v>
          </cell>
          <cell r="S13">
            <v>1525.83336834177</v>
          </cell>
          <cell r="T13">
            <v>546.75645965767706</v>
          </cell>
          <cell r="U13">
            <v>180.331110330911</v>
          </cell>
          <cell r="V13">
            <v>185.90757136182501</v>
          </cell>
          <cell r="W13">
            <v>220.28500223045799</v>
          </cell>
          <cell r="X13">
            <v>392.55322476089799</v>
          </cell>
          <cell r="Y13">
            <v>131.38239279555199</v>
          </cell>
          <cell r="Z13">
            <v>2844.9168574906698</v>
          </cell>
        </row>
        <row r="14">
          <cell r="A14" t="str">
            <v>Selangor</v>
          </cell>
          <cell r="B14">
            <v>10</v>
          </cell>
          <cell r="C14">
            <v>1700.94850627546</v>
          </cell>
          <cell r="D14">
            <v>1249.83756190091</v>
          </cell>
          <cell r="E14">
            <v>16.9925384062762</v>
          </cell>
          <cell r="F14">
            <v>434.11840596827602</v>
          </cell>
          <cell r="I14">
            <v>110.675543265549</v>
          </cell>
          <cell r="J14">
            <v>41647.757199532098</v>
          </cell>
          <cell r="K14">
            <v>5731.0679308809504</v>
          </cell>
          <cell r="L14">
            <v>380.54330017951997</v>
          </cell>
          <cell r="M14">
            <v>2421.2223443857401</v>
          </cell>
          <cell r="N14">
            <v>4938.7307381500304</v>
          </cell>
          <cell r="O14">
            <v>4365.0052055072902</v>
          </cell>
          <cell r="P14">
            <v>12415.9563022166</v>
          </cell>
          <cell r="Q14">
            <v>11395.231378212</v>
          </cell>
          <cell r="R14">
            <v>5046.5629932728398</v>
          </cell>
          <cell r="S14">
            <v>60916.670571898598</v>
          </cell>
          <cell r="T14">
            <v>16201.6721678055</v>
          </cell>
          <cell r="U14">
            <v>20229.6977731402</v>
          </cell>
          <cell r="V14">
            <v>14073.437855992701</v>
          </cell>
          <cell r="W14">
            <v>5684.9188574445898</v>
          </cell>
          <cell r="X14">
            <v>4726.9439175156504</v>
          </cell>
          <cell r="Y14">
            <v>3762.1254486965399</v>
          </cell>
          <cell r="Z14">
            <v>113184.74026294101</v>
          </cell>
        </row>
        <row r="15">
          <cell r="A15" t="str">
            <v>Terengganu</v>
          </cell>
          <cell r="B15">
            <v>11</v>
          </cell>
          <cell r="C15">
            <v>1565.5290648018599</v>
          </cell>
          <cell r="D15">
            <v>1073.6706009096399</v>
          </cell>
          <cell r="E15">
            <v>153.17327892166099</v>
          </cell>
          <cell r="F15">
            <v>338.68518497056101</v>
          </cell>
          <cell r="I15">
            <v>10.4755656271611</v>
          </cell>
          <cell r="J15">
            <v>6476.2641170741999</v>
          </cell>
          <cell r="K15">
            <v>97.305363964005096</v>
          </cell>
          <cell r="L15">
            <v>27.908073639538699</v>
          </cell>
          <cell r="M15">
            <v>145.959550427875</v>
          </cell>
          <cell r="N15">
            <v>5737.3221183033302</v>
          </cell>
          <cell r="O15">
            <v>399.11324204521202</v>
          </cell>
          <cell r="P15">
            <v>5.0954298774075903</v>
          </cell>
          <cell r="Q15">
            <v>63.560338816834197</v>
          </cell>
          <cell r="R15">
            <v>413.540567422283</v>
          </cell>
          <cell r="S15">
            <v>7087.1959635036601</v>
          </cell>
          <cell r="T15">
            <v>2938.6086555571401</v>
          </cell>
          <cell r="U15">
            <v>1189.81752500624</v>
          </cell>
          <cell r="V15">
            <v>544.83815395728197</v>
          </cell>
          <cell r="W15">
            <v>762.75474874239501</v>
          </cell>
          <cell r="X15">
            <v>1651.1768802406</v>
          </cell>
          <cell r="Y15">
            <v>9.2395649206271493</v>
          </cell>
          <cell r="Z15">
            <v>15562.244843349799</v>
          </cell>
        </row>
        <row r="16">
          <cell r="A16" t="str">
            <v>Sabah</v>
          </cell>
          <cell r="B16">
            <v>12</v>
          </cell>
          <cell r="C16">
            <v>9647.3803529176894</v>
          </cell>
          <cell r="D16">
            <v>6318.3875139191196</v>
          </cell>
          <cell r="E16">
            <v>2265.7688590278499</v>
          </cell>
          <cell r="F16">
            <v>1063.2239799707199</v>
          </cell>
          <cell r="I16">
            <v>5132.6603951794996</v>
          </cell>
          <cell r="J16">
            <v>3148.6969028643598</v>
          </cell>
          <cell r="K16">
            <v>1760.7973808909701</v>
          </cell>
          <cell r="L16">
            <v>25.268410039433601</v>
          </cell>
          <cell r="M16">
            <v>910.40826712844898</v>
          </cell>
          <cell r="N16">
            <v>110.404578133225</v>
          </cell>
          <cell r="O16">
            <v>190.22212738276301</v>
          </cell>
          <cell r="P16">
            <v>5.9322727378743503</v>
          </cell>
          <cell r="Q16">
            <v>145.66386655164101</v>
          </cell>
          <cell r="R16">
            <v>950.17214652152404</v>
          </cell>
          <cell r="S16">
            <v>13421.123082458</v>
          </cell>
          <cell r="T16">
            <v>2601.18674242421</v>
          </cell>
          <cell r="U16">
            <v>3787.1510727289601</v>
          </cell>
          <cell r="V16">
            <v>2791.7752197510199</v>
          </cell>
          <cell r="W16">
            <v>1439.16800893804</v>
          </cell>
          <cell r="X16">
            <v>2801.84203861574</v>
          </cell>
          <cell r="Y16">
            <v>126.63967503849101</v>
          </cell>
          <cell r="Z16">
            <v>32426.672554979501</v>
          </cell>
        </row>
        <row r="17">
          <cell r="A17" t="str">
            <v>Sarawak</v>
          </cell>
          <cell r="B17">
            <v>13</v>
          </cell>
          <cell r="C17">
            <v>7277.5600092764498</v>
          </cell>
          <cell r="D17">
            <v>2688.1252017148199</v>
          </cell>
          <cell r="E17">
            <v>3980.5306111598502</v>
          </cell>
          <cell r="F17">
            <v>608.904196401783</v>
          </cell>
          <cell r="I17">
            <v>15492.7551275153</v>
          </cell>
          <cell r="J17">
            <v>15986.7967793149</v>
          </cell>
          <cell r="K17">
            <v>577.80423886552705</v>
          </cell>
          <cell r="L17">
            <v>18.816444659134401</v>
          </cell>
          <cell r="M17">
            <v>1591.1434893918499</v>
          </cell>
          <cell r="N17">
            <v>12491.029111321701</v>
          </cell>
          <cell r="O17">
            <v>465.65915069333499</v>
          </cell>
          <cell r="P17">
            <v>610.89899601884804</v>
          </cell>
          <cell r="Q17">
            <v>231.44534836451899</v>
          </cell>
          <cell r="R17">
            <v>1368.2228298833199</v>
          </cell>
          <cell r="S17">
            <v>17345.898143881801</v>
          </cell>
          <cell r="T17">
            <v>4159.0955870482303</v>
          </cell>
          <cell r="U17">
            <v>4254.8856685601104</v>
          </cell>
          <cell r="V17">
            <v>4220.5458403617604</v>
          </cell>
          <cell r="W17">
            <v>1900.1070644228801</v>
          </cell>
          <cell r="X17">
            <v>2811.26398348885</v>
          </cell>
          <cell r="Y17">
            <v>229.13657208042</v>
          </cell>
          <cell r="Z17">
            <v>57700.369461952301</v>
          </cell>
        </row>
        <row r="18">
          <cell r="A18" t="str">
            <v>WP Kuala Lumpur</v>
          </cell>
          <cell r="B18">
            <v>14</v>
          </cell>
          <cell r="C18">
            <v>2.1689198892843402</v>
          </cell>
          <cell r="D18">
            <v>2.1689198892843402</v>
          </cell>
          <cell r="E18">
            <v>0</v>
          </cell>
          <cell r="F18">
            <v>0</v>
          </cell>
          <cell r="I18">
            <v>24.8085170014017</v>
          </cell>
          <cell r="J18">
            <v>3907.8977998006098</v>
          </cell>
          <cell r="K18">
            <v>460.74423564599903</v>
          </cell>
          <cell r="L18">
            <v>295.220099718342</v>
          </cell>
          <cell r="M18">
            <v>1056.44641275192</v>
          </cell>
          <cell r="N18">
            <v>577.84337992862697</v>
          </cell>
          <cell r="O18">
            <v>462.74103243345598</v>
          </cell>
          <cell r="P18">
            <v>482.255021393606</v>
          </cell>
          <cell r="Q18">
            <v>572.64761792866295</v>
          </cell>
          <cell r="R18">
            <v>2998.0714186278701</v>
          </cell>
          <cell r="S18">
            <v>59372.634297558601</v>
          </cell>
          <cell r="T18">
            <v>4062.56745868399</v>
          </cell>
          <cell r="U18">
            <v>21923.565608608798</v>
          </cell>
          <cell r="V18">
            <v>22714.2177897578</v>
          </cell>
          <cell r="W18">
            <v>3342.8796808709599</v>
          </cell>
          <cell r="X18">
            <v>7329.4037596370499</v>
          </cell>
          <cell r="Y18">
            <v>711.37331333309896</v>
          </cell>
          <cell r="Z18">
            <v>67016.954266210902</v>
          </cell>
        </row>
        <row r="19">
          <cell r="A19" t="str">
            <v>WP Labuan</v>
          </cell>
          <cell r="B19">
            <v>15</v>
          </cell>
          <cell r="C19">
            <v>73.771698700430406</v>
          </cell>
          <cell r="D19">
            <v>6.79363146008754</v>
          </cell>
          <cell r="E19">
            <v>0</v>
          </cell>
          <cell r="F19">
            <v>66.978067240342796</v>
          </cell>
          <cell r="I19">
            <v>0</v>
          </cell>
          <cell r="J19">
            <v>595.108748200533</v>
          </cell>
          <cell r="K19">
            <v>24.0042477805912</v>
          </cell>
          <cell r="L19">
            <v>2.2342777848289801</v>
          </cell>
          <cell r="M19">
            <v>1.57515183952991</v>
          </cell>
          <cell r="N19">
            <v>468.53098511556101</v>
          </cell>
          <cell r="O19">
            <v>90.166862587020205</v>
          </cell>
          <cell r="P19">
            <v>0</v>
          </cell>
          <cell r="Q19">
            <v>8.5972230930015403</v>
          </cell>
          <cell r="R19">
            <v>24.3120582451525</v>
          </cell>
          <cell r="S19">
            <v>1419.04543309839</v>
          </cell>
          <cell r="T19">
            <v>176.82434864987599</v>
          </cell>
          <cell r="U19">
            <v>168.241821884486</v>
          </cell>
          <cell r="V19">
            <v>973.75818969116494</v>
          </cell>
          <cell r="W19">
            <v>60.281927196105002</v>
          </cell>
          <cell r="X19">
            <v>39.939145676755501</v>
          </cell>
          <cell r="Y19">
            <v>33.8454851802448</v>
          </cell>
          <cell r="Z19">
            <v>2146.08342342475</v>
          </cell>
        </row>
        <row r="20">
          <cell r="A20" t="str">
            <v>Supra1</v>
          </cell>
          <cell r="C20">
            <v>0</v>
          </cell>
          <cell r="D20">
            <v>0</v>
          </cell>
          <cell r="E20">
            <v>0</v>
          </cell>
          <cell r="F20">
            <v>0</v>
          </cell>
          <cell r="I20">
            <v>51013.064607915097</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51013.064607915097</v>
          </cell>
        </row>
        <row r="21">
          <cell r="A21" t="str">
            <v>MALAYSIA</v>
          </cell>
          <cell r="C21">
            <v>44912.244292273703</v>
          </cell>
          <cell r="D21">
            <v>31493.912447454099</v>
          </cell>
          <cell r="E21">
            <v>7946.5444787829001</v>
          </cell>
          <cell r="F21">
            <v>5471.7873660366604</v>
          </cell>
          <cell r="I21">
            <v>72110.889746250294</v>
          </cell>
          <cell r="J21">
            <v>149754.3543067</v>
          </cell>
          <cell r="K21">
            <v>14140.1503786911</v>
          </cell>
          <cell r="L21">
            <v>3504.0301273131199</v>
          </cell>
          <cell r="M21">
            <v>10700.572244999999</v>
          </cell>
          <cell r="N21">
            <v>40118.0893246962</v>
          </cell>
          <cell r="O21">
            <v>13487.698</v>
          </cell>
          <cell r="P21">
            <v>48057.432999999997</v>
          </cell>
          <cell r="Q21">
            <v>19746.381230999999</v>
          </cell>
          <cell r="R21">
            <v>16106.550487226301</v>
          </cell>
          <cell r="S21">
            <v>254322.11324438301</v>
          </cell>
          <cell r="T21">
            <v>50509.635730231297</v>
          </cell>
          <cell r="U21">
            <v>74641.499566911007</v>
          </cell>
          <cell r="V21">
            <v>66014.991324746195</v>
          </cell>
          <cell r="W21">
            <v>27499.794204137201</v>
          </cell>
          <cell r="X21">
            <v>35656.192418357801</v>
          </cell>
          <cell r="Y21">
            <v>6371.6551895900002</v>
          </cell>
          <cell r="Z21">
            <v>543577.80726642394</v>
          </cell>
        </row>
        <row r="24">
          <cell r="A24" t="str">
            <v>CONSTANT</v>
          </cell>
          <cell r="B24" t="str">
            <v>Industry</v>
          </cell>
          <cell r="D24">
            <v>1</v>
          </cell>
          <cell r="E24">
            <v>2</v>
          </cell>
          <cell r="F24">
            <v>3</v>
          </cell>
          <cell r="I24">
            <v>4</v>
          </cell>
          <cell r="K24">
            <v>6</v>
          </cell>
          <cell r="L24">
            <v>7</v>
          </cell>
          <cell r="M24">
            <v>8</v>
          </cell>
          <cell r="N24">
            <v>9</v>
          </cell>
          <cell r="O24">
            <v>10</v>
          </cell>
          <cell r="P24">
            <v>11</v>
          </cell>
          <cell r="Q24">
            <v>12</v>
          </cell>
          <cell r="R24">
            <v>5</v>
          </cell>
          <cell r="T24">
            <v>13</v>
          </cell>
          <cell r="U24">
            <v>14</v>
          </cell>
          <cell r="V24">
            <v>15</v>
          </cell>
          <cell r="W24">
            <v>16</v>
          </cell>
        </row>
        <row r="25">
          <cell r="A25">
            <v>2006</v>
          </cell>
          <cell r="B25" t="str">
            <v>I</v>
          </cell>
          <cell r="C25" t="str">
            <v>Agriculture</v>
          </cell>
          <cell r="D25" t="str">
            <v>Tanaman</v>
          </cell>
          <cell r="E25" t="str">
            <v>Pembalakan</v>
          </cell>
          <cell r="F25" t="str">
            <v>Perikanan</v>
          </cell>
          <cell r="I25" t="str">
            <v>Mining andQuarrying</v>
          </cell>
          <cell r="J25" t="str">
            <v>Manufacturing</v>
          </cell>
          <cell r="K25" t="str">
            <v>Prosesan Makanan, Minuman dan Produk Tembakau</v>
          </cell>
          <cell r="L25" t="str">
            <v>Tekstil, Pakaian, Kulit dan Kasut</v>
          </cell>
          <cell r="M25" t="str">
            <v>Keluaran Kayu, Perabot, Produk Kertas, Percetakan dan Penerbitan</v>
          </cell>
          <cell r="N25" t="str">
            <v>Produk Petroleum, Bahan kimia, Getah dan Plastik</v>
          </cell>
          <cell r="O25" t="str">
            <v>Produk Mineral Bukan Logam, Logam Asli dan Produk Logam Yang Direka</v>
          </cell>
          <cell r="P25" t="str">
            <v>Elektrik dan Elektronik</v>
          </cell>
          <cell r="Q25" t="str">
            <v>Kelengkapan Pengangkutan dan Pembuatan Lain</v>
          </cell>
          <cell r="R25" t="str">
            <v>Construction</v>
          </cell>
          <cell r="S25" t="str">
            <v>Services</v>
          </cell>
          <cell r="T25" t="str">
            <v>Utiliti, Transport &amp; Communication</v>
          </cell>
          <cell r="U25" t="str">
            <v>WRT, Accomm &amp; Restaurant</v>
          </cell>
          <cell r="V25" t="str">
            <v>Finance &amp; Insurance, Real Estate &amp; Business Services</v>
          </cell>
          <cell r="W25" t="str">
            <v>Other Services</v>
          </cell>
          <cell r="X25" t="str">
            <v>Government Services</v>
          </cell>
          <cell r="Y25" t="str">
            <v>Plus :Import Duties</v>
          </cell>
          <cell r="Z25" t="str">
            <v>GDP atPurchasers' Prices</v>
          </cell>
        </row>
        <row r="26">
          <cell r="A26" t="str">
            <v>States</v>
          </cell>
          <cell r="B26" t="str">
            <v>Converter</v>
          </cell>
        </row>
        <row r="27">
          <cell r="A27" t="str">
            <v>Johor</v>
          </cell>
          <cell r="B27" t="str">
            <v>01</v>
          </cell>
          <cell r="C27">
            <v>6654.2396491146401</v>
          </cell>
          <cell r="D27">
            <v>5977.43668348548</v>
          </cell>
          <cell r="E27">
            <v>102.45171403581401</v>
          </cell>
          <cell r="F27">
            <v>574.351251593347</v>
          </cell>
          <cell r="I27">
            <v>48.2440928592018</v>
          </cell>
          <cell r="J27">
            <v>20066.005193343699</v>
          </cell>
          <cell r="K27">
            <v>1587.0553593141101</v>
          </cell>
          <cell r="L27">
            <v>1079.6354715331299</v>
          </cell>
          <cell r="M27">
            <v>1491.8417091542101</v>
          </cell>
          <cell r="N27">
            <v>3753.2871051659699</v>
          </cell>
          <cell r="O27">
            <v>2371.92938811051</v>
          </cell>
          <cell r="P27">
            <v>8364.2660230885595</v>
          </cell>
          <cell r="Q27">
            <v>1417.9901369772199</v>
          </cell>
          <cell r="R27">
            <v>1568.45996558397</v>
          </cell>
          <cell r="S27">
            <v>23481.829570811798</v>
          </cell>
          <cell r="T27">
            <v>5430.9591622893204</v>
          </cell>
          <cell r="U27">
            <v>5091.9409273339097</v>
          </cell>
          <cell r="V27">
            <v>6795.4771230062597</v>
          </cell>
          <cell r="W27">
            <v>2531.2759057048002</v>
          </cell>
          <cell r="X27">
            <v>3632.1764524775099</v>
          </cell>
          <cell r="Y27">
            <v>720.39271590590999</v>
          </cell>
          <cell r="Z27">
            <v>52539.171187619198</v>
          </cell>
        </row>
        <row r="28">
          <cell r="A28" t="str">
            <v>Kedah</v>
          </cell>
          <cell r="B28" t="str">
            <v>02</v>
          </cell>
          <cell r="C28">
            <v>2416.9332573101001</v>
          </cell>
          <cell r="D28">
            <v>2060.9680526072898</v>
          </cell>
          <cell r="E28">
            <v>80.483431624916705</v>
          </cell>
          <cell r="F28">
            <v>275.48177307788598</v>
          </cell>
          <cell r="I28">
            <v>16.5266256769922</v>
          </cell>
          <cell r="J28">
            <v>6984.3359707004201</v>
          </cell>
          <cell r="K28">
            <v>276.28719718090599</v>
          </cell>
          <cell r="L28">
            <v>69.637096233941406</v>
          </cell>
          <cell r="M28">
            <v>472.22697892102002</v>
          </cell>
          <cell r="N28">
            <v>1168.3168660113399</v>
          </cell>
          <cell r="O28">
            <v>1326.57567433551</v>
          </cell>
          <cell r="P28">
            <v>2784.3407263300001</v>
          </cell>
          <cell r="Q28">
            <v>886.95143168770198</v>
          </cell>
          <cell r="R28">
            <v>453.96999135908499</v>
          </cell>
          <cell r="S28">
            <v>9248.8233385255007</v>
          </cell>
          <cell r="T28">
            <v>1359.7214274135199</v>
          </cell>
          <cell r="U28">
            <v>2144.99827280614</v>
          </cell>
          <cell r="V28">
            <v>1764.2756371395401</v>
          </cell>
          <cell r="W28">
            <v>1652.1409922943201</v>
          </cell>
          <cell r="X28">
            <v>2327.6870088719702</v>
          </cell>
          <cell r="Y28">
            <v>134.45064089028699</v>
          </cell>
          <cell r="Z28">
            <v>19255.039824462401</v>
          </cell>
        </row>
        <row r="29">
          <cell r="A29" t="str">
            <v>Kelantan</v>
          </cell>
          <cell r="B29" t="str">
            <v>03</v>
          </cell>
          <cell r="C29">
            <v>2617.7804497956299</v>
          </cell>
          <cell r="D29">
            <v>1942.4817276997501</v>
          </cell>
          <cell r="E29">
            <v>416.49956725049998</v>
          </cell>
          <cell r="F29">
            <v>258.79915484537702</v>
          </cell>
          <cell r="I29">
            <v>14.4181754742871</v>
          </cell>
          <cell r="J29">
            <v>510.70083418754098</v>
          </cell>
          <cell r="K29">
            <v>138.341438523666</v>
          </cell>
          <cell r="L29">
            <v>28.742611609802001</v>
          </cell>
          <cell r="M29">
            <v>73.505500890016407</v>
          </cell>
          <cell r="N29">
            <v>68.319025944010207</v>
          </cell>
          <cell r="O29">
            <v>27.574781203743701</v>
          </cell>
          <cell r="P29">
            <v>166.28079755626999</v>
          </cell>
          <cell r="Q29">
            <v>7.9366784600321303</v>
          </cell>
          <cell r="R29">
            <v>169.46443534701299</v>
          </cell>
          <cell r="S29">
            <v>6335.7900702748702</v>
          </cell>
          <cell r="T29">
            <v>743.703512481487</v>
          </cell>
          <cell r="U29">
            <v>1681.2531728200699</v>
          </cell>
          <cell r="V29">
            <v>733.54320103359203</v>
          </cell>
          <cell r="W29">
            <v>1174.0590217900599</v>
          </cell>
          <cell r="X29">
            <v>2003.2311621496599</v>
          </cell>
          <cell r="Y29">
            <v>10.1210965389053</v>
          </cell>
          <cell r="Z29">
            <v>9658.2750616182493</v>
          </cell>
        </row>
        <row r="30">
          <cell r="A30" t="str">
            <v>Melaka</v>
          </cell>
          <cell r="B30" t="str">
            <v>04</v>
          </cell>
          <cell r="C30">
            <v>961.73329875419302</v>
          </cell>
          <cell r="D30">
            <v>946.90645762184204</v>
          </cell>
          <cell r="E30">
            <v>0.56006563844926804</v>
          </cell>
          <cell r="F30">
            <v>14.2667754939018</v>
          </cell>
          <cell r="I30">
            <v>7.2982247814966499</v>
          </cell>
          <cell r="J30">
            <v>8312.7953274922893</v>
          </cell>
          <cell r="K30">
            <v>279.76590521138502</v>
          </cell>
          <cell r="L30">
            <v>123.176742626142</v>
          </cell>
          <cell r="M30">
            <v>442.37175795455897</v>
          </cell>
          <cell r="N30">
            <v>3086.4389693970802</v>
          </cell>
          <cell r="O30">
            <v>544.35209201866803</v>
          </cell>
          <cell r="P30">
            <v>2439.4310327828998</v>
          </cell>
          <cell r="Q30">
            <v>1397.2588275015601</v>
          </cell>
          <cell r="R30">
            <v>314.481252041853</v>
          </cell>
          <cell r="S30">
            <v>6723.3246634145798</v>
          </cell>
          <cell r="T30">
            <v>1310.63766722995</v>
          </cell>
          <cell r="U30">
            <v>2030.95637384611</v>
          </cell>
          <cell r="V30">
            <v>1363.28402879383</v>
          </cell>
          <cell r="W30">
            <v>941.08484483895404</v>
          </cell>
          <cell r="X30">
            <v>1077.36174870574</v>
          </cell>
          <cell r="Y30">
            <v>13.5031970924452</v>
          </cell>
          <cell r="Z30">
            <v>16333.1359635769</v>
          </cell>
        </row>
        <row r="31">
          <cell r="A31" t="str">
            <v>Negeri Sembilan</v>
          </cell>
          <cell r="B31" t="str">
            <v>05</v>
          </cell>
          <cell r="C31">
            <v>1816.8817302615</v>
          </cell>
          <cell r="D31">
            <v>1755.0937258404799</v>
          </cell>
          <cell r="E31">
            <v>34.323036923676298</v>
          </cell>
          <cell r="F31">
            <v>27.4649674973491</v>
          </cell>
          <cell r="I31">
            <v>17.521266820900799</v>
          </cell>
          <cell r="J31">
            <v>11476.808555940101</v>
          </cell>
          <cell r="K31">
            <v>1046.3834184627799</v>
          </cell>
          <cell r="L31">
            <v>436.74818218174102</v>
          </cell>
          <cell r="M31">
            <v>350.543940464765</v>
          </cell>
          <cell r="N31">
            <v>2567.4890385008798</v>
          </cell>
          <cell r="O31">
            <v>727.23829080610096</v>
          </cell>
          <cell r="P31">
            <v>5219.1744241468195</v>
          </cell>
          <cell r="Q31">
            <v>1129.23126137699</v>
          </cell>
          <cell r="R31">
            <v>402.713166861057</v>
          </cell>
          <cell r="S31">
            <v>7770.8126822294198</v>
          </cell>
          <cell r="T31">
            <v>1942.77472567326</v>
          </cell>
          <cell r="U31">
            <v>1768.0648375599601</v>
          </cell>
          <cell r="V31">
            <v>1615.4923418825299</v>
          </cell>
          <cell r="W31">
            <v>1013.4833123183799</v>
          </cell>
          <cell r="X31">
            <v>1430.9974647952999</v>
          </cell>
          <cell r="Y31">
            <v>69.357214698448203</v>
          </cell>
          <cell r="Z31">
            <v>21554.094616811399</v>
          </cell>
        </row>
        <row r="32">
          <cell r="A32" t="str">
            <v>Pahang</v>
          </cell>
          <cell r="B32" t="str">
            <v>06</v>
          </cell>
          <cell r="C32">
            <v>5770.1410985738403</v>
          </cell>
          <cell r="D32">
            <v>4670.4509523632396</v>
          </cell>
          <cell r="E32">
            <v>601.50505578969899</v>
          </cell>
          <cell r="F32">
            <v>498.18509042089698</v>
          </cell>
          <cell r="I32">
            <v>80.273290052901302</v>
          </cell>
          <cell r="J32">
            <v>7110.56842070932</v>
          </cell>
          <cell r="K32">
            <v>705.05093354776295</v>
          </cell>
          <cell r="L32">
            <v>16.2012290888499</v>
          </cell>
          <cell r="M32">
            <v>575.46873181503702</v>
          </cell>
          <cell r="N32">
            <v>3388.2393176946598</v>
          </cell>
          <cell r="O32">
            <v>821.98883967955101</v>
          </cell>
          <cell r="P32">
            <v>156.633803980365</v>
          </cell>
          <cell r="Q32">
            <v>1446.9855649031001</v>
          </cell>
          <cell r="R32">
            <v>571.58063128502101</v>
          </cell>
          <cell r="S32">
            <v>11138.208615434</v>
          </cell>
          <cell r="T32">
            <v>1193.2923306241</v>
          </cell>
          <cell r="U32">
            <v>3344.69661445665</v>
          </cell>
          <cell r="V32">
            <v>1442.7687051277801</v>
          </cell>
          <cell r="W32">
            <v>2847.8550902402999</v>
          </cell>
          <cell r="X32">
            <v>2309.5958749852098</v>
          </cell>
          <cell r="Y32">
            <v>22.447246895454899</v>
          </cell>
          <cell r="Z32">
            <v>24693.219302950602</v>
          </cell>
        </row>
        <row r="33">
          <cell r="A33" t="str">
            <v>Pulau Pinang</v>
          </cell>
          <cell r="B33" t="str">
            <v>07</v>
          </cell>
          <cell r="C33">
            <v>700.37903219198802</v>
          </cell>
          <cell r="D33">
            <v>509.13645040512699</v>
          </cell>
          <cell r="E33">
            <v>0</v>
          </cell>
          <cell r="F33">
            <v>191.242581786861</v>
          </cell>
          <cell r="I33">
            <v>17.069804358913899</v>
          </cell>
          <cell r="J33">
            <v>24429.468358772901</v>
          </cell>
          <cell r="K33">
            <v>654.61044932812695</v>
          </cell>
          <cell r="L33">
            <v>612.56336167766096</v>
          </cell>
          <cell r="M33">
            <v>659.10544401958396</v>
          </cell>
          <cell r="N33">
            <v>1525.35515757352</v>
          </cell>
          <cell r="O33">
            <v>1448.2715015645299</v>
          </cell>
          <cell r="P33">
            <v>18169.729390371002</v>
          </cell>
          <cell r="Q33">
            <v>1359.8330542385499</v>
          </cell>
          <cell r="R33">
            <v>812.77198186290195</v>
          </cell>
          <cell r="S33">
            <v>17152.767881577001</v>
          </cell>
          <cell r="T33">
            <v>3594.64591975957</v>
          </cell>
          <cell r="U33">
            <v>4716.9243092330598</v>
          </cell>
          <cell r="V33">
            <v>4974.7578420442396</v>
          </cell>
          <cell r="W33">
            <v>1790.5109599922</v>
          </cell>
          <cell r="X33">
            <v>2075.9288505479299</v>
          </cell>
          <cell r="Y33">
            <v>288.17007924230597</v>
          </cell>
          <cell r="Z33">
            <v>43400.627138005999</v>
          </cell>
        </row>
        <row r="34">
          <cell r="A34" t="str">
            <v>Perak</v>
          </cell>
          <cell r="B34" t="str">
            <v>08</v>
          </cell>
          <cell r="C34">
            <v>4841.0016055975502</v>
          </cell>
          <cell r="D34">
            <v>3421.0083503465798</v>
          </cell>
          <cell r="E34">
            <v>437.91478096930803</v>
          </cell>
          <cell r="F34">
            <v>982.07847428165701</v>
          </cell>
          <cell r="I34">
            <v>96.861769646077704</v>
          </cell>
          <cell r="J34">
            <v>6254.8965298297999</v>
          </cell>
          <cell r="K34">
            <v>1097.4020779704699</v>
          </cell>
          <cell r="L34">
            <v>241.59735163935599</v>
          </cell>
          <cell r="M34">
            <v>280.87450900017001</v>
          </cell>
          <cell r="N34">
            <v>1450.6703072558901</v>
          </cell>
          <cell r="O34">
            <v>1237.64135666889</v>
          </cell>
          <cell r="P34">
            <v>1827.0408066418499</v>
          </cell>
          <cell r="Q34">
            <v>119.670120653178</v>
          </cell>
          <cell r="R34">
            <v>675.10509915070998</v>
          </cell>
          <cell r="S34">
            <v>17636.900254423301</v>
          </cell>
          <cell r="T34">
            <v>5560.2253040654696</v>
          </cell>
          <cell r="U34">
            <v>3586.6042339098699</v>
          </cell>
          <cell r="V34">
            <v>3145.8265380559301</v>
          </cell>
          <cell r="W34">
            <v>2325.5727982825902</v>
          </cell>
          <cell r="X34">
            <v>3018.6713801094002</v>
          </cell>
          <cell r="Y34">
            <v>53.537682655929402</v>
          </cell>
          <cell r="Z34">
            <v>29558.3029413033</v>
          </cell>
        </row>
        <row r="35">
          <cell r="A35" t="str">
            <v>Perlis</v>
          </cell>
          <cell r="B35" t="str">
            <v>09</v>
          </cell>
          <cell r="C35">
            <v>808.72593428289599</v>
          </cell>
          <cell r="D35">
            <v>259.95321692836001</v>
          </cell>
          <cell r="E35">
            <v>0</v>
          </cell>
          <cell r="F35">
            <v>548.77271735453598</v>
          </cell>
          <cell r="I35">
            <v>6.8446087585817601</v>
          </cell>
          <cell r="J35">
            <v>345.19007959309801</v>
          </cell>
          <cell r="K35">
            <v>49.105577399240801</v>
          </cell>
          <cell r="L35">
            <v>57.869775833981798</v>
          </cell>
          <cell r="M35">
            <v>10.7097310719837</v>
          </cell>
          <cell r="N35">
            <v>134.12184479401901</v>
          </cell>
          <cell r="O35">
            <v>91.561314600732601</v>
          </cell>
          <cell r="P35">
            <v>1.82183589313928</v>
          </cell>
          <cell r="Q35">
            <v>0</v>
          </cell>
          <cell r="R35">
            <v>100.551566370809</v>
          </cell>
          <cell r="S35">
            <v>1582.3990231601699</v>
          </cell>
          <cell r="T35">
            <v>577.20764750010005</v>
          </cell>
          <cell r="U35">
            <v>188.404257331791</v>
          </cell>
          <cell r="V35">
            <v>171.20532999452499</v>
          </cell>
          <cell r="W35">
            <v>212.591718700168</v>
          </cell>
          <cell r="X35">
            <v>432.99006963358198</v>
          </cell>
          <cell r="Y35">
            <v>101.23279260701401</v>
          </cell>
          <cell r="Z35">
            <v>2944.9440047725602</v>
          </cell>
        </row>
        <row r="36">
          <cell r="A36" t="str">
            <v>Selangor</v>
          </cell>
          <cell r="B36">
            <v>10</v>
          </cell>
          <cell r="C36">
            <v>2049.1856888432299</v>
          </cell>
          <cell r="D36">
            <v>1418.7881169792599</v>
          </cell>
          <cell r="E36">
            <v>21.357617395231301</v>
          </cell>
          <cell r="F36">
            <v>609.03995446874501</v>
          </cell>
          <cell r="I36">
            <v>115.923261490992</v>
          </cell>
          <cell r="J36">
            <v>42583.807815050401</v>
          </cell>
          <cell r="K36">
            <v>5756.4238309847797</v>
          </cell>
          <cell r="L36">
            <v>614.27157414379201</v>
          </cell>
          <cell r="M36">
            <v>2856.3799168124101</v>
          </cell>
          <cell r="N36">
            <v>5395.0294542236597</v>
          </cell>
          <cell r="O36">
            <v>4661.1959621419001</v>
          </cell>
          <cell r="P36">
            <v>12424.3394810104</v>
          </cell>
          <cell r="Q36">
            <v>10876.167595733399</v>
          </cell>
          <cell r="R36">
            <v>5028.2701061917796</v>
          </cell>
          <cell r="S36">
            <v>65860.627293376194</v>
          </cell>
          <cell r="T36">
            <v>17165.996852116899</v>
          </cell>
          <cell r="U36">
            <v>21832.576270203601</v>
          </cell>
          <cell r="V36">
            <v>15239.550775515099</v>
          </cell>
          <cell r="W36">
            <v>6011.4828157116899</v>
          </cell>
          <cell r="X36">
            <v>5611.0205798289599</v>
          </cell>
          <cell r="Y36">
            <v>3181.1442089161201</v>
          </cell>
          <cell r="Z36">
            <v>118818.958373869</v>
          </cell>
        </row>
        <row r="37">
          <cell r="A37" t="str">
            <v>Terengganu</v>
          </cell>
          <cell r="B37">
            <v>11</v>
          </cell>
          <cell r="C37">
            <v>1683.1505690450799</v>
          </cell>
          <cell r="D37">
            <v>1129.86941122743</v>
          </cell>
          <cell r="E37">
            <v>143.52582285294201</v>
          </cell>
          <cell r="F37">
            <v>409.75533496470302</v>
          </cell>
          <cell r="I37">
            <v>8.7208165317790698</v>
          </cell>
          <cell r="J37">
            <v>7204.11271890841</v>
          </cell>
          <cell r="K37">
            <v>109.900175749368</v>
          </cell>
          <cell r="L37">
            <v>38.718538882359503</v>
          </cell>
          <cell r="M37">
            <v>120.03498202535999</v>
          </cell>
          <cell r="N37">
            <v>6528.4075797325704</v>
          </cell>
          <cell r="O37">
            <v>339.52317352760701</v>
          </cell>
          <cell r="P37">
            <v>1.4653545058975499</v>
          </cell>
          <cell r="Q37">
            <v>66.062914485247902</v>
          </cell>
          <cell r="R37">
            <v>454.564489676601</v>
          </cell>
          <cell r="S37">
            <v>7506.7095052003197</v>
          </cell>
          <cell r="T37">
            <v>3085.6722565039299</v>
          </cell>
          <cell r="U37">
            <v>1228.0367088068199</v>
          </cell>
          <cell r="V37">
            <v>565.84594036372698</v>
          </cell>
          <cell r="W37">
            <v>781.99954839759596</v>
          </cell>
          <cell r="X37">
            <v>1845.1550511282401</v>
          </cell>
          <cell r="Y37">
            <v>9.9507637807276392</v>
          </cell>
          <cell r="Z37">
            <v>16867.2088631429</v>
          </cell>
        </row>
        <row r="38">
          <cell r="A38" t="str">
            <v>Sabah</v>
          </cell>
          <cell r="B38">
            <v>12</v>
          </cell>
          <cell r="C38">
            <v>9907.9170891016201</v>
          </cell>
          <cell r="D38">
            <v>6505.0982064938398</v>
          </cell>
          <cell r="E38">
            <v>2201.6043196693099</v>
          </cell>
          <cell r="F38">
            <v>1201.21456293847</v>
          </cell>
          <cell r="I38">
            <v>5305.0188119066497</v>
          </cell>
          <cell r="J38">
            <v>3307.5639633117398</v>
          </cell>
          <cell r="K38">
            <v>1889.13581074173</v>
          </cell>
          <cell r="L38">
            <v>24.127588758054799</v>
          </cell>
          <cell r="M38">
            <v>875.72966932760596</v>
          </cell>
          <cell r="N38">
            <v>149.62708489826301</v>
          </cell>
          <cell r="O38">
            <v>214.799905708566</v>
          </cell>
          <cell r="P38">
            <v>7.2733148875337399</v>
          </cell>
          <cell r="Q38">
            <v>146.870588989981</v>
          </cell>
          <cell r="R38">
            <v>1049.9768020543299</v>
          </cell>
          <cell r="S38">
            <v>14536.659166623</v>
          </cell>
          <cell r="T38">
            <v>2740.4160274405099</v>
          </cell>
          <cell r="U38">
            <v>4323.3190045830797</v>
          </cell>
          <cell r="V38">
            <v>2985.63191230641</v>
          </cell>
          <cell r="W38">
            <v>1459.17015657037</v>
          </cell>
          <cell r="X38">
            <v>3028.1220657225899</v>
          </cell>
          <cell r="Y38">
            <v>113.93748440474199</v>
          </cell>
          <cell r="Z38">
            <v>34221.073317401999</v>
          </cell>
        </row>
        <row r="39">
          <cell r="A39" t="str">
            <v>Sarawak</v>
          </cell>
          <cell r="B39">
            <v>13</v>
          </cell>
          <cell r="C39">
            <v>7199.0461539385096</v>
          </cell>
          <cell r="D39">
            <v>2809.2687090730301</v>
          </cell>
          <cell r="E39">
            <v>3857.7784715405</v>
          </cell>
          <cell r="F39">
            <v>531.99897332498699</v>
          </cell>
          <cell r="I39">
            <v>16135.5628417272</v>
          </cell>
          <cell r="J39">
            <v>17374.660156991398</v>
          </cell>
          <cell r="K39">
            <v>689.99300758824199</v>
          </cell>
          <cell r="L39">
            <v>18.856981073143999</v>
          </cell>
          <cell r="M39">
            <v>1992.7771856494801</v>
          </cell>
          <cell r="N39">
            <v>13294.2672517314</v>
          </cell>
          <cell r="O39">
            <v>519.52466204974598</v>
          </cell>
          <cell r="P39">
            <v>585.48442688070998</v>
          </cell>
          <cell r="Q39">
            <v>273.756642018695</v>
          </cell>
          <cell r="R39">
            <v>1387.0757866608401</v>
          </cell>
          <cell r="S39">
            <v>17981.701899829699</v>
          </cell>
          <cell r="T39">
            <v>4194.8712786423803</v>
          </cell>
          <cell r="U39">
            <v>4431.1308051959204</v>
          </cell>
          <cell r="V39">
            <v>4403.37435028035</v>
          </cell>
          <cell r="W39">
            <v>1969.7894143067099</v>
          </cell>
          <cell r="X39">
            <v>2982.53605140432</v>
          </cell>
          <cell r="Y39">
            <v>187.133438110855</v>
          </cell>
          <cell r="Z39">
            <v>60265.1802772585</v>
          </cell>
        </row>
        <row r="40">
          <cell r="A40" t="str">
            <v>WP Kuala Lumpur</v>
          </cell>
          <cell r="B40">
            <v>14</v>
          </cell>
          <cell r="C40">
            <v>1.70063142405226</v>
          </cell>
          <cell r="D40">
            <v>1.70063142405226</v>
          </cell>
          <cell r="E40">
            <v>0</v>
          </cell>
          <cell r="F40">
            <v>0</v>
          </cell>
          <cell r="I40">
            <v>23.872994104275399</v>
          </cell>
          <cell r="J40">
            <v>4024.4684763293899</v>
          </cell>
          <cell r="K40">
            <v>453.95250047359502</v>
          </cell>
          <cell r="L40">
            <v>223.80249625796401</v>
          </cell>
          <cell r="M40">
            <v>1148.2049337393801</v>
          </cell>
          <cell r="N40">
            <v>577.88508111527199</v>
          </cell>
          <cell r="O40">
            <v>511.31032182226397</v>
          </cell>
          <cell r="P40">
            <v>464.36602674966701</v>
          </cell>
          <cell r="Q40">
            <v>644.94711617124199</v>
          </cell>
          <cell r="R40">
            <v>3009.2664749812802</v>
          </cell>
          <cell r="S40">
            <v>64090.007640177297</v>
          </cell>
          <cell r="T40">
            <v>4428.1872575324196</v>
          </cell>
          <cell r="U40">
            <v>23061.162235989301</v>
          </cell>
          <cell r="V40">
            <v>25111.537298388201</v>
          </cell>
          <cell r="W40">
            <v>3505.66588895109</v>
          </cell>
          <cell r="X40">
            <v>7983.4549593162801</v>
          </cell>
          <cell r="Y40">
            <v>744.533168414785</v>
          </cell>
          <cell r="Z40">
            <v>71893.849385431007</v>
          </cell>
        </row>
        <row r="41">
          <cell r="A41" t="str">
            <v>WP Labuan</v>
          </cell>
          <cell r="B41">
            <v>15</v>
          </cell>
          <cell r="C41">
            <v>103.91787953249801</v>
          </cell>
          <cell r="D41">
            <v>4.9123802163404697</v>
          </cell>
          <cell r="E41">
            <v>0</v>
          </cell>
          <cell r="F41">
            <v>99.005499316157298</v>
          </cell>
          <cell r="I41">
            <v>0</v>
          </cell>
          <cell r="J41">
            <v>894.48269140067805</v>
          </cell>
          <cell r="K41">
            <v>32.070921759535203</v>
          </cell>
          <cell r="L41">
            <v>2.81236661394703</v>
          </cell>
          <cell r="M41">
            <v>3.2203052445276801</v>
          </cell>
          <cell r="N41">
            <v>531.60726643463101</v>
          </cell>
          <cell r="O41">
            <v>316.49947159849501</v>
          </cell>
          <cell r="P41">
            <v>0</v>
          </cell>
          <cell r="Q41">
            <v>8.2723597495418009</v>
          </cell>
          <cell r="R41">
            <v>23.7878027087405</v>
          </cell>
          <cell r="S41">
            <v>1508.1454902620301</v>
          </cell>
          <cell r="T41">
            <v>189.15208696111199</v>
          </cell>
          <cell r="U41">
            <v>177.25286846969701</v>
          </cell>
          <cell r="V41">
            <v>1031.7168973313801</v>
          </cell>
          <cell r="W41">
            <v>63.092041229435203</v>
          </cell>
          <cell r="X41">
            <v>46.931596270406601</v>
          </cell>
          <cell r="Y41">
            <v>20.861388581171902</v>
          </cell>
          <cell r="Z41">
            <v>2551.1952524851099</v>
          </cell>
        </row>
        <row r="42">
          <cell r="A42" t="str">
            <v>Supra1</v>
          </cell>
          <cell r="C42">
            <v>0</v>
          </cell>
          <cell r="D42">
            <v>0</v>
          </cell>
          <cell r="E42">
            <v>0</v>
          </cell>
          <cell r="F42">
            <v>0</v>
          </cell>
          <cell r="I42">
            <v>49381.376278548603</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49381.376278548603</v>
          </cell>
        </row>
        <row r="43">
          <cell r="A43" t="str">
            <v>MALAYSIA</v>
          </cell>
          <cell r="C43">
            <v>47532.734067767298</v>
          </cell>
          <cell r="D43">
            <v>33413.073072712097</v>
          </cell>
          <cell r="E43">
            <v>7898.0038836903404</v>
          </cell>
          <cell r="F43">
            <v>6221.6571113648797</v>
          </cell>
          <cell r="I43">
            <v>71275.532862738895</v>
          </cell>
          <cell r="J43">
            <v>160879.865092561</v>
          </cell>
          <cell r="K43">
            <v>14765.478604235699</v>
          </cell>
          <cell r="L43">
            <v>3588.7613681538701</v>
          </cell>
          <cell r="M43">
            <v>11352.995296090099</v>
          </cell>
          <cell r="N43">
            <v>43619.061350473203</v>
          </cell>
          <cell r="O43">
            <v>15159.986735836799</v>
          </cell>
          <cell r="P43">
            <v>52611.647444825103</v>
          </cell>
          <cell r="Q43">
            <v>19781.934292946498</v>
          </cell>
          <cell r="R43">
            <v>16022.039552136001</v>
          </cell>
          <cell r="S43">
            <v>272554.707095319</v>
          </cell>
          <cell r="T43">
            <v>53517.463456234102</v>
          </cell>
          <cell r="U43">
            <v>79607.320892545904</v>
          </cell>
          <cell r="V43">
            <v>71344.287921263298</v>
          </cell>
          <cell r="W43">
            <v>28279.774509328701</v>
          </cell>
          <cell r="X43">
            <v>39805.860315947102</v>
          </cell>
          <cell r="Y43">
            <v>5670.7731187351001</v>
          </cell>
          <cell r="Z43">
            <v>573935.651789258</v>
          </cell>
        </row>
        <row r="46">
          <cell r="A46" t="str">
            <v>CONSTANT</v>
          </cell>
          <cell r="B46" t="str">
            <v>Industry</v>
          </cell>
          <cell r="D46">
            <v>1</v>
          </cell>
          <cell r="E46">
            <v>2</v>
          </cell>
          <cell r="F46">
            <v>3</v>
          </cell>
          <cell r="I46">
            <v>4</v>
          </cell>
          <cell r="K46">
            <v>6</v>
          </cell>
          <cell r="L46">
            <v>7</v>
          </cell>
          <cell r="M46">
            <v>8</v>
          </cell>
          <cell r="N46">
            <v>9</v>
          </cell>
          <cell r="O46">
            <v>10</v>
          </cell>
          <cell r="P46">
            <v>11</v>
          </cell>
          <cell r="Q46">
            <v>12</v>
          </cell>
          <cell r="R46">
            <v>5</v>
          </cell>
          <cell r="T46">
            <v>13</v>
          </cell>
          <cell r="U46">
            <v>14</v>
          </cell>
          <cell r="V46">
            <v>15</v>
          </cell>
          <cell r="W46">
            <v>16</v>
          </cell>
        </row>
        <row r="47">
          <cell r="A47">
            <v>2007</v>
          </cell>
          <cell r="B47" t="str">
            <v>I</v>
          </cell>
          <cell r="C47" t="str">
            <v>Agriculture</v>
          </cell>
          <cell r="D47" t="str">
            <v>Tanaman</v>
          </cell>
          <cell r="E47" t="str">
            <v>Pembalakan</v>
          </cell>
          <cell r="F47" t="str">
            <v>Perikanan</v>
          </cell>
          <cell r="I47" t="str">
            <v>Mining andQuarrying</v>
          </cell>
          <cell r="J47" t="str">
            <v>Manufacturing</v>
          </cell>
          <cell r="K47" t="str">
            <v>Prosesan Makanan, Minuman dan Produk Tembakau</v>
          </cell>
          <cell r="L47" t="str">
            <v>Tekstil, Pakaian, Kulit dan Kasut</v>
          </cell>
          <cell r="M47" t="str">
            <v>Keluaran Kayu, Perabot, Produk Kertas, Percetakan dan Penerbitan</v>
          </cell>
          <cell r="N47" t="str">
            <v>Produk Petroleum, Bahan kimia, Getah dan Plastik</v>
          </cell>
          <cell r="O47" t="str">
            <v>Produk Mineral Bukan Logam, Logam Asli dan Produk Logam Yang Direka</v>
          </cell>
          <cell r="P47" t="str">
            <v>Elektrik dan Elektronik</v>
          </cell>
          <cell r="Q47" t="str">
            <v>Kelengkapan Pengangkutan dan Pembuatan Lain</v>
          </cell>
          <cell r="R47" t="str">
            <v>Construction</v>
          </cell>
          <cell r="S47" t="str">
            <v>Services</v>
          </cell>
          <cell r="T47" t="str">
            <v>Utiliti, Transport &amp; Communication</v>
          </cell>
          <cell r="U47" t="str">
            <v>WRT, Accomm &amp; Restaurant</v>
          </cell>
          <cell r="V47" t="str">
            <v>Finance &amp; Insurance, Real Estate &amp; Business Services</v>
          </cell>
          <cell r="W47" t="str">
            <v>Other Services</v>
          </cell>
          <cell r="X47" t="str">
            <v>Government Services</v>
          </cell>
          <cell r="Y47" t="str">
            <v>Plus :Import Duties</v>
          </cell>
          <cell r="Z47" t="str">
            <v>GDP atPurchasers' Prices</v>
          </cell>
        </row>
        <row r="48">
          <cell r="A48" t="str">
            <v>States</v>
          </cell>
          <cell r="B48" t="str">
            <v>Converter</v>
          </cell>
        </row>
        <row r="49">
          <cell r="A49" t="str">
            <v>Johor</v>
          </cell>
          <cell r="B49" t="str">
            <v>01</v>
          </cell>
          <cell r="C49">
            <v>6349.3657705242103</v>
          </cell>
          <cell r="D49">
            <v>5808.2699370519003</v>
          </cell>
          <cell r="E49">
            <v>79.0792125512952</v>
          </cell>
          <cell r="F49">
            <v>462.016620921016</v>
          </cell>
          <cell r="I49">
            <v>50.308114023991401</v>
          </cell>
          <cell r="J49">
            <v>20662.955740858899</v>
          </cell>
          <cell r="K49">
            <v>1756.72876883768</v>
          </cell>
          <cell r="L49">
            <v>988.853119106073</v>
          </cell>
          <cell r="M49">
            <v>1698.78094702049</v>
          </cell>
          <cell r="N49">
            <v>3430.0560311125801</v>
          </cell>
          <cell r="O49">
            <v>2602.9705222851899</v>
          </cell>
          <cell r="P49">
            <v>8115.1828990002996</v>
          </cell>
          <cell r="Q49">
            <v>2070.3834534965899</v>
          </cell>
          <cell r="R49">
            <v>1578.3579918855301</v>
          </cell>
          <cell r="S49">
            <v>25304.853962464898</v>
          </cell>
          <cell r="T49">
            <v>5839.4454546452498</v>
          </cell>
          <cell r="U49">
            <v>5811.8755763071604</v>
          </cell>
          <cell r="V49">
            <v>7251.4063081114</v>
          </cell>
          <cell r="W49">
            <v>2598.36899031545</v>
          </cell>
          <cell r="X49">
            <v>3803.75763308568</v>
          </cell>
          <cell r="Y49">
            <v>739.59222796745803</v>
          </cell>
          <cell r="Z49">
            <v>54685.433807724999</v>
          </cell>
        </row>
        <row r="50">
          <cell r="A50" t="str">
            <v>Kedah</v>
          </cell>
          <cell r="B50" t="str">
            <v>02</v>
          </cell>
          <cell r="C50">
            <v>2681.6603907225199</v>
          </cell>
          <cell r="D50">
            <v>2281.3547506852001</v>
          </cell>
          <cell r="E50">
            <v>79.154656509836201</v>
          </cell>
          <cell r="F50">
            <v>321.15098352748799</v>
          </cell>
          <cell r="I50">
            <v>18.048528269871898</v>
          </cell>
          <cell r="J50">
            <v>7717.7993422172503</v>
          </cell>
          <cell r="K50">
            <v>252.925225481008</v>
          </cell>
          <cell r="L50">
            <v>118.930796638589</v>
          </cell>
          <cell r="M50">
            <v>485.85067829856001</v>
          </cell>
          <cell r="N50">
            <v>1496.75131325198</v>
          </cell>
          <cell r="O50">
            <v>1922.74280889636</v>
          </cell>
          <cell r="P50">
            <v>2349.8292298206802</v>
          </cell>
          <cell r="Q50">
            <v>1090.76928983007</v>
          </cell>
          <cell r="R50">
            <v>521.15096311709794</v>
          </cell>
          <cell r="S50">
            <v>9968.1473960035892</v>
          </cell>
          <cell r="T50">
            <v>1465.2200967916699</v>
          </cell>
          <cell r="U50">
            <v>2500.0247093693201</v>
          </cell>
          <cell r="V50">
            <v>1870.7963414210999</v>
          </cell>
          <cell r="W50">
            <v>1688.8790381625899</v>
          </cell>
          <cell r="X50">
            <v>2443.22721025891</v>
          </cell>
          <cell r="Y50">
            <v>126.538108157175</v>
          </cell>
          <cell r="Z50">
            <v>21033.3447284875</v>
          </cell>
        </row>
        <row r="51">
          <cell r="A51" t="str">
            <v>Kelantan</v>
          </cell>
          <cell r="B51" t="str">
            <v>03</v>
          </cell>
          <cell r="C51">
            <v>2988.7129664602498</v>
          </cell>
          <cell r="D51">
            <v>2097.8035475390798</v>
          </cell>
          <cell r="E51">
            <v>572.17552894220898</v>
          </cell>
          <cell r="F51">
            <v>318.73388997897001</v>
          </cell>
          <cell r="I51">
            <v>15.710270641353601</v>
          </cell>
          <cell r="J51">
            <v>537.90648847254704</v>
          </cell>
          <cell r="K51">
            <v>96.399194471998797</v>
          </cell>
          <cell r="L51">
            <v>46.681899118575501</v>
          </cell>
          <cell r="M51">
            <v>78.934399314953197</v>
          </cell>
          <cell r="N51">
            <v>83.535215787313703</v>
          </cell>
          <cell r="O51">
            <v>69.699584234307693</v>
          </cell>
          <cell r="P51">
            <v>156.971996648622</v>
          </cell>
          <cell r="Q51">
            <v>5.6841988967758397</v>
          </cell>
          <cell r="R51">
            <v>159.05485305821901</v>
          </cell>
          <cell r="S51">
            <v>6766.5601079339303</v>
          </cell>
          <cell r="T51">
            <v>786.65685698242498</v>
          </cell>
          <cell r="U51">
            <v>1883.1208029351501</v>
          </cell>
          <cell r="V51">
            <v>786.64393343559505</v>
          </cell>
          <cell r="W51">
            <v>1204.0097242068</v>
          </cell>
          <cell r="X51">
            <v>2106.1287903739599</v>
          </cell>
          <cell r="Y51">
            <v>14.4581579747896</v>
          </cell>
          <cell r="Z51">
            <v>10482.4028445411</v>
          </cell>
        </row>
        <row r="52">
          <cell r="A52" t="str">
            <v>Melaka</v>
          </cell>
          <cell r="B52" t="str">
            <v>04</v>
          </cell>
          <cell r="C52">
            <v>1049.9837590642601</v>
          </cell>
          <cell r="D52">
            <v>1036.4500888858199</v>
          </cell>
          <cell r="E52">
            <v>0.58264125883405904</v>
          </cell>
          <cell r="F52">
            <v>12.9510289196058</v>
          </cell>
          <cell r="I52">
            <v>7.98779466684553</v>
          </cell>
          <cell r="J52">
            <v>8495.9522896870403</v>
          </cell>
          <cell r="K52">
            <v>265.28598560224799</v>
          </cell>
          <cell r="L52">
            <v>93.947205754062097</v>
          </cell>
          <cell r="M52">
            <v>401.35151395285902</v>
          </cell>
          <cell r="N52">
            <v>3658.3887184694499</v>
          </cell>
          <cell r="O52">
            <v>546.88640353950905</v>
          </cell>
          <cell r="P52">
            <v>2514.1167378508499</v>
          </cell>
          <cell r="Q52">
            <v>1015.97572451806</v>
          </cell>
          <cell r="R52">
            <v>486.11974578698698</v>
          </cell>
          <cell r="S52">
            <v>7350.2047891623797</v>
          </cell>
          <cell r="T52">
            <v>1371.85733650064</v>
          </cell>
          <cell r="U52">
            <v>2351.0636468129901</v>
          </cell>
          <cell r="V52">
            <v>1496.3650172185701</v>
          </cell>
          <cell r="W52">
            <v>1007.31359768512</v>
          </cell>
          <cell r="X52">
            <v>1123.60519094505</v>
          </cell>
          <cell r="Y52">
            <v>31.9292935891485</v>
          </cell>
          <cell r="Z52">
            <v>17422.177671956699</v>
          </cell>
        </row>
        <row r="53">
          <cell r="A53" t="str">
            <v>Negeri Sembilan</v>
          </cell>
          <cell r="B53" t="str">
            <v>05</v>
          </cell>
          <cell r="C53">
            <v>1770.6233661952101</v>
          </cell>
          <cell r="D53">
            <v>1702.80162306191</v>
          </cell>
          <cell r="E53">
            <v>41.518276393251803</v>
          </cell>
          <cell r="F53">
            <v>26.303466740056901</v>
          </cell>
          <cell r="I53">
            <v>19.103149644530198</v>
          </cell>
          <cell r="J53">
            <v>11876.644437962301</v>
          </cell>
          <cell r="K53">
            <v>1118.78312439362</v>
          </cell>
          <cell r="L53">
            <v>406.62483738666202</v>
          </cell>
          <cell r="M53">
            <v>291.25893633818401</v>
          </cell>
          <cell r="N53">
            <v>3281.3416445077401</v>
          </cell>
          <cell r="O53">
            <v>686.51747334415302</v>
          </cell>
          <cell r="P53">
            <v>5160.4372561523696</v>
          </cell>
          <cell r="Q53">
            <v>931.68116583958601</v>
          </cell>
          <cell r="R53">
            <v>436.29066325689598</v>
          </cell>
          <cell r="S53">
            <v>8498.4753985162897</v>
          </cell>
          <cell r="T53">
            <v>2047.1081753559299</v>
          </cell>
          <cell r="U53">
            <v>2033.4067647075999</v>
          </cell>
          <cell r="V53">
            <v>1784.82670661518</v>
          </cell>
          <cell r="W53">
            <v>1138.59781318774</v>
          </cell>
          <cell r="X53">
            <v>1494.5359386498501</v>
          </cell>
          <cell r="Y53">
            <v>78.836902799825495</v>
          </cell>
          <cell r="Z53">
            <v>22679.973918375101</v>
          </cell>
        </row>
        <row r="54">
          <cell r="A54" t="str">
            <v>Pahang</v>
          </cell>
          <cell r="B54" t="str">
            <v>06</v>
          </cell>
          <cell r="C54">
            <v>5207.54037658779</v>
          </cell>
          <cell r="D54">
            <v>4368.3243974929601</v>
          </cell>
          <cell r="E54">
            <v>400.01817065452002</v>
          </cell>
          <cell r="F54">
            <v>439.19780844030601</v>
          </cell>
          <cell r="I54">
            <v>110.407340119764</v>
          </cell>
          <cell r="J54">
            <v>7052.7335097852501</v>
          </cell>
          <cell r="K54">
            <v>793.67946193545697</v>
          </cell>
          <cell r="L54">
            <v>13.2098045795034</v>
          </cell>
          <cell r="M54">
            <v>511.57602066974903</v>
          </cell>
          <cell r="N54">
            <v>3542.19593617597</v>
          </cell>
          <cell r="O54">
            <v>870.32067885000401</v>
          </cell>
          <cell r="P54">
            <v>93.829584834300505</v>
          </cell>
          <cell r="Q54">
            <v>1227.92202274027</v>
          </cell>
          <cell r="R54">
            <v>575.74558463116296</v>
          </cell>
          <cell r="S54">
            <v>12236.1682959067</v>
          </cell>
          <cell r="T54">
            <v>1281.8832281131999</v>
          </cell>
          <cell r="U54">
            <v>3866.03114623686</v>
          </cell>
          <cell r="V54">
            <v>1604.46618497587</v>
          </cell>
          <cell r="W54">
            <v>3077.50138415018</v>
          </cell>
          <cell r="X54">
            <v>2406.2863524306299</v>
          </cell>
          <cell r="Y54">
            <v>23.630568770153999</v>
          </cell>
          <cell r="Z54">
            <v>25206.225675800899</v>
          </cell>
        </row>
        <row r="55">
          <cell r="A55" t="str">
            <v>Pulau Pinang</v>
          </cell>
          <cell r="B55" t="str">
            <v>07</v>
          </cell>
          <cell r="C55">
            <v>721.068295417321</v>
          </cell>
          <cell r="D55">
            <v>528.12971383671402</v>
          </cell>
          <cell r="E55">
            <v>0</v>
          </cell>
          <cell r="F55">
            <v>192.93858158060701</v>
          </cell>
          <cell r="I55">
            <v>18.698428464636802</v>
          </cell>
          <cell r="J55">
            <v>25374.425811071502</v>
          </cell>
          <cell r="K55">
            <v>725.79384748207804</v>
          </cell>
          <cell r="L55">
            <v>464.03104921610401</v>
          </cell>
          <cell r="M55">
            <v>690.11560317322505</v>
          </cell>
          <cell r="N55">
            <v>1425.81977742506</v>
          </cell>
          <cell r="O55">
            <v>1800.06727154696</v>
          </cell>
          <cell r="P55">
            <v>18771.124317587</v>
          </cell>
          <cell r="Q55">
            <v>1497.4739446410399</v>
          </cell>
          <cell r="R55">
            <v>923.972218119172</v>
          </cell>
          <cell r="S55">
            <v>18924.920131515799</v>
          </cell>
          <cell r="T55">
            <v>3973.0755685437698</v>
          </cell>
          <cell r="U55">
            <v>5392.7054314427696</v>
          </cell>
          <cell r="V55">
            <v>5508.7005816316196</v>
          </cell>
          <cell r="W55">
            <v>1911.5996518095899</v>
          </cell>
          <cell r="X55">
            <v>2138.83889808807</v>
          </cell>
          <cell r="Y55">
            <v>262.77374224584599</v>
          </cell>
          <cell r="Z55">
            <v>46225.858626834299</v>
          </cell>
        </row>
        <row r="56">
          <cell r="A56" t="str">
            <v>Perak</v>
          </cell>
          <cell r="B56" t="str">
            <v>08</v>
          </cell>
          <cell r="C56">
            <v>5003.4977094698897</v>
          </cell>
          <cell r="D56">
            <v>3577.4709326095599</v>
          </cell>
          <cell r="E56">
            <v>382.87724616087002</v>
          </cell>
          <cell r="F56">
            <v>1043.14953069946</v>
          </cell>
          <cell r="I56">
            <v>105.414134490443</v>
          </cell>
          <cell r="J56">
            <v>6342.8197348897502</v>
          </cell>
          <cell r="K56">
            <v>1120.9841164311499</v>
          </cell>
          <cell r="L56">
            <v>199.42829060343499</v>
          </cell>
          <cell r="M56">
            <v>361.40863547805401</v>
          </cell>
          <cell r="N56">
            <v>1406.8212619763201</v>
          </cell>
          <cell r="O56">
            <v>1246.3615341428499</v>
          </cell>
          <cell r="P56">
            <v>1810.5647554305899</v>
          </cell>
          <cell r="Q56">
            <v>197.25114082734001</v>
          </cell>
          <cell r="R56">
            <v>555.25395563238396</v>
          </cell>
          <cell r="S56">
            <v>19017.035418304898</v>
          </cell>
          <cell r="T56">
            <v>5697.3911822560704</v>
          </cell>
          <cell r="U56">
            <v>4166.3452481063896</v>
          </cell>
          <cell r="V56">
            <v>3485.6780340405498</v>
          </cell>
          <cell r="W56">
            <v>2500.7837572722001</v>
          </cell>
          <cell r="X56">
            <v>3166.83719662971</v>
          </cell>
          <cell r="Y56">
            <v>24.3253411075065</v>
          </cell>
          <cell r="Z56">
            <v>31048.346293894901</v>
          </cell>
        </row>
        <row r="57">
          <cell r="A57" t="str">
            <v>Perlis</v>
          </cell>
          <cell r="B57" t="str">
            <v>09</v>
          </cell>
          <cell r="C57">
            <v>931.79704357876005</v>
          </cell>
          <cell r="D57">
            <v>248.23547787447899</v>
          </cell>
          <cell r="E57">
            <v>0</v>
          </cell>
          <cell r="F57">
            <v>683.56156570428095</v>
          </cell>
          <cell r="I57">
            <v>7.4425580879539597</v>
          </cell>
          <cell r="J57">
            <v>323.54139109524999</v>
          </cell>
          <cell r="K57">
            <v>66.078185598306703</v>
          </cell>
          <cell r="L57">
            <v>54.4519823296705</v>
          </cell>
          <cell r="M57">
            <v>2.9248195937792199</v>
          </cell>
          <cell r="N57">
            <v>101.233212222342</v>
          </cell>
          <cell r="O57">
            <v>98.320881505098797</v>
          </cell>
          <cell r="P57">
            <v>0.49688848380050199</v>
          </cell>
          <cell r="Q57">
            <v>3.5421362252201397E-2</v>
          </cell>
          <cell r="R57">
            <v>100.16881163801</v>
          </cell>
          <cell r="S57">
            <v>1700.29697532553</v>
          </cell>
          <cell r="T57">
            <v>604.087228728686</v>
          </cell>
          <cell r="U57">
            <v>226.621894294848</v>
          </cell>
          <cell r="V57">
            <v>194.98952736590999</v>
          </cell>
          <cell r="W57">
            <v>229.415892507992</v>
          </cell>
          <cell r="X57">
            <v>445.18243242809399</v>
          </cell>
          <cell r="Y57">
            <v>93.609572609995396</v>
          </cell>
          <cell r="Z57">
            <v>3156.8563523355001</v>
          </cell>
        </row>
        <row r="58">
          <cell r="A58" t="str">
            <v>Selangor</v>
          </cell>
          <cell r="B58">
            <v>10</v>
          </cell>
          <cell r="C58">
            <v>1926.0780961645701</v>
          </cell>
          <cell r="D58">
            <v>1398.0401864160799</v>
          </cell>
          <cell r="E58">
            <v>16.198665220584299</v>
          </cell>
          <cell r="F58">
            <v>511.83924452790802</v>
          </cell>
          <cell r="I58">
            <v>120.5394268836</v>
          </cell>
          <cell r="J58">
            <v>42879.553169723098</v>
          </cell>
          <cell r="K58">
            <v>6111.6100244311201</v>
          </cell>
          <cell r="L58">
            <v>391.82056836067602</v>
          </cell>
          <cell r="M58">
            <v>3468.01000850225</v>
          </cell>
          <cell r="N58">
            <v>4981.8207564943596</v>
          </cell>
          <cell r="O58">
            <v>5479.2930119938301</v>
          </cell>
          <cell r="P58">
            <v>12587.810554621499</v>
          </cell>
          <cell r="Q58">
            <v>9859.1882453193593</v>
          </cell>
          <cell r="R58">
            <v>5962.5217317796596</v>
          </cell>
          <cell r="S58">
            <v>74001.307601711698</v>
          </cell>
          <cell r="T58">
            <v>18524.120851202999</v>
          </cell>
          <cell r="U58">
            <v>24902.310037468</v>
          </cell>
          <cell r="V58">
            <v>18393.353533098099</v>
          </cell>
          <cell r="W58">
            <v>6368.1460691981501</v>
          </cell>
          <cell r="X58">
            <v>5813.3771107443699</v>
          </cell>
          <cell r="Y58">
            <v>3278.9835681526201</v>
          </cell>
          <cell r="Z58">
            <v>128168.983594415</v>
          </cell>
        </row>
        <row r="59">
          <cell r="A59" t="str">
            <v>Terengganu</v>
          </cell>
          <cell r="B59">
            <v>11</v>
          </cell>
          <cell r="C59">
            <v>1632.03023518903</v>
          </cell>
          <cell r="D59">
            <v>1213.60403151183</v>
          </cell>
          <cell r="E59">
            <v>115.89749741553899</v>
          </cell>
          <cell r="F59">
            <v>302.52870626165799</v>
          </cell>
          <cell r="I59">
            <v>8.4853156375849998</v>
          </cell>
          <cell r="J59">
            <v>7757.7226199588704</v>
          </cell>
          <cell r="K59">
            <v>88.477375724607299</v>
          </cell>
          <cell r="L59">
            <v>30.998203227151102</v>
          </cell>
          <cell r="M59">
            <v>159.00427529570399</v>
          </cell>
          <cell r="N59">
            <v>6889.1668489984704</v>
          </cell>
          <cell r="O59">
            <v>518.66213133559404</v>
          </cell>
          <cell r="P59">
            <v>2.1352792242413798</v>
          </cell>
          <cell r="Q59">
            <v>69.2785061531022</v>
          </cell>
          <cell r="R59">
            <v>603.41107275533398</v>
          </cell>
          <cell r="S59">
            <v>8102.3395455419704</v>
          </cell>
          <cell r="T59">
            <v>3243.2024056691098</v>
          </cell>
          <cell r="U59">
            <v>1394.7085072134</v>
          </cell>
          <cell r="V59">
            <v>694.77328642060502</v>
          </cell>
          <cell r="W59">
            <v>811.97478768015003</v>
          </cell>
          <cell r="X59">
            <v>1957.6805585587099</v>
          </cell>
          <cell r="Y59">
            <v>18.347235427577601</v>
          </cell>
          <cell r="Z59">
            <v>18122.336024510401</v>
          </cell>
        </row>
        <row r="60">
          <cell r="A60" t="str">
            <v>Sabah</v>
          </cell>
          <cell r="B60">
            <v>12</v>
          </cell>
          <cell r="C60">
            <v>10473.6851868717</v>
          </cell>
          <cell r="D60">
            <v>6649.4434108846299</v>
          </cell>
          <cell r="E60">
            <v>2350.7109363234599</v>
          </cell>
          <cell r="F60">
            <v>1473.5308396635801</v>
          </cell>
          <cell r="I60">
            <v>4337.8093032542602</v>
          </cell>
          <cell r="J60">
            <v>3333.3739198400399</v>
          </cell>
          <cell r="K60">
            <v>1798.1778391012499</v>
          </cell>
          <cell r="L60">
            <v>25.6433466475467</v>
          </cell>
          <cell r="M60">
            <v>951.56155341564397</v>
          </cell>
          <cell r="N60">
            <v>135.53863364202101</v>
          </cell>
          <cell r="O60">
            <v>271.05142728774501</v>
          </cell>
          <cell r="P60">
            <v>5.4930951319208701</v>
          </cell>
          <cell r="Q60">
            <v>145.908024613919</v>
          </cell>
          <cell r="R60">
            <v>840.29687091461801</v>
          </cell>
          <cell r="S60">
            <v>16185.047988680901</v>
          </cell>
          <cell r="T60">
            <v>2960.43603328276</v>
          </cell>
          <cell r="U60">
            <v>4960.1351085597598</v>
          </cell>
          <cell r="V60">
            <v>3615.4442009204899</v>
          </cell>
          <cell r="W60">
            <v>1512.9524147253101</v>
          </cell>
          <cell r="X60">
            <v>3136.08023119257</v>
          </cell>
          <cell r="Y60">
            <v>147.46786560562299</v>
          </cell>
          <cell r="Z60">
            <v>35317.681135167099</v>
          </cell>
        </row>
        <row r="61">
          <cell r="A61" t="str">
            <v>Sarawak</v>
          </cell>
          <cell r="B61">
            <v>13</v>
          </cell>
          <cell r="C61">
            <v>7345.8647333568897</v>
          </cell>
          <cell r="D61">
            <v>3002.2261686759002</v>
          </cell>
          <cell r="E61">
            <v>3887.7395540604298</v>
          </cell>
          <cell r="F61">
            <v>455.89901062055998</v>
          </cell>
          <cell r="I61">
            <v>17638.187917930001</v>
          </cell>
          <cell r="J61">
            <v>18773.714830696699</v>
          </cell>
          <cell r="K61">
            <v>546.06391167258596</v>
          </cell>
          <cell r="L61">
            <v>18.795457030879</v>
          </cell>
          <cell r="M61">
            <v>2067.6013768422699</v>
          </cell>
          <cell r="N61">
            <v>14494.2306334652</v>
          </cell>
          <cell r="O61">
            <v>512.61185664636503</v>
          </cell>
          <cell r="P61">
            <v>561.256735586579</v>
          </cell>
          <cell r="Q61">
            <v>573.15485945285502</v>
          </cell>
          <cell r="R61">
            <v>1622.8423701986801</v>
          </cell>
          <cell r="S61">
            <v>19659.2988161182</v>
          </cell>
          <cell r="T61">
            <v>4623.3250709520198</v>
          </cell>
          <cell r="U61">
            <v>5117.2655804817005</v>
          </cell>
          <cell r="V61">
            <v>4783.3485571312603</v>
          </cell>
          <cell r="W61">
            <v>2046.85884014463</v>
          </cell>
          <cell r="X61">
            <v>3088.50076740861</v>
          </cell>
          <cell r="Y61">
            <v>243.33206775263201</v>
          </cell>
          <cell r="Z61">
            <v>65283.2407360531</v>
          </cell>
        </row>
        <row r="62">
          <cell r="A62" t="str">
            <v>WP Kuala Lumpur</v>
          </cell>
          <cell r="B62">
            <v>14</v>
          </cell>
          <cell r="C62">
            <v>2.10811167021367</v>
          </cell>
          <cell r="D62">
            <v>2.10811167021367</v>
          </cell>
          <cell r="E62">
            <v>0</v>
          </cell>
          <cell r="F62">
            <v>0</v>
          </cell>
          <cell r="I62">
            <v>26.115905406038401</v>
          </cell>
          <cell r="J62">
            <v>3910.5714731828598</v>
          </cell>
          <cell r="K62">
            <v>386.20834435930999</v>
          </cell>
          <cell r="L62">
            <v>405.675185998367</v>
          </cell>
          <cell r="M62">
            <v>1120.099688883</v>
          </cell>
          <cell r="N62">
            <v>488.72544545218102</v>
          </cell>
          <cell r="O62">
            <v>579.28053505736602</v>
          </cell>
          <cell r="P62">
            <v>403.047947818924</v>
          </cell>
          <cell r="Q62">
            <v>527.53432561371005</v>
          </cell>
          <cell r="R62">
            <v>3007.1003220847301</v>
          </cell>
          <cell r="S62">
            <v>70519.619051935195</v>
          </cell>
          <cell r="T62">
            <v>4793.4802553273303</v>
          </cell>
          <cell r="U62">
            <v>26592.6088788696</v>
          </cell>
          <cell r="V62">
            <v>27016.7380854943</v>
          </cell>
          <cell r="W62">
            <v>3798.2641140737701</v>
          </cell>
          <cell r="X62">
            <v>8318.5277181701003</v>
          </cell>
          <cell r="Y62">
            <v>836.53238728178405</v>
          </cell>
          <cell r="Z62">
            <v>78302.047251560798</v>
          </cell>
        </row>
        <row r="63">
          <cell r="A63" t="str">
            <v>WP Labuan</v>
          </cell>
          <cell r="B63">
            <v>15</v>
          </cell>
          <cell r="C63">
            <v>103.865070873119</v>
          </cell>
          <cell r="D63">
            <v>6.7124170983965996</v>
          </cell>
          <cell r="E63">
            <v>0</v>
          </cell>
          <cell r="F63">
            <v>97.152653774722395</v>
          </cell>
          <cell r="I63">
            <v>0</v>
          </cell>
          <cell r="J63">
            <v>839.74064273709098</v>
          </cell>
          <cell r="K63">
            <v>22.786079043617999</v>
          </cell>
          <cell r="L63">
            <v>2.3822621176249501</v>
          </cell>
          <cell r="M63">
            <v>1.6646989143698101</v>
          </cell>
          <cell r="N63">
            <v>386.54407577023301</v>
          </cell>
          <cell r="O63">
            <v>413.81621392384602</v>
          </cell>
          <cell r="P63">
            <v>0</v>
          </cell>
          <cell r="Q63">
            <v>12.547312967399</v>
          </cell>
          <cell r="R63">
            <v>18.286791709978299</v>
          </cell>
          <cell r="S63">
            <v>1699.0669193485401</v>
          </cell>
          <cell r="T63">
            <v>191.114127334313</v>
          </cell>
          <cell r="U63">
            <v>206.74804917637601</v>
          </cell>
          <cell r="V63">
            <v>1185.6698268964899</v>
          </cell>
          <cell r="W63">
            <v>63.861886646380597</v>
          </cell>
          <cell r="X63">
            <v>51.673029294981802</v>
          </cell>
          <cell r="Y63">
            <v>17.074881227044699</v>
          </cell>
          <cell r="Z63">
            <v>2678.0343058957801</v>
          </cell>
        </row>
        <row r="64">
          <cell r="A64" t="str">
            <v>Supra1</v>
          </cell>
          <cell r="C64">
            <v>0</v>
          </cell>
          <cell r="D64">
            <v>0</v>
          </cell>
          <cell r="E64">
            <v>0</v>
          </cell>
          <cell r="F64">
            <v>0</v>
          </cell>
          <cell r="I64">
            <v>50274.226086704599</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50274.226086704599</v>
          </cell>
        </row>
        <row r="65">
          <cell r="A65" t="str">
            <v>MALAYSIA</v>
          </cell>
          <cell r="C65">
            <v>48187.881112145697</v>
          </cell>
          <cell r="D65">
            <v>33920.9747952947</v>
          </cell>
          <cell r="E65">
            <v>7925.9523854908302</v>
          </cell>
          <cell r="F65">
            <v>6340.9539313602199</v>
          </cell>
          <cell r="I65">
            <v>72758.484274225499</v>
          </cell>
          <cell r="J65">
            <v>165879.45540217799</v>
          </cell>
          <cell r="K65">
            <v>15149.981484566</v>
          </cell>
          <cell r="L65">
            <v>3261.4740081149198</v>
          </cell>
          <cell r="M65">
            <v>12290.1431556931</v>
          </cell>
          <cell r="N65">
            <v>45802.169504751197</v>
          </cell>
          <cell r="O65">
            <v>17618.602334589199</v>
          </cell>
          <cell r="P65">
            <v>52532.297278191698</v>
          </cell>
          <cell r="Q65">
            <v>19224.7876362723</v>
          </cell>
          <cell r="R65">
            <v>17390.5739465685</v>
          </cell>
          <cell r="S65">
            <v>299933.34239847102</v>
          </cell>
          <cell r="T65">
            <v>57402.403871686198</v>
          </cell>
          <cell r="U65">
            <v>91404.971381981901</v>
          </cell>
          <cell r="V65">
            <v>79673.200124777097</v>
          </cell>
          <cell r="W65">
            <v>29958.5279617661</v>
          </cell>
          <cell r="X65">
            <v>41494.2390582593</v>
          </cell>
          <cell r="Y65">
            <v>5937.4319206691798</v>
          </cell>
          <cell r="Z65">
            <v>610087.16905425803</v>
          </cell>
        </row>
        <row r="68">
          <cell r="A68" t="str">
            <v>CONSTANT</v>
          </cell>
          <cell r="B68" t="str">
            <v>Industry</v>
          </cell>
          <cell r="D68">
            <v>1</v>
          </cell>
          <cell r="E68">
            <v>2</v>
          </cell>
          <cell r="F68">
            <v>3</v>
          </cell>
          <cell r="I68">
            <v>4</v>
          </cell>
          <cell r="K68">
            <v>6</v>
          </cell>
          <cell r="L68">
            <v>7</v>
          </cell>
          <cell r="M68">
            <v>8</v>
          </cell>
          <cell r="N68">
            <v>9</v>
          </cell>
          <cell r="O68">
            <v>10</v>
          </cell>
          <cell r="P68">
            <v>11</v>
          </cell>
          <cell r="Q68">
            <v>12</v>
          </cell>
          <cell r="R68">
            <v>5</v>
          </cell>
          <cell r="T68">
            <v>13</v>
          </cell>
          <cell r="U68">
            <v>14</v>
          </cell>
          <cell r="V68">
            <v>15</v>
          </cell>
          <cell r="W68">
            <v>16</v>
          </cell>
        </row>
        <row r="69">
          <cell r="A69">
            <v>2008</v>
          </cell>
          <cell r="B69" t="str">
            <v>I</v>
          </cell>
          <cell r="C69" t="str">
            <v>Agriculture</v>
          </cell>
          <cell r="D69" t="str">
            <v>Tanaman</v>
          </cell>
          <cell r="E69" t="str">
            <v>Pembalakan</v>
          </cell>
          <cell r="F69" t="str">
            <v>Perikanan</v>
          </cell>
          <cell r="I69" t="str">
            <v>Mining andQuarrying</v>
          </cell>
          <cell r="J69" t="str">
            <v>Manufacturing</v>
          </cell>
          <cell r="K69" t="str">
            <v>Prosesan Makanan, Minuman dan Produk Tembakau</v>
          </cell>
          <cell r="L69" t="str">
            <v>Tekstil, Pakaian, Kulit dan Kasut</v>
          </cell>
          <cell r="M69" t="str">
            <v>Keluaran Kayu, Perabot, Produk Kertas, Percetakan dan Penerbitan</v>
          </cell>
          <cell r="N69" t="str">
            <v>Produk Petroleum, Bahan kimia, Getah dan Plastik</v>
          </cell>
          <cell r="O69" t="str">
            <v>Produk Mineral Bukan Logam, Logam Asli dan Produk Logam Yang Direka</v>
          </cell>
          <cell r="P69" t="str">
            <v>Elektrik dan Elektronik</v>
          </cell>
          <cell r="Q69" t="str">
            <v>Kelengkapan Pengangkutan dan Pembuatan Lain</v>
          </cell>
          <cell r="R69" t="str">
            <v>Construction</v>
          </cell>
          <cell r="S69" t="str">
            <v>Services</v>
          </cell>
          <cell r="T69" t="str">
            <v>Utiliti, Transport &amp; Communication</v>
          </cell>
          <cell r="U69" t="str">
            <v>WRT, Accomm &amp; Restaurant</v>
          </cell>
          <cell r="V69" t="str">
            <v>Finance &amp; Insurance, Real Estate &amp; Business Services</v>
          </cell>
          <cell r="W69" t="str">
            <v>Other Services</v>
          </cell>
          <cell r="X69" t="str">
            <v>Government Services</v>
          </cell>
          <cell r="Y69" t="str">
            <v>Plus :Import Duties</v>
          </cell>
          <cell r="Z69" t="str">
            <v>GDP atPurchasers' Prices</v>
          </cell>
        </row>
        <row r="70">
          <cell r="A70" t="str">
            <v>States</v>
          </cell>
          <cell r="B70" t="str">
            <v>Converter</v>
          </cell>
        </row>
        <row r="71">
          <cell r="A71" t="str">
            <v>Johor</v>
          </cell>
          <cell r="B71" t="str">
            <v>01</v>
          </cell>
          <cell r="C71">
            <v>7170.5642833848297</v>
          </cell>
          <cell r="D71">
            <v>6552.3323969553603</v>
          </cell>
          <cell r="E71">
            <v>53.570652274507502</v>
          </cell>
          <cell r="F71">
            <v>564.66123415495804</v>
          </cell>
          <cell r="I71">
            <v>53.974312406284497</v>
          </cell>
          <cell r="J71">
            <v>20027.698931422499</v>
          </cell>
          <cell r="K71">
            <v>2237.44821476371</v>
          </cell>
          <cell r="L71">
            <v>886.10036568846795</v>
          </cell>
          <cell r="M71">
            <v>1629.6346386585401</v>
          </cell>
          <cell r="N71">
            <v>3795.0370578501402</v>
          </cell>
          <cell r="O71">
            <v>2785.61796350646</v>
          </cell>
          <cell r="P71">
            <v>6962.8762218903703</v>
          </cell>
          <cell r="Q71">
            <v>1730.9844690647899</v>
          </cell>
          <cell r="R71">
            <v>1597.09857176644</v>
          </cell>
          <cell r="S71">
            <v>27296.435615271399</v>
          </cell>
          <cell r="T71">
            <v>6090.7424245899101</v>
          </cell>
          <cell r="U71">
            <v>6594.7816774399598</v>
          </cell>
          <cell r="V71">
            <v>7868.2839034950102</v>
          </cell>
          <cell r="W71">
            <v>2685.0853995655002</v>
          </cell>
          <cell r="X71">
            <v>4057.54221018098</v>
          </cell>
          <cell r="Y71">
            <v>844.05037865614395</v>
          </cell>
          <cell r="Z71">
            <v>56989.822092907503</v>
          </cell>
        </row>
        <row r="72">
          <cell r="A72" t="str">
            <v>Kedah</v>
          </cell>
          <cell r="B72" t="str">
            <v>02</v>
          </cell>
          <cell r="C72">
            <v>2748.1771608968802</v>
          </cell>
          <cell r="D72">
            <v>2288.3694176890999</v>
          </cell>
          <cell r="E72">
            <v>111.010602879665</v>
          </cell>
          <cell r="F72">
            <v>348.797140328117</v>
          </cell>
          <cell r="I72">
            <v>18.239695550862301</v>
          </cell>
          <cell r="J72">
            <v>6957.01496376864</v>
          </cell>
          <cell r="K72">
            <v>312.23867581872599</v>
          </cell>
          <cell r="L72">
            <v>58.534298160208799</v>
          </cell>
          <cell r="M72">
            <v>433.20309421368199</v>
          </cell>
          <cell r="N72">
            <v>1355.4752458636899</v>
          </cell>
          <cell r="O72">
            <v>2010.05922817587</v>
          </cell>
          <cell r="P72">
            <v>1883.5947183666101</v>
          </cell>
          <cell r="Q72">
            <v>903.90970316987</v>
          </cell>
          <cell r="R72">
            <v>571.38911527631399</v>
          </cell>
          <cell r="S72">
            <v>10774.2800166954</v>
          </cell>
          <cell r="T72">
            <v>1586.08816408142</v>
          </cell>
          <cell r="U72">
            <v>2801.87031589756</v>
          </cell>
          <cell r="V72">
            <v>2035.2337212831801</v>
          </cell>
          <cell r="W72">
            <v>1798.1172809443001</v>
          </cell>
          <cell r="X72">
            <v>2552.9705344889198</v>
          </cell>
          <cell r="Y72">
            <v>139.64890039374501</v>
          </cell>
          <cell r="Z72">
            <v>21208.749852581801</v>
          </cell>
        </row>
        <row r="73">
          <cell r="A73" t="str">
            <v>Kelantan</v>
          </cell>
          <cell r="B73" t="str">
            <v>03</v>
          </cell>
          <cell r="C73">
            <v>3027.6310674799702</v>
          </cell>
          <cell r="D73">
            <v>2152.0116431654001</v>
          </cell>
          <cell r="E73">
            <v>606.16328206114895</v>
          </cell>
          <cell r="F73">
            <v>269.45614225342302</v>
          </cell>
          <cell r="I73">
            <v>15.925022656613001</v>
          </cell>
          <cell r="J73">
            <v>572.15677675997199</v>
          </cell>
          <cell r="K73">
            <v>99.081637376973802</v>
          </cell>
          <cell r="L73">
            <v>51.710970220077101</v>
          </cell>
          <cell r="M73">
            <v>72.546847023653996</v>
          </cell>
          <cell r="N73">
            <v>83.620713062007098</v>
          </cell>
          <cell r="O73">
            <v>54.650643089896597</v>
          </cell>
          <cell r="P73">
            <v>201.49060798824399</v>
          </cell>
          <cell r="Q73">
            <v>9.0553579991195896</v>
          </cell>
          <cell r="R73">
            <v>175.86575138221801</v>
          </cell>
          <cell r="S73">
            <v>7393.6547099700801</v>
          </cell>
          <cell r="T73">
            <v>824.08031562158999</v>
          </cell>
          <cell r="U73">
            <v>2057.9749224587299</v>
          </cell>
          <cell r="V73">
            <v>920.86422992535597</v>
          </cell>
          <cell r="W73">
            <v>1262.6577309111999</v>
          </cell>
          <cell r="X73">
            <v>2328.0775110531999</v>
          </cell>
          <cell r="Y73">
            <v>18.0995391250277</v>
          </cell>
          <cell r="Z73">
            <v>11203.3328673739</v>
          </cell>
        </row>
        <row r="74">
          <cell r="A74" t="str">
            <v>Melaka</v>
          </cell>
          <cell r="B74" t="str">
            <v>04</v>
          </cell>
          <cell r="C74">
            <v>1252.3213332514199</v>
          </cell>
          <cell r="D74">
            <v>1225.31767718993</v>
          </cell>
          <cell r="E74">
            <v>0.27325933110072698</v>
          </cell>
          <cell r="F74">
            <v>26.730396730389899</v>
          </cell>
          <cell r="I74">
            <v>8.1132989453658606</v>
          </cell>
          <cell r="J74">
            <v>8527.0481185479202</v>
          </cell>
          <cell r="K74">
            <v>342.85015923026702</v>
          </cell>
          <cell r="L74">
            <v>189.85552542873799</v>
          </cell>
          <cell r="M74">
            <v>401.68897417256602</v>
          </cell>
          <cell r="N74">
            <v>3249.9228676149</v>
          </cell>
          <cell r="O74">
            <v>594.37140616983504</v>
          </cell>
          <cell r="P74">
            <v>2223.9017940836602</v>
          </cell>
          <cell r="Q74">
            <v>1524.45739184795</v>
          </cell>
          <cell r="R74">
            <v>523.57995395986302</v>
          </cell>
          <cell r="S74">
            <v>7927.08095236587</v>
          </cell>
          <cell r="T74">
            <v>1453.1112885344901</v>
          </cell>
          <cell r="U74">
            <v>2669.98556973717</v>
          </cell>
          <cell r="V74">
            <v>1568.19399157097</v>
          </cell>
          <cell r="W74">
            <v>1051.7554282571</v>
          </cell>
          <cell r="X74">
            <v>1184.03467426615</v>
          </cell>
          <cell r="Y74">
            <v>11.4618260640027</v>
          </cell>
          <cell r="Z74">
            <v>18249.605483134401</v>
          </cell>
        </row>
        <row r="75">
          <cell r="A75" t="str">
            <v>Negeri Sembilan</v>
          </cell>
          <cell r="B75" t="str">
            <v>05</v>
          </cell>
          <cell r="C75">
            <v>1832.08891157927</v>
          </cell>
          <cell r="D75">
            <v>1773.65348057865</v>
          </cell>
          <cell r="E75">
            <v>31.470822994454402</v>
          </cell>
          <cell r="F75">
            <v>26.964608006166099</v>
          </cell>
          <cell r="I75">
            <v>19.239437471789</v>
          </cell>
          <cell r="J75">
            <v>12037.523484368199</v>
          </cell>
          <cell r="K75">
            <v>1157.1717543028701</v>
          </cell>
          <cell r="L75">
            <v>468.15762514419498</v>
          </cell>
          <cell r="M75">
            <v>321.67196918713699</v>
          </cell>
          <cell r="N75">
            <v>2993.8336955334898</v>
          </cell>
          <cell r="O75">
            <v>934.14198202758598</v>
          </cell>
          <cell r="P75">
            <v>5126.0242008203104</v>
          </cell>
          <cell r="Q75">
            <v>1036.5222573526401</v>
          </cell>
          <cell r="R75">
            <v>495.027490900494</v>
          </cell>
          <cell r="S75">
            <v>9154.7227376740193</v>
          </cell>
          <cell r="T75">
            <v>2141.9358079268</v>
          </cell>
          <cell r="U75">
            <v>2308.7027253908</v>
          </cell>
          <cell r="V75">
            <v>1927.19666318128</v>
          </cell>
          <cell r="W75">
            <v>1202.93770936334</v>
          </cell>
          <cell r="X75">
            <v>1573.9498318117901</v>
          </cell>
          <cell r="Y75">
            <v>117.980859251675</v>
          </cell>
          <cell r="Z75">
            <v>23656.582921245499</v>
          </cell>
        </row>
        <row r="76">
          <cell r="A76" t="str">
            <v>Pahang</v>
          </cell>
          <cell r="B76" t="str">
            <v>06</v>
          </cell>
          <cell r="C76">
            <v>5455.0762771085901</v>
          </cell>
          <cell r="D76">
            <v>4452.4266430297102</v>
          </cell>
          <cell r="E76">
            <v>470.116956441659</v>
          </cell>
          <cell r="F76">
            <v>532.53267763721999</v>
          </cell>
          <cell r="I76">
            <v>100.36584932021999</v>
          </cell>
          <cell r="J76">
            <v>7210.2004057692702</v>
          </cell>
          <cell r="K76">
            <v>769.87151506442399</v>
          </cell>
          <cell r="L76">
            <v>12.385865540607201</v>
          </cell>
          <cell r="M76">
            <v>413.97902222490598</v>
          </cell>
          <cell r="N76">
            <v>3068.0492317742501</v>
          </cell>
          <cell r="O76">
            <v>769.63818148399798</v>
          </cell>
          <cell r="P76">
            <v>51.3753888189731</v>
          </cell>
          <cell r="Q76">
            <v>2124.9012008621198</v>
          </cell>
          <cell r="R76">
            <v>661.57161300783503</v>
          </cell>
          <cell r="S76">
            <v>12973.6076465391</v>
          </cell>
          <cell r="T76">
            <v>1378.1853080583901</v>
          </cell>
          <cell r="U76">
            <v>4148.2442956492296</v>
          </cell>
          <cell r="V76">
            <v>1753.4240565396999</v>
          </cell>
          <cell r="W76">
            <v>3208.2121272485101</v>
          </cell>
          <cell r="X76">
            <v>2485.5418590432901</v>
          </cell>
          <cell r="Y76">
            <v>63.757302087708602</v>
          </cell>
          <cell r="Z76">
            <v>26464.579093832799</v>
          </cell>
        </row>
        <row r="77">
          <cell r="A77" t="str">
            <v>Pulau Pinang</v>
          </cell>
          <cell r="B77" t="str">
            <v>07</v>
          </cell>
          <cell r="C77">
            <v>749.94035118466797</v>
          </cell>
          <cell r="D77">
            <v>526.21122120474399</v>
          </cell>
          <cell r="E77">
            <v>0</v>
          </cell>
          <cell r="F77">
            <v>223.72912997992401</v>
          </cell>
          <cell r="I77">
            <v>18.986404553479499</v>
          </cell>
          <cell r="J77">
            <v>26348.444882624201</v>
          </cell>
          <cell r="K77">
            <v>689.29693633182296</v>
          </cell>
          <cell r="L77">
            <v>490.58533614708301</v>
          </cell>
          <cell r="M77">
            <v>767.56532285628998</v>
          </cell>
          <cell r="N77">
            <v>1888.14782222227</v>
          </cell>
          <cell r="O77">
            <v>1809.1693963134801</v>
          </cell>
          <cell r="P77">
            <v>19072.286939373898</v>
          </cell>
          <cell r="Q77">
            <v>1631.39312937931</v>
          </cell>
          <cell r="R77">
            <v>1004.94153188345</v>
          </cell>
          <cell r="S77">
            <v>20266.906143440901</v>
          </cell>
          <cell r="T77">
            <v>4211.9582272429398</v>
          </cell>
          <cell r="U77">
            <v>5915.1172258340403</v>
          </cell>
          <cell r="V77">
            <v>5883.18430518072</v>
          </cell>
          <cell r="W77">
            <v>2013.78632840968</v>
          </cell>
          <cell r="X77">
            <v>2242.8600567734702</v>
          </cell>
          <cell r="Y77">
            <v>359.64911542058502</v>
          </cell>
          <cell r="Z77">
            <v>48748.868429107199</v>
          </cell>
        </row>
        <row r="78">
          <cell r="A78" t="str">
            <v>Perak</v>
          </cell>
          <cell r="B78" t="str">
            <v>08</v>
          </cell>
          <cell r="C78">
            <v>5067.8059180852897</v>
          </cell>
          <cell r="D78">
            <v>3719.44414090086</v>
          </cell>
          <cell r="E78">
            <v>368.25569428126801</v>
          </cell>
          <cell r="F78">
            <v>980.10608290315702</v>
          </cell>
          <cell r="I78">
            <v>103.184457255374</v>
          </cell>
          <cell r="J78">
            <v>6605.2252252100297</v>
          </cell>
          <cell r="K78">
            <v>869.57174628031896</v>
          </cell>
          <cell r="L78">
            <v>197.240495601915</v>
          </cell>
          <cell r="M78">
            <v>312.94982545181699</v>
          </cell>
          <cell r="N78">
            <v>1474.0761624444301</v>
          </cell>
          <cell r="O78">
            <v>1534.8566587800401</v>
          </cell>
          <cell r="P78">
            <v>1699.8833316723999</v>
          </cell>
          <cell r="Q78">
            <v>516.64700497911201</v>
          </cell>
          <cell r="R78">
            <v>582.50096026431402</v>
          </cell>
          <cell r="S78">
            <v>20679.2256318416</v>
          </cell>
          <cell r="T78">
            <v>5833.6995245607004</v>
          </cell>
          <cell r="U78">
            <v>4823.5297935970402</v>
          </cell>
          <cell r="V78">
            <v>3897.9275608838998</v>
          </cell>
          <cell r="W78">
            <v>2642.6796385010898</v>
          </cell>
          <cell r="X78">
            <v>3481.38911429888</v>
          </cell>
          <cell r="Y78">
            <v>21.596787120596598</v>
          </cell>
          <cell r="Z78">
            <v>33059.5389797772</v>
          </cell>
        </row>
        <row r="79">
          <cell r="A79" t="str">
            <v>Perlis</v>
          </cell>
          <cell r="B79" t="str">
            <v>09</v>
          </cell>
          <cell r="C79">
            <v>935.57928140876095</v>
          </cell>
          <cell r="D79">
            <v>268.76405732769098</v>
          </cell>
          <cell r="E79">
            <v>0</v>
          </cell>
          <cell r="F79">
            <v>666.81522408107003</v>
          </cell>
          <cell r="I79">
            <v>7.8015227651921801</v>
          </cell>
          <cell r="J79">
            <v>349.32019348366998</v>
          </cell>
          <cell r="K79">
            <v>54.502227089057698</v>
          </cell>
          <cell r="L79">
            <v>51.629230750296998</v>
          </cell>
          <cell r="M79">
            <v>4.1927671943535598</v>
          </cell>
          <cell r="N79">
            <v>95.164894575306803</v>
          </cell>
          <cell r="O79">
            <v>142.89041771363799</v>
          </cell>
          <cell r="P79">
            <v>0.41720944774469298</v>
          </cell>
          <cell r="Q79">
            <v>0.52344671327310199</v>
          </cell>
          <cell r="R79">
            <v>101.26540747310899</v>
          </cell>
          <cell r="S79">
            <v>1789.43683170176</v>
          </cell>
          <cell r="T79">
            <v>618.26873703333501</v>
          </cell>
          <cell r="U79">
            <v>250.42582661869599</v>
          </cell>
          <cell r="V79">
            <v>229.64700012768901</v>
          </cell>
          <cell r="W79">
            <v>238.11756091022201</v>
          </cell>
          <cell r="X79">
            <v>452.97770701181599</v>
          </cell>
          <cell r="Y79">
            <v>66.343859851239401</v>
          </cell>
          <cell r="Z79">
            <v>3249.74709668373</v>
          </cell>
        </row>
        <row r="80">
          <cell r="A80" t="str">
            <v>Selangor</v>
          </cell>
          <cell r="B80">
            <v>10</v>
          </cell>
          <cell r="C80">
            <v>2306.4004204636199</v>
          </cell>
          <cell r="D80">
            <v>1636.27720951693</v>
          </cell>
          <cell r="E80">
            <v>13.6682036104921</v>
          </cell>
          <cell r="F80">
            <v>656.45500733619497</v>
          </cell>
          <cell r="I80">
            <v>121.688062496567</v>
          </cell>
          <cell r="J80">
            <v>44795.331237077102</v>
          </cell>
          <cell r="K80">
            <v>6715.4856658059798</v>
          </cell>
          <cell r="L80">
            <v>528.29252835263401</v>
          </cell>
          <cell r="M80">
            <v>3810.00459350437</v>
          </cell>
          <cell r="N80">
            <v>5878.6944612834995</v>
          </cell>
          <cell r="O80">
            <v>5875.0931975616904</v>
          </cell>
          <cell r="P80">
            <v>11039.3291554592</v>
          </cell>
          <cell r="Q80">
            <v>10948.4316351097</v>
          </cell>
          <cell r="R80">
            <v>6243.9686026801</v>
          </cell>
          <cell r="S80">
            <v>81917.655086211103</v>
          </cell>
          <cell r="T80">
            <v>19834.486867533</v>
          </cell>
          <cell r="U80">
            <v>27732.002140549001</v>
          </cell>
          <cell r="V80">
            <v>21135.3151207962</v>
          </cell>
          <cell r="W80">
            <v>6917.3595796658901</v>
          </cell>
          <cell r="X80">
            <v>6298.4913776670401</v>
          </cell>
          <cell r="Y80">
            <v>4492.0200225018598</v>
          </cell>
          <cell r="Z80">
            <v>139877.06343143</v>
          </cell>
        </row>
        <row r="81">
          <cell r="A81" t="str">
            <v>Terengganu</v>
          </cell>
          <cell r="B81">
            <v>11</v>
          </cell>
          <cell r="C81">
            <v>1868.7466500673299</v>
          </cell>
          <cell r="D81">
            <v>1376.63104168482</v>
          </cell>
          <cell r="E81">
            <v>123.549504003599</v>
          </cell>
          <cell r="F81">
            <v>368.56610437891601</v>
          </cell>
          <cell r="I81">
            <v>9.5909415136728509</v>
          </cell>
          <cell r="J81">
            <v>7568.4216460510097</v>
          </cell>
          <cell r="K81">
            <v>60.844329089771499</v>
          </cell>
          <cell r="L81">
            <v>30.1785211503163</v>
          </cell>
          <cell r="M81">
            <v>108.103254450601</v>
          </cell>
          <cell r="N81">
            <v>6666.2671079688998</v>
          </cell>
          <cell r="O81">
            <v>590.64019872650704</v>
          </cell>
          <cell r="P81">
            <v>2.89261597011456</v>
          </cell>
          <cell r="Q81">
            <v>109.49561869479101</v>
          </cell>
          <cell r="R81">
            <v>571.792479817051</v>
          </cell>
          <cell r="S81">
            <v>8459.2870635188992</v>
          </cell>
          <cell r="T81">
            <v>3335.1416614582399</v>
          </cell>
          <cell r="U81">
            <v>1527.3126581572801</v>
          </cell>
          <cell r="V81">
            <v>753.40514713643597</v>
          </cell>
          <cell r="W81">
            <v>853.55315647359896</v>
          </cell>
          <cell r="X81">
            <v>1989.8744402933401</v>
          </cell>
          <cell r="Y81">
            <v>22.352791701644001</v>
          </cell>
          <cell r="Z81">
            <v>18500.191572669599</v>
          </cell>
        </row>
        <row r="82">
          <cell r="A82" t="str">
            <v>Sabah</v>
          </cell>
          <cell r="B82">
            <v>12</v>
          </cell>
          <cell r="C82">
            <v>10094.902381182599</v>
          </cell>
          <cell r="D82">
            <v>6662.8019414520804</v>
          </cell>
          <cell r="E82">
            <v>1916.47704071711</v>
          </cell>
          <cell r="F82">
            <v>1515.6233990134201</v>
          </cell>
          <cell r="I82">
            <v>8037.0394100663098</v>
          </cell>
          <cell r="J82">
            <v>3412.1274698001698</v>
          </cell>
          <cell r="K82">
            <v>1951.46261811467</v>
          </cell>
          <cell r="L82">
            <v>30.8890325568645</v>
          </cell>
          <cell r="M82">
            <v>896.60369368980196</v>
          </cell>
          <cell r="N82">
            <v>130.35469092791101</v>
          </cell>
          <cell r="O82">
            <v>264.13360365970101</v>
          </cell>
          <cell r="P82">
            <v>7.1228420514294299</v>
          </cell>
          <cell r="Q82">
            <v>131.56098879979601</v>
          </cell>
          <cell r="R82">
            <v>823.31542778865503</v>
          </cell>
          <cell r="S82">
            <v>16548.3369776412</v>
          </cell>
          <cell r="T82">
            <v>3155.34217557493</v>
          </cell>
          <cell r="U82">
            <v>5386.8789916800997</v>
          </cell>
          <cell r="V82">
            <v>3170.1727072173899</v>
          </cell>
          <cell r="W82">
            <v>1600.27552420761</v>
          </cell>
          <cell r="X82">
            <v>3235.66757896117</v>
          </cell>
          <cell r="Y82">
            <v>198.26699960755701</v>
          </cell>
          <cell r="Z82">
            <v>39113.988666086501</v>
          </cell>
        </row>
        <row r="83">
          <cell r="A83" t="str">
            <v>Sarawak</v>
          </cell>
          <cell r="B83">
            <v>13</v>
          </cell>
          <cell r="C83">
            <v>7415.2679328992299</v>
          </cell>
          <cell r="D83">
            <v>3152.3724412413499</v>
          </cell>
          <cell r="E83">
            <v>3831.8281290446598</v>
          </cell>
          <cell r="F83">
            <v>431.06736261321799</v>
          </cell>
          <cell r="I83">
            <v>16465.054567110299</v>
          </cell>
          <cell r="J83">
            <v>18472.101260906202</v>
          </cell>
          <cell r="K83">
            <v>587.73011486882899</v>
          </cell>
          <cell r="L83">
            <v>20.5740816912508</v>
          </cell>
          <cell r="M83">
            <v>1478.17446056941</v>
          </cell>
          <cell r="N83">
            <v>14918.7790363242</v>
          </cell>
          <cell r="O83">
            <v>462.07136159612202</v>
          </cell>
          <cell r="P83">
            <v>489.41684695457099</v>
          </cell>
          <cell r="Q83">
            <v>515.35535890174697</v>
          </cell>
          <cell r="R83">
            <v>1584.5546063460699</v>
          </cell>
          <cell r="S83">
            <v>21221.6999350355</v>
          </cell>
          <cell r="T83">
            <v>4928.2390888015098</v>
          </cell>
          <cell r="U83">
            <v>5752.67169501841</v>
          </cell>
          <cell r="V83">
            <v>5260.6696718154899</v>
          </cell>
          <cell r="W83">
            <v>2131.7620709674802</v>
          </cell>
          <cell r="X83">
            <v>3148.3574084326401</v>
          </cell>
          <cell r="Y83">
            <v>311.57940890856401</v>
          </cell>
          <cell r="Z83">
            <v>65470.257711205901</v>
          </cell>
        </row>
        <row r="84">
          <cell r="A84" t="str">
            <v>WP Kuala Lumpur</v>
          </cell>
          <cell r="B84">
            <v>14</v>
          </cell>
          <cell r="C84">
            <v>1.8243439513005599</v>
          </cell>
          <cell r="D84">
            <v>1.8243439513005599</v>
          </cell>
          <cell r="E84">
            <v>0</v>
          </cell>
          <cell r="F84">
            <v>0</v>
          </cell>
          <cell r="I84">
            <v>26.4050261874564</v>
          </cell>
          <cell r="J84">
            <v>3672.1549682251498</v>
          </cell>
          <cell r="K84">
            <v>432.68358955642702</v>
          </cell>
          <cell r="L84">
            <v>296.30800336994702</v>
          </cell>
          <cell r="M84">
            <v>1036.5487339948099</v>
          </cell>
          <cell r="N84">
            <v>589.69570351422101</v>
          </cell>
          <cell r="O84">
            <v>501.07118610173001</v>
          </cell>
          <cell r="P84">
            <v>241.79047869049501</v>
          </cell>
          <cell r="Q84">
            <v>574.05727299752505</v>
          </cell>
          <cell r="R84">
            <v>3193.9793919204899</v>
          </cell>
          <cell r="S84">
            <v>77689.654913025704</v>
          </cell>
          <cell r="T84">
            <v>5215.9939333560897</v>
          </cell>
          <cell r="U84">
            <v>29153.1803434828</v>
          </cell>
          <cell r="V84">
            <v>29696.389046616001</v>
          </cell>
          <cell r="W84">
            <v>4092.2781887101501</v>
          </cell>
          <cell r="X84">
            <v>9531.8134008606503</v>
          </cell>
          <cell r="Y84">
            <v>829.82722957740998</v>
          </cell>
          <cell r="Z84">
            <v>85413.845872887498</v>
          </cell>
        </row>
        <row r="85">
          <cell r="A85" t="str">
            <v>WP Labuan</v>
          </cell>
          <cell r="B85">
            <v>15</v>
          </cell>
          <cell r="C85">
            <v>109.50032694180101</v>
          </cell>
          <cell r="D85">
            <v>9.0733866410139097</v>
          </cell>
          <cell r="E85">
            <v>0</v>
          </cell>
          <cell r="F85">
            <v>100.426940300787</v>
          </cell>
          <cell r="I85">
            <v>0</v>
          </cell>
          <cell r="J85">
            <v>593.17885993159598</v>
          </cell>
          <cell r="K85">
            <v>23.962238160576899</v>
          </cell>
          <cell r="L85">
            <v>2.4967399763865399</v>
          </cell>
          <cell r="M85">
            <v>1.50252930750069</v>
          </cell>
          <cell r="N85">
            <v>298.46286538655602</v>
          </cell>
          <cell r="O85">
            <v>256.38808224051598</v>
          </cell>
          <cell r="P85">
            <v>0</v>
          </cell>
          <cell r="Q85">
            <v>10.366404860059401</v>
          </cell>
          <cell r="R85">
            <v>20.509544214180899</v>
          </cell>
          <cell r="S85">
            <v>1619.7325058092599</v>
          </cell>
          <cell r="T85">
            <v>208.12885045006999</v>
          </cell>
          <cell r="U85">
            <v>220.514676171806</v>
          </cell>
          <cell r="V85">
            <v>1057.60027749454</v>
          </cell>
          <cell r="W85">
            <v>64.388805102398393</v>
          </cell>
          <cell r="X85">
            <v>69.099896590450001</v>
          </cell>
          <cell r="Y85">
            <v>26.174126121139601</v>
          </cell>
          <cell r="Z85">
            <v>2369.0953630179802</v>
          </cell>
        </row>
        <row r="86">
          <cell r="A86" t="str">
            <v>Supra1</v>
          </cell>
          <cell r="C86">
            <v>0</v>
          </cell>
          <cell r="D86">
            <v>0</v>
          </cell>
          <cell r="E86">
            <v>0</v>
          </cell>
          <cell r="F86">
            <v>0</v>
          </cell>
          <cell r="I86">
            <v>45989.894528632904</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45989.894528632904</v>
          </cell>
        </row>
        <row r="87">
          <cell r="A87" t="str">
            <v>MALAYSIA</v>
          </cell>
          <cell r="C87">
            <v>50035.826639885599</v>
          </cell>
          <cell r="D87">
            <v>35797.511042528997</v>
          </cell>
          <cell r="E87">
            <v>7526.3841476396701</v>
          </cell>
          <cell r="F87">
            <v>6711.9314497169698</v>
          </cell>
          <cell r="I87">
            <v>70995.502536932399</v>
          </cell>
          <cell r="J87">
            <v>167147.94842394601</v>
          </cell>
          <cell r="K87">
            <v>16304.201421854401</v>
          </cell>
          <cell r="L87">
            <v>3314.93861977899</v>
          </cell>
          <cell r="M87">
            <v>11688.369726499401</v>
          </cell>
          <cell r="N87">
            <v>46485.581556345802</v>
          </cell>
          <cell r="O87">
            <v>18584.7935071471</v>
          </cell>
          <cell r="P87">
            <v>49002.402351588098</v>
          </cell>
          <cell r="Q87">
            <v>21767.661240731799</v>
          </cell>
          <cell r="R87">
            <v>18151.3604486806</v>
          </cell>
          <cell r="S87">
            <v>325711.716766742</v>
          </cell>
          <cell r="T87">
            <v>60815.402374823403</v>
          </cell>
          <cell r="U87">
            <v>101343.192857683</v>
          </cell>
          <cell r="V87">
            <v>87157.507403263895</v>
          </cell>
          <cell r="W87">
            <v>31762.9665292381</v>
          </cell>
          <cell r="X87">
            <v>44632.647601733799</v>
          </cell>
          <cell r="Y87">
            <v>7522.8091463889004</v>
          </cell>
          <cell r="Z87">
            <v>639565.16396257502</v>
          </cell>
        </row>
        <row r="90">
          <cell r="A90" t="str">
            <v>CONSTANT</v>
          </cell>
          <cell r="B90" t="str">
            <v>Industry</v>
          </cell>
          <cell r="D90">
            <v>1</v>
          </cell>
          <cell r="E90">
            <v>2</v>
          </cell>
          <cell r="F90">
            <v>3</v>
          </cell>
          <cell r="I90">
            <v>4</v>
          </cell>
          <cell r="K90">
            <v>6</v>
          </cell>
          <cell r="L90">
            <v>7</v>
          </cell>
          <cell r="M90">
            <v>8</v>
          </cell>
          <cell r="N90">
            <v>9</v>
          </cell>
          <cell r="O90">
            <v>10</v>
          </cell>
          <cell r="P90">
            <v>11</v>
          </cell>
          <cell r="Q90">
            <v>12</v>
          </cell>
          <cell r="R90">
            <v>5</v>
          </cell>
          <cell r="T90">
            <v>13</v>
          </cell>
          <cell r="U90">
            <v>14</v>
          </cell>
          <cell r="V90">
            <v>15</v>
          </cell>
          <cell r="W90">
            <v>16</v>
          </cell>
        </row>
        <row r="91">
          <cell r="A91">
            <v>2009</v>
          </cell>
          <cell r="B91" t="str">
            <v>I</v>
          </cell>
          <cell r="C91" t="str">
            <v>Agriculture</v>
          </cell>
          <cell r="D91" t="str">
            <v>Tanaman</v>
          </cell>
          <cell r="E91" t="str">
            <v>Pembalakan</v>
          </cell>
          <cell r="F91" t="str">
            <v>Perikanan</v>
          </cell>
          <cell r="I91" t="str">
            <v>Mining andQuarrying</v>
          </cell>
          <cell r="J91" t="str">
            <v>Manufacturing</v>
          </cell>
          <cell r="K91" t="str">
            <v>Prosesan Makanan, Minuman dan Produk Tembakau</v>
          </cell>
          <cell r="L91" t="str">
            <v>Tekstil, Pakaian, Kulit dan Kasut</v>
          </cell>
          <cell r="M91" t="str">
            <v>Keluaran Kayu, Perabot, Produk Kertas, Percetakan dan Penerbitan</v>
          </cell>
          <cell r="N91" t="str">
            <v>Produk Petroleum, Bahan kimia, Getah dan Plastik</v>
          </cell>
          <cell r="O91" t="str">
            <v>Produk Mineral Bukan Logam, Logam Asli dan Produk Logam Yang Direka</v>
          </cell>
          <cell r="P91" t="str">
            <v>Elektrik dan Elektronik</v>
          </cell>
          <cell r="Q91" t="str">
            <v>Kelengkapan Pengangkutan dan Pembuatan Lain</v>
          </cell>
          <cell r="R91" t="str">
            <v>Construction</v>
          </cell>
          <cell r="S91" t="str">
            <v>Services</v>
          </cell>
          <cell r="T91" t="str">
            <v>Utiliti, Transport &amp; Communication</v>
          </cell>
          <cell r="U91" t="str">
            <v>WRT, Accomm &amp; Restaurant</v>
          </cell>
          <cell r="V91" t="str">
            <v>Finance &amp; Insurance, Real Estate &amp; Business Services</v>
          </cell>
          <cell r="W91" t="str">
            <v>Other Services</v>
          </cell>
          <cell r="X91" t="str">
            <v>Government Services</v>
          </cell>
          <cell r="Y91" t="str">
            <v>Plus :Import Duties</v>
          </cell>
          <cell r="Z91" t="str">
            <v>GDP atPurchasers' Prices</v>
          </cell>
        </row>
        <row r="92">
          <cell r="A92" t="str">
            <v>States</v>
          </cell>
          <cell r="B92" t="str">
            <v>Converter</v>
          </cell>
        </row>
        <row r="93">
          <cell r="A93" t="str">
            <v>Johor</v>
          </cell>
          <cell r="B93" t="str">
            <v>01</v>
          </cell>
          <cell r="C93">
            <v>7448.2393672682201</v>
          </cell>
          <cell r="D93">
            <v>6847.5819260768603</v>
          </cell>
          <cell r="E93">
            <v>43.148358243858802</v>
          </cell>
          <cell r="F93">
            <v>557.50908294750695</v>
          </cell>
          <cell r="I93">
            <v>59.342094682436503</v>
          </cell>
          <cell r="J93">
            <v>17649.556571429999</v>
          </cell>
          <cell r="K93">
            <v>2196.4159051557499</v>
          </cell>
          <cell r="L93">
            <v>691.51393536519902</v>
          </cell>
          <cell r="M93">
            <v>1559.7683565330301</v>
          </cell>
          <cell r="N93">
            <v>3946.1300152973099</v>
          </cell>
          <cell r="O93">
            <v>2493.6886518238498</v>
          </cell>
          <cell r="P93">
            <v>5311.1443811066201</v>
          </cell>
          <cell r="Q93">
            <v>1450.89532614825</v>
          </cell>
          <cell r="R93">
            <v>1816.64880833851</v>
          </cell>
          <cell r="S93">
            <v>27526.586490464801</v>
          </cell>
          <cell r="T93">
            <v>6167.6168495386601</v>
          </cell>
          <cell r="U93">
            <v>6632.5592981160198</v>
          </cell>
          <cell r="V93">
            <v>7738.6868869909704</v>
          </cell>
          <cell r="W93">
            <v>2764.9668714607701</v>
          </cell>
          <cell r="X93">
            <v>4222.7565843583598</v>
          </cell>
          <cell r="Y93">
            <v>767.47506695744096</v>
          </cell>
          <cell r="Z93">
            <v>55267.848399141403</v>
          </cell>
        </row>
        <row r="94">
          <cell r="A94" t="str">
            <v>Kedah</v>
          </cell>
          <cell r="B94" t="str">
            <v>02</v>
          </cell>
          <cell r="C94">
            <v>2758.2466806103798</v>
          </cell>
          <cell r="D94">
            <v>2251.4234052946399</v>
          </cell>
          <cell r="E94">
            <v>104.165916289599</v>
          </cell>
          <cell r="F94">
            <v>402.65735902614199</v>
          </cell>
          <cell r="I94">
            <v>18.631589802193599</v>
          </cell>
          <cell r="J94">
            <v>6416.4595205222204</v>
          </cell>
          <cell r="K94">
            <v>373.18348412210599</v>
          </cell>
          <cell r="L94">
            <v>40.195309863188797</v>
          </cell>
          <cell r="M94">
            <v>420.14065608985402</v>
          </cell>
          <cell r="N94">
            <v>1228.0792978196801</v>
          </cell>
          <cell r="O94">
            <v>1995.4499576558001</v>
          </cell>
          <cell r="P94">
            <v>1413.8721194346299</v>
          </cell>
          <cell r="Q94">
            <v>945.53869553696495</v>
          </cell>
          <cell r="R94">
            <v>537.85453019238503</v>
          </cell>
          <cell r="S94">
            <v>11219.4476437249</v>
          </cell>
          <cell r="T94">
            <v>1645.6856669840099</v>
          </cell>
          <cell r="U94">
            <v>2905.2059907768898</v>
          </cell>
          <cell r="V94">
            <v>2160.5122537944899</v>
          </cell>
          <cell r="W94">
            <v>1867.4952127220899</v>
          </cell>
          <cell r="X94">
            <v>2640.54851944743</v>
          </cell>
          <cell r="Y94">
            <v>141.57557088106299</v>
          </cell>
          <cell r="Z94">
            <v>21092.215535733201</v>
          </cell>
        </row>
        <row r="95">
          <cell r="A95" t="str">
            <v>Kelantan</v>
          </cell>
          <cell r="B95" t="str">
            <v>03</v>
          </cell>
          <cell r="C95">
            <v>2941.22276221126</v>
          </cell>
          <cell r="D95">
            <v>2115.0946784125699</v>
          </cell>
          <cell r="E95">
            <v>566.63856621470404</v>
          </cell>
          <cell r="F95">
            <v>259.48951758398402</v>
          </cell>
          <cell r="I95">
            <v>15.5417131500511</v>
          </cell>
          <cell r="J95">
            <v>570.19132221257803</v>
          </cell>
          <cell r="K95">
            <v>95.063509363671599</v>
          </cell>
          <cell r="L95">
            <v>36.909770915918301</v>
          </cell>
          <cell r="M95">
            <v>82.378781758752595</v>
          </cell>
          <cell r="N95">
            <v>116.89805089305101</v>
          </cell>
          <cell r="O95">
            <v>53.048505274004</v>
          </cell>
          <cell r="P95">
            <v>184.40779175180299</v>
          </cell>
          <cell r="Q95">
            <v>1.4849122553777401</v>
          </cell>
          <cell r="R95">
            <v>194.69024914371201</v>
          </cell>
          <cell r="S95">
            <v>7691.6052078932298</v>
          </cell>
          <cell r="T95">
            <v>853.71938564774598</v>
          </cell>
          <cell r="U95">
            <v>2163.9913890348798</v>
          </cell>
          <cell r="V95">
            <v>923.363792555136</v>
          </cell>
          <cell r="W95">
            <v>1312.97958660467</v>
          </cell>
          <cell r="X95">
            <v>2437.5510540507998</v>
          </cell>
          <cell r="Y95">
            <v>22.333543688409499</v>
          </cell>
          <cell r="Z95">
            <v>11435.5847982992</v>
          </cell>
        </row>
        <row r="96">
          <cell r="A96" t="str">
            <v>Melaka</v>
          </cell>
          <cell r="B96" t="str">
            <v>04</v>
          </cell>
          <cell r="C96">
            <v>1450.4260346342901</v>
          </cell>
          <cell r="D96">
            <v>1388.6747278498301</v>
          </cell>
          <cell r="E96">
            <v>0.28009801921627803</v>
          </cell>
          <cell r="F96">
            <v>61.471208765242203</v>
          </cell>
          <cell r="I96">
            <v>8.1987127144183596</v>
          </cell>
          <cell r="J96">
            <v>7991.90725017554</v>
          </cell>
          <cell r="K96">
            <v>414.25856716021002</v>
          </cell>
          <cell r="L96">
            <v>398.89885533485898</v>
          </cell>
          <cell r="M96">
            <v>344.32798449330801</v>
          </cell>
          <cell r="N96">
            <v>3186.5854198623801</v>
          </cell>
          <cell r="O96">
            <v>453.648174284481</v>
          </cell>
          <cell r="P96">
            <v>1937.16833414899</v>
          </cell>
          <cell r="Q96">
            <v>1257.01991489131</v>
          </cell>
          <cell r="R96">
            <v>552.77123224812306</v>
          </cell>
          <cell r="S96">
            <v>8439.3870313320203</v>
          </cell>
          <cell r="T96">
            <v>1502.9839705316399</v>
          </cell>
          <cell r="U96">
            <v>2965.2681929628302</v>
          </cell>
          <cell r="V96">
            <v>1680.8466576718299</v>
          </cell>
          <cell r="W96">
            <v>1088.14308542496</v>
          </cell>
          <cell r="X96">
            <v>1202.1451247407699</v>
          </cell>
          <cell r="Y96">
            <v>29.250242803987099</v>
          </cell>
          <cell r="Z96">
            <v>18471.940503908401</v>
          </cell>
        </row>
        <row r="97">
          <cell r="A97" t="str">
            <v>Negeri Sembilan</v>
          </cell>
          <cell r="B97" t="str">
            <v>05</v>
          </cell>
          <cell r="C97">
            <v>1940.9740480425501</v>
          </cell>
          <cell r="D97">
            <v>1848.1125391855401</v>
          </cell>
          <cell r="E97">
            <v>43.860180059602001</v>
          </cell>
          <cell r="F97">
            <v>49.001328797404199</v>
          </cell>
          <cell r="I97">
            <v>19.709346359609601</v>
          </cell>
          <cell r="J97">
            <v>11754.5614493828</v>
          </cell>
          <cell r="K97">
            <v>1183.6487267144</v>
          </cell>
          <cell r="L97">
            <v>199.59867464977199</v>
          </cell>
          <cell r="M97">
            <v>419.81542116238597</v>
          </cell>
          <cell r="N97">
            <v>2865.7049015280199</v>
          </cell>
          <cell r="O97">
            <v>775.054410338558</v>
          </cell>
          <cell r="P97">
            <v>5252.2287881359098</v>
          </cell>
          <cell r="Q97">
            <v>1058.51052685373</v>
          </cell>
          <cell r="R97">
            <v>540.01245793723899</v>
          </cell>
          <cell r="S97">
            <v>9448.1363606929608</v>
          </cell>
          <cell r="T97">
            <v>2177.59084282803</v>
          </cell>
          <cell r="U97">
            <v>2427.9733948401599</v>
          </cell>
          <cell r="V97">
            <v>1950.7443660906799</v>
          </cell>
          <cell r="W97">
            <v>1302.6649209969901</v>
          </cell>
          <cell r="X97">
            <v>1589.16283593711</v>
          </cell>
          <cell r="Y97">
            <v>101.036055844161</v>
          </cell>
          <cell r="Z97">
            <v>23804.4297182593</v>
          </cell>
        </row>
        <row r="98">
          <cell r="A98" t="str">
            <v>Pahang</v>
          </cell>
          <cell r="B98" t="str">
            <v>06</v>
          </cell>
          <cell r="C98">
            <v>5448.7557613188101</v>
          </cell>
          <cell r="D98">
            <v>4351.7341587302499</v>
          </cell>
          <cell r="E98">
            <v>516.04939006706502</v>
          </cell>
          <cell r="F98">
            <v>580.97221252150405</v>
          </cell>
          <cell r="I98">
            <v>120.520991408657</v>
          </cell>
          <cell r="J98">
            <v>6693.1528010757602</v>
          </cell>
          <cell r="K98">
            <v>905.54943457192701</v>
          </cell>
          <cell r="L98">
            <v>18.6839133639496</v>
          </cell>
          <cell r="M98">
            <v>616.37562339827502</v>
          </cell>
          <cell r="N98">
            <v>2356.3451647142901</v>
          </cell>
          <cell r="O98">
            <v>766.944488352029</v>
          </cell>
          <cell r="P98">
            <v>72.607403193855205</v>
          </cell>
          <cell r="Q98">
            <v>1956.64677348143</v>
          </cell>
          <cell r="R98">
            <v>695.712970014495</v>
          </cell>
          <cell r="S98">
            <v>13162.5095935134</v>
          </cell>
          <cell r="T98">
            <v>1378.18486041099</v>
          </cell>
          <cell r="U98">
            <v>4180.2363868887896</v>
          </cell>
          <cell r="V98">
            <v>1803.1656065488</v>
          </cell>
          <cell r="W98">
            <v>3279.35485286429</v>
          </cell>
          <cell r="X98">
            <v>2521.5678868005102</v>
          </cell>
          <cell r="Y98">
            <v>81.981542456041296</v>
          </cell>
          <cell r="Z98">
            <v>26202.633659787101</v>
          </cell>
        </row>
        <row r="99">
          <cell r="A99" t="str">
            <v>Pulau Pinang</v>
          </cell>
          <cell r="B99" t="str">
            <v>07</v>
          </cell>
          <cell r="C99">
            <v>760.45823108994296</v>
          </cell>
          <cell r="D99">
            <v>556.40464337404705</v>
          </cell>
          <cell r="E99">
            <v>0</v>
          </cell>
          <cell r="F99">
            <v>204.05358771589499</v>
          </cell>
          <cell r="I99">
            <v>19.213514991072799</v>
          </cell>
          <cell r="J99">
            <v>21239.073100997601</v>
          </cell>
          <cell r="K99">
            <v>982.92422091185301</v>
          </cell>
          <cell r="L99">
            <v>552.75623813298603</v>
          </cell>
          <cell r="M99">
            <v>774.48276590116996</v>
          </cell>
          <cell r="N99">
            <v>2095.2872914520299</v>
          </cell>
          <cell r="O99">
            <v>1691.35688069411</v>
          </cell>
          <cell r="P99">
            <v>13864.7852074903</v>
          </cell>
          <cell r="Q99">
            <v>1277.4804964151599</v>
          </cell>
          <cell r="R99">
            <v>982.067989201606</v>
          </cell>
          <cell r="S99">
            <v>20242.238702797898</v>
          </cell>
          <cell r="T99">
            <v>4235.4657328392104</v>
          </cell>
          <cell r="U99">
            <v>5735.73402479367</v>
          </cell>
          <cell r="V99">
            <v>5912.4537506202996</v>
          </cell>
          <cell r="W99">
            <v>2094.26034232861</v>
          </cell>
          <cell r="X99">
            <v>2264.3248522161002</v>
          </cell>
          <cell r="Y99">
            <v>382.67817457429697</v>
          </cell>
          <cell r="Z99">
            <v>43625.729713652399</v>
          </cell>
        </row>
        <row r="100">
          <cell r="A100" t="str">
            <v>Perak</v>
          </cell>
          <cell r="B100" t="str">
            <v>08</v>
          </cell>
          <cell r="C100">
            <v>5195.6453420371299</v>
          </cell>
          <cell r="D100">
            <v>3694.3496667969598</v>
          </cell>
          <cell r="E100">
            <v>320.29585199149301</v>
          </cell>
          <cell r="F100">
            <v>1180.9998232486701</v>
          </cell>
          <cell r="I100">
            <v>101.748443876794</v>
          </cell>
          <cell r="J100">
            <v>5799.8650797147502</v>
          </cell>
          <cell r="K100">
            <v>1022.7663468441</v>
          </cell>
          <cell r="L100">
            <v>203.66761974537599</v>
          </cell>
          <cell r="M100">
            <v>314.384749109903</v>
          </cell>
          <cell r="N100">
            <v>1186.8438698376499</v>
          </cell>
          <cell r="O100">
            <v>1285.4189208999401</v>
          </cell>
          <cell r="P100">
            <v>1466.70218889477</v>
          </cell>
          <cell r="Q100">
            <v>320.08138438301199</v>
          </cell>
          <cell r="R100">
            <v>643.07315093760405</v>
          </cell>
          <cell r="S100">
            <v>20942.200305656399</v>
          </cell>
          <cell r="T100">
            <v>5950.0209451234296</v>
          </cell>
          <cell r="U100">
            <v>4779.4408546935301</v>
          </cell>
          <cell r="V100">
            <v>3914.2929824284602</v>
          </cell>
          <cell r="W100">
            <v>2746.7080411910101</v>
          </cell>
          <cell r="X100">
            <v>3551.7374822199299</v>
          </cell>
          <cell r="Y100">
            <v>17.204002111897999</v>
          </cell>
          <cell r="Z100">
            <v>32699.736324334499</v>
          </cell>
        </row>
        <row r="101">
          <cell r="A101" t="str">
            <v>Perlis</v>
          </cell>
          <cell r="B101" t="str">
            <v>09</v>
          </cell>
          <cell r="C101">
            <v>855.94136300638695</v>
          </cell>
          <cell r="D101">
            <v>237.171898706826</v>
          </cell>
          <cell r="E101">
            <v>0</v>
          </cell>
          <cell r="F101">
            <v>618.76946429956104</v>
          </cell>
          <cell r="I101">
            <v>6.3613021227580102</v>
          </cell>
          <cell r="J101">
            <v>290.33726582942302</v>
          </cell>
          <cell r="K101">
            <v>46.3800290816353</v>
          </cell>
          <cell r="L101">
            <v>43.969966531878001</v>
          </cell>
          <cell r="M101">
            <v>2.2695514934505399</v>
          </cell>
          <cell r="N101">
            <v>57.303193483204801</v>
          </cell>
          <cell r="O101">
            <v>136.519930080736</v>
          </cell>
          <cell r="P101">
            <v>0.40585250788745098</v>
          </cell>
          <cell r="Q101">
            <v>3.4887426506302899</v>
          </cell>
          <cell r="R101">
            <v>92.266488889557607</v>
          </cell>
          <cell r="S101">
            <v>1840.83119998098</v>
          </cell>
          <cell r="T101">
            <v>634.20499143323195</v>
          </cell>
          <cell r="U101">
            <v>260.214491841322</v>
          </cell>
          <cell r="V101">
            <v>237.30316809444801</v>
          </cell>
          <cell r="W101">
            <v>245.17411016459801</v>
          </cell>
          <cell r="X101">
            <v>463.93443844737999</v>
          </cell>
          <cell r="Y101">
            <v>80.567988496580298</v>
          </cell>
          <cell r="Z101">
            <v>3166.3056083256902</v>
          </cell>
        </row>
        <row r="102">
          <cell r="A102" t="str">
            <v>Selangor</v>
          </cell>
          <cell r="B102">
            <v>10</v>
          </cell>
          <cell r="C102">
            <v>2518.6829196444201</v>
          </cell>
          <cell r="D102">
            <v>1690.37124293447</v>
          </cell>
          <cell r="E102">
            <v>5.71291207858948</v>
          </cell>
          <cell r="F102">
            <v>822.598764631368</v>
          </cell>
          <cell r="I102">
            <v>124.907911414483</v>
          </cell>
          <cell r="J102">
            <v>41857.923252740497</v>
          </cell>
          <cell r="K102">
            <v>7204.2984131473404</v>
          </cell>
          <cell r="L102">
            <v>453.55278926993498</v>
          </cell>
          <cell r="M102">
            <v>2784.0545540461799</v>
          </cell>
          <cell r="N102">
            <v>6205.9585366351703</v>
          </cell>
          <cell r="O102">
            <v>5379.3328661184596</v>
          </cell>
          <cell r="P102">
            <v>9321.4292031808709</v>
          </cell>
          <cell r="Q102">
            <v>10509.296890342601</v>
          </cell>
          <cell r="R102">
            <v>6585.2738869667801</v>
          </cell>
          <cell r="S102">
            <v>84233.245537549796</v>
          </cell>
          <cell r="T102">
            <v>20143.435683380401</v>
          </cell>
          <cell r="U102">
            <v>28412.062509855899</v>
          </cell>
          <cell r="V102">
            <v>22090.140213677802</v>
          </cell>
          <cell r="W102">
            <v>7155.4523885788403</v>
          </cell>
          <cell r="X102">
            <v>6432.1547420568904</v>
          </cell>
          <cell r="Y102">
            <v>3916.8641011417799</v>
          </cell>
          <cell r="Z102">
            <v>139236.89760945801</v>
          </cell>
        </row>
        <row r="103">
          <cell r="A103" t="str">
            <v>Terengganu</v>
          </cell>
          <cell r="B103">
            <v>11</v>
          </cell>
          <cell r="C103">
            <v>1497.0701462888401</v>
          </cell>
          <cell r="D103">
            <v>1088.2326195303001</v>
          </cell>
          <cell r="E103">
            <v>101.185068411603</v>
          </cell>
          <cell r="F103">
            <v>307.65245834693502</v>
          </cell>
          <cell r="I103">
            <v>11.287569132204499</v>
          </cell>
          <cell r="J103">
            <v>6917.5455478694603</v>
          </cell>
          <cell r="K103">
            <v>57.516524271048397</v>
          </cell>
          <cell r="L103">
            <v>30.8147495503298</v>
          </cell>
          <cell r="M103">
            <v>142.70023551107101</v>
          </cell>
          <cell r="N103">
            <v>6234.0091445171101</v>
          </cell>
          <cell r="O103">
            <v>358.68135768466402</v>
          </cell>
          <cell r="P103">
            <v>3.1956744783733702</v>
          </cell>
          <cell r="Q103">
            <v>90.627861856870794</v>
          </cell>
          <cell r="R103">
            <v>609.96531941738499</v>
          </cell>
          <cell r="S103">
            <v>8672.0307115899905</v>
          </cell>
          <cell r="T103">
            <v>3383.2885527660301</v>
          </cell>
          <cell r="U103">
            <v>1563.96626004773</v>
          </cell>
          <cell r="V103">
            <v>800.41282468834902</v>
          </cell>
          <cell r="W103">
            <v>878.11901118975902</v>
          </cell>
          <cell r="X103">
            <v>2046.2440628981101</v>
          </cell>
          <cell r="Y103">
            <v>12.123481342461901</v>
          </cell>
          <cell r="Z103">
            <v>17720.0227756403</v>
          </cell>
        </row>
        <row r="104">
          <cell r="A104" t="str">
            <v>Sabah</v>
          </cell>
          <cell r="B104">
            <v>12</v>
          </cell>
          <cell r="C104">
            <v>9713.3903443599993</v>
          </cell>
          <cell r="D104">
            <v>6299.8769264508601</v>
          </cell>
          <cell r="E104">
            <v>1805.28959081471</v>
          </cell>
          <cell r="F104">
            <v>1608.2238270944299</v>
          </cell>
          <cell r="I104">
            <v>9635.4945723087403</v>
          </cell>
          <cell r="J104">
            <v>3148.9112203916402</v>
          </cell>
          <cell r="K104">
            <v>1783.56777271338</v>
          </cell>
          <cell r="L104">
            <v>29.323852780804099</v>
          </cell>
          <cell r="M104">
            <v>773.095703826815</v>
          </cell>
          <cell r="N104">
            <v>156.429635270712</v>
          </cell>
          <cell r="O104">
            <v>273.98302829756199</v>
          </cell>
          <cell r="P104">
            <v>9.4266812413817203</v>
          </cell>
          <cell r="Q104">
            <v>123.08454626098801</v>
          </cell>
          <cell r="R104">
            <v>879.89427674993897</v>
          </cell>
          <cell r="S104">
            <v>17371.0956016374</v>
          </cell>
          <cell r="T104">
            <v>3176.2043169885301</v>
          </cell>
          <cell r="U104">
            <v>5770.4508168054499</v>
          </cell>
          <cell r="V104">
            <v>3399.47309710118</v>
          </cell>
          <cell r="W104">
            <v>1661.0586756467401</v>
          </cell>
          <cell r="X104">
            <v>3363.9086950955302</v>
          </cell>
          <cell r="Y104">
            <v>237.35617513626599</v>
          </cell>
          <cell r="Z104">
            <v>40986.142190584003</v>
          </cell>
        </row>
        <row r="105">
          <cell r="A105" t="str">
            <v>Sarawak</v>
          </cell>
          <cell r="B105">
            <v>13</v>
          </cell>
          <cell r="C105">
            <v>7423.3487811591403</v>
          </cell>
          <cell r="D105">
            <v>3376.2084165532101</v>
          </cell>
          <cell r="E105">
            <v>3633.6436039553801</v>
          </cell>
          <cell r="F105">
            <v>413.49676065054899</v>
          </cell>
          <cell r="I105">
            <v>15190.385219756899</v>
          </cell>
          <cell r="J105">
            <v>17489.664096002802</v>
          </cell>
          <cell r="K105">
            <v>649.61627832822603</v>
          </cell>
          <cell r="L105">
            <v>21.123538334001999</v>
          </cell>
          <cell r="M105">
            <v>1276.5601104841201</v>
          </cell>
          <cell r="N105">
            <v>14389.2906008469</v>
          </cell>
          <cell r="O105">
            <v>439.63487483453298</v>
          </cell>
          <cell r="P105">
            <v>404.06632266829098</v>
          </cell>
          <cell r="Q105">
            <v>309.37237050676998</v>
          </cell>
          <cell r="R105">
            <v>1707.6051549998101</v>
          </cell>
          <cell r="S105">
            <v>22073.6282723236</v>
          </cell>
          <cell r="T105">
            <v>4917.1430889086996</v>
          </cell>
          <cell r="U105">
            <v>6025.7961815075096</v>
          </cell>
          <cell r="V105">
            <v>5548.3319813805902</v>
          </cell>
          <cell r="W105">
            <v>2212.4021524638401</v>
          </cell>
          <cell r="X105">
            <v>3369.95486806297</v>
          </cell>
          <cell r="Y105">
            <v>288.34661091429598</v>
          </cell>
          <cell r="Z105">
            <v>64172.978135156503</v>
          </cell>
        </row>
        <row r="106">
          <cell r="A106" t="str">
            <v>WP Kuala Lumpur</v>
          </cell>
          <cell r="B106">
            <v>14</v>
          </cell>
          <cell r="C106">
            <v>1.49048293648672</v>
          </cell>
          <cell r="D106">
            <v>1.49048293648672</v>
          </cell>
          <cell r="E106">
            <v>0</v>
          </cell>
          <cell r="F106">
            <v>0</v>
          </cell>
          <cell r="I106">
            <v>27.061636691734002</v>
          </cell>
          <cell r="J106">
            <v>3762.5971418345698</v>
          </cell>
          <cell r="K106">
            <v>384.790527493941</v>
          </cell>
          <cell r="L106">
            <v>287.14052843379199</v>
          </cell>
          <cell r="M106">
            <v>614.59519662953596</v>
          </cell>
          <cell r="N106">
            <v>598.36941794115398</v>
          </cell>
          <cell r="O106">
            <v>755.03083305177302</v>
          </cell>
          <cell r="P106">
            <v>349.22450122459799</v>
          </cell>
          <cell r="Q106">
            <v>773.44613705977497</v>
          </cell>
          <cell r="R106">
            <v>3412.78006618976</v>
          </cell>
          <cell r="S106">
            <v>80428.112303750298</v>
          </cell>
          <cell r="T106">
            <v>5361.8248620208497</v>
          </cell>
          <cell r="U106">
            <v>29395.334292616801</v>
          </cell>
          <cell r="V106">
            <v>31416.748948139099</v>
          </cell>
          <cell r="W106">
            <v>4289.2037761325801</v>
          </cell>
          <cell r="X106">
            <v>9965.0004248409896</v>
          </cell>
          <cell r="Y106">
            <v>856.04858875953198</v>
          </cell>
          <cell r="Z106">
            <v>88488.090220162398</v>
          </cell>
        </row>
        <row r="107">
          <cell r="A107" t="str">
            <v>WP Labuan</v>
          </cell>
          <cell r="B107">
            <v>15</v>
          </cell>
          <cell r="C107">
            <v>109.15187498592</v>
          </cell>
          <cell r="D107">
            <v>6.9926628621778297</v>
          </cell>
          <cell r="E107">
            <v>0</v>
          </cell>
          <cell r="F107">
            <v>102.15921212374199</v>
          </cell>
          <cell r="I107">
            <v>0</v>
          </cell>
          <cell r="J107">
            <v>568.44061893037701</v>
          </cell>
          <cell r="K107">
            <v>23.036492580242101</v>
          </cell>
          <cell r="L107">
            <v>2.46637843430236</v>
          </cell>
          <cell r="M107">
            <v>1.8981935009655799</v>
          </cell>
          <cell r="N107">
            <v>276.98159076014099</v>
          </cell>
          <cell r="O107">
            <v>241.801718201141</v>
          </cell>
          <cell r="P107">
            <v>1.7960584604948</v>
          </cell>
          <cell r="Q107">
            <v>20.460186993089799</v>
          </cell>
          <cell r="R107">
            <v>19.3396332659709</v>
          </cell>
          <cell r="S107">
            <v>1735.4823394617099</v>
          </cell>
          <cell r="T107">
            <v>201.91644918304399</v>
          </cell>
          <cell r="U107">
            <v>226.15958548261401</v>
          </cell>
          <cell r="V107">
            <v>1167.0320576837501</v>
          </cell>
          <cell r="W107">
            <v>66.765818284342203</v>
          </cell>
          <cell r="X107">
            <v>73.608428827962797</v>
          </cell>
          <cell r="Y107">
            <v>53.848551887076397</v>
          </cell>
          <cell r="Z107">
            <v>2486.26301853105</v>
          </cell>
        </row>
        <row r="108">
          <cell r="A108" t="str">
            <v>Supra1</v>
          </cell>
          <cell r="C108">
            <v>0</v>
          </cell>
          <cell r="D108">
            <v>0</v>
          </cell>
          <cell r="E108">
            <v>0</v>
          </cell>
          <cell r="F108">
            <v>0</v>
          </cell>
          <cell r="I108">
            <v>41027.965029888001</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41027.965029888001</v>
          </cell>
        </row>
        <row r="109">
          <cell r="A109" t="str">
            <v>MALAYSIA</v>
          </cell>
          <cell r="C109">
            <v>50063.044139593803</v>
          </cell>
          <cell r="D109">
            <v>35753.719995694999</v>
          </cell>
          <cell r="E109">
            <v>7140.26953614582</v>
          </cell>
          <cell r="F109">
            <v>7169.0546077529298</v>
          </cell>
          <cell r="I109">
            <v>66386.369648300097</v>
          </cell>
          <cell r="J109">
            <v>152150.18623910999</v>
          </cell>
          <cell r="K109">
            <v>17323.016232459799</v>
          </cell>
          <cell r="L109">
            <v>3010.6161207062901</v>
          </cell>
          <cell r="M109">
            <v>10126.847883938801</v>
          </cell>
          <cell r="N109">
            <v>44900.216130858797</v>
          </cell>
          <cell r="O109">
            <v>17099.5945975916</v>
          </cell>
          <cell r="P109">
            <v>39592.460507918797</v>
          </cell>
          <cell r="Q109">
            <v>20097.434765635899</v>
          </cell>
          <cell r="R109">
            <v>19269.9562144929</v>
          </cell>
          <cell r="S109">
            <v>335026.53730236902</v>
          </cell>
          <cell r="T109">
            <v>61729.286198584501</v>
          </cell>
          <cell r="U109">
            <v>103444.39367026401</v>
          </cell>
          <cell r="V109">
            <v>90743.508587465898</v>
          </cell>
          <cell r="W109">
            <v>32964.748846054099</v>
          </cell>
          <cell r="X109">
            <v>46144.600000000901</v>
          </cell>
          <cell r="Y109">
            <v>6988.6896969952904</v>
          </cell>
          <cell r="Z109">
            <v>629884.78324086103</v>
          </cell>
        </row>
        <row r="112">
          <cell r="A112" t="str">
            <v>CONSTANT</v>
          </cell>
          <cell r="B112" t="str">
            <v>Industry</v>
          </cell>
          <cell r="D112">
            <v>1</v>
          </cell>
          <cell r="E112">
            <v>2</v>
          </cell>
          <cell r="F112">
            <v>3</v>
          </cell>
          <cell r="I112">
            <v>4</v>
          </cell>
          <cell r="K112">
            <v>6</v>
          </cell>
          <cell r="L112">
            <v>7</v>
          </cell>
          <cell r="M112">
            <v>8</v>
          </cell>
          <cell r="N112">
            <v>9</v>
          </cell>
          <cell r="O112">
            <v>10</v>
          </cell>
          <cell r="P112">
            <v>11</v>
          </cell>
          <cell r="Q112">
            <v>12</v>
          </cell>
          <cell r="R112">
            <v>5</v>
          </cell>
          <cell r="T112">
            <v>13</v>
          </cell>
          <cell r="U112">
            <v>14</v>
          </cell>
          <cell r="V112">
            <v>15</v>
          </cell>
          <cell r="W112">
            <v>16</v>
          </cell>
        </row>
        <row r="113">
          <cell r="A113">
            <v>2010</v>
          </cell>
          <cell r="B113" t="str">
            <v>I</v>
          </cell>
          <cell r="C113" t="str">
            <v>Agriculture</v>
          </cell>
          <cell r="D113" t="str">
            <v>Tanaman</v>
          </cell>
          <cell r="E113" t="str">
            <v>Pembalakan</v>
          </cell>
          <cell r="F113" t="str">
            <v>Perikanan</v>
          </cell>
          <cell r="I113" t="str">
            <v>Mining andQuarrying</v>
          </cell>
          <cell r="J113" t="str">
            <v>Manufacturing</v>
          </cell>
          <cell r="K113" t="str">
            <v>Prosesan Makanan, Minuman dan Produk Tembakau</v>
          </cell>
          <cell r="L113" t="str">
            <v>Tekstil, Pakaian, Kulit dan Kasut</v>
          </cell>
          <cell r="M113" t="str">
            <v>Keluaran Kayu, Perabot, Produk Kertas, Percetakan dan Penerbitan</v>
          </cell>
          <cell r="N113" t="str">
            <v>Produk Petroleum, Bahan kimia, Getah dan Plastik</v>
          </cell>
          <cell r="O113" t="str">
            <v>Produk Mineral Bukan Logam, Logam Asli dan Produk Logam Yang Direka</v>
          </cell>
          <cell r="P113" t="str">
            <v>Elektrik dan Elektronik</v>
          </cell>
          <cell r="Q113" t="str">
            <v>Kelengkapan Pengangkutan dan Pembuatan Lain</v>
          </cell>
          <cell r="R113" t="str">
            <v>Construction</v>
          </cell>
          <cell r="S113" t="str">
            <v>Services</v>
          </cell>
          <cell r="T113" t="str">
            <v>Utiliti, Transport &amp; Communication</v>
          </cell>
          <cell r="U113" t="str">
            <v>WRT, Accomm &amp; Restaurant</v>
          </cell>
          <cell r="V113" t="str">
            <v>Finance &amp; Insurance, Real Estate &amp; Business Services</v>
          </cell>
          <cell r="W113" t="str">
            <v>Other Services</v>
          </cell>
          <cell r="X113" t="str">
            <v>Government Services</v>
          </cell>
          <cell r="Y113" t="str">
            <v>Plus :Import Duties</v>
          </cell>
          <cell r="Z113" t="str">
            <v>GDP atPurchasers' Prices</v>
          </cell>
        </row>
        <row r="114">
          <cell r="A114" t="str">
            <v>States</v>
          </cell>
          <cell r="B114" t="str">
            <v>Converter</v>
          </cell>
        </row>
        <row r="115">
          <cell r="A115" t="str">
            <v>Johor</v>
          </cell>
          <cell r="B115" t="str">
            <v>01</v>
          </cell>
          <cell r="C115">
            <v>7598.3543408902397</v>
          </cell>
          <cell r="D115">
            <v>6885.6648870220697</v>
          </cell>
          <cell r="E115">
            <v>43.823814344275902</v>
          </cell>
          <cell r="F115">
            <v>668.86563952388894</v>
          </cell>
          <cell r="I115">
            <v>68.259644021538804</v>
          </cell>
          <cell r="J115">
            <v>21037.313603969102</v>
          </cell>
          <cell r="K115">
            <v>2187.2292613146801</v>
          </cell>
          <cell r="L115">
            <v>782.93802206389603</v>
          </cell>
          <cell r="M115">
            <v>1747.60399801933</v>
          </cell>
          <cell r="N115">
            <v>4433.0014906127099</v>
          </cell>
          <cell r="O115">
            <v>2959.6749816146098</v>
          </cell>
          <cell r="P115">
            <v>6941.3134983836399</v>
          </cell>
          <cell r="Q115">
            <v>1985.55235196027</v>
          </cell>
          <cell r="R115">
            <v>2045.38296810252</v>
          </cell>
          <cell r="S115">
            <v>29236.170725071999</v>
          </cell>
          <cell r="T115">
            <v>6750.9132856328797</v>
          </cell>
          <cell r="U115">
            <v>7180.5102023690997</v>
          </cell>
          <cell r="V115">
            <v>8074.0493215517099</v>
          </cell>
          <cell r="W115">
            <v>2904.8927319689701</v>
          </cell>
          <cell r="X115">
            <v>4325.8051835493197</v>
          </cell>
          <cell r="Y115">
            <v>693.70557827933703</v>
          </cell>
          <cell r="Z115">
            <v>60679.186860334798</v>
          </cell>
        </row>
        <row r="116">
          <cell r="A116" t="str">
            <v>Kedah</v>
          </cell>
          <cell r="B116" t="str">
            <v>02</v>
          </cell>
          <cell r="C116">
            <v>2733.6853254788998</v>
          </cell>
          <cell r="D116">
            <v>2308.3442133418998</v>
          </cell>
          <cell r="E116">
            <v>106.97883406489299</v>
          </cell>
          <cell r="F116">
            <v>318.36227807210599</v>
          </cell>
          <cell r="I116">
            <v>18.8280174413953</v>
          </cell>
          <cell r="J116">
            <v>6638.3881956961504</v>
          </cell>
          <cell r="K116">
            <v>368.07677588906398</v>
          </cell>
          <cell r="L116">
            <v>79.920685607240998</v>
          </cell>
          <cell r="M116">
            <v>421.50205793573798</v>
          </cell>
          <cell r="N116">
            <v>1226.4484563983999</v>
          </cell>
          <cell r="O116">
            <v>2054.4917254218699</v>
          </cell>
          <cell r="P116">
            <v>1504.7518518571701</v>
          </cell>
          <cell r="Q116">
            <v>983.19664258666205</v>
          </cell>
          <cell r="R116">
            <v>541.14547700276</v>
          </cell>
          <cell r="S116">
            <v>11936.442698701499</v>
          </cell>
          <cell r="T116">
            <v>1778.81390395945</v>
          </cell>
          <cell r="U116">
            <v>3163.5617114593601</v>
          </cell>
          <cell r="V116">
            <v>2279.1921108864599</v>
          </cell>
          <cell r="W116">
            <v>1926.04713569193</v>
          </cell>
          <cell r="X116">
            <v>2788.8278367043399</v>
          </cell>
          <cell r="Y116">
            <v>129.724135599721</v>
          </cell>
          <cell r="Z116">
            <v>21998.213849920499</v>
          </cell>
        </row>
        <row r="117">
          <cell r="A117" t="str">
            <v>Kelantan</v>
          </cell>
          <cell r="B117" t="str">
            <v>03</v>
          </cell>
          <cell r="C117">
            <v>3071.0633660276799</v>
          </cell>
          <cell r="D117">
            <v>2107.22436031492</v>
          </cell>
          <cell r="E117">
            <v>677.61362545535803</v>
          </cell>
          <cell r="F117">
            <v>286.22538025740499</v>
          </cell>
          <cell r="I117">
            <v>16.4378560717517</v>
          </cell>
          <cell r="J117">
            <v>690.81245984655595</v>
          </cell>
          <cell r="K117">
            <v>112.532619967388</v>
          </cell>
          <cell r="L117">
            <v>35.7228602577026</v>
          </cell>
          <cell r="M117">
            <v>89.073919865818695</v>
          </cell>
          <cell r="N117">
            <v>104.74641691462701</v>
          </cell>
          <cell r="O117">
            <v>71.385453074973398</v>
          </cell>
          <cell r="P117">
            <v>270.27664391315801</v>
          </cell>
          <cell r="Q117">
            <v>7.0745458528880798</v>
          </cell>
          <cell r="R117">
            <v>207.32611766380199</v>
          </cell>
          <cell r="S117">
            <v>7984.6164700812596</v>
          </cell>
          <cell r="T117">
            <v>935.50644685774705</v>
          </cell>
          <cell r="U117">
            <v>2199.32428096787</v>
          </cell>
          <cell r="V117">
            <v>992.01616868978499</v>
          </cell>
          <cell r="W117">
            <v>1356.6305514989001</v>
          </cell>
          <cell r="X117">
            <v>2501.13902206696</v>
          </cell>
          <cell r="Y117">
            <v>20.899161344310301</v>
          </cell>
          <cell r="Z117">
            <v>11991.1554310354</v>
          </cell>
        </row>
        <row r="118">
          <cell r="A118" t="str">
            <v>Melaka</v>
          </cell>
          <cell r="B118" t="str">
            <v>04</v>
          </cell>
          <cell r="C118">
            <v>1794.48560733984</v>
          </cell>
          <cell r="D118">
            <v>1764.4620477127301</v>
          </cell>
          <cell r="E118">
            <v>0.31645724155756999</v>
          </cell>
          <cell r="F118">
            <v>29.707102385548001</v>
          </cell>
          <cell r="I118">
            <v>8.2353402428863607</v>
          </cell>
          <cell r="J118">
            <v>8440.5084099046398</v>
          </cell>
          <cell r="K118">
            <v>367.85516788304602</v>
          </cell>
          <cell r="L118">
            <v>326.50618006210198</v>
          </cell>
          <cell r="M118">
            <v>303.160804991139</v>
          </cell>
          <cell r="N118">
            <v>3390.00490527082</v>
          </cell>
          <cell r="O118">
            <v>536.70441442619801</v>
          </cell>
          <cell r="P118">
            <v>2175.3453643369098</v>
          </cell>
          <cell r="Q118">
            <v>1340.9315729344301</v>
          </cell>
          <cell r="R118">
            <v>569.91112597647498</v>
          </cell>
          <cell r="S118">
            <v>8868.4123399378295</v>
          </cell>
          <cell r="T118">
            <v>1618.0934367930899</v>
          </cell>
          <cell r="U118">
            <v>3040.1483285732702</v>
          </cell>
          <cell r="V118">
            <v>1814.16879793615</v>
          </cell>
          <cell r="W118">
            <v>1130.94667073967</v>
          </cell>
          <cell r="X118">
            <v>1265.0551058956601</v>
          </cell>
          <cell r="Y118">
            <v>7.8042403562103599</v>
          </cell>
          <cell r="Z118">
            <v>19689.3570637579</v>
          </cell>
        </row>
        <row r="119">
          <cell r="A119" t="str">
            <v>Negeri Sembilan</v>
          </cell>
          <cell r="B119" t="str">
            <v>05</v>
          </cell>
          <cell r="C119">
            <v>2015.9306547180799</v>
          </cell>
          <cell r="D119">
            <v>1930.33247837055</v>
          </cell>
          <cell r="E119">
            <v>48.214528414990703</v>
          </cell>
          <cell r="F119">
            <v>37.3836479325401</v>
          </cell>
          <cell r="I119">
            <v>20.531206444456998</v>
          </cell>
          <cell r="J119">
            <v>12289.029198689799</v>
          </cell>
          <cell r="K119">
            <v>1265.4247888038401</v>
          </cell>
          <cell r="L119">
            <v>169.811946399276</v>
          </cell>
          <cell r="M119">
            <v>413.12574398847102</v>
          </cell>
          <cell r="N119">
            <v>3438.3800519340998</v>
          </cell>
          <cell r="O119">
            <v>934.058282358876</v>
          </cell>
          <cell r="P119">
            <v>5029.5214315784297</v>
          </cell>
          <cell r="Q119">
            <v>1038.7069536268</v>
          </cell>
          <cell r="R119">
            <v>583.15016914262105</v>
          </cell>
          <cell r="S119">
            <v>10039.968852706999</v>
          </cell>
          <cell r="T119">
            <v>2380.09261256539</v>
          </cell>
          <cell r="U119">
            <v>2618.9256670966502</v>
          </cell>
          <cell r="V119">
            <v>2048.7909989050199</v>
          </cell>
          <cell r="W119">
            <v>1376.27261475061</v>
          </cell>
          <cell r="X119">
            <v>1615.8869593893801</v>
          </cell>
          <cell r="Y119">
            <v>228.799916956543</v>
          </cell>
          <cell r="Z119">
            <v>25177.409998658499</v>
          </cell>
        </row>
        <row r="120">
          <cell r="A120" t="str">
            <v>Pahang</v>
          </cell>
          <cell r="B120" t="str">
            <v>06</v>
          </cell>
          <cell r="C120">
            <v>5672.8495426607196</v>
          </cell>
          <cell r="D120">
            <v>4511.6503307216099</v>
          </cell>
          <cell r="E120">
            <v>529.44191823602398</v>
          </cell>
          <cell r="F120">
            <v>631.75729370308704</v>
          </cell>
          <cell r="I120">
            <v>178.566419495975</v>
          </cell>
          <cell r="J120">
            <v>6899.3228196329201</v>
          </cell>
          <cell r="K120">
            <v>925.49422077744396</v>
          </cell>
          <cell r="L120">
            <v>21.3974917177141</v>
          </cell>
          <cell r="M120">
            <v>659.90788050961805</v>
          </cell>
          <cell r="N120">
            <v>3062.4981567292598</v>
          </cell>
          <cell r="O120">
            <v>671.98675060911796</v>
          </cell>
          <cell r="P120">
            <v>106.82078047637</v>
          </cell>
          <cell r="Q120">
            <v>1451.2175388133901</v>
          </cell>
          <cell r="R120">
            <v>782.11758540868504</v>
          </cell>
          <cell r="S120">
            <v>13941.070831927</v>
          </cell>
          <cell r="T120">
            <v>1477.06391407244</v>
          </cell>
          <cell r="U120">
            <v>4534.5843284699504</v>
          </cell>
          <cell r="V120">
            <v>1906.0234107915401</v>
          </cell>
          <cell r="W120">
            <v>3422.8515809365499</v>
          </cell>
          <cell r="X120">
            <v>2600.5475976564999</v>
          </cell>
          <cell r="Y120">
            <v>10.4708739581983</v>
          </cell>
          <cell r="Z120">
            <v>27484.398073083499</v>
          </cell>
        </row>
        <row r="121">
          <cell r="A121" t="str">
            <v>Pulau Pinang</v>
          </cell>
          <cell r="B121" t="str">
            <v>07</v>
          </cell>
          <cell r="C121">
            <v>888.99094852272901</v>
          </cell>
          <cell r="D121">
            <v>651.22159236704397</v>
          </cell>
          <cell r="E121">
            <v>0</v>
          </cell>
          <cell r="F121">
            <v>237.76935615568499</v>
          </cell>
          <cell r="I121">
            <v>19.1246938869308</v>
          </cell>
          <cell r="J121">
            <v>24263.659327634199</v>
          </cell>
          <cell r="K121">
            <v>1041.08277393871</v>
          </cell>
          <cell r="L121">
            <v>534.89790830765605</v>
          </cell>
          <cell r="M121">
            <v>906.37835707932197</v>
          </cell>
          <cell r="N121">
            <v>2696.4460690588899</v>
          </cell>
          <cell r="O121">
            <v>2163.8530109986</v>
          </cell>
          <cell r="P121">
            <v>15140.1465095285</v>
          </cell>
          <cell r="Q121">
            <v>1780.85469872253</v>
          </cell>
          <cell r="R121">
            <v>1021.91977091495</v>
          </cell>
          <cell r="S121">
            <v>21688.303059001199</v>
          </cell>
          <cell r="T121">
            <v>4570.3375136091699</v>
          </cell>
          <cell r="U121">
            <v>6218.3805585190403</v>
          </cell>
          <cell r="V121">
            <v>6402.6290576771098</v>
          </cell>
          <cell r="W121">
            <v>2201.0409483533199</v>
          </cell>
          <cell r="X121">
            <v>2295.91498084252</v>
          </cell>
          <cell r="Y121">
            <v>279.09817634319398</v>
          </cell>
          <cell r="Z121">
            <v>48161.095976303201</v>
          </cell>
        </row>
        <row r="122">
          <cell r="A122" t="str">
            <v>Perak</v>
          </cell>
          <cell r="B122" t="str">
            <v>08</v>
          </cell>
          <cell r="C122">
            <v>5241.3585679134603</v>
          </cell>
          <cell r="D122">
            <v>3490.3978906095599</v>
          </cell>
          <cell r="E122">
            <v>397.45434840437503</v>
          </cell>
          <cell r="F122">
            <v>1353.50632889952</v>
          </cell>
          <cell r="I122">
            <v>111.552905846865</v>
          </cell>
          <cell r="J122">
            <v>6549.0848263154103</v>
          </cell>
          <cell r="K122">
            <v>1037.5191619500999</v>
          </cell>
          <cell r="L122">
            <v>187.95000729593201</v>
          </cell>
          <cell r="M122">
            <v>331.45052802276899</v>
          </cell>
          <cell r="N122">
            <v>1294.74421541383</v>
          </cell>
          <cell r="O122">
            <v>1620.3543362374301</v>
          </cell>
          <cell r="P122">
            <v>1611.9499042448001</v>
          </cell>
          <cell r="Q122">
            <v>465.11667315054001</v>
          </cell>
          <cell r="R122">
            <v>717.19374778978397</v>
          </cell>
          <cell r="S122">
            <v>21941.387676528699</v>
          </cell>
          <cell r="T122">
            <v>6444.7229043016596</v>
          </cell>
          <cell r="U122">
            <v>5194.1865508002802</v>
          </cell>
          <cell r="V122">
            <v>3897.0308124437602</v>
          </cell>
          <cell r="W122">
            <v>2753.62435652473</v>
          </cell>
          <cell r="X122">
            <v>3651.8230524583</v>
          </cell>
          <cell r="Y122">
            <v>15.391061046690901</v>
          </cell>
          <cell r="Z122">
            <v>34575.968785440899</v>
          </cell>
        </row>
        <row r="123">
          <cell r="A123" t="str">
            <v>Perlis</v>
          </cell>
          <cell r="B123" t="str">
            <v>09</v>
          </cell>
          <cell r="C123">
            <v>890.253977413808</v>
          </cell>
          <cell r="D123">
            <v>250.038227188164</v>
          </cell>
          <cell r="E123">
            <v>0</v>
          </cell>
          <cell r="F123">
            <v>640.215750225644</v>
          </cell>
          <cell r="I123">
            <v>6.3552696173596797</v>
          </cell>
          <cell r="J123">
            <v>302.11336558226998</v>
          </cell>
          <cell r="K123">
            <v>52.451226974228597</v>
          </cell>
          <cell r="L123">
            <v>41.430334462900099</v>
          </cell>
          <cell r="M123">
            <v>5.1199116479700102</v>
          </cell>
          <cell r="N123">
            <v>61.248855934673102</v>
          </cell>
          <cell r="O123">
            <v>138.71952423795801</v>
          </cell>
          <cell r="P123">
            <v>0.56475732443658899</v>
          </cell>
          <cell r="Q123">
            <v>2.5787550001031798</v>
          </cell>
          <cell r="R123">
            <v>108.664065708869</v>
          </cell>
          <cell r="S123">
            <v>1937.3440641202401</v>
          </cell>
          <cell r="T123">
            <v>677.02078287461802</v>
          </cell>
          <cell r="U123">
            <v>282.88980003650198</v>
          </cell>
          <cell r="V123">
            <v>253.67699812060499</v>
          </cell>
          <cell r="W123">
            <v>256.31133519920502</v>
          </cell>
          <cell r="X123">
            <v>467.44514788931002</v>
          </cell>
          <cell r="Y123">
            <v>73.299611950522902</v>
          </cell>
          <cell r="Z123">
            <v>3318.03035439307</v>
          </cell>
        </row>
        <row r="124">
          <cell r="A124" t="str">
            <v>Selangor</v>
          </cell>
          <cell r="B124">
            <v>10</v>
          </cell>
          <cell r="C124">
            <v>2706.54572787396</v>
          </cell>
          <cell r="D124">
            <v>1778.1379792200801</v>
          </cell>
          <cell r="E124">
            <v>3.4337174438734501</v>
          </cell>
          <cell r="F124">
            <v>924.97403121000798</v>
          </cell>
          <cell r="I124">
            <v>127.244240156123</v>
          </cell>
          <cell r="J124">
            <v>50189.2496835778</v>
          </cell>
          <cell r="K124">
            <v>7955.0931080243399</v>
          </cell>
          <cell r="L124">
            <v>531.41727182738396</v>
          </cell>
          <cell r="M124">
            <v>2995.0687524483401</v>
          </cell>
          <cell r="N124">
            <v>7040.3779359457303</v>
          </cell>
          <cell r="O124">
            <v>6453.92059306993</v>
          </cell>
          <cell r="P124">
            <v>12092.630973113301</v>
          </cell>
          <cell r="Q124">
            <v>13120.741049148801</v>
          </cell>
          <cell r="R124">
            <v>7248.0361555894597</v>
          </cell>
          <cell r="S124">
            <v>90799.867556183905</v>
          </cell>
          <cell r="T124">
            <v>21753.1414275928</v>
          </cell>
          <cell r="U124">
            <v>29898.888005700599</v>
          </cell>
          <cell r="V124">
            <v>24579.777021532798</v>
          </cell>
          <cell r="W124">
            <v>7542.24113877529</v>
          </cell>
          <cell r="X124">
            <v>7025.81996258247</v>
          </cell>
          <cell r="Y124">
            <v>4667.9359911748797</v>
          </cell>
          <cell r="Z124">
            <v>155738.879354556</v>
          </cell>
        </row>
        <row r="125">
          <cell r="A125" t="str">
            <v>Terengganu</v>
          </cell>
          <cell r="B125">
            <v>11</v>
          </cell>
          <cell r="C125">
            <v>1502.42703928226</v>
          </cell>
          <cell r="D125">
            <v>1145.04075419776</v>
          </cell>
          <cell r="E125">
            <v>108.922814844762</v>
          </cell>
          <cell r="F125">
            <v>248.463470239733</v>
          </cell>
          <cell r="I125">
            <v>14.3354558514615</v>
          </cell>
          <cell r="J125">
            <v>7214.7000354725296</v>
          </cell>
          <cell r="K125">
            <v>66.728878161678693</v>
          </cell>
          <cell r="L125">
            <v>44.048798066171003</v>
          </cell>
          <cell r="M125">
            <v>101.77840981852199</v>
          </cell>
          <cell r="N125">
            <v>6596.5370587211601</v>
          </cell>
          <cell r="O125">
            <v>338.26986463669903</v>
          </cell>
          <cell r="P125">
            <v>2.3404493387629799</v>
          </cell>
          <cell r="Q125">
            <v>64.996576729532705</v>
          </cell>
          <cell r="R125">
            <v>648.48607448725102</v>
          </cell>
          <cell r="S125">
            <v>9093.8914214729393</v>
          </cell>
          <cell r="T125">
            <v>3627.3338756503599</v>
          </cell>
          <cell r="U125">
            <v>1653.0362401719699</v>
          </cell>
          <cell r="V125">
            <v>837.27481127513101</v>
          </cell>
          <cell r="W125">
            <v>888.09695694086497</v>
          </cell>
          <cell r="X125">
            <v>2088.14953743461</v>
          </cell>
          <cell r="Y125">
            <v>13.4239951153119</v>
          </cell>
          <cell r="Z125">
            <v>18487.264021681702</v>
          </cell>
        </row>
        <row r="126">
          <cell r="A126" t="str">
            <v>Sabah</v>
          </cell>
          <cell r="B126">
            <v>12</v>
          </cell>
          <cell r="C126">
            <v>9333.0021421278598</v>
          </cell>
          <cell r="D126">
            <v>6100.7278202973503</v>
          </cell>
          <cell r="E126">
            <v>1494.15173959661</v>
          </cell>
          <cell r="F126">
            <v>1738.1225822338999</v>
          </cell>
          <cell r="I126">
            <v>9981.4576113374696</v>
          </cell>
          <cell r="J126">
            <v>3296.1000083382501</v>
          </cell>
          <cell r="K126">
            <v>1779.1503845996899</v>
          </cell>
          <cell r="L126">
            <v>35.183050821935502</v>
          </cell>
          <cell r="M126">
            <v>825.74608328706199</v>
          </cell>
          <cell r="N126">
            <v>164.51613490018701</v>
          </cell>
          <cell r="O126">
            <v>329.33465262169199</v>
          </cell>
          <cell r="P126">
            <v>9.6836285176547197</v>
          </cell>
          <cell r="Q126">
            <v>152.486073590019</v>
          </cell>
          <cell r="R126">
            <v>1048.32131495573</v>
          </cell>
          <cell r="S126">
            <v>18249.0380787022</v>
          </cell>
          <cell r="T126">
            <v>3461.1455486172499</v>
          </cell>
          <cell r="U126">
            <v>6027.3226036168899</v>
          </cell>
          <cell r="V126">
            <v>3661.9798489268401</v>
          </cell>
          <cell r="W126">
            <v>1705.5620623341599</v>
          </cell>
          <cell r="X126">
            <v>3393.02801520702</v>
          </cell>
          <cell r="Y126">
            <v>193.38277115297299</v>
          </cell>
          <cell r="Z126">
            <v>42101.301926614397</v>
          </cell>
        </row>
        <row r="127">
          <cell r="A127" t="str">
            <v>Sarawak</v>
          </cell>
          <cell r="B127">
            <v>13</v>
          </cell>
          <cell r="C127">
            <v>7694.6268346018496</v>
          </cell>
          <cell r="D127">
            <v>3743.7971310764401</v>
          </cell>
          <cell r="E127">
            <v>3512.6235058080101</v>
          </cell>
          <cell r="F127">
            <v>438.20619771739302</v>
          </cell>
          <cell r="I127">
            <v>15757.0015301638</v>
          </cell>
          <cell r="J127">
            <v>18116.8093202567</v>
          </cell>
          <cell r="K127">
            <v>663.697594744968</v>
          </cell>
          <cell r="L127">
            <v>15.0311885489606</v>
          </cell>
          <cell r="M127">
            <v>1502.3919041398201</v>
          </cell>
          <cell r="N127">
            <v>14580.9532505529</v>
          </cell>
          <cell r="O127">
            <v>466.14674304866998</v>
          </cell>
          <cell r="P127">
            <v>520.84665857406503</v>
          </cell>
          <cell r="Q127">
            <v>367.74198064728199</v>
          </cell>
          <cell r="R127">
            <v>1877.0483570021199</v>
          </cell>
          <cell r="S127">
            <v>23200.6558210517</v>
          </cell>
          <cell r="T127">
            <v>5246.0543498770203</v>
          </cell>
          <cell r="U127">
            <v>6280.5784683472802</v>
          </cell>
          <cell r="V127">
            <v>5981.4911503486201</v>
          </cell>
          <cell r="W127">
            <v>2294.15121074228</v>
          </cell>
          <cell r="X127">
            <v>3398.3806417365499</v>
          </cell>
          <cell r="Y127">
            <v>301.068958955516</v>
          </cell>
          <cell r="Z127">
            <v>66947.210822031702</v>
          </cell>
        </row>
        <row r="128">
          <cell r="A128" t="str">
            <v>WP Kuala Lumpur</v>
          </cell>
          <cell r="B128">
            <v>14</v>
          </cell>
          <cell r="C128">
            <v>1.17572172328511</v>
          </cell>
          <cell r="D128">
            <v>1.17572172328511</v>
          </cell>
          <cell r="E128">
            <v>0</v>
          </cell>
          <cell r="F128">
            <v>0</v>
          </cell>
          <cell r="I128">
            <v>27.291962033823101</v>
          </cell>
          <cell r="J128">
            <v>3757.3330725698902</v>
          </cell>
          <cell r="K128">
            <v>435.95852116711302</v>
          </cell>
          <cell r="L128">
            <v>311.82545341745299</v>
          </cell>
          <cell r="M128">
            <v>558.86987045419903</v>
          </cell>
          <cell r="N128">
            <v>562.95918164167699</v>
          </cell>
          <cell r="O128">
            <v>615.833407859423</v>
          </cell>
          <cell r="P128">
            <v>565.42640847014002</v>
          </cell>
          <cell r="Q128">
            <v>706.46022955988599</v>
          </cell>
          <cell r="R128">
            <v>4039.3162243751299</v>
          </cell>
          <cell r="S128">
            <v>88999.185666447098</v>
          </cell>
          <cell r="T128">
            <v>5859.4981354623997</v>
          </cell>
          <cell r="U128">
            <v>33263.711150495801</v>
          </cell>
          <cell r="V128">
            <v>33928.255428053999</v>
          </cell>
          <cell r="W128">
            <v>4586.0170306022601</v>
          </cell>
          <cell r="X128">
            <v>11361.703921832601</v>
          </cell>
          <cell r="Y128">
            <v>1005.54682827907</v>
          </cell>
          <cell r="Z128">
            <v>97829.849475428302</v>
          </cell>
        </row>
        <row r="129">
          <cell r="A129" t="str">
            <v>WP Labuan</v>
          </cell>
          <cell r="B129">
            <v>15</v>
          </cell>
          <cell r="C129">
            <v>117.835512878771</v>
          </cell>
          <cell r="D129">
            <v>7.4245397112611</v>
          </cell>
          <cell r="E129">
            <v>0</v>
          </cell>
          <cell r="F129">
            <v>110.41097316750999</v>
          </cell>
          <cell r="I129">
            <v>0</v>
          </cell>
          <cell r="J129">
            <v>576.19529319268997</v>
          </cell>
          <cell r="K129">
            <v>11.6146768482245</v>
          </cell>
          <cell r="L129">
            <v>2.75964839768156</v>
          </cell>
          <cell r="M129">
            <v>1.41659429612576</v>
          </cell>
          <cell r="N129">
            <v>257.48306212891299</v>
          </cell>
          <cell r="O129">
            <v>273.525809078002</v>
          </cell>
          <cell r="P129">
            <v>1.0281257709365199</v>
          </cell>
          <cell r="Q129">
            <v>28.367376672806301</v>
          </cell>
          <cell r="R129">
            <v>20.557724287622801</v>
          </cell>
          <cell r="S129">
            <v>1912.81908981113</v>
          </cell>
          <cell r="T129">
            <v>202.44696601929701</v>
          </cell>
          <cell r="U129">
            <v>240.06121027596001</v>
          </cell>
          <cell r="V129">
            <v>1313.4462330045201</v>
          </cell>
          <cell r="W129">
            <v>68.710276306096105</v>
          </cell>
          <cell r="X129">
            <v>88.154404205260093</v>
          </cell>
          <cell r="Y129">
            <v>19.052607394355999</v>
          </cell>
          <cell r="Z129">
            <v>2646.4602275645698</v>
          </cell>
        </row>
        <row r="130">
          <cell r="A130" t="str">
            <v>Supra1</v>
          </cell>
          <cell r="C130">
            <v>0</v>
          </cell>
          <cell r="D130">
            <v>0</v>
          </cell>
          <cell r="E130">
            <v>0</v>
          </cell>
          <cell r="F130">
            <v>0</v>
          </cell>
          <cell r="I130">
            <v>39827.220356516496</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39827.220356516496</v>
          </cell>
        </row>
        <row r="131">
          <cell r="A131" t="str">
            <v>MALAYSIA</v>
          </cell>
          <cell r="C131">
            <v>51262.585309453403</v>
          </cell>
          <cell r="D131">
            <v>36675.639973874699</v>
          </cell>
          <cell r="E131">
            <v>6922.9753038547296</v>
          </cell>
          <cell r="F131">
            <v>7663.9700317239704</v>
          </cell>
          <cell r="I131">
            <v>66182.442509128305</v>
          </cell>
          <cell r="J131">
            <v>170260.619620679</v>
          </cell>
          <cell r="K131">
            <v>18269.909161044499</v>
          </cell>
          <cell r="L131">
            <v>3120.84084725401</v>
          </cell>
          <cell r="M131">
            <v>10862.594816504199</v>
          </cell>
          <cell r="N131">
            <v>48910.345242157899</v>
          </cell>
          <cell r="O131">
            <v>19628.259549294002</v>
          </cell>
          <cell r="P131">
            <v>45972.646985428299</v>
          </cell>
          <cell r="Q131">
            <v>23496.023018995998</v>
          </cell>
          <cell r="R131">
            <v>21458.576878407799</v>
          </cell>
          <cell r="S131">
            <v>359829.17435174598</v>
          </cell>
          <cell r="T131">
            <v>66782.185103885597</v>
          </cell>
          <cell r="U131">
            <v>111796.109106901</v>
          </cell>
          <cell r="V131">
            <v>97969.802170144001</v>
          </cell>
          <cell r="W131">
            <v>34413.396601364802</v>
          </cell>
          <cell r="X131">
            <v>48867.681369450802</v>
          </cell>
          <cell r="Y131">
            <v>7659.6039079068296</v>
          </cell>
          <cell r="Z131">
            <v>676653.00257732102</v>
          </cell>
        </row>
        <row r="134">
          <cell r="A134" t="str">
            <v>CONSTANT</v>
          </cell>
          <cell r="B134" t="str">
            <v>Industry</v>
          </cell>
          <cell r="D134">
            <v>1</v>
          </cell>
          <cell r="E134">
            <v>2</v>
          </cell>
          <cell r="F134">
            <v>3</v>
          </cell>
          <cell r="I134">
            <v>4</v>
          </cell>
          <cell r="K134">
            <v>6</v>
          </cell>
          <cell r="L134">
            <v>7</v>
          </cell>
          <cell r="M134">
            <v>8</v>
          </cell>
          <cell r="N134">
            <v>9</v>
          </cell>
          <cell r="O134">
            <v>10</v>
          </cell>
          <cell r="P134">
            <v>11</v>
          </cell>
          <cell r="Q134">
            <v>12</v>
          </cell>
          <cell r="R134">
            <v>5</v>
          </cell>
          <cell r="T134">
            <v>13</v>
          </cell>
          <cell r="U134">
            <v>14</v>
          </cell>
          <cell r="V134">
            <v>15</v>
          </cell>
          <cell r="W134">
            <v>16</v>
          </cell>
        </row>
        <row r="135">
          <cell r="A135">
            <v>2011</v>
          </cell>
          <cell r="B135" t="str">
            <v>I</v>
          </cell>
          <cell r="C135" t="str">
            <v>Agriculture</v>
          </cell>
          <cell r="D135" t="str">
            <v>Tanaman</v>
          </cell>
          <cell r="E135" t="str">
            <v>Pembalakan</v>
          </cell>
          <cell r="F135" t="str">
            <v>Perikanan</v>
          </cell>
          <cell r="I135" t="str">
            <v>Mining andQuarrying</v>
          </cell>
          <cell r="J135" t="str">
            <v>Manufacturing</v>
          </cell>
          <cell r="K135" t="str">
            <v>Prosesan Makanan, Minuman dan Produk Tembakau</v>
          </cell>
          <cell r="L135" t="str">
            <v>Tekstil, Pakaian, Kulit dan Kasut</v>
          </cell>
          <cell r="M135" t="str">
            <v>Keluaran Kayu, Perabot, Produk Kertas, Percetakan dan Penerbitan</v>
          </cell>
          <cell r="N135" t="str">
            <v>Produk Petroleum, Bahan kimia, Getah dan Plastik</v>
          </cell>
          <cell r="O135" t="str">
            <v>Produk Mineral Bukan Logam, Logam Asli dan Produk Logam Yang Direka</v>
          </cell>
          <cell r="P135" t="str">
            <v>Elektrik dan Elektronik</v>
          </cell>
          <cell r="Q135" t="str">
            <v>Kelengkapan Pengangkutan dan Pembuatan Lain</v>
          </cell>
          <cell r="R135" t="str">
            <v>Construction</v>
          </cell>
          <cell r="S135" t="str">
            <v>Services</v>
          </cell>
          <cell r="T135" t="str">
            <v>Utiliti, Transport &amp; Communication</v>
          </cell>
          <cell r="U135" t="str">
            <v>WRT, Accomm &amp; Restaurant</v>
          </cell>
          <cell r="V135" t="str">
            <v>Finance &amp; Insurance, Real Estate &amp; Business Services</v>
          </cell>
          <cell r="W135" t="str">
            <v>Other Services</v>
          </cell>
          <cell r="X135" t="str">
            <v>Government Services</v>
          </cell>
          <cell r="Y135" t="str">
            <v>Plus :Import Duties</v>
          </cell>
          <cell r="Z135" t="str">
            <v>GDP atPurchasers' Prices</v>
          </cell>
        </row>
        <row r="136">
          <cell r="A136" t="str">
            <v>States</v>
          </cell>
          <cell r="B136" t="str">
            <v>Converter</v>
          </cell>
        </row>
        <row r="137">
          <cell r="A137" t="str">
            <v>Johor</v>
          </cell>
          <cell r="B137" t="str">
            <v>01</v>
          </cell>
          <cell r="C137">
            <v>8134.6770207458503</v>
          </cell>
          <cell r="D137">
            <v>7422.0715582305802</v>
          </cell>
          <cell r="E137">
            <v>47.762779025678199</v>
          </cell>
          <cell r="F137">
            <v>664.84268348959301</v>
          </cell>
          <cell r="I137">
            <v>70.624621916013794</v>
          </cell>
          <cell r="J137">
            <v>21994.898483521501</v>
          </cell>
          <cell r="K137">
            <v>2410.6855618292698</v>
          </cell>
          <cell r="L137">
            <v>871.84644902889499</v>
          </cell>
          <cell r="M137">
            <v>1782.4639099186099</v>
          </cell>
          <cell r="N137">
            <v>5230.0964648468298</v>
          </cell>
          <cell r="O137">
            <v>3302.5548771064</v>
          </cell>
          <cell r="P137">
            <v>6458.0726612356502</v>
          </cell>
          <cell r="Q137">
            <v>1939.1785595558499</v>
          </cell>
          <cell r="R137">
            <v>2029.3071001792</v>
          </cell>
          <cell r="S137">
            <v>31642.340433222402</v>
          </cell>
          <cell r="T137">
            <v>7296.5972343024996</v>
          </cell>
          <cell r="U137">
            <v>7682.37373900291</v>
          </cell>
          <cell r="V137">
            <v>8629.8666459142405</v>
          </cell>
          <cell r="W137">
            <v>3096.7312974633601</v>
          </cell>
          <cell r="X137">
            <v>4936.7715165394102</v>
          </cell>
          <cell r="Y137">
            <v>719.74007920346901</v>
          </cell>
          <cell r="Z137">
            <v>64591.587738788403</v>
          </cell>
        </row>
        <row r="138">
          <cell r="A138" t="str">
            <v>Kedah</v>
          </cell>
          <cell r="B138" t="str">
            <v>02</v>
          </cell>
          <cell r="C138">
            <v>2960.6632872735699</v>
          </cell>
          <cell r="D138">
            <v>2540.7729817119698</v>
          </cell>
          <cell r="E138">
            <v>117.22210580143999</v>
          </cell>
          <cell r="F138">
            <v>302.66819976016399</v>
          </cell>
          <cell r="I138">
            <v>20.032884294642901</v>
          </cell>
          <cell r="J138">
            <v>7352.0687446499696</v>
          </cell>
          <cell r="K138">
            <v>383.350799132188</v>
          </cell>
          <cell r="L138">
            <v>81.717323357246499</v>
          </cell>
          <cell r="M138">
            <v>440.09319389067099</v>
          </cell>
          <cell r="N138">
            <v>1412.68923948528</v>
          </cell>
          <cell r="O138">
            <v>2261.31833975989</v>
          </cell>
          <cell r="P138">
            <v>1487.0281647716699</v>
          </cell>
          <cell r="Q138">
            <v>1285.87168425303</v>
          </cell>
          <cell r="R138">
            <v>544.91931712892699</v>
          </cell>
          <cell r="S138">
            <v>12829.536155953399</v>
          </cell>
          <cell r="T138">
            <v>1918.0622325428001</v>
          </cell>
          <cell r="U138">
            <v>3317.3555159477801</v>
          </cell>
          <cell r="V138">
            <v>2490.2016389007299</v>
          </cell>
          <cell r="W138">
            <v>2009.5826020151301</v>
          </cell>
          <cell r="X138">
            <v>3094.3341665469802</v>
          </cell>
          <cell r="Y138">
            <v>129.48746996672901</v>
          </cell>
          <cell r="Z138">
            <v>23836.707859267299</v>
          </cell>
        </row>
        <row r="139">
          <cell r="A139" t="str">
            <v>Kelantan</v>
          </cell>
          <cell r="B139" t="str">
            <v>03</v>
          </cell>
          <cell r="C139">
            <v>3250.3931440866399</v>
          </cell>
          <cell r="D139">
            <v>2307.48252030412</v>
          </cell>
          <cell r="E139">
            <v>686.82311431359699</v>
          </cell>
          <cell r="F139">
            <v>256.08750946892599</v>
          </cell>
          <cell r="I139">
            <v>17.555017875334102</v>
          </cell>
          <cell r="J139">
            <v>720.02379042973098</v>
          </cell>
          <cell r="K139">
            <v>120.480108489873</v>
          </cell>
          <cell r="L139">
            <v>33.115332635042897</v>
          </cell>
          <cell r="M139">
            <v>86.254756643894197</v>
          </cell>
          <cell r="N139">
            <v>125.631643864236</v>
          </cell>
          <cell r="O139">
            <v>81.481969197679106</v>
          </cell>
          <cell r="P139">
            <v>265.79753286347898</v>
          </cell>
          <cell r="Q139">
            <v>7.26244673552634</v>
          </cell>
          <cell r="R139">
            <v>205.35856253309299</v>
          </cell>
          <cell r="S139">
            <v>8563.4068646215401</v>
          </cell>
          <cell r="T139">
            <v>1008.9559015075901</v>
          </cell>
          <cell r="U139">
            <v>2303.81195694282</v>
          </cell>
          <cell r="V139">
            <v>1043.9061010979001</v>
          </cell>
          <cell r="W139">
            <v>1410.4768872443699</v>
          </cell>
          <cell r="X139">
            <v>2796.25601782887</v>
          </cell>
          <cell r="Y139">
            <v>23.1335746334703</v>
          </cell>
          <cell r="Z139">
            <v>12779.8709541798</v>
          </cell>
        </row>
        <row r="140">
          <cell r="A140" t="str">
            <v>Melaka</v>
          </cell>
          <cell r="B140" t="str">
            <v>04</v>
          </cell>
          <cell r="C140">
            <v>1904.4398963829201</v>
          </cell>
          <cell r="D140">
            <v>1875.3104448702099</v>
          </cell>
          <cell r="E140">
            <v>0.34854431854738999</v>
          </cell>
          <cell r="F140">
            <v>28.7809071941657</v>
          </cell>
          <cell r="I140">
            <v>8.7133632236388596</v>
          </cell>
          <cell r="J140">
            <v>8526.6092260537007</v>
          </cell>
          <cell r="K140">
            <v>404.35623405683498</v>
          </cell>
          <cell r="L140">
            <v>371.82640156334901</v>
          </cell>
          <cell r="M140">
            <v>289.34137120731998</v>
          </cell>
          <cell r="N140">
            <v>3915.2355954753298</v>
          </cell>
          <cell r="O140">
            <v>586.39123981980595</v>
          </cell>
          <cell r="P140">
            <v>1917.9929215814</v>
          </cell>
          <cell r="Q140">
            <v>1041.4654623496499</v>
          </cell>
          <cell r="R140">
            <v>578.56670411304901</v>
          </cell>
          <cell r="S140">
            <v>9447.5733618878294</v>
          </cell>
          <cell r="T140">
            <v>1718.8795132765799</v>
          </cell>
          <cell r="U140">
            <v>3241.9358636103698</v>
          </cell>
          <cell r="V140">
            <v>1872.6180711970701</v>
          </cell>
          <cell r="W140">
            <v>1206.3822808283201</v>
          </cell>
          <cell r="X140">
            <v>1407.7576329755</v>
          </cell>
          <cell r="Y140">
            <v>8.4322950552220597</v>
          </cell>
          <cell r="Z140">
            <v>20474.3348467164</v>
          </cell>
        </row>
        <row r="141">
          <cell r="A141" t="str">
            <v>Negeri Sembilan</v>
          </cell>
          <cell r="B141" t="str">
            <v>05</v>
          </cell>
          <cell r="C141">
            <v>2126.3575406422601</v>
          </cell>
          <cell r="D141">
            <v>2036.69822993804</v>
          </cell>
          <cell r="E141">
            <v>51.872211126034898</v>
          </cell>
          <cell r="F141">
            <v>37.787099578188702</v>
          </cell>
          <cell r="I141">
            <v>21.145056486151599</v>
          </cell>
          <cell r="J141">
            <v>12894.9399107464</v>
          </cell>
          <cell r="K141">
            <v>1392.6142550950001</v>
          </cell>
          <cell r="L141">
            <v>182.82011147314299</v>
          </cell>
          <cell r="M141">
            <v>396.74162644753102</v>
          </cell>
          <cell r="N141">
            <v>3806.0058318315801</v>
          </cell>
          <cell r="O141">
            <v>1183.1215905153699</v>
          </cell>
          <cell r="P141">
            <v>5033.5464955859998</v>
          </cell>
          <cell r="Q141">
            <v>900.089999797779</v>
          </cell>
          <cell r="R141">
            <v>611.75562451344899</v>
          </cell>
          <cell r="S141">
            <v>10586.379094448601</v>
          </cell>
          <cell r="T141">
            <v>2510.4388442251702</v>
          </cell>
          <cell r="U141">
            <v>2705.1158011420398</v>
          </cell>
          <cell r="V141">
            <v>2162.4276451003998</v>
          </cell>
          <cell r="W141">
            <v>1415.49372916073</v>
          </cell>
          <cell r="X141">
            <v>1792.9030748202899</v>
          </cell>
          <cell r="Y141">
            <v>172.97280325428</v>
          </cell>
          <cell r="Z141">
            <v>26413.550030091199</v>
          </cell>
        </row>
        <row r="142">
          <cell r="A142" t="str">
            <v>Pahang</v>
          </cell>
          <cell r="B142" t="str">
            <v>06</v>
          </cell>
          <cell r="C142">
            <v>6116.6826148353102</v>
          </cell>
          <cell r="D142">
            <v>4876.2907066867701</v>
          </cell>
          <cell r="E142">
            <v>581.04914766295406</v>
          </cell>
          <cell r="F142">
            <v>659.34276048559298</v>
          </cell>
          <cell r="I142">
            <v>197.77283771610999</v>
          </cell>
          <cell r="J142">
            <v>7260.4879476781798</v>
          </cell>
          <cell r="K142">
            <v>1016.56039347948</v>
          </cell>
          <cell r="L142">
            <v>28.841100684370499</v>
          </cell>
          <cell r="M142">
            <v>663.49731876668102</v>
          </cell>
          <cell r="N142">
            <v>3082.3091472992101</v>
          </cell>
          <cell r="O142">
            <v>675.63786091811698</v>
          </cell>
          <cell r="P142">
            <v>120.79217979550501</v>
          </cell>
          <cell r="Q142">
            <v>1672.8499467348099</v>
          </cell>
          <cell r="R142">
            <v>760.95804245120905</v>
          </cell>
          <cell r="S142">
            <v>14857.175356735999</v>
          </cell>
          <cell r="T142">
            <v>1588.7553522870401</v>
          </cell>
          <cell r="U142">
            <v>4712.8127755404103</v>
          </cell>
          <cell r="V142">
            <v>2024.6759611119801</v>
          </cell>
          <cell r="W142">
            <v>3658.8446811840599</v>
          </cell>
          <cell r="X142">
            <v>2872.08658661247</v>
          </cell>
          <cell r="Y142">
            <v>8.1035979179312605</v>
          </cell>
          <cell r="Z142">
            <v>29201.180397334701</v>
          </cell>
        </row>
        <row r="143">
          <cell r="A143" t="str">
            <v>Pulau Pinang</v>
          </cell>
          <cell r="B143" t="str">
            <v>07</v>
          </cell>
          <cell r="C143">
            <v>943.98157091535802</v>
          </cell>
          <cell r="D143">
            <v>691.89542709139801</v>
          </cell>
          <cell r="E143">
            <v>0</v>
          </cell>
          <cell r="F143">
            <v>252.08614382396101</v>
          </cell>
          <cell r="I143">
            <v>20.412292848177401</v>
          </cell>
          <cell r="J143">
            <v>24567.200957016299</v>
          </cell>
          <cell r="K143">
            <v>1025.0814368202</v>
          </cell>
          <cell r="L143">
            <v>620.82769623989998</v>
          </cell>
          <cell r="M143">
            <v>937.54425826509896</v>
          </cell>
          <cell r="N143">
            <v>3033.8457202014401</v>
          </cell>
          <cell r="O143">
            <v>2711.3973129731698</v>
          </cell>
          <cell r="P143">
            <v>14250.225567134999</v>
          </cell>
          <cell r="Q143">
            <v>1988.27896538147</v>
          </cell>
          <cell r="R143">
            <v>1073.9697622496999</v>
          </cell>
          <cell r="S143">
            <v>23107.214875716301</v>
          </cell>
          <cell r="T143">
            <v>4848.8281431502801</v>
          </cell>
          <cell r="U143">
            <v>6544.7360624590601</v>
          </cell>
          <cell r="V143">
            <v>6773.4100588843603</v>
          </cell>
          <cell r="W143">
            <v>2284.3270174064601</v>
          </cell>
          <cell r="X143">
            <v>2655.9135938161498</v>
          </cell>
          <cell r="Y143">
            <v>340.45827634796098</v>
          </cell>
          <cell r="Z143">
            <v>50053.237735093797</v>
          </cell>
        </row>
        <row r="144">
          <cell r="A144" t="str">
            <v>Perak</v>
          </cell>
          <cell r="B144" t="str">
            <v>08</v>
          </cell>
          <cell r="C144">
            <v>5627.2105795027801</v>
          </cell>
          <cell r="D144">
            <v>3735.9622783095001</v>
          </cell>
          <cell r="E144">
            <v>409.87173923597499</v>
          </cell>
          <cell r="F144">
            <v>1481.3765619573001</v>
          </cell>
          <cell r="I144">
            <v>120.25875212874401</v>
          </cell>
          <cell r="J144">
            <v>7268.061069286</v>
          </cell>
          <cell r="K144">
            <v>1151.51899843193</v>
          </cell>
          <cell r="L144">
            <v>181.75845234122301</v>
          </cell>
          <cell r="M144">
            <v>333.998529282964</v>
          </cell>
          <cell r="N144">
            <v>1351.0119551047201</v>
          </cell>
          <cell r="O144">
            <v>1915.4260496440399</v>
          </cell>
          <cell r="P144">
            <v>1853.97778166991</v>
          </cell>
          <cell r="Q144">
            <v>480.36930281122102</v>
          </cell>
          <cell r="R144">
            <v>721.20399693463105</v>
          </cell>
          <cell r="S144">
            <v>23246.9407555014</v>
          </cell>
          <cell r="T144">
            <v>6773.3004810202901</v>
          </cell>
          <cell r="U144">
            <v>5562.0388359467297</v>
          </cell>
          <cell r="V144">
            <v>4021.9619357315</v>
          </cell>
          <cell r="W144">
            <v>2851.47468013759</v>
          </cell>
          <cell r="X144">
            <v>4038.1648226652501</v>
          </cell>
          <cell r="Y144">
            <v>17.576273903996899</v>
          </cell>
          <cell r="Z144">
            <v>37001.251427257499</v>
          </cell>
        </row>
        <row r="145">
          <cell r="A145" t="str">
            <v>Perlis</v>
          </cell>
          <cell r="B145" t="str">
            <v>09</v>
          </cell>
          <cell r="C145">
            <v>827.73384823097501</v>
          </cell>
          <cell r="D145">
            <v>267.55028768946102</v>
          </cell>
          <cell r="E145">
            <v>0</v>
          </cell>
          <cell r="F145">
            <v>560.183560541514</v>
          </cell>
          <cell r="I145">
            <v>6.8440980555753903</v>
          </cell>
          <cell r="J145">
            <v>341.31202616500502</v>
          </cell>
          <cell r="K145">
            <v>55.916553000696197</v>
          </cell>
          <cell r="L145">
            <v>46.901569706717702</v>
          </cell>
          <cell r="M145">
            <v>5.3489647809514098</v>
          </cell>
          <cell r="N145">
            <v>65.394872424891801</v>
          </cell>
          <cell r="O145">
            <v>164.585883281571</v>
          </cell>
          <cell r="P145">
            <v>0.63380209987725999</v>
          </cell>
          <cell r="Q145">
            <v>2.5303808702997199</v>
          </cell>
          <cell r="R145">
            <v>104.527779096072</v>
          </cell>
          <cell r="S145">
            <v>2054.2194129108302</v>
          </cell>
          <cell r="T145">
            <v>709.11684778855999</v>
          </cell>
          <cell r="U145">
            <v>290.57844365090398</v>
          </cell>
          <cell r="V145">
            <v>267.76177137988799</v>
          </cell>
          <cell r="W145">
            <v>266.403762604527</v>
          </cell>
          <cell r="X145">
            <v>520.35858748695296</v>
          </cell>
          <cell r="Y145">
            <v>51.284124517975201</v>
          </cell>
          <cell r="Z145">
            <v>3385.9212889764399</v>
          </cell>
        </row>
        <row r="146">
          <cell r="A146" t="str">
            <v>Selangor</v>
          </cell>
          <cell r="B146">
            <v>10</v>
          </cell>
          <cell r="C146">
            <v>2767.08637642542</v>
          </cell>
          <cell r="D146">
            <v>1820.29293336213</v>
          </cell>
          <cell r="E146">
            <v>4.4435296450322896</v>
          </cell>
          <cell r="F146">
            <v>942.34991341826003</v>
          </cell>
          <cell r="I146">
            <v>131.697998796847</v>
          </cell>
          <cell r="J146">
            <v>52570.440498427997</v>
          </cell>
          <cell r="K146">
            <v>8462.3134701883191</v>
          </cell>
          <cell r="L146">
            <v>588.93175652236403</v>
          </cell>
          <cell r="M146">
            <v>3075.9646553236098</v>
          </cell>
          <cell r="N146">
            <v>7589.64097187274</v>
          </cell>
          <cell r="O146">
            <v>7971.0594568084098</v>
          </cell>
          <cell r="P146">
            <v>12269.9170350355</v>
          </cell>
          <cell r="Q146">
            <v>12612.613152677</v>
          </cell>
          <cell r="R146">
            <v>7881.1943849313302</v>
          </cell>
          <cell r="S146">
            <v>96132.655217595297</v>
          </cell>
          <cell r="T146">
            <v>22998.0823201739</v>
          </cell>
          <cell r="U146">
            <v>31903.082917761101</v>
          </cell>
          <cell r="V146">
            <v>25513.710287414498</v>
          </cell>
          <cell r="W146">
            <v>7886.0997908309901</v>
          </cell>
          <cell r="X146">
            <v>7831.6799014148501</v>
          </cell>
          <cell r="Y146">
            <v>5268.2420999035103</v>
          </cell>
          <cell r="Z146">
            <v>164751.31657607999</v>
          </cell>
        </row>
        <row r="147">
          <cell r="A147" t="str">
            <v>Terengganu</v>
          </cell>
          <cell r="B147">
            <v>11</v>
          </cell>
          <cell r="C147">
            <v>1552.46893375229</v>
          </cell>
          <cell r="D147">
            <v>1208.9483804997501</v>
          </cell>
          <cell r="E147">
            <v>106.315710638803</v>
          </cell>
          <cell r="F147">
            <v>237.20484261373599</v>
          </cell>
          <cell r="I147">
            <v>16.019035491132101</v>
          </cell>
          <cell r="J147">
            <v>7150.1795860023003</v>
          </cell>
          <cell r="K147">
            <v>72.750622101171899</v>
          </cell>
          <cell r="L147">
            <v>49.844395080289402</v>
          </cell>
          <cell r="M147">
            <v>95.600371067727593</v>
          </cell>
          <cell r="N147">
            <v>6431.6391186826704</v>
          </cell>
          <cell r="O147">
            <v>433.51495093672702</v>
          </cell>
          <cell r="P147">
            <v>2.6391065351343701</v>
          </cell>
          <cell r="Q147">
            <v>64.191021598576896</v>
          </cell>
          <cell r="R147">
            <v>630.31504073162705</v>
          </cell>
          <cell r="S147">
            <v>9611.7817101928395</v>
          </cell>
          <cell r="T147">
            <v>3784.4333205268799</v>
          </cell>
          <cell r="U147">
            <v>1716.69282592134</v>
          </cell>
          <cell r="V147">
            <v>872.62195406933404</v>
          </cell>
          <cell r="W147">
            <v>942.05491951014301</v>
          </cell>
          <cell r="X147">
            <v>2295.9786901651401</v>
          </cell>
          <cell r="Y147">
            <v>18.8788935523413</v>
          </cell>
          <cell r="Z147">
            <v>18979.643199722501</v>
          </cell>
        </row>
        <row r="148">
          <cell r="A148" t="str">
            <v>Sabah</v>
          </cell>
          <cell r="B148">
            <v>12</v>
          </cell>
          <cell r="C148">
            <v>9762.6643991100209</v>
          </cell>
          <cell r="D148">
            <v>6808.2818181788698</v>
          </cell>
          <cell r="E148">
            <v>1130.05771756577</v>
          </cell>
          <cell r="F148">
            <v>1824.32486336538</v>
          </cell>
          <cell r="I148">
            <v>8338.7153392117998</v>
          </cell>
          <cell r="J148">
            <v>3485.83513399293</v>
          </cell>
          <cell r="K148">
            <v>1965.3275502660599</v>
          </cell>
          <cell r="L148">
            <v>40.138131403280298</v>
          </cell>
          <cell r="M148">
            <v>751.94990360398799</v>
          </cell>
          <cell r="N148">
            <v>187.20762084578999</v>
          </cell>
          <cell r="O148">
            <v>385.16721142754301</v>
          </cell>
          <cell r="P148">
            <v>11.5935278978917</v>
          </cell>
          <cell r="Q148">
            <v>144.451188548381</v>
          </cell>
          <cell r="R148">
            <v>1126.6769793170699</v>
          </cell>
          <cell r="S148">
            <v>19777.2345872021</v>
          </cell>
          <cell r="T148">
            <v>3692.8363324576499</v>
          </cell>
          <cell r="U148">
            <v>6529.3477103989499</v>
          </cell>
          <cell r="V148">
            <v>3986.4005343040499</v>
          </cell>
          <cell r="W148">
            <v>1779.7816860943699</v>
          </cell>
          <cell r="X148">
            <v>3788.8683239471102</v>
          </cell>
          <cell r="Y148">
            <v>188.95297615947101</v>
          </cell>
          <cell r="Z148">
            <v>42680.079414993401</v>
          </cell>
        </row>
        <row r="149">
          <cell r="A149" t="str">
            <v>Sarawak</v>
          </cell>
          <cell r="B149">
            <v>13</v>
          </cell>
          <cell r="C149">
            <v>8156.8061992557195</v>
          </cell>
          <cell r="D149">
            <v>4421.7470795900499</v>
          </cell>
          <cell r="E149">
            <v>3315.8120835161599</v>
          </cell>
          <cell r="F149">
            <v>419.24703614950897</v>
          </cell>
          <cell r="I149">
            <v>16468.675984960999</v>
          </cell>
          <cell r="J149">
            <v>19237.230994002901</v>
          </cell>
          <cell r="K149">
            <v>743.12154758013605</v>
          </cell>
          <cell r="L149">
            <v>17.2653490955684</v>
          </cell>
          <cell r="M149">
            <v>1460.07702792091</v>
          </cell>
          <cell r="N149">
            <v>15603.075006376799</v>
          </cell>
          <cell r="O149">
            <v>531.43566931436601</v>
          </cell>
          <cell r="P149">
            <v>519.61312274619695</v>
          </cell>
          <cell r="Q149">
            <v>362.64327096890099</v>
          </cell>
          <cell r="R149">
            <v>1853.13827443629</v>
          </cell>
          <cell r="S149">
            <v>24865.690281203799</v>
          </cell>
          <cell r="T149">
            <v>5514.6440295412403</v>
          </cell>
          <cell r="U149">
            <v>6746.93963796966</v>
          </cell>
          <cell r="V149">
            <v>6353.7916732137101</v>
          </cell>
          <cell r="W149">
            <v>2446.2213223705098</v>
          </cell>
          <cell r="X149">
            <v>3804.0936181087</v>
          </cell>
          <cell r="Y149">
            <v>267.73525855394098</v>
          </cell>
          <cell r="Z149">
            <v>70849.276992413696</v>
          </cell>
        </row>
        <row r="150">
          <cell r="A150" t="str">
            <v>WP Kuala Lumpur</v>
          </cell>
          <cell r="B150">
            <v>14</v>
          </cell>
          <cell r="C150">
            <v>1.24387042126951</v>
          </cell>
          <cell r="D150">
            <v>1.24387042126951</v>
          </cell>
          <cell r="E150">
            <v>0</v>
          </cell>
          <cell r="F150">
            <v>0</v>
          </cell>
          <cell r="I150">
            <v>29.177846085608</v>
          </cell>
          <cell r="J150">
            <v>4191.4178190179</v>
          </cell>
          <cell r="K150">
            <v>477.410169366898</v>
          </cell>
          <cell r="L150">
            <v>357.96346168164303</v>
          </cell>
          <cell r="M150">
            <v>651.82256045911004</v>
          </cell>
          <cell r="N150">
            <v>594.49307170547695</v>
          </cell>
          <cell r="O150">
            <v>733.32068762187805</v>
          </cell>
          <cell r="P150">
            <v>590.556975177249</v>
          </cell>
          <cell r="Q150">
            <v>785.85089300564005</v>
          </cell>
          <cell r="R150">
            <v>4319.6268447909597</v>
          </cell>
          <cell r="S150">
            <v>96657.319919448797</v>
          </cell>
          <cell r="T150">
            <v>6210.3238635634698</v>
          </cell>
          <cell r="U150">
            <v>35959.740207130599</v>
          </cell>
          <cell r="V150">
            <v>36665.138082038997</v>
          </cell>
          <cell r="W150">
            <v>4851.3507236140604</v>
          </cell>
          <cell r="X150">
            <v>12970.7670431017</v>
          </cell>
          <cell r="Y150">
            <v>1416.5103889326899</v>
          </cell>
          <cell r="Z150">
            <v>106615.296688697</v>
          </cell>
        </row>
        <row r="151">
          <cell r="A151" t="str">
            <v>WP Labuan</v>
          </cell>
          <cell r="B151">
            <v>15</v>
          </cell>
          <cell r="C151">
            <v>117.11069312423901</v>
          </cell>
          <cell r="D151">
            <v>7.4243868978416998</v>
          </cell>
          <cell r="E151">
            <v>0</v>
          </cell>
          <cell r="F151">
            <v>109.68630622639699</v>
          </cell>
          <cell r="I151">
            <v>0</v>
          </cell>
          <cell r="J151">
            <v>675.99673600364702</v>
          </cell>
          <cell r="K151">
            <v>11.968795512479501</v>
          </cell>
          <cell r="L151">
            <v>3.12302264569517</v>
          </cell>
          <cell r="M151">
            <v>1.0817751066401999</v>
          </cell>
          <cell r="N151">
            <v>384.477929241298</v>
          </cell>
          <cell r="O151">
            <v>245.74246600732599</v>
          </cell>
          <cell r="P151">
            <v>1.16184462992306</v>
          </cell>
          <cell r="Q151">
            <v>28.440902860284702</v>
          </cell>
          <cell r="R151">
            <v>22.3729073478722</v>
          </cell>
          <cell r="S151">
            <v>2170.13164919668</v>
          </cell>
          <cell r="T151">
            <v>212.114420540499</v>
          </cell>
          <cell r="U151">
            <v>249.27503538414001</v>
          </cell>
          <cell r="V151">
            <v>1532.5311261024799</v>
          </cell>
          <cell r="W151">
            <v>70.540807183286006</v>
          </cell>
          <cell r="X151">
            <v>105.670259986275</v>
          </cell>
          <cell r="Y151">
            <v>21.804599511489702</v>
          </cell>
          <cell r="Z151">
            <v>3007.4165851839298</v>
          </cell>
        </row>
        <row r="152">
          <cell r="A152" t="str">
            <v>Supra1</v>
          </cell>
          <cell r="C152">
            <v>0</v>
          </cell>
          <cell r="D152">
            <v>0</v>
          </cell>
          <cell r="E152">
            <v>0</v>
          </cell>
          <cell r="F152">
            <v>0</v>
          </cell>
          <cell r="I152">
            <v>37139.136922086698</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37139.136922086698</v>
          </cell>
        </row>
        <row r="153">
          <cell r="A153" t="str">
            <v>MALAYSIA</v>
          </cell>
          <cell r="C153">
            <v>54249.519974704599</v>
          </cell>
          <cell r="D153">
            <v>40021.972903782</v>
          </cell>
          <cell r="E153">
            <v>6451.5786828500004</v>
          </cell>
          <cell r="F153">
            <v>7775.9683880726898</v>
          </cell>
          <cell r="I153">
            <v>62606.782051177499</v>
          </cell>
          <cell r="J153">
            <v>178236.70292299401</v>
          </cell>
          <cell r="K153">
            <v>19693.4564953505</v>
          </cell>
          <cell r="L153">
            <v>3476.92055345873</v>
          </cell>
          <cell r="M153">
            <v>10971.7802226857</v>
          </cell>
          <cell r="N153">
            <v>52812.754189258303</v>
          </cell>
          <cell r="O153">
            <v>23182.155565332301</v>
          </cell>
          <cell r="P153">
            <v>44783.548718760401</v>
          </cell>
          <cell r="Q153">
            <v>23316.0871781485</v>
          </cell>
          <cell r="R153">
            <v>22463.891320754501</v>
          </cell>
          <cell r="S153">
            <v>385549.59967583802</v>
          </cell>
          <cell r="T153">
            <v>70785.368836904498</v>
          </cell>
          <cell r="U153">
            <v>119465.83732880899</v>
          </cell>
          <cell r="V153">
            <v>104211.023486461</v>
          </cell>
          <cell r="W153">
            <v>36175.766187647903</v>
          </cell>
          <cell r="X153">
            <v>54911.603836015602</v>
          </cell>
          <cell r="Y153">
            <v>8653.31271141447</v>
          </cell>
          <cell r="Z153">
            <v>711759.80865688296</v>
          </cell>
        </row>
        <row r="156">
          <cell r="A156" t="str">
            <v>CONSTANT</v>
          </cell>
          <cell r="B156" t="str">
            <v>Industry</v>
          </cell>
          <cell r="D156">
            <v>1</v>
          </cell>
          <cell r="E156">
            <v>2</v>
          </cell>
          <cell r="F156">
            <v>3</v>
          </cell>
          <cell r="I156">
            <v>4</v>
          </cell>
          <cell r="K156">
            <v>6</v>
          </cell>
          <cell r="L156">
            <v>7</v>
          </cell>
          <cell r="M156">
            <v>8</v>
          </cell>
          <cell r="N156">
            <v>9</v>
          </cell>
          <cell r="O156">
            <v>10</v>
          </cell>
          <cell r="P156">
            <v>11</v>
          </cell>
          <cell r="Q156">
            <v>12</v>
          </cell>
          <cell r="R156">
            <v>5</v>
          </cell>
          <cell r="T156">
            <v>13</v>
          </cell>
          <cell r="U156">
            <v>14</v>
          </cell>
          <cell r="V156">
            <v>15</v>
          </cell>
          <cell r="W156">
            <v>16</v>
          </cell>
        </row>
        <row r="157">
          <cell r="A157">
            <v>2012</v>
          </cell>
          <cell r="B157" t="str">
            <v>I</v>
          </cell>
          <cell r="C157" t="str">
            <v>Agriculture</v>
          </cell>
          <cell r="D157" t="str">
            <v>Tanaman</v>
          </cell>
          <cell r="E157" t="str">
            <v>Pembalakan</v>
          </cell>
          <cell r="F157" t="str">
            <v>Perikanan</v>
          </cell>
          <cell r="I157" t="str">
            <v>Mining andQuarrying</v>
          </cell>
          <cell r="J157" t="str">
            <v>Manufacturing</v>
          </cell>
          <cell r="K157" t="str">
            <v>Prosesan Makanan, Minuman dan Produk Tembakau</v>
          </cell>
          <cell r="L157" t="str">
            <v>Tekstil, Pakaian, Kulit dan Kasut</v>
          </cell>
          <cell r="M157" t="str">
            <v>Keluaran Kayu, Perabot, Produk Kertas, Percetakan dan Penerbitan</v>
          </cell>
          <cell r="N157" t="str">
            <v>Produk Petroleum, Bahan kimia, Getah dan Plastik</v>
          </cell>
          <cell r="O157" t="str">
            <v>Produk Mineral Bukan Logam, Logam Asli dan Produk Logam Yang Direka</v>
          </cell>
          <cell r="P157" t="str">
            <v>Elektrik dan Elektronik</v>
          </cell>
          <cell r="Q157" t="str">
            <v>Kelengkapan Pengangkutan dan Pembuatan Lain</v>
          </cell>
          <cell r="R157" t="str">
            <v>Construction</v>
          </cell>
          <cell r="S157" t="str">
            <v>Services</v>
          </cell>
          <cell r="T157" t="str">
            <v>Utiliti, Transport &amp; Communication</v>
          </cell>
          <cell r="U157" t="str">
            <v>WRT, Accomm &amp; Restaurant</v>
          </cell>
          <cell r="V157" t="str">
            <v>Finance &amp; Insurance, Real Estate &amp; Business Services</v>
          </cell>
          <cell r="W157" t="str">
            <v>Other Services</v>
          </cell>
          <cell r="X157" t="str">
            <v>Government Services</v>
          </cell>
          <cell r="Y157" t="str">
            <v>Plus :Import Duties</v>
          </cell>
          <cell r="Z157" t="str">
            <v>GDP atPurchasers' Prices</v>
          </cell>
        </row>
        <row r="158">
          <cell r="A158" t="str">
            <v>States</v>
          </cell>
          <cell r="B158" t="str">
            <v>Converter</v>
          </cell>
        </row>
        <row r="159">
          <cell r="A159" t="str">
            <v>Johor</v>
          </cell>
          <cell r="B159" t="str">
            <v>01</v>
          </cell>
          <cell r="C159">
            <v>8499.4218517199697</v>
          </cell>
          <cell r="D159">
            <v>7783.5626301690099</v>
          </cell>
          <cell r="E159">
            <v>51.240439222884099</v>
          </cell>
          <cell r="F159">
            <v>664.61878232807805</v>
          </cell>
          <cell r="G159">
            <v>0.15463940606465801</v>
          </cell>
          <cell r="I159">
            <v>83.602205875010398</v>
          </cell>
          <cell r="J159">
            <v>23335.579222503799</v>
          </cell>
          <cell r="K159">
            <v>2384.9944810836</v>
          </cell>
          <cell r="L159">
            <v>803.22775155407896</v>
          </cell>
          <cell r="M159">
            <v>1954.8936695171799</v>
          </cell>
          <cell r="N159">
            <v>5718.6914071588599</v>
          </cell>
          <cell r="O159">
            <v>3447.4076611442301</v>
          </cell>
          <cell r="P159">
            <v>6865.7990857122004</v>
          </cell>
          <cell r="Q159">
            <v>2160.5651663336598</v>
          </cell>
          <cell r="R159">
            <v>2396.8275009154299</v>
          </cell>
          <cell r="S159">
            <v>33782.405338582699</v>
          </cell>
          <cell r="T159">
            <v>7897.7516776400398</v>
          </cell>
          <cell r="U159">
            <v>8012.3480062305498</v>
          </cell>
          <cell r="V159">
            <v>9120.3161603454701</v>
          </cell>
          <cell r="W159">
            <v>3207.6190302516102</v>
          </cell>
          <cell r="X159">
            <v>5544.3704641150098</v>
          </cell>
          <cell r="Y159">
            <v>800.812800413991</v>
          </cell>
          <cell r="Z159">
            <v>68898.648920010906</v>
          </cell>
        </row>
        <row r="160">
          <cell r="A160" t="str">
            <v>Kedah</v>
          </cell>
          <cell r="B160" t="str">
            <v>02</v>
          </cell>
          <cell r="C160">
            <v>3009.94019090659</v>
          </cell>
          <cell r="D160">
            <v>2554.6195932220799</v>
          </cell>
          <cell r="E160">
            <v>123.378197064894</v>
          </cell>
          <cell r="F160">
            <v>331.94240061961898</v>
          </cell>
          <cell r="G160">
            <v>5.4763179370576398E-2</v>
          </cell>
          <cell r="I160">
            <v>23.8407354480149</v>
          </cell>
          <cell r="J160">
            <v>7852.3278784926597</v>
          </cell>
          <cell r="K160">
            <v>417.387571177947</v>
          </cell>
          <cell r="L160">
            <v>69.608720550380596</v>
          </cell>
          <cell r="M160">
            <v>444.22270973482699</v>
          </cell>
          <cell r="N160">
            <v>1532.04141797544</v>
          </cell>
          <cell r="O160">
            <v>2267.31651116794</v>
          </cell>
          <cell r="P160">
            <v>1461.3628673466601</v>
          </cell>
          <cell r="Q160">
            <v>1660.3880805394599</v>
          </cell>
          <cell r="R160">
            <v>608.71591516866397</v>
          </cell>
          <cell r="S160">
            <v>13620.779676312401</v>
          </cell>
          <cell r="T160">
            <v>2071.2184624998099</v>
          </cell>
          <cell r="U160">
            <v>3420.75428742962</v>
          </cell>
          <cell r="V160">
            <v>2708.0878666175499</v>
          </cell>
          <cell r="W160">
            <v>2059.8288262041201</v>
          </cell>
          <cell r="X160">
            <v>3360.8902335612702</v>
          </cell>
          <cell r="Y160">
            <v>162.18437680457501</v>
          </cell>
          <cell r="Z160">
            <v>25277.788773132899</v>
          </cell>
        </row>
        <row r="161">
          <cell r="A161" t="str">
            <v>Kelantan</v>
          </cell>
          <cell r="B161" t="str">
            <v>03</v>
          </cell>
          <cell r="C161">
            <v>3262.4567104921998</v>
          </cell>
          <cell r="D161">
            <v>2250.5871077659899</v>
          </cell>
          <cell r="E161">
            <v>734.76561747199298</v>
          </cell>
          <cell r="F161">
            <v>277.103985254218</v>
          </cell>
          <cell r="G161">
            <v>5.9357492406389697E-2</v>
          </cell>
          <cell r="I161">
            <v>20.8263133276708</v>
          </cell>
          <cell r="J161">
            <v>738.65286341165302</v>
          </cell>
          <cell r="K161">
            <v>121.930680436836</v>
          </cell>
          <cell r="L161">
            <v>34.341427716386399</v>
          </cell>
          <cell r="M161">
            <v>89.344443006500001</v>
          </cell>
          <cell r="N161">
            <v>138.81990381377199</v>
          </cell>
          <cell r="O161">
            <v>82.708519649512596</v>
          </cell>
          <cell r="P161">
            <v>263.84021340804901</v>
          </cell>
          <cell r="Q161">
            <v>7.6676753805969904</v>
          </cell>
          <cell r="R161">
            <v>229.330293967751</v>
          </cell>
          <cell r="S161">
            <v>9200.7164610651598</v>
          </cell>
          <cell r="T161">
            <v>1071.76897967985</v>
          </cell>
          <cell r="U161">
            <v>2405.7632464046701</v>
          </cell>
          <cell r="V161">
            <v>1136.4926705640601</v>
          </cell>
          <cell r="W161">
            <v>1458.1604456141899</v>
          </cell>
          <cell r="X161">
            <v>3128.5311188023802</v>
          </cell>
          <cell r="Y161">
            <v>23.7258058290783</v>
          </cell>
          <cell r="Z161">
            <v>13475.708448093499</v>
          </cell>
        </row>
        <row r="162">
          <cell r="A162" t="str">
            <v>Melaka</v>
          </cell>
          <cell r="B162" t="str">
            <v>04</v>
          </cell>
          <cell r="C162">
            <v>1995.8493017109399</v>
          </cell>
          <cell r="D162">
            <v>1963.31852716869</v>
          </cell>
          <cell r="E162">
            <v>0.39058176207543599</v>
          </cell>
          <cell r="F162">
            <v>32.140192780177998</v>
          </cell>
          <cell r="G162">
            <v>3.6312699380686098E-2</v>
          </cell>
          <cell r="I162">
            <v>10.112475782248399</v>
          </cell>
          <cell r="J162">
            <v>9030.2724552780401</v>
          </cell>
          <cell r="K162">
            <v>434.128731387242</v>
          </cell>
          <cell r="L162">
            <v>318.857407893573</v>
          </cell>
          <cell r="M162">
            <v>310.77061575848802</v>
          </cell>
          <cell r="N162">
            <v>4284.8676574412002</v>
          </cell>
          <cell r="O162">
            <v>603.60247547495601</v>
          </cell>
          <cell r="P162">
            <v>1962.95647946808</v>
          </cell>
          <cell r="Q162">
            <v>1115.0890878544999</v>
          </cell>
          <cell r="R162">
            <v>906.07056889400201</v>
          </cell>
          <cell r="S162">
            <v>9987.0896910489791</v>
          </cell>
          <cell r="T162">
            <v>1798.9941127745799</v>
          </cell>
          <cell r="U162">
            <v>3361.5379170567999</v>
          </cell>
          <cell r="V162">
            <v>2005.7729690097899</v>
          </cell>
          <cell r="W162">
            <v>1242.2031321719701</v>
          </cell>
          <cell r="X162">
            <v>1578.5815600358301</v>
          </cell>
          <cell r="Y162">
            <v>14.9902807526153</v>
          </cell>
          <cell r="Z162">
            <v>21944.384773466802</v>
          </cell>
        </row>
        <row r="163">
          <cell r="A163" t="str">
            <v>Negeri Sembilan</v>
          </cell>
          <cell r="B163" t="str">
            <v>05</v>
          </cell>
          <cell r="C163">
            <v>2178.3218620282901</v>
          </cell>
          <cell r="D163">
            <v>2085.0131844757002</v>
          </cell>
          <cell r="E163">
            <v>55.560231758910902</v>
          </cell>
          <cell r="F163">
            <v>37.748445793678499</v>
          </cell>
          <cell r="G163">
            <v>3.9632624999492903E-2</v>
          </cell>
          <cell r="I163">
            <v>24.547725203308701</v>
          </cell>
          <cell r="J163">
            <v>13395.1562030438</v>
          </cell>
          <cell r="K163">
            <v>1404.23409852379</v>
          </cell>
          <cell r="L163">
            <v>154.13558282628901</v>
          </cell>
          <cell r="M163">
            <v>377.63597594698098</v>
          </cell>
          <cell r="N163">
            <v>4200.1271776031599</v>
          </cell>
          <cell r="O163">
            <v>1376.61332146723</v>
          </cell>
          <cell r="P163">
            <v>4961.4208362988302</v>
          </cell>
          <cell r="Q163">
            <v>920.98921037754201</v>
          </cell>
          <cell r="R163">
            <v>692.98365234048401</v>
          </cell>
          <cell r="S163">
            <v>11246.0146058912</v>
          </cell>
          <cell r="T163">
            <v>2698.3269749730998</v>
          </cell>
          <cell r="U163">
            <v>2829.1290745413799</v>
          </cell>
          <cell r="V163">
            <v>2282.3660477152498</v>
          </cell>
          <cell r="W163">
            <v>1477.5476179959001</v>
          </cell>
          <cell r="X163">
            <v>1958.6448906656001</v>
          </cell>
          <cell r="Y163">
            <v>192.899309524085</v>
          </cell>
          <cell r="Z163">
            <v>27729.923358031199</v>
          </cell>
        </row>
        <row r="164">
          <cell r="A164" t="str">
            <v>Pahang</v>
          </cell>
          <cell r="B164" t="str">
            <v>06</v>
          </cell>
          <cell r="C164">
            <v>6186.9160992104498</v>
          </cell>
          <cell r="D164">
            <v>4853.9136400778098</v>
          </cell>
          <cell r="E164">
            <v>618.26544097006297</v>
          </cell>
          <cell r="F164">
            <v>714.73701816257801</v>
          </cell>
          <cell r="G164">
            <v>0.112565424760057</v>
          </cell>
          <cell r="I164">
            <v>217.359376893844</v>
          </cell>
          <cell r="J164">
            <v>7840.7354493851699</v>
          </cell>
          <cell r="K164">
            <v>921.13494044889899</v>
          </cell>
          <cell r="L164">
            <v>24.5124190688624</v>
          </cell>
          <cell r="M164">
            <v>663.69193611557898</v>
          </cell>
          <cell r="N164">
            <v>3241.8604524095999</v>
          </cell>
          <cell r="O164">
            <v>695.63913978494304</v>
          </cell>
          <cell r="P164">
            <v>111.938733734124</v>
          </cell>
          <cell r="Q164">
            <v>2181.9578278231602</v>
          </cell>
          <cell r="R164">
            <v>873.18496104557403</v>
          </cell>
          <cell r="S164">
            <v>15659.750870359499</v>
          </cell>
          <cell r="T164">
            <v>1691.3184155062499</v>
          </cell>
          <cell r="U164">
            <v>4904.6667933857998</v>
          </cell>
          <cell r="V164">
            <v>2217.20133966291</v>
          </cell>
          <cell r="W164">
            <v>3769.4414987309101</v>
          </cell>
          <cell r="X164">
            <v>3077.1228230736301</v>
          </cell>
          <cell r="Y164">
            <v>13.0358987515222</v>
          </cell>
          <cell r="Z164">
            <v>30790.982655645999</v>
          </cell>
        </row>
        <row r="165">
          <cell r="A165" t="str">
            <v>Pulau Pinang</v>
          </cell>
          <cell r="B165" t="str">
            <v>07</v>
          </cell>
          <cell r="C165">
            <v>989.80258396112697</v>
          </cell>
          <cell r="D165">
            <v>731.18001689310802</v>
          </cell>
          <cell r="E165">
            <v>0</v>
          </cell>
          <cell r="F165">
            <v>258.62256706801901</v>
          </cell>
          <cell r="G165">
            <v>1.80085759214361E-2</v>
          </cell>
          <cell r="I165">
            <v>23.613817931912699</v>
          </cell>
          <cell r="J165">
            <v>25411.130030250599</v>
          </cell>
          <cell r="K165">
            <v>1116.18410179394</v>
          </cell>
          <cell r="L165">
            <v>557.74037962954003</v>
          </cell>
          <cell r="M165">
            <v>941.05670776516104</v>
          </cell>
          <cell r="N165">
            <v>3093.2856699724598</v>
          </cell>
          <cell r="O165">
            <v>2867.05691055339</v>
          </cell>
          <cell r="P165">
            <v>14782.768237495</v>
          </cell>
          <cell r="Q165">
            <v>2053.0380230411101</v>
          </cell>
          <cell r="R165">
            <v>1315.23847144556</v>
          </cell>
          <cell r="S165">
            <v>24422.409262104</v>
          </cell>
          <cell r="T165">
            <v>5238.1382224018898</v>
          </cell>
          <cell r="U165">
            <v>6805.9446619393602</v>
          </cell>
          <cell r="V165">
            <v>7037.9922403077799</v>
          </cell>
          <cell r="W165">
            <v>2400.4074616410999</v>
          </cell>
          <cell r="X165">
            <v>2939.9266758138701</v>
          </cell>
          <cell r="Y165">
            <v>409.251633926681</v>
          </cell>
          <cell r="Z165">
            <v>52571.445799619898</v>
          </cell>
        </row>
        <row r="166">
          <cell r="A166" t="str">
            <v>Perak</v>
          </cell>
          <cell r="B166" t="str">
            <v>08</v>
          </cell>
          <cell r="C166">
            <v>5777.0457466808703</v>
          </cell>
          <cell r="D166">
            <v>3862.19796005239</v>
          </cell>
          <cell r="E166">
            <v>394.62302985883701</v>
          </cell>
          <cell r="F166">
            <v>1520.22475676964</v>
          </cell>
          <cell r="G166">
            <v>0.105108198964651</v>
          </cell>
          <cell r="I166">
            <v>144.193924989701</v>
          </cell>
          <cell r="J166">
            <v>7658.3546612541304</v>
          </cell>
          <cell r="K166">
            <v>1144.3863777085901</v>
          </cell>
          <cell r="L166">
            <v>172.43056360591399</v>
          </cell>
          <cell r="M166">
            <v>358.66049496469998</v>
          </cell>
          <cell r="N166">
            <v>1523.67813732734</v>
          </cell>
          <cell r="O166">
            <v>1987.3948583144499</v>
          </cell>
          <cell r="P166">
            <v>1886.0720866904301</v>
          </cell>
          <cell r="Q166">
            <v>585.73214264271496</v>
          </cell>
          <cell r="R166">
            <v>1094.74508694509</v>
          </cell>
          <cell r="S166">
            <v>24996.424320652299</v>
          </cell>
          <cell r="T166">
            <v>7426.02319259669</v>
          </cell>
          <cell r="U166">
            <v>5813.2685737843503</v>
          </cell>
          <cell r="V166">
            <v>4407.5073150541803</v>
          </cell>
          <cell r="W166">
            <v>2918.08730203393</v>
          </cell>
          <cell r="X166">
            <v>4431.5379371831596</v>
          </cell>
          <cell r="Y166">
            <v>17.4797376965506</v>
          </cell>
          <cell r="Z166">
            <v>39688.243478218603</v>
          </cell>
        </row>
        <row r="167">
          <cell r="A167" t="str">
            <v>Perlis</v>
          </cell>
          <cell r="B167" t="str">
            <v>09</v>
          </cell>
          <cell r="C167">
            <v>840.538276068605</v>
          </cell>
          <cell r="D167">
            <v>270.98791001991299</v>
          </cell>
          <cell r="E167">
            <v>0</v>
          </cell>
          <cell r="F167">
            <v>569.55036604869304</v>
          </cell>
          <cell r="G167">
            <v>1.52928448609192E-2</v>
          </cell>
          <cell r="I167">
            <v>7.8630705016069902</v>
          </cell>
          <cell r="J167">
            <v>352.23233548238699</v>
          </cell>
          <cell r="K167">
            <v>53.017986483786302</v>
          </cell>
          <cell r="L167">
            <v>39.382493442889498</v>
          </cell>
          <cell r="M167">
            <v>5.9428648207202901</v>
          </cell>
          <cell r="N167">
            <v>80.746387238501597</v>
          </cell>
          <cell r="O167">
            <v>169.70931767045701</v>
          </cell>
          <cell r="P167">
            <v>0.69130164414456396</v>
          </cell>
          <cell r="Q167">
            <v>2.7419841818873198</v>
          </cell>
          <cell r="R167">
            <v>96.636789889015802</v>
          </cell>
          <cell r="S167">
            <v>2169.5388495278098</v>
          </cell>
          <cell r="T167">
            <v>714.25395061898701</v>
          </cell>
          <cell r="U167">
            <v>306.55834603921801</v>
          </cell>
          <cell r="V167">
            <v>290.30374323946802</v>
          </cell>
          <cell r="W167">
            <v>271.94986652155899</v>
          </cell>
          <cell r="X167">
            <v>586.47294310857797</v>
          </cell>
          <cell r="Y167">
            <v>70.382385332018401</v>
          </cell>
          <cell r="Z167">
            <v>3537.19170680144</v>
          </cell>
        </row>
        <row r="168">
          <cell r="A168" t="str">
            <v>Selangor</v>
          </cell>
          <cell r="B168">
            <v>10</v>
          </cell>
          <cell r="C168">
            <v>2928.79880005116</v>
          </cell>
          <cell r="D168">
            <v>1971.2635139516201</v>
          </cell>
          <cell r="E168">
            <v>4.8506169140214004</v>
          </cell>
          <cell r="F168">
            <v>952.68466918551405</v>
          </cell>
          <cell r="G168">
            <v>5.3286884075666903E-2</v>
          </cell>
          <cell r="I168">
            <v>153.77570318972201</v>
          </cell>
          <cell r="J168">
            <v>55497.7252193596</v>
          </cell>
          <cell r="K168">
            <v>9159.8025759456996</v>
          </cell>
          <cell r="L168">
            <v>625.767748752545</v>
          </cell>
          <cell r="M168">
            <v>3214.7585001345501</v>
          </cell>
          <cell r="N168">
            <v>8447.6700463326197</v>
          </cell>
          <cell r="O168">
            <v>8951.4411725459795</v>
          </cell>
          <cell r="P168">
            <v>12259.2422725042</v>
          </cell>
          <cell r="Q168">
            <v>12839.042903144</v>
          </cell>
          <cell r="R168">
            <v>8790.1616960969004</v>
          </cell>
          <cell r="S168">
            <v>102760.30219111399</v>
          </cell>
          <cell r="T168">
            <v>24475.201271004498</v>
          </cell>
          <cell r="U168">
            <v>33681.349755677802</v>
          </cell>
          <cell r="V168">
            <v>27814.3804078301</v>
          </cell>
          <cell r="W168">
            <v>8293.8449333607405</v>
          </cell>
          <cell r="X168">
            <v>8495.5258232406104</v>
          </cell>
          <cell r="Y168">
            <v>6246.4646222930396</v>
          </cell>
          <cell r="Z168">
            <v>176377.22823210401</v>
          </cell>
        </row>
        <row r="169">
          <cell r="A169" t="str">
            <v>Terengganu</v>
          </cell>
          <cell r="B169">
            <v>11</v>
          </cell>
          <cell r="C169">
            <v>1531.3159056412901</v>
          </cell>
          <cell r="D169">
            <v>1173.2488906353201</v>
          </cell>
          <cell r="E169">
            <v>105.25399571146001</v>
          </cell>
          <cell r="F169">
            <v>252.81301929451001</v>
          </cell>
          <cell r="G169">
            <v>2.78609282227604E-2</v>
          </cell>
          <cell r="I169">
            <v>19.008965710570099</v>
          </cell>
          <cell r="J169">
            <v>7439.8439621940197</v>
          </cell>
          <cell r="K169">
            <v>69.566267526971004</v>
          </cell>
          <cell r="L169">
            <v>41.994834169779999</v>
          </cell>
          <cell r="M169">
            <v>98.716020292595402</v>
          </cell>
          <cell r="N169">
            <v>6709.35250879049</v>
          </cell>
          <cell r="O169">
            <v>444.64474978085201</v>
          </cell>
          <cell r="P169">
            <v>2.8853506400709299</v>
          </cell>
          <cell r="Q169">
            <v>72.684230993260897</v>
          </cell>
          <cell r="R169">
            <v>757.06310618569501</v>
          </cell>
          <cell r="S169">
            <v>9876.2824065053901</v>
          </cell>
          <cell r="T169">
            <v>3657.82275840804</v>
          </cell>
          <cell r="U169">
            <v>1813.95406392735</v>
          </cell>
          <cell r="V169">
            <v>955.97787766315901</v>
          </cell>
          <cell r="W169">
            <v>974.90481394047504</v>
          </cell>
          <cell r="X169">
            <v>2473.62289256636</v>
          </cell>
          <cell r="Y169">
            <v>18.183226823906502</v>
          </cell>
          <cell r="Z169">
            <v>19641.697573060901</v>
          </cell>
        </row>
        <row r="170">
          <cell r="A170" t="str">
            <v>Sabah</v>
          </cell>
          <cell r="B170">
            <v>12</v>
          </cell>
          <cell r="C170">
            <v>9269.2175249747906</v>
          </cell>
          <cell r="D170">
            <v>6542.96793685586</v>
          </cell>
          <cell r="E170">
            <v>822.61026313053401</v>
          </cell>
          <cell r="F170">
            <v>1903.6393249883899</v>
          </cell>
          <cell r="G170">
            <v>0.16864515231187799</v>
          </cell>
          <cell r="I170">
            <v>9167.1810231602194</v>
          </cell>
          <cell r="J170">
            <v>3495.6402054413902</v>
          </cell>
          <cell r="K170">
            <v>1915.7998950631199</v>
          </cell>
          <cell r="L170">
            <v>35.497282883448698</v>
          </cell>
          <cell r="M170">
            <v>714.88205915253502</v>
          </cell>
          <cell r="N170">
            <v>239.82227626068399</v>
          </cell>
          <cell r="O170">
            <v>426.96689276737902</v>
          </cell>
          <cell r="P170">
            <v>13.0730273936943</v>
          </cell>
          <cell r="Q170">
            <v>149.59877192052801</v>
          </cell>
          <cell r="R170">
            <v>1280.4330211776701</v>
          </cell>
          <cell r="S170">
            <v>21070.636505532999</v>
          </cell>
          <cell r="T170">
            <v>3871.8937146051799</v>
          </cell>
          <cell r="U170">
            <v>6769.5301216211701</v>
          </cell>
          <cell r="V170">
            <v>4371.2484150819801</v>
          </cell>
          <cell r="W170">
            <v>1832.0933363941101</v>
          </cell>
          <cell r="X170">
            <v>4225.8709178305198</v>
          </cell>
          <cell r="Y170">
            <v>185.703599974799</v>
          </cell>
          <cell r="Z170">
            <v>44468.811880261797</v>
          </cell>
        </row>
        <row r="171">
          <cell r="A171" t="str">
            <v>Sarawak</v>
          </cell>
          <cell r="B171">
            <v>13</v>
          </cell>
          <cell r="C171">
            <v>8370.7982938666592</v>
          </cell>
          <cell r="D171">
            <v>4642.6808537868201</v>
          </cell>
          <cell r="E171">
            <v>3247.47202584859</v>
          </cell>
          <cell r="F171">
            <v>480.64541423124399</v>
          </cell>
          <cell r="G171">
            <v>0.15229921505645</v>
          </cell>
          <cell r="I171">
            <v>15154.4470817786</v>
          </cell>
          <cell r="J171">
            <v>19399.666076773599</v>
          </cell>
          <cell r="K171">
            <v>775.58735607610095</v>
          </cell>
          <cell r="L171">
            <v>15.0745317584701</v>
          </cell>
          <cell r="M171">
            <v>1551.29563122071</v>
          </cell>
          <cell r="N171">
            <v>15501.1310661064</v>
          </cell>
          <cell r="O171">
            <v>605.64828917163697</v>
          </cell>
          <cell r="P171">
            <v>541.31617967475097</v>
          </cell>
          <cell r="Q171">
            <v>409.613022765545</v>
          </cell>
          <cell r="R171">
            <v>2262.5501826260202</v>
          </cell>
          <cell r="S171">
            <v>26443.601253813998</v>
          </cell>
          <cell r="T171">
            <v>5820.4846753634802</v>
          </cell>
          <cell r="U171">
            <v>7040.84767516391</v>
          </cell>
          <cell r="V171">
            <v>6879.62447942165</v>
          </cell>
          <cell r="W171">
            <v>2534.16565625769</v>
          </cell>
          <cell r="X171">
            <v>4168.4787676072401</v>
          </cell>
          <cell r="Y171">
            <v>248.11392658100701</v>
          </cell>
          <cell r="Z171">
            <v>71879.176815439801</v>
          </cell>
        </row>
        <row r="172">
          <cell r="A172" t="str">
            <v>WP Kuala Lumpur</v>
          </cell>
          <cell r="B172">
            <v>14</v>
          </cell>
          <cell r="C172">
            <v>1.33811879427992</v>
          </cell>
          <cell r="D172">
            <v>1.33811879427992</v>
          </cell>
          <cell r="E172">
            <v>0</v>
          </cell>
          <cell r="F172">
            <v>0</v>
          </cell>
          <cell r="G172">
            <v>2.4345878955228999E-5</v>
          </cell>
          <cell r="I172">
            <v>33.527386668321199</v>
          </cell>
          <cell r="J172">
            <v>4583.5227902265196</v>
          </cell>
          <cell r="K172">
            <v>511.31546080560298</v>
          </cell>
          <cell r="L172">
            <v>325.880583844309</v>
          </cell>
          <cell r="M172">
            <v>669.66196348636402</v>
          </cell>
          <cell r="N172">
            <v>662.33600246826995</v>
          </cell>
          <cell r="O172">
            <v>802.57089025127095</v>
          </cell>
          <cell r="P172">
            <v>666.73541628887995</v>
          </cell>
          <cell r="Q172">
            <v>945.02247308181995</v>
          </cell>
          <cell r="R172">
            <v>5302.2337156191898</v>
          </cell>
          <cell r="S172">
            <v>102775.57740821601</v>
          </cell>
          <cell r="T172">
            <v>6713.9829563593903</v>
          </cell>
          <cell r="U172">
            <v>37682.895314182198</v>
          </cell>
          <cell r="V172">
            <v>39293.579300299498</v>
          </cell>
          <cell r="W172">
            <v>5073.6181105953901</v>
          </cell>
          <cell r="X172">
            <v>14011.501726779899</v>
          </cell>
          <cell r="Y172">
            <v>1580.4685485513101</v>
          </cell>
          <cell r="Z172">
            <v>114276.667968076</v>
          </cell>
        </row>
        <row r="173">
          <cell r="A173" t="str">
            <v>WP Labuan</v>
          </cell>
          <cell r="B173">
            <v>15</v>
          </cell>
          <cell r="C173">
            <v>121.08467347306799</v>
          </cell>
          <cell r="D173">
            <v>6.7249392836401896</v>
          </cell>
          <cell r="E173">
            <v>0</v>
          </cell>
          <cell r="F173">
            <v>114.359734189428</v>
          </cell>
          <cell r="G173">
            <v>2.20302772542336E-3</v>
          </cell>
          <cell r="I173">
            <v>0</v>
          </cell>
          <cell r="J173">
            <v>717.551482388723</v>
          </cell>
          <cell r="K173">
            <v>9.7330650632984206</v>
          </cell>
          <cell r="L173">
            <v>2.6312175701124301</v>
          </cell>
          <cell r="M173">
            <v>1.12671501031767</v>
          </cell>
          <cell r="N173">
            <v>425.60227142865398</v>
          </cell>
          <cell r="O173">
            <v>247.14952935007</v>
          </cell>
          <cell r="P173">
            <v>1.26678033822109</v>
          </cell>
          <cell r="Q173">
            <v>30.0419036280489</v>
          </cell>
          <cell r="R173">
            <v>33.5881762447627</v>
          </cell>
          <cell r="S173">
            <v>2327.3071407966399</v>
          </cell>
          <cell r="T173">
            <v>222.29550550402701</v>
          </cell>
          <cell r="U173">
            <v>258.795257169612</v>
          </cell>
          <cell r="V173">
            <v>1653.88630010355</v>
          </cell>
          <cell r="W173">
            <v>72.967897534969296</v>
          </cell>
          <cell r="X173">
            <v>119.362180484487</v>
          </cell>
          <cell r="Y173">
            <v>17.693919309888098</v>
          </cell>
          <cell r="Z173">
            <v>3217.2253922130899</v>
          </cell>
        </row>
        <row r="174">
          <cell r="A174" t="str">
            <v>Supra1</v>
          </cell>
          <cell r="C174">
            <v>0</v>
          </cell>
          <cell r="D174">
            <v>0</v>
          </cell>
          <cell r="E174">
            <v>0</v>
          </cell>
          <cell r="F174">
            <v>0</v>
          </cell>
          <cell r="G174">
            <v>0</v>
          </cell>
          <cell r="I174">
            <v>38159.213385185802</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38159.213385185802</v>
          </cell>
        </row>
        <row r="175">
          <cell r="A175" t="str">
            <v>MALAYSIA</v>
          </cell>
          <cell r="C175">
            <v>54962.8459395803</v>
          </cell>
          <cell r="D175">
            <v>40693.6048231522</v>
          </cell>
          <cell r="E175">
            <v>6158.4104397142701</v>
          </cell>
          <cell r="F175">
            <v>8110.8306767137901</v>
          </cell>
          <cell r="G175">
            <v>1</v>
          </cell>
          <cell r="I175">
            <v>63243.113191646502</v>
          </cell>
          <cell r="J175">
            <v>186748.390835486</v>
          </cell>
          <cell r="K175">
            <v>20439.203589525401</v>
          </cell>
          <cell r="L175">
            <v>3221.0829452665798</v>
          </cell>
          <cell r="M175">
            <v>11396.660306927201</v>
          </cell>
          <cell r="N175">
            <v>55800.032382327401</v>
          </cell>
          <cell r="O175">
            <v>24975.8702390943</v>
          </cell>
          <cell r="P175">
            <v>45781.368868637401</v>
          </cell>
          <cell r="Q175">
            <v>25134.172503707799</v>
          </cell>
          <cell r="R175">
            <v>26639.763138561801</v>
          </cell>
          <cell r="S175">
            <v>410338.83598152298</v>
          </cell>
          <cell r="T175">
            <v>75369.474869935802</v>
          </cell>
          <cell r="U175">
            <v>125107.343094554</v>
          </cell>
          <cell r="V175">
            <v>112174.73713291599</v>
          </cell>
          <cell r="W175">
            <v>37586.839929248701</v>
          </cell>
          <cell r="X175">
            <v>60100.440954868398</v>
          </cell>
          <cell r="Y175">
            <v>10001.3900725651</v>
          </cell>
          <cell r="Z175">
            <v>751934.33915936295</v>
          </cell>
        </row>
        <row r="178">
          <cell r="A178" t="str">
            <v>CONSTANT</v>
          </cell>
          <cell r="B178" t="str">
            <v>Industry</v>
          </cell>
          <cell r="D178">
            <v>1</v>
          </cell>
          <cell r="E178">
            <v>2</v>
          </cell>
          <cell r="F178">
            <v>3</v>
          </cell>
          <cell r="I178">
            <v>4</v>
          </cell>
          <cell r="K178">
            <v>6</v>
          </cell>
          <cell r="L178">
            <v>7</v>
          </cell>
          <cell r="M178">
            <v>8</v>
          </cell>
          <cell r="N178">
            <v>9</v>
          </cell>
          <cell r="O178">
            <v>10</v>
          </cell>
          <cell r="P178">
            <v>11</v>
          </cell>
          <cell r="Q178">
            <v>12</v>
          </cell>
          <cell r="R178">
            <v>5</v>
          </cell>
          <cell r="T178">
            <v>13</v>
          </cell>
          <cell r="U178">
            <v>14</v>
          </cell>
          <cell r="V178">
            <v>15</v>
          </cell>
          <cell r="W178">
            <v>16</v>
          </cell>
        </row>
        <row r="179">
          <cell r="A179">
            <v>2013</v>
          </cell>
          <cell r="B179" t="str">
            <v>I</v>
          </cell>
          <cell r="C179" t="str">
            <v>Agriculture</v>
          </cell>
          <cell r="D179" t="str">
            <v>Tanaman</v>
          </cell>
          <cell r="E179" t="str">
            <v>Pembalakan</v>
          </cell>
          <cell r="F179" t="str">
            <v>Perikanan</v>
          </cell>
          <cell r="I179" t="str">
            <v>Mining andQuarrying</v>
          </cell>
          <cell r="J179" t="str">
            <v>Manufacturing</v>
          </cell>
          <cell r="K179" t="str">
            <v>Prosesan Makanan, Minuman dan Produk Tembakau</v>
          </cell>
          <cell r="L179" t="str">
            <v>Tekstil, Pakaian, Kulit dan Kasut</v>
          </cell>
          <cell r="M179" t="str">
            <v>Keluaran Kayu, Perabot, Produk Kertas, Percetakan dan Penerbitan</v>
          </cell>
          <cell r="N179" t="str">
            <v>Produk Petroleum, Bahan kimia, Getah dan Plastik</v>
          </cell>
          <cell r="O179" t="str">
            <v>Produk Mineral Bukan Logam, Logam Asli dan Produk Logam Yang Direka</v>
          </cell>
          <cell r="P179" t="str">
            <v>Elektrik dan Elektronik</v>
          </cell>
          <cell r="Q179" t="str">
            <v>Kelengkapan Pengangkutan dan Pembuatan Lain</v>
          </cell>
          <cell r="R179" t="str">
            <v>Construction</v>
          </cell>
          <cell r="S179" t="str">
            <v>Services</v>
          </cell>
          <cell r="T179" t="str">
            <v>Utiliti, Transport &amp; Communication</v>
          </cell>
          <cell r="U179" t="str">
            <v>WRT, Accomm &amp; Restaurant</v>
          </cell>
          <cell r="V179" t="str">
            <v>Finance &amp; Insurance, Real Estate &amp; Business Services</v>
          </cell>
          <cell r="W179" t="str">
            <v>Other Services</v>
          </cell>
          <cell r="X179" t="str">
            <v>Government Services</v>
          </cell>
          <cell r="Y179" t="str">
            <v>Plus :Import Duties</v>
          </cell>
          <cell r="Z179" t="str">
            <v>GDP atPurchasers' Prices</v>
          </cell>
        </row>
        <row r="180">
          <cell r="A180" t="str">
            <v>States</v>
          </cell>
          <cell r="B180" t="str">
            <v>Converter</v>
          </cell>
        </row>
        <row r="181">
          <cell r="A181" t="str">
            <v>Johor</v>
          </cell>
          <cell r="B181" t="str">
            <v>01</v>
          </cell>
          <cell r="C181">
            <v>8748.7908090068704</v>
          </cell>
          <cell r="D181">
            <v>8036.4950683605202</v>
          </cell>
          <cell r="E181">
            <v>50.351897118266798</v>
          </cell>
          <cell r="F181">
            <v>661.94384352808402</v>
          </cell>
          <cell r="G181">
            <v>0.15917645200949501</v>
          </cell>
          <cell r="I181">
            <v>96.234754698537401</v>
          </cell>
          <cell r="J181">
            <v>24405.091104601001</v>
          </cell>
          <cell r="K181">
            <v>2487.6893945492998</v>
          </cell>
          <cell r="L181">
            <v>849.15390690469599</v>
          </cell>
          <cell r="M181">
            <v>1851.70418317137</v>
          </cell>
          <cell r="N181">
            <v>6327.2266505892203</v>
          </cell>
          <cell r="O181">
            <v>3576.06608010438</v>
          </cell>
          <cell r="P181">
            <v>6921.9470872472903</v>
          </cell>
          <cell r="Q181">
            <v>2391.3038020347899</v>
          </cell>
          <cell r="R181">
            <v>2591.1198371668102</v>
          </cell>
          <cell r="S181">
            <v>35158.481630847004</v>
          </cell>
          <cell r="T181">
            <v>8222.2753111455695</v>
          </cell>
          <cell r="U181">
            <v>8451.3331251300497</v>
          </cell>
          <cell r="V181">
            <v>9370.30747007645</v>
          </cell>
          <cell r="W181">
            <v>3299.11104125783</v>
          </cell>
          <cell r="X181">
            <v>5815.4546832370797</v>
          </cell>
          <cell r="Y181">
            <v>1275.41416982082</v>
          </cell>
          <cell r="Z181">
            <v>72275.132306141095</v>
          </cell>
        </row>
        <row r="182">
          <cell r="A182" t="str">
            <v>Kedah</v>
          </cell>
          <cell r="B182" t="str">
            <v>02</v>
          </cell>
          <cell r="C182">
            <v>3134.4356637680999</v>
          </cell>
          <cell r="D182">
            <v>2642.0112222114399</v>
          </cell>
          <cell r="E182">
            <v>121.18761989214801</v>
          </cell>
          <cell r="F182">
            <v>371.23682166451499</v>
          </cell>
          <cell r="G182">
            <v>5.7028263551231202E-2</v>
          </cell>
          <cell r="I182">
            <v>27.175492254822998</v>
          </cell>
          <cell r="J182">
            <v>8044.74531754082</v>
          </cell>
          <cell r="K182">
            <v>394.21841089785102</v>
          </cell>
          <cell r="L182">
            <v>71.111762684665905</v>
          </cell>
          <cell r="M182">
            <v>445.58436772479303</v>
          </cell>
          <cell r="N182">
            <v>1774.7015736860301</v>
          </cell>
          <cell r="O182">
            <v>2232.73900335606</v>
          </cell>
          <cell r="P182">
            <v>1554.0650173762899</v>
          </cell>
          <cell r="Q182">
            <v>1572.32518181513</v>
          </cell>
          <cell r="R182">
            <v>543.56793260374798</v>
          </cell>
          <cell r="S182">
            <v>14512.2928501926</v>
          </cell>
          <cell r="T182">
            <v>2215.18948845253</v>
          </cell>
          <cell r="U182">
            <v>3716.0779669713702</v>
          </cell>
          <cell r="V182">
            <v>2773.3684723987499</v>
          </cell>
          <cell r="W182">
            <v>2139.8606680274202</v>
          </cell>
          <cell r="X182">
            <v>3667.7962543425801</v>
          </cell>
          <cell r="Y182">
            <v>171.488139160842</v>
          </cell>
          <cell r="Z182">
            <v>26433.705395520999</v>
          </cell>
        </row>
        <row r="183">
          <cell r="A183" t="str">
            <v>Kelantan</v>
          </cell>
          <cell r="B183" t="str">
            <v>03</v>
          </cell>
          <cell r="C183">
            <v>3278.2070083706199</v>
          </cell>
          <cell r="D183">
            <v>2316.7337867512201</v>
          </cell>
          <cell r="E183">
            <v>721.82449280438698</v>
          </cell>
          <cell r="F183">
            <v>239.64872881501501</v>
          </cell>
          <cell r="G183">
            <v>5.9644055039913699E-2</v>
          </cell>
          <cell r="I183">
            <v>23.928708431918501</v>
          </cell>
          <cell r="J183">
            <v>728.41334931284405</v>
          </cell>
          <cell r="K183">
            <v>121.84849218116599</v>
          </cell>
          <cell r="L183">
            <v>37.887261727283303</v>
          </cell>
          <cell r="M183">
            <v>90.040331344982107</v>
          </cell>
          <cell r="N183">
            <v>146.34443200108299</v>
          </cell>
          <cell r="O183">
            <v>77.461632040248602</v>
          </cell>
          <cell r="P183">
            <v>246.43157421922601</v>
          </cell>
          <cell r="Q183">
            <v>8.3996257988556593</v>
          </cell>
          <cell r="R183">
            <v>184.40149107085</v>
          </cell>
          <cell r="S183">
            <v>9720.5054801689002</v>
          </cell>
          <cell r="T183">
            <v>1128.25163187364</v>
          </cell>
          <cell r="U183">
            <v>2509.8444173910798</v>
          </cell>
          <cell r="V183">
            <v>1162.2121930411499</v>
          </cell>
          <cell r="W183">
            <v>1531.4696665264801</v>
          </cell>
          <cell r="X183">
            <v>3388.7275713365502</v>
          </cell>
          <cell r="Y183">
            <v>27.258509501254601</v>
          </cell>
          <cell r="Z183">
            <v>13962.714546856399</v>
          </cell>
        </row>
        <row r="184">
          <cell r="A184" t="str">
            <v>Melaka</v>
          </cell>
          <cell r="B184" t="str">
            <v>04</v>
          </cell>
          <cell r="C184">
            <v>2171.0469426095101</v>
          </cell>
          <cell r="D184">
            <v>2137.9820003771601</v>
          </cell>
          <cell r="E184">
            <v>0.38372537971792697</v>
          </cell>
          <cell r="F184">
            <v>32.681216852634201</v>
          </cell>
          <cell r="G184">
            <v>3.95002643239417E-2</v>
          </cell>
          <cell r="I184">
            <v>11.591103445725601</v>
          </cell>
          <cell r="J184">
            <v>9190.1860404036597</v>
          </cell>
          <cell r="K184">
            <v>439.92529419453803</v>
          </cell>
          <cell r="L184">
            <v>323.13145513812702</v>
          </cell>
          <cell r="M184">
            <v>300.27909684069402</v>
          </cell>
          <cell r="N184">
            <v>3525.3967782201498</v>
          </cell>
          <cell r="O184">
            <v>622.43666930828795</v>
          </cell>
          <cell r="P184">
            <v>2235.08891102693</v>
          </cell>
          <cell r="Q184">
            <v>1743.9278356749401</v>
          </cell>
          <cell r="R184">
            <v>692.92146594357098</v>
          </cell>
          <cell r="S184">
            <v>10560.3179800077</v>
          </cell>
          <cell r="T184">
            <v>1978.7840909982899</v>
          </cell>
          <cell r="U184">
            <v>3541.4714675534401</v>
          </cell>
          <cell r="V184">
            <v>2022.6873549157301</v>
          </cell>
          <cell r="W184">
            <v>1291.10676756355</v>
          </cell>
          <cell r="X184">
            <v>1726.2682989766499</v>
          </cell>
          <cell r="Y184">
            <v>20.244858230933101</v>
          </cell>
          <cell r="Z184">
            <v>22646.308390641101</v>
          </cell>
        </row>
        <row r="185">
          <cell r="A185" t="str">
            <v>Negeri Sembilan</v>
          </cell>
          <cell r="B185" t="str">
            <v>05</v>
          </cell>
          <cell r="C185">
            <v>2177.1023931321502</v>
          </cell>
          <cell r="D185">
            <v>2084.1226660815601</v>
          </cell>
          <cell r="E185">
            <v>54.579197938699799</v>
          </cell>
          <cell r="F185">
            <v>38.400529111885596</v>
          </cell>
          <cell r="G185">
            <v>3.9610437849695798E-2</v>
          </cell>
          <cell r="I185">
            <v>27.9349198765557</v>
          </cell>
          <cell r="J185">
            <v>13482.934373079999</v>
          </cell>
          <cell r="K185">
            <v>1073.51143212127</v>
          </cell>
          <cell r="L185">
            <v>149.48211573688499</v>
          </cell>
          <cell r="M185">
            <v>409.06445384241499</v>
          </cell>
          <cell r="N185">
            <v>4229.78143055286</v>
          </cell>
          <cell r="O185">
            <v>1422.60756007227</v>
          </cell>
          <cell r="P185">
            <v>5239.6258880310597</v>
          </cell>
          <cell r="Q185">
            <v>958.86149272320097</v>
          </cell>
          <cell r="R185">
            <v>711.12297261316098</v>
          </cell>
          <cell r="S185">
            <v>11699.787641275099</v>
          </cell>
          <cell r="T185">
            <v>2723.43609090371</v>
          </cell>
          <cell r="U185">
            <v>2988.6764926708202</v>
          </cell>
          <cell r="V185">
            <v>2333.4203236531898</v>
          </cell>
          <cell r="W185">
            <v>1536.9809950527599</v>
          </cell>
          <cell r="X185">
            <v>2117.2737389946701</v>
          </cell>
          <cell r="Y185">
            <v>591.97883182675503</v>
          </cell>
          <cell r="Z185">
            <v>28690.8611318037</v>
          </cell>
        </row>
        <row r="186">
          <cell r="A186" t="str">
            <v>Pahang</v>
          </cell>
          <cell r="B186" t="str">
            <v>06</v>
          </cell>
          <cell r="C186">
            <v>6495.5884319916304</v>
          </cell>
          <cell r="D186">
            <v>5130.8886455602496</v>
          </cell>
          <cell r="E186">
            <v>607.26593269382295</v>
          </cell>
          <cell r="F186">
            <v>757.43385373755405</v>
          </cell>
          <cell r="G186">
            <v>0.11818144277194299</v>
          </cell>
          <cell r="I186">
            <v>234.637617214561</v>
          </cell>
          <cell r="J186">
            <v>8260.7519226613294</v>
          </cell>
          <cell r="K186">
            <v>1022.37655840198</v>
          </cell>
          <cell r="L186">
            <v>24.944378736767199</v>
          </cell>
          <cell r="M186">
            <v>646.27684577394098</v>
          </cell>
          <cell r="N186">
            <v>2848.8761106411698</v>
          </cell>
          <cell r="O186">
            <v>688.57969868896805</v>
          </cell>
          <cell r="P186">
            <v>113.926478323246</v>
          </cell>
          <cell r="Q186">
            <v>2915.7718520952499</v>
          </cell>
          <cell r="R186">
            <v>926.54904098967097</v>
          </cell>
          <cell r="S186">
            <v>16545.752522713901</v>
          </cell>
          <cell r="T186">
            <v>1786.2366502566499</v>
          </cell>
          <cell r="U186">
            <v>5057.6745861725603</v>
          </cell>
          <cell r="V186">
            <v>2281.7186588714699</v>
          </cell>
          <cell r="W186">
            <v>4027.3848709680901</v>
          </cell>
          <cell r="X186">
            <v>3392.7377564451299</v>
          </cell>
          <cell r="Y186">
            <v>25.951612294820599</v>
          </cell>
          <cell r="Z186">
            <v>32489.231147865899</v>
          </cell>
        </row>
        <row r="187">
          <cell r="A187" t="str">
            <v>Pulau Pinang</v>
          </cell>
          <cell r="B187" t="str">
            <v>07</v>
          </cell>
          <cell r="C187">
            <v>1021.0957839773999</v>
          </cell>
          <cell r="D187">
            <v>758.16760528689701</v>
          </cell>
          <cell r="E187">
            <v>0</v>
          </cell>
          <cell r="F187">
            <v>262.92817869050299</v>
          </cell>
          <cell r="G187">
            <v>1.8577927807811701E-2</v>
          </cell>
          <cell r="I187">
            <v>26.7326725623969</v>
          </cell>
          <cell r="J187">
            <v>26301.2572686202</v>
          </cell>
          <cell r="K187">
            <v>1186.13335334663</v>
          </cell>
          <cell r="L187">
            <v>577.11881207715203</v>
          </cell>
          <cell r="M187">
            <v>927.33094385090396</v>
          </cell>
          <cell r="N187">
            <v>3076.4671167770098</v>
          </cell>
          <cell r="O187">
            <v>2976.3297866633802</v>
          </cell>
          <cell r="P187">
            <v>15388.367361549999</v>
          </cell>
          <cell r="Q187">
            <v>2169.5098943550502</v>
          </cell>
          <cell r="R187">
            <v>1308.2666944063899</v>
          </cell>
          <cell r="S187">
            <v>25831.234097850702</v>
          </cell>
          <cell r="T187">
            <v>5500.6826819693897</v>
          </cell>
          <cell r="U187">
            <v>7280.0789083468699</v>
          </cell>
          <cell r="V187">
            <v>7184.2364387227399</v>
          </cell>
          <cell r="W187">
            <v>2538.1412284069002</v>
          </cell>
          <cell r="X187">
            <v>3328.0948404048499</v>
          </cell>
          <cell r="Y187">
            <v>479.12025591232202</v>
          </cell>
          <cell r="Z187">
            <v>54967.706773329402</v>
          </cell>
        </row>
        <row r="188">
          <cell r="A188" t="str">
            <v>Perak</v>
          </cell>
          <cell r="B188" t="str">
            <v>08</v>
          </cell>
          <cell r="C188">
            <v>5769.6978854849704</v>
          </cell>
          <cell r="D188">
            <v>3875.97029518006</v>
          </cell>
          <cell r="E188">
            <v>387.62683690967799</v>
          </cell>
          <cell r="F188">
            <v>1506.10075339523</v>
          </cell>
          <cell r="G188">
            <v>0.104974511178469</v>
          </cell>
          <cell r="I188">
            <v>160.81691599765799</v>
          </cell>
          <cell r="J188">
            <v>8091.9117850561797</v>
          </cell>
          <cell r="K188">
            <v>1160.96481724502</v>
          </cell>
          <cell r="L188">
            <v>171.25186372072</v>
          </cell>
          <cell r="M188">
            <v>363.56211939631299</v>
          </cell>
          <cell r="N188">
            <v>1553.97182138072</v>
          </cell>
          <cell r="O188">
            <v>1886.8563472396399</v>
          </cell>
          <cell r="P188">
            <v>2067.8582196103498</v>
          </cell>
          <cell r="Q188">
            <v>887.44659646341097</v>
          </cell>
          <cell r="R188">
            <v>1315.5138579433501</v>
          </cell>
          <cell r="S188">
            <v>26425.2482440975</v>
          </cell>
          <cell r="T188">
            <v>8094.2207449247398</v>
          </cell>
          <cell r="U188">
            <v>6149.5975449324096</v>
          </cell>
          <cell r="V188">
            <v>4468.0073264889497</v>
          </cell>
          <cell r="W188">
            <v>3020.86195335604</v>
          </cell>
          <cell r="X188">
            <v>4692.5606743953904</v>
          </cell>
          <cell r="Y188">
            <v>23.3757166071066</v>
          </cell>
          <cell r="Z188">
            <v>41786.5644051868</v>
          </cell>
        </row>
        <row r="189">
          <cell r="A189" t="str">
            <v>Perlis</v>
          </cell>
          <cell r="B189" t="str">
            <v>09</v>
          </cell>
          <cell r="C189">
            <v>818.62725838790595</v>
          </cell>
          <cell r="D189">
            <v>271.46455222490499</v>
          </cell>
          <cell r="E189">
            <v>0</v>
          </cell>
          <cell r="F189">
            <v>547.16270616300096</v>
          </cell>
          <cell r="G189">
            <v>1.4894193420912199E-2</v>
          </cell>
          <cell r="I189">
            <v>7.8513332154068296</v>
          </cell>
          <cell r="J189">
            <v>362.41036102651401</v>
          </cell>
          <cell r="K189">
            <v>53.638273758948998</v>
          </cell>
          <cell r="L189">
            <v>42.021774884030897</v>
          </cell>
          <cell r="M189">
            <v>5.8401637589311397</v>
          </cell>
          <cell r="N189">
            <v>78.988785974380804</v>
          </cell>
          <cell r="O189">
            <v>178.223318920645</v>
          </cell>
          <cell r="P189">
            <v>0.68963994380997895</v>
          </cell>
          <cell r="Q189">
            <v>3.0084037857672898</v>
          </cell>
          <cell r="R189">
            <v>99.772993551221603</v>
          </cell>
          <cell r="S189">
            <v>2274.54725466329</v>
          </cell>
          <cell r="T189">
            <v>721.42277281399902</v>
          </cell>
          <cell r="U189">
            <v>331.29351414421097</v>
          </cell>
          <cell r="V189">
            <v>298.30837412730398</v>
          </cell>
          <cell r="W189">
            <v>280.637554691064</v>
          </cell>
          <cell r="X189">
            <v>642.88503888671505</v>
          </cell>
          <cell r="Y189">
            <v>84.816419751260895</v>
          </cell>
          <cell r="Z189">
            <v>3648.0256205955998</v>
          </cell>
        </row>
        <row r="190">
          <cell r="A190" t="str">
            <v>Selangor</v>
          </cell>
          <cell r="B190">
            <v>10</v>
          </cell>
          <cell r="C190">
            <v>2873.5869735044298</v>
          </cell>
          <cell r="D190">
            <v>1919.87178957015</v>
          </cell>
          <cell r="E190">
            <v>4.7663474021765504</v>
          </cell>
          <cell r="F190">
            <v>948.94883653210195</v>
          </cell>
          <cell r="G190">
            <v>5.2282354095406901E-2</v>
          </cell>
          <cell r="I190">
            <v>173.78388784137201</v>
          </cell>
          <cell r="J190">
            <v>57388.191002190302</v>
          </cell>
          <cell r="K190">
            <v>9145.1344121986695</v>
          </cell>
          <cell r="L190">
            <v>658.68614929752005</v>
          </cell>
          <cell r="M190">
            <v>3205.7740136094299</v>
          </cell>
          <cell r="N190">
            <v>9106.4950050390908</v>
          </cell>
          <cell r="O190">
            <v>9596.8726905711701</v>
          </cell>
          <cell r="P190">
            <v>12120.3435515441</v>
          </cell>
          <cell r="Q190">
            <v>13554.885179930299</v>
          </cell>
          <cell r="R190">
            <v>10144.089580456801</v>
          </cell>
          <cell r="S190">
            <v>109673.337794666</v>
          </cell>
          <cell r="T190">
            <v>26316.5125620527</v>
          </cell>
          <cell r="U190">
            <v>36010.973321654797</v>
          </cell>
          <cell r="V190">
            <v>29168.735580597899</v>
          </cell>
          <cell r="W190">
            <v>8782.4639217673994</v>
          </cell>
          <cell r="X190">
            <v>9394.6524085932597</v>
          </cell>
          <cell r="Y190">
            <v>6295.2281592564996</v>
          </cell>
          <cell r="Z190">
            <v>186548.217397915</v>
          </cell>
        </row>
        <row r="191">
          <cell r="A191" t="str">
            <v>Terengganu</v>
          </cell>
          <cell r="B191">
            <v>11</v>
          </cell>
          <cell r="C191">
            <v>1554.2279757542899</v>
          </cell>
          <cell r="D191">
            <v>1198.20448964097</v>
          </cell>
          <cell r="E191">
            <v>103.412863951137</v>
          </cell>
          <cell r="F191">
            <v>252.61062216218701</v>
          </cell>
          <cell r="G191">
            <v>2.8277792919653901E-2</v>
          </cell>
          <cell r="I191">
            <v>21.902583824948501</v>
          </cell>
          <cell r="J191">
            <v>7670.0923387204703</v>
          </cell>
          <cell r="K191">
            <v>64.322648984943001</v>
          </cell>
          <cell r="L191">
            <v>42.864132053096398</v>
          </cell>
          <cell r="M191">
            <v>97.235170068299993</v>
          </cell>
          <cell r="N191">
            <v>7023.4126857194096</v>
          </cell>
          <cell r="O191">
            <v>364.86600226697902</v>
          </cell>
          <cell r="P191">
            <v>2.8807609174577098</v>
          </cell>
          <cell r="Q191">
            <v>74.510938710281096</v>
          </cell>
          <cell r="R191">
            <v>795.84075558622499</v>
          </cell>
          <cell r="S191">
            <v>10497.527787229001</v>
          </cell>
          <cell r="T191">
            <v>3895.6502935599401</v>
          </cell>
          <cell r="U191">
            <v>1936.3616513498</v>
          </cell>
          <cell r="V191">
            <v>982.59055145654202</v>
          </cell>
          <cell r="W191">
            <v>1012.52988625111</v>
          </cell>
          <cell r="X191">
            <v>2670.3954046116</v>
          </cell>
          <cell r="Y191">
            <v>14.0157405078594</v>
          </cell>
          <cell r="Z191">
            <v>20553.6071816228</v>
          </cell>
        </row>
        <row r="192">
          <cell r="A192" t="str">
            <v>Sabah</v>
          </cell>
          <cell r="B192">
            <v>12</v>
          </cell>
          <cell r="C192">
            <v>9410.6954707572204</v>
          </cell>
          <cell r="D192">
            <v>6788.29327785022</v>
          </cell>
          <cell r="E192">
            <v>701.74899572940399</v>
          </cell>
          <cell r="F192">
            <v>1920.6531971775901</v>
          </cell>
          <cell r="G192">
            <v>0.171219217452863</v>
          </cell>
          <cell r="I192">
            <v>9349.4960306194607</v>
          </cell>
          <cell r="J192">
            <v>3605.2665872625498</v>
          </cell>
          <cell r="K192">
            <v>2006.6271122629</v>
          </cell>
          <cell r="L192">
            <v>35.873470019840099</v>
          </cell>
          <cell r="M192">
            <v>726.236787169575</v>
          </cell>
          <cell r="N192">
            <v>229.85404437143899</v>
          </cell>
          <cell r="O192">
            <v>453.08445668788801</v>
          </cell>
          <cell r="P192">
            <v>13.031717106270399</v>
          </cell>
          <cell r="Q192">
            <v>140.558999644642</v>
          </cell>
          <cell r="R192">
            <v>1106.9610473805201</v>
          </cell>
          <cell r="S192">
            <v>22133.7737827686</v>
          </cell>
          <cell r="T192">
            <v>4100.9525660907102</v>
          </cell>
          <cell r="U192">
            <v>7043.4143607875403</v>
          </cell>
          <cell r="V192">
            <v>4460.10240379273</v>
          </cell>
          <cell r="W192">
            <v>1915.8505499156499</v>
          </cell>
          <cell r="X192">
            <v>4613.4539021819801</v>
          </cell>
          <cell r="Y192">
            <v>184.392118725611</v>
          </cell>
          <cell r="Z192">
            <v>45790.585037514</v>
          </cell>
        </row>
        <row r="193">
          <cell r="A193" t="str">
            <v>Sarawak</v>
          </cell>
          <cell r="B193">
            <v>13</v>
          </cell>
          <cell r="C193">
            <v>8500.9819954592695</v>
          </cell>
          <cell r="D193">
            <v>5007.7009603058596</v>
          </cell>
          <cell r="E193">
            <v>2927.3698797729899</v>
          </cell>
          <cell r="F193">
            <v>565.91115538041095</v>
          </cell>
          <cell r="G193">
            <v>0.15466779148962301</v>
          </cell>
          <cell r="I193">
            <v>16082.7212522643</v>
          </cell>
          <cell r="J193">
            <v>19926.047586987199</v>
          </cell>
          <cell r="K193">
            <v>867.52672601975598</v>
          </cell>
          <cell r="L193">
            <v>15.2615685336468</v>
          </cell>
          <cell r="M193">
            <v>1579.5850175294199</v>
          </cell>
          <cell r="N193">
            <v>15717.725999576</v>
          </cell>
          <cell r="O193">
            <v>641.92543226121495</v>
          </cell>
          <cell r="P193">
            <v>647.00830661870998</v>
          </cell>
          <cell r="Q193">
            <v>457.01453644846498</v>
          </cell>
          <cell r="R193">
            <v>2301.0924495561999</v>
          </cell>
          <cell r="S193">
            <v>27843.5206875031</v>
          </cell>
          <cell r="T193">
            <v>6131.7304483726402</v>
          </cell>
          <cell r="U193">
            <v>7340.1493415198602</v>
          </cell>
          <cell r="V193">
            <v>7138.3263984308596</v>
          </cell>
          <cell r="W193">
            <v>2668.2303733642402</v>
          </cell>
          <cell r="X193">
            <v>4565.0841258155097</v>
          </cell>
          <cell r="Y193">
            <v>232.84176556763501</v>
          </cell>
          <cell r="Z193">
            <v>74887.205737337703</v>
          </cell>
        </row>
        <row r="194">
          <cell r="A194" t="str">
            <v>WP Kuala Lumpur</v>
          </cell>
          <cell r="B194">
            <v>14</v>
          </cell>
          <cell r="C194">
            <v>1.4522015191577999</v>
          </cell>
          <cell r="D194">
            <v>1.4522015191577999</v>
          </cell>
          <cell r="E194">
            <v>0</v>
          </cell>
          <cell r="F194">
            <v>0</v>
          </cell>
          <cell r="G194">
            <v>2.6421512465969799E-5</v>
          </cell>
          <cell r="I194">
            <v>38.115332011266602</v>
          </cell>
          <cell r="J194">
            <v>5028.9893210533601</v>
          </cell>
          <cell r="K194">
            <v>487.25938630193099</v>
          </cell>
          <cell r="L194">
            <v>291.02525022970502</v>
          </cell>
          <cell r="M194">
            <v>682.35266066343604</v>
          </cell>
          <cell r="N194">
            <v>758.09189379295697</v>
          </cell>
          <cell r="O194">
            <v>801.37090367748306</v>
          </cell>
          <cell r="P194">
            <v>843.14870568153697</v>
          </cell>
          <cell r="Q194">
            <v>1165.74052070631</v>
          </cell>
          <cell r="R194">
            <v>6781.6547222751296</v>
          </cell>
          <cell r="S194">
            <v>109069.06637915599</v>
          </cell>
          <cell r="T194">
            <v>7276.13968971135</v>
          </cell>
          <cell r="U194">
            <v>40341.450519275902</v>
          </cell>
          <cell r="V194">
            <v>41086.511367503699</v>
          </cell>
          <cell r="W194">
            <v>5399.2865968689202</v>
          </cell>
          <cell r="X194">
            <v>14965.678205795801</v>
          </cell>
          <cell r="Y194">
            <v>1140.19933738243</v>
          </cell>
          <cell r="Z194">
            <v>122059.47729339699</v>
          </cell>
        </row>
        <row r="195">
          <cell r="A195" t="str">
            <v>WP Labuan</v>
          </cell>
          <cell r="B195">
            <v>15</v>
          </cell>
          <cell r="C195">
            <v>139.32715428529599</v>
          </cell>
          <cell r="D195">
            <v>7.9241830797108799</v>
          </cell>
          <cell r="E195">
            <v>0</v>
          </cell>
          <cell r="F195">
            <v>131.402971205585</v>
          </cell>
          <cell r="G195">
            <v>2.5349334064407002E-3</v>
          </cell>
          <cell r="I195">
            <v>0</v>
          </cell>
          <cell r="J195">
            <v>750.58651940238099</v>
          </cell>
          <cell r="K195">
            <v>9.1777708055619591</v>
          </cell>
          <cell r="L195">
            <v>2.6930070708899798</v>
          </cell>
          <cell r="M195">
            <v>1.15361241202134</v>
          </cell>
          <cell r="N195">
            <v>493.356230079439</v>
          </cell>
          <cell r="O195">
            <v>209.996322507017</v>
          </cell>
          <cell r="P195">
            <v>1.2068615879611899</v>
          </cell>
          <cell r="Q195">
            <v>33.002714939490602</v>
          </cell>
          <cell r="R195">
            <v>51.5224791213004</v>
          </cell>
          <cell r="S195">
            <v>2514.23810393146</v>
          </cell>
          <cell r="T195">
            <v>230.96421000186899</v>
          </cell>
          <cell r="U195">
            <v>280.79011811224899</v>
          </cell>
          <cell r="V195">
            <v>1801.2729670522999</v>
          </cell>
          <cell r="W195">
            <v>75.651371134487405</v>
          </cell>
          <cell r="X195">
            <v>125.559437630563</v>
          </cell>
          <cell r="Y195">
            <v>19.3768432572531</v>
          </cell>
          <cell r="Z195">
            <v>3475.05109999769</v>
          </cell>
        </row>
        <row r="196">
          <cell r="A196" t="str">
            <v>Supra1</v>
          </cell>
          <cell r="C196">
            <v>0</v>
          </cell>
          <cell r="D196">
            <v>0</v>
          </cell>
          <cell r="E196">
            <v>0</v>
          </cell>
          <cell r="F196">
            <v>0</v>
          </cell>
          <cell r="G196">
            <v>0</v>
          </cell>
          <cell r="I196">
            <v>37396.647797976802</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37396.647797976802</v>
          </cell>
        </row>
        <row r="197">
          <cell r="A197" t="str">
            <v>MALAYSIA</v>
          </cell>
          <cell r="C197">
            <v>56094.863948008802</v>
          </cell>
          <cell r="D197">
            <v>42177.282744000098</v>
          </cell>
          <cell r="E197">
            <v>5680.5177895924298</v>
          </cell>
          <cell r="F197">
            <v>8237.0634144162996</v>
          </cell>
          <cell r="G197">
            <v>1.0205960588298699</v>
          </cell>
          <cell r="I197">
            <v>63679.570402235702</v>
          </cell>
          <cell r="J197">
            <v>193236.87487791901</v>
          </cell>
          <cell r="K197">
            <v>20520.3540832705</v>
          </cell>
          <cell r="L197">
            <v>3292.5069088150199</v>
          </cell>
          <cell r="M197">
            <v>11332.0197671565</v>
          </cell>
          <cell r="N197">
            <v>56890.6905584009</v>
          </cell>
          <cell r="O197">
            <v>25729.4159043656</v>
          </cell>
          <cell r="P197">
            <v>47395.620080784298</v>
          </cell>
          <cell r="Q197">
            <v>28076.267575125901</v>
          </cell>
          <cell r="R197">
            <v>29554.397320664899</v>
          </cell>
          <cell r="S197">
            <v>434459.632237071</v>
          </cell>
          <cell r="T197">
            <v>80322.4492331277</v>
          </cell>
          <cell r="U197">
            <v>132979.18733601301</v>
          </cell>
          <cell r="V197">
            <v>116531.80588113</v>
          </cell>
          <cell r="W197">
            <v>39519.567445151901</v>
          </cell>
          <cell r="X197">
            <v>65106.622341648297</v>
          </cell>
          <cell r="Y197">
            <v>10585.702477803399</v>
          </cell>
          <cell r="Z197">
            <v>787611.04126370198</v>
          </cell>
        </row>
      </sheetData>
      <sheetData sheetId="4">
        <row r="3">
          <cell r="B3" t="str">
            <v>row</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7.1"/>
      <sheetName val="7.2 "/>
      <sheetName val="7.3"/>
      <sheetName val="7.4"/>
      <sheetName val="7.5"/>
      <sheetName val="7.6"/>
      <sheetName val="7.7"/>
      <sheetName val="4.9"/>
      <sheetName val="4.3"/>
      <sheetName val="4.8"/>
      <sheetName val="Sheet1"/>
      <sheetName val="VA_CONSTANT"/>
      <sheetName val="ref"/>
      <sheetName val="Perlis"/>
    </sheetNames>
    <sheetDataSet>
      <sheetData sheetId="0"/>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 val="VA-curr"/>
      <sheetName val="VA-cons"/>
      <sheetName val="VA_CONSTANT"/>
      <sheetName val="ref"/>
      <sheetName val="Tbl1_Msia"/>
      <sheetName val="Tbl3_05"/>
      <sheetName val="Tbl5_06"/>
      <sheetName val="Tbl7_06"/>
      <sheetName val="Tbl8_07"/>
      <sheetName val="Tbl10_07"/>
      <sheetName val="Tbl11_08"/>
      <sheetName val="Tbl13_08"/>
      <sheetName val="Tbl14_09"/>
      <sheetName val="Tbl16_09"/>
      <sheetName val="Tbl17_10"/>
      <sheetName val="Tbl19_10"/>
      <sheetName val="Tbl20_11"/>
      <sheetName val="Tbl22_11"/>
      <sheetName val="Tbl23_12"/>
      <sheetName val="Tbl25_12"/>
      <sheetName val="Tbl26_13"/>
      <sheetName val="Tbl28_13"/>
      <sheetName val="Tbl29_Curr&amp;perCapita"/>
      <sheetName val="JHR"/>
      <sheetName val="KDH"/>
      <sheetName val="KLTN"/>
      <sheetName val="MLK"/>
      <sheetName val="N9"/>
      <sheetName val="PHG"/>
      <sheetName val="PP"/>
      <sheetName val="PRK"/>
      <sheetName val="PRLS"/>
      <sheetName val="SLGR"/>
      <sheetName val="TRGN"/>
      <sheetName val="SBH"/>
      <sheetName val="SRWK"/>
      <sheetName val="WPKL"/>
      <sheetName val="WPL"/>
      <sheetName val="Sheet2"/>
      <sheetName val="Sheet3"/>
      <sheetName val="Sheet6"/>
      <sheetName val="Sheet4"/>
      <sheetName val="Sheet4 (2)"/>
      <sheetName val="Sheet5"/>
      <sheetName val="Sheet7"/>
      <sheetName val="7.6"/>
      <sheetName val="4.8"/>
      <sheetName val="4.9"/>
      <sheetName val="4.3"/>
    </sheetNames>
    <sheetDataSet>
      <sheetData sheetId="0"/>
      <sheetData sheetId="1"/>
      <sheetData sheetId="2"/>
      <sheetData sheetId="3">
        <row r="1">
          <cell r="C1" t="str">
            <v>agri</v>
          </cell>
          <cell r="D1" t="str">
            <v>a1</v>
          </cell>
          <cell r="E1" t="str">
            <v>a2</v>
          </cell>
          <cell r="F1" t="str">
            <v>a3</v>
          </cell>
          <cell r="I1" t="str">
            <v>mq</v>
          </cell>
          <cell r="J1" t="str">
            <v>mfg</v>
          </cell>
          <cell r="R1" t="str">
            <v>c</v>
          </cell>
          <cell r="S1" t="str">
            <v>svs</v>
          </cell>
          <cell r="T1" t="str">
            <v>s1</v>
          </cell>
          <cell r="U1" t="str">
            <v>s2</v>
          </cell>
          <cell r="V1" t="str">
            <v>s3</v>
          </cell>
          <cell r="W1" t="str">
            <v>s4</v>
          </cell>
          <cell r="X1" t="str">
            <v>s5</v>
          </cell>
          <cell r="Y1" t="str">
            <v>di</v>
          </cell>
        </row>
        <row r="2">
          <cell r="A2" t="str">
            <v>CONSTANT</v>
          </cell>
          <cell r="B2" t="str">
            <v>Industry</v>
          </cell>
          <cell r="D2">
            <v>1</v>
          </cell>
          <cell r="E2">
            <v>2</v>
          </cell>
          <cell r="F2">
            <v>3</v>
          </cell>
          <cell r="I2">
            <v>4</v>
          </cell>
          <cell r="K2">
            <v>6</v>
          </cell>
          <cell r="L2">
            <v>7</v>
          </cell>
          <cell r="M2">
            <v>8</v>
          </cell>
          <cell r="N2">
            <v>9</v>
          </cell>
          <cell r="O2">
            <v>10</v>
          </cell>
          <cell r="P2">
            <v>11</v>
          </cell>
          <cell r="Q2">
            <v>12</v>
          </cell>
          <cell r="R2">
            <v>5</v>
          </cell>
          <cell r="T2">
            <v>13</v>
          </cell>
          <cell r="U2">
            <v>14</v>
          </cell>
          <cell r="V2">
            <v>15</v>
          </cell>
          <cell r="W2">
            <v>16</v>
          </cell>
        </row>
        <row r="3">
          <cell r="A3">
            <v>2005</v>
          </cell>
          <cell r="B3" t="str">
            <v>I</v>
          </cell>
          <cell r="C3" t="str">
            <v>Agriculture</v>
          </cell>
          <cell r="D3" t="str">
            <v>Tanaman</v>
          </cell>
          <cell r="E3" t="str">
            <v>Pembalakan</v>
          </cell>
          <cell r="F3" t="str">
            <v>Perikanan</v>
          </cell>
          <cell r="I3" t="str">
            <v>Mining and
Quarrying</v>
          </cell>
          <cell r="J3" t="str">
            <v>Manufacturing</v>
          </cell>
          <cell r="K3" t="str">
            <v>Prosesan Makanan, Minuman dan Produk Tembakau</v>
          </cell>
          <cell r="L3" t="str">
            <v>Tekstil, Pakaian, Kulit dan Kasut</v>
          </cell>
          <cell r="M3" t="str">
            <v>Keluaran Kayu, Perabot, Produk Kertas, Percetakan dan Penerbitan</v>
          </cell>
          <cell r="N3" t="str">
            <v>Produk Petroleum, Bahan kimia, Getah dan Plastik</v>
          </cell>
          <cell r="O3" t="str">
            <v>Produk Mineral Bukan Logam, Logam Asli dan Produk Logam Yang Direka</v>
          </cell>
          <cell r="P3" t="str">
            <v>Elektrik dan Elektronik</v>
          </cell>
          <cell r="Q3" t="str">
            <v>Kelengkapan Pengangkutan dan Pembuatan Lain</v>
          </cell>
          <cell r="R3" t="str">
            <v>Construction</v>
          </cell>
          <cell r="S3" t="str">
            <v>Services</v>
          </cell>
          <cell r="T3" t="str">
            <v>Utiliti, Transport &amp; Communication</v>
          </cell>
          <cell r="U3" t="str">
            <v>WRT, Accomm &amp; Restaurant</v>
          </cell>
          <cell r="V3" t="str">
            <v>Finance &amp; Insurance, Real Estate &amp; Business Services</v>
          </cell>
          <cell r="W3" t="str">
            <v>Other Services</v>
          </cell>
          <cell r="X3" t="str">
            <v>Government Services</v>
          </cell>
          <cell r="Y3" t="str">
            <v>Plus :
Import Duties</v>
          </cell>
          <cell r="Z3" t="str">
            <v>GDP at
Purchasers' Prices</v>
          </cell>
        </row>
        <row r="4">
          <cell r="A4" t="str">
            <v>States</v>
          </cell>
          <cell r="B4" t="str">
            <v>Converter</v>
          </cell>
        </row>
        <row r="5">
          <cell r="A5" t="str">
            <v>Johor</v>
          </cell>
          <cell r="B5" t="str">
            <v>01</v>
          </cell>
          <cell r="C5">
            <v>6188.6869740789298</v>
          </cell>
          <cell r="D5">
            <v>5669.7259013497996</v>
          </cell>
          <cell r="E5">
            <v>45.404660919470203</v>
          </cell>
          <cell r="F5">
            <v>473.55641180965398</v>
          </cell>
          <cell r="I5">
            <v>50.620516345188399</v>
          </cell>
          <cell r="J5">
            <v>19313.560805921999</v>
          </cell>
          <cell r="K5">
            <v>1888.2624376276301</v>
          </cell>
          <cell r="L5">
            <v>1149.0903681325999</v>
          </cell>
          <cell r="M5">
            <v>1714.3932465764999</v>
          </cell>
          <cell r="N5">
            <v>2991.2672766727201</v>
          </cell>
          <cell r="O5">
            <v>2006.31809600568</v>
          </cell>
          <cell r="P5">
            <v>8059.1865180237201</v>
          </cell>
          <cell r="Q5">
            <v>1505.0428628831401</v>
          </cell>
          <cell r="R5">
            <v>1670.54664818574</v>
          </cell>
          <cell r="S5">
            <v>22105.495280909901</v>
          </cell>
          <cell r="T5">
            <v>5121.6287950521801</v>
          </cell>
          <cell r="U5">
            <v>4738.8112307610199</v>
          </cell>
          <cell r="V5">
            <v>6491.4735762118498</v>
          </cell>
          <cell r="W5">
            <v>2496.7540465810398</v>
          </cell>
          <cell r="X5">
            <v>3256.8276323038199</v>
          </cell>
          <cell r="Y5">
            <v>728.65346871345605</v>
          </cell>
          <cell r="Z5">
            <v>50057.5636941552</v>
          </cell>
        </row>
        <row r="6">
          <cell r="A6" t="str">
            <v>Kedah</v>
          </cell>
          <cell r="B6" t="str">
            <v>02</v>
          </cell>
          <cell r="C6">
            <v>2205.86141292909</v>
          </cell>
          <cell r="D6">
            <v>1914.1195857136699</v>
          </cell>
          <cell r="E6">
            <v>48.185576857368801</v>
          </cell>
          <cell r="F6">
            <v>243.55625035804999</v>
          </cell>
          <cell r="I6">
            <v>16.798627679947501</v>
          </cell>
          <cell r="J6">
            <v>6439.0935720568305</v>
          </cell>
          <cell r="K6">
            <v>281.20731449561799</v>
          </cell>
          <cell r="L6">
            <v>96.930988138971202</v>
          </cell>
          <cell r="M6">
            <v>440.53144658206003</v>
          </cell>
          <cell r="N6">
            <v>1243.63644861429</v>
          </cell>
          <cell r="O6">
            <v>1069.4520876377201</v>
          </cell>
          <cell r="P6">
            <v>2468.58309146803</v>
          </cell>
          <cell r="Q6">
            <v>838.75219512014905</v>
          </cell>
          <cell r="R6">
            <v>479.920265520209</v>
          </cell>
          <cell r="S6">
            <v>8577.0303768635804</v>
          </cell>
          <cell r="T6">
            <v>1286.23198685443</v>
          </cell>
          <cell r="U6">
            <v>2023.71962814313</v>
          </cell>
          <cell r="V6">
            <v>1562.0316095077601</v>
          </cell>
          <cell r="W6">
            <v>1614.1054910212999</v>
          </cell>
          <cell r="X6">
            <v>2090.9416613369599</v>
          </cell>
          <cell r="Y6">
            <v>109.9703374261</v>
          </cell>
          <cell r="Z6">
            <v>17828.6745924758</v>
          </cell>
        </row>
        <row r="7">
          <cell r="A7" t="str">
            <v>Kelantan</v>
          </cell>
          <cell r="B7" t="str">
            <v>03</v>
          </cell>
          <cell r="C7">
            <v>2344.5991933385599</v>
          </cell>
          <cell r="D7">
            <v>1883.75251168818</v>
          </cell>
          <cell r="E7">
            <v>292.99724383027001</v>
          </cell>
          <cell r="F7">
            <v>167.84943782010399</v>
          </cell>
          <cell r="I7">
            <v>16.786386316163199</v>
          </cell>
          <cell r="J7">
            <v>546.021104581906</v>
          </cell>
          <cell r="K7">
            <v>133.716111525911</v>
          </cell>
          <cell r="L7">
            <v>82.117642096891799</v>
          </cell>
          <cell r="M7">
            <v>99.548580440402105</v>
          </cell>
          <cell r="N7">
            <v>77.427332457531506</v>
          </cell>
          <cell r="O7">
            <v>34.503208304897598</v>
          </cell>
          <cell r="P7">
            <v>114.890064756613</v>
          </cell>
          <cell r="Q7">
            <v>3.8181649996589799</v>
          </cell>
          <cell r="R7">
            <v>177.04286407597399</v>
          </cell>
          <cell r="S7">
            <v>5935.6247485070598</v>
          </cell>
          <cell r="T7">
            <v>723.53971458984802</v>
          </cell>
          <cell r="U7">
            <v>1624.3435341894599</v>
          </cell>
          <cell r="V7">
            <v>647.72293706302503</v>
          </cell>
          <cell r="W7">
            <v>1141.9703719863901</v>
          </cell>
          <cell r="X7">
            <v>1798.04819067834</v>
          </cell>
          <cell r="Y7">
            <v>11.1525705205711</v>
          </cell>
          <cell r="Z7">
            <v>9031.2268673402305</v>
          </cell>
        </row>
        <row r="8">
          <cell r="A8" t="str">
            <v>Melaka</v>
          </cell>
          <cell r="B8" t="str">
            <v>04</v>
          </cell>
          <cell r="C8">
            <v>813.34341062993201</v>
          </cell>
          <cell r="D8">
            <v>799.24648329818001</v>
          </cell>
          <cell r="E8">
            <v>4.0672606939171997E-2</v>
          </cell>
          <cell r="F8">
            <v>14.0562547248129</v>
          </cell>
          <cell r="I8">
            <v>7.9443777633508503</v>
          </cell>
          <cell r="J8">
            <v>7593.5701683297902</v>
          </cell>
          <cell r="K8">
            <v>229.645071173025</v>
          </cell>
          <cell r="L8">
            <v>98.459729658165202</v>
          </cell>
          <cell r="M8">
            <v>411.14213293316999</v>
          </cell>
          <cell r="N8">
            <v>2862.92900939939</v>
          </cell>
          <cell r="O8">
            <v>611.91226312907202</v>
          </cell>
          <cell r="P8">
            <v>2167.05771523879</v>
          </cell>
          <cell r="Q8">
            <v>1212.4242467981801</v>
          </cell>
          <cell r="R8">
            <v>340.14170407848502</v>
          </cell>
          <cell r="S8">
            <v>6281.4052104497096</v>
          </cell>
          <cell r="T8">
            <v>1256.6868027578</v>
          </cell>
          <cell r="U8">
            <v>1861.2386838883499</v>
          </cell>
          <cell r="V8">
            <v>1276.8413914809501</v>
          </cell>
          <cell r="W8">
            <v>959.94229629765505</v>
          </cell>
          <cell r="X8">
            <v>926.69603602494703</v>
          </cell>
          <cell r="Y8">
            <v>12.647305123930799</v>
          </cell>
          <cell r="Z8">
            <v>15049.0521763752</v>
          </cell>
        </row>
        <row r="9">
          <cell r="A9" t="str">
            <v>Negeri Sembilan</v>
          </cell>
          <cell r="B9" t="str">
            <v>05</v>
          </cell>
          <cell r="C9">
            <v>1638.4824392743301</v>
          </cell>
          <cell r="D9">
            <v>1577.11907276651</v>
          </cell>
          <cell r="E9">
            <v>36.968810853014197</v>
          </cell>
          <cell r="F9">
            <v>24.394555654808499</v>
          </cell>
          <cell r="I9">
            <v>17.8073562157117</v>
          </cell>
          <cell r="J9">
            <v>10528.084675726601</v>
          </cell>
          <cell r="K9">
            <v>1056.1793738148799</v>
          </cell>
          <cell r="L9">
            <v>396.31895420225999</v>
          </cell>
          <cell r="M9">
            <v>371.14684069650701</v>
          </cell>
          <cell r="N9">
            <v>2262.04761504506</v>
          </cell>
          <cell r="O9">
            <v>723.17558514235202</v>
          </cell>
          <cell r="P9">
            <v>4681.3968444028596</v>
          </cell>
          <cell r="Q9">
            <v>1037.8194624227001</v>
          </cell>
          <cell r="R9">
            <v>411.71665288432098</v>
          </cell>
          <cell r="S9">
            <v>7045.2758865559599</v>
          </cell>
          <cell r="T9">
            <v>1564.2072475928301</v>
          </cell>
          <cell r="U9">
            <v>1685.5216305358299</v>
          </cell>
          <cell r="V9">
            <v>1465.2132277160799</v>
          </cell>
          <cell r="W9">
            <v>1045.59591398047</v>
          </cell>
          <cell r="X9">
            <v>1284.7378667307601</v>
          </cell>
          <cell r="Y9">
            <v>94.643394910766901</v>
          </cell>
          <cell r="Z9">
            <v>19736.0104055677</v>
          </cell>
        </row>
        <row r="10">
          <cell r="A10" t="str">
            <v>Pahang</v>
          </cell>
          <cell r="B10" t="str">
            <v>06</v>
          </cell>
          <cell r="C10">
            <v>5408.1524182366702</v>
          </cell>
          <cell r="D10">
            <v>4247.9775913840704</v>
          </cell>
          <cell r="E10">
            <v>700.02655418262998</v>
          </cell>
          <cell r="F10">
            <v>460.14827266996701</v>
          </cell>
          <cell r="I10">
            <v>100.97265852557599</v>
          </cell>
          <cell r="J10">
            <v>6422.5911004641202</v>
          </cell>
          <cell r="K10">
            <v>496.46787956383002</v>
          </cell>
          <cell r="L10">
            <v>17.898124393975099</v>
          </cell>
          <cell r="M10">
            <v>571.63532464968898</v>
          </cell>
          <cell r="N10">
            <v>3138.7165912176501</v>
          </cell>
          <cell r="O10">
            <v>579.36037098090799</v>
          </cell>
          <cell r="P10">
            <v>155.79759004910699</v>
          </cell>
          <cell r="Q10">
            <v>1462.7152196089601</v>
          </cell>
          <cell r="R10">
            <v>575.26311602041301</v>
          </cell>
          <cell r="S10">
            <v>10514.660589892301</v>
          </cell>
          <cell r="T10">
            <v>1182.4679888487699</v>
          </cell>
          <cell r="U10">
            <v>3212.7132296569698</v>
          </cell>
          <cell r="V10">
            <v>1370.6219651210999</v>
          </cell>
          <cell r="W10">
            <v>2811.54899205008</v>
          </cell>
          <cell r="X10">
            <v>1937.30841421541</v>
          </cell>
          <cell r="Y10">
            <v>39.701491019977198</v>
          </cell>
          <cell r="Z10">
            <v>23061.341374159099</v>
          </cell>
        </row>
        <row r="11">
          <cell r="A11" t="str">
            <v>Pulau Pinang</v>
          </cell>
          <cell r="B11" t="str">
            <v>07</v>
          </cell>
          <cell r="C11">
            <v>633.88290365591899</v>
          </cell>
          <cell r="D11">
            <v>486.018817116371</v>
          </cell>
          <cell r="E11">
            <v>0</v>
          </cell>
          <cell r="F11">
            <v>147.86408653954899</v>
          </cell>
          <cell r="I11">
            <v>17.481763989479099</v>
          </cell>
          <cell r="J11">
            <v>21249.074678795201</v>
          </cell>
          <cell r="K11">
            <v>593.55731447201003</v>
          </cell>
          <cell r="L11">
            <v>586.91874447794896</v>
          </cell>
          <cell r="M11">
            <v>620.24819278525695</v>
          </cell>
          <cell r="N11">
            <v>1660.50973175387</v>
          </cell>
          <cell r="O11">
            <v>1319.6283323750499</v>
          </cell>
          <cell r="P11">
            <v>15385.732970271099</v>
          </cell>
          <cell r="Q11">
            <v>1082.4793926599</v>
          </cell>
          <cell r="R11">
            <v>844.03512199132797</v>
          </cell>
          <cell r="S11">
            <v>16137.5740257668</v>
          </cell>
          <cell r="T11">
            <v>3422.52377358782</v>
          </cell>
          <cell r="U11">
            <v>4377.50240669906</v>
          </cell>
          <cell r="V11">
            <v>4705.9583963055902</v>
          </cell>
          <cell r="W11">
            <v>1743.76443271893</v>
          </cell>
          <cell r="X11">
            <v>1887.8250164554099</v>
          </cell>
          <cell r="Y11">
            <v>303.93796150801199</v>
          </cell>
          <cell r="Z11">
            <v>39185.986455706698</v>
          </cell>
        </row>
        <row r="12">
          <cell r="A12" t="str">
            <v>Perak</v>
          </cell>
          <cell r="B12" t="str">
            <v>08</v>
          </cell>
          <cell r="C12">
            <v>4685.9803496023796</v>
          </cell>
          <cell r="D12">
            <v>3298.0502540899201</v>
          </cell>
          <cell r="E12">
            <v>406.45567201757098</v>
          </cell>
          <cell r="F12">
            <v>981.47442349488597</v>
          </cell>
          <cell r="I12">
            <v>91.091266776845004</v>
          </cell>
          <cell r="J12">
            <v>5548.31659775966</v>
          </cell>
          <cell r="K12">
            <v>765.12245350003798</v>
          </cell>
          <cell r="L12">
            <v>265.726435190225</v>
          </cell>
          <cell r="M12">
            <v>338.617127108055</v>
          </cell>
          <cell r="N12">
            <v>1389.44580012133</v>
          </cell>
          <cell r="O12">
            <v>1099.7346644869101</v>
          </cell>
          <cell r="P12">
            <v>1503.72828676476</v>
          </cell>
          <cell r="Q12">
            <v>185.94183058834599</v>
          </cell>
          <cell r="R12">
            <v>703.66473522178899</v>
          </cell>
          <cell r="S12">
            <v>16636.6462646972</v>
          </cell>
          <cell r="T12">
            <v>5265.6380011209203</v>
          </cell>
          <cell r="U12">
            <v>3383.9586427775098</v>
          </cell>
          <cell r="V12">
            <v>2990.64760046632</v>
          </cell>
          <cell r="W12">
            <v>2275.7173696558698</v>
          </cell>
          <cell r="X12">
            <v>2720.6846506766201</v>
          </cell>
          <cell r="Y12">
            <v>67.206208322212206</v>
          </cell>
          <cell r="Z12">
            <v>27732.905422380099</v>
          </cell>
        </row>
        <row r="13">
          <cell r="A13" t="str">
            <v>Perlis</v>
          </cell>
          <cell r="B13" t="str">
            <v>09</v>
          </cell>
          <cell r="C13">
            <v>725.89663866670503</v>
          </cell>
          <cell r="D13">
            <v>278.91880025355698</v>
          </cell>
          <cell r="E13">
            <v>0</v>
          </cell>
          <cell r="F13">
            <v>446.97783841314799</v>
          </cell>
          <cell r="I13">
            <v>6.9470361339644002</v>
          </cell>
          <cell r="J13">
            <v>351.52005627757399</v>
          </cell>
          <cell r="K13">
            <v>44.269024490114496</v>
          </cell>
          <cell r="L13">
            <v>60.578535001281097</v>
          </cell>
          <cell r="M13">
            <v>6.5541373030035297</v>
          </cell>
          <cell r="N13">
            <v>168.24860846190299</v>
          </cell>
          <cell r="O13">
            <v>70.705771288334802</v>
          </cell>
          <cell r="P13">
            <v>0.92189678059466695</v>
          </cell>
          <cell r="Q13">
            <v>0.24208295234268001</v>
          </cell>
          <cell r="R13">
            <v>103.337365275102</v>
          </cell>
          <cell r="S13">
            <v>1525.83336834177</v>
          </cell>
          <cell r="T13">
            <v>546.75645965767706</v>
          </cell>
          <cell r="U13">
            <v>180.331110330911</v>
          </cell>
          <cell r="V13">
            <v>185.90757136182501</v>
          </cell>
          <cell r="W13">
            <v>220.28500223045799</v>
          </cell>
          <cell r="X13">
            <v>392.55322476089799</v>
          </cell>
          <cell r="Y13">
            <v>131.38239279555199</v>
          </cell>
          <cell r="Z13">
            <v>2844.9168574906698</v>
          </cell>
        </row>
        <row r="14">
          <cell r="A14" t="str">
            <v>Selangor</v>
          </cell>
          <cell r="B14">
            <v>10</v>
          </cell>
          <cell r="C14">
            <v>1700.94850627546</v>
          </cell>
          <cell r="D14">
            <v>1249.83756190091</v>
          </cell>
          <cell r="E14">
            <v>16.9925384062762</v>
          </cell>
          <cell r="F14">
            <v>434.11840596827602</v>
          </cell>
          <cell r="I14">
            <v>110.675543265549</v>
          </cell>
          <cell r="J14">
            <v>41647.757199532098</v>
          </cell>
          <cell r="K14">
            <v>5731.0679308809504</v>
          </cell>
          <cell r="L14">
            <v>380.54330017951997</v>
          </cell>
          <cell r="M14">
            <v>2421.2223443857401</v>
          </cell>
          <cell r="N14">
            <v>4938.7307381500304</v>
          </cell>
          <cell r="O14">
            <v>4365.0052055072902</v>
          </cell>
          <cell r="P14">
            <v>12415.9563022166</v>
          </cell>
          <cell r="Q14">
            <v>11395.231378212</v>
          </cell>
          <cell r="R14">
            <v>5046.5629932728398</v>
          </cell>
          <cell r="S14">
            <v>60916.670571898598</v>
          </cell>
          <cell r="T14">
            <v>16201.6721678055</v>
          </cell>
          <cell r="U14">
            <v>20229.6977731402</v>
          </cell>
          <cell r="V14">
            <v>14073.437855992701</v>
          </cell>
          <cell r="W14">
            <v>5684.9188574445898</v>
          </cell>
          <cell r="X14">
            <v>4726.9439175156504</v>
          </cell>
          <cell r="Y14">
            <v>3762.1254486965399</v>
          </cell>
          <cell r="Z14">
            <v>113184.74026294101</v>
          </cell>
        </row>
        <row r="15">
          <cell r="A15" t="str">
            <v>Terengganu</v>
          </cell>
          <cell r="B15">
            <v>11</v>
          </cell>
          <cell r="C15">
            <v>1565.5290648018599</v>
          </cell>
          <cell r="D15">
            <v>1073.6706009096399</v>
          </cell>
          <cell r="E15">
            <v>153.17327892166099</v>
          </cell>
          <cell r="F15">
            <v>338.68518497056101</v>
          </cell>
          <cell r="I15">
            <v>10.4755656271611</v>
          </cell>
          <cell r="J15">
            <v>6476.2641170741999</v>
          </cell>
          <cell r="K15">
            <v>97.305363964005096</v>
          </cell>
          <cell r="L15">
            <v>27.908073639538699</v>
          </cell>
          <cell r="M15">
            <v>145.959550427875</v>
          </cell>
          <cell r="N15">
            <v>5737.3221183033302</v>
          </cell>
          <cell r="O15">
            <v>399.11324204521202</v>
          </cell>
          <cell r="P15">
            <v>5.0954298774075903</v>
          </cell>
          <cell r="Q15">
            <v>63.560338816834197</v>
          </cell>
          <cell r="R15">
            <v>413.540567422283</v>
          </cell>
          <cell r="S15">
            <v>7087.1959635036601</v>
          </cell>
          <cell r="T15">
            <v>2938.6086555571401</v>
          </cell>
          <cell r="U15">
            <v>1189.81752500624</v>
          </cell>
          <cell r="V15">
            <v>544.83815395728197</v>
          </cell>
          <cell r="W15">
            <v>762.75474874239501</v>
          </cell>
          <cell r="X15">
            <v>1651.1768802406</v>
          </cell>
          <cell r="Y15">
            <v>9.2395649206271493</v>
          </cell>
          <cell r="Z15">
            <v>15562.244843349799</v>
          </cell>
        </row>
        <row r="16">
          <cell r="A16" t="str">
            <v>Sabah</v>
          </cell>
          <cell r="B16">
            <v>12</v>
          </cell>
          <cell r="C16">
            <v>9647.3803529176894</v>
          </cell>
          <cell r="D16">
            <v>6318.3875139191196</v>
          </cell>
          <cell r="E16">
            <v>2265.7688590278499</v>
          </cell>
          <cell r="F16">
            <v>1063.2239799707199</v>
          </cell>
          <cell r="I16">
            <v>5132.6603951794996</v>
          </cell>
          <cell r="J16">
            <v>3148.6969028643598</v>
          </cell>
          <cell r="K16">
            <v>1760.7973808909701</v>
          </cell>
          <cell r="L16">
            <v>25.268410039433601</v>
          </cell>
          <cell r="M16">
            <v>910.40826712844898</v>
          </cell>
          <cell r="N16">
            <v>110.404578133225</v>
          </cell>
          <cell r="O16">
            <v>190.22212738276301</v>
          </cell>
          <cell r="P16">
            <v>5.9322727378743503</v>
          </cell>
          <cell r="Q16">
            <v>145.66386655164101</v>
          </cell>
          <cell r="R16">
            <v>950.17214652152404</v>
          </cell>
          <cell r="S16">
            <v>13421.123082458</v>
          </cell>
          <cell r="T16">
            <v>2601.18674242421</v>
          </cell>
          <cell r="U16">
            <v>3787.1510727289601</v>
          </cell>
          <cell r="V16">
            <v>2791.7752197510199</v>
          </cell>
          <cell r="W16">
            <v>1439.16800893804</v>
          </cell>
          <cell r="X16">
            <v>2801.84203861574</v>
          </cell>
          <cell r="Y16">
            <v>126.63967503849101</v>
          </cell>
          <cell r="Z16">
            <v>32426.672554979501</v>
          </cell>
        </row>
        <row r="17">
          <cell r="A17" t="str">
            <v>Sarawak</v>
          </cell>
          <cell r="B17">
            <v>13</v>
          </cell>
          <cell r="C17">
            <v>7277.5600092764498</v>
          </cell>
          <cell r="D17">
            <v>2688.1252017148199</v>
          </cell>
          <cell r="E17">
            <v>3980.5306111598502</v>
          </cell>
          <cell r="F17">
            <v>608.904196401783</v>
          </cell>
          <cell r="I17">
            <v>15492.7551275153</v>
          </cell>
          <cell r="J17">
            <v>15986.7967793149</v>
          </cell>
          <cell r="K17">
            <v>577.80423886552705</v>
          </cell>
          <cell r="L17">
            <v>18.816444659134401</v>
          </cell>
          <cell r="M17">
            <v>1591.1434893918499</v>
          </cell>
          <cell r="N17">
            <v>12491.029111321701</v>
          </cell>
          <cell r="O17">
            <v>465.65915069333499</v>
          </cell>
          <cell r="P17">
            <v>610.89899601884804</v>
          </cell>
          <cell r="Q17">
            <v>231.44534836451899</v>
          </cell>
          <cell r="R17">
            <v>1368.2228298833199</v>
          </cell>
          <cell r="S17">
            <v>17345.898143881801</v>
          </cell>
          <cell r="T17">
            <v>4159.0955870482303</v>
          </cell>
          <cell r="U17">
            <v>4254.8856685601104</v>
          </cell>
          <cell r="V17">
            <v>4220.5458403617604</v>
          </cell>
          <cell r="W17">
            <v>1900.1070644228801</v>
          </cell>
          <cell r="X17">
            <v>2811.26398348885</v>
          </cell>
          <cell r="Y17">
            <v>229.13657208042</v>
          </cell>
          <cell r="Z17">
            <v>57700.369461952301</v>
          </cell>
        </row>
        <row r="18">
          <cell r="A18" t="str">
            <v>WP Kuala Lumpur</v>
          </cell>
          <cell r="B18">
            <v>14</v>
          </cell>
          <cell r="C18">
            <v>2.1689198892843402</v>
          </cell>
          <cell r="D18">
            <v>2.1689198892843402</v>
          </cell>
          <cell r="E18">
            <v>0</v>
          </cell>
          <cell r="F18">
            <v>0</v>
          </cell>
          <cell r="I18">
            <v>24.8085170014017</v>
          </cell>
          <cell r="J18">
            <v>3907.8977998006098</v>
          </cell>
          <cell r="K18">
            <v>460.74423564599903</v>
          </cell>
          <cell r="L18">
            <v>295.220099718342</v>
          </cell>
          <cell r="M18">
            <v>1056.44641275192</v>
          </cell>
          <cell r="N18">
            <v>577.84337992862697</v>
          </cell>
          <cell r="O18">
            <v>462.74103243345598</v>
          </cell>
          <cell r="P18">
            <v>482.255021393606</v>
          </cell>
          <cell r="Q18">
            <v>572.64761792866295</v>
          </cell>
          <cell r="R18">
            <v>2998.0714186278701</v>
          </cell>
          <cell r="S18">
            <v>59372.634297558601</v>
          </cell>
          <cell r="T18">
            <v>4062.56745868399</v>
          </cell>
          <cell r="U18">
            <v>21923.565608608798</v>
          </cell>
          <cell r="V18">
            <v>22714.2177897578</v>
          </cell>
          <cell r="W18">
            <v>3342.8796808709599</v>
          </cell>
          <cell r="X18">
            <v>7329.4037596370499</v>
          </cell>
          <cell r="Y18">
            <v>711.37331333309896</v>
          </cell>
          <cell r="Z18">
            <v>67016.954266210902</v>
          </cell>
        </row>
        <row r="19">
          <cell r="A19" t="str">
            <v>WP Labuan</v>
          </cell>
          <cell r="B19">
            <v>15</v>
          </cell>
          <cell r="C19">
            <v>73.771698700430406</v>
          </cell>
          <cell r="D19">
            <v>6.79363146008754</v>
          </cell>
          <cell r="E19">
            <v>0</v>
          </cell>
          <cell r="F19">
            <v>66.978067240342796</v>
          </cell>
          <cell r="I19">
            <v>0</v>
          </cell>
          <cell r="J19">
            <v>595.108748200533</v>
          </cell>
          <cell r="K19">
            <v>24.0042477805912</v>
          </cell>
          <cell r="L19">
            <v>2.2342777848289801</v>
          </cell>
          <cell r="M19">
            <v>1.57515183952991</v>
          </cell>
          <cell r="N19">
            <v>468.53098511556101</v>
          </cell>
          <cell r="O19">
            <v>90.166862587020205</v>
          </cell>
          <cell r="P19">
            <v>0</v>
          </cell>
          <cell r="Q19">
            <v>8.5972230930015403</v>
          </cell>
          <cell r="R19">
            <v>24.3120582451525</v>
          </cell>
          <cell r="S19">
            <v>1419.04543309839</v>
          </cell>
          <cell r="T19">
            <v>176.82434864987599</v>
          </cell>
          <cell r="U19">
            <v>168.241821884486</v>
          </cell>
          <cell r="V19">
            <v>973.75818969116494</v>
          </cell>
          <cell r="W19">
            <v>60.281927196105002</v>
          </cell>
          <cell r="X19">
            <v>39.939145676755501</v>
          </cell>
          <cell r="Y19">
            <v>33.8454851802448</v>
          </cell>
          <cell r="Z19">
            <v>2146.08342342475</v>
          </cell>
        </row>
        <row r="20">
          <cell r="A20" t="str">
            <v>Supra1</v>
          </cell>
          <cell r="C20">
            <v>0</v>
          </cell>
          <cell r="D20">
            <v>0</v>
          </cell>
          <cell r="E20">
            <v>0</v>
          </cell>
          <cell r="F20">
            <v>0</v>
          </cell>
          <cell r="I20">
            <v>51013.064607915097</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51013.064607915097</v>
          </cell>
        </row>
        <row r="21">
          <cell r="A21" t="str">
            <v>MALAYSIA</v>
          </cell>
          <cell r="C21">
            <v>44912.244292273703</v>
          </cell>
          <cell r="D21">
            <v>31493.912447454099</v>
          </cell>
          <cell r="E21">
            <v>7946.5444787829001</v>
          </cell>
          <cell r="F21">
            <v>5471.7873660366604</v>
          </cell>
          <cell r="I21">
            <v>72110.889746250294</v>
          </cell>
          <cell r="J21">
            <v>149754.3543067</v>
          </cell>
          <cell r="K21">
            <v>14140.1503786911</v>
          </cell>
          <cell r="L21">
            <v>3504.0301273131199</v>
          </cell>
          <cell r="M21">
            <v>10700.572244999999</v>
          </cell>
          <cell r="N21">
            <v>40118.0893246962</v>
          </cell>
          <cell r="O21">
            <v>13487.698</v>
          </cell>
          <cell r="P21">
            <v>48057.432999999997</v>
          </cell>
          <cell r="Q21">
            <v>19746.381230999999</v>
          </cell>
          <cell r="R21">
            <v>16106.550487226301</v>
          </cell>
          <cell r="S21">
            <v>254322.11324438301</v>
          </cell>
          <cell r="T21">
            <v>50509.635730231297</v>
          </cell>
          <cell r="U21">
            <v>74641.499566911007</v>
          </cell>
          <cell r="V21">
            <v>66014.991324746195</v>
          </cell>
          <cell r="W21">
            <v>27499.794204137201</v>
          </cell>
          <cell r="X21">
            <v>35656.192418357801</v>
          </cell>
          <cell r="Y21">
            <v>6371.6551895900002</v>
          </cell>
          <cell r="Z21">
            <v>543577.80726642394</v>
          </cell>
        </row>
        <row r="24">
          <cell r="A24" t="str">
            <v>CONSTANT</v>
          </cell>
          <cell r="B24" t="str">
            <v>Industry</v>
          </cell>
          <cell r="D24">
            <v>1</v>
          </cell>
          <cell r="E24">
            <v>2</v>
          </cell>
          <cell r="F24">
            <v>3</v>
          </cell>
          <cell r="I24">
            <v>4</v>
          </cell>
          <cell r="K24">
            <v>6</v>
          </cell>
          <cell r="L24">
            <v>7</v>
          </cell>
          <cell r="M24">
            <v>8</v>
          </cell>
          <cell r="N24">
            <v>9</v>
          </cell>
          <cell r="O24">
            <v>10</v>
          </cell>
          <cell r="P24">
            <v>11</v>
          </cell>
          <cell r="Q24">
            <v>12</v>
          </cell>
          <cell r="R24">
            <v>5</v>
          </cell>
          <cell r="T24">
            <v>13</v>
          </cell>
          <cell r="U24">
            <v>14</v>
          </cell>
          <cell r="V24">
            <v>15</v>
          </cell>
          <cell r="W24">
            <v>16</v>
          </cell>
        </row>
        <row r="25">
          <cell r="A25">
            <v>2006</v>
          </cell>
          <cell r="B25" t="str">
            <v>I</v>
          </cell>
          <cell r="C25" t="str">
            <v>Agriculture</v>
          </cell>
          <cell r="D25" t="str">
            <v>Tanaman</v>
          </cell>
          <cell r="E25" t="str">
            <v>Pembalakan</v>
          </cell>
          <cell r="F25" t="str">
            <v>Perikanan</v>
          </cell>
          <cell r="I25" t="str">
            <v>Mining and
Quarrying</v>
          </cell>
          <cell r="J25" t="str">
            <v>Manufacturing</v>
          </cell>
          <cell r="K25" t="str">
            <v>Prosesan Makanan, Minuman dan Produk Tembakau</v>
          </cell>
          <cell r="L25" t="str">
            <v>Tekstil, Pakaian, Kulit dan Kasut</v>
          </cell>
          <cell r="M25" t="str">
            <v>Keluaran Kayu, Perabot, Produk Kertas, Percetakan dan Penerbitan</v>
          </cell>
          <cell r="N25" t="str">
            <v>Produk Petroleum, Bahan kimia, Getah dan Plastik</v>
          </cell>
          <cell r="O25" t="str">
            <v>Produk Mineral Bukan Logam, Logam Asli dan Produk Logam Yang Direka</v>
          </cell>
          <cell r="P25" t="str">
            <v>Elektrik dan Elektronik</v>
          </cell>
          <cell r="Q25" t="str">
            <v>Kelengkapan Pengangkutan dan Pembuatan Lain</v>
          </cell>
          <cell r="R25" t="str">
            <v>Construction</v>
          </cell>
          <cell r="S25" t="str">
            <v>Services</v>
          </cell>
          <cell r="T25" t="str">
            <v>Utiliti, Transport &amp; Communication</v>
          </cell>
          <cell r="U25" t="str">
            <v>WRT, Accomm &amp; Restaurant</v>
          </cell>
          <cell r="V25" t="str">
            <v>Finance &amp; Insurance, Real Estate &amp; Business Services</v>
          </cell>
          <cell r="W25" t="str">
            <v>Other Services</v>
          </cell>
          <cell r="X25" t="str">
            <v>Government Services</v>
          </cell>
          <cell r="Y25" t="str">
            <v>Plus :
Import Duties</v>
          </cell>
          <cell r="Z25" t="str">
            <v>GDP at
Purchasers' Prices</v>
          </cell>
        </row>
        <row r="26">
          <cell r="A26" t="str">
            <v>States</v>
          </cell>
          <cell r="B26" t="str">
            <v>Converter</v>
          </cell>
        </row>
        <row r="27">
          <cell r="A27" t="str">
            <v>Johor</v>
          </cell>
          <cell r="B27" t="str">
            <v>01</v>
          </cell>
          <cell r="C27">
            <v>6654.2396491146401</v>
          </cell>
          <cell r="D27">
            <v>5977.43668348548</v>
          </cell>
          <cell r="E27">
            <v>102.45171403581401</v>
          </cell>
          <cell r="F27">
            <v>574.351251593347</v>
          </cell>
          <cell r="I27">
            <v>48.2440928592018</v>
          </cell>
          <cell r="J27">
            <v>20066.005193343699</v>
          </cell>
          <cell r="K27">
            <v>1587.0553593141101</v>
          </cell>
          <cell r="L27">
            <v>1079.6354715331299</v>
          </cell>
          <cell r="M27">
            <v>1491.8417091542101</v>
          </cell>
          <cell r="N27">
            <v>3753.2871051659699</v>
          </cell>
          <cell r="O27">
            <v>2371.92938811051</v>
          </cell>
          <cell r="P27">
            <v>8364.2660230885595</v>
          </cell>
          <cell r="Q27">
            <v>1417.9901369772199</v>
          </cell>
          <cell r="R27">
            <v>1568.45996558397</v>
          </cell>
          <cell r="S27">
            <v>23481.829570811798</v>
          </cell>
          <cell r="T27">
            <v>5430.9591622893204</v>
          </cell>
          <cell r="U27">
            <v>5091.9409273339097</v>
          </cell>
          <cell r="V27">
            <v>6795.4771230062597</v>
          </cell>
          <cell r="W27">
            <v>2531.2759057048002</v>
          </cell>
          <cell r="X27">
            <v>3632.1764524775099</v>
          </cell>
          <cell r="Y27">
            <v>720.39271590590999</v>
          </cell>
          <cell r="Z27">
            <v>52539.171187619198</v>
          </cell>
        </row>
        <row r="28">
          <cell r="A28" t="str">
            <v>Kedah</v>
          </cell>
          <cell r="B28" t="str">
            <v>02</v>
          </cell>
          <cell r="C28">
            <v>2416.9332573101001</v>
          </cell>
          <cell r="D28">
            <v>2060.9680526072898</v>
          </cell>
          <cell r="E28">
            <v>80.483431624916705</v>
          </cell>
          <cell r="F28">
            <v>275.48177307788598</v>
          </cell>
          <cell r="I28">
            <v>16.5266256769922</v>
          </cell>
          <cell r="J28">
            <v>6984.3359707004201</v>
          </cell>
          <cell r="K28">
            <v>276.28719718090599</v>
          </cell>
          <cell r="L28">
            <v>69.637096233941406</v>
          </cell>
          <cell r="M28">
            <v>472.22697892102002</v>
          </cell>
          <cell r="N28">
            <v>1168.3168660113399</v>
          </cell>
          <cell r="O28">
            <v>1326.57567433551</v>
          </cell>
          <cell r="P28">
            <v>2784.3407263300001</v>
          </cell>
          <cell r="Q28">
            <v>886.95143168770198</v>
          </cell>
          <cell r="R28">
            <v>453.96999135908499</v>
          </cell>
          <cell r="S28">
            <v>9248.8233385255007</v>
          </cell>
          <cell r="T28">
            <v>1359.7214274135199</v>
          </cell>
          <cell r="U28">
            <v>2144.99827280614</v>
          </cell>
          <cell r="V28">
            <v>1764.2756371395401</v>
          </cell>
          <cell r="W28">
            <v>1652.1409922943201</v>
          </cell>
          <cell r="X28">
            <v>2327.6870088719702</v>
          </cell>
          <cell r="Y28">
            <v>134.45064089028699</v>
          </cell>
          <cell r="Z28">
            <v>19255.039824462401</v>
          </cell>
        </row>
        <row r="29">
          <cell r="A29" t="str">
            <v>Kelantan</v>
          </cell>
          <cell r="B29" t="str">
            <v>03</v>
          </cell>
          <cell r="C29">
            <v>2617.7804497956299</v>
          </cell>
          <cell r="D29">
            <v>1942.4817276997501</v>
          </cell>
          <cell r="E29">
            <v>416.49956725049998</v>
          </cell>
          <cell r="F29">
            <v>258.79915484537702</v>
          </cell>
          <cell r="I29">
            <v>14.4181754742871</v>
          </cell>
          <cell r="J29">
            <v>510.70083418754098</v>
          </cell>
          <cell r="K29">
            <v>138.341438523666</v>
          </cell>
          <cell r="L29">
            <v>28.742611609802001</v>
          </cell>
          <cell r="M29">
            <v>73.505500890016407</v>
          </cell>
          <cell r="N29">
            <v>68.319025944010207</v>
          </cell>
          <cell r="O29">
            <v>27.574781203743701</v>
          </cell>
          <cell r="P29">
            <v>166.28079755626999</v>
          </cell>
          <cell r="Q29">
            <v>7.9366784600321303</v>
          </cell>
          <cell r="R29">
            <v>169.46443534701299</v>
          </cell>
          <cell r="S29">
            <v>6335.7900702748702</v>
          </cell>
          <cell r="T29">
            <v>743.703512481487</v>
          </cell>
          <cell r="U29">
            <v>1681.2531728200699</v>
          </cell>
          <cell r="V29">
            <v>733.54320103359203</v>
          </cell>
          <cell r="W29">
            <v>1174.0590217900599</v>
          </cell>
          <cell r="X29">
            <v>2003.2311621496599</v>
          </cell>
          <cell r="Y29">
            <v>10.1210965389053</v>
          </cell>
          <cell r="Z29">
            <v>9658.2750616182493</v>
          </cell>
        </row>
        <row r="30">
          <cell r="A30" t="str">
            <v>Melaka</v>
          </cell>
          <cell r="B30" t="str">
            <v>04</v>
          </cell>
          <cell r="C30">
            <v>961.73329875419302</v>
          </cell>
          <cell r="D30">
            <v>946.90645762184204</v>
          </cell>
          <cell r="E30">
            <v>0.56006563844926804</v>
          </cell>
          <cell r="F30">
            <v>14.2667754939018</v>
          </cell>
          <cell r="I30">
            <v>7.2982247814966499</v>
          </cell>
          <cell r="J30">
            <v>8312.7953274922893</v>
          </cell>
          <cell r="K30">
            <v>279.76590521138502</v>
          </cell>
          <cell r="L30">
            <v>123.176742626142</v>
          </cell>
          <cell r="M30">
            <v>442.37175795455897</v>
          </cell>
          <cell r="N30">
            <v>3086.4389693970802</v>
          </cell>
          <cell r="O30">
            <v>544.35209201866803</v>
          </cell>
          <cell r="P30">
            <v>2439.4310327828998</v>
          </cell>
          <cell r="Q30">
            <v>1397.2588275015601</v>
          </cell>
          <cell r="R30">
            <v>314.481252041853</v>
          </cell>
          <cell r="S30">
            <v>6723.3246634145798</v>
          </cell>
          <cell r="T30">
            <v>1310.63766722995</v>
          </cell>
          <cell r="U30">
            <v>2030.95637384611</v>
          </cell>
          <cell r="V30">
            <v>1363.28402879383</v>
          </cell>
          <cell r="W30">
            <v>941.08484483895404</v>
          </cell>
          <cell r="X30">
            <v>1077.36174870574</v>
          </cell>
          <cell r="Y30">
            <v>13.5031970924452</v>
          </cell>
          <cell r="Z30">
            <v>16333.1359635769</v>
          </cell>
        </row>
        <row r="31">
          <cell r="A31" t="str">
            <v>Negeri Sembilan</v>
          </cell>
          <cell r="B31" t="str">
            <v>05</v>
          </cell>
          <cell r="C31">
            <v>1816.8817302615</v>
          </cell>
          <cell r="D31">
            <v>1755.0937258404799</v>
          </cell>
          <cell r="E31">
            <v>34.323036923676298</v>
          </cell>
          <cell r="F31">
            <v>27.4649674973491</v>
          </cell>
          <cell r="I31">
            <v>17.521266820900799</v>
          </cell>
          <cell r="J31">
            <v>11476.808555940101</v>
          </cell>
          <cell r="K31">
            <v>1046.3834184627799</v>
          </cell>
          <cell r="L31">
            <v>436.74818218174102</v>
          </cell>
          <cell r="M31">
            <v>350.543940464765</v>
          </cell>
          <cell r="N31">
            <v>2567.4890385008798</v>
          </cell>
          <cell r="O31">
            <v>727.23829080610096</v>
          </cell>
          <cell r="P31">
            <v>5219.1744241468195</v>
          </cell>
          <cell r="Q31">
            <v>1129.23126137699</v>
          </cell>
          <cell r="R31">
            <v>402.713166861057</v>
          </cell>
          <cell r="S31">
            <v>7770.8126822294198</v>
          </cell>
          <cell r="T31">
            <v>1942.77472567326</v>
          </cell>
          <cell r="U31">
            <v>1768.0648375599601</v>
          </cell>
          <cell r="V31">
            <v>1615.4923418825299</v>
          </cell>
          <cell r="W31">
            <v>1013.4833123183799</v>
          </cell>
          <cell r="X31">
            <v>1430.9974647952999</v>
          </cell>
          <cell r="Y31">
            <v>69.357214698448203</v>
          </cell>
          <cell r="Z31">
            <v>21554.094616811399</v>
          </cell>
        </row>
        <row r="32">
          <cell r="A32" t="str">
            <v>Pahang</v>
          </cell>
          <cell r="B32" t="str">
            <v>06</v>
          </cell>
          <cell r="C32">
            <v>5770.1410985738403</v>
          </cell>
          <cell r="D32">
            <v>4670.4509523632396</v>
          </cell>
          <cell r="E32">
            <v>601.50505578969899</v>
          </cell>
          <cell r="F32">
            <v>498.18509042089698</v>
          </cell>
          <cell r="I32">
            <v>80.273290052901302</v>
          </cell>
          <cell r="J32">
            <v>7110.56842070932</v>
          </cell>
          <cell r="K32">
            <v>705.05093354776295</v>
          </cell>
          <cell r="L32">
            <v>16.2012290888499</v>
          </cell>
          <cell r="M32">
            <v>575.46873181503702</v>
          </cell>
          <cell r="N32">
            <v>3388.2393176946598</v>
          </cell>
          <cell r="O32">
            <v>821.98883967955101</v>
          </cell>
          <cell r="P32">
            <v>156.633803980365</v>
          </cell>
          <cell r="Q32">
            <v>1446.9855649031001</v>
          </cell>
          <cell r="R32">
            <v>571.58063128502101</v>
          </cell>
          <cell r="S32">
            <v>11138.208615434</v>
          </cell>
          <cell r="T32">
            <v>1193.2923306241</v>
          </cell>
          <cell r="U32">
            <v>3344.69661445665</v>
          </cell>
          <cell r="V32">
            <v>1442.7687051277801</v>
          </cell>
          <cell r="W32">
            <v>2847.8550902402999</v>
          </cell>
          <cell r="X32">
            <v>2309.5958749852098</v>
          </cell>
          <cell r="Y32">
            <v>22.447246895454899</v>
          </cell>
          <cell r="Z32">
            <v>24693.219302950602</v>
          </cell>
        </row>
        <row r="33">
          <cell r="A33" t="str">
            <v>Pulau Pinang</v>
          </cell>
          <cell r="B33" t="str">
            <v>07</v>
          </cell>
          <cell r="C33">
            <v>700.37903219198802</v>
          </cell>
          <cell r="D33">
            <v>509.13645040512699</v>
          </cell>
          <cell r="E33">
            <v>0</v>
          </cell>
          <cell r="F33">
            <v>191.242581786861</v>
          </cell>
          <cell r="I33">
            <v>17.069804358913899</v>
          </cell>
          <cell r="J33">
            <v>24429.468358772901</v>
          </cell>
          <cell r="K33">
            <v>654.61044932812695</v>
          </cell>
          <cell r="L33">
            <v>612.56336167766096</v>
          </cell>
          <cell r="M33">
            <v>659.10544401958396</v>
          </cell>
          <cell r="N33">
            <v>1525.35515757352</v>
          </cell>
          <cell r="O33">
            <v>1448.2715015645299</v>
          </cell>
          <cell r="P33">
            <v>18169.729390371002</v>
          </cell>
          <cell r="Q33">
            <v>1359.8330542385499</v>
          </cell>
          <cell r="R33">
            <v>812.77198186290195</v>
          </cell>
          <cell r="S33">
            <v>17152.767881577001</v>
          </cell>
          <cell r="T33">
            <v>3594.64591975957</v>
          </cell>
          <cell r="U33">
            <v>4716.9243092330598</v>
          </cell>
          <cell r="V33">
            <v>4974.7578420442396</v>
          </cell>
          <cell r="W33">
            <v>1790.5109599922</v>
          </cell>
          <cell r="X33">
            <v>2075.9288505479299</v>
          </cell>
          <cell r="Y33">
            <v>288.17007924230597</v>
          </cell>
          <cell r="Z33">
            <v>43400.627138005999</v>
          </cell>
        </row>
        <row r="34">
          <cell r="A34" t="str">
            <v>Perak</v>
          </cell>
          <cell r="B34" t="str">
            <v>08</v>
          </cell>
          <cell r="C34">
            <v>4841.0016055975502</v>
          </cell>
          <cell r="D34">
            <v>3421.0083503465798</v>
          </cell>
          <cell r="E34">
            <v>437.91478096930803</v>
          </cell>
          <cell r="F34">
            <v>982.07847428165701</v>
          </cell>
          <cell r="I34">
            <v>96.861769646077704</v>
          </cell>
          <cell r="J34">
            <v>6254.8965298297999</v>
          </cell>
          <cell r="K34">
            <v>1097.4020779704699</v>
          </cell>
          <cell r="L34">
            <v>241.59735163935599</v>
          </cell>
          <cell r="M34">
            <v>280.87450900017001</v>
          </cell>
          <cell r="N34">
            <v>1450.6703072558901</v>
          </cell>
          <cell r="O34">
            <v>1237.64135666889</v>
          </cell>
          <cell r="P34">
            <v>1827.0408066418499</v>
          </cell>
          <cell r="Q34">
            <v>119.670120653178</v>
          </cell>
          <cell r="R34">
            <v>675.10509915070998</v>
          </cell>
          <cell r="S34">
            <v>17636.900254423301</v>
          </cell>
          <cell r="T34">
            <v>5560.2253040654696</v>
          </cell>
          <cell r="U34">
            <v>3586.6042339098699</v>
          </cell>
          <cell r="V34">
            <v>3145.8265380559301</v>
          </cell>
          <cell r="W34">
            <v>2325.5727982825902</v>
          </cell>
          <cell r="X34">
            <v>3018.6713801094002</v>
          </cell>
          <cell r="Y34">
            <v>53.537682655929402</v>
          </cell>
          <cell r="Z34">
            <v>29558.3029413033</v>
          </cell>
        </row>
        <row r="35">
          <cell r="A35" t="str">
            <v>Perlis</v>
          </cell>
          <cell r="B35" t="str">
            <v>09</v>
          </cell>
          <cell r="C35">
            <v>808.72593428289599</v>
          </cell>
          <cell r="D35">
            <v>259.95321692836001</v>
          </cell>
          <cell r="E35">
            <v>0</v>
          </cell>
          <cell r="F35">
            <v>548.77271735453598</v>
          </cell>
          <cell r="I35">
            <v>6.8446087585817601</v>
          </cell>
          <cell r="J35">
            <v>345.19007959309801</v>
          </cell>
          <cell r="K35">
            <v>49.105577399240801</v>
          </cell>
          <cell r="L35">
            <v>57.869775833981798</v>
          </cell>
          <cell r="M35">
            <v>10.7097310719837</v>
          </cell>
          <cell r="N35">
            <v>134.12184479401901</v>
          </cell>
          <cell r="O35">
            <v>91.561314600732601</v>
          </cell>
          <cell r="P35">
            <v>1.82183589313928</v>
          </cell>
          <cell r="Q35">
            <v>0</v>
          </cell>
          <cell r="R35">
            <v>100.551566370809</v>
          </cell>
          <cell r="S35">
            <v>1582.3990231601699</v>
          </cell>
          <cell r="T35">
            <v>577.20764750010005</v>
          </cell>
          <cell r="U35">
            <v>188.404257331791</v>
          </cell>
          <cell r="V35">
            <v>171.20532999452499</v>
          </cell>
          <cell r="W35">
            <v>212.591718700168</v>
          </cell>
          <cell r="X35">
            <v>432.99006963358198</v>
          </cell>
          <cell r="Y35">
            <v>101.23279260701401</v>
          </cell>
          <cell r="Z35">
            <v>2944.9440047725602</v>
          </cell>
        </row>
        <row r="36">
          <cell r="A36" t="str">
            <v>Selangor</v>
          </cell>
          <cell r="B36">
            <v>10</v>
          </cell>
          <cell r="C36">
            <v>2049.1856888432299</v>
          </cell>
          <cell r="D36">
            <v>1418.7881169792599</v>
          </cell>
          <cell r="E36">
            <v>21.357617395231301</v>
          </cell>
          <cell r="F36">
            <v>609.03995446874501</v>
          </cell>
          <cell r="I36">
            <v>115.923261490992</v>
          </cell>
          <cell r="J36">
            <v>42583.807815050401</v>
          </cell>
          <cell r="K36">
            <v>5756.4238309847797</v>
          </cell>
          <cell r="L36">
            <v>614.27157414379201</v>
          </cell>
          <cell r="M36">
            <v>2856.3799168124101</v>
          </cell>
          <cell r="N36">
            <v>5395.0294542236597</v>
          </cell>
          <cell r="O36">
            <v>4661.1959621419001</v>
          </cell>
          <cell r="P36">
            <v>12424.3394810104</v>
          </cell>
          <cell r="Q36">
            <v>10876.167595733399</v>
          </cell>
          <cell r="R36">
            <v>5028.2701061917796</v>
          </cell>
          <cell r="S36">
            <v>65860.627293376194</v>
          </cell>
          <cell r="T36">
            <v>17165.996852116899</v>
          </cell>
          <cell r="U36">
            <v>21832.576270203601</v>
          </cell>
          <cell r="V36">
            <v>15239.550775515099</v>
          </cell>
          <cell r="W36">
            <v>6011.4828157116899</v>
          </cell>
          <cell r="X36">
            <v>5611.0205798289599</v>
          </cell>
          <cell r="Y36">
            <v>3181.1442089161201</v>
          </cell>
          <cell r="Z36">
            <v>118818.958373869</v>
          </cell>
        </row>
        <row r="37">
          <cell r="A37" t="str">
            <v>Terengganu</v>
          </cell>
          <cell r="B37">
            <v>11</v>
          </cell>
          <cell r="C37">
            <v>1683.1505690450799</v>
          </cell>
          <cell r="D37">
            <v>1129.86941122743</v>
          </cell>
          <cell r="E37">
            <v>143.52582285294201</v>
          </cell>
          <cell r="F37">
            <v>409.75533496470302</v>
          </cell>
          <cell r="I37">
            <v>8.7208165317790698</v>
          </cell>
          <cell r="J37">
            <v>7204.11271890841</v>
          </cell>
          <cell r="K37">
            <v>109.900175749368</v>
          </cell>
          <cell r="L37">
            <v>38.718538882359503</v>
          </cell>
          <cell r="M37">
            <v>120.03498202535999</v>
          </cell>
          <cell r="N37">
            <v>6528.4075797325704</v>
          </cell>
          <cell r="O37">
            <v>339.52317352760701</v>
          </cell>
          <cell r="P37">
            <v>1.4653545058975499</v>
          </cell>
          <cell r="Q37">
            <v>66.062914485247902</v>
          </cell>
          <cell r="R37">
            <v>454.564489676601</v>
          </cell>
          <cell r="S37">
            <v>7506.7095052003197</v>
          </cell>
          <cell r="T37">
            <v>3085.6722565039299</v>
          </cell>
          <cell r="U37">
            <v>1228.0367088068199</v>
          </cell>
          <cell r="V37">
            <v>565.84594036372698</v>
          </cell>
          <cell r="W37">
            <v>781.99954839759596</v>
          </cell>
          <cell r="X37">
            <v>1845.1550511282401</v>
          </cell>
          <cell r="Y37">
            <v>9.9507637807276392</v>
          </cell>
          <cell r="Z37">
            <v>16867.2088631429</v>
          </cell>
        </row>
        <row r="38">
          <cell r="A38" t="str">
            <v>Sabah</v>
          </cell>
          <cell r="B38">
            <v>12</v>
          </cell>
          <cell r="C38">
            <v>9907.9170891016201</v>
          </cell>
          <cell r="D38">
            <v>6505.0982064938398</v>
          </cell>
          <cell r="E38">
            <v>2201.6043196693099</v>
          </cell>
          <cell r="F38">
            <v>1201.21456293847</v>
          </cell>
          <cell r="I38">
            <v>5305.0188119066497</v>
          </cell>
          <cell r="J38">
            <v>3307.5639633117398</v>
          </cell>
          <cell r="K38">
            <v>1889.13581074173</v>
          </cell>
          <cell r="L38">
            <v>24.127588758054799</v>
          </cell>
          <cell r="M38">
            <v>875.72966932760596</v>
          </cell>
          <cell r="N38">
            <v>149.62708489826301</v>
          </cell>
          <cell r="O38">
            <v>214.799905708566</v>
          </cell>
          <cell r="P38">
            <v>7.2733148875337399</v>
          </cell>
          <cell r="Q38">
            <v>146.870588989981</v>
          </cell>
          <cell r="R38">
            <v>1049.9768020543299</v>
          </cell>
          <cell r="S38">
            <v>14536.659166623</v>
          </cell>
          <cell r="T38">
            <v>2740.4160274405099</v>
          </cell>
          <cell r="U38">
            <v>4323.3190045830797</v>
          </cell>
          <cell r="V38">
            <v>2985.63191230641</v>
          </cell>
          <cell r="W38">
            <v>1459.17015657037</v>
          </cell>
          <cell r="X38">
            <v>3028.1220657225899</v>
          </cell>
          <cell r="Y38">
            <v>113.93748440474199</v>
          </cell>
          <cell r="Z38">
            <v>34221.073317401999</v>
          </cell>
        </row>
        <row r="39">
          <cell r="A39" t="str">
            <v>Sarawak</v>
          </cell>
          <cell r="B39">
            <v>13</v>
          </cell>
          <cell r="C39">
            <v>7199.0461539385096</v>
          </cell>
          <cell r="D39">
            <v>2809.2687090730301</v>
          </cell>
          <cell r="E39">
            <v>3857.7784715405</v>
          </cell>
          <cell r="F39">
            <v>531.99897332498699</v>
          </cell>
          <cell r="I39">
            <v>16135.5628417272</v>
          </cell>
          <cell r="J39">
            <v>17374.660156991398</v>
          </cell>
          <cell r="K39">
            <v>689.99300758824199</v>
          </cell>
          <cell r="L39">
            <v>18.856981073143999</v>
          </cell>
          <cell r="M39">
            <v>1992.7771856494801</v>
          </cell>
          <cell r="N39">
            <v>13294.2672517314</v>
          </cell>
          <cell r="O39">
            <v>519.52466204974598</v>
          </cell>
          <cell r="P39">
            <v>585.48442688070998</v>
          </cell>
          <cell r="Q39">
            <v>273.756642018695</v>
          </cell>
          <cell r="R39">
            <v>1387.0757866608401</v>
          </cell>
          <cell r="S39">
            <v>17981.701899829699</v>
          </cell>
          <cell r="T39">
            <v>4194.8712786423803</v>
          </cell>
          <cell r="U39">
            <v>4431.1308051959204</v>
          </cell>
          <cell r="V39">
            <v>4403.37435028035</v>
          </cell>
          <cell r="W39">
            <v>1969.7894143067099</v>
          </cell>
          <cell r="X39">
            <v>2982.53605140432</v>
          </cell>
          <cell r="Y39">
            <v>187.133438110855</v>
          </cell>
          <cell r="Z39">
            <v>60265.1802772585</v>
          </cell>
        </row>
        <row r="40">
          <cell r="A40" t="str">
            <v>WP Kuala Lumpur</v>
          </cell>
          <cell r="B40">
            <v>14</v>
          </cell>
          <cell r="C40">
            <v>1.70063142405226</v>
          </cell>
          <cell r="D40">
            <v>1.70063142405226</v>
          </cell>
          <cell r="E40">
            <v>0</v>
          </cell>
          <cell r="F40">
            <v>0</v>
          </cell>
          <cell r="I40">
            <v>23.872994104275399</v>
          </cell>
          <cell r="J40">
            <v>4024.4684763293899</v>
          </cell>
          <cell r="K40">
            <v>453.95250047359502</v>
          </cell>
          <cell r="L40">
            <v>223.80249625796401</v>
          </cell>
          <cell r="M40">
            <v>1148.2049337393801</v>
          </cell>
          <cell r="N40">
            <v>577.88508111527199</v>
          </cell>
          <cell r="O40">
            <v>511.31032182226397</v>
          </cell>
          <cell r="P40">
            <v>464.36602674966701</v>
          </cell>
          <cell r="Q40">
            <v>644.94711617124199</v>
          </cell>
          <cell r="R40">
            <v>3009.2664749812802</v>
          </cell>
          <cell r="S40">
            <v>64090.007640177297</v>
          </cell>
          <cell r="T40">
            <v>4428.1872575324196</v>
          </cell>
          <cell r="U40">
            <v>23061.162235989301</v>
          </cell>
          <cell r="V40">
            <v>25111.537298388201</v>
          </cell>
          <cell r="W40">
            <v>3505.66588895109</v>
          </cell>
          <cell r="X40">
            <v>7983.4549593162801</v>
          </cell>
          <cell r="Y40">
            <v>744.533168414785</v>
          </cell>
          <cell r="Z40">
            <v>71893.849385431007</v>
          </cell>
        </row>
        <row r="41">
          <cell r="A41" t="str">
            <v>WP Labuan</v>
          </cell>
          <cell r="B41">
            <v>15</v>
          </cell>
          <cell r="C41">
            <v>103.91787953249801</v>
          </cell>
          <cell r="D41">
            <v>4.9123802163404697</v>
          </cell>
          <cell r="E41">
            <v>0</v>
          </cell>
          <cell r="F41">
            <v>99.005499316157298</v>
          </cell>
          <cell r="I41">
            <v>0</v>
          </cell>
          <cell r="J41">
            <v>894.48269140067805</v>
          </cell>
          <cell r="K41">
            <v>32.070921759535203</v>
          </cell>
          <cell r="L41">
            <v>2.81236661394703</v>
          </cell>
          <cell r="M41">
            <v>3.2203052445276801</v>
          </cell>
          <cell r="N41">
            <v>531.60726643463101</v>
          </cell>
          <cell r="O41">
            <v>316.49947159849501</v>
          </cell>
          <cell r="P41">
            <v>0</v>
          </cell>
          <cell r="Q41">
            <v>8.2723597495418009</v>
          </cell>
          <cell r="R41">
            <v>23.7878027087405</v>
          </cell>
          <cell r="S41">
            <v>1508.1454902620301</v>
          </cell>
          <cell r="T41">
            <v>189.15208696111199</v>
          </cell>
          <cell r="U41">
            <v>177.25286846969701</v>
          </cell>
          <cell r="V41">
            <v>1031.7168973313801</v>
          </cell>
          <cell r="W41">
            <v>63.092041229435203</v>
          </cell>
          <cell r="X41">
            <v>46.931596270406601</v>
          </cell>
          <cell r="Y41">
            <v>20.861388581171902</v>
          </cell>
          <cell r="Z41">
            <v>2551.1952524851099</v>
          </cell>
        </row>
        <row r="42">
          <cell r="A42" t="str">
            <v>Supra1</v>
          </cell>
          <cell r="C42">
            <v>0</v>
          </cell>
          <cell r="D42">
            <v>0</v>
          </cell>
          <cell r="E42">
            <v>0</v>
          </cell>
          <cell r="F42">
            <v>0</v>
          </cell>
          <cell r="I42">
            <v>49381.376278548603</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49381.376278548603</v>
          </cell>
        </row>
        <row r="43">
          <cell r="A43" t="str">
            <v>MALAYSIA</v>
          </cell>
          <cell r="C43">
            <v>47532.734067767298</v>
          </cell>
          <cell r="D43">
            <v>33413.073072712097</v>
          </cell>
          <cell r="E43">
            <v>7898.0038836903404</v>
          </cell>
          <cell r="F43">
            <v>6221.6571113648797</v>
          </cell>
          <cell r="I43">
            <v>71275.532862738895</v>
          </cell>
          <cell r="J43">
            <v>160879.865092561</v>
          </cell>
          <cell r="K43">
            <v>14765.478604235699</v>
          </cell>
          <cell r="L43">
            <v>3588.7613681538701</v>
          </cell>
          <cell r="M43">
            <v>11352.995296090099</v>
          </cell>
          <cell r="N43">
            <v>43619.061350473203</v>
          </cell>
          <cell r="O43">
            <v>15159.986735836799</v>
          </cell>
          <cell r="P43">
            <v>52611.647444825103</v>
          </cell>
          <cell r="Q43">
            <v>19781.934292946498</v>
          </cell>
          <cell r="R43">
            <v>16022.039552136001</v>
          </cell>
          <cell r="S43">
            <v>272554.707095319</v>
          </cell>
          <cell r="T43">
            <v>53517.463456234102</v>
          </cell>
          <cell r="U43">
            <v>79607.320892545904</v>
          </cell>
          <cell r="V43">
            <v>71344.287921263298</v>
          </cell>
          <cell r="W43">
            <v>28279.774509328701</v>
          </cell>
          <cell r="X43">
            <v>39805.860315947102</v>
          </cell>
          <cell r="Y43">
            <v>5670.7731187351001</v>
          </cell>
          <cell r="Z43">
            <v>573935.651789258</v>
          </cell>
        </row>
        <row r="46">
          <cell r="A46" t="str">
            <v>CONSTANT</v>
          </cell>
          <cell r="B46" t="str">
            <v>Industry</v>
          </cell>
          <cell r="D46">
            <v>1</v>
          </cell>
          <cell r="E46">
            <v>2</v>
          </cell>
          <cell r="F46">
            <v>3</v>
          </cell>
          <cell r="I46">
            <v>4</v>
          </cell>
          <cell r="K46">
            <v>6</v>
          </cell>
          <cell r="L46">
            <v>7</v>
          </cell>
          <cell r="M46">
            <v>8</v>
          </cell>
          <cell r="N46">
            <v>9</v>
          </cell>
          <cell r="O46">
            <v>10</v>
          </cell>
          <cell r="P46">
            <v>11</v>
          </cell>
          <cell r="Q46">
            <v>12</v>
          </cell>
          <cell r="R46">
            <v>5</v>
          </cell>
          <cell r="T46">
            <v>13</v>
          </cell>
          <cell r="U46">
            <v>14</v>
          </cell>
          <cell r="V46">
            <v>15</v>
          </cell>
          <cell r="W46">
            <v>16</v>
          </cell>
        </row>
        <row r="47">
          <cell r="A47">
            <v>2007</v>
          </cell>
          <cell r="B47" t="str">
            <v>I</v>
          </cell>
          <cell r="C47" t="str">
            <v>Agriculture</v>
          </cell>
          <cell r="D47" t="str">
            <v>Tanaman</v>
          </cell>
          <cell r="E47" t="str">
            <v>Pembalakan</v>
          </cell>
          <cell r="F47" t="str">
            <v>Perikanan</v>
          </cell>
          <cell r="I47" t="str">
            <v>Mining and
Quarrying</v>
          </cell>
          <cell r="J47" t="str">
            <v>Manufacturing</v>
          </cell>
          <cell r="K47" t="str">
            <v>Prosesan Makanan, Minuman dan Produk Tembakau</v>
          </cell>
          <cell r="L47" t="str">
            <v>Tekstil, Pakaian, Kulit dan Kasut</v>
          </cell>
          <cell r="M47" t="str">
            <v>Keluaran Kayu, Perabot, Produk Kertas, Percetakan dan Penerbitan</v>
          </cell>
          <cell r="N47" t="str">
            <v>Produk Petroleum, Bahan kimia, Getah dan Plastik</v>
          </cell>
          <cell r="O47" t="str">
            <v>Produk Mineral Bukan Logam, Logam Asli dan Produk Logam Yang Direka</v>
          </cell>
          <cell r="P47" t="str">
            <v>Elektrik dan Elektronik</v>
          </cell>
          <cell r="Q47" t="str">
            <v>Kelengkapan Pengangkutan dan Pembuatan Lain</v>
          </cell>
          <cell r="R47" t="str">
            <v>Construction</v>
          </cell>
          <cell r="S47" t="str">
            <v>Services</v>
          </cell>
          <cell r="T47" t="str">
            <v>Utiliti, Transport &amp; Communication</v>
          </cell>
          <cell r="U47" t="str">
            <v>WRT, Accomm &amp; Restaurant</v>
          </cell>
          <cell r="V47" t="str">
            <v>Finance &amp; Insurance, Real Estate &amp; Business Services</v>
          </cell>
          <cell r="W47" t="str">
            <v>Other Services</v>
          </cell>
          <cell r="X47" t="str">
            <v>Government Services</v>
          </cell>
          <cell r="Y47" t="str">
            <v>Plus :
Import Duties</v>
          </cell>
          <cell r="Z47" t="str">
            <v>GDP at
Purchasers' Prices</v>
          </cell>
        </row>
        <row r="48">
          <cell r="A48" t="str">
            <v>States</v>
          </cell>
          <cell r="B48" t="str">
            <v>Converter</v>
          </cell>
        </row>
        <row r="49">
          <cell r="A49" t="str">
            <v>Johor</v>
          </cell>
          <cell r="B49" t="str">
            <v>01</v>
          </cell>
          <cell r="C49">
            <v>6349.3657705242103</v>
          </cell>
          <cell r="D49">
            <v>5808.2699370519003</v>
          </cell>
          <cell r="E49">
            <v>79.0792125512952</v>
          </cell>
          <cell r="F49">
            <v>462.016620921016</v>
          </cell>
          <cell r="I49">
            <v>50.308114023991401</v>
          </cell>
          <cell r="J49">
            <v>20662.955740858899</v>
          </cell>
          <cell r="K49">
            <v>1756.72876883768</v>
          </cell>
          <cell r="L49">
            <v>988.853119106073</v>
          </cell>
          <cell r="M49">
            <v>1698.78094702049</v>
          </cell>
          <cell r="N49">
            <v>3430.0560311125801</v>
          </cell>
          <cell r="O49">
            <v>2602.9705222851899</v>
          </cell>
          <cell r="P49">
            <v>8115.1828990002996</v>
          </cell>
          <cell r="Q49">
            <v>2070.3834534965899</v>
          </cell>
          <cell r="R49">
            <v>1578.3579918855301</v>
          </cell>
          <cell r="S49">
            <v>25304.853962464898</v>
          </cell>
          <cell r="T49">
            <v>5839.4454546452498</v>
          </cell>
          <cell r="U49">
            <v>5811.8755763071604</v>
          </cell>
          <cell r="V49">
            <v>7251.4063081114</v>
          </cell>
          <cell r="W49">
            <v>2598.36899031545</v>
          </cell>
          <cell r="X49">
            <v>3803.75763308568</v>
          </cell>
          <cell r="Y49">
            <v>739.59222796745803</v>
          </cell>
          <cell r="Z49">
            <v>54685.433807724999</v>
          </cell>
        </row>
        <row r="50">
          <cell r="A50" t="str">
            <v>Kedah</v>
          </cell>
          <cell r="B50" t="str">
            <v>02</v>
          </cell>
          <cell r="C50">
            <v>2681.6603907225199</v>
          </cell>
          <cell r="D50">
            <v>2281.3547506852001</v>
          </cell>
          <cell r="E50">
            <v>79.154656509836201</v>
          </cell>
          <cell r="F50">
            <v>321.15098352748799</v>
          </cell>
          <cell r="I50">
            <v>18.048528269871898</v>
          </cell>
          <cell r="J50">
            <v>7717.7993422172503</v>
          </cell>
          <cell r="K50">
            <v>252.925225481008</v>
          </cell>
          <cell r="L50">
            <v>118.930796638589</v>
          </cell>
          <cell r="M50">
            <v>485.85067829856001</v>
          </cell>
          <cell r="N50">
            <v>1496.75131325198</v>
          </cell>
          <cell r="O50">
            <v>1922.74280889636</v>
          </cell>
          <cell r="P50">
            <v>2349.8292298206802</v>
          </cell>
          <cell r="Q50">
            <v>1090.76928983007</v>
          </cell>
          <cell r="R50">
            <v>521.15096311709794</v>
          </cell>
          <cell r="S50">
            <v>9968.1473960035892</v>
          </cell>
          <cell r="T50">
            <v>1465.2200967916699</v>
          </cell>
          <cell r="U50">
            <v>2500.0247093693201</v>
          </cell>
          <cell r="V50">
            <v>1870.7963414210999</v>
          </cell>
          <cell r="W50">
            <v>1688.8790381625899</v>
          </cell>
          <cell r="X50">
            <v>2443.22721025891</v>
          </cell>
          <cell r="Y50">
            <v>126.538108157175</v>
          </cell>
          <cell r="Z50">
            <v>21033.3447284875</v>
          </cell>
        </row>
        <row r="51">
          <cell r="A51" t="str">
            <v>Kelantan</v>
          </cell>
          <cell r="B51" t="str">
            <v>03</v>
          </cell>
          <cell r="C51">
            <v>2988.7129664602498</v>
          </cell>
          <cell r="D51">
            <v>2097.8035475390798</v>
          </cell>
          <cell r="E51">
            <v>572.17552894220898</v>
          </cell>
          <cell r="F51">
            <v>318.73388997897001</v>
          </cell>
          <cell r="I51">
            <v>15.710270641353601</v>
          </cell>
          <cell r="J51">
            <v>537.90648847254704</v>
          </cell>
          <cell r="K51">
            <v>96.399194471998797</v>
          </cell>
          <cell r="L51">
            <v>46.681899118575501</v>
          </cell>
          <cell r="M51">
            <v>78.934399314953197</v>
          </cell>
          <cell r="N51">
            <v>83.535215787313703</v>
          </cell>
          <cell r="O51">
            <v>69.699584234307693</v>
          </cell>
          <cell r="P51">
            <v>156.971996648622</v>
          </cell>
          <cell r="Q51">
            <v>5.6841988967758397</v>
          </cell>
          <cell r="R51">
            <v>159.05485305821901</v>
          </cell>
          <cell r="S51">
            <v>6766.5601079339303</v>
          </cell>
          <cell r="T51">
            <v>786.65685698242498</v>
          </cell>
          <cell r="U51">
            <v>1883.1208029351501</v>
          </cell>
          <cell r="V51">
            <v>786.64393343559505</v>
          </cell>
          <cell r="W51">
            <v>1204.0097242068</v>
          </cell>
          <cell r="X51">
            <v>2106.1287903739599</v>
          </cell>
          <cell r="Y51">
            <v>14.4581579747896</v>
          </cell>
          <cell r="Z51">
            <v>10482.4028445411</v>
          </cell>
        </row>
        <row r="52">
          <cell r="A52" t="str">
            <v>Melaka</v>
          </cell>
          <cell r="B52" t="str">
            <v>04</v>
          </cell>
          <cell r="C52">
            <v>1049.9837590642601</v>
          </cell>
          <cell r="D52">
            <v>1036.4500888858199</v>
          </cell>
          <cell r="E52">
            <v>0.58264125883405904</v>
          </cell>
          <cell r="F52">
            <v>12.9510289196058</v>
          </cell>
          <cell r="I52">
            <v>7.98779466684553</v>
          </cell>
          <cell r="J52">
            <v>8495.9522896870403</v>
          </cell>
          <cell r="K52">
            <v>265.28598560224799</v>
          </cell>
          <cell r="L52">
            <v>93.947205754062097</v>
          </cell>
          <cell r="M52">
            <v>401.35151395285902</v>
          </cell>
          <cell r="N52">
            <v>3658.3887184694499</v>
          </cell>
          <cell r="O52">
            <v>546.88640353950905</v>
          </cell>
          <cell r="P52">
            <v>2514.1167378508499</v>
          </cell>
          <cell r="Q52">
            <v>1015.97572451806</v>
          </cell>
          <cell r="R52">
            <v>486.11974578698698</v>
          </cell>
          <cell r="S52">
            <v>7350.2047891623797</v>
          </cell>
          <cell r="T52">
            <v>1371.85733650064</v>
          </cell>
          <cell r="U52">
            <v>2351.0636468129901</v>
          </cell>
          <cell r="V52">
            <v>1496.3650172185701</v>
          </cell>
          <cell r="W52">
            <v>1007.31359768512</v>
          </cell>
          <cell r="X52">
            <v>1123.60519094505</v>
          </cell>
          <cell r="Y52">
            <v>31.9292935891485</v>
          </cell>
          <cell r="Z52">
            <v>17422.177671956699</v>
          </cell>
        </row>
        <row r="53">
          <cell r="A53" t="str">
            <v>Negeri Sembilan</v>
          </cell>
          <cell r="B53" t="str">
            <v>05</v>
          </cell>
          <cell r="C53">
            <v>1770.6233661952101</v>
          </cell>
          <cell r="D53">
            <v>1702.80162306191</v>
          </cell>
          <cell r="E53">
            <v>41.518276393251803</v>
          </cell>
          <cell r="F53">
            <v>26.303466740056901</v>
          </cell>
          <cell r="I53">
            <v>19.103149644530198</v>
          </cell>
          <cell r="J53">
            <v>11876.644437962301</v>
          </cell>
          <cell r="K53">
            <v>1118.78312439362</v>
          </cell>
          <cell r="L53">
            <v>406.62483738666202</v>
          </cell>
          <cell r="M53">
            <v>291.25893633818401</v>
          </cell>
          <cell r="N53">
            <v>3281.3416445077401</v>
          </cell>
          <cell r="O53">
            <v>686.51747334415302</v>
          </cell>
          <cell r="P53">
            <v>5160.4372561523696</v>
          </cell>
          <cell r="Q53">
            <v>931.68116583958601</v>
          </cell>
          <cell r="R53">
            <v>436.29066325689598</v>
          </cell>
          <cell r="S53">
            <v>8498.4753985162897</v>
          </cell>
          <cell r="T53">
            <v>2047.1081753559299</v>
          </cell>
          <cell r="U53">
            <v>2033.4067647075999</v>
          </cell>
          <cell r="V53">
            <v>1784.82670661518</v>
          </cell>
          <cell r="W53">
            <v>1138.59781318774</v>
          </cell>
          <cell r="X53">
            <v>1494.5359386498501</v>
          </cell>
          <cell r="Y53">
            <v>78.836902799825495</v>
          </cell>
          <cell r="Z53">
            <v>22679.973918375101</v>
          </cell>
        </row>
        <row r="54">
          <cell r="A54" t="str">
            <v>Pahang</v>
          </cell>
          <cell r="B54" t="str">
            <v>06</v>
          </cell>
          <cell r="C54">
            <v>5207.54037658779</v>
          </cell>
          <cell r="D54">
            <v>4368.3243974929601</v>
          </cell>
          <cell r="E54">
            <v>400.01817065452002</v>
          </cell>
          <cell r="F54">
            <v>439.19780844030601</v>
          </cell>
          <cell r="I54">
            <v>110.407340119764</v>
          </cell>
          <cell r="J54">
            <v>7052.7335097852501</v>
          </cell>
          <cell r="K54">
            <v>793.67946193545697</v>
          </cell>
          <cell r="L54">
            <v>13.2098045795034</v>
          </cell>
          <cell r="M54">
            <v>511.57602066974903</v>
          </cell>
          <cell r="N54">
            <v>3542.19593617597</v>
          </cell>
          <cell r="O54">
            <v>870.32067885000401</v>
          </cell>
          <cell r="P54">
            <v>93.829584834300505</v>
          </cell>
          <cell r="Q54">
            <v>1227.92202274027</v>
          </cell>
          <cell r="R54">
            <v>575.74558463116296</v>
          </cell>
          <cell r="S54">
            <v>12236.1682959067</v>
          </cell>
          <cell r="T54">
            <v>1281.8832281131999</v>
          </cell>
          <cell r="U54">
            <v>3866.03114623686</v>
          </cell>
          <cell r="V54">
            <v>1604.46618497587</v>
          </cell>
          <cell r="W54">
            <v>3077.50138415018</v>
          </cell>
          <cell r="X54">
            <v>2406.2863524306299</v>
          </cell>
          <cell r="Y54">
            <v>23.630568770153999</v>
          </cell>
          <cell r="Z54">
            <v>25206.225675800899</v>
          </cell>
        </row>
        <row r="55">
          <cell r="A55" t="str">
            <v>Pulau Pinang</v>
          </cell>
          <cell r="B55" t="str">
            <v>07</v>
          </cell>
          <cell r="C55">
            <v>721.068295417321</v>
          </cell>
          <cell r="D55">
            <v>528.12971383671402</v>
          </cell>
          <cell r="E55">
            <v>0</v>
          </cell>
          <cell r="F55">
            <v>192.93858158060701</v>
          </cell>
          <cell r="I55">
            <v>18.698428464636802</v>
          </cell>
          <cell r="J55">
            <v>25374.425811071502</v>
          </cell>
          <cell r="K55">
            <v>725.79384748207804</v>
          </cell>
          <cell r="L55">
            <v>464.03104921610401</v>
          </cell>
          <cell r="M55">
            <v>690.11560317322505</v>
          </cell>
          <cell r="N55">
            <v>1425.81977742506</v>
          </cell>
          <cell r="O55">
            <v>1800.06727154696</v>
          </cell>
          <cell r="P55">
            <v>18771.124317587</v>
          </cell>
          <cell r="Q55">
            <v>1497.4739446410399</v>
          </cell>
          <cell r="R55">
            <v>923.972218119172</v>
          </cell>
          <cell r="S55">
            <v>18924.920131515799</v>
          </cell>
          <cell r="T55">
            <v>3973.0755685437698</v>
          </cell>
          <cell r="U55">
            <v>5392.7054314427696</v>
          </cell>
          <cell r="V55">
            <v>5508.7005816316196</v>
          </cell>
          <cell r="W55">
            <v>1911.5996518095899</v>
          </cell>
          <cell r="X55">
            <v>2138.83889808807</v>
          </cell>
          <cell r="Y55">
            <v>262.77374224584599</v>
          </cell>
          <cell r="Z55">
            <v>46225.858626834299</v>
          </cell>
        </row>
        <row r="56">
          <cell r="A56" t="str">
            <v>Perak</v>
          </cell>
          <cell r="B56" t="str">
            <v>08</v>
          </cell>
          <cell r="C56">
            <v>5003.4977094698897</v>
          </cell>
          <cell r="D56">
            <v>3577.4709326095599</v>
          </cell>
          <cell r="E56">
            <v>382.87724616087002</v>
          </cell>
          <cell r="F56">
            <v>1043.14953069946</v>
          </cell>
          <cell r="I56">
            <v>105.414134490443</v>
          </cell>
          <cell r="J56">
            <v>6342.8197348897502</v>
          </cell>
          <cell r="K56">
            <v>1120.9841164311499</v>
          </cell>
          <cell r="L56">
            <v>199.42829060343499</v>
          </cell>
          <cell r="M56">
            <v>361.40863547805401</v>
          </cell>
          <cell r="N56">
            <v>1406.8212619763201</v>
          </cell>
          <cell r="O56">
            <v>1246.3615341428499</v>
          </cell>
          <cell r="P56">
            <v>1810.5647554305899</v>
          </cell>
          <cell r="Q56">
            <v>197.25114082734001</v>
          </cell>
          <cell r="R56">
            <v>555.25395563238396</v>
          </cell>
          <cell r="S56">
            <v>19017.035418304898</v>
          </cell>
          <cell r="T56">
            <v>5697.3911822560704</v>
          </cell>
          <cell r="U56">
            <v>4166.3452481063896</v>
          </cell>
          <cell r="V56">
            <v>3485.6780340405498</v>
          </cell>
          <cell r="W56">
            <v>2500.7837572722001</v>
          </cell>
          <cell r="X56">
            <v>3166.83719662971</v>
          </cell>
          <cell r="Y56">
            <v>24.3253411075065</v>
          </cell>
          <cell r="Z56">
            <v>31048.346293894901</v>
          </cell>
        </row>
        <row r="57">
          <cell r="A57" t="str">
            <v>Perlis</v>
          </cell>
          <cell r="B57" t="str">
            <v>09</v>
          </cell>
          <cell r="C57">
            <v>931.79704357876005</v>
          </cell>
          <cell r="D57">
            <v>248.23547787447899</v>
          </cell>
          <cell r="E57">
            <v>0</v>
          </cell>
          <cell r="F57">
            <v>683.56156570428095</v>
          </cell>
          <cell r="I57">
            <v>7.4425580879539597</v>
          </cell>
          <cell r="J57">
            <v>323.54139109524999</v>
          </cell>
          <cell r="K57">
            <v>66.078185598306703</v>
          </cell>
          <cell r="L57">
            <v>54.4519823296705</v>
          </cell>
          <cell r="M57">
            <v>2.9248195937792199</v>
          </cell>
          <cell r="N57">
            <v>101.233212222342</v>
          </cell>
          <cell r="O57">
            <v>98.320881505098797</v>
          </cell>
          <cell r="P57">
            <v>0.49688848380050199</v>
          </cell>
          <cell r="Q57">
            <v>3.5421362252201397E-2</v>
          </cell>
          <cell r="R57">
            <v>100.16881163801</v>
          </cell>
          <cell r="S57">
            <v>1700.29697532553</v>
          </cell>
          <cell r="T57">
            <v>604.087228728686</v>
          </cell>
          <cell r="U57">
            <v>226.621894294848</v>
          </cell>
          <cell r="V57">
            <v>194.98952736590999</v>
          </cell>
          <cell r="W57">
            <v>229.415892507992</v>
          </cell>
          <cell r="X57">
            <v>445.18243242809399</v>
          </cell>
          <cell r="Y57">
            <v>93.609572609995396</v>
          </cell>
          <cell r="Z57">
            <v>3156.8563523355001</v>
          </cell>
        </row>
        <row r="58">
          <cell r="A58" t="str">
            <v>Selangor</v>
          </cell>
          <cell r="B58">
            <v>10</v>
          </cell>
          <cell r="C58">
            <v>1926.0780961645701</v>
          </cell>
          <cell r="D58">
            <v>1398.0401864160799</v>
          </cell>
          <cell r="E58">
            <v>16.198665220584299</v>
          </cell>
          <cell r="F58">
            <v>511.83924452790802</v>
          </cell>
          <cell r="I58">
            <v>120.5394268836</v>
          </cell>
          <cell r="J58">
            <v>42879.553169723098</v>
          </cell>
          <cell r="K58">
            <v>6111.6100244311201</v>
          </cell>
          <cell r="L58">
            <v>391.82056836067602</v>
          </cell>
          <cell r="M58">
            <v>3468.01000850225</v>
          </cell>
          <cell r="N58">
            <v>4981.8207564943596</v>
          </cell>
          <cell r="O58">
            <v>5479.2930119938301</v>
          </cell>
          <cell r="P58">
            <v>12587.810554621499</v>
          </cell>
          <cell r="Q58">
            <v>9859.1882453193593</v>
          </cell>
          <cell r="R58">
            <v>5962.5217317796596</v>
          </cell>
          <cell r="S58">
            <v>74001.307601711698</v>
          </cell>
          <cell r="T58">
            <v>18524.120851202999</v>
          </cell>
          <cell r="U58">
            <v>24902.310037468</v>
          </cell>
          <cell r="V58">
            <v>18393.353533098099</v>
          </cell>
          <cell r="W58">
            <v>6368.1460691981501</v>
          </cell>
          <cell r="X58">
            <v>5813.3771107443699</v>
          </cell>
          <cell r="Y58">
            <v>3278.9835681526201</v>
          </cell>
          <cell r="Z58">
            <v>128168.983594415</v>
          </cell>
        </row>
        <row r="59">
          <cell r="A59" t="str">
            <v>Terengganu</v>
          </cell>
          <cell r="B59">
            <v>11</v>
          </cell>
          <cell r="C59">
            <v>1632.03023518903</v>
          </cell>
          <cell r="D59">
            <v>1213.60403151183</v>
          </cell>
          <cell r="E59">
            <v>115.89749741553899</v>
          </cell>
          <cell r="F59">
            <v>302.52870626165799</v>
          </cell>
          <cell r="I59">
            <v>8.4853156375849998</v>
          </cell>
          <cell r="J59">
            <v>7757.7226199588704</v>
          </cell>
          <cell r="K59">
            <v>88.477375724607299</v>
          </cell>
          <cell r="L59">
            <v>30.998203227151102</v>
          </cell>
          <cell r="M59">
            <v>159.00427529570399</v>
          </cell>
          <cell r="N59">
            <v>6889.1668489984704</v>
          </cell>
          <cell r="O59">
            <v>518.66213133559404</v>
          </cell>
          <cell r="P59">
            <v>2.1352792242413798</v>
          </cell>
          <cell r="Q59">
            <v>69.2785061531022</v>
          </cell>
          <cell r="R59">
            <v>603.41107275533398</v>
          </cell>
          <cell r="S59">
            <v>8102.3395455419704</v>
          </cell>
          <cell r="T59">
            <v>3243.2024056691098</v>
          </cell>
          <cell r="U59">
            <v>1394.7085072134</v>
          </cell>
          <cell r="V59">
            <v>694.77328642060502</v>
          </cell>
          <cell r="W59">
            <v>811.97478768015003</v>
          </cell>
          <cell r="X59">
            <v>1957.6805585587099</v>
          </cell>
          <cell r="Y59">
            <v>18.347235427577601</v>
          </cell>
          <cell r="Z59">
            <v>18122.336024510401</v>
          </cell>
        </row>
        <row r="60">
          <cell r="A60" t="str">
            <v>Sabah</v>
          </cell>
          <cell r="B60">
            <v>12</v>
          </cell>
          <cell r="C60">
            <v>10473.6851868717</v>
          </cell>
          <cell r="D60">
            <v>6649.4434108846299</v>
          </cell>
          <cell r="E60">
            <v>2350.7109363234599</v>
          </cell>
          <cell r="F60">
            <v>1473.5308396635801</v>
          </cell>
          <cell r="I60">
            <v>4337.8093032542602</v>
          </cell>
          <cell r="J60">
            <v>3333.3739198400399</v>
          </cell>
          <cell r="K60">
            <v>1798.1778391012499</v>
          </cell>
          <cell r="L60">
            <v>25.6433466475467</v>
          </cell>
          <cell r="M60">
            <v>951.56155341564397</v>
          </cell>
          <cell r="N60">
            <v>135.53863364202101</v>
          </cell>
          <cell r="O60">
            <v>271.05142728774501</v>
          </cell>
          <cell r="P60">
            <v>5.4930951319208701</v>
          </cell>
          <cell r="Q60">
            <v>145.908024613919</v>
          </cell>
          <cell r="R60">
            <v>840.29687091461801</v>
          </cell>
          <cell r="S60">
            <v>16185.047988680901</v>
          </cell>
          <cell r="T60">
            <v>2960.43603328276</v>
          </cell>
          <cell r="U60">
            <v>4960.1351085597598</v>
          </cell>
          <cell r="V60">
            <v>3615.4442009204899</v>
          </cell>
          <cell r="W60">
            <v>1512.9524147253101</v>
          </cell>
          <cell r="X60">
            <v>3136.08023119257</v>
          </cell>
          <cell r="Y60">
            <v>147.46786560562299</v>
          </cell>
          <cell r="Z60">
            <v>35317.681135167099</v>
          </cell>
        </row>
        <row r="61">
          <cell r="A61" t="str">
            <v>Sarawak</v>
          </cell>
          <cell r="B61">
            <v>13</v>
          </cell>
          <cell r="C61">
            <v>7345.8647333568897</v>
          </cell>
          <cell r="D61">
            <v>3002.2261686759002</v>
          </cell>
          <cell r="E61">
            <v>3887.7395540604298</v>
          </cell>
          <cell r="F61">
            <v>455.89901062055998</v>
          </cell>
          <cell r="I61">
            <v>17638.187917930001</v>
          </cell>
          <cell r="J61">
            <v>18773.714830696699</v>
          </cell>
          <cell r="K61">
            <v>546.06391167258596</v>
          </cell>
          <cell r="L61">
            <v>18.795457030879</v>
          </cell>
          <cell r="M61">
            <v>2067.6013768422699</v>
          </cell>
          <cell r="N61">
            <v>14494.2306334652</v>
          </cell>
          <cell r="O61">
            <v>512.61185664636503</v>
          </cell>
          <cell r="P61">
            <v>561.256735586579</v>
          </cell>
          <cell r="Q61">
            <v>573.15485945285502</v>
          </cell>
          <cell r="R61">
            <v>1622.8423701986801</v>
          </cell>
          <cell r="S61">
            <v>19659.2988161182</v>
          </cell>
          <cell r="T61">
            <v>4623.3250709520198</v>
          </cell>
          <cell r="U61">
            <v>5117.2655804817005</v>
          </cell>
          <cell r="V61">
            <v>4783.3485571312603</v>
          </cell>
          <cell r="W61">
            <v>2046.85884014463</v>
          </cell>
          <cell r="X61">
            <v>3088.50076740861</v>
          </cell>
          <cell r="Y61">
            <v>243.33206775263201</v>
          </cell>
          <cell r="Z61">
            <v>65283.2407360531</v>
          </cell>
        </row>
        <row r="62">
          <cell r="A62" t="str">
            <v>WP Kuala Lumpur</v>
          </cell>
          <cell r="B62">
            <v>14</v>
          </cell>
          <cell r="C62">
            <v>2.10811167021367</v>
          </cell>
          <cell r="D62">
            <v>2.10811167021367</v>
          </cell>
          <cell r="E62">
            <v>0</v>
          </cell>
          <cell r="F62">
            <v>0</v>
          </cell>
          <cell r="I62">
            <v>26.115905406038401</v>
          </cell>
          <cell r="J62">
            <v>3910.5714731828598</v>
          </cell>
          <cell r="K62">
            <v>386.20834435930999</v>
          </cell>
          <cell r="L62">
            <v>405.675185998367</v>
          </cell>
          <cell r="M62">
            <v>1120.099688883</v>
          </cell>
          <cell r="N62">
            <v>488.72544545218102</v>
          </cell>
          <cell r="O62">
            <v>579.28053505736602</v>
          </cell>
          <cell r="P62">
            <v>403.047947818924</v>
          </cell>
          <cell r="Q62">
            <v>527.53432561371005</v>
          </cell>
          <cell r="R62">
            <v>3007.1003220847301</v>
          </cell>
          <cell r="S62">
            <v>70519.619051935195</v>
          </cell>
          <cell r="T62">
            <v>4793.4802553273303</v>
          </cell>
          <cell r="U62">
            <v>26592.6088788696</v>
          </cell>
          <cell r="V62">
            <v>27016.7380854943</v>
          </cell>
          <cell r="W62">
            <v>3798.2641140737701</v>
          </cell>
          <cell r="X62">
            <v>8318.5277181701003</v>
          </cell>
          <cell r="Y62">
            <v>836.53238728178405</v>
          </cell>
          <cell r="Z62">
            <v>78302.047251560798</v>
          </cell>
        </row>
        <row r="63">
          <cell r="A63" t="str">
            <v>WP Labuan</v>
          </cell>
          <cell r="B63">
            <v>15</v>
          </cell>
          <cell r="C63">
            <v>103.865070873119</v>
          </cell>
          <cell r="D63">
            <v>6.7124170983965996</v>
          </cell>
          <cell r="E63">
            <v>0</v>
          </cell>
          <cell r="F63">
            <v>97.152653774722395</v>
          </cell>
          <cell r="I63">
            <v>0</v>
          </cell>
          <cell r="J63">
            <v>839.74064273709098</v>
          </cell>
          <cell r="K63">
            <v>22.786079043617999</v>
          </cell>
          <cell r="L63">
            <v>2.3822621176249501</v>
          </cell>
          <cell r="M63">
            <v>1.6646989143698101</v>
          </cell>
          <cell r="N63">
            <v>386.54407577023301</v>
          </cell>
          <cell r="O63">
            <v>413.81621392384602</v>
          </cell>
          <cell r="P63">
            <v>0</v>
          </cell>
          <cell r="Q63">
            <v>12.547312967399</v>
          </cell>
          <cell r="R63">
            <v>18.286791709978299</v>
          </cell>
          <cell r="S63">
            <v>1699.0669193485401</v>
          </cell>
          <cell r="T63">
            <v>191.114127334313</v>
          </cell>
          <cell r="U63">
            <v>206.74804917637601</v>
          </cell>
          <cell r="V63">
            <v>1185.6698268964899</v>
          </cell>
          <cell r="W63">
            <v>63.861886646380597</v>
          </cell>
          <cell r="X63">
            <v>51.673029294981802</v>
          </cell>
          <cell r="Y63">
            <v>17.074881227044699</v>
          </cell>
          <cell r="Z63">
            <v>2678.0343058957801</v>
          </cell>
        </row>
        <row r="64">
          <cell r="A64" t="str">
            <v>Supra1</v>
          </cell>
          <cell r="C64">
            <v>0</v>
          </cell>
          <cell r="D64">
            <v>0</v>
          </cell>
          <cell r="E64">
            <v>0</v>
          </cell>
          <cell r="F64">
            <v>0</v>
          </cell>
          <cell r="I64">
            <v>50274.226086704599</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50274.226086704599</v>
          </cell>
        </row>
        <row r="65">
          <cell r="A65" t="str">
            <v>MALAYSIA</v>
          </cell>
          <cell r="C65">
            <v>48187.881112145697</v>
          </cell>
          <cell r="D65">
            <v>33920.9747952947</v>
          </cell>
          <cell r="E65">
            <v>7925.9523854908302</v>
          </cell>
          <cell r="F65">
            <v>6340.9539313602199</v>
          </cell>
          <cell r="I65">
            <v>72758.484274225499</v>
          </cell>
          <cell r="J65">
            <v>165879.45540217799</v>
          </cell>
          <cell r="K65">
            <v>15149.981484566</v>
          </cell>
          <cell r="L65">
            <v>3261.4740081149198</v>
          </cell>
          <cell r="M65">
            <v>12290.1431556931</v>
          </cell>
          <cell r="N65">
            <v>45802.169504751197</v>
          </cell>
          <cell r="O65">
            <v>17618.602334589199</v>
          </cell>
          <cell r="P65">
            <v>52532.297278191698</v>
          </cell>
          <cell r="Q65">
            <v>19224.7876362723</v>
          </cell>
          <cell r="R65">
            <v>17390.5739465685</v>
          </cell>
          <cell r="S65">
            <v>299933.34239847102</v>
          </cell>
          <cell r="T65">
            <v>57402.403871686198</v>
          </cell>
          <cell r="U65">
            <v>91404.971381981901</v>
          </cell>
          <cell r="V65">
            <v>79673.200124777097</v>
          </cell>
          <cell r="W65">
            <v>29958.5279617661</v>
          </cell>
          <cell r="X65">
            <v>41494.2390582593</v>
          </cell>
          <cell r="Y65">
            <v>5937.4319206691798</v>
          </cell>
          <cell r="Z65">
            <v>610087.16905425803</v>
          </cell>
        </row>
        <row r="68">
          <cell r="A68" t="str">
            <v>CONSTANT</v>
          </cell>
          <cell r="B68" t="str">
            <v>Industry</v>
          </cell>
          <cell r="D68">
            <v>1</v>
          </cell>
          <cell r="E68">
            <v>2</v>
          </cell>
          <cell r="F68">
            <v>3</v>
          </cell>
          <cell r="I68">
            <v>4</v>
          </cell>
          <cell r="K68">
            <v>6</v>
          </cell>
          <cell r="L68">
            <v>7</v>
          </cell>
          <cell r="M68">
            <v>8</v>
          </cell>
          <cell r="N68">
            <v>9</v>
          </cell>
          <cell r="O68">
            <v>10</v>
          </cell>
          <cell r="P68">
            <v>11</v>
          </cell>
          <cell r="Q68">
            <v>12</v>
          </cell>
          <cell r="R68">
            <v>5</v>
          </cell>
          <cell r="T68">
            <v>13</v>
          </cell>
          <cell r="U68">
            <v>14</v>
          </cell>
          <cell r="V68">
            <v>15</v>
          </cell>
          <cell r="W68">
            <v>16</v>
          </cell>
        </row>
        <row r="69">
          <cell r="A69">
            <v>2008</v>
          </cell>
          <cell r="B69" t="str">
            <v>I</v>
          </cell>
          <cell r="C69" t="str">
            <v>Agriculture</v>
          </cell>
          <cell r="D69" t="str">
            <v>Tanaman</v>
          </cell>
          <cell r="E69" t="str">
            <v>Pembalakan</v>
          </cell>
          <cell r="F69" t="str">
            <v>Perikanan</v>
          </cell>
          <cell r="I69" t="str">
            <v>Mining and
Quarrying</v>
          </cell>
          <cell r="J69" t="str">
            <v>Manufacturing</v>
          </cell>
          <cell r="K69" t="str">
            <v>Prosesan Makanan, Minuman dan Produk Tembakau</v>
          </cell>
          <cell r="L69" t="str">
            <v>Tekstil, Pakaian, Kulit dan Kasut</v>
          </cell>
          <cell r="M69" t="str">
            <v>Keluaran Kayu, Perabot, Produk Kertas, Percetakan dan Penerbitan</v>
          </cell>
          <cell r="N69" t="str">
            <v>Produk Petroleum, Bahan kimia, Getah dan Plastik</v>
          </cell>
          <cell r="O69" t="str">
            <v>Produk Mineral Bukan Logam, Logam Asli dan Produk Logam Yang Direka</v>
          </cell>
          <cell r="P69" t="str">
            <v>Elektrik dan Elektronik</v>
          </cell>
          <cell r="Q69" t="str">
            <v>Kelengkapan Pengangkutan dan Pembuatan Lain</v>
          </cell>
          <cell r="R69" t="str">
            <v>Construction</v>
          </cell>
          <cell r="S69" t="str">
            <v>Services</v>
          </cell>
          <cell r="T69" t="str">
            <v>Utiliti, Transport &amp; Communication</v>
          </cell>
          <cell r="U69" t="str">
            <v>WRT, Accomm &amp; Restaurant</v>
          </cell>
          <cell r="V69" t="str">
            <v>Finance &amp; Insurance, Real Estate &amp; Business Services</v>
          </cell>
          <cell r="W69" t="str">
            <v>Other Services</v>
          </cell>
          <cell r="X69" t="str">
            <v>Government Services</v>
          </cell>
          <cell r="Y69" t="str">
            <v>Plus :
Import Duties</v>
          </cell>
          <cell r="Z69" t="str">
            <v>GDP at
Purchasers' Prices</v>
          </cell>
        </row>
        <row r="70">
          <cell r="A70" t="str">
            <v>States</v>
          </cell>
          <cell r="B70" t="str">
            <v>Converter</v>
          </cell>
        </row>
        <row r="71">
          <cell r="A71" t="str">
            <v>Johor</v>
          </cell>
          <cell r="B71" t="str">
            <v>01</v>
          </cell>
          <cell r="C71">
            <v>7170.5642833848297</v>
          </cell>
          <cell r="D71">
            <v>6552.3323969553603</v>
          </cell>
          <cell r="E71">
            <v>53.570652274507502</v>
          </cell>
          <cell r="F71">
            <v>564.66123415495804</v>
          </cell>
          <cell r="I71">
            <v>53.974312406284497</v>
          </cell>
          <cell r="J71">
            <v>20027.698931422499</v>
          </cell>
          <cell r="K71">
            <v>2237.44821476371</v>
          </cell>
          <cell r="L71">
            <v>886.10036568846795</v>
          </cell>
          <cell r="M71">
            <v>1629.6346386585401</v>
          </cell>
          <cell r="N71">
            <v>3795.0370578501402</v>
          </cell>
          <cell r="O71">
            <v>2785.61796350646</v>
          </cell>
          <cell r="P71">
            <v>6962.8762218903703</v>
          </cell>
          <cell r="Q71">
            <v>1730.9844690647899</v>
          </cell>
          <cell r="R71">
            <v>1597.09857176644</v>
          </cell>
          <cell r="S71">
            <v>27296.435615271399</v>
          </cell>
          <cell r="T71">
            <v>6090.7424245899101</v>
          </cell>
          <cell r="U71">
            <v>6594.7816774399598</v>
          </cell>
          <cell r="V71">
            <v>7868.2839034950102</v>
          </cell>
          <cell r="W71">
            <v>2685.0853995655002</v>
          </cell>
          <cell r="X71">
            <v>4057.54221018098</v>
          </cell>
          <cell r="Y71">
            <v>844.05037865614395</v>
          </cell>
          <cell r="Z71">
            <v>56989.822092907503</v>
          </cell>
        </row>
        <row r="72">
          <cell r="A72" t="str">
            <v>Kedah</v>
          </cell>
          <cell r="B72" t="str">
            <v>02</v>
          </cell>
          <cell r="C72">
            <v>2748.1771608968802</v>
          </cell>
          <cell r="D72">
            <v>2288.3694176890999</v>
          </cell>
          <cell r="E72">
            <v>111.010602879665</v>
          </cell>
          <cell r="F72">
            <v>348.797140328117</v>
          </cell>
          <cell r="I72">
            <v>18.239695550862301</v>
          </cell>
          <cell r="J72">
            <v>6957.01496376864</v>
          </cell>
          <cell r="K72">
            <v>312.23867581872599</v>
          </cell>
          <cell r="L72">
            <v>58.534298160208799</v>
          </cell>
          <cell r="M72">
            <v>433.20309421368199</v>
          </cell>
          <cell r="N72">
            <v>1355.4752458636899</v>
          </cell>
          <cell r="O72">
            <v>2010.05922817587</v>
          </cell>
          <cell r="P72">
            <v>1883.5947183666101</v>
          </cell>
          <cell r="Q72">
            <v>903.90970316987</v>
          </cell>
          <cell r="R72">
            <v>571.38911527631399</v>
          </cell>
          <cell r="S72">
            <v>10774.2800166954</v>
          </cell>
          <cell r="T72">
            <v>1586.08816408142</v>
          </cell>
          <cell r="U72">
            <v>2801.87031589756</v>
          </cell>
          <cell r="V72">
            <v>2035.2337212831801</v>
          </cell>
          <cell r="W72">
            <v>1798.1172809443001</v>
          </cell>
          <cell r="X72">
            <v>2552.9705344889198</v>
          </cell>
          <cell r="Y72">
            <v>139.64890039374501</v>
          </cell>
          <cell r="Z72">
            <v>21208.749852581801</v>
          </cell>
        </row>
        <row r="73">
          <cell r="A73" t="str">
            <v>Kelantan</v>
          </cell>
          <cell r="B73" t="str">
            <v>03</v>
          </cell>
          <cell r="C73">
            <v>3027.6310674799702</v>
          </cell>
          <cell r="D73">
            <v>2152.0116431654001</v>
          </cell>
          <cell r="E73">
            <v>606.16328206114895</v>
          </cell>
          <cell r="F73">
            <v>269.45614225342302</v>
          </cell>
          <cell r="I73">
            <v>15.925022656613001</v>
          </cell>
          <cell r="J73">
            <v>572.15677675997199</v>
          </cell>
          <cell r="K73">
            <v>99.081637376973802</v>
          </cell>
          <cell r="L73">
            <v>51.710970220077101</v>
          </cell>
          <cell r="M73">
            <v>72.546847023653996</v>
          </cell>
          <cell r="N73">
            <v>83.620713062007098</v>
          </cell>
          <cell r="O73">
            <v>54.650643089896597</v>
          </cell>
          <cell r="P73">
            <v>201.49060798824399</v>
          </cell>
          <cell r="Q73">
            <v>9.0553579991195896</v>
          </cell>
          <cell r="R73">
            <v>175.86575138221801</v>
          </cell>
          <cell r="S73">
            <v>7393.6547099700801</v>
          </cell>
          <cell r="T73">
            <v>824.08031562158999</v>
          </cell>
          <cell r="U73">
            <v>2057.9749224587299</v>
          </cell>
          <cell r="V73">
            <v>920.86422992535597</v>
          </cell>
          <cell r="W73">
            <v>1262.6577309111999</v>
          </cell>
          <cell r="X73">
            <v>2328.0775110531999</v>
          </cell>
          <cell r="Y73">
            <v>18.0995391250277</v>
          </cell>
          <cell r="Z73">
            <v>11203.3328673739</v>
          </cell>
        </row>
        <row r="74">
          <cell r="A74" t="str">
            <v>Melaka</v>
          </cell>
          <cell r="B74" t="str">
            <v>04</v>
          </cell>
          <cell r="C74">
            <v>1252.3213332514199</v>
          </cell>
          <cell r="D74">
            <v>1225.31767718993</v>
          </cell>
          <cell r="E74">
            <v>0.27325933110072698</v>
          </cell>
          <cell r="F74">
            <v>26.730396730389899</v>
          </cell>
          <cell r="I74">
            <v>8.1132989453658606</v>
          </cell>
          <cell r="J74">
            <v>8527.0481185479202</v>
          </cell>
          <cell r="K74">
            <v>342.85015923026702</v>
          </cell>
          <cell r="L74">
            <v>189.85552542873799</v>
          </cell>
          <cell r="M74">
            <v>401.68897417256602</v>
          </cell>
          <cell r="N74">
            <v>3249.9228676149</v>
          </cell>
          <cell r="O74">
            <v>594.37140616983504</v>
          </cell>
          <cell r="P74">
            <v>2223.9017940836602</v>
          </cell>
          <cell r="Q74">
            <v>1524.45739184795</v>
          </cell>
          <cell r="R74">
            <v>523.57995395986302</v>
          </cell>
          <cell r="S74">
            <v>7927.08095236587</v>
          </cell>
          <cell r="T74">
            <v>1453.1112885344901</v>
          </cell>
          <cell r="U74">
            <v>2669.98556973717</v>
          </cell>
          <cell r="V74">
            <v>1568.19399157097</v>
          </cell>
          <cell r="W74">
            <v>1051.7554282571</v>
          </cell>
          <cell r="X74">
            <v>1184.03467426615</v>
          </cell>
          <cell r="Y74">
            <v>11.4618260640027</v>
          </cell>
          <cell r="Z74">
            <v>18249.605483134401</v>
          </cell>
        </row>
        <row r="75">
          <cell r="A75" t="str">
            <v>Negeri Sembilan</v>
          </cell>
          <cell r="B75" t="str">
            <v>05</v>
          </cell>
          <cell r="C75">
            <v>1832.08891157927</v>
          </cell>
          <cell r="D75">
            <v>1773.65348057865</v>
          </cell>
          <cell r="E75">
            <v>31.470822994454402</v>
          </cell>
          <cell r="F75">
            <v>26.964608006166099</v>
          </cell>
          <cell r="I75">
            <v>19.239437471789</v>
          </cell>
          <cell r="J75">
            <v>12037.523484368199</v>
          </cell>
          <cell r="K75">
            <v>1157.1717543028701</v>
          </cell>
          <cell r="L75">
            <v>468.15762514419498</v>
          </cell>
          <cell r="M75">
            <v>321.67196918713699</v>
          </cell>
          <cell r="N75">
            <v>2993.8336955334898</v>
          </cell>
          <cell r="O75">
            <v>934.14198202758598</v>
          </cell>
          <cell r="P75">
            <v>5126.0242008203104</v>
          </cell>
          <cell r="Q75">
            <v>1036.5222573526401</v>
          </cell>
          <cell r="R75">
            <v>495.027490900494</v>
          </cell>
          <cell r="S75">
            <v>9154.7227376740193</v>
          </cell>
          <cell r="T75">
            <v>2141.9358079268</v>
          </cell>
          <cell r="U75">
            <v>2308.7027253908</v>
          </cell>
          <cell r="V75">
            <v>1927.19666318128</v>
          </cell>
          <cell r="W75">
            <v>1202.93770936334</v>
          </cell>
          <cell r="X75">
            <v>1573.9498318117901</v>
          </cell>
          <cell r="Y75">
            <v>117.980859251675</v>
          </cell>
          <cell r="Z75">
            <v>23656.582921245499</v>
          </cell>
        </row>
        <row r="76">
          <cell r="A76" t="str">
            <v>Pahang</v>
          </cell>
          <cell r="B76" t="str">
            <v>06</v>
          </cell>
          <cell r="C76">
            <v>5455.0762771085901</v>
          </cell>
          <cell r="D76">
            <v>4452.4266430297102</v>
          </cell>
          <cell r="E76">
            <v>470.116956441659</v>
          </cell>
          <cell r="F76">
            <v>532.53267763721999</v>
          </cell>
          <cell r="I76">
            <v>100.36584932021999</v>
          </cell>
          <cell r="J76">
            <v>7210.2004057692702</v>
          </cell>
          <cell r="K76">
            <v>769.87151506442399</v>
          </cell>
          <cell r="L76">
            <v>12.385865540607201</v>
          </cell>
          <cell r="M76">
            <v>413.97902222490598</v>
          </cell>
          <cell r="N76">
            <v>3068.0492317742501</v>
          </cell>
          <cell r="O76">
            <v>769.63818148399798</v>
          </cell>
          <cell r="P76">
            <v>51.3753888189731</v>
          </cell>
          <cell r="Q76">
            <v>2124.9012008621198</v>
          </cell>
          <cell r="R76">
            <v>661.57161300783503</v>
          </cell>
          <cell r="S76">
            <v>12973.6076465391</v>
          </cell>
          <cell r="T76">
            <v>1378.1853080583901</v>
          </cell>
          <cell r="U76">
            <v>4148.2442956492296</v>
          </cell>
          <cell r="V76">
            <v>1753.4240565396999</v>
          </cell>
          <cell r="W76">
            <v>3208.2121272485101</v>
          </cell>
          <cell r="X76">
            <v>2485.5418590432901</v>
          </cell>
          <cell r="Y76">
            <v>63.757302087708602</v>
          </cell>
          <cell r="Z76">
            <v>26464.579093832799</v>
          </cell>
        </row>
        <row r="77">
          <cell r="A77" t="str">
            <v>Pulau Pinang</v>
          </cell>
          <cell r="B77" t="str">
            <v>07</v>
          </cell>
          <cell r="C77">
            <v>749.94035118466797</v>
          </cell>
          <cell r="D77">
            <v>526.21122120474399</v>
          </cell>
          <cell r="E77">
            <v>0</v>
          </cell>
          <cell r="F77">
            <v>223.72912997992401</v>
          </cell>
          <cell r="I77">
            <v>18.986404553479499</v>
          </cell>
          <cell r="J77">
            <v>26348.444882624201</v>
          </cell>
          <cell r="K77">
            <v>689.29693633182296</v>
          </cell>
          <cell r="L77">
            <v>490.58533614708301</v>
          </cell>
          <cell r="M77">
            <v>767.56532285628998</v>
          </cell>
          <cell r="N77">
            <v>1888.14782222227</v>
          </cell>
          <cell r="O77">
            <v>1809.1693963134801</v>
          </cell>
          <cell r="P77">
            <v>19072.286939373898</v>
          </cell>
          <cell r="Q77">
            <v>1631.39312937931</v>
          </cell>
          <cell r="R77">
            <v>1004.94153188345</v>
          </cell>
          <cell r="S77">
            <v>20266.906143440901</v>
          </cell>
          <cell r="T77">
            <v>4211.9582272429398</v>
          </cell>
          <cell r="U77">
            <v>5915.1172258340403</v>
          </cell>
          <cell r="V77">
            <v>5883.18430518072</v>
          </cell>
          <cell r="W77">
            <v>2013.78632840968</v>
          </cell>
          <cell r="X77">
            <v>2242.8600567734702</v>
          </cell>
          <cell r="Y77">
            <v>359.64911542058502</v>
          </cell>
          <cell r="Z77">
            <v>48748.868429107199</v>
          </cell>
        </row>
        <row r="78">
          <cell r="A78" t="str">
            <v>Perak</v>
          </cell>
          <cell r="B78" t="str">
            <v>08</v>
          </cell>
          <cell r="C78">
            <v>5067.8059180852897</v>
          </cell>
          <cell r="D78">
            <v>3719.44414090086</v>
          </cell>
          <cell r="E78">
            <v>368.25569428126801</v>
          </cell>
          <cell r="F78">
            <v>980.10608290315702</v>
          </cell>
          <cell r="I78">
            <v>103.184457255374</v>
          </cell>
          <cell r="J78">
            <v>6605.2252252100297</v>
          </cell>
          <cell r="K78">
            <v>869.57174628031896</v>
          </cell>
          <cell r="L78">
            <v>197.240495601915</v>
          </cell>
          <cell r="M78">
            <v>312.94982545181699</v>
          </cell>
          <cell r="N78">
            <v>1474.0761624444301</v>
          </cell>
          <cell r="O78">
            <v>1534.8566587800401</v>
          </cell>
          <cell r="P78">
            <v>1699.8833316723999</v>
          </cell>
          <cell r="Q78">
            <v>516.64700497911201</v>
          </cell>
          <cell r="R78">
            <v>582.50096026431402</v>
          </cell>
          <cell r="S78">
            <v>20679.2256318416</v>
          </cell>
          <cell r="T78">
            <v>5833.6995245607004</v>
          </cell>
          <cell r="U78">
            <v>4823.5297935970402</v>
          </cell>
          <cell r="V78">
            <v>3897.9275608838998</v>
          </cell>
          <cell r="W78">
            <v>2642.6796385010898</v>
          </cell>
          <cell r="X78">
            <v>3481.38911429888</v>
          </cell>
          <cell r="Y78">
            <v>21.596787120596598</v>
          </cell>
          <cell r="Z78">
            <v>33059.5389797772</v>
          </cell>
        </row>
        <row r="79">
          <cell r="A79" t="str">
            <v>Perlis</v>
          </cell>
          <cell r="B79" t="str">
            <v>09</v>
          </cell>
          <cell r="C79">
            <v>935.57928140876095</v>
          </cell>
          <cell r="D79">
            <v>268.76405732769098</v>
          </cell>
          <cell r="E79">
            <v>0</v>
          </cell>
          <cell r="F79">
            <v>666.81522408107003</v>
          </cell>
          <cell r="I79">
            <v>7.8015227651921801</v>
          </cell>
          <cell r="J79">
            <v>349.32019348366998</v>
          </cell>
          <cell r="K79">
            <v>54.502227089057698</v>
          </cell>
          <cell r="L79">
            <v>51.629230750296998</v>
          </cell>
          <cell r="M79">
            <v>4.1927671943535598</v>
          </cell>
          <cell r="N79">
            <v>95.164894575306803</v>
          </cell>
          <cell r="O79">
            <v>142.89041771363799</v>
          </cell>
          <cell r="P79">
            <v>0.41720944774469298</v>
          </cell>
          <cell r="Q79">
            <v>0.52344671327310199</v>
          </cell>
          <cell r="R79">
            <v>101.26540747310899</v>
          </cell>
          <cell r="S79">
            <v>1789.43683170176</v>
          </cell>
          <cell r="T79">
            <v>618.26873703333501</v>
          </cell>
          <cell r="U79">
            <v>250.42582661869599</v>
          </cell>
          <cell r="V79">
            <v>229.64700012768901</v>
          </cell>
          <cell r="W79">
            <v>238.11756091022201</v>
          </cell>
          <cell r="X79">
            <v>452.97770701181599</v>
          </cell>
          <cell r="Y79">
            <v>66.343859851239401</v>
          </cell>
          <cell r="Z79">
            <v>3249.74709668373</v>
          </cell>
        </row>
        <row r="80">
          <cell r="A80" t="str">
            <v>Selangor</v>
          </cell>
          <cell r="B80">
            <v>10</v>
          </cell>
          <cell r="C80">
            <v>2306.4004204636199</v>
          </cell>
          <cell r="D80">
            <v>1636.27720951693</v>
          </cell>
          <cell r="E80">
            <v>13.6682036104921</v>
          </cell>
          <cell r="F80">
            <v>656.45500733619497</v>
          </cell>
          <cell r="I80">
            <v>121.688062496567</v>
          </cell>
          <cell r="J80">
            <v>44795.331237077102</v>
          </cell>
          <cell r="K80">
            <v>6715.4856658059798</v>
          </cell>
          <cell r="L80">
            <v>528.29252835263401</v>
          </cell>
          <cell r="M80">
            <v>3810.00459350437</v>
          </cell>
          <cell r="N80">
            <v>5878.6944612834995</v>
          </cell>
          <cell r="O80">
            <v>5875.0931975616904</v>
          </cell>
          <cell r="P80">
            <v>11039.3291554592</v>
          </cell>
          <cell r="Q80">
            <v>10948.4316351097</v>
          </cell>
          <cell r="R80">
            <v>6243.9686026801</v>
          </cell>
          <cell r="S80">
            <v>81917.655086211103</v>
          </cell>
          <cell r="T80">
            <v>19834.486867533</v>
          </cell>
          <cell r="U80">
            <v>27732.002140549001</v>
          </cell>
          <cell r="V80">
            <v>21135.3151207962</v>
          </cell>
          <cell r="W80">
            <v>6917.3595796658901</v>
          </cell>
          <cell r="X80">
            <v>6298.4913776670401</v>
          </cell>
          <cell r="Y80">
            <v>4492.0200225018598</v>
          </cell>
          <cell r="Z80">
            <v>139877.06343143</v>
          </cell>
        </row>
        <row r="81">
          <cell r="A81" t="str">
            <v>Terengganu</v>
          </cell>
          <cell r="B81">
            <v>11</v>
          </cell>
          <cell r="C81">
            <v>1868.7466500673299</v>
          </cell>
          <cell r="D81">
            <v>1376.63104168482</v>
          </cell>
          <cell r="E81">
            <v>123.549504003599</v>
          </cell>
          <cell r="F81">
            <v>368.56610437891601</v>
          </cell>
          <cell r="I81">
            <v>9.5909415136728509</v>
          </cell>
          <cell r="J81">
            <v>7568.4216460510097</v>
          </cell>
          <cell r="K81">
            <v>60.844329089771499</v>
          </cell>
          <cell r="L81">
            <v>30.1785211503163</v>
          </cell>
          <cell r="M81">
            <v>108.103254450601</v>
          </cell>
          <cell r="N81">
            <v>6666.2671079688998</v>
          </cell>
          <cell r="O81">
            <v>590.64019872650704</v>
          </cell>
          <cell r="P81">
            <v>2.89261597011456</v>
          </cell>
          <cell r="Q81">
            <v>109.49561869479101</v>
          </cell>
          <cell r="R81">
            <v>571.792479817051</v>
          </cell>
          <cell r="S81">
            <v>8459.2870635188992</v>
          </cell>
          <cell r="T81">
            <v>3335.1416614582399</v>
          </cell>
          <cell r="U81">
            <v>1527.3126581572801</v>
          </cell>
          <cell r="V81">
            <v>753.40514713643597</v>
          </cell>
          <cell r="W81">
            <v>853.55315647359896</v>
          </cell>
          <cell r="X81">
            <v>1989.8744402933401</v>
          </cell>
          <cell r="Y81">
            <v>22.352791701644001</v>
          </cell>
          <cell r="Z81">
            <v>18500.191572669599</v>
          </cell>
        </row>
        <row r="82">
          <cell r="A82" t="str">
            <v>Sabah</v>
          </cell>
          <cell r="B82">
            <v>12</v>
          </cell>
          <cell r="C82">
            <v>10094.902381182599</v>
          </cell>
          <cell r="D82">
            <v>6662.8019414520804</v>
          </cell>
          <cell r="E82">
            <v>1916.47704071711</v>
          </cell>
          <cell r="F82">
            <v>1515.6233990134201</v>
          </cell>
          <cell r="I82">
            <v>8037.0394100663098</v>
          </cell>
          <cell r="J82">
            <v>3412.1274698001698</v>
          </cell>
          <cell r="K82">
            <v>1951.46261811467</v>
          </cell>
          <cell r="L82">
            <v>30.8890325568645</v>
          </cell>
          <cell r="M82">
            <v>896.60369368980196</v>
          </cell>
          <cell r="N82">
            <v>130.35469092791101</v>
          </cell>
          <cell r="O82">
            <v>264.13360365970101</v>
          </cell>
          <cell r="P82">
            <v>7.1228420514294299</v>
          </cell>
          <cell r="Q82">
            <v>131.56098879979601</v>
          </cell>
          <cell r="R82">
            <v>823.31542778865503</v>
          </cell>
          <cell r="S82">
            <v>16548.3369776412</v>
          </cell>
          <cell r="T82">
            <v>3155.34217557493</v>
          </cell>
          <cell r="U82">
            <v>5386.8789916800997</v>
          </cell>
          <cell r="V82">
            <v>3170.1727072173899</v>
          </cell>
          <cell r="W82">
            <v>1600.27552420761</v>
          </cell>
          <cell r="X82">
            <v>3235.66757896117</v>
          </cell>
          <cell r="Y82">
            <v>198.26699960755701</v>
          </cell>
          <cell r="Z82">
            <v>39113.988666086501</v>
          </cell>
        </row>
        <row r="83">
          <cell r="A83" t="str">
            <v>Sarawak</v>
          </cell>
          <cell r="B83">
            <v>13</v>
          </cell>
          <cell r="C83">
            <v>7415.2679328992299</v>
          </cell>
          <cell r="D83">
            <v>3152.3724412413499</v>
          </cell>
          <cell r="E83">
            <v>3831.8281290446598</v>
          </cell>
          <cell r="F83">
            <v>431.06736261321799</v>
          </cell>
          <cell r="I83">
            <v>16465.054567110299</v>
          </cell>
          <cell r="J83">
            <v>18472.101260906202</v>
          </cell>
          <cell r="K83">
            <v>587.73011486882899</v>
          </cell>
          <cell r="L83">
            <v>20.5740816912508</v>
          </cell>
          <cell r="M83">
            <v>1478.17446056941</v>
          </cell>
          <cell r="N83">
            <v>14918.7790363242</v>
          </cell>
          <cell r="O83">
            <v>462.07136159612202</v>
          </cell>
          <cell r="P83">
            <v>489.41684695457099</v>
          </cell>
          <cell r="Q83">
            <v>515.35535890174697</v>
          </cell>
          <cell r="R83">
            <v>1584.5546063460699</v>
          </cell>
          <cell r="S83">
            <v>21221.6999350355</v>
          </cell>
          <cell r="T83">
            <v>4928.2390888015098</v>
          </cell>
          <cell r="U83">
            <v>5752.67169501841</v>
          </cell>
          <cell r="V83">
            <v>5260.6696718154899</v>
          </cell>
          <cell r="W83">
            <v>2131.7620709674802</v>
          </cell>
          <cell r="X83">
            <v>3148.3574084326401</v>
          </cell>
          <cell r="Y83">
            <v>311.57940890856401</v>
          </cell>
          <cell r="Z83">
            <v>65470.257711205901</v>
          </cell>
        </row>
        <row r="84">
          <cell r="A84" t="str">
            <v>WP Kuala Lumpur</v>
          </cell>
          <cell r="B84">
            <v>14</v>
          </cell>
          <cell r="C84">
            <v>1.8243439513005599</v>
          </cell>
          <cell r="D84">
            <v>1.8243439513005599</v>
          </cell>
          <cell r="E84">
            <v>0</v>
          </cell>
          <cell r="F84">
            <v>0</v>
          </cell>
          <cell r="I84">
            <v>26.4050261874564</v>
          </cell>
          <cell r="J84">
            <v>3672.1549682251498</v>
          </cell>
          <cell r="K84">
            <v>432.68358955642702</v>
          </cell>
          <cell r="L84">
            <v>296.30800336994702</v>
          </cell>
          <cell r="M84">
            <v>1036.5487339948099</v>
          </cell>
          <cell r="N84">
            <v>589.69570351422101</v>
          </cell>
          <cell r="O84">
            <v>501.07118610173001</v>
          </cell>
          <cell r="P84">
            <v>241.79047869049501</v>
          </cell>
          <cell r="Q84">
            <v>574.05727299752505</v>
          </cell>
          <cell r="R84">
            <v>3193.9793919204899</v>
          </cell>
          <cell r="S84">
            <v>77689.654913025704</v>
          </cell>
          <cell r="T84">
            <v>5215.9939333560897</v>
          </cell>
          <cell r="U84">
            <v>29153.1803434828</v>
          </cell>
          <cell r="V84">
            <v>29696.389046616001</v>
          </cell>
          <cell r="W84">
            <v>4092.2781887101501</v>
          </cell>
          <cell r="X84">
            <v>9531.8134008606503</v>
          </cell>
          <cell r="Y84">
            <v>829.82722957740998</v>
          </cell>
          <cell r="Z84">
            <v>85413.845872887498</v>
          </cell>
        </row>
        <row r="85">
          <cell r="A85" t="str">
            <v>WP Labuan</v>
          </cell>
          <cell r="B85">
            <v>15</v>
          </cell>
          <cell r="C85">
            <v>109.50032694180101</v>
          </cell>
          <cell r="D85">
            <v>9.0733866410139097</v>
          </cell>
          <cell r="E85">
            <v>0</v>
          </cell>
          <cell r="F85">
            <v>100.426940300787</v>
          </cell>
          <cell r="I85">
            <v>0</v>
          </cell>
          <cell r="J85">
            <v>593.17885993159598</v>
          </cell>
          <cell r="K85">
            <v>23.962238160576899</v>
          </cell>
          <cell r="L85">
            <v>2.4967399763865399</v>
          </cell>
          <cell r="M85">
            <v>1.50252930750069</v>
          </cell>
          <cell r="N85">
            <v>298.46286538655602</v>
          </cell>
          <cell r="O85">
            <v>256.38808224051598</v>
          </cell>
          <cell r="P85">
            <v>0</v>
          </cell>
          <cell r="Q85">
            <v>10.366404860059401</v>
          </cell>
          <cell r="R85">
            <v>20.509544214180899</v>
          </cell>
          <cell r="S85">
            <v>1619.7325058092599</v>
          </cell>
          <cell r="T85">
            <v>208.12885045006999</v>
          </cell>
          <cell r="U85">
            <v>220.514676171806</v>
          </cell>
          <cell r="V85">
            <v>1057.60027749454</v>
          </cell>
          <cell r="W85">
            <v>64.388805102398393</v>
          </cell>
          <cell r="X85">
            <v>69.099896590450001</v>
          </cell>
          <cell r="Y85">
            <v>26.174126121139601</v>
          </cell>
          <cell r="Z85">
            <v>2369.0953630179802</v>
          </cell>
        </row>
        <row r="86">
          <cell r="A86" t="str">
            <v>Supra1</v>
          </cell>
          <cell r="C86">
            <v>0</v>
          </cell>
          <cell r="D86">
            <v>0</v>
          </cell>
          <cell r="E86">
            <v>0</v>
          </cell>
          <cell r="F86">
            <v>0</v>
          </cell>
          <cell r="I86">
            <v>45989.894528632904</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45989.894528632904</v>
          </cell>
        </row>
        <row r="87">
          <cell r="A87" t="str">
            <v>MALAYSIA</v>
          </cell>
          <cell r="C87">
            <v>50035.826639885599</v>
          </cell>
          <cell r="D87">
            <v>35797.511042528997</v>
          </cell>
          <cell r="E87">
            <v>7526.3841476396701</v>
          </cell>
          <cell r="F87">
            <v>6711.9314497169698</v>
          </cell>
          <cell r="I87">
            <v>70995.502536932399</v>
          </cell>
          <cell r="J87">
            <v>167147.94842394601</v>
          </cell>
          <cell r="K87">
            <v>16304.201421854401</v>
          </cell>
          <cell r="L87">
            <v>3314.93861977899</v>
          </cell>
          <cell r="M87">
            <v>11688.369726499401</v>
          </cell>
          <cell r="N87">
            <v>46485.581556345802</v>
          </cell>
          <cell r="O87">
            <v>18584.7935071471</v>
          </cell>
          <cell r="P87">
            <v>49002.402351588098</v>
          </cell>
          <cell r="Q87">
            <v>21767.661240731799</v>
          </cell>
          <cell r="R87">
            <v>18151.3604486806</v>
          </cell>
          <cell r="S87">
            <v>325711.716766742</v>
          </cell>
          <cell r="T87">
            <v>60815.402374823403</v>
          </cell>
          <cell r="U87">
            <v>101343.192857683</v>
          </cell>
          <cell r="V87">
            <v>87157.507403263895</v>
          </cell>
          <cell r="W87">
            <v>31762.9665292381</v>
          </cell>
          <cell r="X87">
            <v>44632.647601733799</v>
          </cell>
          <cell r="Y87">
            <v>7522.8091463889004</v>
          </cell>
          <cell r="Z87">
            <v>639565.16396257502</v>
          </cell>
        </row>
        <row r="90">
          <cell r="A90" t="str">
            <v>CONSTANT</v>
          </cell>
          <cell r="B90" t="str">
            <v>Industry</v>
          </cell>
          <cell r="D90">
            <v>1</v>
          </cell>
          <cell r="E90">
            <v>2</v>
          </cell>
          <cell r="F90">
            <v>3</v>
          </cell>
          <cell r="I90">
            <v>4</v>
          </cell>
          <cell r="K90">
            <v>6</v>
          </cell>
          <cell r="L90">
            <v>7</v>
          </cell>
          <cell r="M90">
            <v>8</v>
          </cell>
          <cell r="N90">
            <v>9</v>
          </cell>
          <cell r="O90">
            <v>10</v>
          </cell>
          <cell r="P90">
            <v>11</v>
          </cell>
          <cell r="Q90">
            <v>12</v>
          </cell>
          <cell r="R90">
            <v>5</v>
          </cell>
          <cell r="T90">
            <v>13</v>
          </cell>
          <cell r="U90">
            <v>14</v>
          </cell>
          <cell r="V90">
            <v>15</v>
          </cell>
          <cell r="W90">
            <v>16</v>
          </cell>
        </row>
        <row r="91">
          <cell r="A91">
            <v>2009</v>
          </cell>
          <cell r="B91" t="str">
            <v>I</v>
          </cell>
          <cell r="C91" t="str">
            <v>Agriculture</v>
          </cell>
          <cell r="D91" t="str">
            <v>Tanaman</v>
          </cell>
          <cell r="E91" t="str">
            <v>Pembalakan</v>
          </cell>
          <cell r="F91" t="str">
            <v>Perikanan</v>
          </cell>
          <cell r="I91" t="str">
            <v>Mining and
Quarrying</v>
          </cell>
          <cell r="J91" t="str">
            <v>Manufacturing</v>
          </cell>
          <cell r="K91" t="str">
            <v>Prosesan Makanan, Minuman dan Produk Tembakau</v>
          </cell>
          <cell r="L91" t="str">
            <v>Tekstil, Pakaian, Kulit dan Kasut</v>
          </cell>
          <cell r="M91" t="str">
            <v>Keluaran Kayu, Perabot, Produk Kertas, Percetakan dan Penerbitan</v>
          </cell>
          <cell r="N91" t="str">
            <v>Produk Petroleum, Bahan kimia, Getah dan Plastik</v>
          </cell>
          <cell r="O91" t="str">
            <v>Produk Mineral Bukan Logam, Logam Asli dan Produk Logam Yang Direka</v>
          </cell>
          <cell r="P91" t="str">
            <v>Elektrik dan Elektronik</v>
          </cell>
          <cell r="Q91" t="str">
            <v>Kelengkapan Pengangkutan dan Pembuatan Lain</v>
          </cell>
          <cell r="R91" t="str">
            <v>Construction</v>
          </cell>
          <cell r="S91" t="str">
            <v>Services</v>
          </cell>
          <cell r="T91" t="str">
            <v>Utiliti, Transport &amp; Communication</v>
          </cell>
          <cell r="U91" t="str">
            <v>WRT, Accomm &amp; Restaurant</v>
          </cell>
          <cell r="V91" t="str">
            <v>Finance &amp; Insurance, Real Estate &amp; Business Services</v>
          </cell>
          <cell r="W91" t="str">
            <v>Other Services</v>
          </cell>
          <cell r="X91" t="str">
            <v>Government Services</v>
          </cell>
          <cell r="Y91" t="str">
            <v>Plus :
Import Duties</v>
          </cell>
          <cell r="Z91" t="str">
            <v>GDP at
Purchasers' Prices</v>
          </cell>
        </row>
        <row r="92">
          <cell r="A92" t="str">
            <v>States</v>
          </cell>
          <cell r="B92" t="str">
            <v>Converter</v>
          </cell>
        </row>
        <row r="93">
          <cell r="A93" t="str">
            <v>Johor</v>
          </cell>
          <cell r="B93" t="str">
            <v>01</v>
          </cell>
          <cell r="C93">
            <v>7448.2393672682201</v>
          </cell>
          <cell r="D93">
            <v>6847.5819260768603</v>
          </cell>
          <cell r="E93">
            <v>43.148358243858802</v>
          </cell>
          <cell r="F93">
            <v>557.50908294750695</v>
          </cell>
          <cell r="I93">
            <v>59.342094682436503</v>
          </cell>
          <cell r="J93">
            <v>17649.556571429999</v>
          </cell>
          <cell r="K93">
            <v>2196.4159051557499</v>
          </cell>
          <cell r="L93">
            <v>691.51393536519902</v>
          </cell>
          <cell r="M93">
            <v>1559.7683565330301</v>
          </cell>
          <cell r="N93">
            <v>3946.1300152973099</v>
          </cell>
          <cell r="O93">
            <v>2493.6886518238498</v>
          </cell>
          <cell r="P93">
            <v>5311.1443811066201</v>
          </cell>
          <cell r="Q93">
            <v>1450.89532614825</v>
          </cell>
          <cell r="R93">
            <v>1816.64880833851</v>
          </cell>
          <cell r="S93">
            <v>27526.586490464801</v>
          </cell>
          <cell r="T93">
            <v>6167.6168495386601</v>
          </cell>
          <cell r="U93">
            <v>6632.5592981160198</v>
          </cell>
          <cell r="V93">
            <v>7738.6868869909704</v>
          </cell>
          <cell r="W93">
            <v>2764.9668714607701</v>
          </cell>
          <cell r="X93">
            <v>4222.7565843583598</v>
          </cell>
          <cell r="Y93">
            <v>767.47506695744096</v>
          </cell>
          <cell r="Z93">
            <v>55267.848399141403</v>
          </cell>
        </row>
        <row r="94">
          <cell r="A94" t="str">
            <v>Kedah</v>
          </cell>
          <cell r="B94" t="str">
            <v>02</v>
          </cell>
          <cell r="C94">
            <v>2758.2466806103798</v>
          </cell>
          <cell r="D94">
            <v>2251.4234052946399</v>
          </cell>
          <cell r="E94">
            <v>104.165916289599</v>
          </cell>
          <cell r="F94">
            <v>402.65735902614199</v>
          </cell>
          <cell r="I94">
            <v>18.631589802193599</v>
          </cell>
          <cell r="J94">
            <v>6416.4595205222204</v>
          </cell>
          <cell r="K94">
            <v>373.18348412210599</v>
          </cell>
          <cell r="L94">
            <v>40.195309863188797</v>
          </cell>
          <cell r="M94">
            <v>420.14065608985402</v>
          </cell>
          <cell r="N94">
            <v>1228.0792978196801</v>
          </cell>
          <cell r="O94">
            <v>1995.4499576558001</v>
          </cell>
          <cell r="P94">
            <v>1413.8721194346299</v>
          </cell>
          <cell r="Q94">
            <v>945.53869553696495</v>
          </cell>
          <cell r="R94">
            <v>537.85453019238503</v>
          </cell>
          <cell r="S94">
            <v>11219.4476437249</v>
          </cell>
          <cell r="T94">
            <v>1645.6856669840099</v>
          </cell>
          <cell r="U94">
            <v>2905.2059907768898</v>
          </cell>
          <cell r="V94">
            <v>2160.5122537944899</v>
          </cell>
          <cell r="W94">
            <v>1867.4952127220899</v>
          </cell>
          <cell r="X94">
            <v>2640.54851944743</v>
          </cell>
          <cell r="Y94">
            <v>141.57557088106299</v>
          </cell>
          <cell r="Z94">
            <v>21092.215535733201</v>
          </cell>
        </row>
        <row r="95">
          <cell r="A95" t="str">
            <v>Kelantan</v>
          </cell>
          <cell r="B95" t="str">
            <v>03</v>
          </cell>
          <cell r="C95">
            <v>2941.22276221126</v>
          </cell>
          <cell r="D95">
            <v>2115.0946784125699</v>
          </cell>
          <cell r="E95">
            <v>566.63856621470404</v>
          </cell>
          <cell r="F95">
            <v>259.48951758398402</v>
          </cell>
          <cell r="I95">
            <v>15.5417131500511</v>
          </cell>
          <cell r="J95">
            <v>570.19132221257803</v>
          </cell>
          <cell r="K95">
            <v>95.063509363671599</v>
          </cell>
          <cell r="L95">
            <v>36.909770915918301</v>
          </cell>
          <cell r="M95">
            <v>82.378781758752595</v>
          </cell>
          <cell r="N95">
            <v>116.89805089305101</v>
          </cell>
          <cell r="O95">
            <v>53.048505274004</v>
          </cell>
          <cell r="P95">
            <v>184.40779175180299</v>
          </cell>
          <cell r="Q95">
            <v>1.4849122553777401</v>
          </cell>
          <cell r="R95">
            <v>194.69024914371201</v>
          </cell>
          <cell r="S95">
            <v>7691.6052078932298</v>
          </cell>
          <cell r="T95">
            <v>853.71938564774598</v>
          </cell>
          <cell r="U95">
            <v>2163.9913890348798</v>
          </cell>
          <cell r="V95">
            <v>923.363792555136</v>
          </cell>
          <cell r="W95">
            <v>1312.97958660467</v>
          </cell>
          <cell r="X95">
            <v>2437.5510540507998</v>
          </cell>
          <cell r="Y95">
            <v>22.333543688409499</v>
          </cell>
          <cell r="Z95">
            <v>11435.5847982992</v>
          </cell>
        </row>
        <row r="96">
          <cell r="A96" t="str">
            <v>Melaka</v>
          </cell>
          <cell r="B96" t="str">
            <v>04</v>
          </cell>
          <cell r="C96">
            <v>1450.4260346342901</v>
          </cell>
          <cell r="D96">
            <v>1388.6747278498301</v>
          </cell>
          <cell r="E96">
            <v>0.28009801921627803</v>
          </cell>
          <cell r="F96">
            <v>61.471208765242203</v>
          </cell>
          <cell r="I96">
            <v>8.1987127144183596</v>
          </cell>
          <cell r="J96">
            <v>7991.90725017554</v>
          </cell>
          <cell r="K96">
            <v>414.25856716021002</v>
          </cell>
          <cell r="L96">
            <v>398.89885533485898</v>
          </cell>
          <cell r="M96">
            <v>344.32798449330801</v>
          </cell>
          <cell r="N96">
            <v>3186.5854198623801</v>
          </cell>
          <cell r="O96">
            <v>453.648174284481</v>
          </cell>
          <cell r="P96">
            <v>1937.16833414899</v>
          </cell>
          <cell r="Q96">
            <v>1257.01991489131</v>
          </cell>
          <cell r="R96">
            <v>552.77123224812306</v>
          </cell>
          <cell r="S96">
            <v>8439.3870313320203</v>
          </cell>
          <cell r="T96">
            <v>1502.9839705316399</v>
          </cell>
          <cell r="U96">
            <v>2965.2681929628302</v>
          </cell>
          <cell r="V96">
            <v>1680.8466576718299</v>
          </cell>
          <cell r="W96">
            <v>1088.14308542496</v>
          </cell>
          <cell r="X96">
            <v>1202.1451247407699</v>
          </cell>
          <cell r="Y96">
            <v>29.250242803987099</v>
          </cell>
          <cell r="Z96">
            <v>18471.940503908401</v>
          </cell>
        </row>
        <row r="97">
          <cell r="A97" t="str">
            <v>Negeri Sembilan</v>
          </cell>
          <cell r="B97" t="str">
            <v>05</v>
          </cell>
          <cell r="C97">
            <v>1940.9740480425501</v>
          </cell>
          <cell r="D97">
            <v>1848.1125391855401</v>
          </cell>
          <cell r="E97">
            <v>43.860180059602001</v>
          </cell>
          <cell r="F97">
            <v>49.001328797404199</v>
          </cell>
          <cell r="I97">
            <v>19.709346359609601</v>
          </cell>
          <cell r="J97">
            <v>11754.5614493828</v>
          </cell>
          <cell r="K97">
            <v>1183.6487267144</v>
          </cell>
          <cell r="L97">
            <v>199.59867464977199</v>
          </cell>
          <cell r="M97">
            <v>419.81542116238597</v>
          </cell>
          <cell r="N97">
            <v>2865.7049015280199</v>
          </cell>
          <cell r="O97">
            <v>775.054410338558</v>
          </cell>
          <cell r="P97">
            <v>5252.2287881359098</v>
          </cell>
          <cell r="Q97">
            <v>1058.51052685373</v>
          </cell>
          <cell r="R97">
            <v>540.01245793723899</v>
          </cell>
          <cell r="S97">
            <v>9448.1363606929608</v>
          </cell>
          <cell r="T97">
            <v>2177.59084282803</v>
          </cell>
          <cell r="U97">
            <v>2427.9733948401599</v>
          </cell>
          <cell r="V97">
            <v>1950.7443660906799</v>
          </cell>
          <cell r="W97">
            <v>1302.6649209969901</v>
          </cell>
          <cell r="X97">
            <v>1589.16283593711</v>
          </cell>
          <cell r="Y97">
            <v>101.036055844161</v>
          </cell>
          <cell r="Z97">
            <v>23804.4297182593</v>
          </cell>
        </row>
        <row r="98">
          <cell r="A98" t="str">
            <v>Pahang</v>
          </cell>
          <cell r="B98" t="str">
            <v>06</v>
          </cell>
          <cell r="C98">
            <v>5448.7557613188101</v>
          </cell>
          <cell r="D98">
            <v>4351.7341587302499</v>
          </cell>
          <cell r="E98">
            <v>516.04939006706502</v>
          </cell>
          <cell r="F98">
            <v>580.97221252150405</v>
          </cell>
          <cell r="I98">
            <v>120.520991408657</v>
          </cell>
          <cell r="J98">
            <v>6693.1528010757602</v>
          </cell>
          <cell r="K98">
            <v>905.54943457192701</v>
          </cell>
          <cell r="L98">
            <v>18.6839133639496</v>
          </cell>
          <cell r="M98">
            <v>616.37562339827502</v>
          </cell>
          <cell r="N98">
            <v>2356.3451647142901</v>
          </cell>
          <cell r="O98">
            <v>766.944488352029</v>
          </cell>
          <cell r="P98">
            <v>72.607403193855205</v>
          </cell>
          <cell r="Q98">
            <v>1956.64677348143</v>
          </cell>
          <cell r="R98">
            <v>695.712970014495</v>
          </cell>
          <cell r="S98">
            <v>13162.5095935134</v>
          </cell>
          <cell r="T98">
            <v>1378.18486041099</v>
          </cell>
          <cell r="U98">
            <v>4180.2363868887896</v>
          </cell>
          <cell r="V98">
            <v>1803.1656065488</v>
          </cell>
          <cell r="W98">
            <v>3279.35485286429</v>
          </cell>
          <cell r="X98">
            <v>2521.5678868005102</v>
          </cell>
          <cell r="Y98">
            <v>81.981542456041296</v>
          </cell>
          <cell r="Z98">
            <v>26202.633659787101</v>
          </cell>
        </row>
        <row r="99">
          <cell r="A99" t="str">
            <v>Pulau Pinang</v>
          </cell>
          <cell r="B99" t="str">
            <v>07</v>
          </cell>
          <cell r="C99">
            <v>760.45823108994296</v>
          </cell>
          <cell r="D99">
            <v>556.40464337404705</v>
          </cell>
          <cell r="E99">
            <v>0</v>
          </cell>
          <cell r="F99">
            <v>204.05358771589499</v>
          </cell>
          <cell r="I99">
            <v>19.213514991072799</v>
          </cell>
          <cell r="J99">
            <v>21239.073100997601</v>
          </cell>
          <cell r="K99">
            <v>982.92422091185301</v>
          </cell>
          <cell r="L99">
            <v>552.75623813298603</v>
          </cell>
          <cell r="M99">
            <v>774.48276590116996</v>
          </cell>
          <cell r="N99">
            <v>2095.2872914520299</v>
          </cell>
          <cell r="O99">
            <v>1691.35688069411</v>
          </cell>
          <cell r="P99">
            <v>13864.7852074903</v>
          </cell>
          <cell r="Q99">
            <v>1277.4804964151599</v>
          </cell>
          <cell r="R99">
            <v>982.067989201606</v>
          </cell>
          <cell r="S99">
            <v>20242.238702797898</v>
          </cell>
          <cell r="T99">
            <v>4235.4657328392104</v>
          </cell>
          <cell r="U99">
            <v>5735.73402479367</v>
          </cell>
          <cell r="V99">
            <v>5912.4537506202996</v>
          </cell>
          <cell r="W99">
            <v>2094.26034232861</v>
          </cell>
          <cell r="X99">
            <v>2264.3248522161002</v>
          </cell>
          <cell r="Y99">
            <v>382.67817457429697</v>
          </cell>
          <cell r="Z99">
            <v>43625.729713652399</v>
          </cell>
        </row>
        <row r="100">
          <cell r="A100" t="str">
            <v>Perak</v>
          </cell>
          <cell r="B100" t="str">
            <v>08</v>
          </cell>
          <cell r="C100">
            <v>5195.6453420371299</v>
          </cell>
          <cell r="D100">
            <v>3694.3496667969598</v>
          </cell>
          <cell r="E100">
            <v>320.29585199149301</v>
          </cell>
          <cell r="F100">
            <v>1180.9998232486701</v>
          </cell>
          <cell r="I100">
            <v>101.748443876794</v>
          </cell>
          <cell r="J100">
            <v>5799.8650797147502</v>
          </cell>
          <cell r="K100">
            <v>1022.7663468441</v>
          </cell>
          <cell r="L100">
            <v>203.66761974537599</v>
          </cell>
          <cell r="M100">
            <v>314.384749109903</v>
          </cell>
          <cell r="N100">
            <v>1186.8438698376499</v>
          </cell>
          <cell r="O100">
            <v>1285.4189208999401</v>
          </cell>
          <cell r="P100">
            <v>1466.70218889477</v>
          </cell>
          <cell r="Q100">
            <v>320.08138438301199</v>
          </cell>
          <cell r="R100">
            <v>643.07315093760405</v>
          </cell>
          <cell r="S100">
            <v>20942.200305656399</v>
          </cell>
          <cell r="T100">
            <v>5950.0209451234296</v>
          </cell>
          <cell r="U100">
            <v>4779.4408546935301</v>
          </cell>
          <cell r="V100">
            <v>3914.2929824284602</v>
          </cell>
          <cell r="W100">
            <v>2746.7080411910101</v>
          </cell>
          <cell r="X100">
            <v>3551.7374822199299</v>
          </cell>
          <cell r="Y100">
            <v>17.204002111897999</v>
          </cell>
          <cell r="Z100">
            <v>32699.736324334499</v>
          </cell>
        </row>
        <row r="101">
          <cell r="A101" t="str">
            <v>Perlis</v>
          </cell>
          <cell r="B101" t="str">
            <v>09</v>
          </cell>
          <cell r="C101">
            <v>855.94136300638695</v>
          </cell>
          <cell r="D101">
            <v>237.171898706826</v>
          </cell>
          <cell r="E101">
            <v>0</v>
          </cell>
          <cell r="F101">
            <v>618.76946429956104</v>
          </cell>
          <cell r="I101">
            <v>6.3613021227580102</v>
          </cell>
          <cell r="J101">
            <v>290.33726582942302</v>
          </cell>
          <cell r="K101">
            <v>46.3800290816353</v>
          </cell>
          <cell r="L101">
            <v>43.969966531878001</v>
          </cell>
          <cell r="M101">
            <v>2.2695514934505399</v>
          </cell>
          <cell r="N101">
            <v>57.303193483204801</v>
          </cell>
          <cell r="O101">
            <v>136.519930080736</v>
          </cell>
          <cell r="P101">
            <v>0.40585250788745098</v>
          </cell>
          <cell r="Q101">
            <v>3.4887426506302899</v>
          </cell>
          <cell r="R101">
            <v>92.266488889557607</v>
          </cell>
          <cell r="S101">
            <v>1840.83119998098</v>
          </cell>
          <cell r="T101">
            <v>634.20499143323195</v>
          </cell>
          <cell r="U101">
            <v>260.214491841322</v>
          </cell>
          <cell r="V101">
            <v>237.30316809444801</v>
          </cell>
          <cell r="W101">
            <v>245.17411016459801</v>
          </cell>
          <cell r="X101">
            <v>463.93443844737999</v>
          </cell>
          <cell r="Y101">
            <v>80.567988496580298</v>
          </cell>
          <cell r="Z101">
            <v>3166.3056083256902</v>
          </cell>
        </row>
        <row r="102">
          <cell r="A102" t="str">
            <v>Selangor</v>
          </cell>
          <cell r="B102">
            <v>10</v>
          </cell>
          <cell r="C102">
            <v>2518.6829196444201</v>
          </cell>
          <cell r="D102">
            <v>1690.37124293447</v>
          </cell>
          <cell r="E102">
            <v>5.71291207858948</v>
          </cell>
          <cell r="F102">
            <v>822.598764631368</v>
          </cell>
          <cell r="I102">
            <v>124.907911414483</v>
          </cell>
          <cell r="J102">
            <v>41857.923252740497</v>
          </cell>
          <cell r="K102">
            <v>7204.2984131473404</v>
          </cell>
          <cell r="L102">
            <v>453.55278926993498</v>
          </cell>
          <cell r="M102">
            <v>2784.0545540461799</v>
          </cell>
          <cell r="N102">
            <v>6205.9585366351703</v>
          </cell>
          <cell r="O102">
            <v>5379.3328661184596</v>
          </cell>
          <cell r="P102">
            <v>9321.4292031808709</v>
          </cell>
          <cell r="Q102">
            <v>10509.296890342601</v>
          </cell>
          <cell r="R102">
            <v>6585.2738869667801</v>
          </cell>
          <cell r="S102">
            <v>84233.245537549796</v>
          </cell>
          <cell r="T102">
            <v>20143.435683380401</v>
          </cell>
          <cell r="U102">
            <v>28412.062509855899</v>
          </cell>
          <cell r="V102">
            <v>22090.140213677802</v>
          </cell>
          <cell r="W102">
            <v>7155.4523885788403</v>
          </cell>
          <cell r="X102">
            <v>6432.1547420568904</v>
          </cell>
          <cell r="Y102">
            <v>3916.8641011417799</v>
          </cell>
          <cell r="Z102">
            <v>139236.89760945801</v>
          </cell>
        </row>
        <row r="103">
          <cell r="A103" t="str">
            <v>Terengganu</v>
          </cell>
          <cell r="B103">
            <v>11</v>
          </cell>
          <cell r="C103">
            <v>1497.0701462888401</v>
          </cell>
          <cell r="D103">
            <v>1088.2326195303001</v>
          </cell>
          <cell r="E103">
            <v>101.185068411603</v>
          </cell>
          <cell r="F103">
            <v>307.65245834693502</v>
          </cell>
          <cell r="I103">
            <v>11.287569132204499</v>
          </cell>
          <cell r="J103">
            <v>6917.5455478694603</v>
          </cell>
          <cell r="K103">
            <v>57.516524271048397</v>
          </cell>
          <cell r="L103">
            <v>30.8147495503298</v>
          </cell>
          <cell r="M103">
            <v>142.70023551107101</v>
          </cell>
          <cell r="N103">
            <v>6234.0091445171101</v>
          </cell>
          <cell r="O103">
            <v>358.68135768466402</v>
          </cell>
          <cell r="P103">
            <v>3.1956744783733702</v>
          </cell>
          <cell r="Q103">
            <v>90.627861856870794</v>
          </cell>
          <cell r="R103">
            <v>609.96531941738499</v>
          </cell>
          <cell r="S103">
            <v>8672.0307115899905</v>
          </cell>
          <cell r="T103">
            <v>3383.2885527660301</v>
          </cell>
          <cell r="U103">
            <v>1563.96626004773</v>
          </cell>
          <cell r="V103">
            <v>800.41282468834902</v>
          </cell>
          <cell r="W103">
            <v>878.11901118975902</v>
          </cell>
          <cell r="X103">
            <v>2046.2440628981101</v>
          </cell>
          <cell r="Y103">
            <v>12.123481342461901</v>
          </cell>
          <cell r="Z103">
            <v>17720.0227756403</v>
          </cell>
        </row>
        <row r="104">
          <cell r="A104" t="str">
            <v>Sabah</v>
          </cell>
          <cell r="B104">
            <v>12</v>
          </cell>
          <cell r="C104">
            <v>9713.3903443599993</v>
          </cell>
          <cell r="D104">
            <v>6299.8769264508601</v>
          </cell>
          <cell r="E104">
            <v>1805.28959081471</v>
          </cell>
          <cell r="F104">
            <v>1608.2238270944299</v>
          </cell>
          <cell r="I104">
            <v>9635.4945723087403</v>
          </cell>
          <cell r="J104">
            <v>3148.9112203916402</v>
          </cell>
          <cell r="K104">
            <v>1783.56777271338</v>
          </cell>
          <cell r="L104">
            <v>29.323852780804099</v>
          </cell>
          <cell r="M104">
            <v>773.095703826815</v>
          </cell>
          <cell r="N104">
            <v>156.429635270712</v>
          </cell>
          <cell r="O104">
            <v>273.98302829756199</v>
          </cell>
          <cell r="P104">
            <v>9.4266812413817203</v>
          </cell>
          <cell r="Q104">
            <v>123.08454626098801</v>
          </cell>
          <cell r="R104">
            <v>879.89427674993897</v>
          </cell>
          <cell r="S104">
            <v>17371.0956016374</v>
          </cell>
          <cell r="T104">
            <v>3176.2043169885301</v>
          </cell>
          <cell r="U104">
            <v>5770.4508168054499</v>
          </cell>
          <cell r="V104">
            <v>3399.47309710118</v>
          </cell>
          <cell r="W104">
            <v>1661.0586756467401</v>
          </cell>
          <cell r="X104">
            <v>3363.9086950955302</v>
          </cell>
          <cell r="Y104">
            <v>237.35617513626599</v>
          </cell>
          <cell r="Z104">
            <v>40986.142190584003</v>
          </cell>
        </row>
        <row r="105">
          <cell r="A105" t="str">
            <v>Sarawak</v>
          </cell>
          <cell r="B105">
            <v>13</v>
          </cell>
          <cell r="C105">
            <v>7423.3487811591403</v>
          </cell>
          <cell r="D105">
            <v>3376.2084165532101</v>
          </cell>
          <cell r="E105">
            <v>3633.6436039553801</v>
          </cell>
          <cell r="F105">
            <v>413.49676065054899</v>
          </cell>
          <cell r="I105">
            <v>15190.385219756899</v>
          </cell>
          <cell r="J105">
            <v>17489.664096002802</v>
          </cell>
          <cell r="K105">
            <v>649.61627832822603</v>
          </cell>
          <cell r="L105">
            <v>21.123538334001999</v>
          </cell>
          <cell r="M105">
            <v>1276.5601104841201</v>
          </cell>
          <cell r="N105">
            <v>14389.2906008469</v>
          </cell>
          <cell r="O105">
            <v>439.63487483453298</v>
          </cell>
          <cell r="P105">
            <v>404.06632266829098</v>
          </cell>
          <cell r="Q105">
            <v>309.37237050676998</v>
          </cell>
          <cell r="R105">
            <v>1707.6051549998101</v>
          </cell>
          <cell r="S105">
            <v>22073.6282723236</v>
          </cell>
          <cell r="T105">
            <v>4917.1430889086996</v>
          </cell>
          <cell r="U105">
            <v>6025.7961815075096</v>
          </cell>
          <cell r="V105">
            <v>5548.3319813805902</v>
          </cell>
          <cell r="W105">
            <v>2212.4021524638401</v>
          </cell>
          <cell r="X105">
            <v>3369.95486806297</v>
          </cell>
          <cell r="Y105">
            <v>288.34661091429598</v>
          </cell>
          <cell r="Z105">
            <v>64172.978135156503</v>
          </cell>
        </row>
        <row r="106">
          <cell r="A106" t="str">
            <v>WP Kuala Lumpur</v>
          </cell>
          <cell r="B106">
            <v>14</v>
          </cell>
          <cell r="C106">
            <v>1.49048293648672</v>
          </cell>
          <cell r="D106">
            <v>1.49048293648672</v>
          </cell>
          <cell r="E106">
            <v>0</v>
          </cell>
          <cell r="F106">
            <v>0</v>
          </cell>
          <cell r="I106">
            <v>27.061636691734002</v>
          </cell>
          <cell r="J106">
            <v>3762.5971418345698</v>
          </cell>
          <cell r="K106">
            <v>384.790527493941</v>
          </cell>
          <cell r="L106">
            <v>287.14052843379199</v>
          </cell>
          <cell r="M106">
            <v>614.59519662953596</v>
          </cell>
          <cell r="N106">
            <v>598.36941794115398</v>
          </cell>
          <cell r="O106">
            <v>755.03083305177302</v>
          </cell>
          <cell r="P106">
            <v>349.22450122459799</v>
          </cell>
          <cell r="Q106">
            <v>773.44613705977497</v>
          </cell>
          <cell r="R106">
            <v>3412.78006618976</v>
          </cell>
          <cell r="S106">
            <v>80428.112303750298</v>
          </cell>
          <cell r="T106">
            <v>5361.8248620208497</v>
          </cell>
          <cell r="U106">
            <v>29395.334292616801</v>
          </cell>
          <cell r="V106">
            <v>31416.748948139099</v>
          </cell>
          <cell r="W106">
            <v>4289.2037761325801</v>
          </cell>
          <cell r="X106">
            <v>9965.0004248409896</v>
          </cell>
          <cell r="Y106">
            <v>856.04858875953198</v>
          </cell>
          <cell r="Z106">
            <v>88488.090220162398</v>
          </cell>
        </row>
        <row r="107">
          <cell r="A107" t="str">
            <v>WP Labuan</v>
          </cell>
          <cell r="B107">
            <v>15</v>
          </cell>
          <cell r="C107">
            <v>109.15187498592</v>
          </cell>
          <cell r="D107">
            <v>6.9926628621778297</v>
          </cell>
          <cell r="E107">
            <v>0</v>
          </cell>
          <cell r="F107">
            <v>102.15921212374199</v>
          </cell>
          <cell r="I107">
            <v>0</v>
          </cell>
          <cell r="J107">
            <v>568.44061893037701</v>
          </cell>
          <cell r="K107">
            <v>23.036492580242101</v>
          </cell>
          <cell r="L107">
            <v>2.46637843430236</v>
          </cell>
          <cell r="M107">
            <v>1.8981935009655799</v>
          </cell>
          <cell r="N107">
            <v>276.98159076014099</v>
          </cell>
          <cell r="O107">
            <v>241.801718201141</v>
          </cell>
          <cell r="P107">
            <v>1.7960584604948</v>
          </cell>
          <cell r="Q107">
            <v>20.460186993089799</v>
          </cell>
          <cell r="R107">
            <v>19.3396332659709</v>
          </cell>
          <cell r="S107">
            <v>1735.4823394617099</v>
          </cell>
          <cell r="T107">
            <v>201.91644918304399</v>
          </cell>
          <cell r="U107">
            <v>226.15958548261401</v>
          </cell>
          <cell r="V107">
            <v>1167.0320576837501</v>
          </cell>
          <cell r="W107">
            <v>66.765818284342203</v>
          </cell>
          <cell r="X107">
            <v>73.608428827962797</v>
          </cell>
          <cell r="Y107">
            <v>53.848551887076397</v>
          </cell>
          <cell r="Z107">
            <v>2486.26301853105</v>
          </cell>
        </row>
        <row r="108">
          <cell r="A108" t="str">
            <v>Supra1</v>
          </cell>
          <cell r="C108">
            <v>0</v>
          </cell>
          <cell r="D108">
            <v>0</v>
          </cell>
          <cell r="E108">
            <v>0</v>
          </cell>
          <cell r="F108">
            <v>0</v>
          </cell>
          <cell r="I108">
            <v>41027.965029888001</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41027.965029888001</v>
          </cell>
        </row>
        <row r="109">
          <cell r="A109" t="str">
            <v>MALAYSIA</v>
          </cell>
          <cell r="C109">
            <v>50063.044139593803</v>
          </cell>
          <cell r="D109">
            <v>35753.719995694999</v>
          </cell>
          <cell r="E109">
            <v>7140.26953614582</v>
          </cell>
          <cell r="F109">
            <v>7169.0546077529298</v>
          </cell>
          <cell r="I109">
            <v>66386.369648300097</v>
          </cell>
          <cell r="J109">
            <v>152150.18623910999</v>
          </cell>
          <cell r="K109">
            <v>17323.016232459799</v>
          </cell>
          <cell r="L109">
            <v>3010.6161207062901</v>
          </cell>
          <cell r="M109">
            <v>10126.847883938801</v>
          </cell>
          <cell r="N109">
            <v>44900.216130858797</v>
          </cell>
          <cell r="O109">
            <v>17099.5945975916</v>
          </cell>
          <cell r="P109">
            <v>39592.460507918797</v>
          </cell>
          <cell r="Q109">
            <v>20097.434765635899</v>
          </cell>
          <cell r="R109">
            <v>19269.9562144929</v>
          </cell>
          <cell r="S109">
            <v>335026.53730236902</v>
          </cell>
          <cell r="T109">
            <v>61729.286198584501</v>
          </cell>
          <cell r="U109">
            <v>103444.39367026401</v>
          </cell>
          <cell r="V109">
            <v>90743.508587465898</v>
          </cell>
          <cell r="W109">
            <v>32964.748846054099</v>
          </cell>
          <cell r="X109">
            <v>46144.600000000901</v>
          </cell>
          <cell r="Y109">
            <v>6988.6896969952904</v>
          </cell>
          <cell r="Z109">
            <v>629884.78324086103</v>
          </cell>
        </row>
        <row r="112">
          <cell r="A112" t="str">
            <v>CONSTANT</v>
          </cell>
          <cell r="B112" t="str">
            <v>Industry</v>
          </cell>
          <cell r="D112">
            <v>1</v>
          </cell>
          <cell r="E112">
            <v>2</v>
          </cell>
          <cell r="F112">
            <v>3</v>
          </cell>
          <cell r="I112">
            <v>4</v>
          </cell>
          <cell r="K112">
            <v>6</v>
          </cell>
          <cell r="L112">
            <v>7</v>
          </cell>
          <cell r="M112">
            <v>8</v>
          </cell>
          <cell r="N112">
            <v>9</v>
          </cell>
          <cell r="O112">
            <v>10</v>
          </cell>
          <cell r="P112">
            <v>11</v>
          </cell>
          <cell r="Q112">
            <v>12</v>
          </cell>
          <cell r="R112">
            <v>5</v>
          </cell>
          <cell r="T112">
            <v>13</v>
          </cell>
          <cell r="U112">
            <v>14</v>
          </cell>
          <cell r="V112">
            <v>15</v>
          </cell>
          <cell r="W112">
            <v>16</v>
          </cell>
        </row>
        <row r="113">
          <cell r="A113">
            <v>2010</v>
          </cell>
          <cell r="B113" t="str">
            <v>I</v>
          </cell>
          <cell r="C113" t="str">
            <v>Agriculture</v>
          </cell>
          <cell r="D113" t="str">
            <v>Tanaman</v>
          </cell>
          <cell r="E113" t="str">
            <v>Pembalakan</v>
          </cell>
          <cell r="F113" t="str">
            <v>Perikanan</v>
          </cell>
          <cell r="I113" t="str">
            <v>Mining and
Quarrying</v>
          </cell>
          <cell r="J113" t="str">
            <v>Manufacturing</v>
          </cell>
          <cell r="K113" t="str">
            <v>Prosesan Makanan, Minuman dan Produk Tembakau</v>
          </cell>
          <cell r="L113" t="str">
            <v>Tekstil, Pakaian, Kulit dan Kasut</v>
          </cell>
          <cell r="M113" t="str">
            <v>Keluaran Kayu, Perabot, Produk Kertas, Percetakan dan Penerbitan</v>
          </cell>
          <cell r="N113" t="str">
            <v>Produk Petroleum, Bahan kimia, Getah dan Plastik</v>
          </cell>
          <cell r="O113" t="str">
            <v>Produk Mineral Bukan Logam, Logam Asli dan Produk Logam Yang Direka</v>
          </cell>
          <cell r="P113" t="str">
            <v>Elektrik dan Elektronik</v>
          </cell>
          <cell r="Q113" t="str">
            <v>Kelengkapan Pengangkutan dan Pembuatan Lain</v>
          </cell>
          <cell r="R113" t="str">
            <v>Construction</v>
          </cell>
          <cell r="S113" t="str">
            <v>Services</v>
          </cell>
          <cell r="T113" t="str">
            <v>Utiliti, Transport &amp; Communication</v>
          </cell>
          <cell r="U113" t="str">
            <v>WRT, Accomm &amp; Restaurant</v>
          </cell>
          <cell r="V113" t="str">
            <v>Finance &amp; Insurance, Real Estate &amp; Business Services</v>
          </cell>
          <cell r="W113" t="str">
            <v>Other Services</v>
          </cell>
          <cell r="X113" t="str">
            <v>Government Services</v>
          </cell>
          <cell r="Y113" t="str">
            <v>Plus :
Import Duties</v>
          </cell>
          <cell r="Z113" t="str">
            <v>GDP at
Purchasers' Prices</v>
          </cell>
        </row>
        <row r="114">
          <cell r="A114" t="str">
            <v>States</v>
          </cell>
          <cell r="B114" t="str">
            <v>Converter</v>
          </cell>
        </row>
        <row r="115">
          <cell r="A115" t="str">
            <v>Johor</v>
          </cell>
          <cell r="B115" t="str">
            <v>01</v>
          </cell>
          <cell r="C115">
            <v>7598.3543408902397</v>
          </cell>
          <cell r="D115">
            <v>6885.6648870220697</v>
          </cell>
          <cell r="E115">
            <v>43.823814344275902</v>
          </cell>
          <cell r="F115">
            <v>668.86563952388894</v>
          </cell>
          <cell r="I115">
            <v>68.259644021538804</v>
          </cell>
          <cell r="J115">
            <v>21037.313603969102</v>
          </cell>
          <cell r="K115">
            <v>2187.2292613146801</v>
          </cell>
          <cell r="L115">
            <v>782.93802206389603</v>
          </cell>
          <cell r="M115">
            <v>1747.60399801933</v>
          </cell>
          <cell r="N115">
            <v>4433.0014906127099</v>
          </cell>
          <cell r="O115">
            <v>2959.6749816146098</v>
          </cell>
          <cell r="P115">
            <v>6941.3134983836399</v>
          </cell>
          <cell r="Q115">
            <v>1985.55235196027</v>
          </cell>
          <cell r="R115">
            <v>2045.38296810252</v>
          </cell>
          <cell r="S115">
            <v>29236.170725071999</v>
          </cell>
          <cell r="T115">
            <v>6750.9132856328797</v>
          </cell>
          <cell r="U115">
            <v>7180.5102023690997</v>
          </cell>
          <cell r="V115">
            <v>8074.0493215517099</v>
          </cell>
          <cell r="W115">
            <v>2904.8927319689701</v>
          </cell>
          <cell r="X115">
            <v>4325.8051835493197</v>
          </cell>
          <cell r="Y115">
            <v>693.70557827933703</v>
          </cell>
          <cell r="Z115">
            <v>60679.186860334798</v>
          </cell>
        </row>
        <row r="116">
          <cell r="A116" t="str">
            <v>Kedah</v>
          </cell>
          <cell r="B116" t="str">
            <v>02</v>
          </cell>
          <cell r="C116">
            <v>2733.6853254788998</v>
          </cell>
          <cell r="D116">
            <v>2308.3442133418998</v>
          </cell>
          <cell r="E116">
            <v>106.97883406489299</v>
          </cell>
          <cell r="F116">
            <v>318.36227807210599</v>
          </cell>
          <cell r="I116">
            <v>18.8280174413953</v>
          </cell>
          <cell r="J116">
            <v>6638.3881956961504</v>
          </cell>
          <cell r="K116">
            <v>368.07677588906398</v>
          </cell>
          <cell r="L116">
            <v>79.920685607240998</v>
          </cell>
          <cell r="M116">
            <v>421.50205793573798</v>
          </cell>
          <cell r="N116">
            <v>1226.4484563983999</v>
          </cell>
          <cell r="O116">
            <v>2054.4917254218699</v>
          </cell>
          <cell r="P116">
            <v>1504.7518518571701</v>
          </cell>
          <cell r="Q116">
            <v>983.19664258666205</v>
          </cell>
          <cell r="R116">
            <v>541.14547700276</v>
          </cell>
          <cell r="S116">
            <v>11936.442698701499</v>
          </cell>
          <cell r="T116">
            <v>1778.81390395945</v>
          </cell>
          <cell r="U116">
            <v>3163.5617114593601</v>
          </cell>
          <cell r="V116">
            <v>2279.1921108864599</v>
          </cell>
          <cell r="W116">
            <v>1926.04713569193</v>
          </cell>
          <cell r="X116">
            <v>2788.8278367043399</v>
          </cell>
          <cell r="Y116">
            <v>129.724135599721</v>
          </cell>
          <cell r="Z116">
            <v>21998.213849920499</v>
          </cell>
        </row>
        <row r="117">
          <cell r="A117" t="str">
            <v>Kelantan</v>
          </cell>
          <cell r="B117" t="str">
            <v>03</v>
          </cell>
          <cell r="C117">
            <v>3071.0633660276799</v>
          </cell>
          <cell r="D117">
            <v>2107.22436031492</v>
          </cell>
          <cell r="E117">
            <v>677.61362545535803</v>
          </cell>
          <cell r="F117">
            <v>286.22538025740499</v>
          </cell>
          <cell r="I117">
            <v>16.4378560717517</v>
          </cell>
          <cell r="J117">
            <v>690.81245984655595</v>
          </cell>
          <cell r="K117">
            <v>112.532619967388</v>
          </cell>
          <cell r="L117">
            <v>35.7228602577026</v>
          </cell>
          <cell r="M117">
            <v>89.073919865818695</v>
          </cell>
          <cell r="N117">
            <v>104.74641691462701</v>
          </cell>
          <cell r="O117">
            <v>71.385453074973398</v>
          </cell>
          <cell r="P117">
            <v>270.27664391315801</v>
          </cell>
          <cell r="Q117">
            <v>7.0745458528880798</v>
          </cell>
          <cell r="R117">
            <v>207.32611766380199</v>
          </cell>
          <cell r="S117">
            <v>7984.6164700812596</v>
          </cell>
          <cell r="T117">
            <v>935.50644685774705</v>
          </cell>
          <cell r="U117">
            <v>2199.32428096787</v>
          </cell>
          <cell r="V117">
            <v>992.01616868978499</v>
          </cell>
          <cell r="W117">
            <v>1356.6305514989001</v>
          </cell>
          <cell r="X117">
            <v>2501.13902206696</v>
          </cell>
          <cell r="Y117">
            <v>20.899161344310301</v>
          </cell>
          <cell r="Z117">
            <v>11991.1554310354</v>
          </cell>
        </row>
        <row r="118">
          <cell r="A118" t="str">
            <v>Melaka</v>
          </cell>
          <cell r="B118" t="str">
            <v>04</v>
          </cell>
          <cell r="C118">
            <v>1794.48560733984</v>
          </cell>
          <cell r="D118">
            <v>1764.4620477127301</v>
          </cell>
          <cell r="E118">
            <v>0.31645724155756999</v>
          </cell>
          <cell r="F118">
            <v>29.707102385548001</v>
          </cell>
          <cell r="I118">
            <v>8.2353402428863607</v>
          </cell>
          <cell r="J118">
            <v>8440.5084099046398</v>
          </cell>
          <cell r="K118">
            <v>367.85516788304602</v>
          </cell>
          <cell r="L118">
            <v>326.50618006210198</v>
          </cell>
          <cell r="M118">
            <v>303.160804991139</v>
          </cell>
          <cell r="N118">
            <v>3390.00490527082</v>
          </cell>
          <cell r="O118">
            <v>536.70441442619801</v>
          </cell>
          <cell r="P118">
            <v>2175.3453643369098</v>
          </cell>
          <cell r="Q118">
            <v>1340.9315729344301</v>
          </cell>
          <cell r="R118">
            <v>569.91112597647498</v>
          </cell>
          <cell r="S118">
            <v>8868.4123399378295</v>
          </cell>
          <cell r="T118">
            <v>1618.0934367930899</v>
          </cell>
          <cell r="U118">
            <v>3040.1483285732702</v>
          </cell>
          <cell r="V118">
            <v>1814.16879793615</v>
          </cell>
          <cell r="W118">
            <v>1130.94667073967</v>
          </cell>
          <cell r="X118">
            <v>1265.0551058956601</v>
          </cell>
          <cell r="Y118">
            <v>7.8042403562103599</v>
          </cell>
          <cell r="Z118">
            <v>19689.3570637579</v>
          </cell>
        </row>
        <row r="119">
          <cell r="A119" t="str">
            <v>Negeri Sembilan</v>
          </cell>
          <cell r="B119" t="str">
            <v>05</v>
          </cell>
          <cell r="C119">
            <v>2015.9306547180799</v>
          </cell>
          <cell r="D119">
            <v>1930.33247837055</v>
          </cell>
          <cell r="E119">
            <v>48.214528414990703</v>
          </cell>
          <cell r="F119">
            <v>37.3836479325401</v>
          </cell>
          <cell r="I119">
            <v>20.531206444456998</v>
          </cell>
          <cell r="J119">
            <v>12289.029198689799</v>
          </cell>
          <cell r="K119">
            <v>1265.4247888038401</v>
          </cell>
          <cell r="L119">
            <v>169.811946399276</v>
          </cell>
          <cell r="M119">
            <v>413.12574398847102</v>
          </cell>
          <cell r="N119">
            <v>3438.3800519340998</v>
          </cell>
          <cell r="O119">
            <v>934.058282358876</v>
          </cell>
          <cell r="P119">
            <v>5029.5214315784297</v>
          </cell>
          <cell r="Q119">
            <v>1038.7069536268</v>
          </cell>
          <cell r="R119">
            <v>583.15016914262105</v>
          </cell>
          <cell r="S119">
            <v>10039.968852706999</v>
          </cell>
          <cell r="T119">
            <v>2380.09261256539</v>
          </cell>
          <cell r="U119">
            <v>2618.9256670966502</v>
          </cell>
          <cell r="V119">
            <v>2048.7909989050199</v>
          </cell>
          <cell r="W119">
            <v>1376.27261475061</v>
          </cell>
          <cell r="X119">
            <v>1615.8869593893801</v>
          </cell>
          <cell r="Y119">
            <v>228.799916956543</v>
          </cell>
          <cell r="Z119">
            <v>25177.409998658499</v>
          </cell>
        </row>
        <row r="120">
          <cell r="A120" t="str">
            <v>Pahang</v>
          </cell>
          <cell r="B120" t="str">
            <v>06</v>
          </cell>
          <cell r="C120">
            <v>5672.8495426607196</v>
          </cell>
          <cell r="D120">
            <v>4511.6503307216099</v>
          </cell>
          <cell r="E120">
            <v>529.44191823602398</v>
          </cell>
          <cell r="F120">
            <v>631.75729370308704</v>
          </cell>
          <cell r="I120">
            <v>178.566419495975</v>
          </cell>
          <cell r="J120">
            <v>6899.3228196329201</v>
          </cell>
          <cell r="K120">
            <v>925.49422077744396</v>
          </cell>
          <cell r="L120">
            <v>21.3974917177141</v>
          </cell>
          <cell r="M120">
            <v>659.90788050961805</v>
          </cell>
          <cell r="N120">
            <v>3062.4981567292598</v>
          </cell>
          <cell r="O120">
            <v>671.98675060911796</v>
          </cell>
          <cell r="P120">
            <v>106.82078047637</v>
          </cell>
          <cell r="Q120">
            <v>1451.2175388133901</v>
          </cell>
          <cell r="R120">
            <v>782.11758540868504</v>
          </cell>
          <cell r="S120">
            <v>13941.070831927</v>
          </cell>
          <cell r="T120">
            <v>1477.06391407244</v>
          </cell>
          <cell r="U120">
            <v>4534.5843284699504</v>
          </cell>
          <cell r="V120">
            <v>1906.0234107915401</v>
          </cell>
          <cell r="W120">
            <v>3422.8515809365499</v>
          </cell>
          <cell r="X120">
            <v>2600.5475976564999</v>
          </cell>
          <cell r="Y120">
            <v>10.4708739581983</v>
          </cell>
          <cell r="Z120">
            <v>27484.398073083499</v>
          </cell>
        </row>
        <row r="121">
          <cell r="A121" t="str">
            <v>Pulau Pinang</v>
          </cell>
          <cell r="B121" t="str">
            <v>07</v>
          </cell>
          <cell r="C121">
            <v>888.99094852272901</v>
          </cell>
          <cell r="D121">
            <v>651.22159236704397</v>
          </cell>
          <cell r="E121">
            <v>0</v>
          </cell>
          <cell r="F121">
            <v>237.76935615568499</v>
          </cell>
          <cell r="I121">
            <v>19.1246938869308</v>
          </cell>
          <cell r="J121">
            <v>24263.659327634199</v>
          </cell>
          <cell r="K121">
            <v>1041.08277393871</v>
          </cell>
          <cell r="L121">
            <v>534.89790830765605</v>
          </cell>
          <cell r="M121">
            <v>906.37835707932197</v>
          </cell>
          <cell r="N121">
            <v>2696.4460690588899</v>
          </cell>
          <cell r="O121">
            <v>2163.8530109986</v>
          </cell>
          <cell r="P121">
            <v>15140.1465095285</v>
          </cell>
          <cell r="Q121">
            <v>1780.85469872253</v>
          </cell>
          <cell r="R121">
            <v>1021.91977091495</v>
          </cell>
          <cell r="S121">
            <v>21688.303059001199</v>
          </cell>
          <cell r="T121">
            <v>4570.3375136091699</v>
          </cell>
          <cell r="U121">
            <v>6218.3805585190403</v>
          </cell>
          <cell r="V121">
            <v>6402.6290576771098</v>
          </cell>
          <cell r="W121">
            <v>2201.0409483533199</v>
          </cell>
          <cell r="X121">
            <v>2295.91498084252</v>
          </cell>
          <cell r="Y121">
            <v>279.09817634319398</v>
          </cell>
          <cell r="Z121">
            <v>48161.095976303201</v>
          </cell>
        </row>
        <row r="122">
          <cell r="A122" t="str">
            <v>Perak</v>
          </cell>
          <cell r="B122" t="str">
            <v>08</v>
          </cell>
          <cell r="C122">
            <v>5241.3585679134603</v>
          </cell>
          <cell r="D122">
            <v>3490.3978906095599</v>
          </cell>
          <cell r="E122">
            <v>397.45434840437503</v>
          </cell>
          <cell r="F122">
            <v>1353.50632889952</v>
          </cell>
          <cell r="I122">
            <v>111.552905846865</v>
          </cell>
          <cell r="J122">
            <v>6549.0848263154103</v>
          </cell>
          <cell r="K122">
            <v>1037.5191619500999</v>
          </cell>
          <cell r="L122">
            <v>187.95000729593201</v>
          </cell>
          <cell r="M122">
            <v>331.45052802276899</v>
          </cell>
          <cell r="N122">
            <v>1294.74421541383</v>
          </cell>
          <cell r="O122">
            <v>1620.3543362374301</v>
          </cell>
          <cell r="P122">
            <v>1611.9499042448001</v>
          </cell>
          <cell r="Q122">
            <v>465.11667315054001</v>
          </cell>
          <cell r="R122">
            <v>717.19374778978397</v>
          </cell>
          <cell r="S122">
            <v>21941.387676528699</v>
          </cell>
          <cell r="T122">
            <v>6444.7229043016596</v>
          </cell>
          <cell r="U122">
            <v>5194.1865508002802</v>
          </cell>
          <cell r="V122">
            <v>3897.0308124437602</v>
          </cell>
          <cell r="W122">
            <v>2753.62435652473</v>
          </cell>
          <cell r="X122">
            <v>3651.8230524583</v>
          </cell>
          <cell r="Y122">
            <v>15.391061046690901</v>
          </cell>
          <cell r="Z122">
            <v>34575.968785440899</v>
          </cell>
        </row>
        <row r="123">
          <cell r="A123" t="str">
            <v>Perlis</v>
          </cell>
          <cell r="B123" t="str">
            <v>09</v>
          </cell>
          <cell r="C123">
            <v>890.253977413808</v>
          </cell>
          <cell r="D123">
            <v>250.038227188164</v>
          </cell>
          <cell r="E123">
            <v>0</v>
          </cell>
          <cell r="F123">
            <v>640.215750225644</v>
          </cell>
          <cell r="I123">
            <v>6.3552696173596797</v>
          </cell>
          <cell r="J123">
            <v>302.11336558226998</v>
          </cell>
          <cell r="K123">
            <v>52.451226974228597</v>
          </cell>
          <cell r="L123">
            <v>41.430334462900099</v>
          </cell>
          <cell r="M123">
            <v>5.1199116479700102</v>
          </cell>
          <cell r="N123">
            <v>61.248855934673102</v>
          </cell>
          <cell r="O123">
            <v>138.71952423795801</v>
          </cell>
          <cell r="P123">
            <v>0.56475732443658899</v>
          </cell>
          <cell r="Q123">
            <v>2.5787550001031798</v>
          </cell>
          <cell r="R123">
            <v>108.664065708869</v>
          </cell>
          <cell r="S123">
            <v>1937.3440641202401</v>
          </cell>
          <cell r="T123">
            <v>677.02078287461802</v>
          </cell>
          <cell r="U123">
            <v>282.88980003650198</v>
          </cell>
          <cell r="V123">
            <v>253.67699812060499</v>
          </cell>
          <cell r="W123">
            <v>256.31133519920502</v>
          </cell>
          <cell r="X123">
            <v>467.44514788931002</v>
          </cell>
          <cell r="Y123">
            <v>73.299611950522902</v>
          </cell>
          <cell r="Z123">
            <v>3318.03035439307</v>
          </cell>
        </row>
        <row r="124">
          <cell r="A124" t="str">
            <v>Selangor</v>
          </cell>
          <cell r="B124">
            <v>10</v>
          </cell>
          <cell r="C124">
            <v>2706.54572787396</v>
          </cell>
          <cell r="D124">
            <v>1778.1379792200801</v>
          </cell>
          <cell r="E124">
            <v>3.4337174438734501</v>
          </cell>
          <cell r="F124">
            <v>924.97403121000798</v>
          </cell>
          <cell r="I124">
            <v>127.244240156123</v>
          </cell>
          <cell r="J124">
            <v>50189.2496835778</v>
          </cell>
          <cell r="K124">
            <v>7955.0931080243399</v>
          </cell>
          <cell r="L124">
            <v>531.41727182738396</v>
          </cell>
          <cell r="M124">
            <v>2995.0687524483401</v>
          </cell>
          <cell r="N124">
            <v>7040.3779359457303</v>
          </cell>
          <cell r="O124">
            <v>6453.92059306993</v>
          </cell>
          <cell r="P124">
            <v>12092.630973113301</v>
          </cell>
          <cell r="Q124">
            <v>13120.741049148801</v>
          </cell>
          <cell r="R124">
            <v>7248.0361555894597</v>
          </cell>
          <cell r="S124">
            <v>90799.867556183905</v>
          </cell>
          <cell r="T124">
            <v>21753.1414275928</v>
          </cell>
          <cell r="U124">
            <v>29898.888005700599</v>
          </cell>
          <cell r="V124">
            <v>24579.777021532798</v>
          </cell>
          <cell r="W124">
            <v>7542.24113877529</v>
          </cell>
          <cell r="X124">
            <v>7025.81996258247</v>
          </cell>
          <cell r="Y124">
            <v>4667.9359911748797</v>
          </cell>
          <cell r="Z124">
            <v>155738.879354556</v>
          </cell>
        </row>
        <row r="125">
          <cell r="A125" t="str">
            <v>Terengganu</v>
          </cell>
          <cell r="B125">
            <v>11</v>
          </cell>
          <cell r="C125">
            <v>1502.42703928226</v>
          </cell>
          <cell r="D125">
            <v>1145.04075419776</v>
          </cell>
          <cell r="E125">
            <v>108.922814844762</v>
          </cell>
          <cell r="F125">
            <v>248.463470239733</v>
          </cell>
          <cell r="I125">
            <v>14.3354558514615</v>
          </cell>
          <cell r="J125">
            <v>7214.7000354725296</v>
          </cell>
          <cell r="K125">
            <v>66.728878161678693</v>
          </cell>
          <cell r="L125">
            <v>44.048798066171003</v>
          </cell>
          <cell r="M125">
            <v>101.77840981852199</v>
          </cell>
          <cell r="N125">
            <v>6596.5370587211601</v>
          </cell>
          <cell r="O125">
            <v>338.26986463669903</v>
          </cell>
          <cell r="P125">
            <v>2.3404493387629799</v>
          </cell>
          <cell r="Q125">
            <v>64.996576729532705</v>
          </cell>
          <cell r="R125">
            <v>648.48607448725102</v>
          </cell>
          <cell r="S125">
            <v>9093.8914214729393</v>
          </cell>
          <cell r="T125">
            <v>3627.3338756503599</v>
          </cell>
          <cell r="U125">
            <v>1653.0362401719699</v>
          </cell>
          <cell r="V125">
            <v>837.27481127513101</v>
          </cell>
          <cell r="W125">
            <v>888.09695694086497</v>
          </cell>
          <cell r="X125">
            <v>2088.14953743461</v>
          </cell>
          <cell r="Y125">
            <v>13.4239951153119</v>
          </cell>
          <cell r="Z125">
            <v>18487.264021681702</v>
          </cell>
        </row>
        <row r="126">
          <cell r="A126" t="str">
            <v>Sabah</v>
          </cell>
          <cell r="B126">
            <v>12</v>
          </cell>
          <cell r="C126">
            <v>9333.0021421278598</v>
          </cell>
          <cell r="D126">
            <v>6100.7278202973503</v>
          </cell>
          <cell r="E126">
            <v>1494.15173959661</v>
          </cell>
          <cell r="F126">
            <v>1738.1225822338999</v>
          </cell>
          <cell r="I126">
            <v>9981.4576113374696</v>
          </cell>
          <cell r="J126">
            <v>3296.1000083382501</v>
          </cell>
          <cell r="K126">
            <v>1779.1503845996899</v>
          </cell>
          <cell r="L126">
            <v>35.183050821935502</v>
          </cell>
          <cell r="M126">
            <v>825.74608328706199</v>
          </cell>
          <cell r="N126">
            <v>164.51613490018701</v>
          </cell>
          <cell r="O126">
            <v>329.33465262169199</v>
          </cell>
          <cell r="P126">
            <v>9.6836285176547197</v>
          </cell>
          <cell r="Q126">
            <v>152.486073590019</v>
          </cell>
          <cell r="R126">
            <v>1048.32131495573</v>
          </cell>
          <cell r="S126">
            <v>18249.0380787022</v>
          </cell>
          <cell r="T126">
            <v>3461.1455486172499</v>
          </cell>
          <cell r="U126">
            <v>6027.3226036168899</v>
          </cell>
          <cell r="V126">
            <v>3661.9798489268401</v>
          </cell>
          <cell r="W126">
            <v>1705.5620623341599</v>
          </cell>
          <cell r="X126">
            <v>3393.02801520702</v>
          </cell>
          <cell r="Y126">
            <v>193.38277115297299</v>
          </cell>
          <cell r="Z126">
            <v>42101.301926614397</v>
          </cell>
        </row>
        <row r="127">
          <cell r="A127" t="str">
            <v>Sarawak</v>
          </cell>
          <cell r="B127">
            <v>13</v>
          </cell>
          <cell r="C127">
            <v>7694.6268346018496</v>
          </cell>
          <cell r="D127">
            <v>3743.7971310764401</v>
          </cell>
          <cell r="E127">
            <v>3512.6235058080101</v>
          </cell>
          <cell r="F127">
            <v>438.20619771739302</v>
          </cell>
          <cell r="I127">
            <v>15757.0015301638</v>
          </cell>
          <cell r="J127">
            <v>18116.8093202567</v>
          </cell>
          <cell r="K127">
            <v>663.697594744968</v>
          </cell>
          <cell r="L127">
            <v>15.0311885489606</v>
          </cell>
          <cell r="M127">
            <v>1502.3919041398201</v>
          </cell>
          <cell r="N127">
            <v>14580.9532505529</v>
          </cell>
          <cell r="O127">
            <v>466.14674304866998</v>
          </cell>
          <cell r="P127">
            <v>520.84665857406503</v>
          </cell>
          <cell r="Q127">
            <v>367.74198064728199</v>
          </cell>
          <cell r="R127">
            <v>1877.0483570021199</v>
          </cell>
          <cell r="S127">
            <v>23200.6558210517</v>
          </cell>
          <cell r="T127">
            <v>5246.0543498770203</v>
          </cell>
          <cell r="U127">
            <v>6280.5784683472802</v>
          </cell>
          <cell r="V127">
            <v>5981.4911503486201</v>
          </cell>
          <cell r="W127">
            <v>2294.15121074228</v>
          </cell>
          <cell r="X127">
            <v>3398.3806417365499</v>
          </cell>
          <cell r="Y127">
            <v>301.068958955516</v>
          </cell>
          <cell r="Z127">
            <v>66947.210822031702</v>
          </cell>
        </row>
        <row r="128">
          <cell r="A128" t="str">
            <v>WP Kuala Lumpur</v>
          </cell>
          <cell r="B128">
            <v>14</v>
          </cell>
          <cell r="C128">
            <v>1.17572172328511</v>
          </cell>
          <cell r="D128">
            <v>1.17572172328511</v>
          </cell>
          <cell r="E128">
            <v>0</v>
          </cell>
          <cell r="F128">
            <v>0</v>
          </cell>
          <cell r="I128">
            <v>27.291962033823101</v>
          </cell>
          <cell r="J128">
            <v>3757.3330725698902</v>
          </cell>
          <cell r="K128">
            <v>435.95852116711302</v>
          </cell>
          <cell r="L128">
            <v>311.82545341745299</v>
          </cell>
          <cell r="M128">
            <v>558.86987045419903</v>
          </cell>
          <cell r="N128">
            <v>562.95918164167699</v>
          </cell>
          <cell r="O128">
            <v>615.833407859423</v>
          </cell>
          <cell r="P128">
            <v>565.42640847014002</v>
          </cell>
          <cell r="Q128">
            <v>706.46022955988599</v>
          </cell>
          <cell r="R128">
            <v>4039.3162243751299</v>
          </cell>
          <cell r="S128">
            <v>88999.185666447098</v>
          </cell>
          <cell r="T128">
            <v>5859.4981354623997</v>
          </cell>
          <cell r="U128">
            <v>33263.711150495801</v>
          </cell>
          <cell r="V128">
            <v>33928.255428053999</v>
          </cell>
          <cell r="W128">
            <v>4586.0170306022601</v>
          </cell>
          <cell r="X128">
            <v>11361.703921832601</v>
          </cell>
          <cell r="Y128">
            <v>1005.54682827907</v>
          </cell>
          <cell r="Z128">
            <v>97829.849475428302</v>
          </cell>
        </row>
        <row r="129">
          <cell r="A129" t="str">
            <v>WP Labuan</v>
          </cell>
          <cell r="B129">
            <v>15</v>
          </cell>
          <cell r="C129">
            <v>117.835512878771</v>
          </cell>
          <cell r="D129">
            <v>7.4245397112611</v>
          </cell>
          <cell r="E129">
            <v>0</v>
          </cell>
          <cell r="F129">
            <v>110.41097316750999</v>
          </cell>
          <cell r="I129">
            <v>0</v>
          </cell>
          <cell r="J129">
            <v>576.19529319268997</v>
          </cell>
          <cell r="K129">
            <v>11.6146768482245</v>
          </cell>
          <cell r="L129">
            <v>2.75964839768156</v>
          </cell>
          <cell r="M129">
            <v>1.41659429612576</v>
          </cell>
          <cell r="N129">
            <v>257.48306212891299</v>
          </cell>
          <cell r="O129">
            <v>273.525809078002</v>
          </cell>
          <cell r="P129">
            <v>1.0281257709365199</v>
          </cell>
          <cell r="Q129">
            <v>28.367376672806301</v>
          </cell>
          <cell r="R129">
            <v>20.557724287622801</v>
          </cell>
          <cell r="S129">
            <v>1912.81908981113</v>
          </cell>
          <cell r="T129">
            <v>202.44696601929701</v>
          </cell>
          <cell r="U129">
            <v>240.06121027596001</v>
          </cell>
          <cell r="V129">
            <v>1313.4462330045201</v>
          </cell>
          <cell r="W129">
            <v>68.710276306096105</v>
          </cell>
          <cell r="X129">
            <v>88.154404205260093</v>
          </cell>
          <cell r="Y129">
            <v>19.052607394355999</v>
          </cell>
          <cell r="Z129">
            <v>2646.4602275645698</v>
          </cell>
        </row>
        <row r="130">
          <cell r="A130" t="str">
            <v>Supra1</v>
          </cell>
          <cell r="C130">
            <v>0</v>
          </cell>
          <cell r="D130">
            <v>0</v>
          </cell>
          <cell r="E130">
            <v>0</v>
          </cell>
          <cell r="F130">
            <v>0</v>
          </cell>
          <cell r="I130">
            <v>39827.220356516496</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39827.220356516496</v>
          </cell>
        </row>
        <row r="131">
          <cell r="A131" t="str">
            <v>MALAYSIA</v>
          </cell>
          <cell r="C131">
            <v>51262.585309453403</v>
          </cell>
          <cell r="D131">
            <v>36675.639973874699</v>
          </cell>
          <cell r="E131">
            <v>6922.9753038547296</v>
          </cell>
          <cell r="F131">
            <v>7663.9700317239704</v>
          </cell>
          <cell r="I131">
            <v>66182.442509128305</v>
          </cell>
          <cell r="J131">
            <v>170260.619620679</v>
          </cell>
          <cell r="K131">
            <v>18269.909161044499</v>
          </cell>
          <cell r="L131">
            <v>3120.84084725401</v>
          </cell>
          <cell r="M131">
            <v>10862.594816504199</v>
          </cell>
          <cell r="N131">
            <v>48910.345242157899</v>
          </cell>
          <cell r="O131">
            <v>19628.259549294002</v>
          </cell>
          <cell r="P131">
            <v>45972.646985428299</v>
          </cell>
          <cell r="Q131">
            <v>23496.023018995998</v>
          </cell>
          <cell r="R131">
            <v>21458.576878407799</v>
          </cell>
          <cell r="S131">
            <v>359829.17435174598</v>
          </cell>
          <cell r="T131">
            <v>66782.185103885597</v>
          </cell>
          <cell r="U131">
            <v>111796.109106901</v>
          </cell>
          <cell r="V131">
            <v>97969.802170144001</v>
          </cell>
          <cell r="W131">
            <v>34413.396601364802</v>
          </cell>
          <cell r="X131">
            <v>48867.681369450802</v>
          </cell>
          <cell r="Y131">
            <v>7659.6039079068296</v>
          </cell>
          <cell r="Z131">
            <v>676653.00257732102</v>
          </cell>
        </row>
        <row r="134">
          <cell r="A134" t="str">
            <v>CONSTANT</v>
          </cell>
          <cell r="B134" t="str">
            <v>Industry</v>
          </cell>
          <cell r="D134">
            <v>1</v>
          </cell>
          <cell r="E134">
            <v>2</v>
          </cell>
          <cell r="F134">
            <v>3</v>
          </cell>
          <cell r="I134">
            <v>4</v>
          </cell>
          <cell r="K134">
            <v>6</v>
          </cell>
          <cell r="L134">
            <v>7</v>
          </cell>
          <cell r="M134">
            <v>8</v>
          </cell>
          <cell r="N134">
            <v>9</v>
          </cell>
          <cell r="O134">
            <v>10</v>
          </cell>
          <cell r="P134">
            <v>11</v>
          </cell>
          <cell r="Q134">
            <v>12</v>
          </cell>
          <cell r="R134">
            <v>5</v>
          </cell>
          <cell r="T134">
            <v>13</v>
          </cell>
          <cell r="U134">
            <v>14</v>
          </cell>
          <cell r="V134">
            <v>15</v>
          </cell>
          <cell r="W134">
            <v>16</v>
          </cell>
        </row>
        <row r="135">
          <cell r="A135">
            <v>2011</v>
          </cell>
          <cell r="B135" t="str">
            <v>I</v>
          </cell>
          <cell r="C135" t="str">
            <v>Agriculture</v>
          </cell>
          <cell r="D135" t="str">
            <v>Tanaman</v>
          </cell>
          <cell r="E135" t="str">
            <v>Pembalakan</v>
          </cell>
          <cell r="F135" t="str">
            <v>Perikanan</v>
          </cell>
          <cell r="I135" t="str">
            <v>Mining and
Quarrying</v>
          </cell>
          <cell r="J135" t="str">
            <v>Manufacturing</v>
          </cell>
          <cell r="K135" t="str">
            <v>Prosesan Makanan, Minuman dan Produk Tembakau</v>
          </cell>
          <cell r="L135" t="str">
            <v>Tekstil, Pakaian, Kulit dan Kasut</v>
          </cell>
          <cell r="M135" t="str">
            <v>Keluaran Kayu, Perabot, Produk Kertas, Percetakan dan Penerbitan</v>
          </cell>
          <cell r="N135" t="str">
            <v>Produk Petroleum, Bahan kimia, Getah dan Plastik</v>
          </cell>
          <cell r="O135" t="str">
            <v>Produk Mineral Bukan Logam, Logam Asli dan Produk Logam Yang Direka</v>
          </cell>
          <cell r="P135" t="str">
            <v>Elektrik dan Elektronik</v>
          </cell>
          <cell r="Q135" t="str">
            <v>Kelengkapan Pengangkutan dan Pembuatan Lain</v>
          </cell>
          <cell r="R135" t="str">
            <v>Construction</v>
          </cell>
          <cell r="S135" t="str">
            <v>Services</v>
          </cell>
          <cell r="T135" t="str">
            <v>Utiliti, Transport &amp; Communication</v>
          </cell>
          <cell r="U135" t="str">
            <v>WRT, Accomm &amp; Restaurant</v>
          </cell>
          <cell r="V135" t="str">
            <v>Finance &amp; Insurance, Real Estate &amp; Business Services</v>
          </cell>
          <cell r="W135" t="str">
            <v>Other Services</v>
          </cell>
          <cell r="X135" t="str">
            <v>Government Services</v>
          </cell>
          <cell r="Y135" t="str">
            <v>Plus :
Import Duties</v>
          </cell>
          <cell r="Z135" t="str">
            <v>GDP at
Purchasers' Prices</v>
          </cell>
        </row>
        <row r="136">
          <cell r="A136" t="str">
            <v>States</v>
          </cell>
          <cell r="B136" t="str">
            <v>Converter</v>
          </cell>
        </row>
        <row r="137">
          <cell r="A137" t="str">
            <v>Johor</v>
          </cell>
          <cell r="B137" t="str">
            <v>01</v>
          </cell>
          <cell r="C137">
            <v>8134.6770207458503</v>
          </cell>
          <cell r="D137">
            <v>7422.0715582305802</v>
          </cell>
          <cell r="E137">
            <v>47.762779025678199</v>
          </cell>
          <cell r="F137">
            <v>664.84268348959301</v>
          </cell>
          <cell r="I137">
            <v>70.624621916013794</v>
          </cell>
          <cell r="J137">
            <v>21994.898483521501</v>
          </cell>
          <cell r="K137">
            <v>2410.6855618292698</v>
          </cell>
          <cell r="L137">
            <v>871.84644902889499</v>
          </cell>
          <cell r="M137">
            <v>1782.4639099186099</v>
          </cell>
          <cell r="N137">
            <v>5230.0964648468298</v>
          </cell>
          <cell r="O137">
            <v>3302.5548771064</v>
          </cell>
          <cell r="P137">
            <v>6458.0726612356502</v>
          </cell>
          <cell r="Q137">
            <v>1939.1785595558499</v>
          </cell>
          <cell r="R137">
            <v>2029.3071001792</v>
          </cell>
          <cell r="S137">
            <v>31642.340433222402</v>
          </cell>
          <cell r="T137">
            <v>7296.5972343024996</v>
          </cell>
          <cell r="U137">
            <v>7682.37373900291</v>
          </cell>
          <cell r="V137">
            <v>8629.8666459142405</v>
          </cell>
          <cell r="W137">
            <v>3096.7312974633601</v>
          </cell>
          <cell r="X137">
            <v>4936.7715165394102</v>
          </cell>
          <cell r="Y137">
            <v>719.74007920346901</v>
          </cell>
          <cell r="Z137">
            <v>64591.587738788403</v>
          </cell>
        </row>
        <row r="138">
          <cell r="A138" t="str">
            <v>Kedah</v>
          </cell>
          <cell r="B138" t="str">
            <v>02</v>
          </cell>
          <cell r="C138">
            <v>2960.6632872735699</v>
          </cell>
          <cell r="D138">
            <v>2540.7729817119698</v>
          </cell>
          <cell r="E138">
            <v>117.22210580143999</v>
          </cell>
          <cell r="F138">
            <v>302.66819976016399</v>
          </cell>
          <cell r="I138">
            <v>20.032884294642901</v>
          </cell>
          <cell r="J138">
            <v>7352.0687446499696</v>
          </cell>
          <cell r="K138">
            <v>383.350799132188</v>
          </cell>
          <cell r="L138">
            <v>81.717323357246499</v>
          </cell>
          <cell r="M138">
            <v>440.09319389067099</v>
          </cell>
          <cell r="N138">
            <v>1412.68923948528</v>
          </cell>
          <cell r="O138">
            <v>2261.31833975989</v>
          </cell>
          <cell r="P138">
            <v>1487.0281647716699</v>
          </cell>
          <cell r="Q138">
            <v>1285.87168425303</v>
          </cell>
          <cell r="R138">
            <v>544.91931712892699</v>
          </cell>
          <cell r="S138">
            <v>12829.536155953399</v>
          </cell>
          <cell r="T138">
            <v>1918.0622325428001</v>
          </cell>
          <cell r="U138">
            <v>3317.3555159477801</v>
          </cell>
          <cell r="V138">
            <v>2490.2016389007299</v>
          </cell>
          <cell r="W138">
            <v>2009.5826020151301</v>
          </cell>
          <cell r="X138">
            <v>3094.3341665469802</v>
          </cell>
          <cell r="Y138">
            <v>129.48746996672901</v>
          </cell>
          <cell r="Z138">
            <v>23836.707859267299</v>
          </cell>
        </row>
        <row r="139">
          <cell r="A139" t="str">
            <v>Kelantan</v>
          </cell>
          <cell r="B139" t="str">
            <v>03</v>
          </cell>
          <cell r="C139">
            <v>3250.3931440866399</v>
          </cell>
          <cell r="D139">
            <v>2307.48252030412</v>
          </cell>
          <cell r="E139">
            <v>686.82311431359699</v>
          </cell>
          <cell r="F139">
            <v>256.08750946892599</v>
          </cell>
          <cell r="I139">
            <v>17.555017875334102</v>
          </cell>
          <cell r="J139">
            <v>720.02379042973098</v>
          </cell>
          <cell r="K139">
            <v>120.480108489873</v>
          </cell>
          <cell r="L139">
            <v>33.115332635042897</v>
          </cell>
          <cell r="M139">
            <v>86.254756643894197</v>
          </cell>
          <cell r="N139">
            <v>125.631643864236</v>
          </cell>
          <cell r="O139">
            <v>81.481969197679106</v>
          </cell>
          <cell r="P139">
            <v>265.79753286347898</v>
          </cell>
          <cell r="Q139">
            <v>7.26244673552634</v>
          </cell>
          <cell r="R139">
            <v>205.35856253309299</v>
          </cell>
          <cell r="S139">
            <v>8563.4068646215401</v>
          </cell>
          <cell r="T139">
            <v>1008.9559015075901</v>
          </cell>
          <cell r="U139">
            <v>2303.81195694282</v>
          </cell>
          <cell r="V139">
            <v>1043.9061010979001</v>
          </cell>
          <cell r="W139">
            <v>1410.4768872443699</v>
          </cell>
          <cell r="X139">
            <v>2796.25601782887</v>
          </cell>
          <cell r="Y139">
            <v>23.1335746334703</v>
          </cell>
          <cell r="Z139">
            <v>12779.8709541798</v>
          </cell>
        </row>
        <row r="140">
          <cell r="A140" t="str">
            <v>Melaka</v>
          </cell>
          <cell r="B140" t="str">
            <v>04</v>
          </cell>
          <cell r="C140">
            <v>1904.4398963829201</v>
          </cell>
          <cell r="D140">
            <v>1875.3104448702099</v>
          </cell>
          <cell r="E140">
            <v>0.34854431854738999</v>
          </cell>
          <cell r="F140">
            <v>28.7809071941657</v>
          </cell>
          <cell r="I140">
            <v>8.7133632236388596</v>
          </cell>
          <cell r="J140">
            <v>8526.6092260537007</v>
          </cell>
          <cell r="K140">
            <v>404.35623405683498</v>
          </cell>
          <cell r="L140">
            <v>371.82640156334901</v>
          </cell>
          <cell r="M140">
            <v>289.34137120731998</v>
          </cell>
          <cell r="N140">
            <v>3915.2355954753298</v>
          </cell>
          <cell r="O140">
            <v>586.39123981980595</v>
          </cell>
          <cell r="P140">
            <v>1917.9929215814</v>
          </cell>
          <cell r="Q140">
            <v>1041.4654623496499</v>
          </cell>
          <cell r="R140">
            <v>578.56670411304901</v>
          </cell>
          <cell r="S140">
            <v>9447.5733618878294</v>
          </cell>
          <cell r="T140">
            <v>1718.8795132765799</v>
          </cell>
          <cell r="U140">
            <v>3241.9358636103698</v>
          </cell>
          <cell r="V140">
            <v>1872.6180711970701</v>
          </cell>
          <cell r="W140">
            <v>1206.3822808283201</v>
          </cell>
          <cell r="X140">
            <v>1407.7576329755</v>
          </cell>
          <cell r="Y140">
            <v>8.4322950552220597</v>
          </cell>
          <cell r="Z140">
            <v>20474.3348467164</v>
          </cell>
        </row>
        <row r="141">
          <cell r="A141" t="str">
            <v>Negeri Sembilan</v>
          </cell>
          <cell r="B141" t="str">
            <v>05</v>
          </cell>
          <cell r="C141">
            <v>2126.3575406422601</v>
          </cell>
          <cell r="D141">
            <v>2036.69822993804</v>
          </cell>
          <cell r="E141">
            <v>51.872211126034898</v>
          </cell>
          <cell r="F141">
            <v>37.787099578188702</v>
          </cell>
          <cell r="I141">
            <v>21.145056486151599</v>
          </cell>
          <cell r="J141">
            <v>12894.9399107464</v>
          </cell>
          <cell r="K141">
            <v>1392.6142550950001</v>
          </cell>
          <cell r="L141">
            <v>182.82011147314299</v>
          </cell>
          <cell r="M141">
            <v>396.74162644753102</v>
          </cell>
          <cell r="N141">
            <v>3806.0058318315801</v>
          </cell>
          <cell r="O141">
            <v>1183.1215905153699</v>
          </cell>
          <cell r="P141">
            <v>5033.5464955859998</v>
          </cell>
          <cell r="Q141">
            <v>900.089999797779</v>
          </cell>
          <cell r="R141">
            <v>611.75562451344899</v>
          </cell>
          <cell r="S141">
            <v>10586.379094448601</v>
          </cell>
          <cell r="T141">
            <v>2510.4388442251702</v>
          </cell>
          <cell r="U141">
            <v>2705.1158011420398</v>
          </cell>
          <cell r="V141">
            <v>2162.4276451003998</v>
          </cell>
          <cell r="W141">
            <v>1415.49372916073</v>
          </cell>
          <cell r="X141">
            <v>1792.9030748202899</v>
          </cell>
          <cell r="Y141">
            <v>172.97280325428</v>
          </cell>
          <cell r="Z141">
            <v>26413.550030091199</v>
          </cell>
        </row>
        <row r="142">
          <cell r="A142" t="str">
            <v>Pahang</v>
          </cell>
          <cell r="B142" t="str">
            <v>06</v>
          </cell>
          <cell r="C142">
            <v>6116.6826148353102</v>
          </cell>
          <cell r="D142">
            <v>4876.2907066867701</v>
          </cell>
          <cell r="E142">
            <v>581.04914766295406</v>
          </cell>
          <cell r="F142">
            <v>659.34276048559298</v>
          </cell>
          <cell r="I142">
            <v>197.77283771610999</v>
          </cell>
          <cell r="J142">
            <v>7260.4879476781798</v>
          </cell>
          <cell r="K142">
            <v>1016.56039347948</v>
          </cell>
          <cell r="L142">
            <v>28.841100684370499</v>
          </cell>
          <cell r="M142">
            <v>663.49731876668102</v>
          </cell>
          <cell r="N142">
            <v>3082.3091472992101</v>
          </cell>
          <cell r="O142">
            <v>675.63786091811698</v>
          </cell>
          <cell r="P142">
            <v>120.79217979550501</v>
          </cell>
          <cell r="Q142">
            <v>1672.8499467348099</v>
          </cell>
          <cell r="R142">
            <v>760.95804245120905</v>
          </cell>
          <cell r="S142">
            <v>14857.175356735999</v>
          </cell>
          <cell r="T142">
            <v>1588.7553522870401</v>
          </cell>
          <cell r="U142">
            <v>4712.8127755404103</v>
          </cell>
          <cell r="V142">
            <v>2024.6759611119801</v>
          </cell>
          <cell r="W142">
            <v>3658.8446811840599</v>
          </cell>
          <cell r="X142">
            <v>2872.08658661247</v>
          </cell>
          <cell r="Y142">
            <v>8.1035979179312605</v>
          </cell>
          <cell r="Z142">
            <v>29201.180397334701</v>
          </cell>
        </row>
        <row r="143">
          <cell r="A143" t="str">
            <v>Pulau Pinang</v>
          </cell>
          <cell r="B143" t="str">
            <v>07</v>
          </cell>
          <cell r="C143">
            <v>943.98157091535802</v>
          </cell>
          <cell r="D143">
            <v>691.89542709139801</v>
          </cell>
          <cell r="E143">
            <v>0</v>
          </cell>
          <cell r="F143">
            <v>252.08614382396101</v>
          </cell>
          <cell r="I143">
            <v>20.412292848177401</v>
          </cell>
          <cell r="J143">
            <v>24567.200957016299</v>
          </cell>
          <cell r="K143">
            <v>1025.0814368202</v>
          </cell>
          <cell r="L143">
            <v>620.82769623989998</v>
          </cell>
          <cell r="M143">
            <v>937.54425826509896</v>
          </cell>
          <cell r="N143">
            <v>3033.8457202014401</v>
          </cell>
          <cell r="O143">
            <v>2711.3973129731698</v>
          </cell>
          <cell r="P143">
            <v>14250.225567134999</v>
          </cell>
          <cell r="Q143">
            <v>1988.27896538147</v>
          </cell>
          <cell r="R143">
            <v>1073.9697622496999</v>
          </cell>
          <cell r="S143">
            <v>23107.214875716301</v>
          </cell>
          <cell r="T143">
            <v>4848.8281431502801</v>
          </cell>
          <cell r="U143">
            <v>6544.7360624590601</v>
          </cell>
          <cell r="V143">
            <v>6773.4100588843603</v>
          </cell>
          <cell r="W143">
            <v>2284.3270174064601</v>
          </cell>
          <cell r="X143">
            <v>2655.9135938161498</v>
          </cell>
          <cell r="Y143">
            <v>340.45827634796098</v>
          </cell>
          <cell r="Z143">
            <v>50053.237735093797</v>
          </cell>
        </row>
        <row r="144">
          <cell r="A144" t="str">
            <v>Perak</v>
          </cell>
          <cell r="B144" t="str">
            <v>08</v>
          </cell>
          <cell r="C144">
            <v>5627.2105795027801</v>
          </cell>
          <cell r="D144">
            <v>3735.9622783095001</v>
          </cell>
          <cell r="E144">
            <v>409.87173923597499</v>
          </cell>
          <cell r="F144">
            <v>1481.3765619573001</v>
          </cell>
          <cell r="I144">
            <v>120.25875212874401</v>
          </cell>
          <cell r="J144">
            <v>7268.061069286</v>
          </cell>
          <cell r="K144">
            <v>1151.51899843193</v>
          </cell>
          <cell r="L144">
            <v>181.75845234122301</v>
          </cell>
          <cell r="M144">
            <v>333.998529282964</v>
          </cell>
          <cell r="N144">
            <v>1351.0119551047201</v>
          </cell>
          <cell r="O144">
            <v>1915.4260496440399</v>
          </cell>
          <cell r="P144">
            <v>1853.97778166991</v>
          </cell>
          <cell r="Q144">
            <v>480.36930281122102</v>
          </cell>
          <cell r="R144">
            <v>721.20399693463105</v>
          </cell>
          <cell r="S144">
            <v>23246.9407555014</v>
          </cell>
          <cell r="T144">
            <v>6773.3004810202901</v>
          </cell>
          <cell r="U144">
            <v>5562.0388359467297</v>
          </cell>
          <cell r="V144">
            <v>4021.9619357315</v>
          </cell>
          <cell r="W144">
            <v>2851.47468013759</v>
          </cell>
          <cell r="X144">
            <v>4038.1648226652501</v>
          </cell>
          <cell r="Y144">
            <v>17.576273903996899</v>
          </cell>
          <cell r="Z144">
            <v>37001.251427257499</v>
          </cell>
        </row>
        <row r="145">
          <cell r="A145" t="str">
            <v>Perlis</v>
          </cell>
          <cell r="B145" t="str">
            <v>09</v>
          </cell>
          <cell r="C145">
            <v>827.73384823097501</v>
          </cell>
          <cell r="D145">
            <v>267.55028768946102</v>
          </cell>
          <cell r="E145">
            <v>0</v>
          </cell>
          <cell r="F145">
            <v>560.183560541514</v>
          </cell>
          <cell r="I145">
            <v>6.8440980555753903</v>
          </cell>
          <cell r="J145">
            <v>341.31202616500502</v>
          </cell>
          <cell r="K145">
            <v>55.916553000696197</v>
          </cell>
          <cell r="L145">
            <v>46.901569706717702</v>
          </cell>
          <cell r="M145">
            <v>5.3489647809514098</v>
          </cell>
          <cell r="N145">
            <v>65.394872424891801</v>
          </cell>
          <cell r="O145">
            <v>164.585883281571</v>
          </cell>
          <cell r="P145">
            <v>0.63380209987725999</v>
          </cell>
          <cell r="Q145">
            <v>2.5303808702997199</v>
          </cell>
          <cell r="R145">
            <v>104.527779096072</v>
          </cell>
          <cell r="S145">
            <v>2054.2194129108302</v>
          </cell>
          <cell r="T145">
            <v>709.11684778855999</v>
          </cell>
          <cell r="U145">
            <v>290.57844365090398</v>
          </cell>
          <cell r="V145">
            <v>267.76177137988799</v>
          </cell>
          <cell r="W145">
            <v>266.403762604527</v>
          </cell>
          <cell r="X145">
            <v>520.35858748695296</v>
          </cell>
          <cell r="Y145">
            <v>51.284124517975201</v>
          </cell>
          <cell r="Z145">
            <v>3385.9212889764399</v>
          </cell>
        </row>
        <row r="146">
          <cell r="A146" t="str">
            <v>Selangor</v>
          </cell>
          <cell r="B146">
            <v>10</v>
          </cell>
          <cell r="C146">
            <v>2767.08637642542</v>
          </cell>
          <cell r="D146">
            <v>1820.29293336213</v>
          </cell>
          <cell r="E146">
            <v>4.4435296450322896</v>
          </cell>
          <cell r="F146">
            <v>942.34991341826003</v>
          </cell>
          <cell r="I146">
            <v>131.697998796847</v>
          </cell>
          <cell r="J146">
            <v>52570.440498427997</v>
          </cell>
          <cell r="K146">
            <v>8462.3134701883191</v>
          </cell>
          <cell r="L146">
            <v>588.93175652236403</v>
          </cell>
          <cell r="M146">
            <v>3075.9646553236098</v>
          </cell>
          <cell r="N146">
            <v>7589.64097187274</v>
          </cell>
          <cell r="O146">
            <v>7971.0594568084098</v>
          </cell>
          <cell r="P146">
            <v>12269.9170350355</v>
          </cell>
          <cell r="Q146">
            <v>12612.613152677</v>
          </cell>
          <cell r="R146">
            <v>7881.1943849313302</v>
          </cell>
          <cell r="S146">
            <v>96132.655217595297</v>
          </cell>
          <cell r="T146">
            <v>22998.0823201739</v>
          </cell>
          <cell r="U146">
            <v>31903.082917761101</v>
          </cell>
          <cell r="V146">
            <v>25513.710287414498</v>
          </cell>
          <cell r="W146">
            <v>7886.0997908309901</v>
          </cell>
          <cell r="X146">
            <v>7831.6799014148501</v>
          </cell>
          <cell r="Y146">
            <v>5268.2420999035103</v>
          </cell>
          <cell r="Z146">
            <v>164751.31657607999</v>
          </cell>
        </row>
        <row r="147">
          <cell r="A147" t="str">
            <v>Terengganu</v>
          </cell>
          <cell r="B147">
            <v>11</v>
          </cell>
          <cell r="C147">
            <v>1552.46893375229</v>
          </cell>
          <cell r="D147">
            <v>1208.9483804997501</v>
          </cell>
          <cell r="E147">
            <v>106.315710638803</v>
          </cell>
          <cell r="F147">
            <v>237.20484261373599</v>
          </cell>
          <cell r="I147">
            <v>16.019035491132101</v>
          </cell>
          <cell r="J147">
            <v>7150.1795860023003</v>
          </cell>
          <cell r="K147">
            <v>72.750622101171899</v>
          </cell>
          <cell r="L147">
            <v>49.844395080289402</v>
          </cell>
          <cell r="M147">
            <v>95.600371067727593</v>
          </cell>
          <cell r="N147">
            <v>6431.6391186826704</v>
          </cell>
          <cell r="O147">
            <v>433.51495093672702</v>
          </cell>
          <cell r="P147">
            <v>2.6391065351343701</v>
          </cell>
          <cell r="Q147">
            <v>64.191021598576896</v>
          </cell>
          <cell r="R147">
            <v>630.31504073162705</v>
          </cell>
          <cell r="S147">
            <v>9611.7817101928395</v>
          </cell>
          <cell r="T147">
            <v>3784.4333205268799</v>
          </cell>
          <cell r="U147">
            <v>1716.69282592134</v>
          </cell>
          <cell r="V147">
            <v>872.62195406933404</v>
          </cell>
          <cell r="W147">
            <v>942.05491951014301</v>
          </cell>
          <cell r="X147">
            <v>2295.9786901651401</v>
          </cell>
          <cell r="Y147">
            <v>18.8788935523413</v>
          </cell>
          <cell r="Z147">
            <v>18979.643199722501</v>
          </cell>
        </row>
        <row r="148">
          <cell r="A148" t="str">
            <v>Sabah</v>
          </cell>
          <cell r="B148">
            <v>12</v>
          </cell>
          <cell r="C148">
            <v>9762.6643991100209</v>
          </cell>
          <cell r="D148">
            <v>6808.2818181788698</v>
          </cell>
          <cell r="E148">
            <v>1130.05771756577</v>
          </cell>
          <cell r="F148">
            <v>1824.32486336538</v>
          </cell>
          <cell r="I148">
            <v>8338.7153392117998</v>
          </cell>
          <cell r="J148">
            <v>3485.83513399293</v>
          </cell>
          <cell r="K148">
            <v>1965.3275502660599</v>
          </cell>
          <cell r="L148">
            <v>40.138131403280298</v>
          </cell>
          <cell r="M148">
            <v>751.94990360398799</v>
          </cell>
          <cell r="N148">
            <v>187.20762084578999</v>
          </cell>
          <cell r="O148">
            <v>385.16721142754301</v>
          </cell>
          <cell r="P148">
            <v>11.5935278978917</v>
          </cell>
          <cell r="Q148">
            <v>144.451188548381</v>
          </cell>
          <cell r="R148">
            <v>1126.6769793170699</v>
          </cell>
          <cell r="S148">
            <v>19777.2345872021</v>
          </cell>
          <cell r="T148">
            <v>3692.8363324576499</v>
          </cell>
          <cell r="U148">
            <v>6529.3477103989499</v>
          </cell>
          <cell r="V148">
            <v>3986.4005343040499</v>
          </cell>
          <cell r="W148">
            <v>1779.7816860943699</v>
          </cell>
          <cell r="X148">
            <v>3788.8683239471102</v>
          </cell>
          <cell r="Y148">
            <v>188.95297615947101</v>
          </cell>
          <cell r="Z148">
            <v>42680.079414993401</v>
          </cell>
        </row>
        <row r="149">
          <cell r="A149" t="str">
            <v>Sarawak</v>
          </cell>
          <cell r="B149">
            <v>13</v>
          </cell>
          <cell r="C149">
            <v>8156.8061992557195</v>
          </cell>
          <cell r="D149">
            <v>4421.7470795900499</v>
          </cell>
          <cell r="E149">
            <v>3315.8120835161599</v>
          </cell>
          <cell r="F149">
            <v>419.24703614950897</v>
          </cell>
          <cell r="I149">
            <v>16468.675984960999</v>
          </cell>
          <cell r="J149">
            <v>19237.230994002901</v>
          </cell>
          <cell r="K149">
            <v>743.12154758013605</v>
          </cell>
          <cell r="L149">
            <v>17.2653490955684</v>
          </cell>
          <cell r="M149">
            <v>1460.07702792091</v>
          </cell>
          <cell r="N149">
            <v>15603.075006376799</v>
          </cell>
          <cell r="O149">
            <v>531.43566931436601</v>
          </cell>
          <cell r="P149">
            <v>519.61312274619695</v>
          </cell>
          <cell r="Q149">
            <v>362.64327096890099</v>
          </cell>
          <cell r="R149">
            <v>1853.13827443629</v>
          </cell>
          <cell r="S149">
            <v>24865.690281203799</v>
          </cell>
          <cell r="T149">
            <v>5514.6440295412403</v>
          </cell>
          <cell r="U149">
            <v>6746.93963796966</v>
          </cell>
          <cell r="V149">
            <v>6353.7916732137101</v>
          </cell>
          <cell r="W149">
            <v>2446.2213223705098</v>
          </cell>
          <cell r="X149">
            <v>3804.0936181087</v>
          </cell>
          <cell r="Y149">
            <v>267.73525855394098</v>
          </cell>
          <cell r="Z149">
            <v>70849.276992413696</v>
          </cell>
        </row>
        <row r="150">
          <cell r="A150" t="str">
            <v>WP Kuala Lumpur</v>
          </cell>
          <cell r="B150">
            <v>14</v>
          </cell>
          <cell r="C150">
            <v>1.24387042126951</v>
          </cell>
          <cell r="D150">
            <v>1.24387042126951</v>
          </cell>
          <cell r="E150">
            <v>0</v>
          </cell>
          <cell r="F150">
            <v>0</v>
          </cell>
          <cell r="I150">
            <v>29.177846085608</v>
          </cell>
          <cell r="J150">
            <v>4191.4178190179</v>
          </cell>
          <cell r="K150">
            <v>477.410169366898</v>
          </cell>
          <cell r="L150">
            <v>357.96346168164303</v>
          </cell>
          <cell r="M150">
            <v>651.82256045911004</v>
          </cell>
          <cell r="N150">
            <v>594.49307170547695</v>
          </cell>
          <cell r="O150">
            <v>733.32068762187805</v>
          </cell>
          <cell r="P150">
            <v>590.556975177249</v>
          </cell>
          <cell r="Q150">
            <v>785.85089300564005</v>
          </cell>
          <cell r="R150">
            <v>4319.6268447909597</v>
          </cell>
          <cell r="S150">
            <v>96657.319919448797</v>
          </cell>
          <cell r="T150">
            <v>6210.3238635634698</v>
          </cell>
          <cell r="U150">
            <v>35959.740207130599</v>
          </cell>
          <cell r="V150">
            <v>36665.138082038997</v>
          </cell>
          <cell r="W150">
            <v>4851.3507236140604</v>
          </cell>
          <cell r="X150">
            <v>12970.7670431017</v>
          </cell>
          <cell r="Y150">
            <v>1416.5103889326899</v>
          </cell>
          <cell r="Z150">
            <v>106615.296688697</v>
          </cell>
        </row>
        <row r="151">
          <cell r="A151" t="str">
            <v>WP Labuan</v>
          </cell>
          <cell r="B151">
            <v>15</v>
          </cell>
          <cell r="C151">
            <v>117.11069312423901</v>
          </cell>
          <cell r="D151">
            <v>7.4243868978416998</v>
          </cell>
          <cell r="E151">
            <v>0</v>
          </cell>
          <cell r="F151">
            <v>109.68630622639699</v>
          </cell>
          <cell r="I151">
            <v>0</v>
          </cell>
          <cell r="J151">
            <v>675.99673600364702</v>
          </cell>
          <cell r="K151">
            <v>11.968795512479501</v>
          </cell>
          <cell r="L151">
            <v>3.12302264569517</v>
          </cell>
          <cell r="M151">
            <v>1.0817751066401999</v>
          </cell>
          <cell r="N151">
            <v>384.477929241298</v>
          </cell>
          <cell r="O151">
            <v>245.74246600732599</v>
          </cell>
          <cell r="P151">
            <v>1.16184462992306</v>
          </cell>
          <cell r="Q151">
            <v>28.440902860284702</v>
          </cell>
          <cell r="R151">
            <v>22.3729073478722</v>
          </cell>
          <cell r="S151">
            <v>2170.13164919668</v>
          </cell>
          <cell r="T151">
            <v>212.114420540499</v>
          </cell>
          <cell r="U151">
            <v>249.27503538414001</v>
          </cell>
          <cell r="V151">
            <v>1532.5311261024799</v>
          </cell>
          <cell r="W151">
            <v>70.540807183286006</v>
          </cell>
          <cell r="X151">
            <v>105.670259986275</v>
          </cell>
          <cell r="Y151">
            <v>21.804599511489702</v>
          </cell>
          <cell r="Z151">
            <v>3007.4165851839298</v>
          </cell>
        </row>
        <row r="152">
          <cell r="A152" t="str">
            <v>Supra1</v>
          </cell>
          <cell r="C152">
            <v>0</v>
          </cell>
          <cell r="D152">
            <v>0</v>
          </cell>
          <cell r="E152">
            <v>0</v>
          </cell>
          <cell r="F152">
            <v>0</v>
          </cell>
          <cell r="I152">
            <v>37139.136922086698</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37139.136922086698</v>
          </cell>
        </row>
        <row r="153">
          <cell r="A153" t="str">
            <v>MALAYSIA</v>
          </cell>
          <cell r="C153">
            <v>54249.519974704599</v>
          </cell>
          <cell r="D153">
            <v>40021.972903782</v>
          </cell>
          <cell r="E153">
            <v>6451.5786828500004</v>
          </cell>
          <cell r="F153">
            <v>7775.9683880726898</v>
          </cell>
          <cell r="I153">
            <v>62606.782051177499</v>
          </cell>
          <cell r="J153">
            <v>178236.70292299401</v>
          </cell>
          <cell r="K153">
            <v>19693.4564953505</v>
          </cell>
          <cell r="L153">
            <v>3476.92055345873</v>
          </cell>
          <cell r="M153">
            <v>10971.7802226857</v>
          </cell>
          <cell r="N153">
            <v>52812.754189258303</v>
          </cell>
          <cell r="O153">
            <v>23182.155565332301</v>
          </cell>
          <cell r="P153">
            <v>44783.548718760401</v>
          </cell>
          <cell r="Q153">
            <v>23316.0871781485</v>
          </cell>
          <cell r="R153">
            <v>22463.891320754501</v>
          </cell>
          <cell r="S153">
            <v>385549.59967583802</v>
          </cell>
          <cell r="T153">
            <v>70785.368836904498</v>
          </cell>
          <cell r="U153">
            <v>119465.83732880899</v>
          </cell>
          <cell r="V153">
            <v>104211.023486461</v>
          </cell>
          <cell r="W153">
            <v>36175.766187647903</v>
          </cell>
          <cell r="X153">
            <v>54911.603836015602</v>
          </cell>
          <cell r="Y153">
            <v>8653.31271141447</v>
          </cell>
          <cell r="Z153">
            <v>711759.80865688296</v>
          </cell>
        </row>
        <row r="156">
          <cell r="A156" t="str">
            <v>CONSTANT</v>
          </cell>
          <cell r="B156" t="str">
            <v>Industry</v>
          </cell>
          <cell r="D156">
            <v>1</v>
          </cell>
          <cell r="E156">
            <v>2</v>
          </cell>
          <cell r="F156">
            <v>3</v>
          </cell>
          <cell r="I156">
            <v>4</v>
          </cell>
          <cell r="K156">
            <v>6</v>
          </cell>
          <cell r="L156">
            <v>7</v>
          </cell>
          <cell r="M156">
            <v>8</v>
          </cell>
          <cell r="N156">
            <v>9</v>
          </cell>
          <cell r="O156">
            <v>10</v>
          </cell>
          <cell r="P156">
            <v>11</v>
          </cell>
          <cell r="Q156">
            <v>12</v>
          </cell>
          <cell r="R156">
            <v>5</v>
          </cell>
          <cell r="T156">
            <v>13</v>
          </cell>
          <cell r="U156">
            <v>14</v>
          </cell>
          <cell r="V156">
            <v>15</v>
          </cell>
          <cell r="W156">
            <v>16</v>
          </cell>
        </row>
        <row r="157">
          <cell r="A157">
            <v>2012</v>
          </cell>
          <cell r="B157" t="str">
            <v>I</v>
          </cell>
          <cell r="C157" t="str">
            <v>Agriculture</v>
          </cell>
          <cell r="D157" t="str">
            <v>Tanaman</v>
          </cell>
          <cell r="E157" t="str">
            <v>Pembalakan</v>
          </cell>
          <cell r="F157" t="str">
            <v>Perikanan</v>
          </cell>
          <cell r="I157" t="str">
            <v>Mining and
Quarrying</v>
          </cell>
          <cell r="J157" t="str">
            <v>Manufacturing</v>
          </cell>
          <cell r="K157" t="str">
            <v>Prosesan Makanan, Minuman dan Produk Tembakau</v>
          </cell>
          <cell r="L157" t="str">
            <v>Tekstil, Pakaian, Kulit dan Kasut</v>
          </cell>
          <cell r="M157" t="str">
            <v>Keluaran Kayu, Perabot, Produk Kertas, Percetakan dan Penerbitan</v>
          </cell>
          <cell r="N157" t="str">
            <v>Produk Petroleum, Bahan kimia, Getah dan Plastik</v>
          </cell>
          <cell r="O157" t="str">
            <v>Produk Mineral Bukan Logam, Logam Asli dan Produk Logam Yang Direka</v>
          </cell>
          <cell r="P157" t="str">
            <v>Elektrik dan Elektronik</v>
          </cell>
          <cell r="Q157" t="str">
            <v>Kelengkapan Pengangkutan dan Pembuatan Lain</v>
          </cell>
          <cell r="R157" t="str">
            <v>Construction</v>
          </cell>
          <cell r="S157" t="str">
            <v>Services</v>
          </cell>
          <cell r="T157" t="str">
            <v>Utiliti, Transport &amp; Communication</v>
          </cell>
          <cell r="U157" t="str">
            <v>WRT, Accomm &amp; Restaurant</v>
          </cell>
          <cell r="V157" t="str">
            <v>Finance &amp; Insurance, Real Estate &amp; Business Services</v>
          </cell>
          <cell r="W157" t="str">
            <v>Other Services</v>
          </cell>
          <cell r="X157" t="str">
            <v>Government Services</v>
          </cell>
          <cell r="Y157" t="str">
            <v>Plus :
Import Duties</v>
          </cell>
          <cell r="Z157" t="str">
            <v>GDP at
Purchasers' Prices</v>
          </cell>
        </row>
        <row r="158">
          <cell r="A158" t="str">
            <v>States</v>
          </cell>
          <cell r="B158" t="str">
            <v>Converter</v>
          </cell>
        </row>
        <row r="159">
          <cell r="A159" t="str">
            <v>Johor</v>
          </cell>
          <cell r="B159" t="str">
            <v>01</v>
          </cell>
          <cell r="C159">
            <v>8499.4218517199697</v>
          </cell>
          <cell r="D159">
            <v>7783.5626301690099</v>
          </cell>
          <cell r="E159">
            <v>51.240439222884099</v>
          </cell>
          <cell r="F159">
            <v>664.61878232807805</v>
          </cell>
          <cell r="G159">
            <v>0.15463940606465801</v>
          </cell>
          <cell r="I159">
            <v>83.602205875010398</v>
          </cell>
          <cell r="J159">
            <v>23335.579222503799</v>
          </cell>
          <cell r="K159">
            <v>2384.9944810836</v>
          </cell>
          <cell r="L159">
            <v>803.22775155407896</v>
          </cell>
          <cell r="M159">
            <v>1954.8936695171799</v>
          </cell>
          <cell r="N159">
            <v>5718.6914071588599</v>
          </cell>
          <cell r="O159">
            <v>3447.4076611442301</v>
          </cell>
          <cell r="P159">
            <v>6865.7990857122004</v>
          </cell>
          <cell r="Q159">
            <v>2160.5651663336598</v>
          </cell>
          <cell r="R159">
            <v>2396.8275009154299</v>
          </cell>
          <cell r="S159">
            <v>33782.405338582699</v>
          </cell>
          <cell r="T159">
            <v>7897.7516776400398</v>
          </cell>
          <cell r="U159">
            <v>8012.3480062305498</v>
          </cell>
          <cell r="V159">
            <v>9120.3161603454701</v>
          </cell>
          <cell r="W159">
            <v>3207.6190302516102</v>
          </cell>
          <cell r="X159">
            <v>5544.3704641150098</v>
          </cell>
          <cell r="Y159">
            <v>800.812800413991</v>
          </cell>
          <cell r="Z159">
            <v>68898.648920010906</v>
          </cell>
        </row>
        <row r="160">
          <cell r="A160" t="str">
            <v>Kedah</v>
          </cell>
          <cell r="B160" t="str">
            <v>02</v>
          </cell>
          <cell r="C160">
            <v>3009.94019090659</v>
          </cell>
          <cell r="D160">
            <v>2554.6195932220799</v>
          </cell>
          <cell r="E160">
            <v>123.378197064894</v>
          </cell>
          <cell r="F160">
            <v>331.94240061961898</v>
          </cell>
          <cell r="G160">
            <v>5.4763179370576398E-2</v>
          </cell>
          <cell r="I160">
            <v>23.8407354480149</v>
          </cell>
          <cell r="J160">
            <v>7852.3278784926597</v>
          </cell>
          <cell r="K160">
            <v>417.387571177947</v>
          </cell>
          <cell r="L160">
            <v>69.608720550380596</v>
          </cell>
          <cell r="M160">
            <v>444.22270973482699</v>
          </cell>
          <cell r="N160">
            <v>1532.04141797544</v>
          </cell>
          <cell r="O160">
            <v>2267.31651116794</v>
          </cell>
          <cell r="P160">
            <v>1461.3628673466601</v>
          </cell>
          <cell r="Q160">
            <v>1660.3880805394599</v>
          </cell>
          <cell r="R160">
            <v>608.71591516866397</v>
          </cell>
          <cell r="S160">
            <v>13620.779676312401</v>
          </cell>
          <cell r="T160">
            <v>2071.2184624998099</v>
          </cell>
          <cell r="U160">
            <v>3420.75428742962</v>
          </cell>
          <cell r="V160">
            <v>2708.0878666175499</v>
          </cell>
          <cell r="W160">
            <v>2059.8288262041201</v>
          </cell>
          <cell r="X160">
            <v>3360.8902335612702</v>
          </cell>
          <cell r="Y160">
            <v>162.18437680457501</v>
          </cell>
          <cell r="Z160">
            <v>25277.788773132899</v>
          </cell>
        </row>
        <row r="161">
          <cell r="A161" t="str">
            <v>Kelantan</v>
          </cell>
          <cell r="B161" t="str">
            <v>03</v>
          </cell>
          <cell r="C161">
            <v>3262.4567104921998</v>
          </cell>
          <cell r="D161">
            <v>2250.5871077659899</v>
          </cell>
          <cell r="E161">
            <v>734.76561747199298</v>
          </cell>
          <cell r="F161">
            <v>277.103985254218</v>
          </cell>
          <cell r="G161">
            <v>5.9357492406389697E-2</v>
          </cell>
          <cell r="I161">
            <v>20.8263133276708</v>
          </cell>
          <cell r="J161">
            <v>738.65286341165302</v>
          </cell>
          <cell r="K161">
            <v>121.930680436836</v>
          </cell>
          <cell r="L161">
            <v>34.341427716386399</v>
          </cell>
          <cell r="M161">
            <v>89.344443006500001</v>
          </cell>
          <cell r="N161">
            <v>138.81990381377199</v>
          </cell>
          <cell r="O161">
            <v>82.708519649512596</v>
          </cell>
          <cell r="P161">
            <v>263.84021340804901</v>
          </cell>
          <cell r="Q161">
            <v>7.6676753805969904</v>
          </cell>
          <cell r="R161">
            <v>229.330293967751</v>
          </cell>
          <cell r="S161">
            <v>9200.7164610651598</v>
          </cell>
          <cell r="T161">
            <v>1071.76897967985</v>
          </cell>
          <cell r="U161">
            <v>2405.7632464046701</v>
          </cell>
          <cell r="V161">
            <v>1136.4926705640601</v>
          </cell>
          <cell r="W161">
            <v>1458.1604456141899</v>
          </cell>
          <cell r="X161">
            <v>3128.5311188023802</v>
          </cell>
          <cell r="Y161">
            <v>23.7258058290783</v>
          </cell>
          <cell r="Z161">
            <v>13475.708448093499</v>
          </cell>
        </row>
        <row r="162">
          <cell r="A162" t="str">
            <v>Melaka</v>
          </cell>
          <cell r="B162" t="str">
            <v>04</v>
          </cell>
          <cell r="C162">
            <v>1995.8493017109399</v>
          </cell>
          <cell r="D162">
            <v>1963.31852716869</v>
          </cell>
          <cell r="E162">
            <v>0.39058176207543599</v>
          </cell>
          <cell r="F162">
            <v>32.140192780177998</v>
          </cell>
          <cell r="G162">
            <v>3.6312699380686098E-2</v>
          </cell>
          <cell r="I162">
            <v>10.112475782248399</v>
          </cell>
          <cell r="J162">
            <v>9030.2724552780401</v>
          </cell>
          <cell r="K162">
            <v>434.128731387242</v>
          </cell>
          <cell r="L162">
            <v>318.857407893573</v>
          </cell>
          <cell r="M162">
            <v>310.77061575848802</v>
          </cell>
          <cell r="N162">
            <v>4284.8676574412002</v>
          </cell>
          <cell r="O162">
            <v>603.60247547495601</v>
          </cell>
          <cell r="P162">
            <v>1962.95647946808</v>
          </cell>
          <cell r="Q162">
            <v>1115.0890878544999</v>
          </cell>
          <cell r="R162">
            <v>906.07056889400201</v>
          </cell>
          <cell r="S162">
            <v>9987.0896910489791</v>
          </cell>
          <cell r="T162">
            <v>1798.9941127745799</v>
          </cell>
          <cell r="U162">
            <v>3361.5379170567999</v>
          </cell>
          <cell r="V162">
            <v>2005.7729690097899</v>
          </cell>
          <cell r="W162">
            <v>1242.2031321719701</v>
          </cell>
          <cell r="X162">
            <v>1578.5815600358301</v>
          </cell>
          <cell r="Y162">
            <v>14.9902807526153</v>
          </cell>
          <cell r="Z162">
            <v>21944.384773466802</v>
          </cell>
        </row>
        <row r="163">
          <cell r="A163" t="str">
            <v>Negeri Sembilan</v>
          </cell>
          <cell r="B163" t="str">
            <v>05</v>
          </cell>
          <cell r="C163">
            <v>2178.3218620282901</v>
          </cell>
          <cell r="D163">
            <v>2085.0131844757002</v>
          </cell>
          <cell r="E163">
            <v>55.560231758910902</v>
          </cell>
          <cell r="F163">
            <v>37.748445793678499</v>
          </cell>
          <cell r="G163">
            <v>3.9632624999492903E-2</v>
          </cell>
          <cell r="I163">
            <v>24.547725203308701</v>
          </cell>
          <cell r="J163">
            <v>13395.1562030438</v>
          </cell>
          <cell r="K163">
            <v>1404.23409852379</v>
          </cell>
          <cell r="L163">
            <v>154.13558282628901</v>
          </cell>
          <cell r="M163">
            <v>377.63597594698098</v>
          </cell>
          <cell r="N163">
            <v>4200.1271776031599</v>
          </cell>
          <cell r="O163">
            <v>1376.61332146723</v>
          </cell>
          <cell r="P163">
            <v>4961.4208362988302</v>
          </cell>
          <cell r="Q163">
            <v>920.98921037754201</v>
          </cell>
          <cell r="R163">
            <v>692.98365234048401</v>
          </cell>
          <cell r="S163">
            <v>11246.0146058912</v>
          </cell>
          <cell r="T163">
            <v>2698.3269749730998</v>
          </cell>
          <cell r="U163">
            <v>2829.1290745413799</v>
          </cell>
          <cell r="V163">
            <v>2282.3660477152498</v>
          </cell>
          <cell r="W163">
            <v>1477.5476179959001</v>
          </cell>
          <cell r="X163">
            <v>1958.6448906656001</v>
          </cell>
          <cell r="Y163">
            <v>192.899309524085</v>
          </cell>
          <cell r="Z163">
            <v>27729.923358031199</v>
          </cell>
        </row>
        <row r="164">
          <cell r="A164" t="str">
            <v>Pahang</v>
          </cell>
          <cell r="B164" t="str">
            <v>06</v>
          </cell>
          <cell r="C164">
            <v>6186.9160992104498</v>
          </cell>
          <cell r="D164">
            <v>4853.9136400778098</v>
          </cell>
          <cell r="E164">
            <v>618.26544097006297</v>
          </cell>
          <cell r="F164">
            <v>714.73701816257801</v>
          </cell>
          <cell r="G164">
            <v>0.112565424760057</v>
          </cell>
          <cell r="I164">
            <v>217.359376893844</v>
          </cell>
          <cell r="J164">
            <v>7840.7354493851699</v>
          </cell>
          <cell r="K164">
            <v>921.13494044889899</v>
          </cell>
          <cell r="L164">
            <v>24.5124190688624</v>
          </cell>
          <cell r="M164">
            <v>663.69193611557898</v>
          </cell>
          <cell r="N164">
            <v>3241.8604524095999</v>
          </cell>
          <cell r="O164">
            <v>695.63913978494304</v>
          </cell>
          <cell r="P164">
            <v>111.938733734124</v>
          </cell>
          <cell r="Q164">
            <v>2181.9578278231602</v>
          </cell>
          <cell r="R164">
            <v>873.18496104557403</v>
          </cell>
          <cell r="S164">
            <v>15659.750870359499</v>
          </cell>
          <cell r="T164">
            <v>1691.3184155062499</v>
          </cell>
          <cell r="U164">
            <v>4904.6667933857998</v>
          </cell>
          <cell r="V164">
            <v>2217.20133966291</v>
          </cell>
          <cell r="W164">
            <v>3769.4414987309101</v>
          </cell>
          <cell r="X164">
            <v>3077.1228230736301</v>
          </cell>
          <cell r="Y164">
            <v>13.0358987515222</v>
          </cell>
          <cell r="Z164">
            <v>30790.982655645999</v>
          </cell>
        </row>
        <row r="165">
          <cell r="A165" t="str">
            <v>Pulau Pinang</v>
          </cell>
          <cell r="B165" t="str">
            <v>07</v>
          </cell>
          <cell r="C165">
            <v>989.80258396112697</v>
          </cell>
          <cell r="D165">
            <v>731.18001689310802</v>
          </cell>
          <cell r="E165">
            <v>0</v>
          </cell>
          <cell r="F165">
            <v>258.62256706801901</v>
          </cell>
          <cell r="G165">
            <v>1.80085759214361E-2</v>
          </cell>
          <cell r="I165">
            <v>23.613817931912699</v>
          </cell>
          <cell r="J165">
            <v>25411.130030250599</v>
          </cell>
          <cell r="K165">
            <v>1116.18410179394</v>
          </cell>
          <cell r="L165">
            <v>557.74037962954003</v>
          </cell>
          <cell r="M165">
            <v>941.05670776516104</v>
          </cell>
          <cell r="N165">
            <v>3093.2856699724598</v>
          </cell>
          <cell r="O165">
            <v>2867.05691055339</v>
          </cell>
          <cell r="P165">
            <v>14782.768237495</v>
          </cell>
          <cell r="Q165">
            <v>2053.0380230411101</v>
          </cell>
          <cell r="R165">
            <v>1315.23847144556</v>
          </cell>
          <cell r="S165">
            <v>24422.409262104</v>
          </cell>
          <cell r="T165">
            <v>5238.1382224018898</v>
          </cell>
          <cell r="U165">
            <v>6805.9446619393602</v>
          </cell>
          <cell r="V165">
            <v>7037.9922403077799</v>
          </cell>
          <cell r="W165">
            <v>2400.4074616410999</v>
          </cell>
          <cell r="X165">
            <v>2939.9266758138701</v>
          </cell>
          <cell r="Y165">
            <v>409.251633926681</v>
          </cell>
          <cell r="Z165">
            <v>52571.445799619898</v>
          </cell>
        </row>
        <row r="166">
          <cell r="A166" t="str">
            <v>Perak</v>
          </cell>
          <cell r="B166" t="str">
            <v>08</v>
          </cell>
          <cell r="C166">
            <v>5777.0457466808703</v>
          </cell>
          <cell r="D166">
            <v>3862.19796005239</v>
          </cell>
          <cell r="E166">
            <v>394.62302985883701</v>
          </cell>
          <cell r="F166">
            <v>1520.22475676964</v>
          </cell>
          <cell r="G166">
            <v>0.105108198964651</v>
          </cell>
          <cell r="I166">
            <v>144.193924989701</v>
          </cell>
          <cell r="J166">
            <v>7658.3546612541304</v>
          </cell>
          <cell r="K166">
            <v>1144.3863777085901</v>
          </cell>
          <cell r="L166">
            <v>172.43056360591399</v>
          </cell>
          <cell r="M166">
            <v>358.66049496469998</v>
          </cell>
          <cell r="N166">
            <v>1523.67813732734</v>
          </cell>
          <cell r="O166">
            <v>1987.3948583144499</v>
          </cell>
          <cell r="P166">
            <v>1886.0720866904301</v>
          </cell>
          <cell r="Q166">
            <v>585.73214264271496</v>
          </cell>
          <cell r="R166">
            <v>1094.74508694509</v>
          </cell>
          <cell r="S166">
            <v>24996.424320652299</v>
          </cell>
          <cell r="T166">
            <v>7426.02319259669</v>
          </cell>
          <cell r="U166">
            <v>5813.2685737843503</v>
          </cell>
          <cell r="V166">
            <v>4407.5073150541803</v>
          </cell>
          <cell r="W166">
            <v>2918.08730203393</v>
          </cell>
          <cell r="X166">
            <v>4431.5379371831596</v>
          </cell>
          <cell r="Y166">
            <v>17.4797376965506</v>
          </cell>
          <cell r="Z166">
            <v>39688.243478218603</v>
          </cell>
        </row>
        <row r="167">
          <cell r="A167" t="str">
            <v>Perlis</v>
          </cell>
          <cell r="B167" t="str">
            <v>09</v>
          </cell>
          <cell r="C167">
            <v>840.538276068605</v>
          </cell>
          <cell r="D167">
            <v>270.98791001991299</v>
          </cell>
          <cell r="E167">
            <v>0</v>
          </cell>
          <cell r="F167">
            <v>569.55036604869304</v>
          </cell>
          <cell r="G167">
            <v>1.52928448609192E-2</v>
          </cell>
          <cell r="I167">
            <v>7.8630705016069902</v>
          </cell>
          <cell r="J167">
            <v>352.23233548238699</v>
          </cell>
          <cell r="K167">
            <v>53.017986483786302</v>
          </cell>
          <cell r="L167">
            <v>39.382493442889498</v>
          </cell>
          <cell r="M167">
            <v>5.9428648207202901</v>
          </cell>
          <cell r="N167">
            <v>80.746387238501597</v>
          </cell>
          <cell r="O167">
            <v>169.70931767045701</v>
          </cell>
          <cell r="P167">
            <v>0.69130164414456396</v>
          </cell>
          <cell r="Q167">
            <v>2.7419841818873198</v>
          </cell>
          <cell r="R167">
            <v>96.636789889015802</v>
          </cell>
          <cell r="S167">
            <v>2169.5388495278098</v>
          </cell>
          <cell r="T167">
            <v>714.25395061898701</v>
          </cell>
          <cell r="U167">
            <v>306.55834603921801</v>
          </cell>
          <cell r="V167">
            <v>290.30374323946802</v>
          </cell>
          <cell r="W167">
            <v>271.94986652155899</v>
          </cell>
          <cell r="X167">
            <v>586.47294310857797</v>
          </cell>
          <cell r="Y167">
            <v>70.382385332018401</v>
          </cell>
          <cell r="Z167">
            <v>3537.19170680144</v>
          </cell>
        </row>
        <row r="168">
          <cell r="A168" t="str">
            <v>Selangor</v>
          </cell>
          <cell r="B168">
            <v>10</v>
          </cell>
          <cell r="C168">
            <v>2928.79880005116</v>
          </cell>
          <cell r="D168">
            <v>1971.2635139516201</v>
          </cell>
          <cell r="E168">
            <v>4.8506169140214004</v>
          </cell>
          <cell r="F168">
            <v>952.68466918551405</v>
          </cell>
          <cell r="G168">
            <v>5.3286884075666903E-2</v>
          </cell>
          <cell r="I168">
            <v>153.77570318972201</v>
          </cell>
          <cell r="J168">
            <v>55497.7252193596</v>
          </cell>
          <cell r="K168">
            <v>9159.8025759456996</v>
          </cell>
          <cell r="L168">
            <v>625.767748752545</v>
          </cell>
          <cell r="M168">
            <v>3214.7585001345501</v>
          </cell>
          <cell r="N168">
            <v>8447.6700463326197</v>
          </cell>
          <cell r="O168">
            <v>8951.4411725459795</v>
          </cell>
          <cell r="P168">
            <v>12259.2422725042</v>
          </cell>
          <cell r="Q168">
            <v>12839.042903144</v>
          </cell>
          <cell r="R168">
            <v>8790.1616960969004</v>
          </cell>
          <cell r="S168">
            <v>102760.30219111399</v>
          </cell>
          <cell r="T168">
            <v>24475.201271004498</v>
          </cell>
          <cell r="U168">
            <v>33681.349755677802</v>
          </cell>
          <cell r="V168">
            <v>27814.3804078301</v>
          </cell>
          <cell r="W168">
            <v>8293.8449333607405</v>
          </cell>
          <cell r="X168">
            <v>8495.5258232406104</v>
          </cell>
          <cell r="Y168">
            <v>6246.4646222930396</v>
          </cell>
          <cell r="Z168">
            <v>176377.22823210401</v>
          </cell>
        </row>
        <row r="169">
          <cell r="A169" t="str">
            <v>Terengganu</v>
          </cell>
          <cell r="B169">
            <v>11</v>
          </cell>
          <cell r="C169">
            <v>1531.3159056412901</v>
          </cell>
          <cell r="D169">
            <v>1173.2488906353201</v>
          </cell>
          <cell r="E169">
            <v>105.25399571146001</v>
          </cell>
          <cell r="F169">
            <v>252.81301929451001</v>
          </cell>
          <cell r="G169">
            <v>2.78609282227604E-2</v>
          </cell>
          <cell r="I169">
            <v>19.008965710570099</v>
          </cell>
          <cell r="J169">
            <v>7439.8439621940197</v>
          </cell>
          <cell r="K169">
            <v>69.566267526971004</v>
          </cell>
          <cell r="L169">
            <v>41.994834169779999</v>
          </cell>
          <cell r="M169">
            <v>98.716020292595402</v>
          </cell>
          <cell r="N169">
            <v>6709.35250879049</v>
          </cell>
          <cell r="O169">
            <v>444.64474978085201</v>
          </cell>
          <cell r="P169">
            <v>2.8853506400709299</v>
          </cell>
          <cell r="Q169">
            <v>72.684230993260897</v>
          </cell>
          <cell r="R169">
            <v>757.06310618569501</v>
          </cell>
          <cell r="S169">
            <v>9876.2824065053901</v>
          </cell>
          <cell r="T169">
            <v>3657.82275840804</v>
          </cell>
          <cell r="U169">
            <v>1813.95406392735</v>
          </cell>
          <cell r="V169">
            <v>955.97787766315901</v>
          </cell>
          <cell r="W169">
            <v>974.90481394047504</v>
          </cell>
          <cell r="X169">
            <v>2473.62289256636</v>
          </cell>
          <cell r="Y169">
            <v>18.183226823906502</v>
          </cell>
          <cell r="Z169">
            <v>19641.697573060901</v>
          </cell>
        </row>
        <row r="170">
          <cell r="A170" t="str">
            <v>Sabah</v>
          </cell>
          <cell r="B170">
            <v>12</v>
          </cell>
          <cell r="C170">
            <v>9269.2175249747906</v>
          </cell>
          <cell r="D170">
            <v>6542.96793685586</v>
          </cell>
          <cell r="E170">
            <v>822.61026313053401</v>
          </cell>
          <cell r="F170">
            <v>1903.6393249883899</v>
          </cell>
          <cell r="G170">
            <v>0.16864515231187799</v>
          </cell>
          <cell r="I170">
            <v>9167.1810231602194</v>
          </cell>
          <cell r="J170">
            <v>3495.6402054413902</v>
          </cell>
          <cell r="K170">
            <v>1915.7998950631199</v>
          </cell>
          <cell r="L170">
            <v>35.497282883448698</v>
          </cell>
          <cell r="M170">
            <v>714.88205915253502</v>
          </cell>
          <cell r="N170">
            <v>239.82227626068399</v>
          </cell>
          <cell r="O170">
            <v>426.96689276737902</v>
          </cell>
          <cell r="P170">
            <v>13.0730273936943</v>
          </cell>
          <cell r="Q170">
            <v>149.59877192052801</v>
          </cell>
          <cell r="R170">
            <v>1280.4330211776701</v>
          </cell>
          <cell r="S170">
            <v>21070.636505532999</v>
          </cell>
          <cell r="T170">
            <v>3871.8937146051799</v>
          </cell>
          <cell r="U170">
            <v>6769.5301216211701</v>
          </cell>
          <cell r="V170">
            <v>4371.2484150819801</v>
          </cell>
          <cell r="W170">
            <v>1832.0933363941101</v>
          </cell>
          <cell r="X170">
            <v>4225.8709178305198</v>
          </cell>
          <cell r="Y170">
            <v>185.703599974799</v>
          </cell>
          <cell r="Z170">
            <v>44468.811880261797</v>
          </cell>
        </row>
        <row r="171">
          <cell r="A171" t="str">
            <v>Sarawak</v>
          </cell>
          <cell r="B171">
            <v>13</v>
          </cell>
          <cell r="C171">
            <v>8370.7982938666592</v>
          </cell>
          <cell r="D171">
            <v>4642.6808537868201</v>
          </cell>
          <cell r="E171">
            <v>3247.47202584859</v>
          </cell>
          <cell r="F171">
            <v>480.64541423124399</v>
          </cell>
          <cell r="G171">
            <v>0.15229921505645</v>
          </cell>
          <cell r="I171">
            <v>15154.4470817786</v>
          </cell>
          <cell r="J171">
            <v>19399.666076773599</v>
          </cell>
          <cell r="K171">
            <v>775.58735607610095</v>
          </cell>
          <cell r="L171">
            <v>15.0745317584701</v>
          </cell>
          <cell r="M171">
            <v>1551.29563122071</v>
          </cell>
          <cell r="N171">
            <v>15501.1310661064</v>
          </cell>
          <cell r="O171">
            <v>605.64828917163697</v>
          </cell>
          <cell r="P171">
            <v>541.31617967475097</v>
          </cell>
          <cell r="Q171">
            <v>409.613022765545</v>
          </cell>
          <cell r="R171">
            <v>2262.5501826260202</v>
          </cell>
          <cell r="S171">
            <v>26443.601253813998</v>
          </cell>
          <cell r="T171">
            <v>5820.4846753634802</v>
          </cell>
          <cell r="U171">
            <v>7040.84767516391</v>
          </cell>
          <cell r="V171">
            <v>6879.62447942165</v>
          </cell>
          <cell r="W171">
            <v>2534.16565625769</v>
          </cell>
          <cell r="X171">
            <v>4168.4787676072401</v>
          </cell>
          <cell r="Y171">
            <v>248.11392658100701</v>
          </cell>
          <cell r="Z171">
            <v>71879.176815439801</v>
          </cell>
        </row>
        <row r="172">
          <cell r="A172" t="str">
            <v>WP Kuala Lumpur</v>
          </cell>
          <cell r="B172">
            <v>14</v>
          </cell>
          <cell r="C172">
            <v>1.33811879427992</v>
          </cell>
          <cell r="D172">
            <v>1.33811879427992</v>
          </cell>
          <cell r="E172">
            <v>0</v>
          </cell>
          <cell r="F172">
            <v>0</v>
          </cell>
          <cell r="G172">
            <v>2.4345878955228999E-5</v>
          </cell>
          <cell r="I172">
            <v>33.527386668321199</v>
          </cell>
          <cell r="J172">
            <v>4583.5227902265196</v>
          </cell>
          <cell r="K172">
            <v>511.31546080560298</v>
          </cell>
          <cell r="L172">
            <v>325.880583844309</v>
          </cell>
          <cell r="M172">
            <v>669.66196348636402</v>
          </cell>
          <cell r="N172">
            <v>662.33600246826995</v>
          </cell>
          <cell r="O172">
            <v>802.57089025127095</v>
          </cell>
          <cell r="P172">
            <v>666.73541628887995</v>
          </cell>
          <cell r="Q172">
            <v>945.02247308181995</v>
          </cell>
          <cell r="R172">
            <v>5302.2337156191898</v>
          </cell>
          <cell r="S172">
            <v>102775.57740821601</v>
          </cell>
          <cell r="T172">
            <v>6713.9829563593903</v>
          </cell>
          <cell r="U172">
            <v>37682.895314182198</v>
          </cell>
          <cell r="V172">
            <v>39293.579300299498</v>
          </cell>
          <cell r="W172">
            <v>5073.6181105953901</v>
          </cell>
          <cell r="X172">
            <v>14011.501726779899</v>
          </cell>
          <cell r="Y172">
            <v>1580.4685485513101</v>
          </cell>
          <cell r="Z172">
            <v>114276.667968076</v>
          </cell>
        </row>
        <row r="173">
          <cell r="A173" t="str">
            <v>WP Labuan</v>
          </cell>
          <cell r="B173">
            <v>15</v>
          </cell>
          <cell r="C173">
            <v>121.08467347306799</v>
          </cell>
          <cell r="D173">
            <v>6.7249392836401896</v>
          </cell>
          <cell r="E173">
            <v>0</v>
          </cell>
          <cell r="F173">
            <v>114.359734189428</v>
          </cell>
          <cell r="G173">
            <v>2.20302772542336E-3</v>
          </cell>
          <cell r="I173">
            <v>0</v>
          </cell>
          <cell r="J173">
            <v>717.551482388723</v>
          </cell>
          <cell r="K173">
            <v>9.7330650632984206</v>
          </cell>
          <cell r="L173">
            <v>2.6312175701124301</v>
          </cell>
          <cell r="M173">
            <v>1.12671501031767</v>
          </cell>
          <cell r="N173">
            <v>425.60227142865398</v>
          </cell>
          <cell r="O173">
            <v>247.14952935007</v>
          </cell>
          <cell r="P173">
            <v>1.26678033822109</v>
          </cell>
          <cell r="Q173">
            <v>30.0419036280489</v>
          </cell>
          <cell r="R173">
            <v>33.5881762447627</v>
          </cell>
          <cell r="S173">
            <v>2327.3071407966399</v>
          </cell>
          <cell r="T173">
            <v>222.29550550402701</v>
          </cell>
          <cell r="U173">
            <v>258.795257169612</v>
          </cell>
          <cell r="V173">
            <v>1653.88630010355</v>
          </cell>
          <cell r="W173">
            <v>72.967897534969296</v>
          </cell>
          <cell r="X173">
            <v>119.362180484487</v>
          </cell>
          <cell r="Y173">
            <v>17.693919309888098</v>
          </cell>
          <cell r="Z173">
            <v>3217.2253922130899</v>
          </cell>
        </row>
        <row r="174">
          <cell r="A174" t="str">
            <v>Supra1</v>
          </cell>
          <cell r="C174">
            <v>0</v>
          </cell>
          <cell r="D174">
            <v>0</v>
          </cell>
          <cell r="E174">
            <v>0</v>
          </cell>
          <cell r="F174">
            <v>0</v>
          </cell>
          <cell r="G174">
            <v>0</v>
          </cell>
          <cell r="I174">
            <v>38159.213385185802</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38159.213385185802</v>
          </cell>
        </row>
        <row r="175">
          <cell r="A175" t="str">
            <v>MALAYSIA</v>
          </cell>
          <cell r="C175">
            <v>54962.8459395803</v>
          </cell>
          <cell r="D175">
            <v>40693.6048231522</v>
          </cell>
          <cell r="E175">
            <v>6158.4104397142701</v>
          </cell>
          <cell r="F175">
            <v>8110.8306767137901</v>
          </cell>
          <cell r="G175">
            <v>1</v>
          </cell>
          <cell r="I175">
            <v>63243.113191646502</v>
          </cell>
          <cell r="J175">
            <v>186748.390835486</v>
          </cell>
          <cell r="K175">
            <v>20439.203589525401</v>
          </cell>
          <cell r="L175">
            <v>3221.0829452665798</v>
          </cell>
          <cell r="M175">
            <v>11396.660306927201</v>
          </cell>
          <cell r="N175">
            <v>55800.032382327401</v>
          </cell>
          <cell r="O175">
            <v>24975.8702390943</v>
          </cell>
          <cell r="P175">
            <v>45781.368868637401</v>
          </cell>
          <cell r="Q175">
            <v>25134.172503707799</v>
          </cell>
          <cell r="R175">
            <v>26639.763138561801</v>
          </cell>
          <cell r="S175">
            <v>410338.83598152298</v>
          </cell>
          <cell r="T175">
            <v>75369.474869935802</v>
          </cell>
          <cell r="U175">
            <v>125107.343094554</v>
          </cell>
          <cell r="V175">
            <v>112174.73713291599</v>
          </cell>
          <cell r="W175">
            <v>37586.839929248701</v>
          </cell>
          <cell r="X175">
            <v>60100.440954868398</v>
          </cell>
          <cell r="Y175">
            <v>10001.3900725651</v>
          </cell>
          <cell r="Z175">
            <v>751934.33915936295</v>
          </cell>
        </row>
        <row r="178">
          <cell r="A178" t="str">
            <v>CONSTANT</v>
          </cell>
          <cell r="B178" t="str">
            <v>Industry</v>
          </cell>
          <cell r="D178">
            <v>1</v>
          </cell>
          <cell r="E178">
            <v>2</v>
          </cell>
          <cell r="F178">
            <v>3</v>
          </cell>
          <cell r="I178">
            <v>4</v>
          </cell>
          <cell r="K178">
            <v>6</v>
          </cell>
          <cell r="L178">
            <v>7</v>
          </cell>
          <cell r="M178">
            <v>8</v>
          </cell>
          <cell r="N178">
            <v>9</v>
          </cell>
          <cell r="O178">
            <v>10</v>
          </cell>
          <cell r="P178">
            <v>11</v>
          </cell>
          <cell r="Q178">
            <v>12</v>
          </cell>
          <cell r="R178">
            <v>5</v>
          </cell>
          <cell r="T178">
            <v>13</v>
          </cell>
          <cell r="U178">
            <v>14</v>
          </cell>
          <cell r="V178">
            <v>15</v>
          </cell>
          <cell r="W178">
            <v>16</v>
          </cell>
        </row>
        <row r="179">
          <cell r="A179">
            <v>2013</v>
          </cell>
          <cell r="B179" t="str">
            <v>I</v>
          </cell>
          <cell r="C179" t="str">
            <v>Agriculture</v>
          </cell>
          <cell r="D179" t="str">
            <v>Tanaman</v>
          </cell>
          <cell r="E179" t="str">
            <v>Pembalakan</v>
          </cell>
          <cell r="F179" t="str">
            <v>Perikanan</v>
          </cell>
          <cell r="I179" t="str">
            <v>Mining and
Quarrying</v>
          </cell>
          <cell r="J179" t="str">
            <v>Manufacturing</v>
          </cell>
          <cell r="K179" t="str">
            <v>Prosesan Makanan, Minuman dan Produk Tembakau</v>
          </cell>
          <cell r="L179" t="str">
            <v>Tekstil, Pakaian, Kulit dan Kasut</v>
          </cell>
          <cell r="M179" t="str">
            <v>Keluaran Kayu, Perabot, Produk Kertas, Percetakan dan Penerbitan</v>
          </cell>
          <cell r="N179" t="str">
            <v>Produk Petroleum, Bahan kimia, Getah dan Plastik</v>
          </cell>
          <cell r="O179" t="str">
            <v>Produk Mineral Bukan Logam, Logam Asli dan Produk Logam Yang Direka</v>
          </cell>
          <cell r="P179" t="str">
            <v>Elektrik dan Elektronik</v>
          </cell>
          <cell r="Q179" t="str">
            <v>Kelengkapan Pengangkutan dan Pembuatan Lain</v>
          </cell>
          <cell r="R179" t="str">
            <v>Construction</v>
          </cell>
          <cell r="S179" t="str">
            <v>Services</v>
          </cell>
          <cell r="T179" t="str">
            <v>Utiliti, Transport &amp; Communication</v>
          </cell>
          <cell r="U179" t="str">
            <v>WRT, Accomm &amp; Restaurant</v>
          </cell>
          <cell r="V179" t="str">
            <v>Finance &amp; Insurance, Real Estate &amp; Business Services</v>
          </cell>
          <cell r="W179" t="str">
            <v>Other Services</v>
          </cell>
          <cell r="X179" t="str">
            <v>Government Services</v>
          </cell>
          <cell r="Y179" t="str">
            <v>Plus :
Import Duties</v>
          </cell>
          <cell r="Z179" t="str">
            <v>GDP at
Purchasers' Prices</v>
          </cell>
        </row>
        <row r="180">
          <cell r="A180" t="str">
            <v>States</v>
          </cell>
          <cell r="B180" t="str">
            <v>Converter</v>
          </cell>
        </row>
        <row r="181">
          <cell r="A181" t="str">
            <v>Johor</v>
          </cell>
          <cell r="B181" t="str">
            <v>01</v>
          </cell>
          <cell r="C181">
            <v>8748.7908090068704</v>
          </cell>
          <cell r="D181">
            <v>8036.4950683605202</v>
          </cell>
          <cell r="E181">
            <v>50.351897118266798</v>
          </cell>
          <cell r="F181">
            <v>661.94384352808402</v>
          </cell>
          <cell r="G181">
            <v>0.15917645200949501</v>
          </cell>
          <cell r="I181">
            <v>96.234754698537401</v>
          </cell>
          <cell r="J181">
            <v>24405.091104601001</v>
          </cell>
          <cell r="K181">
            <v>2487.6893945492998</v>
          </cell>
          <cell r="L181">
            <v>849.15390690469599</v>
          </cell>
          <cell r="M181">
            <v>1851.70418317137</v>
          </cell>
          <cell r="N181">
            <v>6327.2266505892203</v>
          </cell>
          <cell r="O181">
            <v>3576.06608010438</v>
          </cell>
          <cell r="P181">
            <v>6921.9470872472903</v>
          </cell>
          <cell r="Q181">
            <v>2391.3038020347899</v>
          </cell>
          <cell r="R181">
            <v>2591.1198371668102</v>
          </cell>
          <cell r="S181">
            <v>35158.481630847004</v>
          </cell>
          <cell r="T181">
            <v>8222.2753111455695</v>
          </cell>
          <cell r="U181">
            <v>8451.3331251300497</v>
          </cell>
          <cell r="V181">
            <v>9370.30747007645</v>
          </cell>
          <cell r="W181">
            <v>3299.11104125783</v>
          </cell>
          <cell r="X181">
            <v>5815.4546832370797</v>
          </cell>
          <cell r="Y181">
            <v>1275.41416982082</v>
          </cell>
          <cell r="Z181">
            <v>72275.132306141095</v>
          </cell>
        </row>
        <row r="182">
          <cell r="A182" t="str">
            <v>Kedah</v>
          </cell>
          <cell r="B182" t="str">
            <v>02</v>
          </cell>
          <cell r="C182">
            <v>3134.4356637680999</v>
          </cell>
          <cell r="D182">
            <v>2642.0112222114399</v>
          </cell>
          <cell r="E182">
            <v>121.18761989214801</v>
          </cell>
          <cell r="F182">
            <v>371.23682166451499</v>
          </cell>
          <cell r="G182">
            <v>5.7028263551231202E-2</v>
          </cell>
          <cell r="I182">
            <v>27.175492254822998</v>
          </cell>
          <cell r="J182">
            <v>8044.74531754082</v>
          </cell>
          <cell r="K182">
            <v>394.21841089785102</v>
          </cell>
          <cell r="L182">
            <v>71.111762684665905</v>
          </cell>
          <cell r="M182">
            <v>445.58436772479303</v>
          </cell>
          <cell r="N182">
            <v>1774.7015736860301</v>
          </cell>
          <cell r="O182">
            <v>2232.73900335606</v>
          </cell>
          <cell r="P182">
            <v>1554.0650173762899</v>
          </cell>
          <cell r="Q182">
            <v>1572.32518181513</v>
          </cell>
          <cell r="R182">
            <v>543.56793260374798</v>
          </cell>
          <cell r="S182">
            <v>14512.2928501926</v>
          </cell>
          <cell r="T182">
            <v>2215.18948845253</v>
          </cell>
          <cell r="U182">
            <v>3716.0779669713702</v>
          </cell>
          <cell r="V182">
            <v>2773.3684723987499</v>
          </cell>
          <cell r="W182">
            <v>2139.8606680274202</v>
          </cell>
          <cell r="X182">
            <v>3667.7962543425801</v>
          </cell>
          <cell r="Y182">
            <v>171.488139160842</v>
          </cell>
          <cell r="Z182">
            <v>26433.705395520999</v>
          </cell>
        </row>
        <row r="183">
          <cell r="A183" t="str">
            <v>Kelantan</v>
          </cell>
          <cell r="B183" t="str">
            <v>03</v>
          </cell>
          <cell r="C183">
            <v>3278.2070083706199</v>
          </cell>
          <cell r="D183">
            <v>2316.7337867512201</v>
          </cell>
          <cell r="E183">
            <v>721.82449280438698</v>
          </cell>
          <cell r="F183">
            <v>239.64872881501501</v>
          </cell>
          <cell r="G183">
            <v>5.9644055039913699E-2</v>
          </cell>
          <cell r="I183">
            <v>23.928708431918501</v>
          </cell>
          <cell r="J183">
            <v>728.41334931284405</v>
          </cell>
          <cell r="K183">
            <v>121.84849218116599</v>
          </cell>
          <cell r="L183">
            <v>37.887261727283303</v>
          </cell>
          <cell r="M183">
            <v>90.040331344982107</v>
          </cell>
          <cell r="N183">
            <v>146.34443200108299</v>
          </cell>
          <cell r="O183">
            <v>77.461632040248602</v>
          </cell>
          <cell r="P183">
            <v>246.43157421922601</v>
          </cell>
          <cell r="Q183">
            <v>8.3996257988556593</v>
          </cell>
          <cell r="R183">
            <v>184.40149107085</v>
          </cell>
          <cell r="S183">
            <v>9720.5054801689002</v>
          </cell>
          <cell r="T183">
            <v>1128.25163187364</v>
          </cell>
          <cell r="U183">
            <v>2509.8444173910798</v>
          </cell>
          <cell r="V183">
            <v>1162.2121930411499</v>
          </cell>
          <cell r="W183">
            <v>1531.4696665264801</v>
          </cell>
          <cell r="X183">
            <v>3388.7275713365502</v>
          </cell>
          <cell r="Y183">
            <v>27.258509501254601</v>
          </cell>
          <cell r="Z183">
            <v>13962.714546856399</v>
          </cell>
        </row>
        <row r="184">
          <cell r="A184" t="str">
            <v>Melaka</v>
          </cell>
          <cell r="B184" t="str">
            <v>04</v>
          </cell>
          <cell r="C184">
            <v>2171.0469426095101</v>
          </cell>
          <cell r="D184">
            <v>2137.9820003771601</v>
          </cell>
          <cell r="E184">
            <v>0.38372537971792697</v>
          </cell>
          <cell r="F184">
            <v>32.681216852634201</v>
          </cell>
          <cell r="G184">
            <v>3.95002643239417E-2</v>
          </cell>
          <cell r="I184">
            <v>11.591103445725601</v>
          </cell>
          <cell r="J184">
            <v>9190.1860404036597</v>
          </cell>
          <cell r="K184">
            <v>439.92529419453803</v>
          </cell>
          <cell r="L184">
            <v>323.13145513812702</v>
          </cell>
          <cell r="M184">
            <v>300.27909684069402</v>
          </cell>
          <cell r="N184">
            <v>3525.3967782201498</v>
          </cell>
          <cell r="O184">
            <v>622.43666930828795</v>
          </cell>
          <cell r="P184">
            <v>2235.08891102693</v>
          </cell>
          <cell r="Q184">
            <v>1743.9278356749401</v>
          </cell>
          <cell r="R184">
            <v>692.92146594357098</v>
          </cell>
          <cell r="S184">
            <v>10560.3179800077</v>
          </cell>
          <cell r="T184">
            <v>1978.7840909982899</v>
          </cell>
          <cell r="U184">
            <v>3541.4714675534401</v>
          </cell>
          <cell r="V184">
            <v>2022.6873549157301</v>
          </cell>
          <cell r="W184">
            <v>1291.10676756355</v>
          </cell>
          <cell r="X184">
            <v>1726.2682989766499</v>
          </cell>
          <cell r="Y184">
            <v>20.244858230933101</v>
          </cell>
          <cell r="Z184">
            <v>22646.308390641101</v>
          </cell>
        </row>
        <row r="185">
          <cell r="A185" t="str">
            <v>Negeri Sembilan</v>
          </cell>
          <cell r="B185" t="str">
            <v>05</v>
          </cell>
          <cell r="C185">
            <v>2177.1023931321502</v>
          </cell>
          <cell r="D185">
            <v>2084.1226660815601</v>
          </cell>
          <cell r="E185">
            <v>54.579197938699799</v>
          </cell>
          <cell r="F185">
            <v>38.400529111885596</v>
          </cell>
          <cell r="G185">
            <v>3.9610437849695798E-2</v>
          </cell>
          <cell r="I185">
            <v>27.9349198765557</v>
          </cell>
          <cell r="J185">
            <v>13482.934373079999</v>
          </cell>
          <cell r="K185">
            <v>1073.51143212127</v>
          </cell>
          <cell r="L185">
            <v>149.48211573688499</v>
          </cell>
          <cell r="M185">
            <v>409.06445384241499</v>
          </cell>
          <cell r="N185">
            <v>4229.78143055286</v>
          </cell>
          <cell r="O185">
            <v>1422.60756007227</v>
          </cell>
          <cell r="P185">
            <v>5239.6258880310597</v>
          </cell>
          <cell r="Q185">
            <v>958.86149272320097</v>
          </cell>
          <cell r="R185">
            <v>711.12297261316098</v>
          </cell>
          <cell r="S185">
            <v>11699.787641275099</v>
          </cell>
          <cell r="T185">
            <v>2723.43609090371</v>
          </cell>
          <cell r="U185">
            <v>2988.6764926708202</v>
          </cell>
          <cell r="V185">
            <v>2333.4203236531898</v>
          </cell>
          <cell r="W185">
            <v>1536.9809950527599</v>
          </cell>
          <cell r="X185">
            <v>2117.2737389946701</v>
          </cell>
          <cell r="Y185">
            <v>591.97883182675503</v>
          </cell>
          <cell r="Z185">
            <v>28690.8611318037</v>
          </cell>
        </row>
        <row r="186">
          <cell r="A186" t="str">
            <v>Pahang</v>
          </cell>
          <cell r="B186" t="str">
            <v>06</v>
          </cell>
          <cell r="C186">
            <v>6495.5884319916304</v>
          </cell>
          <cell r="D186">
            <v>5130.8886455602496</v>
          </cell>
          <cell r="E186">
            <v>607.26593269382295</v>
          </cell>
          <cell r="F186">
            <v>757.43385373755405</v>
          </cell>
          <cell r="G186">
            <v>0.11818144277194299</v>
          </cell>
          <cell r="I186">
            <v>234.637617214561</v>
          </cell>
          <cell r="J186">
            <v>8260.7519226613294</v>
          </cell>
          <cell r="K186">
            <v>1022.37655840198</v>
          </cell>
          <cell r="L186">
            <v>24.944378736767199</v>
          </cell>
          <cell r="M186">
            <v>646.27684577394098</v>
          </cell>
          <cell r="N186">
            <v>2848.8761106411698</v>
          </cell>
          <cell r="O186">
            <v>688.57969868896805</v>
          </cell>
          <cell r="P186">
            <v>113.926478323246</v>
          </cell>
          <cell r="Q186">
            <v>2915.7718520952499</v>
          </cell>
          <cell r="R186">
            <v>926.54904098967097</v>
          </cell>
          <cell r="S186">
            <v>16545.752522713901</v>
          </cell>
          <cell r="T186">
            <v>1786.2366502566499</v>
          </cell>
          <cell r="U186">
            <v>5057.6745861725603</v>
          </cell>
          <cell r="V186">
            <v>2281.7186588714699</v>
          </cell>
          <cell r="W186">
            <v>4027.3848709680901</v>
          </cell>
          <cell r="X186">
            <v>3392.7377564451299</v>
          </cell>
          <cell r="Y186">
            <v>25.951612294820599</v>
          </cell>
          <cell r="Z186">
            <v>32489.231147865899</v>
          </cell>
        </row>
        <row r="187">
          <cell r="A187" t="str">
            <v>Pulau Pinang</v>
          </cell>
          <cell r="B187" t="str">
            <v>07</v>
          </cell>
          <cell r="C187">
            <v>1021.0957839773999</v>
          </cell>
          <cell r="D187">
            <v>758.16760528689701</v>
          </cell>
          <cell r="E187">
            <v>0</v>
          </cell>
          <cell r="F187">
            <v>262.92817869050299</v>
          </cell>
          <cell r="G187">
            <v>1.8577927807811701E-2</v>
          </cell>
          <cell r="I187">
            <v>26.7326725623969</v>
          </cell>
          <cell r="J187">
            <v>26301.2572686202</v>
          </cell>
          <cell r="K187">
            <v>1186.13335334663</v>
          </cell>
          <cell r="L187">
            <v>577.11881207715203</v>
          </cell>
          <cell r="M187">
            <v>927.33094385090396</v>
          </cell>
          <cell r="N187">
            <v>3076.4671167770098</v>
          </cell>
          <cell r="O187">
            <v>2976.3297866633802</v>
          </cell>
          <cell r="P187">
            <v>15388.367361549999</v>
          </cell>
          <cell r="Q187">
            <v>2169.5098943550502</v>
          </cell>
          <cell r="R187">
            <v>1308.2666944063899</v>
          </cell>
          <cell r="S187">
            <v>25831.234097850702</v>
          </cell>
          <cell r="T187">
            <v>5500.6826819693897</v>
          </cell>
          <cell r="U187">
            <v>7280.0789083468699</v>
          </cell>
          <cell r="V187">
            <v>7184.2364387227399</v>
          </cell>
          <cell r="W187">
            <v>2538.1412284069002</v>
          </cell>
          <cell r="X187">
            <v>3328.0948404048499</v>
          </cell>
          <cell r="Y187">
            <v>479.12025591232202</v>
          </cell>
          <cell r="Z187">
            <v>54967.706773329402</v>
          </cell>
        </row>
        <row r="188">
          <cell r="A188" t="str">
            <v>Perak</v>
          </cell>
          <cell r="B188" t="str">
            <v>08</v>
          </cell>
          <cell r="C188">
            <v>5769.6978854849704</v>
          </cell>
          <cell r="D188">
            <v>3875.97029518006</v>
          </cell>
          <cell r="E188">
            <v>387.62683690967799</v>
          </cell>
          <cell r="F188">
            <v>1506.10075339523</v>
          </cell>
          <cell r="G188">
            <v>0.104974511178469</v>
          </cell>
          <cell r="I188">
            <v>160.81691599765799</v>
          </cell>
          <cell r="J188">
            <v>8091.9117850561797</v>
          </cell>
          <cell r="K188">
            <v>1160.96481724502</v>
          </cell>
          <cell r="L188">
            <v>171.25186372072</v>
          </cell>
          <cell r="M188">
            <v>363.56211939631299</v>
          </cell>
          <cell r="N188">
            <v>1553.97182138072</v>
          </cell>
          <cell r="O188">
            <v>1886.8563472396399</v>
          </cell>
          <cell r="P188">
            <v>2067.8582196103498</v>
          </cell>
          <cell r="Q188">
            <v>887.44659646341097</v>
          </cell>
          <cell r="R188">
            <v>1315.5138579433501</v>
          </cell>
          <cell r="S188">
            <v>26425.2482440975</v>
          </cell>
          <cell r="T188">
            <v>8094.2207449247398</v>
          </cell>
          <cell r="U188">
            <v>6149.5975449324096</v>
          </cell>
          <cell r="V188">
            <v>4468.0073264889497</v>
          </cell>
          <cell r="W188">
            <v>3020.86195335604</v>
          </cell>
          <cell r="X188">
            <v>4692.5606743953904</v>
          </cell>
          <cell r="Y188">
            <v>23.3757166071066</v>
          </cell>
          <cell r="Z188">
            <v>41786.5644051868</v>
          </cell>
        </row>
        <row r="189">
          <cell r="A189" t="str">
            <v>Perlis</v>
          </cell>
          <cell r="B189" t="str">
            <v>09</v>
          </cell>
          <cell r="C189">
            <v>818.62725838790595</v>
          </cell>
          <cell r="D189">
            <v>271.46455222490499</v>
          </cell>
          <cell r="E189">
            <v>0</v>
          </cell>
          <cell r="F189">
            <v>547.16270616300096</v>
          </cell>
          <cell r="G189">
            <v>1.4894193420912199E-2</v>
          </cell>
          <cell r="I189">
            <v>7.8513332154068296</v>
          </cell>
          <cell r="J189">
            <v>362.41036102651401</v>
          </cell>
          <cell r="K189">
            <v>53.638273758948998</v>
          </cell>
          <cell r="L189">
            <v>42.021774884030897</v>
          </cell>
          <cell r="M189">
            <v>5.8401637589311397</v>
          </cell>
          <cell r="N189">
            <v>78.988785974380804</v>
          </cell>
          <cell r="O189">
            <v>178.223318920645</v>
          </cell>
          <cell r="P189">
            <v>0.68963994380997895</v>
          </cell>
          <cell r="Q189">
            <v>3.0084037857672898</v>
          </cell>
          <cell r="R189">
            <v>99.772993551221603</v>
          </cell>
          <cell r="S189">
            <v>2274.54725466329</v>
          </cell>
          <cell r="T189">
            <v>721.42277281399902</v>
          </cell>
          <cell r="U189">
            <v>331.29351414421097</v>
          </cell>
          <cell r="V189">
            <v>298.30837412730398</v>
          </cell>
          <cell r="W189">
            <v>280.637554691064</v>
          </cell>
          <cell r="X189">
            <v>642.88503888671505</v>
          </cell>
          <cell r="Y189">
            <v>84.816419751260895</v>
          </cell>
          <cell r="Z189">
            <v>3648.0256205955998</v>
          </cell>
        </row>
        <row r="190">
          <cell r="A190" t="str">
            <v>Selangor</v>
          </cell>
          <cell r="B190">
            <v>10</v>
          </cell>
          <cell r="C190">
            <v>2873.5869735044298</v>
          </cell>
          <cell r="D190">
            <v>1919.87178957015</v>
          </cell>
          <cell r="E190">
            <v>4.7663474021765504</v>
          </cell>
          <cell r="F190">
            <v>948.94883653210195</v>
          </cell>
          <cell r="G190">
            <v>5.2282354095406901E-2</v>
          </cell>
          <cell r="I190">
            <v>173.78388784137201</v>
          </cell>
          <cell r="J190">
            <v>57388.191002190302</v>
          </cell>
          <cell r="K190">
            <v>9145.1344121986695</v>
          </cell>
          <cell r="L190">
            <v>658.68614929752005</v>
          </cell>
          <cell r="M190">
            <v>3205.7740136094299</v>
          </cell>
          <cell r="N190">
            <v>9106.4950050390908</v>
          </cell>
          <cell r="O190">
            <v>9596.8726905711701</v>
          </cell>
          <cell r="P190">
            <v>12120.3435515441</v>
          </cell>
          <cell r="Q190">
            <v>13554.885179930299</v>
          </cell>
          <cell r="R190">
            <v>10144.089580456801</v>
          </cell>
          <cell r="S190">
            <v>109673.337794666</v>
          </cell>
          <cell r="T190">
            <v>26316.5125620527</v>
          </cell>
          <cell r="U190">
            <v>36010.973321654797</v>
          </cell>
          <cell r="V190">
            <v>29168.735580597899</v>
          </cell>
          <cell r="W190">
            <v>8782.4639217673994</v>
          </cell>
          <cell r="X190">
            <v>9394.6524085932597</v>
          </cell>
          <cell r="Y190">
            <v>6295.2281592564996</v>
          </cell>
          <cell r="Z190">
            <v>186548.217397915</v>
          </cell>
        </row>
        <row r="191">
          <cell r="A191" t="str">
            <v>Terengganu</v>
          </cell>
          <cell r="B191">
            <v>11</v>
          </cell>
          <cell r="C191">
            <v>1554.2279757542899</v>
          </cell>
          <cell r="D191">
            <v>1198.20448964097</v>
          </cell>
          <cell r="E191">
            <v>103.412863951137</v>
          </cell>
          <cell r="F191">
            <v>252.61062216218701</v>
          </cell>
          <cell r="G191">
            <v>2.8277792919653901E-2</v>
          </cell>
          <cell r="I191">
            <v>21.902583824948501</v>
          </cell>
          <cell r="J191">
            <v>7670.0923387204703</v>
          </cell>
          <cell r="K191">
            <v>64.322648984943001</v>
          </cell>
          <cell r="L191">
            <v>42.864132053096398</v>
          </cell>
          <cell r="M191">
            <v>97.235170068299993</v>
          </cell>
          <cell r="N191">
            <v>7023.4126857194096</v>
          </cell>
          <cell r="O191">
            <v>364.86600226697902</v>
          </cell>
          <cell r="P191">
            <v>2.8807609174577098</v>
          </cell>
          <cell r="Q191">
            <v>74.510938710281096</v>
          </cell>
          <cell r="R191">
            <v>795.84075558622499</v>
          </cell>
          <cell r="S191">
            <v>10497.527787229001</v>
          </cell>
          <cell r="T191">
            <v>3895.6502935599401</v>
          </cell>
          <cell r="U191">
            <v>1936.3616513498</v>
          </cell>
          <cell r="V191">
            <v>982.59055145654202</v>
          </cell>
          <cell r="W191">
            <v>1012.52988625111</v>
          </cell>
          <cell r="X191">
            <v>2670.3954046116</v>
          </cell>
          <cell r="Y191">
            <v>14.0157405078594</v>
          </cell>
          <cell r="Z191">
            <v>20553.6071816228</v>
          </cell>
        </row>
        <row r="192">
          <cell r="A192" t="str">
            <v>Sabah</v>
          </cell>
          <cell r="B192">
            <v>12</v>
          </cell>
          <cell r="C192">
            <v>9410.6954707572204</v>
          </cell>
          <cell r="D192">
            <v>6788.29327785022</v>
          </cell>
          <cell r="E192">
            <v>701.74899572940399</v>
          </cell>
          <cell r="F192">
            <v>1920.6531971775901</v>
          </cell>
          <cell r="G192">
            <v>0.171219217452863</v>
          </cell>
          <cell r="I192">
            <v>9349.4960306194607</v>
          </cell>
          <cell r="J192">
            <v>3605.2665872625498</v>
          </cell>
          <cell r="K192">
            <v>2006.6271122629</v>
          </cell>
          <cell r="L192">
            <v>35.873470019840099</v>
          </cell>
          <cell r="M192">
            <v>726.236787169575</v>
          </cell>
          <cell r="N192">
            <v>229.85404437143899</v>
          </cell>
          <cell r="O192">
            <v>453.08445668788801</v>
          </cell>
          <cell r="P192">
            <v>13.031717106270399</v>
          </cell>
          <cell r="Q192">
            <v>140.558999644642</v>
          </cell>
          <cell r="R192">
            <v>1106.9610473805201</v>
          </cell>
          <cell r="S192">
            <v>22133.7737827686</v>
          </cell>
          <cell r="T192">
            <v>4100.9525660907102</v>
          </cell>
          <cell r="U192">
            <v>7043.4143607875403</v>
          </cell>
          <cell r="V192">
            <v>4460.10240379273</v>
          </cell>
          <cell r="W192">
            <v>1915.8505499156499</v>
          </cell>
          <cell r="X192">
            <v>4613.4539021819801</v>
          </cell>
          <cell r="Y192">
            <v>184.392118725611</v>
          </cell>
          <cell r="Z192">
            <v>45790.585037514</v>
          </cell>
        </row>
        <row r="193">
          <cell r="A193" t="str">
            <v>Sarawak</v>
          </cell>
          <cell r="B193">
            <v>13</v>
          </cell>
          <cell r="C193">
            <v>8500.9819954592695</v>
          </cell>
          <cell r="D193">
            <v>5007.7009603058596</v>
          </cell>
          <cell r="E193">
            <v>2927.3698797729899</v>
          </cell>
          <cell r="F193">
            <v>565.91115538041095</v>
          </cell>
          <cell r="G193">
            <v>0.15466779148962301</v>
          </cell>
          <cell r="I193">
            <v>16082.7212522643</v>
          </cell>
          <cell r="J193">
            <v>19926.047586987199</v>
          </cell>
          <cell r="K193">
            <v>867.52672601975598</v>
          </cell>
          <cell r="L193">
            <v>15.2615685336468</v>
          </cell>
          <cell r="M193">
            <v>1579.5850175294199</v>
          </cell>
          <cell r="N193">
            <v>15717.725999576</v>
          </cell>
          <cell r="O193">
            <v>641.92543226121495</v>
          </cell>
          <cell r="P193">
            <v>647.00830661870998</v>
          </cell>
          <cell r="Q193">
            <v>457.01453644846498</v>
          </cell>
          <cell r="R193">
            <v>2301.0924495561999</v>
          </cell>
          <cell r="S193">
            <v>27843.5206875031</v>
          </cell>
          <cell r="T193">
            <v>6131.7304483726402</v>
          </cell>
          <cell r="U193">
            <v>7340.1493415198602</v>
          </cell>
          <cell r="V193">
            <v>7138.3263984308596</v>
          </cell>
          <cell r="W193">
            <v>2668.2303733642402</v>
          </cell>
          <cell r="X193">
            <v>4565.0841258155097</v>
          </cell>
          <cell r="Y193">
            <v>232.84176556763501</v>
          </cell>
          <cell r="Z193">
            <v>74887.205737337703</v>
          </cell>
        </row>
        <row r="194">
          <cell r="A194" t="str">
            <v>WP Kuala Lumpur</v>
          </cell>
          <cell r="B194">
            <v>14</v>
          </cell>
          <cell r="C194">
            <v>1.4522015191577999</v>
          </cell>
          <cell r="D194">
            <v>1.4522015191577999</v>
          </cell>
          <cell r="E194">
            <v>0</v>
          </cell>
          <cell r="F194">
            <v>0</v>
          </cell>
          <cell r="G194">
            <v>2.6421512465969799E-5</v>
          </cell>
          <cell r="I194">
            <v>38.115332011266602</v>
          </cell>
          <cell r="J194">
            <v>5028.9893210533601</v>
          </cell>
          <cell r="K194">
            <v>487.25938630193099</v>
          </cell>
          <cell r="L194">
            <v>291.02525022970502</v>
          </cell>
          <cell r="M194">
            <v>682.35266066343604</v>
          </cell>
          <cell r="N194">
            <v>758.09189379295697</v>
          </cell>
          <cell r="O194">
            <v>801.37090367748306</v>
          </cell>
          <cell r="P194">
            <v>843.14870568153697</v>
          </cell>
          <cell r="Q194">
            <v>1165.74052070631</v>
          </cell>
          <cell r="R194">
            <v>6781.6547222751296</v>
          </cell>
          <cell r="S194">
            <v>109069.06637915599</v>
          </cell>
          <cell r="T194">
            <v>7276.13968971135</v>
          </cell>
          <cell r="U194">
            <v>40341.450519275902</v>
          </cell>
          <cell r="V194">
            <v>41086.511367503699</v>
          </cell>
          <cell r="W194">
            <v>5399.2865968689202</v>
          </cell>
          <cell r="X194">
            <v>14965.678205795801</v>
          </cell>
          <cell r="Y194">
            <v>1140.19933738243</v>
          </cell>
          <cell r="Z194">
            <v>122059.47729339699</v>
          </cell>
        </row>
        <row r="195">
          <cell r="A195" t="str">
            <v>WP Labuan</v>
          </cell>
          <cell r="B195">
            <v>15</v>
          </cell>
          <cell r="C195">
            <v>139.32715428529599</v>
          </cell>
          <cell r="D195">
            <v>7.9241830797108799</v>
          </cell>
          <cell r="E195">
            <v>0</v>
          </cell>
          <cell r="F195">
            <v>131.402971205585</v>
          </cell>
          <cell r="G195">
            <v>2.5349334064407002E-3</v>
          </cell>
          <cell r="I195">
            <v>0</v>
          </cell>
          <cell r="J195">
            <v>750.58651940238099</v>
          </cell>
          <cell r="K195">
            <v>9.1777708055619591</v>
          </cell>
          <cell r="L195">
            <v>2.6930070708899798</v>
          </cell>
          <cell r="M195">
            <v>1.15361241202134</v>
          </cell>
          <cell r="N195">
            <v>493.356230079439</v>
          </cell>
          <cell r="O195">
            <v>209.996322507017</v>
          </cell>
          <cell r="P195">
            <v>1.2068615879611899</v>
          </cell>
          <cell r="Q195">
            <v>33.002714939490602</v>
          </cell>
          <cell r="R195">
            <v>51.5224791213004</v>
          </cell>
          <cell r="S195">
            <v>2514.23810393146</v>
          </cell>
          <cell r="T195">
            <v>230.96421000186899</v>
          </cell>
          <cell r="U195">
            <v>280.79011811224899</v>
          </cell>
          <cell r="V195">
            <v>1801.2729670522999</v>
          </cell>
          <cell r="W195">
            <v>75.651371134487405</v>
          </cell>
          <cell r="X195">
            <v>125.559437630563</v>
          </cell>
          <cell r="Y195">
            <v>19.3768432572531</v>
          </cell>
          <cell r="Z195">
            <v>3475.05109999769</v>
          </cell>
        </row>
        <row r="196">
          <cell r="A196" t="str">
            <v>Supra1</v>
          </cell>
          <cell r="C196">
            <v>0</v>
          </cell>
          <cell r="D196">
            <v>0</v>
          </cell>
          <cell r="E196">
            <v>0</v>
          </cell>
          <cell r="F196">
            <v>0</v>
          </cell>
          <cell r="G196">
            <v>0</v>
          </cell>
          <cell r="I196">
            <v>37396.647797976802</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37396.647797976802</v>
          </cell>
        </row>
        <row r="197">
          <cell r="A197" t="str">
            <v>MALAYSIA</v>
          </cell>
          <cell r="C197">
            <v>56094.863948008802</v>
          </cell>
          <cell r="D197">
            <v>42177.282744000098</v>
          </cell>
          <cell r="E197">
            <v>5680.5177895924298</v>
          </cell>
          <cell r="F197">
            <v>8237.0634144162996</v>
          </cell>
          <cell r="G197">
            <v>1.0205960588298699</v>
          </cell>
          <cell r="I197">
            <v>63679.570402235702</v>
          </cell>
          <cell r="J197">
            <v>193236.87487791901</v>
          </cell>
          <cell r="K197">
            <v>20520.3540832705</v>
          </cell>
          <cell r="L197">
            <v>3292.5069088150199</v>
          </cell>
          <cell r="M197">
            <v>11332.0197671565</v>
          </cell>
          <cell r="N197">
            <v>56890.6905584009</v>
          </cell>
          <cell r="O197">
            <v>25729.4159043656</v>
          </cell>
          <cell r="P197">
            <v>47395.620080784298</v>
          </cell>
          <cell r="Q197">
            <v>28076.267575125901</v>
          </cell>
          <cell r="R197">
            <v>29554.397320664899</v>
          </cell>
          <cell r="S197">
            <v>434459.632237071</v>
          </cell>
          <cell r="T197">
            <v>80322.4492331277</v>
          </cell>
          <cell r="U197">
            <v>132979.18733601301</v>
          </cell>
          <cell r="V197">
            <v>116531.80588113</v>
          </cell>
          <cell r="W197">
            <v>39519.567445151901</v>
          </cell>
          <cell r="X197">
            <v>65106.622341648297</v>
          </cell>
          <cell r="Y197">
            <v>10585.702477803399</v>
          </cell>
          <cell r="Z197">
            <v>787611.04126370198</v>
          </cell>
        </row>
      </sheetData>
      <sheetData sheetId="4">
        <row r="3">
          <cell r="B3" t="str">
            <v>row</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4.1"/>
      <sheetName val="4.3"/>
      <sheetName val="4.4"/>
      <sheetName val="4.5"/>
      <sheetName val="4.6"/>
      <sheetName val="4.7"/>
      <sheetName val="4.7 samb"/>
      <sheetName val="4.8"/>
      <sheetName val="4.10"/>
      <sheetName val="4.9"/>
      <sheetName val="4.13"/>
      <sheetName val="VA_CONSTANT"/>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4.1"/>
      <sheetName val="4.3"/>
      <sheetName val="4.4"/>
      <sheetName val="4.5"/>
      <sheetName val="4.6"/>
      <sheetName val="4.7"/>
      <sheetName val="4.7 samb"/>
      <sheetName val="4.8"/>
      <sheetName val="4.10"/>
    </sheetNames>
    <sheetDataSet>
      <sheetData sheetId="0"/>
      <sheetData sheetId="1"/>
      <sheetData sheetId="2"/>
      <sheetData sheetId="3"/>
      <sheetData sheetId="4"/>
      <sheetData sheetId="5"/>
      <sheetData sheetId="6"/>
      <sheetData sheetId="7"/>
      <sheetData sheetId="8"/>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7.1"/>
      <sheetName val="7.2 "/>
      <sheetName val="7.3"/>
      <sheetName val="7.4"/>
      <sheetName val="7.5"/>
      <sheetName val="7.6"/>
      <sheetName val="7.7"/>
      <sheetName val="4.9"/>
      <sheetName val="4.3"/>
      <sheetName val="4.8"/>
      <sheetName val="VA_CONSTANT"/>
      <sheetName val="new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4.1"/>
      <sheetName val="4.2"/>
      <sheetName val="4.3"/>
      <sheetName val="4.4"/>
      <sheetName val="4.5"/>
      <sheetName val="4.6"/>
      <sheetName val="4.7"/>
      <sheetName val="4.7samb"/>
      <sheetName val="4.9"/>
      <sheetName val="4.10"/>
      <sheetName val="4.11"/>
      <sheetName val="4.12"/>
      <sheetName val="4.13"/>
      <sheetName val="Sheet1"/>
      <sheetName val="VA_CONSTANT"/>
      <sheetName val="ref"/>
      <sheetName val="4.8"/>
      <sheetName val="DataInRow"/>
      <sheetName val="7.6"/>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7.6"/>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7.1"/>
      <sheetName val="7.2 "/>
      <sheetName val="7.3"/>
      <sheetName val="7.4"/>
      <sheetName val="7.5"/>
      <sheetName val="7.6"/>
      <sheetName val="7.7"/>
      <sheetName val="4.9"/>
      <sheetName val="4.3"/>
      <sheetName val="4.8"/>
      <sheetName val="Sheet1"/>
      <sheetName val="VA_CONSTANT"/>
      <sheetName val="ref"/>
      <sheetName val="Perlis"/>
    </sheetNames>
    <sheetDataSet>
      <sheetData sheetId="0"/>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1"/>
      <sheetName val="4.2"/>
      <sheetName val="4.3"/>
      <sheetName val="4.4"/>
      <sheetName val="4.5"/>
      <sheetName val="4.6"/>
      <sheetName val="4.7"/>
      <sheetName val="4.7samb"/>
      <sheetName val="4.9"/>
      <sheetName val="4.10"/>
      <sheetName val="4.11"/>
      <sheetName val="4.12"/>
      <sheetName val="4.13"/>
      <sheetName val="4.8"/>
      <sheetName val="7.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1"/>
      <sheetName val="4.2"/>
      <sheetName val="4.3"/>
      <sheetName val="4.4"/>
      <sheetName val="4.5"/>
      <sheetName val="4.6"/>
      <sheetName val="4.7"/>
      <sheetName val="4.7samb"/>
      <sheetName val="4.9"/>
      <sheetName val="4.10"/>
      <sheetName val="4.11"/>
      <sheetName val="4.12"/>
      <sheetName val="4.13"/>
      <sheetName val="4.8"/>
      <sheetName val="VA_CONSTANT"/>
      <sheetName val="7.6"/>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9"/>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4.1"/>
      <sheetName val="4.3"/>
      <sheetName val="4.4"/>
      <sheetName val="4.5"/>
      <sheetName val="4.6"/>
      <sheetName val="4.7"/>
      <sheetName val="4.7 samb"/>
      <sheetName val="4.8"/>
      <sheetName val="4.10"/>
      <sheetName val="7.6"/>
      <sheetName val="VA_CONSTANT"/>
      <sheetName val="ref"/>
      <sheetName val="5.11"/>
      <sheetName val="4.9"/>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43.1 (T1) (RM)"/>
      <sheetName val="43.1 (T2) (RM)"/>
      <sheetName val="43.1 (T3) (RM)"/>
      <sheetName val="43.2 (U1) (RM)"/>
      <sheetName val="43.2 (U2) (RM)"/>
      <sheetName val="43.2 (U3) (RM)"/>
      <sheetName val="43.3 (R1) (RM)"/>
      <sheetName val="43.3 (R2) (RM)"/>
      <sheetName val="43.3 (R3) (RM)"/>
      <sheetName val="48.1 (T1) (RM)"/>
      <sheetName val="48.1 (T2) (RM)"/>
      <sheetName val="48.1 (T3) (RM)"/>
      <sheetName val="48.2 (U1) (RM)"/>
      <sheetName val="48.2 (U2) (RM)"/>
      <sheetName val="48.2 (U3) (RM)"/>
      <sheetName val="48.3 (R1) (RM)"/>
      <sheetName val="48.3 (R2) (RM)"/>
      <sheetName val="48.3 (R3) (RM)"/>
      <sheetName val="48.4 (T1) (%)"/>
      <sheetName val="48.4 (T2) (%)"/>
      <sheetName val="48.4 (T3) (%)"/>
      <sheetName val="48.5 (U1) (%)"/>
      <sheetName val="48.5 (U2) (%)"/>
      <sheetName val="48.5 (U3) (%)"/>
      <sheetName val="48.6 (R1) (%)"/>
      <sheetName val="48.6 (R2) (%)"/>
      <sheetName val="48.6 (R3) (%)"/>
      <sheetName val="Wsheet"/>
      <sheetName val="Sheet2"/>
      <sheetName val="1.1 (RM) &amp; (%)"/>
      <sheetName val="1.2 (T1) (RM) &amp; (%)"/>
      <sheetName val="1.2 (T2) (RM) &amp; (%)"/>
      <sheetName val="1.2 (T3) (RM) &amp; (%)"/>
      <sheetName val="1.3 (U1) (RM) &amp; (%)"/>
      <sheetName val="1.3 (U2) (RM) &amp; (%)"/>
      <sheetName val="1.3 (U3) (RM) &amp; (%)"/>
      <sheetName val="1.4 (R1) (RM) &amp; (%)"/>
      <sheetName val="1.4 (R2) (RM) &amp; (%)"/>
      <sheetName val="1.4 (R3) (RM) &amp; (%)"/>
      <sheetName val="4.1 T (RM)"/>
      <sheetName val="4.2 U (RM)"/>
      <sheetName val="4.3 R (RM)"/>
      <sheetName val="4.4 T (%)"/>
      <sheetName val="4.5 U (%)"/>
      <sheetName val="4.6 R (%)"/>
      <sheetName val="6.1 T (RM &amp; %)"/>
      <sheetName val="6.2 U (RM &amp; %)"/>
      <sheetName val="6.3 R (RM &amp; %)"/>
      <sheetName val="5.1 T (RM)"/>
      <sheetName val="5.2 U (RM)"/>
      <sheetName val="5.3 R (RM)"/>
      <sheetName val="5.4 T (%)"/>
      <sheetName val="5.5 U (%)"/>
      <sheetName val="5.6 R (%)"/>
      <sheetName val="3.1 T (RM)"/>
      <sheetName val="3.2 U (RM)"/>
      <sheetName val="3.3 R (RM)"/>
      <sheetName val="3.4 T (%)"/>
      <sheetName val="3.5 U (%)"/>
      <sheetName val="3.6 R (%)"/>
      <sheetName val="7.1 T (RM)"/>
      <sheetName val="7.2 U (RM)"/>
      <sheetName val="7.3 R (RM)"/>
      <sheetName val="7.4 T (%)"/>
      <sheetName val="7.5 U (%)"/>
      <sheetName val="7.6 R (%)"/>
      <sheetName val="46.1 T (RM)"/>
      <sheetName val="46.2 U (RM)"/>
      <sheetName val="46.3 R (RM)"/>
      <sheetName val="46.4 T (%)"/>
      <sheetName val="46.5 U (%)"/>
      <sheetName val="46.6 R (%)"/>
      <sheetName val="50.1 T (RM)"/>
      <sheetName val="50.2 U (RM)"/>
      <sheetName val="50.3 R (RM)"/>
      <sheetName val="50.4 T (%)"/>
      <sheetName val="50.5 U (%)"/>
      <sheetName val="50.6 R (%)"/>
      <sheetName val="2.1 T (RM)"/>
      <sheetName val="2.2 U (RM)"/>
      <sheetName val="2.3 R (RM)"/>
      <sheetName val="2.4 T (%)"/>
      <sheetName val="2.5 U (%)"/>
      <sheetName val="2.6 R (%)"/>
      <sheetName val="47.1"/>
      <sheetName val="45.1"/>
      <sheetName val="49.1"/>
      <sheetName val="1.7(ab)"/>
      <sheetName val="1.9"/>
      <sheetName val="1.15(T)"/>
      <sheetName val="1.15(U)"/>
      <sheetName val="1.15(R)"/>
      <sheetName val="1.17(T1)"/>
      <sheetName val="1.17(T2)"/>
      <sheetName val="1.17(U1)"/>
      <sheetName val="1.17(U2)"/>
      <sheetName val="1.17(R1)"/>
      <sheetName val="1.17(R2)"/>
      <sheetName val="1.10(T)"/>
      <sheetName val="1.10(U)"/>
      <sheetName val="1.10(R)"/>
      <sheetName val="4.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row r="2">
          <cell r="B2" t="str">
            <v>MALAYSIA - TUR</v>
          </cell>
        </row>
        <row r="3">
          <cell r="B3" t="str">
            <v>PEN. MSIA - TUR</v>
          </cell>
        </row>
        <row r="4">
          <cell r="B4" t="str">
            <v>SABAH (w/o Labuan) - TUR</v>
          </cell>
        </row>
        <row r="5">
          <cell r="B5" t="str">
            <v>SABAH (with Labuan) - TUR</v>
          </cell>
        </row>
        <row r="6">
          <cell r="B6" t="str">
            <v>SARAWAK - TUR</v>
          </cell>
        </row>
        <row r="7">
          <cell r="B7" t="str">
            <v>W.P. LABUAN - TUR</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sheetData sheetId="101"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Wsheet"/>
      <sheetName val="Sheet1"/>
      <sheetName val="Sheet2"/>
    </sheetNames>
    <sheetDataSet>
      <sheetData sheetId="0" refreshError="1"/>
      <sheetData sheetId="1">
        <row r="2">
          <cell r="B2" t="str">
            <v>MALAYSIA - Total</v>
          </cell>
        </row>
        <row r="3">
          <cell r="B3" t="str">
            <v>MALAYSIA - Urban</v>
          </cell>
        </row>
        <row r="4">
          <cell r="B4" t="str">
            <v>MALAYSIA - Rural</v>
          </cell>
        </row>
        <row r="5">
          <cell r="B5" t="str">
            <v>PEN. MSIA - Total</v>
          </cell>
        </row>
        <row r="6">
          <cell r="B6" t="str">
            <v>PEN. MSIA - Urban</v>
          </cell>
        </row>
        <row r="7">
          <cell r="B7" t="str">
            <v>PEN. MSIA - Rural</v>
          </cell>
        </row>
        <row r="8">
          <cell r="B8" t="str">
            <v>SABAH (w/o Labuan) - Total</v>
          </cell>
        </row>
        <row r="9">
          <cell r="B9" t="str">
            <v>SABAH (w/o Labuan) - Urban</v>
          </cell>
        </row>
        <row r="10">
          <cell r="B10" t="str">
            <v>SABAH (w/o Labuan) - Rural</v>
          </cell>
        </row>
        <row r="11">
          <cell r="B11" t="str">
            <v>SABAH (with Labuan) - Total</v>
          </cell>
        </row>
        <row r="12">
          <cell r="B12" t="str">
            <v>SABAH (with Labuan) - Urban</v>
          </cell>
        </row>
        <row r="13">
          <cell r="B13" t="str">
            <v>SABAH (with Labuan) - Rural</v>
          </cell>
        </row>
        <row r="14">
          <cell r="B14" t="str">
            <v>SARAWAK - Total</v>
          </cell>
        </row>
        <row r="15">
          <cell r="B15" t="str">
            <v>SARAWAK - Urban</v>
          </cell>
        </row>
        <row r="16">
          <cell r="B16" t="str">
            <v>SARAWAK - Rural</v>
          </cell>
        </row>
        <row r="17">
          <cell r="B17" t="str">
            <v>W.P. LABUAN - Total</v>
          </cell>
        </row>
        <row r="18">
          <cell r="B18" t="str">
            <v>W.P. LABUAN - Urban</v>
          </cell>
        </row>
        <row r="19">
          <cell r="B19" t="str">
            <v>W.P. LABUAN - Rural</v>
          </cell>
        </row>
      </sheetData>
      <sheetData sheetId="2"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VA-curr"/>
      <sheetName val="VA-cons"/>
      <sheetName val="VA_CONSTANT"/>
      <sheetName val="ref"/>
      <sheetName val="Tbl1_Msia"/>
      <sheetName val="Tbl3_05"/>
      <sheetName val="Tbl5_06"/>
      <sheetName val="Tbl7_06"/>
      <sheetName val="Tbl8_07"/>
      <sheetName val="Tbl10_07"/>
      <sheetName val="Tbl11_08"/>
      <sheetName val="Tbl13_08"/>
      <sheetName val="Tbl14_09"/>
      <sheetName val="Tbl16_09"/>
      <sheetName val="Tbl17_10"/>
      <sheetName val="Tbl19_10"/>
      <sheetName val="Tbl20_11"/>
      <sheetName val="Tbl22_11"/>
      <sheetName val="Tbl23_12"/>
      <sheetName val="Tbl25_12"/>
      <sheetName val="Tbl26_13"/>
      <sheetName val="Tbl28_13"/>
      <sheetName val="Tbl29_Curr&amp;perCapita"/>
      <sheetName val="JHR"/>
      <sheetName val="KDH"/>
      <sheetName val="KLTN"/>
      <sheetName val="MLK"/>
      <sheetName val="N9"/>
      <sheetName val="PHG"/>
      <sheetName val="PP"/>
      <sheetName val="PRK"/>
      <sheetName val="PRLS"/>
      <sheetName val="SLGR"/>
      <sheetName val="TRGN"/>
      <sheetName val="SBH"/>
      <sheetName val="SRWK"/>
      <sheetName val="WPKL"/>
      <sheetName val="WPL"/>
      <sheetName val="Sheet2"/>
      <sheetName val="Sheet3"/>
      <sheetName val="Sheet6"/>
      <sheetName val="Sheet4"/>
      <sheetName val="Sheet4 (2)"/>
      <sheetName val="Sheet5"/>
      <sheetName val="Sheet7"/>
      <sheetName val="4.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VA-curr"/>
      <sheetName val="VA-cons"/>
      <sheetName val="VA_CONSTANT"/>
      <sheetName val="ref"/>
      <sheetName val="Tbl1_Msia"/>
      <sheetName val="Tbl3_05"/>
      <sheetName val="Tbl5_06"/>
      <sheetName val="Tbl7_06"/>
      <sheetName val="Tbl8_07"/>
      <sheetName val="Tbl10_07"/>
      <sheetName val="Tbl11_08"/>
      <sheetName val="Tbl13_08"/>
      <sheetName val="Tbl14_09"/>
      <sheetName val="Tbl16_09"/>
      <sheetName val="Tbl17_10"/>
      <sheetName val="Tbl19_10"/>
      <sheetName val="Tbl20_11"/>
      <sheetName val="Tbl22_11"/>
      <sheetName val="Tbl23_12"/>
      <sheetName val="Tbl25_12"/>
      <sheetName val="Tbl26_13"/>
      <sheetName val="Tbl28_13"/>
      <sheetName val="Tbl29_Curr&amp;perCapita"/>
      <sheetName val="JHR"/>
      <sheetName val="KDH"/>
      <sheetName val="KLTN"/>
      <sheetName val="MLK"/>
      <sheetName val="N9"/>
      <sheetName val="PHG"/>
      <sheetName val="PP"/>
      <sheetName val="PRK"/>
      <sheetName val="PRLS"/>
      <sheetName val="SLGR"/>
      <sheetName val="TRGN"/>
      <sheetName val="SBH"/>
      <sheetName val="SRWK"/>
      <sheetName val="WPKL"/>
      <sheetName val="WPL"/>
      <sheetName val="Sheet2"/>
      <sheetName val="Sheet3"/>
      <sheetName val="Sheet6"/>
      <sheetName val="Sheet4"/>
      <sheetName val="Sheet4 (2)"/>
      <sheetName val="Sheet5"/>
      <sheetName val="Sheet7"/>
      <sheetName val="4.9"/>
      <sheetName val="4.8"/>
      <sheetName val="Index Page"/>
      <sheetName val="Control"/>
    </sheetNames>
    <sheetDataSet>
      <sheetData sheetId="0"/>
      <sheetData sheetId="1"/>
      <sheetData sheetId="2"/>
      <sheetData sheetId="3">
        <row r="1">
          <cell r="C1" t="str">
            <v>agri</v>
          </cell>
        </row>
      </sheetData>
      <sheetData sheetId="4">
        <row r="3">
          <cell r="B3" t="str">
            <v>row</v>
          </cell>
          <cell r="C3" t="str">
            <v>2005f</v>
          </cell>
          <cell r="D3" t="str">
            <v>2006f</v>
          </cell>
          <cell r="E3" t="str">
            <v>2007f</v>
          </cell>
          <cell r="F3" t="str">
            <v>2008f</v>
          </cell>
          <cell r="G3" t="str">
            <v>2009f</v>
          </cell>
          <cell r="H3" t="str">
            <v>2010f</v>
          </cell>
          <cell r="I3" t="str">
            <v>2011f</v>
          </cell>
          <cell r="J3" t="str">
            <v>2012e</v>
          </cell>
          <cell r="K3" t="str">
            <v>2013p</v>
          </cell>
        </row>
        <row r="4">
          <cell r="B4" t="str">
            <v>Johor</v>
          </cell>
          <cell r="C4">
            <v>5</v>
          </cell>
          <cell r="D4">
            <v>27</v>
          </cell>
          <cell r="E4">
            <v>49</v>
          </cell>
          <cell r="F4">
            <v>71</v>
          </cell>
          <cell r="G4">
            <v>93</v>
          </cell>
          <cell r="H4">
            <v>115</v>
          </cell>
          <cell r="I4">
            <v>137</v>
          </cell>
          <cell r="J4">
            <v>159</v>
          </cell>
          <cell r="K4">
            <v>181</v>
          </cell>
        </row>
        <row r="5">
          <cell r="B5" t="str">
            <v>Kedah</v>
          </cell>
          <cell r="C5">
            <v>6</v>
          </cell>
          <cell r="D5">
            <v>28</v>
          </cell>
          <cell r="E5">
            <v>50</v>
          </cell>
          <cell r="F5">
            <v>72</v>
          </cell>
          <cell r="G5">
            <v>94</v>
          </cell>
          <cell r="H5">
            <v>116</v>
          </cell>
          <cell r="I5">
            <v>138</v>
          </cell>
          <cell r="J5">
            <v>160</v>
          </cell>
          <cell r="K5">
            <v>182</v>
          </cell>
        </row>
        <row r="6">
          <cell r="B6" t="str">
            <v>Kelantan</v>
          </cell>
          <cell r="C6">
            <v>7</v>
          </cell>
          <cell r="D6">
            <v>29</v>
          </cell>
          <cell r="E6">
            <v>51</v>
          </cell>
          <cell r="F6">
            <v>73</v>
          </cell>
          <cell r="G6">
            <v>95</v>
          </cell>
          <cell r="H6">
            <v>117</v>
          </cell>
          <cell r="I6">
            <v>139</v>
          </cell>
          <cell r="J6">
            <v>161</v>
          </cell>
          <cell r="K6">
            <v>183</v>
          </cell>
        </row>
        <row r="7">
          <cell r="B7" t="str">
            <v>Melaka</v>
          </cell>
          <cell r="C7">
            <v>8</v>
          </cell>
          <cell r="D7">
            <v>30</v>
          </cell>
          <cell r="E7">
            <v>52</v>
          </cell>
          <cell r="F7">
            <v>74</v>
          </cell>
          <cell r="G7">
            <v>96</v>
          </cell>
          <cell r="H7">
            <v>118</v>
          </cell>
          <cell r="I7">
            <v>140</v>
          </cell>
          <cell r="J7">
            <v>162</v>
          </cell>
          <cell r="K7">
            <v>184</v>
          </cell>
        </row>
        <row r="8">
          <cell r="B8" t="str">
            <v>Negeri Sembilan</v>
          </cell>
          <cell r="C8">
            <v>9</v>
          </cell>
          <cell r="D8">
            <v>31</v>
          </cell>
          <cell r="E8">
            <v>53</v>
          </cell>
          <cell r="F8">
            <v>75</v>
          </cell>
          <cell r="G8">
            <v>97</v>
          </cell>
          <cell r="H8">
            <v>119</v>
          </cell>
          <cell r="I8">
            <v>141</v>
          </cell>
          <cell r="J8">
            <v>163</v>
          </cell>
          <cell r="K8">
            <v>185</v>
          </cell>
        </row>
        <row r="9">
          <cell r="B9" t="str">
            <v>Pahang</v>
          </cell>
          <cell r="C9">
            <v>10</v>
          </cell>
          <cell r="D9">
            <v>32</v>
          </cell>
          <cell r="E9">
            <v>54</v>
          </cell>
          <cell r="F9">
            <v>76</v>
          </cell>
          <cell r="G9">
            <v>98</v>
          </cell>
          <cell r="H9">
            <v>120</v>
          </cell>
          <cell r="I9">
            <v>142</v>
          </cell>
          <cell r="J9">
            <v>164</v>
          </cell>
          <cell r="K9">
            <v>186</v>
          </cell>
        </row>
        <row r="10">
          <cell r="B10" t="str">
            <v>Pulau Pinang</v>
          </cell>
          <cell r="C10">
            <v>11</v>
          </cell>
          <cell r="D10">
            <v>33</v>
          </cell>
          <cell r="E10">
            <v>55</v>
          </cell>
          <cell r="F10">
            <v>77</v>
          </cell>
          <cell r="G10">
            <v>99</v>
          </cell>
          <cell r="H10">
            <v>121</v>
          </cell>
          <cell r="I10">
            <v>143</v>
          </cell>
          <cell r="J10">
            <v>165</v>
          </cell>
          <cell r="K10">
            <v>187</v>
          </cell>
        </row>
        <row r="11">
          <cell r="B11" t="str">
            <v>Perak</v>
          </cell>
          <cell r="C11">
            <v>12</v>
          </cell>
          <cell r="D11">
            <v>34</v>
          </cell>
          <cell r="E11">
            <v>56</v>
          </cell>
          <cell r="F11">
            <v>78</v>
          </cell>
          <cell r="G11">
            <v>100</v>
          </cell>
          <cell r="H11">
            <v>122</v>
          </cell>
          <cell r="I11">
            <v>144</v>
          </cell>
          <cell r="J11">
            <v>166</v>
          </cell>
          <cell r="K11">
            <v>188</v>
          </cell>
        </row>
        <row r="12">
          <cell r="B12" t="str">
            <v>Perlis</v>
          </cell>
          <cell r="C12">
            <v>13</v>
          </cell>
          <cell r="D12">
            <v>35</v>
          </cell>
          <cell r="E12">
            <v>57</v>
          </cell>
          <cell r="F12">
            <v>79</v>
          </cell>
          <cell r="G12">
            <v>101</v>
          </cell>
          <cell r="H12">
            <v>123</v>
          </cell>
          <cell r="I12">
            <v>145</v>
          </cell>
          <cell r="J12">
            <v>167</v>
          </cell>
          <cell r="K12">
            <v>189</v>
          </cell>
        </row>
        <row r="13">
          <cell r="B13" t="str">
            <v>Selangor</v>
          </cell>
          <cell r="C13">
            <v>14</v>
          </cell>
          <cell r="D13">
            <v>36</v>
          </cell>
          <cell r="E13">
            <v>58</v>
          </cell>
          <cell r="F13">
            <v>80</v>
          </cell>
          <cell r="G13">
            <v>102</v>
          </cell>
          <cell r="H13">
            <v>124</v>
          </cell>
          <cell r="I13">
            <v>146</v>
          </cell>
          <cell r="J13">
            <v>168</v>
          </cell>
          <cell r="K13">
            <v>190</v>
          </cell>
        </row>
        <row r="14">
          <cell r="B14" t="str">
            <v>Terengganu</v>
          </cell>
          <cell r="C14">
            <v>15</v>
          </cell>
          <cell r="D14">
            <v>37</v>
          </cell>
          <cell r="E14">
            <v>59</v>
          </cell>
          <cell r="F14">
            <v>81</v>
          </cell>
          <cell r="G14">
            <v>103</v>
          </cell>
          <cell r="H14">
            <v>125</v>
          </cell>
          <cell r="I14">
            <v>147</v>
          </cell>
          <cell r="J14">
            <v>169</v>
          </cell>
          <cell r="K14">
            <v>191</v>
          </cell>
        </row>
        <row r="15">
          <cell r="B15" t="str">
            <v>Sabah</v>
          </cell>
          <cell r="C15">
            <v>16</v>
          </cell>
          <cell r="D15">
            <v>38</v>
          </cell>
          <cell r="E15">
            <v>60</v>
          </cell>
          <cell r="F15">
            <v>82</v>
          </cell>
          <cell r="G15">
            <v>104</v>
          </cell>
          <cell r="H15">
            <v>126</v>
          </cell>
          <cell r="I15">
            <v>148</v>
          </cell>
          <cell r="J15">
            <v>170</v>
          </cell>
          <cell r="K15">
            <v>192</v>
          </cell>
        </row>
        <row r="16">
          <cell r="B16" t="str">
            <v>Sarawak</v>
          </cell>
          <cell r="C16">
            <v>17</v>
          </cell>
          <cell r="D16">
            <v>39</v>
          </cell>
          <cell r="E16">
            <v>61</v>
          </cell>
          <cell r="F16">
            <v>83</v>
          </cell>
          <cell r="G16">
            <v>105</v>
          </cell>
          <cell r="H16">
            <v>127</v>
          </cell>
          <cell r="I16">
            <v>149</v>
          </cell>
          <cell r="J16">
            <v>171</v>
          </cell>
          <cell r="K16">
            <v>193</v>
          </cell>
        </row>
        <row r="17">
          <cell r="B17" t="str">
            <v>WP Kuala Lumpur</v>
          </cell>
          <cell r="C17">
            <v>18</v>
          </cell>
          <cell r="D17">
            <v>40</v>
          </cell>
          <cell r="E17">
            <v>62</v>
          </cell>
          <cell r="F17">
            <v>84</v>
          </cell>
          <cell r="G17">
            <v>106</v>
          </cell>
          <cell r="H17">
            <v>128</v>
          </cell>
          <cell r="I17">
            <v>150</v>
          </cell>
          <cell r="J17">
            <v>172</v>
          </cell>
          <cell r="K17">
            <v>194</v>
          </cell>
        </row>
        <row r="18">
          <cell r="B18" t="str">
            <v>WP Labuan</v>
          </cell>
          <cell r="C18">
            <v>19</v>
          </cell>
          <cell r="D18">
            <v>41</v>
          </cell>
          <cell r="E18">
            <v>63</v>
          </cell>
          <cell r="F18">
            <v>85</v>
          </cell>
          <cell r="G18">
            <v>107</v>
          </cell>
          <cell r="H18">
            <v>129</v>
          </cell>
          <cell r="I18">
            <v>151</v>
          </cell>
          <cell r="J18">
            <v>173</v>
          </cell>
          <cell r="K18">
            <v>195</v>
          </cell>
        </row>
        <row r="19">
          <cell r="B19" t="str">
            <v>Supra</v>
          </cell>
          <cell r="C19">
            <v>20</v>
          </cell>
          <cell r="D19">
            <v>42</v>
          </cell>
          <cell r="E19">
            <v>64</v>
          </cell>
          <cell r="F19">
            <v>86</v>
          </cell>
          <cell r="G19">
            <v>108</v>
          </cell>
          <cell r="H19">
            <v>130</v>
          </cell>
          <cell r="I19">
            <v>152</v>
          </cell>
          <cell r="J19">
            <v>174</v>
          </cell>
          <cell r="K19">
            <v>196</v>
          </cell>
        </row>
        <row r="20">
          <cell r="B20" t="str">
            <v>Malaysia</v>
          </cell>
          <cell r="C20">
            <v>21</v>
          </cell>
          <cell r="D20">
            <v>43</v>
          </cell>
          <cell r="E20">
            <v>65</v>
          </cell>
          <cell r="F20">
            <v>87</v>
          </cell>
          <cell r="G20">
            <v>109</v>
          </cell>
          <cell r="H20">
            <v>131</v>
          </cell>
          <cell r="I20">
            <v>153</v>
          </cell>
          <cell r="J20">
            <v>175</v>
          </cell>
          <cell r="K20">
            <v>197</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 val="VA-curr"/>
      <sheetName val="VA-cons"/>
      <sheetName val="VA_CONSTANT"/>
      <sheetName val="ref"/>
      <sheetName val="Tbl1_Msia"/>
      <sheetName val="Tbl3_05"/>
      <sheetName val="Tbl5_06"/>
      <sheetName val="Tbl7_06"/>
      <sheetName val="Tbl8_07"/>
      <sheetName val="Tbl10_07"/>
      <sheetName val="Tbl11_08"/>
      <sheetName val="Tbl13_08"/>
      <sheetName val="Tbl14_09"/>
      <sheetName val="Tbl16_09"/>
      <sheetName val="Tbl17_10"/>
      <sheetName val="Tbl19_10"/>
      <sheetName val="Tbl20_11"/>
      <sheetName val="Tbl22_11"/>
      <sheetName val="Tbl23_12"/>
      <sheetName val="Tbl25_12"/>
      <sheetName val="Tbl26_13"/>
      <sheetName val="Tbl28_13"/>
      <sheetName val="Tbl29_Curr&amp;perCapita"/>
      <sheetName val="JHR"/>
      <sheetName val="KDH"/>
      <sheetName val="KLTN"/>
      <sheetName val="MLK"/>
      <sheetName val="N9"/>
      <sheetName val="PHG"/>
      <sheetName val="PP"/>
      <sheetName val="PRK"/>
      <sheetName val="PRLS"/>
      <sheetName val="SLGR"/>
      <sheetName val="TRGN"/>
      <sheetName val="SBH"/>
      <sheetName val="SRWK"/>
      <sheetName val="WPKL"/>
      <sheetName val="WPL"/>
      <sheetName val="Sheet2"/>
      <sheetName val="Sheet3"/>
      <sheetName val="Sheet6"/>
      <sheetName val="Sheet4"/>
      <sheetName val="Sheet4 (2)"/>
      <sheetName val="Sheet5"/>
      <sheetName val="Sheet7"/>
      <sheetName val="4.9"/>
      <sheetName val="4.8"/>
      <sheetName val="Index Page"/>
    </sheetNames>
    <sheetDataSet>
      <sheetData sheetId="0"/>
      <sheetData sheetId="1"/>
      <sheetData sheetId="2"/>
      <sheetData sheetId="3">
        <row r="1">
          <cell r="C1" t="str">
            <v>agri</v>
          </cell>
        </row>
      </sheetData>
      <sheetData sheetId="4">
        <row r="3">
          <cell r="B3" t="str">
            <v>row</v>
          </cell>
          <cell r="C3" t="str">
            <v>2005f</v>
          </cell>
          <cell r="D3" t="str">
            <v>2006f</v>
          </cell>
          <cell r="E3" t="str">
            <v>2007f</v>
          </cell>
          <cell r="F3" t="str">
            <v>2008f</v>
          </cell>
          <cell r="G3" t="str">
            <v>2009f</v>
          </cell>
          <cell r="H3" t="str">
            <v>2010f</v>
          </cell>
          <cell r="I3" t="str">
            <v>2011f</v>
          </cell>
          <cell r="J3" t="str">
            <v>2012e</v>
          </cell>
          <cell r="K3" t="str">
            <v>2013p</v>
          </cell>
        </row>
        <row r="4">
          <cell r="B4" t="str">
            <v>Johor</v>
          </cell>
          <cell r="C4">
            <v>5</v>
          </cell>
          <cell r="D4">
            <v>27</v>
          </cell>
          <cell r="E4">
            <v>49</v>
          </cell>
          <cell r="F4">
            <v>71</v>
          </cell>
          <cell r="G4">
            <v>93</v>
          </cell>
          <cell r="H4">
            <v>115</v>
          </cell>
          <cell r="I4">
            <v>137</v>
          </cell>
          <cell r="J4">
            <v>159</v>
          </cell>
          <cell r="K4">
            <v>181</v>
          </cell>
        </row>
        <row r="5">
          <cell r="B5" t="str">
            <v>Kedah</v>
          </cell>
          <cell r="C5">
            <v>6</v>
          </cell>
          <cell r="D5">
            <v>28</v>
          </cell>
          <cell r="E5">
            <v>50</v>
          </cell>
          <cell r="F5">
            <v>72</v>
          </cell>
          <cell r="G5">
            <v>94</v>
          </cell>
          <cell r="H5">
            <v>116</v>
          </cell>
          <cell r="I5">
            <v>138</v>
          </cell>
          <cell r="J5">
            <v>160</v>
          </cell>
          <cell r="K5">
            <v>182</v>
          </cell>
        </row>
        <row r="6">
          <cell r="B6" t="str">
            <v>Kelantan</v>
          </cell>
          <cell r="C6">
            <v>7</v>
          </cell>
          <cell r="D6">
            <v>29</v>
          </cell>
          <cell r="E6">
            <v>51</v>
          </cell>
          <cell r="F6">
            <v>73</v>
          </cell>
          <cell r="G6">
            <v>95</v>
          </cell>
          <cell r="H6">
            <v>117</v>
          </cell>
          <cell r="I6">
            <v>139</v>
          </cell>
          <cell r="J6">
            <v>161</v>
          </cell>
          <cell r="K6">
            <v>183</v>
          </cell>
        </row>
        <row r="7">
          <cell r="B7" t="str">
            <v>Melaka</v>
          </cell>
          <cell r="C7">
            <v>8</v>
          </cell>
          <cell r="D7">
            <v>30</v>
          </cell>
          <cell r="E7">
            <v>52</v>
          </cell>
          <cell r="F7">
            <v>74</v>
          </cell>
          <cell r="G7">
            <v>96</v>
          </cell>
          <cell r="H7">
            <v>118</v>
          </cell>
          <cell r="I7">
            <v>140</v>
          </cell>
          <cell r="J7">
            <v>162</v>
          </cell>
          <cell r="K7">
            <v>184</v>
          </cell>
        </row>
        <row r="8">
          <cell r="B8" t="str">
            <v>Negeri Sembilan</v>
          </cell>
          <cell r="C8">
            <v>9</v>
          </cell>
          <cell r="D8">
            <v>31</v>
          </cell>
          <cell r="E8">
            <v>53</v>
          </cell>
          <cell r="F8">
            <v>75</v>
          </cell>
          <cell r="G8">
            <v>97</v>
          </cell>
          <cell r="H8">
            <v>119</v>
          </cell>
          <cell r="I8">
            <v>141</v>
          </cell>
          <cell r="J8">
            <v>163</v>
          </cell>
          <cell r="K8">
            <v>185</v>
          </cell>
        </row>
        <row r="9">
          <cell r="B9" t="str">
            <v>Pahang</v>
          </cell>
          <cell r="C9">
            <v>10</v>
          </cell>
          <cell r="D9">
            <v>32</v>
          </cell>
          <cell r="E9">
            <v>54</v>
          </cell>
          <cell r="F9">
            <v>76</v>
          </cell>
          <cell r="G9">
            <v>98</v>
          </cell>
          <cell r="H9">
            <v>120</v>
          </cell>
          <cell r="I9">
            <v>142</v>
          </cell>
          <cell r="J9">
            <v>164</v>
          </cell>
          <cell r="K9">
            <v>186</v>
          </cell>
        </row>
        <row r="10">
          <cell r="B10" t="str">
            <v>Pulau Pinang</v>
          </cell>
          <cell r="C10">
            <v>11</v>
          </cell>
          <cell r="D10">
            <v>33</v>
          </cell>
          <cell r="E10">
            <v>55</v>
          </cell>
          <cell r="F10">
            <v>77</v>
          </cell>
          <cell r="G10">
            <v>99</v>
          </cell>
          <cell r="H10">
            <v>121</v>
          </cell>
          <cell r="I10">
            <v>143</v>
          </cell>
          <cell r="J10">
            <v>165</v>
          </cell>
          <cell r="K10">
            <v>187</v>
          </cell>
        </row>
        <row r="11">
          <cell r="B11" t="str">
            <v>Perak</v>
          </cell>
          <cell r="C11">
            <v>12</v>
          </cell>
          <cell r="D11">
            <v>34</v>
          </cell>
          <cell r="E11">
            <v>56</v>
          </cell>
          <cell r="F11">
            <v>78</v>
          </cell>
          <cell r="G11">
            <v>100</v>
          </cell>
          <cell r="H11">
            <v>122</v>
          </cell>
          <cell r="I11">
            <v>144</v>
          </cell>
          <cell r="J11">
            <v>166</v>
          </cell>
          <cell r="K11">
            <v>188</v>
          </cell>
        </row>
        <row r="12">
          <cell r="B12" t="str">
            <v>Perlis</v>
          </cell>
          <cell r="C12">
            <v>13</v>
          </cell>
          <cell r="D12">
            <v>35</v>
          </cell>
          <cell r="E12">
            <v>57</v>
          </cell>
          <cell r="F12">
            <v>79</v>
          </cell>
          <cell r="G12">
            <v>101</v>
          </cell>
          <cell r="H12">
            <v>123</v>
          </cell>
          <cell r="I12">
            <v>145</v>
          </cell>
          <cell r="J12">
            <v>167</v>
          </cell>
          <cell r="K12">
            <v>189</v>
          </cell>
        </row>
        <row r="13">
          <cell r="B13" t="str">
            <v>Selangor</v>
          </cell>
          <cell r="C13">
            <v>14</v>
          </cell>
          <cell r="D13">
            <v>36</v>
          </cell>
          <cell r="E13">
            <v>58</v>
          </cell>
          <cell r="F13">
            <v>80</v>
          </cell>
          <cell r="G13">
            <v>102</v>
          </cell>
          <cell r="H13">
            <v>124</v>
          </cell>
          <cell r="I13">
            <v>146</v>
          </cell>
          <cell r="J13">
            <v>168</v>
          </cell>
          <cell r="K13">
            <v>190</v>
          </cell>
        </row>
        <row r="14">
          <cell r="B14" t="str">
            <v>Terengganu</v>
          </cell>
          <cell r="C14">
            <v>15</v>
          </cell>
          <cell r="D14">
            <v>37</v>
          </cell>
          <cell r="E14">
            <v>59</v>
          </cell>
          <cell r="F14">
            <v>81</v>
          </cell>
          <cell r="G14">
            <v>103</v>
          </cell>
          <cell r="H14">
            <v>125</v>
          </cell>
          <cell r="I14">
            <v>147</v>
          </cell>
          <cell r="J14">
            <v>169</v>
          </cell>
          <cell r="K14">
            <v>191</v>
          </cell>
        </row>
        <row r="15">
          <cell r="B15" t="str">
            <v>Sabah</v>
          </cell>
          <cell r="C15">
            <v>16</v>
          </cell>
          <cell r="D15">
            <v>38</v>
          </cell>
          <cell r="E15">
            <v>60</v>
          </cell>
          <cell r="F15">
            <v>82</v>
          </cell>
          <cell r="G15">
            <v>104</v>
          </cell>
          <cell r="H15">
            <v>126</v>
          </cell>
          <cell r="I15">
            <v>148</v>
          </cell>
          <cell r="J15">
            <v>170</v>
          </cell>
          <cell r="K15">
            <v>192</v>
          </cell>
        </row>
        <row r="16">
          <cell r="B16" t="str">
            <v>Sarawak</v>
          </cell>
          <cell r="C16">
            <v>17</v>
          </cell>
          <cell r="D16">
            <v>39</v>
          </cell>
          <cell r="E16">
            <v>61</v>
          </cell>
          <cell r="F16">
            <v>83</v>
          </cell>
          <cell r="G16">
            <v>105</v>
          </cell>
          <cell r="H16">
            <v>127</v>
          </cell>
          <cell r="I16">
            <v>149</v>
          </cell>
          <cell r="J16">
            <v>171</v>
          </cell>
          <cell r="K16">
            <v>193</v>
          </cell>
        </row>
        <row r="17">
          <cell r="B17" t="str">
            <v>WP Kuala Lumpur</v>
          </cell>
          <cell r="C17">
            <v>18</v>
          </cell>
          <cell r="D17">
            <v>40</v>
          </cell>
          <cell r="E17">
            <v>62</v>
          </cell>
          <cell r="F17">
            <v>84</v>
          </cell>
          <cell r="G17">
            <v>106</v>
          </cell>
          <cell r="H17">
            <v>128</v>
          </cell>
          <cell r="I17">
            <v>150</v>
          </cell>
          <cell r="J17">
            <v>172</v>
          </cell>
          <cell r="K17">
            <v>194</v>
          </cell>
        </row>
        <row r="18">
          <cell r="B18" t="str">
            <v>WP Labuan</v>
          </cell>
          <cell r="C18">
            <v>19</v>
          </cell>
          <cell r="D18">
            <v>41</v>
          </cell>
          <cell r="E18">
            <v>63</v>
          </cell>
          <cell r="F18">
            <v>85</v>
          </cell>
          <cell r="G18">
            <v>107</v>
          </cell>
          <cell r="H18">
            <v>129</v>
          </cell>
          <cell r="I18">
            <v>151</v>
          </cell>
          <cell r="J18">
            <v>173</v>
          </cell>
          <cell r="K18">
            <v>195</v>
          </cell>
        </row>
        <row r="19">
          <cell r="B19" t="str">
            <v>Supra</v>
          </cell>
          <cell r="C19">
            <v>20</v>
          </cell>
          <cell r="D19">
            <v>42</v>
          </cell>
          <cell r="E19">
            <v>64</v>
          </cell>
          <cell r="F19">
            <v>86</v>
          </cell>
          <cell r="G19">
            <v>108</v>
          </cell>
          <cell r="H19">
            <v>130</v>
          </cell>
          <cell r="I19">
            <v>152</v>
          </cell>
          <cell r="J19">
            <v>174</v>
          </cell>
          <cell r="K19">
            <v>196</v>
          </cell>
        </row>
        <row r="20">
          <cell r="B20" t="str">
            <v>Malaysia</v>
          </cell>
          <cell r="C20">
            <v>21</v>
          </cell>
          <cell r="D20">
            <v>43</v>
          </cell>
          <cell r="E20">
            <v>65</v>
          </cell>
          <cell r="F20">
            <v>87</v>
          </cell>
          <cell r="G20">
            <v>109</v>
          </cell>
          <cell r="H20">
            <v>131</v>
          </cell>
          <cell r="I20">
            <v>153</v>
          </cell>
          <cell r="J20">
            <v>175</v>
          </cell>
          <cell r="K20">
            <v>197</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5.10Johor"/>
      <sheetName val="5.10Kedah"/>
      <sheetName val="5.10Kelantan"/>
      <sheetName val="5.10Melaka"/>
      <sheetName val="5.10N.s"/>
      <sheetName val="5.10Pahang"/>
      <sheetName val="5.10Perak"/>
      <sheetName val="5.10Perlis,P.P"/>
      <sheetName val="5.10Sabah"/>
      <sheetName val="5.10Sabah(samb)"/>
      <sheetName val="5.10Sarawak"/>
      <sheetName val="5.10Sarawak(samb)"/>
      <sheetName val="5.10Selangor"/>
      <sheetName val="5.10T'ganu"/>
      <sheetName val="5.11"/>
      <sheetName val="Sheet1"/>
      <sheetName val="4.9"/>
      <sheetName val="Sheet2"/>
      <sheetName val="4.8"/>
      <sheetName val="ref"/>
      <sheetName val="JAD_A5"/>
      <sheetName val="Contro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5.10Johor"/>
      <sheetName val="5.10Kedah"/>
      <sheetName val="5.10Kelantan"/>
      <sheetName val="5.10Melaka"/>
      <sheetName val="5.10N.s"/>
      <sheetName val="5.10Pahang"/>
      <sheetName val="5.10Perak"/>
      <sheetName val="5.10Perlis,P.P"/>
      <sheetName val="5.10Sabah"/>
      <sheetName val="5.10Sabah(samb)"/>
      <sheetName val="5.10Sarawak"/>
      <sheetName val="5.10Sarawak(samb)"/>
      <sheetName val="5.10Selangor"/>
      <sheetName val="5.10T'ganu"/>
      <sheetName val="5.11"/>
      <sheetName val="Sheet1"/>
      <sheetName val="4.9"/>
      <sheetName val="Sheet2"/>
      <sheetName val="4.8"/>
      <sheetName val="ref"/>
      <sheetName val="JAD_A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72C57-4A50-49D4-9597-C4B9131AA1FF}">
  <sheetPr codeName="Sheet27">
    <pageSetUpPr fitToPage="1"/>
  </sheetPr>
  <dimension ref="A1:M57"/>
  <sheetViews>
    <sheetView tabSelected="1" view="pageBreakPreview" zoomScaleNormal="70" zoomScaleSheetLayoutView="100" workbookViewId="0">
      <selection activeCell="D60" sqref="D60"/>
    </sheetView>
  </sheetViews>
  <sheetFormatPr baseColWidth="10" defaultColWidth="8.83203125" defaultRowHeight="15"/>
  <cols>
    <col min="1" max="1" width="3.5" customWidth="1"/>
    <col min="3" max="3" width="21.5" customWidth="1"/>
    <col min="4" max="4" width="60.33203125" customWidth="1"/>
    <col min="5" max="5" width="14.5" customWidth="1"/>
    <col min="6" max="6" width="15.5" customWidth="1"/>
    <col min="7" max="7" width="15.33203125" customWidth="1"/>
  </cols>
  <sheetData>
    <row r="1" spans="1:8" s="1" customFormat="1" ht="8.25" customHeight="1"/>
    <row r="2" spans="1:8" s="1" customFormat="1" ht="8.25" customHeight="1">
      <c r="C2" s="1" t="s">
        <v>1133</v>
      </c>
    </row>
    <row r="3" spans="1:8" s="1" customFormat="1" ht="16.5" customHeight="1">
      <c r="A3"/>
      <c r="B3" s="2" t="s">
        <v>0</v>
      </c>
      <c r="C3" s="3" t="s">
        <v>1134</v>
      </c>
      <c r="D3"/>
      <c r="E3"/>
      <c r="F3" s="4"/>
      <c r="G3"/>
      <c r="H3"/>
    </row>
    <row r="4" spans="1:8" s="1" customFormat="1" ht="16.5" customHeight="1">
      <c r="A4"/>
      <c r="B4" s="5" t="s">
        <v>1</v>
      </c>
      <c r="C4" s="6" t="s">
        <v>2</v>
      </c>
      <c r="D4" s="7"/>
      <c r="E4" s="8"/>
      <c r="F4" s="4"/>
      <c r="G4"/>
      <c r="H4"/>
    </row>
    <row r="5" spans="1:8" s="1" customFormat="1" ht="13.25" customHeight="1" thickBot="1">
      <c r="A5" s="9"/>
      <c r="B5" s="1272"/>
      <c r="C5" s="1272"/>
      <c r="D5" s="1272"/>
      <c r="E5" s="1272"/>
      <c r="F5" s="1272"/>
      <c r="G5"/>
      <c r="H5"/>
    </row>
    <row r="6" spans="1:8" s="12" customFormat="1" ht="51.5" customHeight="1" thickBot="1">
      <c r="A6" s="10"/>
      <c r="B6" s="1273" t="s">
        <v>3</v>
      </c>
      <c r="C6" s="1273"/>
      <c r="D6" s="1273"/>
      <c r="E6" s="11">
        <v>2022</v>
      </c>
      <c r="F6" s="11">
        <v>2023</v>
      </c>
      <c r="G6" s="11">
        <v>2024</v>
      </c>
    </row>
    <row r="7" spans="1:8" s="12" customFormat="1" ht="20" customHeight="1">
      <c r="A7" s="13"/>
      <c r="B7" s="1274" t="s">
        <v>4</v>
      </c>
      <c r="C7" s="1274"/>
      <c r="D7" s="1274"/>
      <c r="E7" s="14"/>
      <c r="F7" s="14"/>
    </row>
    <row r="8" spans="1:8" s="12" customFormat="1" ht="20" customHeight="1">
      <c r="A8" s="13"/>
      <c r="B8" s="1275" t="s">
        <v>5</v>
      </c>
      <c r="C8" s="1275"/>
      <c r="D8" s="1275"/>
      <c r="E8" s="14"/>
      <c r="F8" s="14"/>
    </row>
    <row r="9" spans="1:8" s="16" customFormat="1" ht="15.25" customHeight="1">
      <c r="B9" s="1270"/>
      <c r="C9" s="1270"/>
      <c r="D9" s="1270"/>
      <c r="E9" s="1270"/>
      <c r="F9" s="1270"/>
    </row>
    <row r="10" spans="1:8" s="16" customFormat="1" ht="31.25" customHeight="1">
      <c r="B10" s="1271" t="s">
        <v>6</v>
      </c>
      <c r="C10" s="1271"/>
      <c r="D10" s="1271"/>
      <c r="E10" s="19" t="s">
        <v>28</v>
      </c>
      <c r="F10" s="19" t="s">
        <v>28</v>
      </c>
      <c r="G10" s="19">
        <v>1544214</v>
      </c>
    </row>
    <row r="11" spans="1:8" s="16" customFormat="1" ht="20.25" customHeight="1">
      <c r="B11" s="1260" t="s">
        <v>7</v>
      </c>
      <c r="C11" s="1260"/>
      <c r="D11" s="1260"/>
      <c r="E11" s="20" t="s">
        <v>28</v>
      </c>
      <c r="F11" s="20" t="s">
        <v>28</v>
      </c>
      <c r="G11" s="20">
        <v>148449</v>
      </c>
    </row>
    <row r="12" spans="1:8" s="16" customFormat="1" ht="20.25" customHeight="1">
      <c r="B12" s="1260" t="s">
        <v>8</v>
      </c>
      <c r="C12" s="1260"/>
      <c r="D12" s="1260"/>
      <c r="E12" s="20" t="s">
        <v>28</v>
      </c>
      <c r="F12" s="20" t="s">
        <v>28</v>
      </c>
      <c r="G12" s="20">
        <v>122801</v>
      </c>
    </row>
    <row r="13" spans="1:8" s="16" customFormat="1" ht="20.25" customHeight="1">
      <c r="B13" s="1260" t="s">
        <v>9</v>
      </c>
      <c r="C13" s="1260"/>
      <c r="D13" s="1260"/>
      <c r="E13" s="20" t="s">
        <v>28</v>
      </c>
      <c r="F13" s="20" t="s">
        <v>28</v>
      </c>
      <c r="G13" s="20">
        <v>362757</v>
      </c>
    </row>
    <row r="14" spans="1:8" s="16" customFormat="1" ht="20.25" customHeight="1">
      <c r="B14" s="1260" t="s">
        <v>10</v>
      </c>
      <c r="C14" s="1260"/>
      <c r="D14" s="1260"/>
      <c r="E14" s="20" t="s">
        <v>28</v>
      </c>
      <c r="F14" s="20" t="s">
        <v>28</v>
      </c>
      <c r="G14" s="20">
        <v>55538</v>
      </c>
    </row>
    <row r="15" spans="1:8" s="16" customFormat="1" ht="20.25" customHeight="1">
      <c r="B15" s="1260" t="s">
        <v>11</v>
      </c>
      <c r="C15" s="1260"/>
      <c r="D15" s="1260"/>
      <c r="E15" s="20" t="s">
        <v>28</v>
      </c>
      <c r="F15" s="20" t="s">
        <v>28</v>
      </c>
      <c r="G15" s="20">
        <v>837586</v>
      </c>
    </row>
    <row r="16" spans="1:8" s="16" customFormat="1" ht="20.25" customHeight="1">
      <c r="B16" s="1260" t="s">
        <v>12</v>
      </c>
      <c r="C16" s="1260"/>
      <c r="D16" s="1260"/>
      <c r="E16" s="20" t="s">
        <v>28</v>
      </c>
      <c r="F16" s="20" t="s">
        <v>28</v>
      </c>
      <c r="G16" s="20">
        <v>17084</v>
      </c>
    </row>
    <row r="17" spans="2:8" s="16" customFormat="1" ht="15.25" customHeight="1">
      <c r="C17" s="21"/>
      <c r="D17" s="22"/>
      <c r="E17" s="23"/>
      <c r="F17" s="24"/>
      <c r="G17" s="23"/>
    </row>
    <row r="18" spans="2:8" s="16" customFormat="1" ht="20" customHeight="1">
      <c r="B18" s="1267" t="s">
        <v>13</v>
      </c>
      <c r="C18" s="1267"/>
      <c r="D18" s="1267"/>
      <c r="E18" s="1268"/>
      <c r="F18" s="1268"/>
      <c r="G18" s="23"/>
    </row>
    <row r="19" spans="2:8" s="16" customFormat="1" ht="20" customHeight="1">
      <c r="B19" s="1263" t="s">
        <v>14</v>
      </c>
      <c r="C19" s="1263"/>
      <c r="D19" s="1263"/>
      <c r="E19" s="1269"/>
      <c r="F19" s="1269"/>
      <c r="G19" s="23"/>
      <c r="H19" s="25"/>
    </row>
    <row r="20" spans="2:8" s="16" customFormat="1" ht="15.75" customHeight="1">
      <c r="B20" s="1270"/>
      <c r="C20" s="1270"/>
      <c r="D20" s="1270"/>
      <c r="E20" s="1270"/>
      <c r="F20" s="1270"/>
    </row>
    <row r="21" spans="2:8" s="16" customFormat="1" ht="27.25" customHeight="1">
      <c r="B21" s="1271" t="s">
        <v>6</v>
      </c>
      <c r="C21" s="1271"/>
      <c r="D21" s="1271"/>
      <c r="E21" s="26" t="s">
        <v>28</v>
      </c>
      <c r="F21" s="26" t="s">
        <v>28</v>
      </c>
      <c r="G21" s="26">
        <v>9</v>
      </c>
    </row>
    <row r="22" spans="2:8" s="16" customFormat="1" ht="20.25" customHeight="1">
      <c r="B22" s="1260" t="s">
        <v>7</v>
      </c>
      <c r="C22" s="1260"/>
      <c r="D22" s="1260"/>
      <c r="E22" s="27" t="s">
        <v>28</v>
      </c>
      <c r="F22" s="27" t="s">
        <v>28</v>
      </c>
      <c r="G22" s="27">
        <v>27.9</v>
      </c>
    </row>
    <row r="23" spans="2:8" s="16" customFormat="1" ht="20.25" customHeight="1">
      <c r="B23" s="1260" t="s">
        <v>8</v>
      </c>
      <c r="C23" s="1260"/>
      <c r="D23" s="1260"/>
      <c r="E23" s="27" t="s">
        <v>28</v>
      </c>
      <c r="F23" s="27" t="s">
        <v>28</v>
      </c>
      <c r="G23" s="27">
        <v>28.8</v>
      </c>
    </row>
    <row r="24" spans="2:8" s="16" customFormat="1" ht="20.25" customHeight="1">
      <c r="B24" s="1260" t="s">
        <v>9</v>
      </c>
      <c r="C24" s="1260"/>
      <c r="D24" s="1260"/>
      <c r="E24" s="27" t="s">
        <v>28</v>
      </c>
      <c r="F24" s="27" t="s">
        <v>28</v>
      </c>
      <c r="G24" s="27">
        <v>14.9</v>
      </c>
    </row>
    <row r="25" spans="2:8" s="16" customFormat="1" ht="20.25" customHeight="1">
      <c r="B25" s="1260" t="s">
        <v>10</v>
      </c>
      <c r="C25" s="1260"/>
      <c r="D25" s="1260"/>
      <c r="E25" s="27" t="s">
        <v>28</v>
      </c>
      <c r="F25" s="27" t="s">
        <v>28</v>
      </c>
      <c r="G25" s="27">
        <v>-3.5</v>
      </c>
    </row>
    <row r="26" spans="2:8" s="16" customFormat="1" ht="20.25" customHeight="1">
      <c r="B26" s="1260" t="s">
        <v>11</v>
      </c>
      <c r="C26" s="1260"/>
      <c r="D26" s="1260"/>
      <c r="E26" s="27" t="s">
        <v>28</v>
      </c>
      <c r="F26" s="27" t="s">
        <v>28</v>
      </c>
      <c r="G26" s="27">
        <v>2.6</v>
      </c>
    </row>
    <row r="27" spans="2:8" s="16" customFormat="1" ht="20.25" customHeight="1">
      <c r="B27" s="1260" t="s">
        <v>12</v>
      </c>
      <c r="C27" s="1260"/>
      <c r="D27" s="1260"/>
      <c r="E27" s="27" t="s">
        <v>28</v>
      </c>
      <c r="F27" s="27" t="s">
        <v>28</v>
      </c>
      <c r="G27" s="27">
        <v>8.4</v>
      </c>
    </row>
    <row r="28" spans="2:8" s="16" customFormat="1" ht="15.25" customHeight="1">
      <c r="B28" s="28"/>
      <c r="C28" s="29"/>
      <c r="D28" s="30"/>
      <c r="E28" s="30"/>
      <c r="F28" s="30"/>
      <c r="H28" s="25"/>
    </row>
    <row r="29" spans="2:8" s="12" customFormat="1" ht="14.75" customHeight="1">
      <c r="B29" s="31" t="s">
        <v>15</v>
      </c>
      <c r="C29" s="32"/>
      <c r="D29" s="33"/>
      <c r="E29" s="1265"/>
      <c r="F29" s="1265"/>
    </row>
    <row r="30" spans="2:8" s="12" customFormat="1" ht="14.75" customHeight="1">
      <c r="B30" s="34" t="s">
        <v>16</v>
      </c>
      <c r="C30" s="33"/>
      <c r="D30" s="35" t="s">
        <v>28</v>
      </c>
      <c r="E30" s="1266" t="s">
        <v>28</v>
      </c>
      <c r="F30" s="1266"/>
      <c r="H30" s="36"/>
    </row>
    <row r="31" spans="2:8" s="16" customFormat="1" ht="17.25" customHeight="1">
      <c r="C31" s="37"/>
      <c r="D31" s="37"/>
      <c r="E31" s="37"/>
      <c r="F31" s="17"/>
    </row>
    <row r="32" spans="2:8" s="16" customFormat="1" ht="27.25" customHeight="1">
      <c r="B32" s="1264" t="s">
        <v>17</v>
      </c>
      <c r="C32" s="1264"/>
      <c r="D32" s="1264"/>
      <c r="E32" s="19" t="s">
        <v>28</v>
      </c>
      <c r="F32" s="19" t="s">
        <v>28</v>
      </c>
      <c r="G32" s="19">
        <v>1544214</v>
      </c>
    </row>
    <row r="33" spans="2:7" s="16" customFormat="1" ht="27.25" customHeight="1">
      <c r="B33" s="1260" t="s">
        <v>18</v>
      </c>
      <c r="C33" s="1260"/>
      <c r="D33" s="1260"/>
      <c r="E33" s="38">
        <v>904158</v>
      </c>
      <c r="F33" s="38">
        <v>861758</v>
      </c>
      <c r="G33" s="38">
        <v>893627</v>
      </c>
    </row>
    <row r="34" spans="2:7" s="16" customFormat="1" ht="27.25" customHeight="1">
      <c r="B34" s="1261" t="s">
        <v>19</v>
      </c>
      <c r="C34" s="1261"/>
      <c r="D34" s="1261"/>
      <c r="E34" s="38" t="s">
        <v>28</v>
      </c>
      <c r="F34" s="38" t="s">
        <v>28</v>
      </c>
      <c r="G34" s="38">
        <v>197525</v>
      </c>
    </row>
    <row r="35" spans="2:7" s="16" customFormat="1" ht="27.25" customHeight="1">
      <c r="B35" s="1261" t="s">
        <v>20</v>
      </c>
      <c r="C35" s="1261"/>
      <c r="D35" s="1261"/>
      <c r="E35" s="38" t="s">
        <v>28</v>
      </c>
      <c r="F35" s="38" t="s">
        <v>28</v>
      </c>
      <c r="G35" s="38">
        <v>297916</v>
      </c>
    </row>
    <row r="36" spans="2:7" s="16" customFormat="1" ht="27.25" customHeight="1">
      <c r="B36" s="1261" t="s">
        <v>21</v>
      </c>
      <c r="C36" s="1261"/>
      <c r="D36" s="1261"/>
      <c r="E36" s="38" t="s">
        <v>28</v>
      </c>
      <c r="F36" s="38" t="s">
        <v>28</v>
      </c>
      <c r="G36" s="38">
        <v>45995</v>
      </c>
    </row>
    <row r="37" spans="2:7" s="16" customFormat="1" ht="27.25" customHeight="1">
      <c r="B37" s="1261" t="s">
        <v>22</v>
      </c>
      <c r="C37" s="1261"/>
      <c r="D37" s="1261"/>
      <c r="E37" s="38" t="s">
        <v>28</v>
      </c>
      <c r="F37" s="38" t="s">
        <v>28</v>
      </c>
      <c r="G37" s="38">
        <v>1063934</v>
      </c>
    </row>
    <row r="38" spans="2:7" s="16" customFormat="1" ht="27.25" customHeight="1">
      <c r="B38" s="1261" t="s">
        <v>23</v>
      </c>
      <c r="C38" s="1261"/>
      <c r="D38" s="1261"/>
      <c r="E38" s="38">
        <v>873618</v>
      </c>
      <c r="F38" s="38">
        <v>779011</v>
      </c>
      <c r="G38" s="38">
        <v>954783</v>
      </c>
    </row>
    <row r="39" spans="2:7" s="16" customFormat="1" ht="17.75" customHeight="1">
      <c r="B39" s="39"/>
      <c r="C39" s="29"/>
      <c r="D39" s="30"/>
      <c r="E39" s="30"/>
      <c r="F39" s="30"/>
    </row>
    <row r="40" spans="2:7" s="16" customFormat="1" ht="27.75" customHeight="1">
      <c r="B40" s="1262" t="s">
        <v>24</v>
      </c>
      <c r="C40" s="1262"/>
      <c r="D40" s="1262"/>
      <c r="E40" s="30"/>
      <c r="F40" s="30"/>
    </row>
    <row r="41" spans="2:7" s="16" customFormat="1" ht="27.75" customHeight="1">
      <c r="B41" s="1263" t="s">
        <v>25</v>
      </c>
      <c r="C41" s="1263"/>
      <c r="D41" s="1263"/>
      <c r="E41" s="30"/>
      <c r="F41" s="30"/>
    </row>
    <row r="42" spans="2:7" s="16" customFormat="1" ht="12.75" customHeight="1">
      <c r="C42" s="8"/>
      <c r="D42" s="8"/>
      <c r="E42" s="37"/>
      <c r="F42" s="40"/>
    </row>
    <row r="43" spans="2:7" s="16" customFormat="1" ht="27.25" customHeight="1">
      <c r="B43" s="1264" t="s">
        <v>26</v>
      </c>
      <c r="C43" s="1264"/>
      <c r="D43" s="1264"/>
      <c r="E43" s="26">
        <v>4.5</v>
      </c>
      <c r="F43" s="26">
        <v>-6.4</v>
      </c>
      <c r="G43" s="26">
        <v>9</v>
      </c>
    </row>
    <row r="44" spans="2:7" s="16" customFormat="1" ht="27.25" customHeight="1">
      <c r="B44" s="1260" t="s">
        <v>18</v>
      </c>
      <c r="C44" s="1260"/>
      <c r="D44" s="1260"/>
      <c r="E44" s="27">
        <v>8.8000000000000007</v>
      </c>
      <c r="F44" s="27">
        <v>-4.7</v>
      </c>
      <c r="G44" s="27">
        <v>3.7</v>
      </c>
    </row>
    <row r="45" spans="2:7" s="16" customFormat="1" ht="27.25" customHeight="1">
      <c r="B45" s="1261" t="s">
        <v>27</v>
      </c>
      <c r="C45" s="1261"/>
      <c r="D45" s="1261"/>
      <c r="E45" s="27">
        <v>2</v>
      </c>
      <c r="F45" s="27">
        <v>4.2</v>
      </c>
      <c r="G45" s="27">
        <v>7.3</v>
      </c>
    </row>
    <row r="46" spans="2:7" s="16" customFormat="1" ht="27.25" customHeight="1">
      <c r="B46" s="1261" t="s">
        <v>20</v>
      </c>
      <c r="C46" s="1261"/>
      <c r="D46" s="1261"/>
      <c r="E46" s="27">
        <v>-1</v>
      </c>
      <c r="F46" s="27">
        <v>-14.5</v>
      </c>
      <c r="G46" s="27">
        <v>0.5</v>
      </c>
    </row>
    <row r="47" spans="2:7" s="16" customFormat="1" ht="27.25" customHeight="1">
      <c r="B47" s="1261" t="s">
        <v>21</v>
      </c>
      <c r="C47" s="1261"/>
      <c r="D47" s="1261"/>
      <c r="E47" s="27" t="s">
        <v>28</v>
      </c>
      <c r="F47" s="27" t="s">
        <v>28</v>
      </c>
      <c r="G47" s="27" t="s">
        <v>28</v>
      </c>
    </row>
    <row r="48" spans="2:7" s="16" customFormat="1" ht="27.25" customHeight="1">
      <c r="B48" s="1261" t="s">
        <v>29</v>
      </c>
      <c r="C48" s="1261"/>
      <c r="D48" s="1261"/>
      <c r="E48" s="27">
        <v>-0.5</v>
      </c>
      <c r="F48" s="27">
        <v>-11.9</v>
      </c>
      <c r="G48" s="27">
        <v>22.3</v>
      </c>
    </row>
    <row r="49" spans="1:13" s="16" customFormat="1" ht="27.25" customHeight="1">
      <c r="B49" s="1261" t="s">
        <v>30</v>
      </c>
      <c r="C49" s="1261"/>
      <c r="D49" s="1261"/>
      <c r="E49" s="27">
        <v>-2.4</v>
      </c>
      <c r="F49" s="27">
        <v>-10.8</v>
      </c>
      <c r="G49" s="27">
        <v>22.6</v>
      </c>
    </row>
    <row r="50" spans="1:13" s="42" customFormat="1" ht="8.25" customHeight="1" thickBot="1">
      <c r="A50" s="41"/>
      <c r="B50" s="41"/>
      <c r="C50" s="41"/>
      <c r="D50" s="41"/>
      <c r="E50" s="41"/>
      <c r="F50" s="41"/>
      <c r="G50" s="41"/>
      <c r="H50" s="16"/>
    </row>
    <row r="51" spans="1:13" s="42" customFormat="1" thickTop="1">
      <c r="G51" s="43" t="s">
        <v>31</v>
      </c>
      <c r="H51" s="16"/>
    </row>
    <row r="52" spans="1:13" s="42" customFormat="1" ht="14">
      <c r="G52" s="44" t="s">
        <v>32</v>
      </c>
      <c r="H52" s="16"/>
    </row>
    <row r="53" spans="1:13" s="42" customFormat="1" ht="15.25" customHeight="1">
      <c r="A53" s="45"/>
      <c r="B53" s="46" t="s">
        <v>33</v>
      </c>
      <c r="D53" s="47"/>
      <c r="E53" s="48"/>
      <c r="F53" s="49"/>
      <c r="H53" s="16"/>
      <c r="I53" s="50"/>
      <c r="J53" s="50"/>
      <c r="K53" s="50"/>
      <c r="L53" s="50"/>
      <c r="M53" s="50"/>
    </row>
    <row r="54" spans="1:13" s="42" customFormat="1" ht="15.25" customHeight="1">
      <c r="A54" s="51" t="s">
        <v>34</v>
      </c>
      <c r="B54" s="46" t="s">
        <v>35</v>
      </c>
      <c r="D54" s="47"/>
      <c r="E54" s="47"/>
      <c r="F54" s="49"/>
      <c r="I54" s="50"/>
      <c r="J54" s="50"/>
      <c r="K54" s="50"/>
      <c r="L54" s="50"/>
      <c r="M54" s="50"/>
    </row>
    <row r="55" spans="1:13" s="42" customFormat="1" ht="15.25" customHeight="1">
      <c r="A55" s="51"/>
      <c r="B55" s="52" t="s">
        <v>36</v>
      </c>
      <c r="D55" s="47"/>
      <c r="E55" s="47"/>
      <c r="F55" s="49"/>
      <c r="I55" s="50"/>
      <c r="J55" s="50"/>
      <c r="K55" s="50"/>
      <c r="L55" s="50"/>
      <c r="M55" s="50"/>
    </row>
    <row r="56" spans="1:13" s="54" customFormat="1" ht="14">
      <c r="A56" s="51" t="s">
        <v>37</v>
      </c>
      <c r="B56" s="53" t="s">
        <v>38</v>
      </c>
    </row>
    <row r="57" spans="1:13" s="54" customFormat="1" ht="14">
      <c r="B57" s="55" t="s">
        <v>39</v>
      </c>
    </row>
  </sheetData>
  <mergeCells count="42">
    <mergeCell ref="B10:D10"/>
    <mergeCell ref="B5:F5"/>
    <mergeCell ref="B6:D6"/>
    <mergeCell ref="B7:D7"/>
    <mergeCell ref="B8:D8"/>
    <mergeCell ref="B9:F9"/>
    <mergeCell ref="B21:D21"/>
    <mergeCell ref="B11:D11"/>
    <mergeCell ref="B12:D12"/>
    <mergeCell ref="B13:D13"/>
    <mergeCell ref="B14:D14"/>
    <mergeCell ref="B15:D15"/>
    <mergeCell ref="B16:D16"/>
    <mergeCell ref="B18:D18"/>
    <mergeCell ref="E18:F18"/>
    <mergeCell ref="B19:D19"/>
    <mergeCell ref="E19:F19"/>
    <mergeCell ref="B20:F20"/>
    <mergeCell ref="B35:D35"/>
    <mergeCell ref="B22:D22"/>
    <mergeCell ref="B23:D23"/>
    <mergeCell ref="B24:D24"/>
    <mergeCell ref="B25:D25"/>
    <mergeCell ref="B26:D26"/>
    <mergeCell ref="B27:D27"/>
    <mergeCell ref="E29:F29"/>
    <mergeCell ref="E30:F30"/>
    <mergeCell ref="B32:D32"/>
    <mergeCell ref="B33:D33"/>
    <mergeCell ref="B34:D34"/>
    <mergeCell ref="B49:D49"/>
    <mergeCell ref="B36:D36"/>
    <mergeCell ref="B37:D37"/>
    <mergeCell ref="B38:D38"/>
    <mergeCell ref="B40:D40"/>
    <mergeCell ref="B41:D41"/>
    <mergeCell ref="B43:D43"/>
    <mergeCell ref="B44:D44"/>
    <mergeCell ref="B45:D45"/>
    <mergeCell ref="B46:D46"/>
    <mergeCell ref="B47:D47"/>
    <mergeCell ref="B48:D48"/>
  </mergeCells>
  <conditionalFormatting sqref="C28 C39">
    <cfRule type="cellIs" dxfId="53" priority="2" stopIfTrue="1" operator="lessThan">
      <formula>0</formula>
    </cfRule>
  </conditionalFormatting>
  <conditionalFormatting sqref="C30">
    <cfRule type="cellIs" dxfId="52" priority="1" stopIfTrue="1" operator="lessThan">
      <formula>0</formula>
    </cfRule>
  </conditionalFormatting>
  <pageMargins left="0.55118110236220474" right="0.55118110236220474" top="0.55118110236220474" bottom="0.55118110236220474" header="0.31496062992125984" footer="0.31496062992125984"/>
  <pageSetup paperSize="9" scale="61"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00DBE-CB5E-4C7F-9680-F391F49E5684}">
  <sheetPr codeName="Sheet28">
    <pageSetUpPr fitToPage="1"/>
  </sheetPr>
  <dimension ref="A1:N58"/>
  <sheetViews>
    <sheetView view="pageBreakPreview" zoomScale="90" zoomScaleNormal="100" zoomScaleSheetLayoutView="90" workbookViewId="0">
      <selection activeCell="D60" sqref="D60"/>
    </sheetView>
  </sheetViews>
  <sheetFormatPr baseColWidth="10" defaultColWidth="8.83203125" defaultRowHeight="15"/>
  <cols>
    <col min="1" max="1" width="3.33203125" customWidth="1"/>
    <col min="3" max="3" width="24.6640625" customWidth="1"/>
    <col min="4" max="4" width="55.5" customWidth="1"/>
    <col min="5" max="5" width="3" customWidth="1"/>
    <col min="6" max="6" width="13.33203125" customWidth="1"/>
    <col min="7" max="7" width="14.5" customWidth="1"/>
    <col min="8" max="8" width="14.33203125" customWidth="1"/>
  </cols>
  <sheetData>
    <row r="1" spans="1:14" s="1" customFormat="1" ht="8.25" customHeight="1">
      <c r="J1" s="56"/>
      <c r="K1" s="56"/>
      <c r="L1" s="56"/>
      <c r="M1" s="56"/>
      <c r="N1" s="56"/>
    </row>
    <row r="2" spans="1:14" s="1" customFormat="1" ht="8.25" customHeight="1">
      <c r="C2" s="1" t="s">
        <v>1133</v>
      </c>
      <c r="J2" s="57"/>
      <c r="K2" s="57"/>
      <c r="L2" s="57"/>
      <c r="M2" s="57"/>
      <c r="N2" s="57"/>
    </row>
    <row r="3" spans="1:14" s="1" customFormat="1" ht="16.5" customHeight="1">
      <c r="B3" s="2" t="s">
        <v>0</v>
      </c>
      <c r="C3" s="3" t="s">
        <v>1134</v>
      </c>
      <c r="G3" s="4"/>
      <c r="J3" s="58"/>
      <c r="K3" s="58"/>
      <c r="L3" s="58"/>
      <c r="M3" s="58"/>
      <c r="N3" s="58"/>
    </row>
    <row r="4" spans="1:14" s="1" customFormat="1" ht="16.5" customHeight="1">
      <c r="B4" s="5" t="s">
        <v>1</v>
      </c>
      <c r="C4" s="6" t="s">
        <v>41</v>
      </c>
      <c r="D4" s="7"/>
      <c r="E4" s="8"/>
      <c r="F4" s="8"/>
      <c r="G4" s="4"/>
    </row>
    <row r="5" spans="1:14" s="1" customFormat="1" ht="13.25" customHeight="1" thickBot="1">
      <c r="A5" s="9"/>
      <c r="B5" s="1272"/>
      <c r="C5" s="1272"/>
      <c r="D5" s="1272"/>
      <c r="E5" s="1272"/>
      <c r="F5" s="1272"/>
      <c r="G5" s="1272"/>
      <c r="J5" s="1276"/>
      <c r="K5" s="1276"/>
      <c r="L5" s="1276"/>
      <c r="M5" s="1276"/>
      <c r="N5" s="1276"/>
    </row>
    <row r="6" spans="1:14" s="12" customFormat="1" ht="43.25" customHeight="1" thickBot="1">
      <c r="A6" s="10"/>
      <c r="B6" s="1273" t="s">
        <v>3</v>
      </c>
      <c r="C6" s="1273"/>
      <c r="D6" s="1273"/>
      <c r="E6" s="11"/>
      <c r="F6" s="11">
        <v>2022</v>
      </c>
      <c r="G6" s="11">
        <v>2023</v>
      </c>
      <c r="H6" s="11">
        <v>2024</v>
      </c>
      <c r="J6" s="1277"/>
      <c r="K6" s="1277"/>
      <c r="L6" s="1277"/>
      <c r="M6" s="1277"/>
      <c r="N6" s="1277"/>
    </row>
    <row r="7" spans="1:14" s="12" customFormat="1" ht="22.5" customHeight="1">
      <c r="A7" s="13"/>
      <c r="B7" s="1280" t="s">
        <v>42</v>
      </c>
      <c r="C7" s="1280"/>
      <c r="D7" s="1280"/>
      <c r="E7" s="14"/>
      <c r="F7" s="14"/>
      <c r="G7" s="14"/>
      <c r="J7" s="59"/>
      <c r="K7" s="59"/>
      <c r="L7" s="59"/>
      <c r="M7" s="59"/>
      <c r="N7" s="59"/>
    </row>
    <row r="8" spans="1:14" s="62" customFormat="1" ht="22.5" customHeight="1">
      <c r="A8" s="60"/>
      <c r="B8" s="1281" t="s">
        <v>43</v>
      </c>
      <c r="C8" s="1281"/>
      <c r="D8" s="1281"/>
      <c r="E8" s="61"/>
      <c r="F8" s="61"/>
      <c r="G8" s="61"/>
      <c r="J8" s="63"/>
      <c r="K8" s="63"/>
      <c r="L8" s="63"/>
      <c r="M8" s="63"/>
      <c r="N8" s="63"/>
    </row>
    <row r="9" spans="1:14" s="16" customFormat="1" ht="15.25" customHeight="1">
      <c r="B9" s="1270"/>
      <c r="C9" s="1270"/>
      <c r="D9" s="1270"/>
      <c r="E9" s="1270"/>
      <c r="F9" s="1270"/>
      <c r="G9" s="1270"/>
      <c r="J9" s="64"/>
      <c r="K9" s="64"/>
      <c r="L9" s="64"/>
      <c r="M9" s="64"/>
      <c r="N9" s="64"/>
    </row>
    <row r="10" spans="1:14" s="16" customFormat="1" ht="27.25" customHeight="1">
      <c r="B10" s="1271" t="s">
        <v>6</v>
      </c>
      <c r="C10" s="1271"/>
      <c r="D10" s="1271"/>
      <c r="E10" s="19" t="s">
        <v>28</v>
      </c>
      <c r="F10" s="19" t="s">
        <v>28</v>
      </c>
      <c r="G10" s="19">
        <v>1343880</v>
      </c>
      <c r="H10" s="19">
        <v>1385978</v>
      </c>
      <c r="J10" s="64"/>
      <c r="K10" s="64"/>
      <c r="L10" s="64"/>
      <c r="M10" s="64"/>
      <c r="N10" s="64"/>
    </row>
    <row r="11" spans="1:14" s="16" customFormat="1" ht="20.25" customHeight="1">
      <c r="B11" s="1260" t="s">
        <v>7</v>
      </c>
      <c r="C11" s="1260"/>
      <c r="D11" s="1260"/>
      <c r="E11" s="65" t="s">
        <v>28</v>
      </c>
      <c r="F11" s="38" t="s">
        <v>28</v>
      </c>
      <c r="G11" s="38">
        <v>99367</v>
      </c>
      <c r="H11" s="38">
        <v>99186</v>
      </c>
      <c r="J11" s="64"/>
      <c r="K11" s="64"/>
      <c r="L11" s="64"/>
      <c r="M11" s="64"/>
      <c r="N11" s="64"/>
    </row>
    <row r="12" spans="1:14" s="16" customFormat="1" ht="20.25" customHeight="1">
      <c r="B12" s="1260" t="s">
        <v>8</v>
      </c>
      <c r="C12" s="1260"/>
      <c r="D12" s="1260"/>
      <c r="E12" s="65" t="s">
        <v>28</v>
      </c>
      <c r="F12" s="38" t="s">
        <v>28</v>
      </c>
      <c r="G12" s="38">
        <v>91993</v>
      </c>
      <c r="H12" s="38">
        <v>92654</v>
      </c>
      <c r="J12" s="64"/>
      <c r="K12" s="64"/>
      <c r="L12" s="64"/>
      <c r="M12" s="64"/>
      <c r="N12" s="64"/>
    </row>
    <row r="13" spans="1:14" s="16" customFormat="1" ht="20.25" customHeight="1">
      <c r="B13" s="1260" t="s">
        <v>9</v>
      </c>
      <c r="C13" s="1260"/>
      <c r="D13" s="1260"/>
      <c r="E13" s="65" t="s">
        <v>28</v>
      </c>
      <c r="F13" s="38" t="s">
        <v>28</v>
      </c>
      <c r="G13" s="38">
        <v>307924</v>
      </c>
      <c r="H13" s="38">
        <v>337295</v>
      </c>
      <c r="J13" s="64"/>
      <c r="K13" s="64"/>
      <c r="L13" s="64"/>
      <c r="M13" s="64"/>
      <c r="N13" s="64"/>
    </row>
    <row r="14" spans="1:14" s="16" customFormat="1" ht="20.25" customHeight="1">
      <c r="B14" s="1260" t="s">
        <v>10</v>
      </c>
      <c r="C14" s="1260"/>
      <c r="D14" s="1260"/>
      <c r="E14" s="65" t="s">
        <v>28</v>
      </c>
      <c r="F14" s="38" t="s">
        <v>28</v>
      </c>
      <c r="G14" s="38">
        <v>53556</v>
      </c>
      <c r="H14" s="38">
        <v>50767</v>
      </c>
      <c r="J14" s="56"/>
      <c r="K14" s="56"/>
      <c r="L14" s="56"/>
      <c r="M14" s="56"/>
      <c r="N14" s="56"/>
    </row>
    <row r="15" spans="1:14" s="16" customFormat="1" ht="20.25" customHeight="1">
      <c r="B15" s="1260" t="s">
        <v>11</v>
      </c>
      <c r="C15" s="1260"/>
      <c r="D15" s="1260"/>
      <c r="E15" s="65" t="s">
        <v>28</v>
      </c>
      <c r="F15" s="38" t="s">
        <v>28</v>
      </c>
      <c r="G15" s="38">
        <v>775717</v>
      </c>
      <c r="H15" s="38">
        <v>790421</v>
      </c>
      <c r="J15" s="57"/>
      <c r="K15" s="57"/>
      <c r="L15" s="57"/>
      <c r="M15" s="57"/>
      <c r="N15" s="57"/>
    </row>
    <row r="16" spans="1:14" s="16" customFormat="1" ht="20.25" customHeight="1">
      <c r="B16" s="1260" t="s">
        <v>12</v>
      </c>
      <c r="C16" s="1260"/>
      <c r="D16" s="1260"/>
      <c r="E16" s="65" t="s">
        <v>28</v>
      </c>
      <c r="F16" s="38" t="s">
        <v>28</v>
      </c>
      <c r="G16" s="38">
        <v>15324</v>
      </c>
      <c r="H16" s="38">
        <v>15656</v>
      </c>
      <c r="J16" s="58"/>
      <c r="K16" s="58"/>
      <c r="L16" s="58"/>
      <c r="M16" s="58"/>
      <c r="N16" s="58"/>
    </row>
    <row r="17" spans="2:14" s="16" customFormat="1" ht="15.25" customHeight="1">
      <c r="C17" s="21"/>
      <c r="D17" s="22"/>
      <c r="E17" s="22"/>
      <c r="F17" s="22"/>
      <c r="G17" s="66"/>
    </row>
    <row r="18" spans="2:14" s="16" customFormat="1" ht="28.25" customHeight="1">
      <c r="B18" s="1262" t="s">
        <v>44</v>
      </c>
      <c r="C18" s="1262"/>
      <c r="D18" s="1262"/>
      <c r="E18" s="1265"/>
      <c r="F18" s="1265"/>
      <c r="G18" s="1265"/>
      <c r="J18" s="1276"/>
      <c r="K18" s="1276"/>
      <c r="L18" s="1276"/>
      <c r="M18" s="1276"/>
      <c r="N18" s="1276"/>
    </row>
    <row r="19" spans="2:14" s="16" customFormat="1" ht="17.25" customHeight="1">
      <c r="B19" s="1263" t="s">
        <v>45</v>
      </c>
      <c r="C19" s="1263"/>
      <c r="D19" s="1263"/>
      <c r="E19" s="1279"/>
      <c r="F19" s="1279"/>
      <c r="G19" s="1279"/>
      <c r="I19" s="25"/>
      <c r="J19" s="1277"/>
      <c r="K19" s="1277"/>
      <c r="L19" s="1277"/>
      <c r="M19" s="1277"/>
      <c r="N19" s="1277"/>
    </row>
    <row r="20" spans="2:14" s="16" customFormat="1" ht="15.25" customHeight="1">
      <c r="B20" s="1270"/>
      <c r="C20" s="1270"/>
      <c r="D20" s="1270"/>
      <c r="E20" s="1270"/>
      <c r="F20" s="1270"/>
      <c r="G20" s="1270"/>
      <c r="J20" s="67"/>
      <c r="K20" s="67"/>
      <c r="L20" s="67"/>
      <c r="M20" s="67"/>
      <c r="N20" s="67"/>
    </row>
    <row r="21" spans="2:14" s="16" customFormat="1" ht="27.25" customHeight="1">
      <c r="B21" s="1271" t="s">
        <v>6</v>
      </c>
      <c r="C21" s="1271"/>
      <c r="D21" s="1271"/>
      <c r="E21" s="26" t="s">
        <v>28</v>
      </c>
      <c r="F21" s="26" t="s">
        <v>28</v>
      </c>
      <c r="G21" s="26">
        <v>-5.6</v>
      </c>
      <c r="H21" s="26">
        <v>3.1</v>
      </c>
      <c r="J21" s="68"/>
      <c r="K21" s="68"/>
      <c r="L21" s="68"/>
      <c r="M21" s="68"/>
      <c r="N21" s="68"/>
    </row>
    <row r="22" spans="2:14" s="16" customFormat="1" ht="20.25" customHeight="1">
      <c r="B22" s="1260" t="s">
        <v>7</v>
      </c>
      <c r="C22" s="1260"/>
      <c r="D22" s="1260"/>
      <c r="E22" s="69" t="s">
        <v>28</v>
      </c>
      <c r="F22" s="27" t="s">
        <v>28</v>
      </c>
      <c r="G22" s="27">
        <v>-2.2000000000000002</v>
      </c>
      <c r="H22" s="27">
        <v>-0.2</v>
      </c>
      <c r="J22" s="68"/>
      <c r="K22" s="68"/>
      <c r="L22" s="68"/>
      <c r="M22" s="68"/>
      <c r="N22" s="68"/>
    </row>
    <row r="23" spans="2:14" s="16" customFormat="1" ht="20.25" customHeight="1">
      <c r="B23" s="1260" t="s">
        <v>8</v>
      </c>
      <c r="C23" s="1260"/>
      <c r="D23" s="1260"/>
      <c r="E23" s="69" t="s">
        <v>28</v>
      </c>
      <c r="F23" s="27" t="s">
        <v>28</v>
      </c>
      <c r="G23" s="27">
        <v>-10.6</v>
      </c>
      <c r="H23" s="27">
        <v>0.7</v>
      </c>
      <c r="J23" s="68"/>
      <c r="K23" s="68"/>
      <c r="L23" s="68"/>
      <c r="M23" s="68"/>
      <c r="N23" s="68"/>
    </row>
    <row r="24" spans="2:14" s="16" customFormat="1" ht="20.25" customHeight="1">
      <c r="B24" s="1260" t="s">
        <v>9</v>
      </c>
      <c r="C24" s="1260"/>
      <c r="D24" s="1260"/>
      <c r="E24" s="69" t="s">
        <v>28</v>
      </c>
      <c r="F24" s="27" t="s">
        <v>28</v>
      </c>
      <c r="G24" s="27">
        <v>-2.6</v>
      </c>
      <c r="H24" s="27">
        <v>9.5</v>
      </c>
      <c r="J24" s="68"/>
      <c r="K24" s="68"/>
      <c r="L24" s="68"/>
      <c r="M24" s="68"/>
      <c r="N24" s="68"/>
    </row>
    <row r="25" spans="2:14" s="16" customFormat="1" ht="20.25" customHeight="1">
      <c r="B25" s="1260" t="s">
        <v>10</v>
      </c>
      <c r="C25" s="1260"/>
      <c r="D25" s="1260"/>
      <c r="E25" s="69" t="s">
        <v>28</v>
      </c>
      <c r="F25" s="27" t="s">
        <v>28</v>
      </c>
      <c r="G25" s="27">
        <v>-19.399999999999999</v>
      </c>
      <c r="H25" s="27">
        <v>-5.2</v>
      </c>
      <c r="J25" s="68"/>
      <c r="K25" s="68"/>
      <c r="L25" s="68"/>
      <c r="M25" s="68"/>
      <c r="N25" s="68"/>
    </row>
    <row r="26" spans="2:14" s="16" customFormat="1" ht="20.25" customHeight="1">
      <c r="B26" s="1260" t="s">
        <v>11</v>
      </c>
      <c r="C26" s="1260"/>
      <c r="D26" s="1260"/>
      <c r="E26" s="69" t="s">
        <v>28</v>
      </c>
      <c r="F26" s="27" t="s">
        <v>28</v>
      </c>
      <c r="G26" s="27">
        <v>-5.5</v>
      </c>
      <c r="H26" s="27">
        <v>1.9</v>
      </c>
      <c r="J26" s="68"/>
      <c r="K26" s="68"/>
      <c r="L26" s="68"/>
      <c r="M26" s="68"/>
      <c r="N26" s="68"/>
    </row>
    <row r="27" spans="2:14" s="16" customFormat="1" ht="20.25" customHeight="1">
      <c r="B27" s="1260" t="s">
        <v>12</v>
      </c>
      <c r="C27" s="1260"/>
      <c r="D27" s="1260"/>
      <c r="E27" s="69" t="s">
        <v>28</v>
      </c>
      <c r="F27" s="27" t="s">
        <v>28</v>
      </c>
      <c r="G27" s="27">
        <v>-5.6</v>
      </c>
      <c r="H27" s="27">
        <v>2.2000000000000002</v>
      </c>
      <c r="J27" s="57"/>
      <c r="K27" s="57"/>
      <c r="L27" s="57"/>
      <c r="M27" s="57"/>
      <c r="N27" s="57"/>
    </row>
    <row r="28" spans="2:14" s="16" customFormat="1" ht="9" customHeight="1">
      <c r="B28" s="28"/>
      <c r="C28" s="29"/>
      <c r="D28" s="30"/>
      <c r="E28" s="30"/>
      <c r="F28" s="30"/>
      <c r="G28" s="30"/>
      <c r="I28" s="25"/>
      <c r="J28" s="56"/>
      <c r="K28" s="56"/>
      <c r="L28" s="56"/>
      <c r="M28" s="56"/>
      <c r="N28" s="56"/>
    </row>
    <row r="29" spans="2:14" s="16" customFormat="1" ht="14.75" customHeight="1">
      <c r="B29" s="1267" t="s">
        <v>46</v>
      </c>
      <c r="C29" s="1267"/>
      <c r="D29" s="1267"/>
      <c r="E29" s="1265"/>
      <c r="F29" s="1265"/>
      <c r="G29" s="1265"/>
      <c r="J29" s="57"/>
      <c r="K29" s="57"/>
      <c r="L29" s="57"/>
      <c r="M29" s="57"/>
      <c r="N29" s="57"/>
    </row>
    <row r="30" spans="2:14" s="16" customFormat="1" ht="14.75" customHeight="1">
      <c r="B30" s="1278" t="s">
        <v>47</v>
      </c>
      <c r="C30" s="1278"/>
      <c r="D30" s="1278"/>
      <c r="E30" s="1279" t="s">
        <v>28</v>
      </c>
      <c r="F30" s="1279"/>
      <c r="G30" s="1279"/>
      <c r="I30" s="25"/>
      <c r="J30" s="58"/>
      <c r="K30" s="70"/>
      <c r="L30" s="70"/>
      <c r="M30" s="58"/>
      <c r="N30" s="58"/>
    </row>
    <row r="31" spans="2:14" s="16" customFormat="1" ht="15.25" customHeight="1">
      <c r="C31" s="37"/>
      <c r="D31" s="37"/>
      <c r="E31" s="37"/>
      <c r="F31" s="37"/>
      <c r="G31" s="17"/>
    </row>
    <row r="32" spans="2:14" s="16" customFormat="1" ht="27.25" customHeight="1">
      <c r="B32" s="1264" t="s">
        <v>48</v>
      </c>
      <c r="C32" s="1264"/>
      <c r="D32" s="1264"/>
      <c r="E32" s="19" t="s">
        <v>28</v>
      </c>
      <c r="F32" s="19" t="s">
        <v>28</v>
      </c>
      <c r="G32" s="19">
        <v>1343880</v>
      </c>
      <c r="H32" s="19">
        <v>1385978</v>
      </c>
      <c r="J32" s="1276"/>
      <c r="K32" s="1276"/>
      <c r="L32" s="1276"/>
      <c r="M32" s="1276"/>
      <c r="N32" s="1276"/>
    </row>
    <row r="33" spans="2:14" s="16" customFormat="1" ht="27.25" customHeight="1">
      <c r="B33" s="1260" t="s">
        <v>18</v>
      </c>
      <c r="C33" s="1260"/>
      <c r="D33" s="1260"/>
      <c r="E33" s="65"/>
      <c r="F33" s="38">
        <v>835711</v>
      </c>
      <c r="G33" s="38">
        <v>799447</v>
      </c>
      <c r="H33" s="38">
        <v>814289</v>
      </c>
      <c r="J33" s="1277"/>
      <c r="K33" s="1277"/>
      <c r="L33" s="1277"/>
      <c r="M33" s="1277"/>
      <c r="N33" s="1277"/>
    </row>
    <row r="34" spans="2:14" s="16" customFormat="1" ht="27.25" customHeight="1">
      <c r="B34" s="1261" t="s">
        <v>49</v>
      </c>
      <c r="C34" s="1261"/>
      <c r="D34" s="1261"/>
      <c r="E34" s="65" t="s">
        <v>28</v>
      </c>
      <c r="F34" s="38" t="s">
        <v>28</v>
      </c>
      <c r="G34" s="38">
        <v>179913</v>
      </c>
      <c r="H34" s="38">
        <v>191844</v>
      </c>
      <c r="J34" s="59"/>
      <c r="K34" s="59"/>
      <c r="L34" s="59"/>
      <c r="M34" s="59"/>
      <c r="N34" s="59"/>
    </row>
    <row r="35" spans="2:14" s="16" customFormat="1" ht="27.25" customHeight="1">
      <c r="B35" s="1261" t="s">
        <v>20</v>
      </c>
      <c r="C35" s="1261"/>
      <c r="D35" s="1261"/>
      <c r="E35" s="65" t="s">
        <v>28</v>
      </c>
      <c r="F35" s="38" t="s">
        <v>28</v>
      </c>
      <c r="G35" s="38">
        <v>281060</v>
      </c>
      <c r="H35" s="38">
        <v>278516</v>
      </c>
      <c r="J35" s="64"/>
      <c r="K35" s="64"/>
      <c r="L35" s="64"/>
      <c r="M35" s="64"/>
      <c r="N35" s="64"/>
    </row>
    <row r="36" spans="2:14" s="16" customFormat="1" ht="27.25" customHeight="1">
      <c r="B36" s="1261" t="s">
        <v>50</v>
      </c>
      <c r="C36" s="1261"/>
      <c r="D36" s="1261"/>
      <c r="E36" s="65" t="s">
        <v>28</v>
      </c>
      <c r="F36" s="38" t="s">
        <v>28</v>
      </c>
      <c r="G36" s="38">
        <v>-4346</v>
      </c>
      <c r="H36" s="38">
        <v>18631</v>
      </c>
      <c r="J36" s="64"/>
      <c r="K36" s="64"/>
      <c r="L36" s="64"/>
      <c r="M36" s="64"/>
      <c r="N36" s="64"/>
    </row>
    <row r="37" spans="2:14" s="16" customFormat="1" ht="27.25" customHeight="1">
      <c r="B37" s="1261" t="s">
        <v>51</v>
      </c>
      <c r="C37" s="1261"/>
      <c r="D37" s="1261"/>
      <c r="E37" s="65" t="s">
        <v>28</v>
      </c>
      <c r="F37" s="38" t="s">
        <v>28</v>
      </c>
      <c r="G37" s="38">
        <v>827086</v>
      </c>
      <c r="H37" s="38">
        <v>958455</v>
      </c>
      <c r="J37" s="64"/>
      <c r="K37" s="64"/>
      <c r="L37" s="64"/>
      <c r="M37" s="64"/>
      <c r="N37" s="64"/>
    </row>
    <row r="38" spans="2:14" s="16" customFormat="1" ht="27.25" customHeight="1">
      <c r="B38" s="1261" t="s">
        <v>23</v>
      </c>
      <c r="C38" s="1261"/>
      <c r="D38" s="1261"/>
      <c r="E38" s="65"/>
      <c r="F38" s="38">
        <v>806952</v>
      </c>
      <c r="G38" s="38">
        <v>739280</v>
      </c>
      <c r="H38" s="38">
        <v>875756</v>
      </c>
      <c r="J38" s="64"/>
      <c r="K38" s="64"/>
      <c r="L38" s="64"/>
      <c r="M38" s="64"/>
      <c r="N38" s="64"/>
    </row>
    <row r="39" spans="2:14" s="16" customFormat="1" ht="12.75" customHeight="1">
      <c r="B39" s="39"/>
      <c r="C39" s="29"/>
      <c r="D39" s="30"/>
      <c r="E39" s="30"/>
      <c r="F39" s="30"/>
      <c r="G39" s="30"/>
      <c r="J39" s="64"/>
      <c r="K39" s="64"/>
      <c r="L39" s="64"/>
      <c r="M39" s="64"/>
      <c r="N39" s="64"/>
    </row>
    <row r="40" spans="2:14" s="16" customFormat="1" ht="9" customHeight="1">
      <c r="B40" s="39"/>
      <c r="C40" s="29"/>
      <c r="D40" s="30"/>
      <c r="E40" s="30"/>
      <c r="F40" s="30"/>
      <c r="G40" s="30"/>
      <c r="J40" s="64"/>
      <c r="K40" s="64"/>
      <c r="L40" s="64"/>
      <c r="M40" s="64"/>
      <c r="N40" s="64"/>
    </row>
    <row r="41" spans="2:14" s="16" customFormat="1" ht="27.75" customHeight="1">
      <c r="B41" s="1262" t="s">
        <v>52</v>
      </c>
      <c r="C41" s="1262"/>
      <c r="D41" s="1262"/>
      <c r="E41" s="30"/>
      <c r="F41" s="30"/>
      <c r="G41" s="30"/>
      <c r="J41" s="56"/>
      <c r="K41" s="56"/>
      <c r="L41" s="56"/>
      <c r="M41" s="56"/>
      <c r="N41" s="56"/>
    </row>
    <row r="42" spans="2:14" s="16" customFormat="1" ht="18.75" customHeight="1">
      <c r="B42" s="1263" t="s">
        <v>53</v>
      </c>
      <c r="C42" s="1263"/>
      <c r="D42" s="1263"/>
      <c r="E42" s="30"/>
      <c r="F42" s="30"/>
      <c r="G42" s="30"/>
      <c r="J42" s="56"/>
      <c r="K42" s="56"/>
      <c r="L42" s="56"/>
      <c r="M42" s="56"/>
      <c r="N42" s="56"/>
    </row>
    <row r="43" spans="2:14" s="16" customFormat="1" ht="12" customHeight="1">
      <c r="C43" s="37"/>
      <c r="D43" s="37"/>
      <c r="E43" s="37"/>
      <c r="F43" s="37"/>
      <c r="G43" s="40"/>
      <c r="J43" s="56"/>
      <c r="K43" s="56"/>
      <c r="L43" s="56"/>
      <c r="M43" s="56"/>
      <c r="N43" s="56"/>
    </row>
    <row r="44" spans="2:14" s="16" customFormat="1" ht="27.25" customHeight="1">
      <c r="B44" s="1264" t="s">
        <v>17</v>
      </c>
      <c r="C44" s="1264"/>
      <c r="D44" s="1264"/>
      <c r="E44" s="26"/>
      <c r="F44" s="26">
        <v>4.4000000000000004</v>
      </c>
      <c r="G44" s="26">
        <v>-5.6</v>
      </c>
      <c r="H44" s="26">
        <v>3.1</v>
      </c>
      <c r="J44" s="57"/>
      <c r="K44" s="57"/>
      <c r="L44" s="57"/>
      <c r="M44" s="57"/>
      <c r="N44" s="57"/>
    </row>
    <row r="45" spans="2:14" s="16" customFormat="1" ht="27.25" customHeight="1">
      <c r="B45" s="1260" t="s">
        <v>18</v>
      </c>
      <c r="C45" s="1260"/>
      <c r="D45" s="1260"/>
      <c r="E45" s="69"/>
      <c r="F45" s="27">
        <v>7.7</v>
      </c>
      <c r="G45" s="27">
        <v>-4.3</v>
      </c>
      <c r="H45" s="27">
        <v>1.9</v>
      </c>
      <c r="J45" s="58"/>
      <c r="K45" s="58"/>
      <c r="L45" s="58"/>
      <c r="M45" s="58"/>
      <c r="N45" s="58"/>
    </row>
    <row r="46" spans="2:14" s="16" customFormat="1" ht="27.25" customHeight="1">
      <c r="B46" s="1261" t="s">
        <v>49</v>
      </c>
      <c r="C46" s="1261"/>
      <c r="D46" s="1261"/>
      <c r="E46" s="69"/>
      <c r="F46" s="27">
        <v>1.8</v>
      </c>
      <c r="G46" s="27">
        <v>3.9</v>
      </c>
      <c r="H46" s="27">
        <v>6.6</v>
      </c>
      <c r="J46" s="71"/>
      <c r="K46" s="71"/>
      <c r="L46" s="71"/>
      <c r="M46" s="71"/>
      <c r="N46" s="72"/>
    </row>
    <row r="47" spans="2:14" s="16" customFormat="1" ht="27.25" customHeight="1">
      <c r="B47" s="1261" t="s">
        <v>20</v>
      </c>
      <c r="C47" s="1261"/>
      <c r="D47" s="1261"/>
      <c r="E47" s="69"/>
      <c r="F47" s="27">
        <v>-2.1</v>
      </c>
      <c r="G47" s="27">
        <v>-14.5</v>
      </c>
      <c r="H47" s="27">
        <v>-0.9</v>
      </c>
      <c r="J47" s="1276"/>
      <c r="K47" s="1276"/>
      <c r="L47" s="1276"/>
      <c r="M47" s="1276"/>
      <c r="N47" s="1276"/>
    </row>
    <row r="48" spans="2:14" s="16" customFormat="1" ht="27.25" customHeight="1">
      <c r="B48" s="1261" t="s">
        <v>50</v>
      </c>
      <c r="C48" s="1261"/>
      <c r="D48" s="1261"/>
      <c r="E48" s="65"/>
      <c r="F48" s="27" t="s">
        <v>28</v>
      </c>
      <c r="G48" s="27" t="s">
        <v>28</v>
      </c>
      <c r="H48" s="27" t="s">
        <v>28</v>
      </c>
      <c r="J48" s="1277"/>
      <c r="K48" s="1277"/>
      <c r="L48" s="1277"/>
      <c r="M48" s="1277"/>
      <c r="N48" s="1277"/>
    </row>
    <row r="49" spans="1:14" s="16" customFormat="1" ht="27.25" customHeight="1">
      <c r="B49" s="1261" t="s">
        <v>51</v>
      </c>
      <c r="C49" s="1261"/>
      <c r="D49" s="1261"/>
      <c r="E49" s="69"/>
      <c r="F49" s="27">
        <v>-1</v>
      </c>
      <c r="G49" s="27">
        <v>-8.9</v>
      </c>
      <c r="H49" s="27">
        <v>15.9</v>
      </c>
      <c r="J49" s="67"/>
      <c r="K49" s="67"/>
      <c r="L49" s="67"/>
      <c r="M49" s="67"/>
      <c r="N49" s="67"/>
    </row>
    <row r="50" spans="1:14" s="16" customFormat="1" ht="27.25" customHeight="1">
      <c r="B50" s="1261" t="s">
        <v>23</v>
      </c>
      <c r="C50" s="1261"/>
      <c r="D50" s="1261"/>
      <c r="E50" s="69"/>
      <c r="F50" s="27">
        <v>-2.4</v>
      </c>
      <c r="G50" s="27">
        <v>-8.4</v>
      </c>
      <c r="H50" s="27">
        <v>18.5</v>
      </c>
      <c r="J50" s="68"/>
      <c r="K50" s="68"/>
      <c r="L50" s="68"/>
      <c r="M50" s="68"/>
      <c r="N50" s="68"/>
    </row>
    <row r="51" spans="1:14" s="42" customFormat="1" ht="8.25" customHeight="1" thickBot="1">
      <c r="A51" s="41"/>
      <c r="B51" s="41"/>
      <c r="C51" s="41"/>
      <c r="D51" s="41"/>
      <c r="E51" s="41"/>
      <c r="F51" s="41"/>
      <c r="G51" s="41"/>
      <c r="H51" s="41"/>
      <c r="I51" s="16"/>
      <c r="J51" s="56"/>
      <c r="K51" s="56"/>
      <c r="L51" s="56"/>
      <c r="M51" s="56"/>
      <c r="N51" s="56"/>
    </row>
    <row r="52" spans="1:14" s="42" customFormat="1" ht="18" thickTop="1">
      <c r="H52" s="43" t="s">
        <v>31</v>
      </c>
      <c r="I52" s="16"/>
      <c r="J52" s="56"/>
      <c r="K52" s="56"/>
      <c r="L52" s="56"/>
      <c r="M52" s="56"/>
      <c r="N52" s="56"/>
    </row>
    <row r="53" spans="1:14" s="42" customFormat="1" ht="17">
      <c r="H53" s="44" t="s">
        <v>32</v>
      </c>
      <c r="I53" s="16"/>
      <c r="J53" s="56"/>
      <c r="K53" s="56"/>
      <c r="L53" s="56"/>
      <c r="M53" s="56"/>
      <c r="N53" s="56"/>
    </row>
    <row r="54" spans="1:14" s="42" customFormat="1" ht="15.25" customHeight="1">
      <c r="A54" s="45"/>
      <c r="B54" s="46" t="s">
        <v>33</v>
      </c>
      <c r="D54" s="47"/>
      <c r="E54" s="48"/>
      <c r="F54" s="49"/>
      <c r="H54" s="16"/>
      <c r="I54" s="50"/>
      <c r="J54" s="50"/>
      <c r="K54" s="50"/>
      <c r="L54" s="50"/>
      <c r="M54" s="50"/>
    </row>
    <row r="55" spans="1:14" s="42" customFormat="1" ht="15.25" customHeight="1">
      <c r="A55" s="51" t="s">
        <v>34</v>
      </c>
      <c r="B55" s="46" t="s">
        <v>35</v>
      </c>
      <c r="D55" s="47"/>
      <c r="E55" s="47"/>
      <c r="F55" s="49"/>
      <c r="I55" s="50"/>
      <c r="J55" s="50"/>
      <c r="K55" s="50"/>
      <c r="L55" s="50"/>
      <c r="M55" s="50"/>
    </row>
    <row r="56" spans="1:14" s="42" customFormat="1" ht="15.25" customHeight="1">
      <c r="A56" s="51"/>
      <c r="B56" s="52" t="s">
        <v>36</v>
      </c>
      <c r="D56" s="47"/>
      <c r="E56" s="47"/>
      <c r="F56" s="49"/>
      <c r="I56" s="50"/>
      <c r="J56" s="50"/>
      <c r="K56" s="50"/>
      <c r="L56" s="50"/>
      <c r="M56" s="50"/>
    </row>
    <row r="57" spans="1:14" s="54" customFormat="1" ht="14">
      <c r="A57" s="51" t="s">
        <v>37</v>
      </c>
      <c r="B57" s="53" t="s">
        <v>38</v>
      </c>
    </row>
    <row r="58" spans="1:14" s="54" customFormat="1" ht="14">
      <c r="B58" s="55" t="s">
        <v>39</v>
      </c>
    </row>
  </sheetData>
  <mergeCells count="64">
    <mergeCell ref="M5:M6"/>
    <mergeCell ref="N5:N6"/>
    <mergeCell ref="B6:D6"/>
    <mergeCell ref="B12:D12"/>
    <mergeCell ref="B5:G5"/>
    <mergeCell ref="J5:J6"/>
    <mergeCell ref="K5:K6"/>
    <mergeCell ref="L5:L6"/>
    <mergeCell ref="B7:D7"/>
    <mergeCell ref="B8:D8"/>
    <mergeCell ref="B9:G9"/>
    <mergeCell ref="B10:D10"/>
    <mergeCell ref="B11:D11"/>
    <mergeCell ref="N18:N19"/>
    <mergeCell ref="B19:D19"/>
    <mergeCell ref="E19:G19"/>
    <mergeCell ref="B13:D13"/>
    <mergeCell ref="B14:D14"/>
    <mergeCell ref="B15:D15"/>
    <mergeCell ref="B16:D16"/>
    <mergeCell ref="B18:D18"/>
    <mergeCell ref="E18:G18"/>
    <mergeCell ref="B25:D25"/>
    <mergeCell ref="J18:J19"/>
    <mergeCell ref="K18:K19"/>
    <mergeCell ref="L18:L19"/>
    <mergeCell ref="M18:M19"/>
    <mergeCell ref="B20:G20"/>
    <mergeCell ref="B21:D21"/>
    <mergeCell ref="B22:D22"/>
    <mergeCell ref="B23:D23"/>
    <mergeCell ref="B24:D24"/>
    <mergeCell ref="M32:M33"/>
    <mergeCell ref="N32:N33"/>
    <mergeCell ref="B33:D33"/>
    <mergeCell ref="B26:D26"/>
    <mergeCell ref="B27:D27"/>
    <mergeCell ref="B29:D29"/>
    <mergeCell ref="E29:G29"/>
    <mergeCell ref="B30:D30"/>
    <mergeCell ref="E30:G30"/>
    <mergeCell ref="B41:D41"/>
    <mergeCell ref="B32:D32"/>
    <mergeCell ref="J32:J33"/>
    <mergeCell ref="K32:K33"/>
    <mergeCell ref="L32:L33"/>
    <mergeCell ref="B34:D34"/>
    <mergeCell ref="B35:D35"/>
    <mergeCell ref="B36:D36"/>
    <mergeCell ref="B37:D37"/>
    <mergeCell ref="B38:D38"/>
    <mergeCell ref="B42:D42"/>
    <mergeCell ref="B44:D44"/>
    <mergeCell ref="B45:D45"/>
    <mergeCell ref="B46:D46"/>
    <mergeCell ref="B47:D47"/>
    <mergeCell ref="B50:D50"/>
    <mergeCell ref="K47:K48"/>
    <mergeCell ref="L47:L48"/>
    <mergeCell ref="M47:M48"/>
    <mergeCell ref="N47:N48"/>
    <mergeCell ref="B48:D48"/>
    <mergeCell ref="B49:D49"/>
    <mergeCell ref="J47:J48"/>
  </mergeCells>
  <conditionalFormatting sqref="C28 C39:C40">
    <cfRule type="cellIs" dxfId="51" priority="1"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62"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F0C0B-5EF7-46CA-841C-492D7008F963}">
  <sheetPr codeName="Sheet29">
    <pageSetUpPr fitToPage="1"/>
  </sheetPr>
  <dimension ref="A1:N74"/>
  <sheetViews>
    <sheetView view="pageBreakPreview" topLeftCell="A46" zoomScaleNormal="100" zoomScaleSheetLayoutView="100" workbookViewId="0">
      <selection activeCell="D60" sqref="D60"/>
    </sheetView>
  </sheetViews>
  <sheetFormatPr baseColWidth="10" defaultColWidth="8.83203125" defaultRowHeight="15"/>
  <cols>
    <col min="1" max="1" width="3.5" customWidth="1"/>
    <col min="3" max="3" width="22.33203125" customWidth="1"/>
    <col min="4" max="4" width="63.83203125" customWidth="1"/>
    <col min="5" max="5" width="2" customWidth="1"/>
    <col min="6" max="6" width="3" customWidth="1"/>
    <col min="7" max="7" width="10.1640625" customWidth="1"/>
    <col min="8" max="8" width="11.33203125" customWidth="1"/>
    <col min="9" max="9" width="12.6640625" customWidth="1"/>
    <col min="10" max="10" width="10.1640625" customWidth="1"/>
  </cols>
  <sheetData>
    <row r="1" spans="1:14" s="1" customFormat="1" ht="8.25" customHeight="1"/>
    <row r="2" spans="1:14" s="1" customFormat="1" ht="8.25" customHeight="1">
      <c r="C2" s="1" t="s">
        <v>1133</v>
      </c>
    </row>
    <row r="3" spans="1:14" s="1" customFormat="1" ht="8.25" customHeight="1">
      <c r="C3" s="1" t="s">
        <v>1134</v>
      </c>
    </row>
    <row r="4" spans="1:14" s="1" customFormat="1" ht="16.5" customHeight="1">
      <c r="B4" s="2" t="s">
        <v>0</v>
      </c>
      <c r="C4" s="3" t="s">
        <v>40</v>
      </c>
      <c r="I4" s="4"/>
    </row>
    <row r="5" spans="1:14" s="1" customFormat="1" ht="16.5" customHeight="1">
      <c r="B5" s="5" t="s">
        <v>1</v>
      </c>
      <c r="C5" s="6" t="s">
        <v>41</v>
      </c>
      <c r="D5" s="7"/>
      <c r="E5" s="7"/>
      <c r="F5" s="8"/>
      <c r="G5" s="8"/>
      <c r="H5" s="8"/>
      <c r="I5" s="4"/>
    </row>
    <row r="6" spans="1:14" s="1" customFormat="1" ht="13.25" customHeight="1" thickBot="1">
      <c r="A6" s="9"/>
      <c r="B6" s="9"/>
      <c r="C6" s="9"/>
      <c r="D6" s="9"/>
      <c r="E6" s="9"/>
      <c r="F6" s="8"/>
      <c r="G6" s="8"/>
      <c r="H6" s="8"/>
      <c r="I6" s="8"/>
    </row>
    <row r="7" spans="1:14" s="12" customFormat="1" ht="43" customHeight="1" thickBot="1">
      <c r="A7" s="10"/>
      <c r="B7" s="1273" t="s">
        <v>3</v>
      </c>
      <c r="C7" s="1273"/>
      <c r="D7" s="1273"/>
      <c r="E7" s="10"/>
      <c r="F7" s="11"/>
      <c r="G7" s="11"/>
      <c r="H7" s="11">
        <v>2022</v>
      </c>
      <c r="I7" s="11">
        <v>2023</v>
      </c>
      <c r="J7" s="11">
        <v>2024</v>
      </c>
    </row>
    <row r="8" spans="1:14" s="12" customFormat="1" ht="16.5" customHeight="1">
      <c r="B8" s="73"/>
      <c r="C8" s="74"/>
      <c r="D8" s="75"/>
      <c r="E8" s="75"/>
      <c r="F8" s="75"/>
      <c r="G8" s="75"/>
      <c r="H8" s="75"/>
      <c r="I8" s="75"/>
    </row>
    <row r="9" spans="1:14" s="16" customFormat="1" ht="15.25" customHeight="1">
      <c r="B9" s="37" t="s">
        <v>54</v>
      </c>
      <c r="D9" s="76"/>
      <c r="E9" s="76"/>
      <c r="F9" s="76"/>
      <c r="G9" s="76"/>
      <c r="H9" s="76">
        <v>1512738</v>
      </c>
      <c r="I9" s="77">
        <v>1418000</v>
      </c>
      <c r="J9" s="77">
        <v>1545372</v>
      </c>
    </row>
    <row r="10" spans="1:14" s="16" customFormat="1" ht="15.25" customHeight="1">
      <c r="B10" s="78" t="s">
        <v>55</v>
      </c>
      <c r="D10" s="22" t="s">
        <v>28</v>
      </c>
      <c r="E10" s="22" t="s">
        <v>28</v>
      </c>
      <c r="F10" s="22" t="s">
        <v>28</v>
      </c>
      <c r="G10" s="22"/>
      <c r="H10" s="22"/>
      <c r="I10" s="79"/>
      <c r="N10" s="80"/>
    </row>
    <row r="11" spans="1:14" s="16" customFormat="1" ht="8.25" customHeight="1">
      <c r="B11" s="81"/>
      <c r="D11" s="22" t="s">
        <v>28</v>
      </c>
      <c r="E11" s="22" t="s">
        <v>28</v>
      </c>
      <c r="F11" s="22" t="s">
        <v>28</v>
      </c>
      <c r="G11" s="22"/>
      <c r="H11" s="22"/>
      <c r="I11" s="79"/>
    </row>
    <row r="12" spans="1:14" s="16" customFormat="1" ht="15.25" customHeight="1">
      <c r="B12" s="28" t="s">
        <v>56</v>
      </c>
      <c r="C12" s="29"/>
      <c r="D12" s="22" t="s">
        <v>28</v>
      </c>
      <c r="E12" s="22" t="s">
        <v>28</v>
      </c>
      <c r="F12" s="22" t="s">
        <v>28</v>
      </c>
      <c r="G12" s="23"/>
      <c r="H12" s="23">
        <v>542658</v>
      </c>
      <c r="I12" s="82">
        <v>526588</v>
      </c>
      <c r="J12" s="82">
        <v>537916</v>
      </c>
    </row>
    <row r="13" spans="1:14" s="16" customFormat="1" ht="15.25" customHeight="1">
      <c r="B13" s="28" t="s">
        <v>57</v>
      </c>
      <c r="C13" s="29"/>
      <c r="D13" s="22" t="s">
        <v>28</v>
      </c>
      <c r="E13" s="22" t="s">
        <v>28</v>
      </c>
      <c r="F13" s="22" t="s">
        <v>28</v>
      </c>
      <c r="G13" s="23"/>
      <c r="H13" s="23">
        <v>914477</v>
      </c>
      <c r="I13" s="82">
        <v>852606</v>
      </c>
      <c r="J13" s="82">
        <v>971736</v>
      </c>
    </row>
    <row r="14" spans="1:14" s="16" customFormat="1" ht="15.25" customHeight="1">
      <c r="B14" s="28" t="s">
        <v>58</v>
      </c>
      <c r="C14" s="29"/>
      <c r="D14" s="23" t="s">
        <v>28</v>
      </c>
      <c r="E14" s="23" t="s">
        <v>28</v>
      </c>
      <c r="F14" s="23" t="s">
        <v>28</v>
      </c>
      <c r="G14" s="23"/>
      <c r="H14" s="23">
        <v>55603</v>
      </c>
      <c r="I14" s="82">
        <v>38807</v>
      </c>
      <c r="J14" s="82">
        <v>35720</v>
      </c>
    </row>
    <row r="15" spans="1:14" s="16" customFormat="1" ht="7.5" customHeight="1">
      <c r="C15" s="21"/>
      <c r="D15" s="23" t="s">
        <v>28</v>
      </c>
      <c r="E15" s="23" t="s">
        <v>28</v>
      </c>
      <c r="F15" s="23" t="s">
        <v>28</v>
      </c>
      <c r="G15" s="23"/>
      <c r="H15" s="23"/>
      <c r="I15" s="83"/>
    </row>
    <row r="16" spans="1:14" s="16" customFormat="1" ht="15.25" customHeight="1">
      <c r="B16" s="37" t="s">
        <v>59</v>
      </c>
      <c r="D16" s="23" t="s">
        <v>28</v>
      </c>
      <c r="E16" s="23" t="s">
        <v>28</v>
      </c>
      <c r="F16" s="84" t="s">
        <v>28</v>
      </c>
      <c r="G16" s="84"/>
      <c r="H16" s="85">
        <v>4.5</v>
      </c>
      <c r="I16" s="85">
        <v>-6.3</v>
      </c>
      <c r="J16" s="75">
        <v>9</v>
      </c>
    </row>
    <row r="17" spans="2:11" s="16" customFormat="1" ht="15.25" customHeight="1">
      <c r="B17" s="78" t="s">
        <v>60</v>
      </c>
      <c r="D17" s="23"/>
      <c r="E17" s="23"/>
      <c r="F17" s="23"/>
      <c r="G17" s="23"/>
      <c r="H17" s="23"/>
      <c r="I17" s="86"/>
    </row>
    <row r="18" spans="2:11" s="16" customFormat="1" ht="7.5" customHeight="1">
      <c r="B18" s="81"/>
      <c r="D18" s="22"/>
      <c r="E18" s="22"/>
      <c r="F18" s="22"/>
      <c r="G18" s="22"/>
      <c r="H18" s="22"/>
      <c r="I18" s="66"/>
    </row>
    <row r="19" spans="2:11" s="16" customFormat="1" ht="15.25" customHeight="1">
      <c r="B19" s="28" t="s">
        <v>56</v>
      </c>
      <c r="C19" s="29"/>
      <c r="D19" s="22"/>
      <c r="E19" s="22"/>
      <c r="F19" s="87"/>
      <c r="G19" s="87"/>
      <c r="H19" s="88">
        <v>4.8</v>
      </c>
      <c r="I19" s="88">
        <v>-3</v>
      </c>
      <c r="J19" s="22">
        <v>2.2000000000000002</v>
      </c>
    </row>
    <row r="20" spans="2:11" s="16" customFormat="1" ht="15.25" customHeight="1">
      <c r="B20" s="28" t="s">
        <v>57</v>
      </c>
      <c r="C20" s="29"/>
      <c r="D20" s="30"/>
      <c r="E20" s="30"/>
      <c r="F20" s="87"/>
      <c r="G20" s="87"/>
      <c r="H20" s="88">
        <v>3.7</v>
      </c>
      <c r="I20" s="88">
        <v>-6.8</v>
      </c>
      <c r="J20" s="22">
        <v>14</v>
      </c>
      <c r="K20" s="25"/>
    </row>
    <row r="21" spans="2:11" s="16" customFormat="1" ht="15.25" customHeight="1">
      <c r="B21" s="28" t="s">
        <v>58</v>
      </c>
      <c r="C21" s="29"/>
      <c r="D21" s="30" t="s">
        <v>28</v>
      </c>
      <c r="E21" s="30" t="s">
        <v>28</v>
      </c>
      <c r="F21" s="87" t="s">
        <v>28</v>
      </c>
      <c r="G21" s="87"/>
      <c r="H21" s="88">
        <v>16.100000000000001</v>
      </c>
      <c r="I21" s="88">
        <v>-30.2</v>
      </c>
      <c r="J21" s="22">
        <v>-8</v>
      </c>
      <c r="K21" s="25"/>
    </row>
    <row r="22" spans="2:11" s="16" customFormat="1" ht="8.25" customHeight="1">
      <c r="B22" s="28"/>
      <c r="C22" s="29"/>
      <c r="D22" s="30" t="s">
        <v>28</v>
      </c>
      <c r="E22" s="30" t="s">
        <v>28</v>
      </c>
      <c r="F22" s="30" t="s">
        <v>28</v>
      </c>
      <c r="G22" s="30"/>
      <c r="H22" s="30"/>
      <c r="I22" s="30"/>
    </row>
    <row r="23" spans="2:11" s="16" customFormat="1" ht="15.25" customHeight="1">
      <c r="B23" s="37" t="s">
        <v>61</v>
      </c>
      <c r="D23" s="30" t="s">
        <v>28</v>
      </c>
      <c r="E23" s="30" t="s">
        <v>28</v>
      </c>
      <c r="F23" s="84" t="s">
        <v>28</v>
      </c>
      <c r="G23" s="84"/>
      <c r="H23" s="85">
        <v>100</v>
      </c>
      <c r="I23" s="85">
        <v>100</v>
      </c>
      <c r="J23" s="85">
        <v>100</v>
      </c>
    </row>
    <row r="24" spans="2:11" s="16" customFormat="1" ht="15.25" customHeight="1">
      <c r="B24" s="78" t="s">
        <v>62</v>
      </c>
      <c r="D24" s="30" t="s">
        <v>28</v>
      </c>
      <c r="E24" s="30" t="s">
        <v>28</v>
      </c>
      <c r="F24" s="30" t="s">
        <v>28</v>
      </c>
      <c r="G24" s="30"/>
      <c r="H24" s="30"/>
      <c r="I24" s="30"/>
    </row>
    <row r="25" spans="2:11" s="16" customFormat="1" ht="8.25" customHeight="1">
      <c r="B25" s="81"/>
      <c r="D25" s="22" t="s">
        <v>28</v>
      </c>
      <c r="E25" s="22" t="s">
        <v>28</v>
      </c>
      <c r="F25" s="22" t="s">
        <v>28</v>
      </c>
      <c r="G25" s="22"/>
      <c r="H25" s="22"/>
      <c r="I25" s="89"/>
    </row>
    <row r="26" spans="2:11" s="16" customFormat="1" ht="15.25" customHeight="1">
      <c r="B26" s="28" t="s">
        <v>56</v>
      </c>
      <c r="C26" s="29"/>
      <c r="D26" s="22" t="s">
        <v>28</v>
      </c>
      <c r="E26" s="22" t="s">
        <v>28</v>
      </c>
      <c r="F26" s="87" t="s">
        <v>28</v>
      </c>
      <c r="G26" s="87"/>
      <c r="H26" s="88">
        <v>35.9</v>
      </c>
      <c r="I26" s="88">
        <v>37.1</v>
      </c>
      <c r="J26" s="22">
        <v>34.799999999999997</v>
      </c>
    </row>
    <row r="27" spans="2:11" s="16" customFormat="1" ht="15.25" customHeight="1">
      <c r="B27" s="28" t="s">
        <v>57</v>
      </c>
      <c r="C27" s="29"/>
      <c r="D27" s="22" t="s">
        <v>28</v>
      </c>
      <c r="E27" s="22" t="s">
        <v>28</v>
      </c>
      <c r="F27" s="87" t="s">
        <v>28</v>
      </c>
      <c r="G27" s="87"/>
      <c r="H27" s="88">
        <v>60.5</v>
      </c>
      <c r="I27" s="88">
        <v>60.1</v>
      </c>
      <c r="J27" s="22">
        <v>62.9</v>
      </c>
    </row>
    <row r="28" spans="2:11" s="16" customFormat="1" ht="15.25" customHeight="1">
      <c r="B28" s="28" t="s">
        <v>58</v>
      </c>
      <c r="C28" s="29"/>
      <c r="D28" s="30"/>
      <c r="E28" s="30"/>
      <c r="F28" s="87"/>
      <c r="G28" s="87"/>
      <c r="H28" s="88">
        <v>3.7</v>
      </c>
      <c r="I28" s="88">
        <v>2.7</v>
      </c>
      <c r="J28" s="22">
        <v>2.2999999999999998</v>
      </c>
    </row>
    <row r="29" spans="2:11" s="16" customFormat="1" ht="15.25" customHeight="1">
      <c r="B29" s="28"/>
      <c r="C29" s="29"/>
      <c r="D29" s="30"/>
      <c r="E29" s="30"/>
      <c r="F29" s="30"/>
      <c r="G29" s="30"/>
      <c r="H29" s="30"/>
      <c r="I29" s="30"/>
    </row>
    <row r="30" spans="2:11" s="16" customFormat="1" ht="15.25" customHeight="1">
      <c r="B30" s="37" t="s">
        <v>63</v>
      </c>
      <c r="D30" s="30" t="s">
        <v>28</v>
      </c>
      <c r="E30" s="30" t="s">
        <v>28</v>
      </c>
      <c r="F30" s="76" t="s">
        <v>28</v>
      </c>
      <c r="G30" s="76"/>
      <c r="H30" s="76">
        <v>553426</v>
      </c>
      <c r="I30" s="90">
        <v>512922</v>
      </c>
      <c r="J30" s="90">
        <v>518075</v>
      </c>
    </row>
    <row r="31" spans="2:11" s="16" customFormat="1" ht="15.25" customHeight="1">
      <c r="B31" s="78" t="s">
        <v>64</v>
      </c>
      <c r="D31" s="30"/>
      <c r="E31" s="30"/>
      <c r="F31" s="30"/>
      <c r="G31" s="30"/>
      <c r="H31" s="30"/>
      <c r="I31" s="30"/>
    </row>
    <row r="32" spans="2:11" s="16" customFormat="1" ht="8.25" customHeight="1">
      <c r="B32" s="28"/>
      <c r="C32" s="29"/>
      <c r="D32" s="22" t="s">
        <v>28</v>
      </c>
      <c r="E32" s="22" t="s">
        <v>28</v>
      </c>
      <c r="F32" s="22" t="s">
        <v>28</v>
      </c>
      <c r="G32" s="22"/>
      <c r="H32" s="22"/>
      <c r="I32" s="89"/>
    </row>
    <row r="33" spans="2:10" s="16" customFormat="1" ht="15.25" customHeight="1">
      <c r="B33" s="37" t="s">
        <v>65</v>
      </c>
      <c r="D33" s="30"/>
      <c r="E33" s="30"/>
      <c r="F33" s="75"/>
      <c r="G33" s="75"/>
      <c r="H33" s="75">
        <v>176.3</v>
      </c>
      <c r="I33" s="91">
        <v>117.8</v>
      </c>
      <c r="J33" s="91">
        <v>124.3</v>
      </c>
    </row>
    <row r="34" spans="2:10" s="16" customFormat="1" ht="15.25" customHeight="1">
      <c r="B34" s="78" t="s">
        <v>66</v>
      </c>
      <c r="D34" s="30" t="s">
        <v>28</v>
      </c>
      <c r="E34" s="30" t="s">
        <v>28</v>
      </c>
      <c r="F34" s="30" t="s">
        <v>28</v>
      </c>
      <c r="G34" s="30"/>
      <c r="H34" s="30"/>
      <c r="I34" s="30"/>
    </row>
    <row r="35" spans="2:10" s="16" customFormat="1" ht="8.25" customHeight="1">
      <c r="B35" s="28"/>
      <c r="C35" s="29"/>
      <c r="D35" s="22" t="s">
        <v>28</v>
      </c>
      <c r="E35" s="22" t="s">
        <v>28</v>
      </c>
      <c r="F35" s="22" t="s">
        <v>28</v>
      </c>
      <c r="G35" s="22"/>
      <c r="H35" s="22"/>
      <c r="I35" s="89"/>
    </row>
    <row r="36" spans="2:10" s="16" customFormat="1" ht="15.25" customHeight="1">
      <c r="B36" s="37" t="s">
        <v>67</v>
      </c>
      <c r="D36" s="30" t="s">
        <v>28</v>
      </c>
      <c r="E36" s="30" t="s">
        <v>28</v>
      </c>
      <c r="F36" s="76" t="s">
        <v>28</v>
      </c>
      <c r="G36" s="76"/>
      <c r="H36" s="76">
        <v>7318</v>
      </c>
      <c r="I36" s="90">
        <v>7253</v>
      </c>
      <c r="J36" s="90">
        <v>7315</v>
      </c>
    </row>
    <row r="37" spans="2:10" s="16" customFormat="1" ht="15.25" customHeight="1">
      <c r="B37" s="78" t="s">
        <v>68</v>
      </c>
      <c r="D37" s="30" t="s">
        <v>28</v>
      </c>
      <c r="E37" s="30" t="s">
        <v>28</v>
      </c>
      <c r="F37" s="30" t="s">
        <v>28</v>
      </c>
      <c r="G37" s="30"/>
      <c r="H37" s="30"/>
      <c r="I37" s="30"/>
    </row>
    <row r="38" spans="2:10" s="16" customFormat="1" ht="15.25" customHeight="1">
      <c r="B38" s="92"/>
      <c r="C38" s="29"/>
      <c r="D38" s="30"/>
      <c r="E38" s="30"/>
      <c r="F38" s="30"/>
      <c r="G38" s="30"/>
      <c r="H38" s="30"/>
      <c r="I38" s="30"/>
    </row>
    <row r="39" spans="2:10" s="16" customFormat="1" ht="15.25" customHeight="1">
      <c r="B39" s="37" t="s">
        <v>69</v>
      </c>
      <c r="D39" s="30"/>
      <c r="E39" s="30"/>
      <c r="F39" s="75"/>
      <c r="G39" s="75"/>
      <c r="H39" s="75">
        <v>5.9</v>
      </c>
      <c r="I39" s="91">
        <v>-7.3</v>
      </c>
      <c r="J39" s="91">
        <v>1</v>
      </c>
    </row>
    <row r="40" spans="2:10" s="16" customFormat="1" ht="15.25" customHeight="1">
      <c r="B40" s="78" t="s">
        <v>70</v>
      </c>
      <c r="D40" s="30"/>
      <c r="E40" s="30"/>
      <c r="F40" s="30"/>
      <c r="G40" s="30"/>
      <c r="H40" s="93"/>
      <c r="I40" s="93"/>
      <c r="J40" s="22"/>
    </row>
    <row r="41" spans="2:10" s="16" customFormat="1" ht="8.25" customHeight="1">
      <c r="B41" s="28"/>
      <c r="C41" s="29"/>
      <c r="D41" s="22"/>
      <c r="E41" s="22"/>
      <c r="F41" s="22"/>
      <c r="G41" s="22"/>
      <c r="H41" s="22"/>
      <c r="I41" s="93"/>
      <c r="J41" s="22"/>
    </row>
    <row r="42" spans="2:10" s="16" customFormat="1" ht="15.25" customHeight="1">
      <c r="B42" s="37" t="s">
        <v>71</v>
      </c>
      <c r="D42" s="30"/>
      <c r="E42" s="30"/>
      <c r="F42" s="75"/>
      <c r="G42" s="75"/>
      <c r="H42" s="75">
        <v>2.6</v>
      </c>
      <c r="I42" s="91">
        <v>-33.1</v>
      </c>
      <c r="J42" s="91">
        <v>5.4</v>
      </c>
    </row>
    <row r="43" spans="2:10" s="16" customFormat="1" ht="15.25" customHeight="1">
      <c r="B43" s="78" t="s">
        <v>72</v>
      </c>
      <c r="D43" s="30"/>
      <c r="E43" s="30"/>
      <c r="F43" s="30"/>
      <c r="G43" s="30"/>
      <c r="H43" s="93"/>
      <c r="I43" s="93"/>
      <c r="J43" s="22"/>
    </row>
    <row r="44" spans="2:10" s="16" customFormat="1" ht="8.25" customHeight="1">
      <c r="B44" s="28"/>
      <c r="C44" s="29"/>
      <c r="D44" s="22"/>
      <c r="E44" s="22"/>
      <c r="F44" s="22"/>
      <c r="G44" s="22"/>
      <c r="H44" s="22"/>
      <c r="I44" s="93"/>
      <c r="J44" s="22"/>
    </row>
    <row r="45" spans="2:10" s="16" customFormat="1" ht="15.25" customHeight="1">
      <c r="B45" s="37" t="s">
        <v>73</v>
      </c>
      <c r="D45" s="30"/>
      <c r="E45" s="30"/>
      <c r="F45" s="75"/>
      <c r="G45" s="75"/>
      <c r="H45" s="75">
        <v>3</v>
      </c>
      <c r="I45" s="91">
        <v>-0.9</v>
      </c>
      <c r="J45" s="91">
        <v>0.9</v>
      </c>
    </row>
    <row r="46" spans="2:10" s="16" customFormat="1" ht="15.25" customHeight="1">
      <c r="B46" s="78" t="s">
        <v>74</v>
      </c>
      <c r="D46" s="30"/>
      <c r="E46" s="30"/>
      <c r="F46" s="30"/>
      <c r="G46" s="30"/>
      <c r="H46" s="93"/>
      <c r="I46" s="93"/>
      <c r="J46" s="22"/>
    </row>
    <row r="47" spans="2:10" s="16" customFormat="1" ht="15.25" customHeight="1">
      <c r="B47" s="28"/>
      <c r="C47" s="29"/>
      <c r="D47" s="30"/>
      <c r="E47" s="30"/>
      <c r="F47" s="30"/>
      <c r="G47" s="30"/>
      <c r="H47" s="93"/>
      <c r="I47" s="93"/>
      <c r="J47" s="22"/>
    </row>
    <row r="48" spans="2:10" s="16" customFormat="1" ht="15.25" customHeight="1">
      <c r="B48" s="37" t="s">
        <v>75</v>
      </c>
      <c r="D48" s="30"/>
      <c r="E48" s="30"/>
      <c r="F48" s="75"/>
      <c r="G48" s="75"/>
      <c r="H48" s="75">
        <v>38.9</v>
      </c>
      <c r="I48" s="91">
        <v>38.1</v>
      </c>
      <c r="J48" s="91">
        <v>37.4</v>
      </c>
    </row>
    <row r="49" spans="2:11" s="16" customFormat="1" ht="15.25" customHeight="1">
      <c r="B49" s="78" t="s">
        <v>76</v>
      </c>
      <c r="D49" s="30"/>
      <c r="E49" s="30"/>
      <c r="F49" s="30"/>
      <c r="G49" s="30"/>
      <c r="H49" s="93"/>
      <c r="I49" s="93"/>
      <c r="J49" s="22"/>
    </row>
    <row r="50" spans="2:11" s="16" customFormat="1" ht="8.25" customHeight="1">
      <c r="B50" s="28"/>
      <c r="C50" s="29"/>
      <c r="D50" s="22"/>
      <c r="E50" s="22"/>
      <c r="F50" s="22"/>
      <c r="G50" s="22"/>
      <c r="H50" s="22"/>
      <c r="I50" s="93"/>
      <c r="J50" s="22"/>
    </row>
    <row r="51" spans="2:11" s="16" customFormat="1" ht="15.25" customHeight="1">
      <c r="B51" s="37" t="s">
        <v>77</v>
      </c>
      <c r="D51" s="30"/>
      <c r="E51" s="30"/>
      <c r="F51" s="75"/>
      <c r="G51" s="75"/>
      <c r="H51" s="75">
        <v>17.899999999999999</v>
      </c>
      <c r="I51" s="91">
        <v>13.5</v>
      </c>
      <c r="J51" s="91">
        <v>11.7</v>
      </c>
    </row>
    <row r="52" spans="2:11" s="16" customFormat="1" ht="15.25" customHeight="1">
      <c r="B52" s="78" t="s">
        <v>78</v>
      </c>
      <c r="D52" s="30"/>
      <c r="E52" s="30"/>
      <c r="F52" s="30"/>
      <c r="G52" s="30"/>
      <c r="H52" s="93"/>
      <c r="I52" s="93"/>
      <c r="J52" s="22"/>
    </row>
    <row r="53" spans="2:11" s="16" customFormat="1" ht="8.25" customHeight="1">
      <c r="B53" s="28"/>
      <c r="C53" s="29"/>
      <c r="D53" s="22"/>
      <c r="E53" s="22"/>
      <c r="F53" s="22"/>
      <c r="G53" s="22"/>
      <c r="H53" s="22"/>
      <c r="I53" s="93"/>
      <c r="J53" s="22"/>
    </row>
    <row r="54" spans="2:11" s="16" customFormat="1" ht="15.25" customHeight="1">
      <c r="B54" s="37" t="s">
        <v>79</v>
      </c>
      <c r="D54" s="30"/>
      <c r="E54" s="30"/>
      <c r="F54" s="75"/>
      <c r="G54" s="75"/>
      <c r="H54" s="75">
        <v>48.4</v>
      </c>
      <c r="I54" s="91">
        <v>48</v>
      </c>
      <c r="J54" s="91">
        <v>47.8</v>
      </c>
    </row>
    <row r="55" spans="2:11" s="16" customFormat="1" ht="15.25" customHeight="1">
      <c r="B55" s="78" t="s">
        <v>80</v>
      </c>
      <c r="D55" s="30"/>
      <c r="E55" s="30"/>
      <c r="F55" s="30"/>
      <c r="G55" s="30"/>
      <c r="H55" s="30"/>
      <c r="I55" s="30"/>
    </row>
    <row r="56" spans="2:11" s="16" customFormat="1" ht="15.25" customHeight="1">
      <c r="B56" s="28"/>
      <c r="C56" s="94"/>
      <c r="D56" s="22"/>
      <c r="E56" s="22"/>
      <c r="F56" s="22"/>
      <c r="G56" s="22"/>
      <c r="H56" s="95"/>
      <c r="I56" s="96"/>
      <c r="J56" s="97"/>
      <c r="K56" s="98"/>
    </row>
    <row r="57" spans="2:11" s="16" customFormat="1" ht="8.25" customHeight="1">
      <c r="B57" s="99"/>
      <c r="C57" s="94"/>
      <c r="D57" s="22"/>
      <c r="E57" s="22"/>
      <c r="F57" s="22"/>
      <c r="G57" s="22"/>
      <c r="H57" s="95"/>
      <c r="I57" s="96"/>
      <c r="J57" s="97"/>
      <c r="K57" s="98"/>
    </row>
    <row r="58" spans="2:11" s="16" customFormat="1" ht="15.25" customHeight="1">
      <c r="B58" s="37" t="s">
        <v>81</v>
      </c>
      <c r="D58" s="30"/>
      <c r="E58" s="30"/>
      <c r="F58" s="76"/>
      <c r="G58" s="76"/>
      <c r="H58" s="76">
        <v>328536</v>
      </c>
      <c r="I58" s="77">
        <v>281173</v>
      </c>
      <c r="J58" s="77">
        <v>278703</v>
      </c>
    </row>
    <row r="59" spans="2:11" s="16" customFormat="1" ht="15.25" customHeight="1">
      <c r="B59" s="78" t="s">
        <v>82</v>
      </c>
      <c r="D59" s="30"/>
      <c r="E59" s="30"/>
      <c r="F59" s="30"/>
      <c r="G59" s="30"/>
      <c r="H59" s="30"/>
      <c r="I59" s="30"/>
    </row>
    <row r="60" spans="2:11" s="16" customFormat="1" ht="15.25" customHeight="1">
      <c r="B60" s="28"/>
      <c r="C60" s="94"/>
      <c r="D60" s="22"/>
      <c r="E60" s="22"/>
      <c r="F60" s="22"/>
      <c r="G60" s="22"/>
      <c r="H60" s="22"/>
      <c r="I60" s="30"/>
      <c r="K60" s="98"/>
    </row>
    <row r="61" spans="2:11" s="16" customFormat="1" ht="15" customHeight="1">
      <c r="B61" s="37" t="s">
        <v>83</v>
      </c>
      <c r="C61" s="94"/>
      <c r="D61" s="22"/>
      <c r="E61" s="22"/>
      <c r="F61" s="22"/>
      <c r="G61" s="22"/>
      <c r="H61" s="22">
        <v>-2.1</v>
      </c>
      <c r="I61" s="93">
        <v>-14.4</v>
      </c>
      <c r="J61" s="22">
        <v>-0.9</v>
      </c>
      <c r="K61" s="98"/>
    </row>
    <row r="62" spans="2:11" s="16" customFormat="1" ht="15.25" customHeight="1">
      <c r="B62" s="78" t="s">
        <v>84</v>
      </c>
      <c r="C62" s="94"/>
      <c r="D62" s="22"/>
      <c r="E62" s="22"/>
      <c r="F62" s="22"/>
      <c r="G62" s="22"/>
      <c r="H62" s="22"/>
      <c r="I62" s="30"/>
      <c r="K62" s="98"/>
    </row>
    <row r="63" spans="2:11" s="16" customFormat="1" ht="15.25" customHeight="1">
      <c r="B63" s="28"/>
      <c r="C63" s="94"/>
      <c r="D63" s="100"/>
      <c r="E63" s="100"/>
      <c r="F63" s="100"/>
      <c r="G63" s="100"/>
      <c r="H63" s="100"/>
      <c r="I63" s="30"/>
      <c r="K63" s="98"/>
    </row>
    <row r="64" spans="2:11" s="16" customFormat="1" ht="15.25" customHeight="1">
      <c r="B64" s="28"/>
      <c r="C64" s="94"/>
      <c r="D64" s="100"/>
      <c r="E64" s="100"/>
      <c r="F64" s="100"/>
      <c r="G64" s="100"/>
      <c r="H64" s="100"/>
      <c r="I64" s="30"/>
      <c r="K64" s="98"/>
    </row>
    <row r="65" spans="1:12" s="16" customFormat="1" ht="8.25" customHeight="1">
      <c r="B65" s="101"/>
      <c r="C65" s="102"/>
      <c r="D65" s="100"/>
      <c r="E65" s="100"/>
      <c r="F65" s="100"/>
      <c r="G65" s="100"/>
      <c r="H65" s="100"/>
      <c r="I65" s="66"/>
    </row>
    <row r="66" spans="1:12" s="16" customFormat="1" ht="15.25" customHeight="1">
      <c r="B66" s="99"/>
      <c r="C66" s="102"/>
      <c r="D66" s="103"/>
      <c r="E66" s="103"/>
      <c r="F66" s="103"/>
      <c r="G66" s="103"/>
      <c r="H66" s="103"/>
      <c r="I66" s="86"/>
      <c r="K66" s="25"/>
    </row>
    <row r="67" spans="1:12" s="16" customFormat="1" ht="15.25" customHeight="1">
      <c r="B67" s="104"/>
      <c r="C67" s="102"/>
      <c r="D67" s="100"/>
      <c r="E67" s="100"/>
      <c r="F67" s="100"/>
      <c r="G67" s="100"/>
      <c r="H67" s="100"/>
      <c r="I67" s="100"/>
    </row>
    <row r="68" spans="1:12" s="42" customFormat="1" ht="8.25" customHeight="1">
      <c r="B68" s="104"/>
      <c r="C68" s="102"/>
      <c r="D68" s="100"/>
      <c r="E68" s="100"/>
      <c r="F68" s="100"/>
      <c r="G68" s="100"/>
      <c r="H68" s="100"/>
      <c r="I68" s="100"/>
      <c r="K68" s="16"/>
      <c r="L68" s="16"/>
    </row>
    <row r="69" spans="1:12" s="42" customFormat="1" ht="8.25" customHeight="1" thickBot="1">
      <c r="A69" s="41"/>
      <c r="B69" s="41"/>
      <c r="C69" s="41"/>
      <c r="D69" s="41"/>
      <c r="E69" s="41"/>
      <c r="F69" s="41"/>
      <c r="G69" s="41"/>
      <c r="H69" s="41"/>
      <c r="I69" s="41"/>
      <c r="J69" s="41"/>
      <c r="K69" s="16"/>
      <c r="L69" s="16"/>
    </row>
    <row r="70" spans="1:12" s="42" customFormat="1" ht="15.25" customHeight="1" thickTop="1">
      <c r="B70" s="105"/>
      <c r="D70" s="47"/>
      <c r="E70" s="48"/>
      <c r="F70" s="48"/>
      <c r="G70" s="48"/>
      <c r="H70" s="48"/>
      <c r="I70" s="49"/>
      <c r="J70" s="43" t="s">
        <v>31</v>
      </c>
      <c r="K70" s="16"/>
      <c r="L70" s="16"/>
    </row>
    <row r="71" spans="1:12" s="42" customFormat="1" ht="15.25" customHeight="1">
      <c r="B71" s="106"/>
      <c r="C71" s="49"/>
      <c r="D71" s="47"/>
      <c r="E71" s="47"/>
      <c r="F71" s="47"/>
      <c r="G71" s="47"/>
      <c r="H71" s="47"/>
      <c r="I71" s="49"/>
      <c r="J71" s="44" t="s">
        <v>32</v>
      </c>
    </row>
    <row r="72" spans="1:12" s="42" customFormat="1" ht="14">
      <c r="B72" s="107" t="s">
        <v>85</v>
      </c>
      <c r="C72" s="49"/>
      <c r="D72" s="49"/>
      <c r="E72" s="49"/>
      <c r="F72" s="49"/>
      <c r="G72" s="49"/>
      <c r="H72" s="49"/>
      <c r="I72" s="49"/>
      <c r="J72" s="49"/>
    </row>
    <row r="73" spans="1:12" s="54" customFormat="1" ht="14">
      <c r="A73" s="51" t="s">
        <v>34</v>
      </c>
      <c r="B73" s="53" t="s">
        <v>38</v>
      </c>
    </row>
    <row r="74" spans="1:12" s="54" customFormat="1" ht="14">
      <c r="B74" s="55" t="s">
        <v>39</v>
      </c>
    </row>
  </sheetData>
  <mergeCells count="1">
    <mergeCell ref="B7:D7"/>
  </mergeCells>
  <conditionalFormatting sqref="C12:C14">
    <cfRule type="cellIs" dxfId="50" priority="12" stopIfTrue="1" operator="lessThan">
      <formula>0</formula>
    </cfRule>
  </conditionalFormatting>
  <conditionalFormatting sqref="C19:C22">
    <cfRule type="cellIs" dxfId="49" priority="7" stopIfTrue="1" operator="lessThan">
      <formula>0</formula>
    </cfRule>
  </conditionalFormatting>
  <conditionalFormatting sqref="C26:C29">
    <cfRule type="cellIs" dxfId="48" priority="6" stopIfTrue="1" operator="lessThan">
      <formula>0</formula>
    </cfRule>
  </conditionalFormatting>
  <conditionalFormatting sqref="C32">
    <cfRule type="cellIs" dxfId="47" priority="11" stopIfTrue="1" operator="lessThan">
      <formula>0</formula>
    </cfRule>
  </conditionalFormatting>
  <conditionalFormatting sqref="C35">
    <cfRule type="cellIs" dxfId="46" priority="5" stopIfTrue="1" operator="lessThan">
      <formula>0</formula>
    </cfRule>
  </conditionalFormatting>
  <conditionalFormatting sqref="C38">
    <cfRule type="cellIs" dxfId="45" priority="9" stopIfTrue="1" operator="lessThan">
      <formula>0</formula>
    </cfRule>
  </conditionalFormatting>
  <conditionalFormatting sqref="C41">
    <cfRule type="cellIs" dxfId="44" priority="4" stopIfTrue="1" operator="lessThan">
      <formula>0</formula>
    </cfRule>
  </conditionalFormatting>
  <conditionalFormatting sqref="C44">
    <cfRule type="cellIs" dxfId="43" priority="3" stopIfTrue="1" operator="lessThan">
      <formula>0</formula>
    </cfRule>
  </conditionalFormatting>
  <conditionalFormatting sqref="C47">
    <cfRule type="cellIs" dxfId="42" priority="8" stopIfTrue="1" operator="lessThan">
      <formula>0</formula>
    </cfRule>
  </conditionalFormatting>
  <conditionalFormatting sqref="C50">
    <cfRule type="cellIs" dxfId="41" priority="2" stopIfTrue="1" operator="lessThan">
      <formula>0</formula>
    </cfRule>
  </conditionalFormatting>
  <conditionalFormatting sqref="C53">
    <cfRule type="cellIs" dxfId="40" priority="1" stopIfTrue="1" operator="lessThan">
      <formula>0</formula>
    </cfRule>
  </conditionalFormatting>
  <conditionalFormatting sqref="C65:C68">
    <cfRule type="cellIs" dxfId="39" priority="10"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58"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7C665-E47C-442B-8B50-77B0D5305E48}">
  <sheetPr codeName="Sheet30">
    <pageSetUpPr fitToPage="1"/>
  </sheetPr>
  <dimension ref="A1:O68"/>
  <sheetViews>
    <sheetView view="pageBreakPreview" zoomScaleNormal="100" zoomScaleSheetLayoutView="100" workbookViewId="0">
      <selection activeCell="D60" sqref="D60"/>
    </sheetView>
  </sheetViews>
  <sheetFormatPr baseColWidth="10" defaultColWidth="8.83203125" defaultRowHeight="15"/>
  <cols>
    <col min="1" max="1" width="4.33203125" customWidth="1"/>
    <col min="3" max="3" width="45.1640625" customWidth="1"/>
    <col min="4" max="4" width="17.5" customWidth="1"/>
    <col min="5" max="5" width="21.5" customWidth="1"/>
    <col min="6" max="6" width="14.5" customWidth="1"/>
    <col min="7" max="7" width="13.5" customWidth="1"/>
    <col min="8" max="8" width="13.6640625" customWidth="1"/>
  </cols>
  <sheetData>
    <row r="1" spans="1:8" s="1" customFormat="1" ht="8.25" customHeight="1"/>
    <row r="2" spans="1:8" s="1" customFormat="1" ht="8.25" customHeight="1"/>
    <row r="3" spans="1:8" s="1" customFormat="1" ht="16.5" customHeight="1">
      <c r="B3" s="2" t="s">
        <v>86</v>
      </c>
      <c r="C3" s="3" t="s">
        <v>87</v>
      </c>
      <c r="G3" s="4"/>
      <c r="H3" s="4"/>
    </row>
    <row r="4" spans="1:8" s="1" customFormat="1" ht="16.5" customHeight="1">
      <c r="B4" s="5" t="s">
        <v>88</v>
      </c>
      <c r="C4" s="108" t="s">
        <v>89</v>
      </c>
      <c r="D4" s="7"/>
      <c r="E4" s="8"/>
      <c r="F4" s="8"/>
      <c r="G4" s="4"/>
      <c r="H4" s="4"/>
    </row>
    <row r="5" spans="1:8" s="1" customFormat="1" ht="13.5" customHeight="1" thickBot="1">
      <c r="A5" s="9"/>
      <c r="B5" s="9"/>
      <c r="C5" s="9"/>
      <c r="D5" s="9"/>
      <c r="E5" s="8"/>
      <c r="F5" s="8"/>
      <c r="G5" s="8"/>
      <c r="H5" s="8"/>
    </row>
    <row r="6" spans="1:8" s="12" customFormat="1" ht="43.25" customHeight="1" thickBot="1">
      <c r="A6" s="10"/>
      <c r="B6" s="1273" t="s">
        <v>90</v>
      </c>
      <c r="C6" s="1273"/>
      <c r="D6" s="1273"/>
      <c r="E6" s="11"/>
      <c r="F6" s="11">
        <v>2022</v>
      </c>
      <c r="G6" s="11">
        <v>2023</v>
      </c>
      <c r="H6" s="11">
        <v>2024</v>
      </c>
    </row>
    <row r="7" spans="1:8" s="12" customFormat="1" ht="7.5" customHeight="1">
      <c r="B7" s="73"/>
      <c r="C7" s="74"/>
      <c r="D7" s="75"/>
      <c r="E7" s="75"/>
      <c r="F7" s="75"/>
      <c r="G7" s="75"/>
      <c r="H7" s="75"/>
    </row>
    <row r="8" spans="1:8" s="12" customFormat="1" ht="16.5" customHeight="1">
      <c r="B8" s="109" t="s">
        <v>91</v>
      </c>
      <c r="C8" s="74"/>
      <c r="D8" s="75"/>
      <c r="E8" s="75"/>
      <c r="F8" s="75"/>
      <c r="G8" s="75"/>
      <c r="H8" s="75"/>
    </row>
    <row r="9" spans="1:8" s="12" customFormat="1" ht="12.75" customHeight="1">
      <c r="B9" s="1287"/>
      <c r="C9" s="1287"/>
      <c r="D9" s="75"/>
      <c r="E9" s="75"/>
      <c r="F9" s="75"/>
      <c r="G9" s="75"/>
      <c r="H9" s="75"/>
    </row>
    <row r="10" spans="1:8" s="12" customFormat="1" ht="16.5" customHeight="1">
      <c r="B10" s="111" t="s">
        <v>92</v>
      </c>
      <c r="C10" s="74"/>
      <c r="D10" s="75"/>
      <c r="E10" s="112"/>
      <c r="F10" s="113">
        <v>225075</v>
      </c>
      <c r="G10" s="113">
        <v>233752</v>
      </c>
      <c r="H10" s="113">
        <v>285217</v>
      </c>
    </row>
    <row r="11" spans="1:8" s="12" customFormat="1" ht="16.5" customHeight="1">
      <c r="B11" s="111" t="s">
        <v>93</v>
      </c>
      <c r="C11" s="74"/>
      <c r="D11" s="75"/>
      <c r="E11" s="112"/>
      <c r="F11" s="113">
        <v>224600</v>
      </c>
      <c r="G11" s="113">
        <v>231516</v>
      </c>
      <c r="H11" s="113">
        <v>284700</v>
      </c>
    </row>
    <row r="12" spans="1:8" s="12" customFormat="1" ht="16.5" customHeight="1">
      <c r="B12" s="111" t="s">
        <v>94</v>
      </c>
      <c r="C12" s="74"/>
      <c r="D12" s="75"/>
      <c r="E12" s="112"/>
      <c r="F12" s="113">
        <v>475</v>
      </c>
      <c r="G12" s="113">
        <v>2236</v>
      </c>
      <c r="H12" s="113">
        <v>517</v>
      </c>
    </row>
    <row r="13" spans="1:8" s="12" customFormat="1" ht="30.75" customHeight="1">
      <c r="B13" s="1291" t="s">
        <v>95</v>
      </c>
      <c r="C13" s="1291"/>
      <c r="D13" s="1291"/>
      <c r="E13" s="114"/>
      <c r="F13" s="113">
        <v>50100.85576346</v>
      </c>
      <c r="G13" s="113">
        <v>63267</v>
      </c>
      <c r="H13" s="113">
        <v>71200</v>
      </c>
    </row>
    <row r="14" spans="1:8" s="12" customFormat="1" ht="16.5" customHeight="1">
      <c r="B14" s="111" t="s">
        <v>96</v>
      </c>
      <c r="C14" s="74"/>
      <c r="D14" s="75"/>
      <c r="E14" s="115"/>
      <c r="F14" s="113">
        <v>38019.199999999997</v>
      </c>
      <c r="G14" s="113">
        <v>37711</v>
      </c>
      <c r="H14" s="113">
        <v>28800</v>
      </c>
    </row>
    <row r="15" spans="1:8" s="12" customFormat="1" ht="16.5" customHeight="1">
      <c r="B15" s="111" t="s">
        <v>97</v>
      </c>
      <c r="C15" s="74"/>
      <c r="D15" s="75"/>
      <c r="E15" s="112"/>
      <c r="F15" s="113">
        <v>-87645</v>
      </c>
      <c r="G15" s="113">
        <v>-98742</v>
      </c>
      <c r="H15" s="113">
        <v>-99483</v>
      </c>
    </row>
    <row r="16" spans="1:8" s="12" customFormat="1" ht="16.5" customHeight="1">
      <c r="B16" s="111" t="s">
        <v>98</v>
      </c>
      <c r="C16" s="74"/>
      <c r="D16" s="75"/>
      <c r="E16" s="116"/>
      <c r="F16" s="117">
        <v>-6.2</v>
      </c>
      <c r="G16" s="117">
        <v>-6.4</v>
      </c>
      <c r="H16" s="117">
        <v>-5.8</v>
      </c>
    </row>
    <row r="17" spans="2:13" s="12" customFormat="1" ht="16.5" customHeight="1">
      <c r="B17" s="118"/>
      <c r="C17" s="74"/>
      <c r="D17" s="75"/>
      <c r="E17" s="75"/>
      <c r="F17" s="75"/>
      <c r="G17" s="75"/>
      <c r="H17" s="75"/>
    </row>
    <row r="18" spans="2:13" s="12" customFormat="1" ht="48" customHeight="1">
      <c r="B18" s="1292" t="s">
        <v>99</v>
      </c>
      <c r="C18" s="1292"/>
      <c r="D18" s="75"/>
      <c r="E18" s="119"/>
      <c r="F18" s="120">
        <v>225074.96793169001</v>
      </c>
      <c r="G18" s="120">
        <v>233752</v>
      </c>
      <c r="H18" s="120">
        <v>285217</v>
      </c>
    </row>
    <row r="19" spans="2:13" s="12" customFormat="1" ht="16.5" customHeight="1">
      <c r="B19" s="111"/>
      <c r="C19" s="74"/>
      <c r="D19" s="75"/>
      <c r="E19" s="121"/>
      <c r="F19" s="121"/>
      <c r="G19" s="121"/>
      <c r="H19" s="121"/>
    </row>
    <row r="20" spans="2:13" s="12" customFormat="1" ht="16.5" customHeight="1">
      <c r="B20" s="111" t="s">
        <v>100</v>
      </c>
      <c r="C20" s="74"/>
      <c r="D20" s="75"/>
      <c r="E20" s="122"/>
      <c r="F20" s="77">
        <v>112511.15106439001</v>
      </c>
      <c r="G20" s="77">
        <v>130116</v>
      </c>
      <c r="H20" s="77">
        <v>147206</v>
      </c>
    </row>
    <row r="21" spans="2:13" s="12" customFormat="1" ht="16.5" customHeight="1">
      <c r="B21" s="111"/>
      <c r="C21" s="109" t="s">
        <v>101</v>
      </c>
      <c r="D21" s="75"/>
      <c r="E21" s="121"/>
      <c r="F21" s="82">
        <v>38953.123958889999</v>
      </c>
      <c r="G21" s="82">
        <v>27051</v>
      </c>
      <c r="H21" s="82">
        <v>30640</v>
      </c>
    </row>
    <row r="22" spans="2:13" s="12" customFormat="1" ht="16.5" customHeight="1">
      <c r="B22" s="111"/>
      <c r="C22" s="109" t="s">
        <v>102</v>
      </c>
      <c r="D22" s="75"/>
      <c r="E22" s="121"/>
      <c r="F22" s="82">
        <v>50065.452924010002</v>
      </c>
      <c r="G22" s="82">
        <v>79829</v>
      </c>
      <c r="H22" s="82">
        <v>84760</v>
      </c>
    </row>
    <row r="23" spans="2:13" s="12" customFormat="1" ht="16.5" customHeight="1">
      <c r="B23" s="111"/>
      <c r="C23" s="109" t="s">
        <v>103</v>
      </c>
      <c r="D23" s="75"/>
      <c r="E23" s="121"/>
      <c r="F23" s="82">
        <v>12771.538290660001</v>
      </c>
      <c r="G23" s="82">
        <v>11570</v>
      </c>
      <c r="H23" s="82">
        <v>19302</v>
      </c>
    </row>
    <row r="24" spans="2:13" s="12" customFormat="1" ht="16.5" customHeight="1">
      <c r="B24" s="111"/>
      <c r="C24" s="109" t="s">
        <v>104</v>
      </c>
      <c r="D24" s="75"/>
      <c r="E24" s="121"/>
      <c r="F24" s="82">
        <v>58.64587281</v>
      </c>
      <c r="G24" s="82">
        <v>142</v>
      </c>
      <c r="H24" s="82">
        <v>94</v>
      </c>
      <c r="J24" s="123"/>
    </row>
    <row r="25" spans="2:13" s="12" customFormat="1" ht="16.5" customHeight="1">
      <c r="B25" s="111"/>
      <c r="C25" s="109" t="s">
        <v>105</v>
      </c>
      <c r="D25" s="75"/>
      <c r="E25" s="121"/>
      <c r="F25" s="82">
        <v>2992.9348780500004</v>
      </c>
      <c r="G25" s="82">
        <v>3035</v>
      </c>
      <c r="H25" s="82">
        <v>3460</v>
      </c>
      <c r="K25" s="124"/>
      <c r="L25" s="124"/>
      <c r="M25" s="124"/>
    </row>
    <row r="26" spans="2:13" s="12" customFormat="1" ht="16.5" customHeight="1">
      <c r="B26" s="111"/>
      <c r="C26" s="109" t="s">
        <v>106</v>
      </c>
      <c r="D26" s="75"/>
      <c r="E26" s="121"/>
      <c r="F26" s="82">
        <v>7669.4551399700003</v>
      </c>
      <c r="G26" s="82">
        <v>8489</v>
      </c>
      <c r="H26" s="82">
        <v>8950</v>
      </c>
    </row>
    <row r="27" spans="2:13" s="12" customFormat="1" ht="16.5" customHeight="1">
      <c r="B27" s="111"/>
      <c r="C27" s="74"/>
      <c r="D27" s="75"/>
      <c r="E27" s="121"/>
      <c r="F27" s="82"/>
      <c r="G27" s="82"/>
      <c r="H27" s="82"/>
    </row>
    <row r="28" spans="2:13" s="12" customFormat="1" ht="16.5" customHeight="1">
      <c r="B28" s="111" t="s">
        <v>107</v>
      </c>
      <c r="C28" s="74"/>
      <c r="D28" s="75"/>
      <c r="E28" s="122"/>
      <c r="F28" s="77">
        <v>41886.816867300004</v>
      </c>
      <c r="G28" s="77">
        <v>43588</v>
      </c>
      <c r="H28" s="77">
        <v>51021</v>
      </c>
      <c r="K28" s="124"/>
      <c r="L28" s="124"/>
      <c r="M28" s="124"/>
    </row>
    <row r="29" spans="2:13" s="12" customFormat="1" ht="16.5" customHeight="1">
      <c r="B29" s="111"/>
      <c r="C29" s="125" t="s">
        <v>108</v>
      </c>
      <c r="D29" s="75"/>
      <c r="E29" s="121"/>
      <c r="F29" s="82">
        <v>26773</v>
      </c>
      <c r="G29" s="82">
        <v>25616</v>
      </c>
      <c r="H29" s="82">
        <v>29710</v>
      </c>
    </row>
    <row r="30" spans="2:13" s="12" customFormat="1" ht="16.5" customHeight="1">
      <c r="B30" s="111"/>
      <c r="C30" s="109" t="s">
        <v>109</v>
      </c>
      <c r="D30" s="75"/>
      <c r="E30" s="121"/>
      <c r="F30" s="82">
        <v>9855</v>
      </c>
      <c r="G30" s="82">
        <v>10241</v>
      </c>
      <c r="H30" s="82">
        <v>10720</v>
      </c>
    </row>
    <row r="31" spans="2:13" s="12" customFormat="1" ht="16.5" customHeight="1">
      <c r="B31" s="111"/>
      <c r="C31" s="109" t="s">
        <v>110</v>
      </c>
      <c r="D31" s="75"/>
      <c r="E31" s="121"/>
      <c r="F31" s="82">
        <v>2346</v>
      </c>
      <c r="G31" s="82">
        <v>2645</v>
      </c>
      <c r="H31" s="82">
        <v>3020</v>
      </c>
    </row>
    <row r="32" spans="2:13" s="12" customFormat="1" ht="16.5" customHeight="1">
      <c r="B32" s="111"/>
      <c r="C32" s="109" t="s">
        <v>111</v>
      </c>
      <c r="D32" s="75"/>
      <c r="E32" s="121"/>
      <c r="F32" s="82">
        <v>746</v>
      </c>
      <c r="G32" s="82">
        <v>2057</v>
      </c>
      <c r="H32" s="82">
        <v>2200</v>
      </c>
    </row>
    <row r="33" spans="2:15" s="12" customFormat="1" ht="16.5" customHeight="1">
      <c r="B33" s="111"/>
      <c r="C33" s="109" t="s">
        <v>106</v>
      </c>
      <c r="D33" s="75"/>
      <c r="E33" s="121"/>
      <c r="F33" s="82">
        <v>2166.8168673000037</v>
      </c>
      <c r="G33" s="82">
        <v>3029</v>
      </c>
      <c r="H33" s="82">
        <v>5371</v>
      </c>
      <c r="I33" s="126"/>
    </row>
    <row r="34" spans="2:15" s="12" customFormat="1" ht="16.5" customHeight="1">
      <c r="B34" s="111"/>
      <c r="C34" s="74"/>
      <c r="D34" s="75"/>
      <c r="E34" s="121"/>
      <c r="F34" s="82"/>
      <c r="G34" s="82"/>
      <c r="H34" s="82"/>
    </row>
    <row r="35" spans="2:15" s="12" customFormat="1" ht="16.5" customHeight="1">
      <c r="B35" s="111" t="s">
        <v>112</v>
      </c>
      <c r="C35" s="74"/>
      <c r="D35" s="75"/>
      <c r="E35" s="122"/>
      <c r="F35" s="77">
        <v>70677</v>
      </c>
      <c r="G35" s="77">
        <v>60048</v>
      </c>
      <c r="H35" s="77">
        <v>86990</v>
      </c>
    </row>
    <row r="36" spans="2:15" s="12" customFormat="1" ht="16.5" customHeight="1">
      <c r="B36" s="111"/>
      <c r="C36" s="109" t="s">
        <v>113</v>
      </c>
      <c r="D36" s="75"/>
      <c r="E36" s="121"/>
      <c r="F36" s="82">
        <v>10931</v>
      </c>
      <c r="G36" s="82">
        <v>10578</v>
      </c>
      <c r="H36" s="82">
        <v>13331</v>
      </c>
      <c r="M36" s="124"/>
      <c r="N36" s="124"/>
      <c r="O36" s="124"/>
    </row>
    <row r="37" spans="2:15" s="12" customFormat="1" ht="16.5" customHeight="1">
      <c r="B37" s="111"/>
      <c r="C37" s="109" t="s">
        <v>114</v>
      </c>
      <c r="D37" s="75"/>
      <c r="E37" s="121"/>
      <c r="F37" s="82">
        <v>46067</v>
      </c>
      <c r="G37" s="82">
        <v>35018</v>
      </c>
      <c r="H37" s="82">
        <v>63442</v>
      </c>
      <c r="M37" s="124"/>
      <c r="N37" s="124"/>
      <c r="O37" s="124"/>
    </row>
    <row r="38" spans="2:15" s="12" customFormat="1" ht="16.5" customHeight="1">
      <c r="B38" s="111"/>
      <c r="C38" s="109" t="s">
        <v>106</v>
      </c>
      <c r="D38" s="75"/>
      <c r="E38" s="121"/>
      <c r="F38" s="82">
        <v>13679</v>
      </c>
      <c r="G38" s="82">
        <v>14452</v>
      </c>
      <c r="H38" s="82">
        <v>10217</v>
      </c>
      <c r="M38" s="124"/>
      <c r="N38" s="124"/>
      <c r="O38" s="124"/>
    </row>
    <row r="39" spans="2:15" s="12" customFormat="1" ht="16.5" customHeight="1">
      <c r="B39" s="118"/>
      <c r="C39" s="74"/>
      <c r="D39" s="75"/>
      <c r="E39" s="127"/>
      <c r="F39" s="24"/>
      <c r="G39" s="24"/>
      <c r="H39" s="24"/>
      <c r="I39" s="126"/>
    </row>
    <row r="40" spans="2:15" s="16" customFormat="1" ht="28.5" customHeight="1">
      <c r="B40" s="1287" t="s">
        <v>115</v>
      </c>
      <c r="C40" s="1287"/>
      <c r="D40" s="22"/>
      <c r="E40" s="128"/>
      <c r="F40" s="129"/>
      <c r="G40" s="24"/>
      <c r="H40" s="24"/>
    </row>
    <row r="41" spans="2:15" s="16" customFormat="1" ht="15.25" customHeight="1">
      <c r="B41" s="130" t="s">
        <v>116</v>
      </c>
      <c r="D41" s="22"/>
      <c r="E41" s="23"/>
      <c r="F41" s="23">
        <v>523663</v>
      </c>
      <c r="G41" s="24">
        <v>578302</v>
      </c>
      <c r="H41" s="24" t="s">
        <v>28</v>
      </c>
      <c r="I41" s="103"/>
      <c r="J41" s="103"/>
      <c r="K41" s="103"/>
      <c r="L41" s="103"/>
      <c r="M41" s="103"/>
    </row>
    <row r="42" spans="2:15" s="16" customFormat="1" ht="15.25" customHeight="1">
      <c r="B42" s="28" t="s">
        <v>117</v>
      </c>
      <c r="C42" s="29"/>
      <c r="D42" s="22"/>
      <c r="E42" s="23"/>
      <c r="F42" s="23">
        <v>2037481</v>
      </c>
      <c r="G42" s="24">
        <v>2165807</v>
      </c>
      <c r="H42" s="24" t="s">
        <v>28</v>
      </c>
      <c r="I42" s="103"/>
      <c r="J42" s="103"/>
      <c r="K42" s="103"/>
      <c r="L42" s="103"/>
      <c r="M42" s="103"/>
    </row>
    <row r="43" spans="2:15" s="16" customFormat="1" ht="15.25" customHeight="1">
      <c r="B43" s="28" t="s">
        <v>118</v>
      </c>
      <c r="C43" s="29"/>
      <c r="D43" s="22"/>
      <c r="E43" s="23"/>
      <c r="F43" s="23">
        <v>2040994</v>
      </c>
      <c r="G43" s="24">
        <v>2171799</v>
      </c>
      <c r="H43" s="24" t="s">
        <v>28</v>
      </c>
      <c r="I43" s="103"/>
      <c r="J43" s="103"/>
      <c r="K43" s="103"/>
      <c r="L43" s="103"/>
      <c r="M43" s="103"/>
    </row>
    <row r="44" spans="2:15" s="16" customFormat="1" ht="15.25" customHeight="1">
      <c r="B44" s="28"/>
      <c r="C44" s="29"/>
      <c r="D44" s="22"/>
      <c r="E44" s="22"/>
      <c r="F44" s="22"/>
      <c r="G44" s="66"/>
      <c r="H44" s="66"/>
    </row>
    <row r="45" spans="2:15" s="16" customFormat="1" ht="28.5" customHeight="1">
      <c r="B45" s="1287" t="s">
        <v>119</v>
      </c>
      <c r="C45" s="1287"/>
      <c r="D45" s="22"/>
      <c r="E45" s="128"/>
      <c r="F45" s="131">
        <v>1.75</v>
      </c>
      <c r="G45" s="131">
        <v>1.75</v>
      </c>
      <c r="H45" s="131">
        <v>2.75</v>
      </c>
    </row>
    <row r="46" spans="2:15" s="16" customFormat="1" ht="16.5" customHeight="1">
      <c r="B46" s="110"/>
      <c r="C46" s="110"/>
      <c r="D46" s="22"/>
      <c r="E46" s="128"/>
      <c r="F46" s="131"/>
      <c r="G46" s="131"/>
      <c r="H46" s="131"/>
    </row>
    <row r="47" spans="2:15" s="16" customFormat="1" ht="34.5" customHeight="1">
      <c r="B47" s="1287" t="s">
        <v>120</v>
      </c>
      <c r="C47" s="1287"/>
      <c r="D47" s="22"/>
      <c r="E47" s="22"/>
      <c r="F47" s="22"/>
      <c r="G47" s="93"/>
      <c r="H47" s="93"/>
    </row>
    <row r="48" spans="2:15" s="16" customFormat="1" ht="29.25" customHeight="1">
      <c r="B48" s="1288" t="s">
        <v>121</v>
      </c>
      <c r="C48" s="1288"/>
      <c r="D48" s="1288"/>
      <c r="E48" s="128"/>
      <c r="F48" s="131">
        <v>0.61</v>
      </c>
      <c r="G48" s="131">
        <v>0.54</v>
      </c>
      <c r="H48" s="93" t="s">
        <v>28</v>
      </c>
    </row>
    <row r="49" spans="1:13" s="16" customFormat="1" ht="29.25" customHeight="1">
      <c r="B49" s="1288" t="s">
        <v>122</v>
      </c>
      <c r="C49" s="1288"/>
      <c r="D49" s="22"/>
      <c r="E49" s="128"/>
      <c r="F49" s="131">
        <v>2.13</v>
      </c>
      <c r="G49" s="131">
        <v>1.72</v>
      </c>
      <c r="H49" s="93" t="s">
        <v>28</v>
      </c>
    </row>
    <row r="50" spans="1:13" s="16" customFormat="1" ht="38.25" customHeight="1">
      <c r="B50" s="1288" t="s">
        <v>123</v>
      </c>
      <c r="C50" s="1288"/>
      <c r="D50" s="1288"/>
      <c r="E50" s="128"/>
      <c r="F50" s="131">
        <v>3.94</v>
      </c>
      <c r="G50" s="131">
        <v>3.44</v>
      </c>
      <c r="H50" s="93" t="s">
        <v>28</v>
      </c>
    </row>
    <row r="51" spans="1:13" s="16" customFormat="1" ht="15.25" customHeight="1">
      <c r="B51" s="37"/>
      <c r="D51" s="132"/>
      <c r="E51" s="84"/>
      <c r="F51" s="85"/>
      <c r="G51" s="85"/>
      <c r="H51" s="85"/>
    </row>
    <row r="52" spans="1:13" s="16" customFormat="1" ht="15.25" customHeight="1">
      <c r="B52" s="1289" t="s">
        <v>124</v>
      </c>
      <c r="C52" s="1289"/>
      <c r="D52" s="1289"/>
      <c r="E52" s="87"/>
      <c r="F52" s="88"/>
      <c r="G52" s="88"/>
      <c r="H52" s="88"/>
    </row>
    <row r="53" spans="1:13" s="16" customFormat="1" ht="16.5" customHeight="1">
      <c r="B53" s="1290" t="s">
        <v>125</v>
      </c>
      <c r="C53" s="1290"/>
      <c r="D53" s="1290"/>
      <c r="E53" s="133"/>
      <c r="F53" s="134">
        <v>1627.2</v>
      </c>
      <c r="G53" s="135">
        <v>1567.5</v>
      </c>
      <c r="H53" s="135">
        <v>1495.49</v>
      </c>
      <c r="I53" s="100"/>
      <c r="J53" s="100"/>
      <c r="K53" s="100"/>
      <c r="L53" s="100"/>
      <c r="M53" s="100"/>
    </row>
    <row r="54" spans="1:13" s="16" customFormat="1" ht="15.25" customHeight="1">
      <c r="B54" s="1283" t="s">
        <v>126</v>
      </c>
      <c r="C54" s="1284"/>
      <c r="D54" s="1284"/>
      <c r="E54" s="133"/>
      <c r="F54" s="134">
        <v>1817.29</v>
      </c>
      <c r="G54" s="136">
        <v>1789.2</v>
      </c>
      <c r="H54" s="136">
        <v>1736.21</v>
      </c>
    </row>
    <row r="55" spans="1:13" s="16" customFormat="1" ht="15.25" customHeight="1">
      <c r="B55" s="1284" t="s">
        <v>127</v>
      </c>
      <c r="C55" s="1284"/>
      <c r="D55" s="1284"/>
      <c r="E55" s="133"/>
      <c r="F55" s="134">
        <v>1068.0096299999998</v>
      </c>
      <c r="G55" s="136">
        <v>897.04391999999996</v>
      </c>
      <c r="H55" s="136">
        <v>530.85597999999993</v>
      </c>
    </row>
    <row r="56" spans="1:13" s="16" customFormat="1" ht="15.25" customHeight="1">
      <c r="B56" s="1284" t="s">
        <v>128</v>
      </c>
      <c r="C56" s="1284"/>
      <c r="D56" s="1284"/>
      <c r="E56" s="133"/>
      <c r="F56" s="134">
        <v>1855.79468</v>
      </c>
      <c r="G56" s="136">
        <v>1433.3585500000002</v>
      </c>
      <c r="H56" s="136">
        <v>729.2958000000001</v>
      </c>
    </row>
    <row r="57" spans="1:13" s="42" customFormat="1" ht="8.25" customHeight="1">
      <c r="B57" s="104"/>
      <c r="C57" s="102"/>
      <c r="D57" s="100"/>
      <c r="E57" s="100"/>
      <c r="F57" s="22"/>
      <c r="G57" s="22"/>
      <c r="H57" s="22"/>
    </row>
    <row r="58" spans="1:13" s="42" customFormat="1" ht="8.25" customHeight="1" thickBot="1">
      <c r="A58" s="41"/>
      <c r="B58" s="41"/>
      <c r="C58" s="41"/>
      <c r="D58" s="41"/>
      <c r="E58" s="41"/>
      <c r="F58" s="41"/>
      <c r="G58" s="41"/>
      <c r="H58" s="41"/>
    </row>
    <row r="59" spans="1:13" s="49" customFormat="1" ht="14.25" customHeight="1" thickTop="1">
      <c r="D59" s="1285" t="s">
        <v>129</v>
      </c>
      <c r="E59" s="1285"/>
      <c r="F59" s="1285"/>
      <c r="G59" s="1285"/>
      <c r="H59" s="1285"/>
    </row>
    <row r="60" spans="1:13" s="49" customFormat="1" ht="14.25" customHeight="1">
      <c r="D60" s="1286" t="s">
        <v>130</v>
      </c>
      <c r="E60" s="1286"/>
      <c r="F60" s="1286"/>
      <c r="G60" s="1286"/>
      <c r="H60" s="1286"/>
    </row>
    <row r="61" spans="1:13" s="49" customFormat="1" ht="14.25" customHeight="1">
      <c r="D61" s="137"/>
      <c r="E61" s="137"/>
      <c r="F61" s="137"/>
      <c r="G61" s="137"/>
      <c r="H61" s="137" t="s">
        <v>131</v>
      </c>
    </row>
    <row r="62" spans="1:13" s="49" customFormat="1" ht="15.25" customHeight="1">
      <c r="B62" s="106"/>
      <c r="D62" s="1282" t="s">
        <v>132</v>
      </c>
      <c r="E62" s="1282"/>
      <c r="F62" s="1282"/>
      <c r="G62" s="1282"/>
      <c r="H62" s="1282"/>
    </row>
    <row r="63" spans="1:13" s="49" customFormat="1" ht="15.25" customHeight="1">
      <c r="B63" s="106"/>
      <c r="D63" s="138"/>
      <c r="E63" s="138"/>
      <c r="F63" s="138"/>
      <c r="G63" s="138"/>
      <c r="H63" s="138" t="s">
        <v>133</v>
      </c>
    </row>
    <row r="64" spans="1:13" s="49" customFormat="1" ht="15.75" customHeight="1">
      <c r="B64" s="139"/>
      <c r="D64" s="1282" t="s">
        <v>131</v>
      </c>
      <c r="E64" s="1282"/>
      <c r="F64" s="1282"/>
      <c r="G64" s="1282"/>
      <c r="H64" s="1282"/>
    </row>
    <row r="65" spans="2:8" s="140" customFormat="1" ht="12">
      <c r="B65" s="140" t="s">
        <v>134</v>
      </c>
      <c r="E65" s="141"/>
      <c r="F65" s="141"/>
      <c r="G65" s="141"/>
      <c r="H65" s="141"/>
    </row>
    <row r="66" spans="2:8" s="140" customFormat="1" ht="12">
      <c r="B66" s="142" t="s">
        <v>135</v>
      </c>
      <c r="E66" s="141"/>
      <c r="F66" s="141"/>
      <c r="G66" s="141"/>
      <c r="H66" s="141"/>
    </row>
    <row r="67" spans="2:8" s="140" customFormat="1" ht="12">
      <c r="B67" s="141" t="s">
        <v>136</v>
      </c>
      <c r="E67" s="141"/>
      <c r="F67" s="141"/>
      <c r="G67" s="141"/>
      <c r="H67" s="141"/>
    </row>
    <row r="68" spans="2:8" s="1" customFormat="1">
      <c r="B68" s="141"/>
      <c r="E68"/>
      <c r="F68"/>
      <c r="G68" s="143"/>
    </row>
  </sheetData>
  <mergeCells count="19">
    <mergeCell ref="B53:D53"/>
    <mergeCell ref="B6:D6"/>
    <mergeCell ref="B9:C9"/>
    <mergeCell ref="B13:D13"/>
    <mergeCell ref="B18:C18"/>
    <mergeCell ref="B40:C40"/>
    <mergeCell ref="B45:C45"/>
    <mergeCell ref="B47:C47"/>
    <mergeCell ref="B48:D48"/>
    <mergeCell ref="B49:C49"/>
    <mergeCell ref="B50:D50"/>
    <mergeCell ref="B52:D52"/>
    <mergeCell ref="D64:H64"/>
    <mergeCell ref="B54:D54"/>
    <mergeCell ref="B55:D55"/>
    <mergeCell ref="B56:D56"/>
    <mergeCell ref="D59:H59"/>
    <mergeCell ref="D60:H60"/>
    <mergeCell ref="D62:H62"/>
  </mergeCells>
  <conditionalFormatting sqref="C42:C44">
    <cfRule type="cellIs" dxfId="38" priority="2" stopIfTrue="1" operator="lessThan">
      <formula>0</formula>
    </cfRule>
  </conditionalFormatting>
  <conditionalFormatting sqref="C52:C57">
    <cfRule type="cellIs" dxfId="37" priority="1" stopIfTrue="1" operator="lessThan">
      <formula>0</formula>
    </cfRule>
  </conditionalFormatting>
  <pageMargins left="0.55118110236220474" right="0.55118110236220474" top="0.55118110236220474" bottom="0.55118110236220474" header="0.31496062992125984" footer="0.31496062992125984"/>
  <pageSetup paperSize="9" scale="61"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E64B5-F8B4-4A4D-9428-E5D2872A5F81}">
  <sheetPr codeName="Sheet31">
    <pageSetUpPr fitToPage="1"/>
  </sheetPr>
  <dimension ref="A1:L74"/>
  <sheetViews>
    <sheetView view="pageBreakPreview" zoomScaleNormal="100" zoomScaleSheetLayoutView="100" workbookViewId="0">
      <selection activeCell="D60" sqref="D60"/>
    </sheetView>
  </sheetViews>
  <sheetFormatPr baseColWidth="10" defaultColWidth="8.83203125" defaultRowHeight="15"/>
  <cols>
    <col min="1" max="1" width="4.33203125" customWidth="1"/>
    <col min="2" max="2" width="8.83203125" customWidth="1"/>
    <col min="3" max="3" width="39" customWidth="1"/>
    <col min="5" max="5" width="20.5" customWidth="1"/>
    <col min="6" max="6" width="14.33203125" customWidth="1"/>
    <col min="7" max="7" width="14.6640625" customWidth="1"/>
    <col min="8" max="8" width="13.83203125" customWidth="1"/>
  </cols>
  <sheetData>
    <row r="1" spans="1:12" s="12" customFormat="1" ht="8.25" customHeight="1"/>
    <row r="2" spans="1:12" s="12" customFormat="1" ht="8.25" customHeight="1"/>
    <row r="3" spans="1:12" s="1" customFormat="1" ht="16.5" customHeight="1">
      <c r="B3" s="2" t="s">
        <v>137</v>
      </c>
      <c r="C3" s="3" t="s">
        <v>138</v>
      </c>
      <c r="G3" s="4"/>
    </row>
    <row r="4" spans="1:12" s="1" customFormat="1" ht="16.5" customHeight="1">
      <c r="B4" s="5" t="s">
        <v>139</v>
      </c>
      <c r="C4" s="6" t="s">
        <v>140</v>
      </c>
      <c r="D4" s="7"/>
      <c r="E4" s="7"/>
      <c r="F4" s="7"/>
      <c r="G4" s="4"/>
    </row>
    <row r="5" spans="1:12" s="12" customFormat="1" ht="13.25" customHeight="1" thickBot="1">
      <c r="A5" s="9"/>
      <c r="B5" s="9"/>
      <c r="C5" s="9"/>
      <c r="D5" s="9"/>
      <c r="E5" s="9"/>
      <c r="F5" s="8"/>
      <c r="G5" s="8"/>
    </row>
    <row r="6" spans="1:12" s="12" customFormat="1" ht="43" customHeight="1" thickBot="1">
      <c r="A6" s="10"/>
      <c r="B6" s="1273" t="s">
        <v>141</v>
      </c>
      <c r="C6" s="1293"/>
      <c r="D6" s="10"/>
      <c r="E6" s="144"/>
      <c r="F6" s="11">
        <v>2022</v>
      </c>
      <c r="G6" s="11">
        <v>2023</v>
      </c>
      <c r="H6" s="11">
        <v>2024</v>
      </c>
    </row>
    <row r="7" spans="1:12" s="12" customFormat="1" ht="15.25" customHeight="1">
      <c r="B7" s="73"/>
      <c r="C7" s="74"/>
      <c r="D7" s="75"/>
      <c r="E7" s="75"/>
      <c r="F7" s="75"/>
      <c r="G7" s="75"/>
    </row>
    <row r="8" spans="1:12" s="16" customFormat="1" ht="15.25" customHeight="1">
      <c r="B8" s="37" t="s">
        <v>142</v>
      </c>
    </row>
    <row r="9" spans="1:12" s="16" customFormat="1" ht="15.25" customHeight="1">
      <c r="B9" s="78" t="s">
        <v>143</v>
      </c>
      <c r="F9" s="145"/>
      <c r="G9" s="145"/>
      <c r="H9" s="145"/>
      <c r="L9" s="80"/>
    </row>
    <row r="10" spans="1:12" s="16" customFormat="1" ht="15.25" customHeight="1">
      <c r="F10" s="146"/>
      <c r="G10" s="146"/>
      <c r="H10" s="145"/>
    </row>
    <row r="11" spans="1:12" s="16" customFormat="1" ht="15.25" customHeight="1">
      <c r="B11" s="130" t="s">
        <v>144</v>
      </c>
      <c r="F11" s="147">
        <v>240029.5</v>
      </c>
      <c r="G11" s="147">
        <v>199667.6</v>
      </c>
      <c r="H11" s="147">
        <v>197884.2</v>
      </c>
      <c r="I11" s="148"/>
    </row>
    <row r="12" spans="1:12" s="16" customFormat="1" ht="15.25" customHeight="1">
      <c r="B12" s="149" t="s">
        <v>145</v>
      </c>
      <c r="F12" s="147"/>
      <c r="G12" s="147"/>
      <c r="H12" s="150"/>
      <c r="I12" s="148"/>
    </row>
    <row r="13" spans="1:12" s="16" customFormat="1" ht="7.5" customHeight="1">
      <c r="B13" s="149"/>
      <c r="F13" s="147"/>
      <c r="G13" s="147"/>
      <c r="H13" s="150"/>
      <c r="I13" s="148"/>
    </row>
    <row r="14" spans="1:12" s="16" customFormat="1" ht="15.25" customHeight="1">
      <c r="B14" s="130" t="s">
        <v>146</v>
      </c>
      <c r="F14" s="147">
        <v>102272.3</v>
      </c>
      <c r="G14" s="147">
        <v>28442.6</v>
      </c>
      <c r="H14" s="147">
        <v>13128.8</v>
      </c>
      <c r="I14" s="148"/>
    </row>
    <row r="15" spans="1:12" s="16" customFormat="1" ht="15.25" customHeight="1">
      <c r="B15" s="149" t="s">
        <v>147</v>
      </c>
      <c r="F15" s="147"/>
      <c r="G15" s="147"/>
      <c r="H15" s="150"/>
      <c r="I15" s="148"/>
    </row>
    <row r="16" spans="1:12" s="16" customFormat="1" ht="7.5" customHeight="1">
      <c r="B16" s="149"/>
      <c r="F16" s="147"/>
      <c r="G16" s="147"/>
      <c r="H16" s="150"/>
      <c r="I16" s="148"/>
    </row>
    <row r="17" spans="2:12" s="16" customFormat="1" ht="15.25" customHeight="1">
      <c r="B17" s="130" t="s">
        <v>148</v>
      </c>
      <c r="F17" s="147">
        <v>89421</v>
      </c>
      <c r="G17" s="147">
        <v>13693.7</v>
      </c>
      <c r="H17" s="147">
        <v>469.4</v>
      </c>
      <c r="I17" s="148"/>
    </row>
    <row r="18" spans="2:12" s="16" customFormat="1" ht="15.25" customHeight="1">
      <c r="B18" s="149" t="s">
        <v>149</v>
      </c>
      <c r="F18" s="147"/>
      <c r="G18" s="147"/>
      <c r="H18" s="147"/>
      <c r="I18" s="148"/>
    </row>
    <row r="19" spans="2:12" s="16" customFormat="1" ht="7.5" customHeight="1">
      <c r="B19" s="149"/>
      <c r="F19" s="147"/>
      <c r="G19" s="147"/>
      <c r="H19" s="147"/>
      <c r="I19" s="148"/>
    </row>
    <row r="20" spans="2:12" s="16" customFormat="1" ht="15.25" customHeight="1">
      <c r="B20" s="130" t="s">
        <v>150</v>
      </c>
      <c r="F20" s="147">
        <v>92638.2</v>
      </c>
      <c r="G20" s="147">
        <v>38634.6</v>
      </c>
      <c r="H20" s="147">
        <v>17451</v>
      </c>
      <c r="I20" s="148"/>
    </row>
    <row r="21" spans="2:12" s="16" customFormat="1" ht="15.25" customHeight="1">
      <c r="B21" s="149" t="s">
        <v>151</v>
      </c>
      <c r="F21" s="147"/>
      <c r="G21" s="147"/>
      <c r="H21" s="147"/>
      <c r="I21" s="148"/>
    </row>
    <row r="22" spans="2:12" s="16" customFormat="1" ht="7.5" customHeight="1">
      <c r="B22" s="149"/>
      <c r="F22" s="147"/>
      <c r="G22" s="147"/>
      <c r="H22" s="147"/>
      <c r="I22" s="148"/>
    </row>
    <row r="23" spans="2:12" s="16" customFormat="1" ht="15.25" customHeight="1">
      <c r="B23" s="130" t="s">
        <v>152</v>
      </c>
      <c r="F23" s="147">
        <v>44800.1</v>
      </c>
      <c r="G23" s="147">
        <v>17219.2</v>
      </c>
      <c r="H23" s="147">
        <v>10281.200000000001</v>
      </c>
      <c r="I23" s="148"/>
    </row>
    <row r="24" spans="2:12" s="16" customFormat="1" ht="15.25" customHeight="1">
      <c r="B24" s="149" t="s">
        <v>153</v>
      </c>
      <c r="F24" s="147"/>
      <c r="G24" s="147"/>
      <c r="H24" s="147"/>
      <c r="I24" s="148"/>
    </row>
    <row r="25" spans="2:12" s="16" customFormat="1" ht="7.5" customHeight="1">
      <c r="B25" s="149"/>
      <c r="F25" s="147"/>
      <c r="G25" s="147"/>
      <c r="H25" s="147"/>
      <c r="I25" s="148"/>
    </row>
    <row r="26" spans="2:12" s="16" customFormat="1" ht="15.25" customHeight="1">
      <c r="B26" s="130" t="s">
        <v>154</v>
      </c>
      <c r="F26" s="147">
        <v>3561.8</v>
      </c>
      <c r="G26" s="147">
        <v>3457.5</v>
      </c>
      <c r="H26" s="147">
        <v>3520.2</v>
      </c>
      <c r="I26" s="148"/>
    </row>
    <row r="27" spans="2:12" s="16" customFormat="1" ht="15.25" customHeight="1">
      <c r="B27" s="149" t="s">
        <v>155</v>
      </c>
      <c r="I27" s="148"/>
    </row>
    <row r="28" spans="2:12" s="16" customFormat="1" ht="15.25" customHeight="1">
      <c r="B28" s="130"/>
      <c r="I28" s="148"/>
    </row>
    <row r="29" spans="2:12" s="16" customFormat="1" ht="15.25" customHeight="1">
      <c r="B29" s="37" t="s">
        <v>156</v>
      </c>
    </row>
    <row r="30" spans="2:12" s="16" customFormat="1" ht="15.25" customHeight="1">
      <c r="B30" s="78" t="s">
        <v>157</v>
      </c>
      <c r="F30" s="146"/>
      <c r="G30" s="146"/>
      <c r="H30" s="145"/>
      <c r="L30" s="80"/>
    </row>
    <row r="31" spans="2:12" s="16" customFormat="1" ht="15.25" customHeight="1">
      <c r="F31" s="146"/>
      <c r="G31" s="146"/>
      <c r="H31" s="145"/>
    </row>
    <row r="32" spans="2:12" s="16" customFormat="1" ht="15.25" customHeight="1">
      <c r="B32" s="130" t="s">
        <v>158</v>
      </c>
      <c r="F32" s="151">
        <v>8.9</v>
      </c>
      <c r="G32" s="151">
        <v>-16.8</v>
      </c>
      <c r="H32" s="151">
        <v>-0.9</v>
      </c>
      <c r="I32" s="148"/>
    </row>
    <row r="33" spans="2:9" s="16" customFormat="1" ht="15.25" customHeight="1">
      <c r="B33" s="149" t="s">
        <v>159</v>
      </c>
      <c r="F33" s="151"/>
      <c r="G33" s="151"/>
      <c r="H33" s="152"/>
      <c r="I33" s="148"/>
    </row>
    <row r="34" spans="2:9" s="16" customFormat="1" ht="7.5" customHeight="1">
      <c r="B34" s="149"/>
      <c r="F34" s="151"/>
      <c r="G34" s="151"/>
      <c r="H34" s="152"/>
      <c r="I34" s="148"/>
    </row>
    <row r="35" spans="2:9" s="16" customFormat="1" ht="15.25" customHeight="1">
      <c r="B35" s="130" t="s">
        <v>160</v>
      </c>
      <c r="F35" s="151">
        <v>8.1</v>
      </c>
      <c r="G35" s="151">
        <v>-72.2</v>
      </c>
      <c r="H35" s="151">
        <v>-53.8</v>
      </c>
      <c r="I35" s="148"/>
    </row>
    <row r="36" spans="2:9" s="16" customFormat="1" ht="15.25" customHeight="1">
      <c r="B36" s="149" t="s">
        <v>161</v>
      </c>
      <c r="F36" s="151"/>
      <c r="G36" s="151"/>
      <c r="H36" s="152"/>
      <c r="I36" s="148"/>
    </row>
    <row r="37" spans="2:9" s="16" customFormat="1" ht="7.5" customHeight="1">
      <c r="B37" s="149"/>
      <c r="F37" s="151"/>
      <c r="G37" s="151"/>
      <c r="H37" s="152"/>
      <c r="I37" s="148"/>
    </row>
    <row r="38" spans="2:9" s="16" customFormat="1" ht="15.25" customHeight="1">
      <c r="B38" s="130" t="s">
        <v>162</v>
      </c>
      <c r="E38" s="153"/>
      <c r="F38" s="151">
        <v>2</v>
      </c>
      <c r="G38" s="151">
        <v>-84.7</v>
      </c>
      <c r="H38" s="151">
        <v>-96.6</v>
      </c>
      <c r="I38" s="148"/>
    </row>
    <row r="39" spans="2:9" s="16" customFormat="1" ht="15.25" customHeight="1">
      <c r="B39" s="149" t="s">
        <v>163</v>
      </c>
      <c r="F39" s="151"/>
      <c r="G39" s="151"/>
      <c r="H39" s="152"/>
      <c r="I39" s="148"/>
    </row>
    <row r="40" spans="2:9" s="16" customFormat="1" ht="7.5" customHeight="1">
      <c r="B40" s="149"/>
      <c r="F40" s="151"/>
      <c r="G40" s="151"/>
      <c r="H40" s="152"/>
      <c r="I40" s="148"/>
    </row>
    <row r="41" spans="2:9" s="16" customFormat="1" ht="15.25" customHeight="1">
      <c r="B41" s="130" t="s">
        <v>164</v>
      </c>
      <c r="F41" s="151">
        <v>12</v>
      </c>
      <c r="G41" s="151">
        <v>-58.3</v>
      </c>
      <c r="H41" s="151">
        <v>-54.8</v>
      </c>
      <c r="I41" s="148"/>
    </row>
    <row r="42" spans="2:9" s="16" customFormat="1" ht="15.25" customHeight="1">
      <c r="B42" s="149" t="s">
        <v>165</v>
      </c>
      <c r="F42" s="151"/>
      <c r="G42" s="151"/>
      <c r="H42" s="152"/>
      <c r="I42" s="148"/>
    </row>
    <row r="43" spans="2:9" s="16" customFormat="1" ht="7.5" customHeight="1">
      <c r="B43" s="149"/>
      <c r="F43" s="151"/>
      <c r="G43" s="151"/>
      <c r="H43" s="152"/>
      <c r="I43" s="148"/>
    </row>
    <row r="44" spans="2:9" s="16" customFormat="1" ht="15.25" customHeight="1">
      <c r="B44" s="130" t="s">
        <v>166</v>
      </c>
      <c r="F44" s="151">
        <v>8.9</v>
      </c>
      <c r="G44" s="151">
        <v>-61.6</v>
      </c>
      <c r="H44" s="151">
        <v>-40.299999999999997</v>
      </c>
      <c r="I44" s="148"/>
    </row>
    <row r="45" spans="2:9" s="16" customFormat="1" ht="15.25" customHeight="1">
      <c r="B45" s="149" t="s">
        <v>167</v>
      </c>
      <c r="F45" s="151"/>
      <c r="G45" s="151"/>
      <c r="H45" s="152"/>
      <c r="I45" s="148"/>
    </row>
    <row r="46" spans="2:9" s="16" customFormat="1" ht="7.5" customHeight="1">
      <c r="B46" s="149"/>
      <c r="F46" s="151"/>
      <c r="G46" s="151"/>
      <c r="H46" s="152"/>
      <c r="I46" s="148"/>
    </row>
    <row r="47" spans="2:9" s="16" customFormat="1" ht="15.25" customHeight="1">
      <c r="B47" s="130" t="s">
        <v>168</v>
      </c>
      <c r="F47" s="151">
        <v>2.6</v>
      </c>
      <c r="G47" s="151">
        <v>-2.9</v>
      </c>
      <c r="H47" s="151">
        <v>1.8</v>
      </c>
      <c r="I47" s="148"/>
    </row>
    <row r="48" spans="2:9" s="16" customFormat="1" ht="15.25" customHeight="1">
      <c r="B48" s="149" t="s">
        <v>169</v>
      </c>
      <c r="F48" s="151"/>
      <c r="G48" s="151"/>
      <c r="H48" s="22"/>
      <c r="I48" s="148"/>
    </row>
    <row r="49" spans="2:12" s="16" customFormat="1" ht="15.25" customHeight="1">
      <c r="B49" s="92"/>
      <c r="C49" s="21"/>
      <c r="D49" s="22"/>
      <c r="E49" s="22"/>
      <c r="F49" s="22"/>
      <c r="G49" s="22"/>
      <c r="H49" s="22"/>
    </row>
    <row r="50" spans="2:12" s="16" customFormat="1" ht="7.5" customHeight="1">
      <c r="B50" s="154"/>
      <c r="C50" s="21"/>
      <c r="D50" s="22"/>
      <c r="E50" s="22"/>
      <c r="F50" s="22"/>
      <c r="G50" s="22"/>
      <c r="H50" s="22"/>
    </row>
    <row r="51" spans="2:12" s="16" customFormat="1" ht="15.25" customHeight="1">
      <c r="B51" s="37" t="s">
        <v>170</v>
      </c>
      <c r="F51" s="22"/>
      <c r="G51" s="22"/>
      <c r="H51" s="22"/>
    </row>
    <row r="52" spans="2:12" s="16" customFormat="1" ht="15.25" customHeight="1">
      <c r="B52" s="78" t="s">
        <v>171</v>
      </c>
      <c r="F52" s="151"/>
      <c r="G52" s="151"/>
      <c r="H52" s="152"/>
      <c r="L52" s="80"/>
    </row>
    <row r="53" spans="2:12" s="16" customFormat="1" ht="15.25" customHeight="1">
      <c r="F53" s="151"/>
      <c r="G53" s="151"/>
      <c r="H53" s="152"/>
    </row>
    <row r="54" spans="2:12" s="16" customFormat="1" ht="15.25" customHeight="1">
      <c r="B54" s="130" t="s">
        <v>158</v>
      </c>
      <c r="F54" s="151">
        <v>15.9</v>
      </c>
      <c r="G54" s="151">
        <v>14.1</v>
      </c>
      <c r="H54" s="151">
        <v>12.8</v>
      </c>
      <c r="I54" s="148"/>
    </row>
    <row r="55" spans="2:12" s="16" customFormat="1" ht="15.25" customHeight="1">
      <c r="B55" s="149" t="s">
        <v>159</v>
      </c>
      <c r="F55" s="151"/>
      <c r="G55" s="151"/>
      <c r="H55" s="152"/>
      <c r="I55" s="148"/>
    </row>
    <row r="56" spans="2:12" s="16" customFormat="1" ht="7.5" customHeight="1">
      <c r="B56" s="149"/>
      <c r="F56" s="151"/>
      <c r="G56" s="151"/>
      <c r="H56" s="152"/>
      <c r="I56" s="148"/>
    </row>
    <row r="57" spans="2:12" s="16" customFormat="1" ht="15.25" customHeight="1">
      <c r="B57" s="130" t="s">
        <v>160</v>
      </c>
      <c r="F57" s="151">
        <v>6.8</v>
      </c>
      <c r="G57" s="151">
        <v>2</v>
      </c>
      <c r="H57" s="151">
        <v>0.8</v>
      </c>
      <c r="I57" s="148"/>
    </row>
    <row r="58" spans="2:12" s="16" customFormat="1" ht="15.25" customHeight="1">
      <c r="B58" s="149" t="s">
        <v>161</v>
      </c>
      <c r="F58" s="151"/>
      <c r="G58" s="151"/>
      <c r="H58" s="152"/>
      <c r="I58" s="148"/>
    </row>
    <row r="59" spans="2:12" s="16" customFormat="1" ht="7.5" customHeight="1">
      <c r="B59" s="149"/>
      <c r="F59" s="151"/>
      <c r="G59" s="151"/>
      <c r="H59" s="152"/>
      <c r="I59" s="148"/>
    </row>
    <row r="60" spans="2:12" s="16" customFormat="1" ht="15.25" customHeight="1">
      <c r="B60" s="104"/>
      <c r="C60" s="21"/>
      <c r="D60" s="22"/>
      <c r="E60" s="22"/>
      <c r="F60" s="22"/>
      <c r="G60" s="22"/>
      <c r="H60" s="22"/>
    </row>
    <row r="61" spans="2:12" s="16" customFormat="1" ht="15.25" customHeight="1">
      <c r="B61" s="28"/>
      <c r="C61" s="29"/>
      <c r="D61" s="30"/>
      <c r="E61" s="30"/>
      <c r="F61" s="93"/>
      <c r="G61" s="93"/>
      <c r="H61" s="22"/>
    </row>
    <row r="62" spans="2:12" s="16" customFormat="1" ht="15.25" customHeight="1">
      <c r="B62" s="28"/>
      <c r="C62" s="29"/>
      <c r="D62" s="30"/>
      <c r="E62" s="30"/>
      <c r="F62" s="93"/>
      <c r="G62" s="93"/>
      <c r="H62" s="22"/>
    </row>
    <row r="63" spans="2:12" s="16" customFormat="1" ht="15.25" customHeight="1">
      <c r="B63" s="28"/>
      <c r="C63" s="29"/>
      <c r="D63" s="30"/>
      <c r="E63" s="30"/>
      <c r="F63" s="93"/>
      <c r="G63" s="93"/>
      <c r="H63" s="22"/>
    </row>
    <row r="64" spans="2:12" s="16" customFormat="1" ht="7.5" customHeight="1">
      <c r="C64" s="21"/>
      <c r="D64" s="22"/>
      <c r="E64" s="22"/>
      <c r="F64" s="22"/>
      <c r="G64" s="93"/>
      <c r="H64" s="22"/>
    </row>
    <row r="65" spans="1:9" s="16" customFormat="1" ht="15.25" customHeight="1">
      <c r="B65" s="99"/>
      <c r="C65" s="94"/>
      <c r="D65" s="23"/>
      <c r="E65" s="23"/>
      <c r="F65" s="22"/>
      <c r="G65" s="93"/>
      <c r="H65" s="22"/>
      <c r="I65" s="98"/>
    </row>
    <row r="66" spans="1:9" s="16" customFormat="1" ht="8.25" customHeight="1">
      <c r="B66" s="99"/>
      <c r="C66" s="94"/>
      <c r="D66" s="23"/>
      <c r="E66" s="23"/>
      <c r="F66" s="23"/>
      <c r="G66" s="86"/>
      <c r="I66" s="98"/>
    </row>
    <row r="67" spans="1:9" s="16" customFormat="1" ht="15.25" customHeight="1">
      <c r="B67" s="28"/>
      <c r="C67" s="94"/>
      <c r="D67" s="22"/>
      <c r="E67" s="22"/>
      <c r="F67" s="22"/>
      <c r="G67" s="30"/>
      <c r="I67" s="98"/>
    </row>
    <row r="68" spans="1:9" s="16" customFormat="1" ht="8.25" customHeight="1" thickBot="1">
      <c r="A68" s="155"/>
      <c r="B68" s="155"/>
      <c r="C68" s="155"/>
      <c r="D68" s="155"/>
      <c r="E68" s="155"/>
      <c r="F68" s="155"/>
      <c r="G68" s="155"/>
      <c r="H68" s="155"/>
    </row>
    <row r="69" spans="1:9" s="16" customFormat="1" ht="15.25" customHeight="1" thickTop="1">
      <c r="D69" s="156"/>
      <c r="E69" s="157"/>
      <c r="F69" s="157"/>
      <c r="G69" s="157"/>
      <c r="H69" s="158" t="s">
        <v>31</v>
      </c>
    </row>
    <row r="70" spans="1:9" s="16" customFormat="1" ht="15.25" customHeight="1">
      <c r="D70" s="156"/>
      <c r="E70" s="156"/>
      <c r="F70" s="156"/>
      <c r="G70" s="156"/>
      <c r="H70" s="159" t="s">
        <v>32</v>
      </c>
    </row>
    <row r="71" spans="1:9" s="12" customFormat="1" ht="13">
      <c r="B71" s="46" t="s">
        <v>172</v>
      </c>
    </row>
    <row r="72" spans="1:9" s="12" customFormat="1" ht="13">
      <c r="B72" s="105" t="s">
        <v>173</v>
      </c>
    </row>
    <row r="73" spans="1:9" s="12" customFormat="1" ht="13">
      <c r="B73" s="107" t="s">
        <v>174</v>
      </c>
    </row>
    <row r="74" spans="1:9" s="12" customFormat="1" ht="13"/>
  </sheetData>
  <mergeCells count="1">
    <mergeCell ref="B6:C6"/>
  </mergeCells>
  <conditionalFormatting sqref="C61:C63">
    <cfRule type="cellIs" dxfId="36" priority="1"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6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E1EFD-AC1A-4EB1-92C4-F1431FD8D8C4}">
  <sheetPr codeName="Sheet32">
    <pageSetUpPr fitToPage="1"/>
  </sheetPr>
  <dimension ref="A1:O72"/>
  <sheetViews>
    <sheetView view="pageBreakPreview" zoomScaleNormal="100" zoomScaleSheetLayoutView="100" workbookViewId="0">
      <selection activeCell="D60" sqref="D60"/>
    </sheetView>
  </sheetViews>
  <sheetFormatPr baseColWidth="10" defaultColWidth="8.83203125" defaultRowHeight="15"/>
  <cols>
    <col min="1" max="1" width="3.6640625" customWidth="1"/>
    <col min="3" max="3" width="37.5" customWidth="1"/>
    <col min="4" max="4" width="10.6640625" customWidth="1"/>
    <col min="5" max="5" width="32.6640625" customWidth="1"/>
    <col min="6" max="6" width="4.6640625" customWidth="1"/>
    <col min="7" max="7" width="14.6640625" customWidth="1"/>
    <col min="8" max="8" width="15" customWidth="1"/>
    <col min="9" max="9" width="13.5" customWidth="1"/>
  </cols>
  <sheetData>
    <row r="1" spans="1:15" s="12" customFormat="1" ht="8.25" customHeight="1"/>
    <row r="2" spans="1:15" s="12" customFormat="1" ht="8.25" customHeight="1"/>
    <row r="3" spans="1:15" s="1" customFormat="1" ht="16.5" customHeight="1">
      <c r="B3" s="2" t="s">
        <v>175</v>
      </c>
      <c r="C3" s="3" t="s">
        <v>176</v>
      </c>
    </row>
    <row r="4" spans="1:15" s="1" customFormat="1" ht="16.5" customHeight="1">
      <c r="B4" s="5" t="s">
        <v>177</v>
      </c>
      <c r="C4" s="6" t="s">
        <v>178</v>
      </c>
      <c r="D4" s="7"/>
      <c r="E4" s="7"/>
      <c r="F4" s="7"/>
      <c r="G4" s="7"/>
      <c r="H4" s="7"/>
    </row>
    <row r="5" spans="1:15" s="12" customFormat="1" ht="13.25" customHeight="1" thickBot="1">
      <c r="A5" s="9"/>
      <c r="B5" s="9"/>
      <c r="C5" s="9"/>
      <c r="D5" s="9"/>
      <c r="E5" s="9"/>
      <c r="F5" s="8"/>
      <c r="G5" s="8"/>
      <c r="H5" s="8"/>
    </row>
    <row r="6" spans="1:15" s="12" customFormat="1" ht="43" customHeight="1" thickBot="1">
      <c r="A6" s="10"/>
      <c r="B6" s="1273" t="s">
        <v>179</v>
      </c>
      <c r="C6" s="1273"/>
      <c r="D6" s="1273"/>
      <c r="E6" s="1273"/>
      <c r="F6" s="11"/>
      <c r="G6" s="11">
        <v>2022</v>
      </c>
      <c r="H6" s="11">
        <v>2023</v>
      </c>
      <c r="I6" s="11">
        <v>2024</v>
      </c>
    </row>
    <row r="7" spans="1:15" s="12" customFormat="1" ht="15.25" customHeight="1">
      <c r="B7" s="73"/>
      <c r="C7" s="74"/>
      <c r="D7" s="75"/>
      <c r="E7" s="75"/>
      <c r="F7" s="75"/>
      <c r="G7" s="75"/>
      <c r="H7" s="75"/>
    </row>
    <row r="8" spans="1:15" s="16" customFormat="1" ht="15.25" customHeight="1">
      <c r="B8" s="37" t="s">
        <v>180</v>
      </c>
    </row>
    <row r="9" spans="1:15" s="16" customFormat="1" ht="15.25" customHeight="1">
      <c r="B9" s="78" t="s">
        <v>181</v>
      </c>
      <c r="F9" s="146"/>
      <c r="G9" s="146"/>
      <c r="H9" s="146"/>
      <c r="I9" s="146"/>
      <c r="M9" s="80"/>
    </row>
    <row r="10" spans="1:15" s="16" customFormat="1" ht="15.25" customHeight="1">
      <c r="F10" s="146"/>
      <c r="G10" s="146"/>
      <c r="H10" s="146"/>
      <c r="I10" s="146"/>
    </row>
    <row r="11" spans="1:15" s="16" customFormat="1" ht="15.25" customHeight="1">
      <c r="B11" s="130" t="s">
        <v>182</v>
      </c>
      <c r="F11" s="146"/>
      <c r="G11" s="147">
        <v>195122.9</v>
      </c>
      <c r="H11" s="147">
        <v>201429.92</v>
      </c>
      <c r="I11" s="147">
        <v>217084.94</v>
      </c>
      <c r="J11" s="148"/>
      <c r="K11" s="160"/>
      <c r="L11" s="160"/>
      <c r="M11" s="160"/>
      <c r="N11" s="160"/>
      <c r="O11" s="160"/>
    </row>
    <row r="12" spans="1:15" s="16" customFormat="1" ht="15.25" customHeight="1">
      <c r="B12" s="149" t="s">
        <v>183</v>
      </c>
      <c r="F12" s="146"/>
      <c r="G12" s="147"/>
      <c r="H12" s="147"/>
      <c r="I12" s="147"/>
      <c r="J12" s="148"/>
    </row>
    <row r="13" spans="1:15" s="16" customFormat="1" ht="7.5" customHeight="1">
      <c r="B13" s="149"/>
      <c r="F13" s="146"/>
      <c r="G13" s="147"/>
      <c r="H13" s="147"/>
      <c r="I13" s="147"/>
      <c r="J13" s="148"/>
    </row>
    <row r="14" spans="1:15" s="16" customFormat="1" ht="15.25" customHeight="1">
      <c r="B14" s="130" t="s">
        <v>184</v>
      </c>
      <c r="F14" s="161"/>
      <c r="G14" s="147">
        <v>296133.08</v>
      </c>
      <c r="H14" s="147">
        <v>314770.92</v>
      </c>
      <c r="I14" s="147">
        <v>360836.58</v>
      </c>
      <c r="J14" s="162"/>
      <c r="K14" s="160"/>
      <c r="L14" s="160"/>
      <c r="M14" s="160"/>
      <c r="N14" s="160"/>
      <c r="O14" s="160"/>
    </row>
    <row r="15" spans="1:15" s="16" customFormat="1" ht="15.25" customHeight="1">
      <c r="B15" s="149" t="s">
        <v>185</v>
      </c>
      <c r="G15" s="23"/>
      <c r="H15" s="23"/>
      <c r="I15" s="23"/>
      <c r="J15" s="162"/>
    </row>
    <row r="16" spans="1:15" s="16" customFormat="1" ht="7.5" customHeight="1">
      <c r="B16" s="149"/>
      <c r="F16" s="146"/>
      <c r="G16" s="147"/>
      <c r="H16" s="147"/>
      <c r="I16" s="147"/>
      <c r="J16" s="148"/>
    </row>
    <row r="17" spans="2:15" s="16" customFormat="1" ht="15.25" customHeight="1">
      <c r="B17" s="130" t="s">
        <v>186</v>
      </c>
      <c r="F17" s="161"/>
      <c r="G17" s="147">
        <v>204608.22</v>
      </c>
      <c r="H17" s="147">
        <v>215789.79</v>
      </c>
      <c r="I17" s="147">
        <v>261176.6</v>
      </c>
      <c r="J17" s="148"/>
      <c r="K17" s="160"/>
      <c r="L17" s="160"/>
      <c r="M17" s="160"/>
      <c r="N17" s="160"/>
      <c r="O17" s="160"/>
    </row>
    <row r="18" spans="2:15" s="16" customFormat="1" ht="15.25" customHeight="1">
      <c r="B18" s="149" t="s">
        <v>187</v>
      </c>
      <c r="F18" s="146"/>
      <c r="G18" s="147"/>
      <c r="H18" s="147"/>
      <c r="I18" s="147"/>
      <c r="J18" s="148"/>
    </row>
    <row r="19" spans="2:15" s="16" customFormat="1" ht="7.5" customHeight="1">
      <c r="B19" s="149"/>
      <c r="F19" s="146"/>
      <c r="G19" s="147"/>
      <c r="H19" s="147"/>
      <c r="I19" s="147"/>
      <c r="J19" s="148"/>
    </row>
    <row r="20" spans="2:15" s="16" customFormat="1" ht="15.25" customHeight="1">
      <c r="B20" s="130" t="s">
        <v>188</v>
      </c>
      <c r="F20" s="146"/>
      <c r="G20" s="147">
        <v>129350.93</v>
      </c>
      <c r="H20" s="147">
        <v>163836.98000000001</v>
      </c>
      <c r="I20" s="147">
        <v>201074.86</v>
      </c>
      <c r="J20" s="148"/>
      <c r="K20" s="160"/>
      <c r="L20" s="160"/>
      <c r="M20" s="160"/>
      <c r="N20" s="160"/>
      <c r="O20" s="160"/>
    </row>
    <row r="21" spans="2:15" s="16" customFormat="1" ht="15.25" customHeight="1">
      <c r="B21" s="149" t="s">
        <v>189</v>
      </c>
      <c r="F21" s="146"/>
      <c r="G21" s="147"/>
      <c r="H21" s="147"/>
      <c r="I21" s="147"/>
      <c r="J21" s="148"/>
    </row>
    <row r="22" spans="2:15" s="16" customFormat="1" ht="7.5" customHeight="1">
      <c r="B22" s="149"/>
      <c r="F22" s="146"/>
      <c r="G22" s="147"/>
      <c r="H22" s="147"/>
      <c r="I22" s="147"/>
      <c r="J22" s="148"/>
    </row>
    <row r="23" spans="2:15" s="16" customFormat="1" ht="15.25" customHeight="1">
      <c r="B23" s="130" t="s">
        <v>190</v>
      </c>
      <c r="F23" s="146"/>
      <c r="G23" s="147">
        <v>289966.96999999997</v>
      </c>
      <c r="H23" s="147">
        <v>320364.59999999998</v>
      </c>
      <c r="I23" s="147">
        <v>359283.01</v>
      </c>
      <c r="J23" s="148"/>
      <c r="K23" s="160"/>
      <c r="L23" s="160"/>
      <c r="M23" s="160"/>
      <c r="N23" s="160"/>
      <c r="O23" s="160"/>
    </row>
    <row r="24" spans="2:15" s="16" customFormat="1" ht="15.25" customHeight="1">
      <c r="B24" s="149" t="s">
        <v>191</v>
      </c>
      <c r="F24" s="146"/>
      <c r="G24" s="147"/>
      <c r="H24" s="147"/>
      <c r="I24" s="147"/>
      <c r="J24" s="148"/>
    </row>
    <row r="25" spans="2:15" s="16" customFormat="1" ht="7.5" customHeight="1">
      <c r="B25" s="149"/>
      <c r="F25" s="146"/>
      <c r="G25" s="147"/>
      <c r="H25" s="147"/>
      <c r="I25" s="147"/>
      <c r="J25" s="148"/>
    </row>
    <row r="26" spans="2:15" s="16" customFormat="1" ht="15.25" customHeight="1">
      <c r="B26" s="130" t="s">
        <v>192</v>
      </c>
      <c r="F26" s="161"/>
      <c r="G26" s="147">
        <v>1135.51</v>
      </c>
      <c r="H26" s="147">
        <v>1158.1400000000001</v>
      </c>
      <c r="I26" s="147">
        <v>1205.56</v>
      </c>
      <c r="J26" s="148"/>
      <c r="K26" s="160"/>
      <c r="L26" s="160"/>
      <c r="M26" s="160"/>
      <c r="N26" s="160"/>
      <c r="O26" s="160"/>
    </row>
    <row r="27" spans="2:15" s="16" customFormat="1" ht="15.25" customHeight="1">
      <c r="B27" s="1294" t="s">
        <v>193</v>
      </c>
      <c r="C27" s="1294"/>
      <c r="F27" s="146"/>
      <c r="G27" s="146"/>
      <c r="H27" s="146"/>
      <c r="I27" s="146"/>
      <c r="J27" s="148"/>
    </row>
    <row r="28" spans="2:15" s="16" customFormat="1" ht="15.25" customHeight="1">
      <c r="F28" s="146"/>
      <c r="G28" s="146"/>
      <c r="H28" s="146"/>
      <c r="I28" s="146"/>
      <c r="J28" s="148"/>
    </row>
    <row r="29" spans="2:15" s="16" customFormat="1" ht="15.25" customHeight="1">
      <c r="B29" s="37" t="s">
        <v>194</v>
      </c>
    </row>
    <row r="30" spans="2:15" s="16" customFormat="1" ht="15.25" customHeight="1">
      <c r="B30" s="78" t="s">
        <v>195</v>
      </c>
      <c r="F30" s="146"/>
      <c r="G30" s="146"/>
      <c r="H30" s="146"/>
      <c r="I30" s="146"/>
      <c r="M30" s="80"/>
    </row>
    <row r="31" spans="2:15" s="16" customFormat="1" ht="15.25" customHeight="1">
      <c r="F31" s="146"/>
      <c r="G31" s="146"/>
      <c r="H31" s="146"/>
      <c r="I31" s="146"/>
    </row>
    <row r="32" spans="2:15" s="16" customFormat="1" ht="15.25" customHeight="1">
      <c r="B32" s="130" t="s">
        <v>196</v>
      </c>
      <c r="F32" s="163"/>
      <c r="G32" s="151">
        <v>6.61</v>
      </c>
      <c r="H32" s="151">
        <v>3.2</v>
      </c>
      <c r="I32" s="151">
        <v>7.8</v>
      </c>
      <c r="J32" s="148"/>
    </row>
    <row r="33" spans="2:10" s="16" customFormat="1" ht="15.25" customHeight="1">
      <c r="B33" s="149" t="s">
        <v>197</v>
      </c>
      <c r="F33" s="163"/>
      <c r="G33" s="151"/>
      <c r="H33" s="151"/>
      <c r="I33" s="151"/>
      <c r="J33" s="148"/>
    </row>
    <row r="34" spans="2:10" s="16" customFormat="1" ht="7.5" customHeight="1">
      <c r="B34" s="149"/>
      <c r="F34" s="163"/>
      <c r="G34" s="151"/>
      <c r="H34" s="151"/>
      <c r="I34" s="151"/>
      <c r="J34" s="148"/>
    </row>
    <row r="35" spans="2:10" s="16" customFormat="1" ht="15.25" customHeight="1">
      <c r="B35" s="130" t="s">
        <v>198</v>
      </c>
      <c r="F35" s="163"/>
      <c r="G35" s="151">
        <v>-2.2400000000000002</v>
      </c>
      <c r="H35" s="151">
        <v>6.3</v>
      </c>
      <c r="I35" s="151">
        <v>14.6</v>
      </c>
      <c r="J35" s="162"/>
    </row>
    <row r="36" spans="2:10" s="16" customFormat="1" ht="15.25" customHeight="1">
      <c r="B36" s="149" t="s">
        <v>199</v>
      </c>
      <c r="F36" s="164"/>
      <c r="G36" s="165"/>
      <c r="H36" s="165"/>
      <c r="I36" s="165"/>
      <c r="J36" s="162"/>
    </row>
    <row r="37" spans="2:10" s="16" customFormat="1" ht="7.5" customHeight="1">
      <c r="B37" s="149"/>
      <c r="F37" s="163"/>
      <c r="G37" s="151"/>
      <c r="H37" s="151"/>
      <c r="I37" s="151"/>
      <c r="J37" s="148"/>
    </row>
    <row r="38" spans="2:10" s="16" customFormat="1" ht="15.25" customHeight="1">
      <c r="B38" s="130" t="s">
        <v>200</v>
      </c>
      <c r="F38" s="163"/>
      <c r="G38" s="151">
        <v>-4.82</v>
      </c>
      <c r="H38" s="151">
        <v>5.5</v>
      </c>
      <c r="I38" s="151">
        <v>21</v>
      </c>
      <c r="J38" s="148"/>
    </row>
    <row r="39" spans="2:10" s="16" customFormat="1" ht="15.25" customHeight="1">
      <c r="B39" s="149" t="s">
        <v>201</v>
      </c>
      <c r="F39" s="163"/>
      <c r="G39" s="151"/>
      <c r="H39" s="151"/>
      <c r="I39" s="151"/>
      <c r="J39" s="148"/>
    </row>
    <row r="40" spans="2:10" s="16" customFormat="1" ht="7.5" customHeight="1">
      <c r="B40" s="149"/>
      <c r="F40" s="163"/>
      <c r="G40" s="151"/>
      <c r="H40" s="151"/>
      <c r="I40" s="151"/>
      <c r="J40" s="148"/>
    </row>
    <row r="41" spans="2:10" s="16" customFormat="1" ht="15.25" customHeight="1">
      <c r="B41" s="130" t="s">
        <v>202</v>
      </c>
      <c r="F41" s="163"/>
      <c r="G41" s="151">
        <v>10.1</v>
      </c>
      <c r="H41" s="151">
        <v>26.7</v>
      </c>
      <c r="I41" s="151">
        <v>22.7</v>
      </c>
      <c r="J41" s="148"/>
    </row>
    <row r="42" spans="2:10" s="16" customFormat="1" ht="15.25" customHeight="1">
      <c r="B42" s="149" t="s">
        <v>203</v>
      </c>
      <c r="F42" s="163"/>
      <c r="G42" s="151"/>
      <c r="H42" s="151"/>
      <c r="I42" s="151"/>
      <c r="J42" s="148"/>
    </row>
    <row r="43" spans="2:10" s="16" customFormat="1" ht="7.5" customHeight="1">
      <c r="B43" s="149"/>
      <c r="F43" s="163"/>
      <c r="G43" s="151"/>
      <c r="H43" s="151"/>
      <c r="I43" s="151"/>
      <c r="J43" s="148"/>
    </row>
    <row r="44" spans="2:10" s="16" customFormat="1" ht="15.25" customHeight="1">
      <c r="B44" s="130" t="s">
        <v>204</v>
      </c>
      <c r="F44" s="163"/>
      <c r="G44" s="151">
        <v>7.3</v>
      </c>
      <c r="H44" s="151">
        <v>10.5</v>
      </c>
      <c r="I44" s="151">
        <v>12.1</v>
      </c>
      <c r="J44" s="148"/>
    </row>
    <row r="45" spans="2:10" s="16" customFormat="1" ht="15.25" customHeight="1">
      <c r="B45" s="149" t="s">
        <v>205</v>
      </c>
      <c r="F45" s="163"/>
      <c r="G45" s="151"/>
      <c r="H45" s="151"/>
      <c r="I45" s="151"/>
      <c r="J45" s="148"/>
    </row>
    <row r="46" spans="2:10" s="16" customFormat="1" ht="7.5" customHeight="1">
      <c r="B46" s="149"/>
      <c r="F46" s="163"/>
      <c r="G46" s="151"/>
      <c r="H46" s="151"/>
      <c r="I46" s="151"/>
      <c r="J46" s="148"/>
    </row>
    <row r="47" spans="2:10" s="16" customFormat="1" ht="15.25" customHeight="1">
      <c r="B47" s="130" t="s">
        <v>206</v>
      </c>
      <c r="F47" s="163"/>
      <c r="G47" s="151">
        <v>1.17</v>
      </c>
      <c r="H47" s="151">
        <v>2.0099999999999998</v>
      </c>
      <c r="I47" s="151">
        <v>4.0999999999999996</v>
      </c>
      <c r="J47" s="148"/>
    </row>
    <row r="48" spans="2:10" s="16" customFormat="1" ht="15.25" customHeight="1">
      <c r="B48" s="149" t="s">
        <v>207</v>
      </c>
      <c r="F48" s="163"/>
      <c r="G48" s="151"/>
      <c r="H48" s="151"/>
      <c r="I48" s="151"/>
      <c r="J48" s="148"/>
    </row>
    <row r="49" spans="2:13" s="16" customFormat="1" ht="15.25" customHeight="1">
      <c r="B49" s="92"/>
      <c r="C49" s="21"/>
      <c r="D49" s="22"/>
      <c r="E49" s="22"/>
      <c r="F49" s="166"/>
      <c r="G49" s="165"/>
      <c r="H49" s="165"/>
      <c r="I49" s="165"/>
    </row>
    <row r="50" spans="2:13" s="16" customFormat="1" ht="7.5" customHeight="1">
      <c r="B50" s="154"/>
      <c r="C50" s="21"/>
      <c r="D50" s="22"/>
      <c r="E50" s="22"/>
      <c r="F50" s="166"/>
      <c r="G50" s="165"/>
      <c r="H50" s="165"/>
      <c r="I50" s="165"/>
    </row>
    <row r="51" spans="2:13" s="16" customFormat="1" ht="15.25" customHeight="1">
      <c r="B51" s="37" t="s">
        <v>208</v>
      </c>
      <c r="F51" s="164"/>
      <c r="G51" s="165"/>
      <c r="H51" s="165"/>
      <c r="I51" s="165"/>
    </row>
    <row r="52" spans="2:13" s="16" customFormat="1" ht="15.25" customHeight="1">
      <c r="B52" s="78" t="s">
        <v>209</v>
      </c>
      <c r="F52" s="163"/>
      <c r="G52" s="151"/>
      <c r="H52" s="151"/>
      <c r="I52" s="151"/>
      <c r="M52" s="80"/>
    </row>
    <row r="53" spans="2:13" s="16" customFormat="1" ht="15.25" customHeight="1">
      <c r="F53" s="163"/>
      <c r="G53" s="151"/>
      <c r="H53" s="151"/>
      <c r="I53" s="151"/>
    </row>
    <row r="54" spans="2:13" s="16" customFormat="1" ht="15.25" customHeight="1">
      <c r="B54" s="130" t="s">
        <v>196</v>
      </c>
      <c r="F54" s="163"/>
      <c r="G54" s="151">
        <v>12.9</v>
      </c>
      <c r="H54" s="151">
        <v>14.23</v>
      </c>
      <c r="I54" s="151">
        <v>14</v>
      </c>
      <c r="J54" s="148"/>
    </row>
    <row r="55" spans="2:13" s="16" customFormat="1" ht="15.25" customHeight="1">
      <c r="B55" s="149" t="s">
        <v>197</v>
      </c>
      <c r="F55" s="163"/>
      <c r="G55" s="151"/>
      <c r="H55" s="151"/>
      <c r="I55" s="151"/>
      <c r="J55" s="148"/>
    </row>
    <row r="56" spans="2:13" s="16" customFormat="1" ht="7.5" customHeight="1">
      <c r="B56" s="149"/>
      <c r="F56" s="163"/>
      <c r="G56" s="151"/>
      <c r="H56" s="151"/>
      <c r="I56" s="151"/>
      <c r="J56" s="148"/>
    </row>
    <row r="57" spans="2:13" s="16" customFormat="1" ht="15.25" customHeight="1">
      <c r="B57" s="130" t="s">
        <v>202</v>
      </c>
      <c r="F57" s="163"/>
      <c r="G57" s="151">
        <v>8.6</v>
      </c>
      <c r="H57" s="151">
        <v>11.6</v>
      </c>
      <c r="I57" s="151">
        <v>13</v>
      </c>
      <c r="J57" s="148"/>
    </row>
    <row r="58" spans="2:13" s="16" customFormat="1" ht="15.25" customHeight="1">
      <c r="B58" s="149" t="s">
        <v>203</v>
      </c>
      <c r="F58" s="163"/>
      <c r="G58" s="151"/>
      <c r="H58" s="151"/>
      <c r="I58" s="151"/>
      <c r="J58" s="148"/>
    </row>
    <row r="59" spans="2:13" s="16" customFormat="1" ht="7.5" customHeight="1">
      <c r="B59" s="149"/>
      <c r="F59" s="163"/>
      <c r="G59" s="151"/>
      <c r="H59" s="151"/>
      <c r="I59" s="151"/>
      <c r="J59" s="148"/>
    </row>
    <row r="60" spans="2:13" s="16" customFormat="1" ht="15.25" customHeight="1">
      <c r="B60" s="130" t="s">
        <v>204</v>
      </c>
      <c r="C60" s="29"/>
      <c r="D60" s="30"/>
      <c r="E60" s="30"/>
      <c r="F60" s="163"/>
      <c r="G60" s="151">
        <v>19.2</v>
      </c>
      <c r="H60" s="151">
        <v>22.6</v>
      </c>
      <c r="I60" s="151">
        <v>23.2</v>
      </c>
    </row>
    <row r="61" spans="2:13" s="16" customFormat="1" ht="15.25" customHeight="1">
      <c r="B61" s="149" t="s">
        <v>205</v>
      </c>
      <c r="C61" s="29"/>
      <c r="D61" s="30"/>
      <c r="E61" s="30"/>
      <c r="F61" s="167"/>
      <c r="G61" s="165"/>
      <c r="H61" s="165"/>
      <c r="I61" s="165"/>
    </row>
    <row r="62" spans="2:13" s="16" customFormat="1" ht="15.25" customHeight="1">
      <c r="B62" s="28"/>
      <c r="C62" s="29"/>
      <c r="D62" s="30"/>
      <c r="E62" s="30"/>
      <c r="F62" s="167"/>
      <c r="G62" s="165"/>
      <c r="H62" s="165"/>
      <c r="I62" s="22"/>
    </row>
    <row r="63" spans="2:13" s="16" customFormat="1" ht="7.5" customHeight="1">
      <c r="C63" s="21"/>
      <c r="D63" s="22"/>
      <c r="E63" s="22"/>
      <c r="F63" s="166"/>
      <c r="G63" s="165"/>
      <c r="H63" s="165"/>
      <c r="I63" s="22"/>
    </row>
    <row r="64" spans="2:13" s="16" customFormat="1" ht="8.25" customHeight="1">
      <c r="B64" s="99"/>
      <c r="C64" s="94"/>
      <c r="D64" s="23"/>
      <c r="E64" s="23"/>
      <c r="F64" s="23"/>
      <c r="G64" s="22"/>
      <c r="H64" s="22"/>
      <c r="I64" s="22"/>
      <c r="J64" s="98"/>
    </row>
    <row r="65" spans="1:10" s="16" customFormat="1" ht="15.25" customHeight="1">
      <c r="B65" s="28"/>
      <c r="C65" s="94"/>
      <c r="D65" s="22"/>
      <c r="E65" s="22"/>
      <c r="F65" s="22"/>
      <c r="G65" s="22"/>
      <c r="H65" s="22"/>
      <c r="I65" s="22"/>
      <c r="J65" s="98"/>
    </row>
    <row r="66" spans="1:10" s="16" customFormat="1" ht="8.25" customHeight="1" thickBot="1">
      <c r="A66" s="155"/>
      <c r="B66" s="155"/>
      <c r="C66" s="155"/>
      <c r="D66" s="155"/>
      <c r="E66" s="155"/>
      <c r="F66" s="155"/>
      <c r="G66" s="155"/>
      <c r="H66" s="155"/>
      <c r="I66" s="155"/>
    </row>
    <row r="67" spans="1:10" s="16" customFormat="1" ht="15.25" customHeight="1" thickTop="1">
      <c r="D67" s="156"/>
      <c r="E67" s="157"/>
      <c r="F67" s="157"/>
      <c r="G67" s="157"/>
      <c r="H67" s="157"/>
      <c r="I67" s="158" t="s">
        <v>31</v>
      </c>
    </row>
    <row r="68" spans="1:10" s="16" customFormat="1" ht="15.25" customHeight="1">
      <c r="B68" s="99"/>
      <c r="D68" s="156"/>
      <c r="E68" s="156"/>
      <c r="F68" s="156"/>
      <c r="G68" s="156"/>
      <c r="H68" s="156"/>
      <c r="I68" s="159" t="s">
        <v>32</v>
      </c>
    </row>
    <row r="69" spans="1:10" s="16" customFormat="1" ht="13">
      <c r="B69" s="142" t="s">
        <v>210</v>
      </c>
    </row>
    <row r="70" spans="1:10" s="12" customFormat="1" ht="13">
      <c r="B70" s="105" t="s">
        <v>173</v>
      </c>
    </row>
    <row r="71" spans="1:10" s="12" customFormat="1" ht="13">
      <c r="B71" s="107" t="s">
        <v>174</v>
      </c>
    </row>
    <row r="72" spans="1:10" s="12" customFormat="1" ht="13"/>
  </sheetData>
  <mergeCells count="2">
    <mergeCell ref="B6:E6"/>
    <mergeCell ref="B27:C27"/>
  </mergeCells>
  <conditionalFormatting sqref="C60:C62">
    <cfRule type="cellIs" dxfId="35" priority="1"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6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8FD88-738D-4615-952B-16AE5382C7E7}">
  <sheetPr codeName="Sheet33">
    <pageSetUpPr fitToPage="1"/>
  </sheetPr>
  <dimension ref="A1:L67"/>
  <sheetViews>
    <sheetView view="pageBreakPreview" zoomScaleNormal="100" zoomScaleSheetLayoutView="100" workbookViewId="0">
      <selection activeCell="D60" sqref="D60"/>
    </sheetView>
  </sheetViews>
  <sheetFormatPr baseColWidth="10" defaultColWidth="8.83203125" defaultRowHeight="15"/>
  <cols>
    <col min="1" max="1" width="3.6640625" customWidth="1"/>
    <col min="3" max="3" width="23.1640625" customWidth="1"/>
    <col min="5" max="5" width="32.6640625" customWidth="1"/>
    <col min="6" max="8" width="17.5" customWidth="1"/>
  </cols>
  <sheetData>
    <row r="1" spans="1:12" s="12" customFormat="1" ht="8.25" customHeight="1"/>
    <row r="2" spans="1:12" s="12" customFormat="1" ht="8.25" customHeight="1"/>
    <row r="3" spans="1:12" s="1" customFormat="1" ht="16.5" customHeight="1">
      <c r="B3" s="2" t="s">
        <v>211</v>
      </c>
      <c r="C3" s="3" t="s">
        <v>212</v>
      </c>
      <c r="G3" s="4"/>
    </row>
    <row r="4" spans="1:12" s="1" customFormat="1" ht="16.5" customHeight="1">
      <c r="B4" s="5" t="s">
        <v>213</v>
      </c>
      <c r="C4" s="6" t="s">
        <v>214</v>
      </c>
      <c r="D4" s="7"/>
      <c r="E4" s="7"/>
      <c r="F4" s="7"/>
      <c r="G4" s="4"/>
    </row>
    <row r="5" spans="1:12" s="12" customFormat="1" ht="13.25" customHeight="1" thickBot="1">
      <c r="A5" s="9"/>
      <c r="B5" s="9"/>
      <c r="C5" s="9"/>
      <c r="D5" s="9"/>
      <c r="E5" s="9"/>
      <c r="F5" s="8"/>
      <c r="G5" s="8"/>
    </row>
    <row r="6" spans="1:12" s="12" customFormat="1" ht="43" customHeight="1" thickBot="1">
      <c r="A6" s="10"/>
      <c r="B6" s="1273" t="s">
        <v>215</v>
      </c>
      <c r="C6" s="1273"/>
      <c r="D6" s="1273"/>
      <c r="E6" s="10"/>
      <c r="F6" s="11">
        <v>2022</v>
      </c>
      <c r="G6" s="11">
        <v>2023</v>
      </c>
      <c r="H6" s="11">
        <v>2024</v>
      </c>
    </row>
    <row r="7" spans="1:12" s="12" customFormat="1" ht="15.25" customHeight="1">
      <c r="B7" s="73"/>
      <c r="C7" s="74"/>
      <c r="D7" s="75"/>
      <c r="E7" s="75"/>
      <c r="F7" s="75"/>
      <c r="G7" s="75"/>
    </row>
    <row r="8" spans="1:12" s="16" customFormat="1" ht="15.25" customHeight="1">
      <c r="B8" s="37" t="s">
        <v>216</v>
      </c>
    </row>
    <row r="9" spans="1:12" s="16" customFormat="1" ht="15.25" customHeight="1">
      <c r="B9" s="78" t="s">
        <v>217</v>
      </c>
      <c r="F9" s="145"/>
      <c r="G9" s="145"/>
      <c r="H9" s="145"/>
      <c r="L9" s="80"/>
    </row>
    <row r="10" spans="1:12" s="16" customFormat="1" ht="15.25" customHeight="1">
      <c r="F10" s="145"/>
      <c r="G10" s="145"/>
      <c r="H10" s="145"/>
    </row>
    <row r="11" spans="1:12" s="16" customFormat="1" ht="15.25" customHeight="1">
      <c r="B11" s="130" t="s">
        <v>218</v>
      </c>
      <c r="F11" s="147">
        <v>5039741</v>
      </c>
      <c r="G11" s="147">
        <v>5173755</v>
      </c>
      <c r="H11" s="147">
        <v>5302173</v>
      </c>
      <c r="I11" s="148"/>
    </row>
    <row r="12" spans="1:12" s="16" customFormat="1" ht="15.25" customHeight="1">
      <c r="B12" s="149" t="s">
        <v>219</v>
      </c>
      <c r="F12" s="147"/>
      <c r="G12" s="147"/>
      <c r="H12" s="147"/>
      <c r="I12" s="148"/>
    </row>
    <row r="13" spans="1:12" s="16" customFormat="1" ht="7.5" customHeight="1">
      <c r="B13" s="149"/>
      <c r="F13" s="147"/>
      <c r="G13" s="147"/>
      <c r="H13" s="147"/>
      <c r="I13" s="148"/>
    </row>
    <row r="14" spans="1:12" s="16" customFormat="1" ht="15.25" customHeight="1">
      <c r="B14" s="130" t="s">
        <v>220</v>
      </c>
      <c r="F14" s="147">
        <v>3164749</v>
      </c>
      <c r="G14" s="147">
        <v>3222069</v>
      </c>
      <c r="H14" s="147">
        <v>3279505</v>
      </c>
      <c r="I14" s="148"/>
    </row>
    <row r="15" spans="1:12" s="16" customFormat="1" ht="15.25" customHeight="1">
      <c r="B15" s="149" t="s">
        <v>221</v>
      </c>
      <c r="F15" s="147"/>
      <c r="G15" s="147"/>
      <c r="H15" s="147"/>
      <c r="I15" s="148"/>
    </row>
    <row r="16" spans="1:12" s="16" customFormat="1" ht="7.5" customHeight="1">
      <c r="B16" s="149"/>
      <c r="F16" s="147"/>
      <c r="G16" s="147"/>
      <c r="H16" s="147"/>
      <c r="I16" s="148"/>
    </row>
    <row r="17" spans="2:12" s="16" customFormat="1" ht="15.25" customHeight="1">
      <c r="B17" s="130" t="s">
        <v>222</v>
      </c>
      <c r="F17" s="147">
        <v>4144907</v>
      </c>
      <c r="G17" s="147">
        <v>4241025</v>
      </c>
      <c r="H17" s="147">
        <v>4334863</v>
      </c>
      <c r="I17" s="148"/>
    </row>
    <row r="18" spans="2:12" s="16" customFormat="1" ht="15.25" customHeight="1">
      <c r="B18" s="149" t="s">
        <v>223</v>
      </c>
      <c r="F18" s="147"/>
      <c r="G18" s="147"/>
      <c r="H18" s="147"/>
      <c r="I18" s="148"/>
    </row>
    <row r="19" spans="2:12" s="16" customFormat="1" ht="7.5" customHeight="1">
      <c r="B19" s="149"/>
      <c r="F19" s="147"/>
      <c r="G19" s="147"/>
      <c r="H19" s="147"/>
      <c r="I19" s="148"/>
    </row>
    <row r="20" spans="2:12" s="16" customFormat="1" ht="15.25" customHeight="1">
      <c r="B20" s="130" t="s">
        <v>224</v>
      </c>
      <c r="F20" s="147">
        <v>222818</v>
      </c>
      <c r="G20" s="147">
        <v>226951</v>
      </c>
      <c r="H20" s="147">
        <v>229010</v>
      </c>
      <c r="I20" s="148"/>
    </row>
    <row r="21" spans="2:12" s="16" customFormat="1" ht="15.25" customHeight="1">
      <c r="B21" s="149" t="s">
        <v>225</v>
      </c>
      <c r="F21" s="146"/>
      <c r="G21" s="146"/>
      <c r="H21" s="145"/>
      <c r="I21" s="148"/>
    </row>
    <row r="22" spans="2:12" s="16" customFormat="1" ht="7.5" customHeight="1">
      <c r="B22" s="149"/>
      <c r="F22" s="146"/>
      <c r="G22" s="146"/>
      <c r="H22" s="145"/>
      <c r="I22" s="148"/>
    </row>
    <row r="23" spans="2:12" s="16" customFormat="1" ht="15.25" customHeight="1">
      <c r="B23" s="130"/>
      <c r="I23" s="148"/>
    </row>
    <row r="24" spans="2:12" s="16" customFormat="1" ht="15.25" customHeight="1">
      <c r="B24" s="37" t="s">
        <v>226</v>
      </c>
    </row>
    <row r="25" spans="2:12" s="16" customFormat="1" ht="15.25" customHeight="1">
      <c r="B25" s="78" t="s">
        <v>227</v>
      </c>
      <c r="F25" s="146"/>
      <c r="G25" s="146"/>
      <c r="H25" s="145"/>
      <c r="L25" s="80"/>
    </row>
    <row r="26" spans="2:12" s="16" customFormat="1" ht="15.25" customHeight="1">
      <c r="F26" s="146"/>
      <c r="G26" s="146"/>
      <c r="H26" s="145"/>
    </row>
    <row r="27" spans="2:12" s="16" customFormat="1" ht="15.25" customHeight="1">
      <c r="B27" s="130" t="s">
        <v>218</v>
      </c>
      <c r="F27" s="22">
        <v>2.6591445869936559</v>
      </c>
      <c r="G27" s="22">
        <f>((G11/F11)-1)*100</f>
        <v>2.6591445869936559</v>
      </c>
      <c r="H27" s="22">
        <f>((H11/G11)-1)*100</f>
        <v>2.4821043903315854</v>
      </c>
      <c r="I27" s="148"/>
    </row>
    <row r="28" spans="2:12" s="16" customFormat="1" ht="15.25" customHeight="1">
      <c r="B28" s="149" t="s">
        <v>219</v>
      </c>
      <c r="F28" s="151"/>
      <c r="G28" s="151"/>
      <c r="H28" s="151"/>
      <c r="I28" s="148"/>
    </row>
    <row r="29" spans="2:12" s="16" customFormat="1" ht="7.5" customHeight="1">
      <c r="B29" s="149"/>
      <c r="F29" s="151"/>
      <c r="G29" s="151"/>
      <c r="H29" s="151"/>
      <c r="I29" s="148"/>
    </row>
    <row r="30" spans="2:12" s="16" customFormat="1" ht="15.25" customHeight="1">
      <c r="B30" s="130" t="s">
        <v>220</v>
      </c>
      <c r="F30" s="151">
        <v>1.8112020890124203</v>
      </c>
      <c r="G30" s="151">
        <f>((G14/F14)-1)*100</f>
        <v>1.8112020890124203</v>
      </c>
      <c r="H30" s="151">
        <f>((H14/G14)-1)*100</f>
        <v>1.7825813165391446</v>
      </c>
      <c r="I30" s="148"/>
    </row>
    <row r="31" spans="2:12" s="16" customFormat="1" ht="15.25" customHeight="1">
      <c r="B31" s="149" t="s">
        <v>221</v>
      </c>
      <c r="F31" s="151"/>
      <c r="G31" s="151"/>
      <c r="H31" s="151"/>
      <c r="I31" s="148"/>
    </row>
    <row r="32" spans="2:12" s="16" customFormat="1" ht="7.5" customHeight="1">
      <c r="B32" s="149"/>
      <c r="F32" s="151"/>
      <c r="G32" s="151"/>
      <c r="H32" s="151"/>
      <c r="I32" s="148"/>
    </row>
    <row r="33" spans="2:12" s="16" customFormat="1" ht="15.25" customHeight="1">
      <c r="B33" s="130" t="s">
        <v>222</v>
      </c>
      <c r="E33" s="153"/>
      <c r="F33" s="22">
        <v>2.2999999999999998</v>
      </c>
      <c r="G33" s="151">
        <f>((G17/F17)-1)*100</f>
        <v>2.3189422585355945</v>
      </c>
      <c r="H33" s="151">
        <f>((H17/G17)-1)*100</f>
        <v>2.2126254855842742</v>
      </c>
      <c r="I33" s="148"/>
    </row>
    <row r="34" spans="2:12" s="16" customFormat="1" ht="15.25" customHeight="1">
      <c r="B34" s="149" t="s">
        <v>223</v>
      </c>
      <c r="F34" s="151"/>
      <c r="G34" s="151"/>
      <c r="H34" s="151"/>
      <c r="I34" s="148"/>
    </row>
    <row r="35" spans="2:12" s="16" customFormat="1" ht="7.5" customHeight="1">
      <c r="B35" s="149"/>
      <c r="F35" s="151"/>
      <c r="G35" s="151"/>
      <c r="H35" s="151"/>
      <c r="I35" s="148"/>
    </row>
    <row r="36" spans="2:12" s="16" customFormat="1" ht="15.25" customHeight="1">
      <c r="B36" s="130" t="s">
        <v>224</v>
      </c>
      <c r="F36" s="151">
        <v>1.85807616863556</v>
      </c>
      <c r="G36" s="151">
        <v>1.85807616863556</v>
      </c>
      <c r="H36" s="151">
        <f t="shared" ref="H36" si="0">((H20/G20)-1)*100</f>
        <v>0.90724429502404558</v>
      </c>
      <c r="I36" s="148"/>
    </row>
    <row r="37" spans="2:12" s="16" customFormat="1" ht="15.25" customHeight="1">
      <c r="B37" s="149" t="s">
        <v>225</v>
      </c>
      <c r="F37" s="151"/>
      <c r="G37" s="152"/>
      <c r="H37" s="152"/>
      <c r="I37" s="148"/>
    </row>
    <row r="38" spans="2:12" s="16" customFormat="1" ht="7.5" customHeight="1">
      <c r="B38" s="149"/>
      <c r="F38" s="153"/>
      <c r="G38" s="153"/>
      <c r="H38" s="145"/>
      <c r="I38" s="148"/>
    </row>
    <row r="39" spans="2:12" s="16" customFormat="1" ht="15.25" customHeight="1">
      <c r="B39" s="130"/>
      <c r="F39" s="153"/>
      <c r="G39" s="153"/>
      <c r="H39" s="145"/>
      <c r="I39" s="148"/>
    </row>
    <row r="40" spans="2:12" s="16" customFormat="1" ht="15.25" customHeight="1">
      <c r="B40" s="149"/>
      <c r="F40" s="153"/>
      <c r="G40" s="153"/>
      <c r="H40" s="145"/>
      <c r="I40" s="148"/>
    </row>
    <row r="41" spans="2:12" s="16" customFormat="1" ht="7.5" customHeight="1">
      <c r="B41" s="149"/>
      <c r="F41" s="153"/>
      <c r="G41" s="153"/>
      <c r="H41" s="145"/>
      <c r="I41" s="148"/>
    </row>
    <row r="42" spans="2:12" s="16" customFormat="1" ht="15.25" customHeight="1">
      <c r="B42" s="130"/>
      <c r="F42" s="153"/>
      <c r="G42" s="153"/>
      <c r="H42" s="145"/>
      <c r="I42" s="148"/>
    </row>
    <row r="43" spans="2:12" s="16" customFormat="1" ht="15.25" customHeight="1">
      <c r="B43" s="149"/>
      <c r="F43" s="153"/>
      <c r="G43" s="153"/>
      <c r="I43" s="148"/>
    </row>
    <row r="44" spans="2:12" s="16" customFormat="1" ht="15.25" customHeight="1">
      <c r="B44" s="92"/>
      <c r="C44" s="21"/>
      <c r="D44" s="22"/>
      <c r="E44" s="22"/>
      <c r="F44" s="22"/>
      <c r="G44" s="22"/>
    </row>
    <row r="45" spans="2:12" s="16" customFormat="1" ht="7.5" customHeight="1">
      <c r="B45" s="154"/>
      <c r="C45" s="21"/>
      <c r="D45" s="22"/>
      <c r="E45" s="22"/>
      <c r="F45" s="22"/>
      <c r="G45" s="22"/>
    </row>
    <row r="46" spans="2:12" s="16" customFormat="1" ht="15.25" customHeight="1">
      <c r="B46" s="37"/>
    </row>
    <row r="47" spans="2:12" s="16" customFormat="1" ht="15.25" customHeight="1">
      <c r="B47" s="78"/>
      <c r="F47" s="145"/>
      <c r="G47" s="145"/>
      <c r="H47" s="145"/>
      <c r="L47" s="80"/>
    </row>
    <row r="48" spans="2:12" s="16" customFormat="1" ht="15.25" customHeight="1">
      <c r="F48" s="145"/>
      <c r="G48" s="145"/>
      <c r="H48" s="145"/>
    </row>
    <row r="49" spans="1:9" s="16" customFormat="1" ht="15.25" customHeight="1">
      <c r="B49" s="130"/>
      <c r="F49" s="153"/>
      <c r="G49" s="153"/>
      <c r="H49" s="145"/>
      <c r="I49" s="148"/>
    </row>
    <row r="50" spans="1:9" s="16" customFormat="1" ht="15.25" customHeight="1">
      <c r="B50" s="130"/>
      <c r="F50" s="153"/>
      <c r="G50" s="153"/>
      <c r="H50" s="145"/>
      <c r="I50" s="148"/>
    </row>
    <row r="51" spans="1:9" s="16" customFormat="1" ht="15.25" customHeight="1">
      <c r="B51" s="130"/>
      <c r="F51" s="153"/>
      <c r="G51" s="153"/>
      <c r="H51" s="145"/>
      <c r="I51" s="148"/>
    </row>
    <row r="52" spans="1:9" s="16" customFormat="1" ht="15.25" customHeight="1">
      <c r="B52" s="130"/>
      <c r="F52" s="153"/>
      <c r="G52" s="153"/>
      <c r="H52" s="145"/>
      <c r="I52" s="148"/>
    </row>
    <row r="53" spans="1:9" s="16" customFormat="1" ht="15.25" customHeight="1">
      <c r="B53" s="130"/>
      <c r="F53" s="153"/>
      <c r="G53" s="153"/>
      <c r="H53" s="145"/>
      <c r="I53" s="148"/>
    </row>
    <row r="54" spans="1:9" s="16" customFormat="1" ht="15.25" customHeight="1">
      <c r="B54" s="130"/>
      <c r="F54" s="153"/>
      <c r="G54" s="153"/>
      <c r="H54" s="145"/>
      <c r="I54" s="148"/>
    </row>
    <row r="55" spans="1:9" s="16" customFormat="1" ht="15.25" customHeight="1">
      <c r="B55" s="149"/>
      <c r="F55" s="153"/>
      <c r="G55" s="153"/>
      <c r="H55" s="145"/>
      <c r="I55" s="148"/>
    </row>
    <row r="56" spans="1:9" s="16" customFormat="1" ht="7.5" customHeight="1">
      <c r="B56" s="149"/>
      <c r="F56" s="153"/>
      <c r="G56" s="153"/>
      <c r="H56" s="145"/>
      <c r="I56" s="148"/>
    </row>
    <row r="57" spans="1:9" s="16" customFormat="1" ht="15.25" customHeight="1">
      <c r="B57" s="130"/>
      <c r="F57" s="153"/>
      <c r="G57" s="153"/>
      <c r="H57" s="145"/>
      <c r="I57" s="148"/>
    </row>
    <row r="58" spans="1:9" s="16" customFormat="1" ht="15.25" customHeight="1">
      <c r="B58" s="149"/>
      <c r="F58" s="153"/>
      <c r="G58" s="153"/>
      <c r="H58" s="145"/>
      <c r="I58" s="148"/>
    </row>
    <row r="59" spans="1:9" s="16" customFormat="1" ht="7.5" customHeight="1">
      <c r="B59" s="149"/>
      <c r="F59" s="153"/>
      <c r="G59" s="153"/>
      <c r="H59" s="145"/>
      <c r="I59" s="148"/>
    </row>
    <row r="60" spans="1:9" s="16" customFormat="1" ht="15.25" customHeight="1">
      <c r="B60" s="104"/>
      <c r="C60" s="21"/>
      <c r="D60" s="22"/>
      <c r="E60" s="22"/>
      <c r="F60" s="22"/>
      <c r="G60" s="22"/>
    </row>
    <row r="61" spans="1:9" s="16" customFormat="1" ht="15.25" customHeight="1" thickBot="1">
      <c r="A61" s="168"/>
      <c r="B61" s="169"/>
      <c r="C61" s="170"/>
      <c r="D61" s="171"/>
      <c r="E61" s="171"/>
      <c r="F61" s="171"/>
      <c r="G61" s="171"/>
      <c r="H61" s="168"/>
    </row>
    <row r="62" spans="1:9" s="16" customFormat="1" ht="15.25" customHeight="1">
      <c r="B62" s="28"/>
      <c r="C62" s="29"/>
      <c r="D62" s="30"/>
      <c r="E62" s="30"/>
      <c r="F62" s="30"/>
      <c r="G62" s="30"/>
      <c r="H62" s="172" t="s">
        <v>31</v>
      </c>
    </row>
    <row r="63" spans="1:9" s="16" customFormat="1" ht="12" customHeight="1">
      <c r="C63" s="21"/>
      <c r="D63" s="22"/>
      <c r="E63" s="22"/>
      <c r="F63" s="22"/>
      <c r="G63" s="66"/>
      <c r="H63" s="173" t="s">
        <v>32</v>
      </c>
    </row>
    <row r="64" spans="1:9" s="16" customFormat="1" ht="13">
      <c r="C64" s="94"/>
      <c r="D64" s="23"/>
      <c r="E64" s="23"/>
      <c r="F64" s="23"/>
      <c r="G64" s="86"/>
      <c r="I64" s="98"/>
    </row>
    <row r="65" spans="2:9" s="16" customFormat="1" ht="15.25" customHeight="1">
      <c r="B65" s="174" t="s">
        <v>210</v>
      </c>
      <c r="C65" s="94"/>
      <c r="D65" s="22"/>
      <c r="E65" s="22"/>
      <c r="F65" s="22"/>
      <c r="G65" s="30"/>
      <c r="I65" s="98"/>
    </row>
    <row r="66" spans="2:9" s="12" customFormat="1" ht="13">
      <c r="B66" s="105" t="s">
        <v>228</v>
      </c>
    </row>
    <row r="67" spans="2:9" s="12" customFormat="1" ht="13">
      <c r="B67" s="107" t="s">
        <v>229</v>
      </c>
    </row>
  </sheetData>
  <mergeCells count="1">
    <mergeCell ref="B6:D6"/>
  </mergeCells>
  <conditionalFormatting sqref="C61:C62">
    <cfRule type="cellIs" dxfId="34" priority="1"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66"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46313-4DDC-45F6-BF9E-6ADF8D60BA0D}">
  <sheetPr codeName="Sheet34">
    <pageSetUpPr fitToPage="1"/>
  </sheetPr>
  <dimension ref="A1:N59"/>
  <sheetViews>
    <sheetView view="pageBreakPreview" zoomScaleNormal="100" zoomScaleSheetLayoutView="100" workbookViewId="0">
      <selection activeCell="D60" sqref="D60"/>
    </sheetView>
  </sheetViews>
  <sheetFormatPr baseColWidth="10" defaultColWidth="8.83203125" defaultRowHeight="15"/>
  <cols>
    <col min="1" max="1" width="4.5" customWidth="1"/>
    <col min="2" max="2" width="9.1640625" customWidth="1"/>
    <col min="3" max="3" width="29.6640625" customWidth="1"/>
    <col min="4" max="4" width="30.33203125" customWidth="1"/>
    <col min="5" max="5" width="2.5" customWidth="1"/>
    <col min="6" max="6" width="1.83203125" customWidth="1"/>
    <col min="7" max="7" width="1.6640625" customWidth="1"/>
    <col min="8" max="8" width="14.83203125" customWidth="1"/>
    <col min="9" max="9" width="17.5" customWidth="1"/>
    <col min="10" max="10" width="17.6640625" customWidth="1"/>
  </cols>
  <sheetData>
    <row r="1" spans="1:14" s="1" customFormat="1" ht="8.25" customHeight="1"/>
    <row r="2" spans="1:14" s="1" customFormat="1" ht="8.25" customHeight="1"/>
    <row r="3" spans="1:14" s="1" customFormat="1" ht="16.5" customHeight="1">
      <c r="A3"/>
      <c r="B3" s="2" t="s">
        <v>230</v>
      </c>
      <c r="C3" s="3" t="s">
        <v>231</v>
      </c>
      <c r="D3"/>
      <c r="E3"/>
      <c r="F3"/>
      <c r="G3"/>
      <c r="H3"/>
      <c r="I3" s="4"/>
      <c r="J3"/>
      <c r="K3"/>
      <c r="L3"/>
      <c r="M3"/>
      <c r="N3"/>
    </row>
    <row r="4" spans="1:14" s="1" customFormat="1" ht="16.5" customHeight="1">
      <c r="A4"/>
      <c r="B4" s="5" t="s">
        <v>232</v>
      </c>
      <c r="C4" s="6" t="s">
        <v>233</v>
      </c>
      <c r="D4" s="7"/>
      <c r="E4" s="7"/>
      <c r="F4" s="8"/>
      <c r="G4" s="8"/>
      <c r="H4" s="8"/>
      <c r="I4" s="4"/>
      <c r="J4"/>
      <c r="K4"/>
      <c r="L4"/>
      <c r="M4"/>
      <c r="N4"/>
    </row>
    <row r="5" spans="1:14" s="1" customFormat="1" ht="13.25" customHeight="1" thickBot="1">
      <c r="A5" s="9"/>
      <c r="B5" s="9"/>
      <c r="C5" s="9"/>
      <c r="D5" s="9"/>
      <c r="E5" s="9"/>
      <c r="F5" s="9"/>
      <c r="G5" s="9"/>
      <c r="H5" s="8"/>
      <c r="I5" s="8"/>
      <c r="J5"/>
      <c r="K5"/>
      <c r="L5"/>
      <c r="M5"/>
      <c r="N5"/>
    </row>
    <row r="6" spans="1:14" s="12" customFormat="1" ht="43.25" customHeight="1" thickBot="1">
      <c r="A6" s="10"/>
      <c r="B6" s="1273" t="s">
        <v>234</v>
      </c>
      <c r="C6" s="1273"/>
      <c r="D6" s="10"/>
      <c r="E6" s="10"/>
      <c r="F6" s="10"/>
      <c r="G6" s="11"/>
      <c r="H6" s="11">
        <v>2022</v>
      </c>
      <c r="I6" s="11">
        <v>2023</v>
      </c>
      <c r="J6" s="11">
        <v>2024</v>
      </c>
    </row>
    <row r="7" spans="1:14" s="12" customFormat="1" ht="16.5" customHeight="1">
      <c r="B7" s="73"/>
      <c r="C7" s="74"/>
      <c r="D7" s="75"/>
      <c r="E7" s="75"/>
      <c r="F7" s="75"/>
      <c r="G7" s="75"/>
      <c r="H7" s="75"/>
      <c r="I7" s="75"/>
    </row>
    <row r="8" spans="1:14" s="16" customFormat="1" ht="15.25" customHeight="1">
      <c r="B8" s="37" t="s">
        <v>235</v>
      </c>
      <c r="D8" s="23"/>
      <c r="E8" s="23"/>
      <c r="F8" s="23"/>
      <c r="G8" s="23"/>
      <c r="H8" s="23"/>
      <c r="I8" s="24"/>
      <c r="J8" s="23"/>
    </row>
    <row r="9" spans="1:14" s="16" customFormat="1" ht="15.25" customHeight="1">
      <c r="B9" s="104" t="s">
        <v>236</v>
      </c>
      <c r="D9" s="23"/>
      <c r="E9" s="22"/>
      <c r="F9" s="22"/>
      <c r="G9" s="22"/>
      <c r="H9" s="23"/>
      <c r="I9" s="24"/>
      <c r="J9" s="23"/>
      <c r="N9" s="80"/>
    </row>
    <row r="10" spans="1:14" s="16" customFormat="1" ht="15.25" customHeight="1">
      <c r="D10" s="22"/>
      <c r="E10" s="22"/>
      <c r="F10" s="22"/>
      <c r="G10" s="22"/>
      <c r="H10" s="23"/>
      <c r="I10" s="24"/>
      <c r="J10" s="23"/>
    </row>
    <row r="11" spans="1:14" s="16" customFormat="1" ht="17.25" customHeight="1">
      <c r="B11" s="175" t="s">
        <v>237</v>
      </c>
      <c r="C11" s="29"/>
      <c r="D11" s="22"/>
      <c r="E11" s="76"/>
      <c r="F11" s="76"/>
      <c r="G11" s="76"/>
      <c r="H11" s="76">
        <v>59091.07188467274</v>
      </c>
      <c r="I11" s="76">
        <v>58700.311045550363</v>
      </c>
      <c r="J11" s="90">
        <v>47204.783253476118</v>
      </c>
    </row>
    <row r="12" spans="1:14" s="16" customFormat="1" ht="17.25" customHeight="1">
      <c r="B12" s="101" t="s">
        <v>238</v>
      </c>
      <c r="C12" s="29"/>
      <c r="D12" s="23"/>
      <c r="E12" s="23"/>
      <c r="F12" s="23"/>
      <c r="G12" s="23"/>
      <c r="H12" s="23">
        <v>137486.41000000003</v>
      </c>
      <c r="I12" s="23">
        <v>170572.93999999994</v>
      </c>
      <c r="J12" s="24">
        <v>169287.99700000003</v>
      </c>
    </row>
    <row r="13" spans="1:14" s="16" customFormat="1" ht="17.25" customHeight="1">
      <c r="B13" s="101" t="s">
        <v>239</v>
      </c>
      <c r="C13" s="29"/>
      <c r="D13" s="23"/>
      <c r="E13" s="23"/>
      <c r="F13" s="23"/>
      <c r="G13" s="23"/>
      <c r="H13" s="23">
        <v>-47161.315399999999</v>
      </c>
      <c r="I13" s="23">
        <v>-60727.947499999995</v>
      </c>
      <c r="J13" s="24">
        <v>-45418.358000000007</v>
      </c>
    </row>
    <row r="14" spans="1:14" s="16" customFormat="1" ht="17.25" customHeight="1">
      <c r="B14" s="101" t="s">
        <v>240</v>
      </c>
      <c r="C14" s="21"/>
      <c r="D14" s="23"/>
      <c r="E14" s="23"/>
      <c r="F14" s="23"/>
      <c r="G14" s="23"/>
      <c r="H14" s="23">
        <v>-28520.200715327293</v>
      </c>
      <c r="I14" s="23">
        <v>-41550.525454449584</v>
      </c>
      <c r="J14" s="24">
        <v>-63554.551746523903</v>
      </c>
    </row>
    <row r="15" spans="1:14" s="16" customFormat="1" ht="17.25" customHeight="1">
      <c r="B15" s="101" t="s">
        <v>241</v>
      </c>
      <c r="C15" s="29"/>
      <c r="D15" s="23"/>
      <c r="E15" s="23"/>
      <c r="F15" s="23"/>
      <c r="G15" s="23"/>
      <c r="H15" s="23">
        <v>-2713.8220000000001</v>
      </c>
      <c r="I15" s="23">
        <v>-9594.155999999999</v>
      </c>
      <c r="J15" s="24">
        <v>-13110.304</v>
      </c>
    </row>
    <row r="16" spans="1:14" s="16" customFormat="1" ht="15.25" customHeight="1">
      <c r="B16" s="176"/>
      <c r="C16" s="29"/>
      <c r="D16" s="23"/>
      <c r="E16" s="23"/>
      <c r="F16" s="23"/>
      <c r="G16" s="23"/>
      <c r="H16" s="23"/>
      <c r="I16" s="23"/>
      <c r="J16" s="24"/>
    </row>
    <row r="17" spans="2:14" s="16" customFormat="1" ht="17.25" customHeight="1">
      <c r="B17" s="176" t="s">
        <v>242</v>
      </c>
      <c r="C17" s="29"/>
      <c r="D17" s="23"/>
      <c r="E17" s="76"/>
      <c r="F17" s="76"/>
      <c r="G17" s="76"/>
      <c r="H17" s="76">
        <v>-419.149</v>
      </c>
      <c r="I17" s="76">
        <v>-570.57600000000002</v>
      </c>
      <c r="J17" s="90">
        <v>-460.36100000000005</v>
      </c>
    </row>
    <row r="18" spans="2:14" s="16" customFormat="1" ht="15.25" customHeight="1">
      <c r="B18" s="176"/>
      <c r="C18" s="29"/>
      <c r="D18" s="23"/>
      <c r="E18" s="23"/>
      <c r="F18" s="23"/>
      <c r="G18" s="23"/>
      <c r="H18" s="23"/>
      <c r="I18" s="23"/>
      <c r="J18" s="24"/>
    </row>
    <row r="19" spans="2:14" s="16" customFormat="1" ht="17.25" customHeight="1">
      <c r="B19" s="176" t="s">
        <v>243</v>
      </c>
      <c r="C19" s="29"/>
      <c r="D19" s="23"/>
      <c r="E19" s="76"/>
      <c r="F19" s="76"/>
      <c r="G19" s="76"/>
      <c r="H19" s="76">
        <v>-77396.19</v>
      </c>
      <c r="I19" s="76">
        <v>13021.313</v>
      </c>
      <c r="J19" s="90">
        <v>14822.979999999994</v>
      </c>
    </row>
    <row r="20" spans="2:14" s="16" customFormat="1" ht="15.25" customHeight="1">
      <c r="B20" s="176"/>
      <c r="C20" s="29"/>
      <c r="D20" s="23"/>
      <c r="E20" s="23"/>
      <c r="F20" s="23"/>
      <c r="G20" s="23"/>
      <c r="H20" s="23"/>
      <c r="I20" s="23"/>
      <c r="J20" s="24"/>
    </row>
    <row r="21" spans="2:14" s="16" customFormat="1" ht="17.25" customHeight="1">
      <c r="B21" s="176" t="s">
        <v>244</v>
      </c>
      <c r="C21" s="29"/>
      <c r="D21" s="23"/>
      <c r="E21" s="23"/>
      <c r="F21" s="23"/>
      <c r="G21" s="23"/>
      <c r="H21" s="23">
        <v>3111.1150000000007</v>
      </c>
      <c r="I21" s="23">
        <v>28465.504000000001</v>
      </c>
      <c r="J21" s="23">
        <v>15971.271958419988</v>
      </c>
    </row>
    <row r="22" spans="2:14" s="16" customFormat="1" ht="17.25" customHeight="1">
      <c r="B22" s="101" t="s">
        <v>245</v>
      </c>
      <c r="C22" s="29"/>
      <c r="D22" s="23"/>
      <c r="E22" s="23"/>
      <c r="F22" s="23"/>
      <c r="G22" s="23"/>
      <c r="H22" s="23">
        <v>-10169.849</v>
      </c>
      <c r="I22" s="23">
        <v>-19678.821</v>
      </c>
      <c r="J22" s="24">
        <v>-57290.096636269976</v>
      </c>
    </row>
    <row r="23" spans="2:14" s="16" customFormat="1" ht="17.25" customHeight="1">
      <c r="B23" s="101" t="s">
        <v>246</v>
      </c>
      <c r="C23" s="29"/>
      <c r="D23" s="23"/>
      <c r="E23" s="23"/>
      <c r="F23" s="23"/>
      <c r="G23" s="23"/>
      <c r="H23" s="23">
        <v>13280.964</v>
      </c>
      <c r="I23" s="23">
        <v>48144.324999999997</v>
      </c>
      <c r="J23" s="24">
        <v>73261.368594689964</v>
      </c>
      <c r="N23" s="177"/>
    </row>
    <row r="24" spans="2:14" s="16" customFormat="1" ht="15.25" customHeight="1">
      <c r="B24" s="178"/>
      <c r="C24" s="29"/>
      <c r="D24" s="23"/>
      <c r="E24" s="23"/>
      <c r="F24" s="23"/>
      <c r="G24" s="23"/>
      <c r="H24" s="23"/>
      <c r="I24" s="23"/>
      <c r="J24" s="24"/>
    </row>
    <row r="25" spans="2:14" s="16" customFormat="1" ht="48" customHeight="1">
      <c r="B25" s="1295" t="s">
        <v>247</v>
      </c>
      <c r="C25" s="1295"/>
      <c r="D25" s="179"/>
      <c r="E25" s="180"/>
      <c r="F25" s="180"/>
      <c r="G25" s="180"/>
      <c r="H25" s="180">
        <v>80500</v>
      </c>
      <c r="I25" s="180">
        <v>84900</v>
      </c>
      <c r="J25" s="180">
        <v>63040</v>
      </c>
    </row>
    <row r="26" spans="2:14" s="16" customFormat="1" ht="15.25" customHeight="1">
      <c r="B26" s="181"/>
      <c r="C26" s="182"/>
      <c r="D26" s="183"/>
      <c r="E26" s="183"/>
      <c r="F26" s="183"/>
      <c r="G26" s="183"/>
      <c r="H26" s="23"/>
      <c r="I26" s="23"/>
      <c r="J26" s="184"/>
    </row>
    <row r="27" spans="2:14" s="16" customFormat="1" ht="29.75" customHeight="1">
      <c r="B27" s="1296" t="s">
        <v>248</v>
      </c>
      <c r="C27" s="1296"/>
      <c r="D27" s="1296"/>
      <c r="E27" s="180"/>
      <c r="F27" s="180"/>
      <c r="G27" s="180"/>
      <c r="H27" s="76">
        <v>56579.932358000005</v>
      </c>
      <c r="I27" s="76">
        <v>179599</v>
      </c>
      <c r="J27" s="185" t="s">
        <v>28</v>
      </c>
    </row>
    <row r="28" spans="2:14" s="16" customFormat="1" ht="17.25" customHeight="1">
      <c r="B28" s="101" t="s">
        <v>249</v>
      </c>
      <c r="C28" s="21"/>
      <c r="D28" s="22"/>
      <c r="E28" s="23"/>
      <c r="F28" s="23"/>
      <c r="G28" s="23"/>
      <c r="H28" s="23">
        <v>4204.8024460000006</v>
      </c>
      <c r="I28" s="23">
        <v>3848</v>
      </c>
      <c r="J28" s="184" t="s">
        <v>28</v>
      </c>
      <c r="K28" s="25"/>
    </row>
    <row r="29" spans="2:14" s="42" customFormat="1" ht="17.25" customHeight="1">
      <c r="B29" s="101" t="s">
        <v>250</v>
      </c>
      <c r="C29" s="21"/>
      <c r="D29" s="22"/>
      <c r="E29" s="23"/>
      <c r="F29" s="23"/>
      <c r="G29" s="23"/>
      <c r="H29" s="23">
        <v>2256.2000070000004</v>
      </c>
      <c r="I29" s="23">
        <v>65834</v>
      </c>
      <c r="J29" s="184" t="s">
        <v>28</v>
      </c>
    </row>
    <row r="30" spans="2:14" s="1" customFormat="1" ht="17.25" customHeight="1">
      <c r="B30" s="101" t="s">
        <v>251</v>
      </c>
      <c r="C30" s="21"/>
      <c r="D30" s="22"/>
      <c r="E30" s="186"/>
      <c r="F30" s="23"/>
      <c r="G30" s="23"/>
      <c r="H30" s="23" t="s">
        <v>28</v>
      </c>
      <c r="I30" s="184" t="s">
        <v>28</v>
      </c>
      <c r="J30" s="184" t="s">
        <v>28</v>
      </c>
    </row>
    <row r="31" spans="2:14" s="1" customFormat="1" ht="17.25" customHeight="1">
      <c r="B31" s="101" t="s">
        <v>252</v>
      </c>
      <c r="C31" s="21"/>
      <c r="D31" s="22"/>
      <c r="E31" s="23"/>
      <c r="F31" s="23"/>
      <c r="G31" s="23"/>
      <c r="H31" s="23">
        <v>1272.1534329999999</v>
      </c>
      <c r="I31" s="23">
        <v>3555</v>
      </c>
      <c r="J31" s="184" t="s">
        <v>28</v>
      </c>
    </row>
    <row r="32" spans="2:14" s="1" customFormat="1" ht="17.25" customHeight="1">
      <c r="B32" s="101" t="s">
        <v>253</v>
      </c>
      <c r="C32" s="21"/>
      <c r="D32" s="22"/>
      <c r="E32" s="23"/>
      <c r="F32" s="23"/>
      <c r="G32" s="23"/>
      <c r="H32" s="23">
        <v>3790.2228369999998</v>
      </c>
      <c r="I32" s="23">
        <v>2373</v>
      </c>
      <c r="J32" s="184" t="s">
        <v>28</v>
      </c>
    </row>
    <row r="33" spans="2:11" s="1" customFormat="1" ht="17.25" customHeight="1">
      <c r="B33" s="101" t="s">
        <v>254</v>
      </c>
      <c r="C33" s="29"/>
      <c r="D33" s="187"/>
      <c r="E33" s="188"/>
      <c r="F33" s="188"/>
      <c r="G33" s="188"/>
      <c r="H33" s="184">
        <v>3749.8658909999999</v>
      </c>
      <c r="I33" s="184">
        <v>10251</v>
      </c>
      <c r="J33" s="184" t="s">
        <v>28</v>
      </c>
      <c r="K33" s="25"/>
    </row>
    <row r="34" spans="2:11" s="1" customFormat="1" ht="17.25" customHeight="1">
      <c r="B34" s="101" t="s">
        <v>255</v>
      </c>
      <c r="C34" s="21"/>
      <c r="D34" s="22"/>
      <c r="E34" s="23"/>
      <c r="F34" s="23"/>
      <c r="G34" s="23"/>
      <c r="H34" s="23">
        <v>10550.167752000001</v>
      </c>
      <c r="I34" s="23">
        <v>74439</v>
      </c>
      <c r="J34" s="184" t="s">
        <v>28</v>
      </c>
      <c r="K34" s="16"/>
    </row>
    <row r="35" spans="2:11" s="1" customFormat="1" ht="17.25" customHeight="1">
      <c r="B35" s="101" t="s">
        <v>256</v>
      </c>
      <c r="C35" s="21"/>
      <c r="D35" s="22"/>
      <c r="E35" s="23"/>
      <c r="F35" s="23"/>
      <c r="G35" s="23"/>
      <c r="H35" s="23">
        <v>1148.786513</v>
      </c>
      <c r="I35" s="23">
        <v>4085</v>
      </c>
      <c r="J35" s="184" t="s">
        <v>28</v>
      </c>
      <c r="K35" s="16"/>
    </row>
    <row r="36" spans="2:11" s="1" customFormat="1" ht="17.25" customHeight="1">
      <c r="B36" s="101" t="s">
        <v>257</v>
      </c>
      <c r="C36" s="21"/>
      <c r="D36" s="22"/>
      <c r="E36" s="186"/>
      <c r="F36" s="186"/>
      <c r="G36" s="23"/>
      <c r="H36" s="23" t="s">
        <v>28</v>
      </c>
      <c r="I36" s="184" t="s">
        <v>28</v>
      </c>
      <c r="J36" s="184" t="s">
        <v>28</v>
      </c>
      <c r="K36" s="16"/>
    </row>
    <row r="37" spans="2:11" s="1" customFormat="1" ht="17.25" customHeight="1">
      <c r="B37" s="101" t="s">
        <v>258</v>
      </c>
      <c r="C37" s="21"/>
      <c r="D37" s="22"/>
      <c r="E37" s="23"/>
      <c r="F37" s="23"/>
      <c r="G37" s="23"/>
      <c r="H37" s="23">
        <v>11479.144002000001</v>
      </c>
      <c r="I37" s="23">
        <v>1458</v>
      </c>
      <c r="J37" s="184" t="s">
        <v>28</v>
      </c>
      <c r="K37" s="16"/>
    </row>
    <row r="38" spans="2:11" s="1" customFormat="1" ht="17.25" customHeight="1">
      <c r="B38" s="101" t="s">
        <v>259</v>
      </c>
      <c r="C38" s="21"/>
      <c r="D38" s="22"/>
      <c r="E38" s="23"/>
      <c r="F38" s="23"/>
      <c r="G38" s="23"/>
      <c r="H38" s="23">
        <v>1817.0262169999999</v>
      </c>
      <c r="I38" s="23">
        <v>3748</v>
      </c>
      <c r="J38" s="184" t="s">
        <v>28</v>
      </c>
      <c r="K38" s="16"/>
    </row>
    <row r="39" spans="2:11" s="1" customFormat="1" ht="17.25" customHeight="1">
      <c r="B39" s="101" t="s">
        <v>260</v>
      </c>
      <c r="C39" s="21"/>
      <c r="D39" s="22"/>
      <c r="E39" s="23"/>
      <c r="F39" s="23"/>
      <c r="G39" s="23"/>
      <c r="H39" s="23">
        <v>11.479357</v>
      </c>
      <c r="I39" s="23">
        <v>4379</v>
      </c>
      <c r="J39" s="184" t="s">
        <v>28</v>
      </c>
      <c r="K39" s="16"/>
    </row>
    <row r="40" spans="2:11" s="1" customFormat="1" ht="17.25" customHeight="1">
      <c r="B40" s="101" t="s">
        <v>261</v>
      </c>
      <c r="C40" s="29"/>
      <c r="D40" s="187"/>
      <c r="E40" s="188"/>
      <c r="F40" s="188"/>
      <c r="G40" s="188"/>
      <c r="H40" s="184">
        <v>15252.561797</v>
      </c>
      <c r="I40" s="184">
        <v>5618</v>
      </c>
      <c r="J40" s="184" t="s">
        <v>28</v>
      </c>
      <c r="K40" s="25"/>
    </row>
    <row r="41" spans="2:11" s="1" customFormat="1" ht="17.25" customHeight="1">
      <c r="B41" s="101" t="s">
        <v>262</v>
      </c>
      <c r="C41" s="21"/>
      <c r="D41" s="22"/>
      <c r="E41" s="23"/>
      <c r="F41" s="23"/>
      <c r="G41" s="23"/>
      <c r="H41" s="23">
        <v>1047.5221060000001</v>
      </c>
      <c r="I41" s="23">
        <v>4</v>
      </c>
      <c r="J41" s="184" t="s">
        <v>28</v>
      </c>
      <c r="K41" s="16"/>
    </row>
    <row r="42" spans="2:11" s="1" customFormat="1" ht="17.25" customHeight="1">
      <c r="B42" s="101" t="s">
        <v>263</v>
      </c>
      <c r="C42" s="21"/>
      <c r="D42" s="22"/>
      <c r="E42" s="186"/>
      <c r="F42" s="186"/>
      <c r="G42" s="186"/>
      <c r="H42" s="184" t="s">
        <v>28</v>
      </c>
      <c r="I42" s="184">
        <v>7</v>
      </c>
      <c r="J42" s="184" t="s">
        <v>28</v>
      </c>
      <c r="K42" s="16"/>
    </row>
    <row r="43" spans="2:11" s="1" customFormat="1" ht="17.25" customHeight="1">
      <c r="B43" s="101" t="s">
        <v>264</v>
      </c>
      <c r="C43" s="21"/>
      <c r="D43" s="22"/>
      <c r="E43" s="186"/>
      <c r="F43" s="186"/>
      <c r="G43" s="186"/>
      <c r="H43" s="184" t="s">
        <v>28</v>
      </c>
      <c r="I43" s="184" t="s">
        <v>28</v>
      </c>
      <c r="J43" s="184" t="s">
        <v>28</v>
      </c>
      <c r="K43" s="16"/>
    </row>
    <row r="44" spans="2:11" s="1" customFormat="1" ht="14">
      <c r="B44" s="176"/>
      <c r="C44" s="29"/>
      <c r="D44" s="187"/>
      <c r="E44" s="187"/>
      <c r="F44" s="187"/>
      <c r="G44" s="187"/>
      <c r="H44" s="184"/>
      <c r="I44" s="184"/>
      <c r="J44" s="23"/>
      <c r="K44" s="25"/>
    </row>
    <row r="45" spans="2:11" s="1" customFormat="1" thickBot="1">
      <c r="B45" s="189"/>
      <c r="C45" s="190"/>
      <c r="D45" s="190"/>
      <c r="E45" s="190"/>
      <c r="F45" s="190"/>
      <c r="G45" s="190"/>
      <c r="H45" s="191"/>
      <c r="I45" s="191"/>
      <c r="J45" s="191"/>
      <c r="K45" s="42"/>
    </row>
    <row r="46" spans="2:11" s="1" customFormat="1">
      <c r="B46"/>
      <c r="C46"/>
      <c r="D46"/>
      <c r="E46"/>
      <c r="F46"/>
      <c r="G46"/>
      <c r="H46"/>
      <c r="I46"/>
      <c r="J46" s="192" t="s">
        <v>31</v>
      </c>
      <c r="K46"/>
    </row>
    <row r="47" spans="2:11" s="1" customFormat="1">
      <c r="B47"/>
      <c r="C47"/>
      <c r="D47"/>
      <c r="E47"/>
      <c r="F47"/>
      <c r="G47"/>
      <c r="H47"/>
      <c r="I47"/>
      <c r="J47" s="192" t="s">
        <v>265</v>
      </c>
      <c r="K47"/>
    </row>
    <row r="48" spans="2:11" s="1" customFormat="1">
      <c r="B48"/>
      <c r="C48"/>
      <c r="D48"/>
      <c r="E48"/>
      <c r="F48"/>
      <c r="G48"/>
      <c r="H48"/>
      <c r="I48"/>
      <c r="J48" s="193" t="s">
        <v>32</v>
      </c>
      <c r="K48"/>
    </row>
    <row r="49" spans="1:10" s="1" customFormat="1">
      <c r="B49"/>
      <c r="C49"/>
      <c r="D49"/>
      <c r="E49"/>
      <c r="F49"/>
      <c r="G49"/>
      <c r="H49"/>
      <c r="I49"/>
      <c r="J49" s="193" t="s">
        <v>266</v>
      </c>
    </row>
    <row r="50" spans="1:10" s="1" customFormat="1" ht="14"/>
    <row r="51" spans="1:10" s="1" customFormat="1">
      <c r="B51" s="140" t="s">
        <v>267</v>
      </c>
      <c r="C51"/>
      <c r="D51"/>
      <c r="E51"/>
      <c r="F51"/>
      <c r="G51"/>
      <c r="H51"/>
      <c r="I51"/>
      <c r="J51"/>
    </row>
    <row r="52" spans="1:10" s="54" customFormat="1" ht="14">
      <c r="A52" s="51" t="s">
        <v>34</v>
      </c>
      <c r="B52" s="53" t="s">
        <v>268</v>
      </c>
    </row>
    <row r="53" spans="1:10" s="54" customFormat="1" ht="14">
      <c r="B53" s="55" t="s">
        <v>269</v>
      </c>
    </row>
    <row r="55" spans="1:10" s="54" customFormat="1" ht="14">
      <c r="A55" s="51" t="s">
        <v>37</v>
      </c>
      <c r="B55" s="53" t="s">
        <v>270</v>
      </c>
    </row>
    <row r="56" spans="1:10" s="54" customFormat="1" ht="14">
      <c r="B56" s="55" t="s">
        <v>271</v>
      </c>
    </row>
    <row r="58" spans="1:10" s="54" customFormat="1" ht="14">
      <c r="A58" s="51" t="s">
        <v>272</v>
      </c>
      <c r="B58" s="53" t="s">
        <v>273</v>
      </c>
    </row>
    <row r="59" spans="1:10" s="54" customFormat="1" ht="14">
      <c r="B59" s="55" t="s">
        <v>274</v>
      </c>
    </row>
  </sheetData>
  <mergeCells count="3">
    <mergeCell ref="B6:C6"/>
    <mergeCell ref="B25:C25"/>
    <mergeCell ref="B27:D27"/>
  </mergeCells>
  <conditionalFormatting sqref="C11:C13">
    <cfRule type="cellIs" dxfId="33" priority="4" stopIfTrue="1" operator="lessThan">
      <formula>0</formula>
    </cfRule>
  </conditionalFormatting>
  <conditionalFormatting sqref="C15:C24">
    <cfRule type="cellIs" dxfId="32" priority="1" stopIfTrue="1" operator="lessThan">
      <formula>0</formula>
    </cfRule>
  </conditionalFormatting>
  <conditionalFormatting sqref="C26">
    <cfRule type="cellIs" dxfId="31" priority="3" stopIfTrue="1" operator="lessThan">
      <formula>0</formula>
    </cfRule>
  </conditionalFormatting>
  <conditionalFormatting sqref="C28">
    <cfRule type="cellIs" dxfId="30" priority="2"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66"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C8A8C-BDE5-4167-93C7-EA0C4B7E6CBE}">
  <sheetPr codeName="Sheet35">
    <pageSetUpPr fitToPage="1"/>
  </sheetPr>
  <dimension ref="A1:AE59"/>
  <sheetViews>
    <sheetView view="pageBreakPreview" topLeftCell="A3" zoomScaleNormal="80" zoomScaleSheetLayoutView="100" workbookViewId="0">
      <selection activeCell="D60" sqref="D60"/>
    </sheetView>
  </sheetViews>
  <sheetFormatPr baseColWidth="10" defaultColWidth="9.1640625" defaultRowHeight="14"/>
  <cols>
    <col min="1" max="1" width="3" style="194" customWidth="1"/>
    <col min="2" max="2" width="9.5" style="194" customWidth="1"/>
    <col min="3" max="3" width="2.83203125" style="194" customWidth="1"/>
    <col min="4" max="4" width="50.83203125" style="194" customWidth="1"/>
    <col min="5" max="5" width="4.5" style="194" customWidth="1"/>
    <col min="6" max="6" width="13.6640625" style="194" customWidth="1"/>
    <col min="7" max="7" width="14" style="194" customWidth="1"/>
    <col min="8" max="8" width="12.83203125" style="194" customWidth="1"/>
    <col min="9" max="9" width="1.1640625" style="194" customWidth="1"/>
    <col min="10" max="11" width="10.33203125" style="54" customWidth="1"/>
    <col min="12" max="12" width="11.1640625" style="54" customWidth="1"/>
    <col min="13" max="13" width="1.5" style="194" customWidth="1"/>
    <col min="14" max="16384" width="9.1640625" style="194"/>
  </cols>
  <sheetData>
    <row r="1" spans="1:14" ht="8.25" hidden="1" customHeight="1"/>
    <row r="2" spans="1:14" ht="8.25" hidden="1" customHeight="1"/>
    <row r="3" spans="1:14" s="54" customFormat="1" ht="17.25" customHeight="1">
      <c r="B3" s="195" t="s">
        <v>275</v>
      </c>
      <c r="C3" s="196" t="s">
        <v>276</v>
      </c>
      <c r="G3" s="197"/>
    </row>
    <row r="4" spans="1:14" s="54" customFormat="1" ht="18.75" customHeight="1">
      <c r="B4" s="198" t="s">
        <v>277</v>
      </c>
      <c r="C4" s="199" t="s">
        <v>278</v>
      </c>
      <c r="E4" s="200"/>
      <c r="F4" s="200"/>
      <c r="G4" s="197"/>
    </row>
    <row r="5" spans="1:14" s="54" customFormat="1" ht="15" customHeight="1">
      <c r="B5" s="201"/>
      <c r="C5" s="201"/>
      <c r="E5" s="200"/>
      <c r="F5" s="200"/>
      <c r="G5" s="197"/>
    </row>
    <row r="6" spans="1:14" s="204" customFormat="1" ht="28.25" customHeight="1" thickBot="1">
      <c r="A6" s="202"/>
      <c r="B6" s="202"/>
      <c r="C6" s="202"/>
      <c r="D6" s="202"/>
      <c r="E6" s="202"/>
      <c r="F6" s="1297" t="s">
        <v>279</v>
      </c>
      <c r="G6" s="1297"/>
      <c r="H6" s="1297"/>
      <c r="I6" s="203"/>
      <c r="J6" s="1297" t="s">
        <v>280</v>
      </c>
      <c r="K6" s="1297"/>
      <c r="L6" s="1297"/>
    </row>
    <row r="7" spans="1:14" s="206" customFormat="1" ht="29.5" customHeight="1" thickBot="1">
      <c r="A7" s="205"/>
      <c r="B7" s="1273" t="s">
        <v>281</v>
      </c>
      <c r="C7" s="1273"/>
      <c r="D7" s="1293"/>
      <c r="E7" s="10"/>
      <c r="F7" s="10">
        <v>2022</v>
      </c>
      <c r="G7" s="11">
        <v>2023</v>
      </c>
      <c r="H7" s="11">
        <v>2024</v>
      </c>
      <c r="I7" s="54"/>
      <c r="J7" s="10">
        <v>2022</v>
      </c>
      <c r="K7" s="11">
        <v>2023</v>
      </c>
      <c r="L7" s="11">
        <v>2024</v>
      </c>
    </row>
    <row r="8" spans="1:14" s="206" customFormat="1" ht="15.5" customHeight="1">
      <c r="B8" s="207"/>
      <c r="C8" s="207"/>
      <c r="D8" s="208"/>
      <c r="E8" s="209"/>
      <c r="F8" s="209"/>
      <c r="G8" s="209"/>
      <c r="H8" s="210"/>
      <c r="I8" s="194"/>
      <c r="J8" s="211"/>
      <c r="K8" s="211"/>
      <c r="L8" s="211"/>
    </row>
    <row r="9" spans="1:14" s="212" customFormat="1" ht="16.25" customHeight="1">
      <c r="B9" s="213" t="s">
        <v>282</v>
      </c>
      <c r="C9" s="213"/>
      <c r="D9" s="208"/>
      <c r="E9" s="214"/>
      <c r="F9" s="215">
        <v>1550009.274633999</v>
      </c>
      <c r="G9" s="215">
        <v>1426198.704358001</v>
      </c>
      <c r="H9" s="215">
        <v>1509290.554015001</v>
      </c>
      <c r="I9" s="216"/>
      <c r="J9" s="217">
        <v>7.9877309318186596</v>
      </c>
      <c r="K9" s="217">
        <v>7.9877309318186596</v>
      </c>
      <c r="L9" s="217">
        <v>5.8261060960929418</v>
      </c>
    </row>
    <row r="10" spans="1:14" s="218" customFormat="1" ht="16.25" customHeight="1">
      <c r="C10" s="213" t="s">
        <v>283</v>
      </c>
      <c r="D10" s="208"/>
      <c r="E10" s="219"/>
      <c r="F10" s="220"/>
      <c r="G10" s="220"/>
      <c r="H10" s="220"/>
      <c r="I10" s="221"/>
      <c r="J10" s="222"/>
      <c r="K10" s="222"/>
      <c r="L10" s="222"/>
    </row>
    <row r="11" spans="1:14" s="218" customFormat="1" ht="16.25" customHeight="1">
      <c r="B11" s="223"/>
      <c r="C11" s="223"/>
      <c r="D11" s="224" t="s">
        <v>284</v>
      </c>
      <c r="E11" s="225"/>
      <c r="F11" s="226">
        <v>120903.07965699992</v>
      </c>
      <c r="G11" s="226">
        <v>94817.511775000021</v>
      </c>
      <c r="H11" s="226">
        <v>105785.80643699998</v>
      </c>
      <c r="I11" s="227"/>
      <c r="J11" s="222">
        <v>21.575602504091901</v>
      </c>
      <c r="K11" s="222">
        <v>21.575602504091901</v>
      </c>
      <c r="L11" s="222">
        <v>11.567794236182333</v>
      </c>
      <c r="N11" s="228"/>
    </row>
    <row r="12" spans="1:14" s="218" customFormat="1" ht="16.25" customHeight="1">
      <c r="B12" s="223"/>
      <c r="C12" s="223"/>
      <c r="D12" s="224" t="s">
        <v>285</v>
      </c>
      <c r="E12" s="225"/>
      <c r="F12" s="226">
        <v>117345.54247200002</v>
      </c>
      <c r="G12" s="226">
        <v>106078.27368100001</v>
      </c>
      <c r="H12" s="226">
        <v>103892.09354600002</v>
      </c>
      <c r="I12" s="227"/>
      <c r="J12" s="222">
        <v>9.6017867859688906</v>
      </c>
      <c r="K12" s="222">
        <v>9.6017867859688906</v>
      </c>
      <c r="L12" s="222">
        <v>2.0609122482274702</v>
      </c>
      <c r="N12" s="228"/>
    </row>
    <row r="13" spans="1:14" s="218" customFormat="1" ht="16.25" customHeight="1">
      <c r="B13" s="223"/>
      <c r="C13" s="223"/>
      <c r="D13" s="224" t="s">
        <v>286</v>
      </c>
      <c r="E13" s="225"/>
      <c r="F13" s="226">
        <v>1304668.458652999</v>
      </c>
      <c r="G13" s="226">
        <v>1216283.1764760008</v>
      </c>
      <c r="H13" s="226">
        <v>1289189.092660001</v>
      </c>
      <c r="I13" s="227"/>
      <c r="J13" s="222">
        <v>6.7745396610761404</v>
      </c>
      <c r="K13" s="222">
        <v>6.7745396610761404</v>
      </c>
      <c r="L13" s="222">
        <v>5.9941564262390132</v>
      </c>
      <c r="N13" s="228"/>
    </row>
    <row r="14" spans="1:14" s="218" customFormat="1" ht="16.25" customHeight="1">
      <c r="B14" s="223"/>
      <c r="C14" s="223"/>
      <c r="D14" s="224" t="s">
        <v>106</v>
      </c>
      <c r="E14" s="225"/>
      <c r="F14" s="226">
        <v>7092.1938520000022</v>
      </c>
      <c r="G14" s="226">
        <v>9019.7424259999989</v>
      </c>
      <c r="H14" s="226">
        <v>10423.561371999998</v>
      </c>
      <c r="I14" s="227"/>
      <c r="J14" s="222">
        <v>27.178453017840553</v>
      </c>
      <c r="K14" s="222">
        <v>27.178453017840553</v>
      </c>
      <c r="L14" s="222">
        <v>15.563847388295693</v>
      </c>
      <c r="N14" s="228"/>
    </row>
    <row r="15" spans="1:14" s="218" customFormat="1" ht="15" customHeight="1">
      <c r="B15" s="229"/>
      <c r="C15" s="229"/>
      <c r="D15" s="208"/>
      <c r="E15" s="230"/>
      <c r="F15" s="231"/>
      <c r="G15" s="231"/>
      <c r="H15" s="231"/>
      <c r="I15" s="227"/>
      <c r="J15" s="222"/>
      <c r="K15" s="222"/>
      <c r="L15" s="222"/>
    </row>
    <row r="16" spans="1:14" s="218" customFormat="1" ht="16.25" customHeight="1">
      <c r="C16" s="213" t="s">
        <v>287</v>
      </c>
      <c r="D16" s="208"/>
      <c r="E16" s="219"/>
      <c r="F16" s="220"/>
      <c r="G16" s="220"/>
      <c r="H16" s="220"/>
      <c r="I16" s="221"/>
      <c r="J16" s="222"/>
      <c r="K16" s="222"/>
      <c r="L16" s="222"/>
    </row>
    <row r="17" spans="2:14" s="218" customFormat="1" ht="16.25" customHeight="1">
      <c r="C17" s="232" t="s">
        <v>288</v>
      </c>
      <c r="D17" s="208"/>
      <c r="E17" s="219"/>
      <c r="F17" s="220"/>
      <c r="G17" s="220"/>
      <c r="H17" s="220"/>
      <c r="I17" s="221"/>
      <c r="J17" s="222"/>
      <c r="K17" s="222"/>
      <c r="L17" s="222"/>
    </row>
    <row r="18" spans="2:14" s="218" customFormat="1" ht="16.25" customHeight="1">
      <c r="B18" s="223"/>
      <c r="C18" s="223"/>
      <c r="D18" s="224" t="s">
        <v>289</v>
      </c>
      <c r="E18" s="225"/>
      <c r="F18" s="226">
        <v>592955.84293100005</v>
      </c>
      <c r="G18" s="226">
        <v>575455.29072599998</v>
      </c>
      <c r="H18" s="226">
        <v>601576.78459399997</v>
      </c>
      <c r="I18" s="227"/>
      <c r="J18" s="222">
        <v>2.9514090152977102</v>
      </c>
      <c r="K18" s="222">
        <v>2.9514090152977102</v>
      </c>
      <c r="L18" s="222">
        <v>4.5392742562232522</v>
      </c>
      <c r="N18" s="228"/>
    </row>
    <row r="19" spans="2:14" s="218" customFormat="1" ht="16.25" customHeight="1">
      <c r="B19" s="223"/>
      <c r="C19" s="223"/>
      <c r="D19" s="224" t="s">
        <v>290</v>
      </c>
      <c r="E19" s="225"/>
      <c r="F19" s="226">
        <v>149836.129739</v>
      </c>
      <c r="G19" s="226">
        <v>133870.28451899998</v>
      </c>
      <c r="H19" s="226">
        <v>117577.34405199997</v>
      </c>
      <c r="I19" s="227"/>
      <c r="J19" s="222">
        <v>10.655537651573701</v>
      </c>
      <c r="K19" s="222">
        <v>10.655537651573701</v>
      </c>
      <c r="L19" s="222">
        <v>12.1706923426218</v>
      </c>
      <c r="N19" s="228"/>
    </row>
    <row r="20" spans="2:14" s="218" customFormat="1" ht="16.25" customHeight="1">
      <c r="B20" s="223"/>
      <c r="C20" s="223"/>
      <c r="D20" s="224" t="s">
        <v>291</v>
      </c>
      <c r="E20" s="225"/>
      <c r="F20" s="226">
        <v>137985.75492400001</v>
      </c>
      <c r="G20" s="226">
        <v>102159.76746799999</v>
      </c>
      <c r="H20" s="226">
        <v>114377.863549</v>
      </c>
      <c r="I20" s="227"/>
      <c r="J20" s="222">
        <v>25.963540566729002</v>
      </c>
      <c r="K20" s="222">
        <v>25.963540566729002</v>
      </c>
      <c r="L20" s="222">
        <v>11.959792376022337</v>
      </c>
      <c r="N20" s="228"/>
    </row>
    <row r="21" spans="2:14" s="218" customFormat="1" ht="16.25" customHeight="1">
      <c r="B21" s="223"/>
      <c r="C21" s="223"/>
      <c r="D21" s="233" t="s">
        <v>292</v>
      </c>
      <c r="E21" s="234"/>
      <c r="F21" s="235"/>
      <c r="G21" s="235"/>
      <c r="H21" s="235"/>
      <c r="I21" s="227"/>
      <c r="J21" s="222"/>
      <c r="K21" s="222"/>
      <c r="L21" s="222"/>
      <c r="N21" s="228"/>
    </row>
    <row r="22" spans="2:14" s="218" customFormat="1" ht="15" customHeight="1">
      <c r="B22" s="229"/>
      <c r="C22" s="229"/>
      <c r="D22" s="208"/>
      <c r="E22" s="230"/>
      <c r="F22" s="231"/>
      <c r="G22" s="231"/>
      <c r="H22" s="231"/>
      <c r="I22" s="227"/>
      <c r="J22" s="222"/>
      <c r="K22" s="222"/>
      <c r="L22" s="222"/>
    </row>
    <row r="23" spans="2:14" s="212" customFormat="1" ht="16.25" customHeight="1">
      <c r="B23" s="213" t="s">
        <v>293</v>
      </c>
      <c r="C23" s="213"/>
      <c r="D23" s="236"/>
      <c r="E23" s="214"/>
      <c r="F23" s="215">
        <v>1293811.3921559998</v>
      </c>
      <c r="G23" s="215">
        <v>1211044.0406490001</v>
      </c>
      <c r="H23" s="215">
        <v>1370237.479546</v>
      </c>
      <c r="I23" s="237"/>
      <c r="J23" s="217">
        <v>6.3971728807455204</v>
      </c>
      <c r="K23" s="217">
        <v>6.3971728807455204</v>
      </c>
      <c r="L23" s="217">
        <v>13.145140354407586</v>
      </c>
      <c r="N23" s="238"/>
    </row>
    <row r="24" spans="2:14" s="218" customFormat="1" ht="16.25" customHeight="1">
      <c r="B24" s="213"/>
      <c r="C24" s="213" t="s">
        <v>294</v>
      </c>
      <c r="D24" s="236"/>
      <c r="E24" s="239"/>
      <c r="F24" s="240">
        <v>965836.14379200002</v>
      </c>
      <c r="G24" s="240">
        <v>895910.06112299999</v>
      </c>
      <c r="H24" s="240">
        <v>1077006.497762</v>
      </c>
      <c r="I24" s="227"/>
      <c r="J24" s="222">
        <v>7.2399529794423501</v>
      </c>
      <c r="K24" s="222">
        <v>7.2399529794423501</v>
      </c>
      <c r="L24" s="222">
        <v>20.213684888413944</v>
      </c>
      <c r="N24" s="228"/>
    </row>
    <row r="25" spans="2:14" s="218" customFormat="1" ht="16.25" customHeight="1">
      <c r="C25" s="213" t="s">
        <v>295</v>
      </c>
      <c r="D25" s="236"/>
      <c r="E25" s="219"/>
      <c r="F25" s="220"/>
      <c r="G25" s="220"/>
      <c r="H25" s="220"/>
      <c r="I25" s="227"/>
      <c r="J25" s="222"/>
      <c r="K25" s="222"/>
      <c r="L25" s="222"/>
    </row>
    <row r="26" spans="2:14" s="218" customFormat="1" ht="16.25" customHeight="1">
      <c r="B26" s="159"/>
      <c r="C26" s="159"/>
      <c r="D26" s="224" t="s">
        <v>296</v>
      </c>
      <c r="E26" s="225"/>
      <c r="F26" s="226">
        <v>120231.44983699999</v>
      </c>
      <c r="G26" s="226">
        <v>128743.418749</v>
      </c>
      <c r="H26" s="226">
        <v>166098.25771199999</v>
      </c>
      <c r="I26" s="227"/>
      <c r="J26" s="222">
        <v>7.0796525564150183</v>
      </c>
      <c r="K26" s="222">
        <v>7.0796525564150183</v>
      </c>
      <c r="L26" s="222">
        <v>29.014950298801303</v>
      </c>
      <c r="N26" s="228"/>
    </row>
    <row r="27" spans="2:14" s="218" customFormat="1" ht="16.25" customHeight="1">
      <c r="B27" s="159"/>
      <c r="C27" s="159"/>
      <c r="D27" s="224" t="s">
        <v>297</v>
      </c>
      <c r="E27" s="225"/>
      <c r="F27" s="226">
        <v>706551.23107500002</v>
      </c>
      <c r="G27" s="226">
        <v>620606.51184599998</v>
      </c>
      <c r="H27" s="226">
        <v>749247.10145299998</v>
      </c>
      <c r="I27" s="227"/>
      <c r="J27" s="222">
        <v>12.1639755829506</v>
      </c>
      <c r="K27" s="222">
        <v>12.1639755829506</v>
      </c>
      <c r="L27" s="222">
        <v>20.728204933647465</v>
      </c>
      <c r="N27" s="228"/>
    </row>
    <row r="28" spans="2:14" s="218" customFormat="1" ht="16.25" customHeight="1">
      <c r="B28" s="159"/>
      <c r="C28" s="159"/>
      <c r="D28" s="224" t="s">
        <v>298</v>
      </c>
      <c r="E28" s="225"/>
      <c r="F28" s="226">
        <v>104017.235508</v>
      </c>
      <c r="G28" s="226">
        <v>104117.734237</v>
      </c>
      <c r="H28" s="226">
        <v>117413.718655</v>
      </c>
      <c r="I28" s="227"/>
      <c r="J28" s="222">
        <v>9.661738125338816E-2</v>
      </c>
      <c r="K28" s="222">
        <v>9.661738125338816E-2</v>
      </c>
      <c r="L28" s="222">
        <v>12.770143833263569</v>
      </c>
      <c r="N28" s="228"/>
    </row>
    <row r="29" spans="2:14" s="218" customFormat="1" ht="16.25" customHeight="1">
      <c r="B29" s="223"/>
      <c r="C29" s="223"/>
      <c r="D29" s="224" t="s">
        <v>106</v>
      </c>
      <c r="E29" s="225"/>
      <c r="F29" s="226">
        <f>F24-F26-F27-F28</f>
        <v>35036.227372000008</v>
      </c>
      <c r="G29" s="226">
        <f>G24-G26-G27-G28</f>
        <v>42442.39629100007</v>
      </c>
      <c r="H29" s="226">
        <f>H24-H26-H27-H28</f>
        <v>44247.41994199992</v>
      </c>
      <c r="I29" s="227"/>
      <c r="J29" s="222">
        <v>21.138602739285989</v>
      </c>
      <c r="K29" s="222">
        <v>21.138602739285989</v>
      </c>
      <c r="L29" s="222">
        <v>4.2528787456390775</v>
      </c>
      <c r="N29" s="228"/>
    </row>
    <row r="30" spans="2:14" s="218" customFormat="1" ht="16.5" customHeight="1">
      <c r="B30" s="223"/>
      <c r="C30" s="223"/>
      <c r="D30" s="229"/>
      <c r="E30" s="219"/>
      <c r="F30" s="220"/>
      <c r="G30" s="220"/>
      <c r="H30" s="220"/>
      <c r="I30" s="227"/>
      <c r="J30" s="222"/>
      <c r="K30" s="222"/>
      <c r="L30" s="222"/>
    </row>
    <row r="31" spans="2:14" s="218" customFormat="1" ht="16.25" customHeight="1">
      <c r="C31" s="213" t="s">
        <v>287</v>
      </c>
      <c r="D31" s="208"/>
      <c r="E31" s="239"/>
      <c r="F31" s="240"/>
      <c r="G31" s="240"/>
      <c r="H31" s="240"/>
      <c r="I31" s="241"/>
      <c r="J31" s="222"/>
      <c r="K31" s="222"/>
      <c r="L31" s="222"/>
      <c r="M31" s="156"/>
      <c r="N31" s="156"/>
    </row>
    <row r="32" spans="2:14" s="218" customFormat="1" ht="16.25" customHeight="1">
      <c r="C32" s="232" t="s">
        <v>288</v>
      </c>
      <c r="D32" s="208"/>
      <c r="E32" s="239"/>
      <c r="F32" s="240"/>
      <c r="G32" s="240"/>
      <c r="H32" s="240"/>
      <c r="I32" s="241"/>
      <c r="J32" s="222"/>
      <c r="K32" s="222"/>
      <c r="L32" s="222"/>
      <c r="M32" s="156"/>
      <c r="N32" s="156"/>
    </row>
    <row r="33" spans="1:14" s="218" customFormat="1" ht="16.25" customHeight="1">
      <c r="B33" s="223"/>
      <c r="C33" s="223"/>
      <c r="D33" s="224" t="s">
        <v>289</v>
      </c>
      <c r="E33" s="225"/>
      <c r="F33" s="226">
        <v>393473.91991599998</v>
      </c>
      <c r="G33" s="226">
        <v>355944.50648100005</v>
      </c>
      <c r="H33" s="226">
        <v>455802.6407300001</v>
      </c>
      <c r="I33" s="242"/>
      <c r="J33" s="222">
        <v>9.5379672032677103</v>
      </c>
      <c r="K33" s="222">
        <v>9.5379672032677103</v>
      </c>
      <c r="L33" s="222">
        <v>28.054410850790973</v>
      </c>
      <c r="M33" s="156"/>
      <c r="N33" s="243"/>
    </row>
    <row r="34" spans="1:14" s="218" customFormat="1" ht="16.25" customHeight="1">
      <c r="B34" s="223"/>
      <c r="C34" s="223"/>
      <c r="D34" s="224" t="s">
        <v>290</v>
      </c>
      <c r="E34" s="225"/>
      <c r="F34" s="226">
        <v>136762.033788</v>
      </c>
      <c r="G34" s="226">
        <v>130253.19206999999</v>
      </c>
      <c r="H34" s="226">
        <v>121417.71246299999</v>
      </c>
      <c r="I34" s="242"/>
      <c r="J34" s="222">
        <v>4.7592460697751902</v>
      </c>
      <c r="K34" s="222">
        <v>4.7592460697751902</v>
      </c>
      <c r="L34" s="222">
        <v>6.7833113849921496</v>
      </c>
      <c r="M34" s="156"/>
      <c r="N34" s="243"/>
    </row>
    <row r="35" spans="1:14" s="218" customFormat="1" ht="16.25" customHeight="1">
      <c r="B35" s="223"/>
      <c r="C35" s="223"/>
      <c r="D35" s="224" t="s">
        <v>299</v>
      </c>
      <c r="E35" s="225"/>
      <c r="F35" s="226">
        <v>52941.408157999998</v>
      </c>
      <c r="G35" s="226">
        <v>60972.369946000006</v>
      </c>
      <c r="H35" s="226">
        <v>63166.548171999988</v>
      </c>
      <c r="I35" s="242"/>
      <c r="J35" s="222">
        <v>15.169528101768947</v>
      </c>
      <c r="K35" s="222">
        <v>15.169528101768947</v>
      </c>
      <c r="L35" s="222">
        <v>3.5986434969532084</v>
      </c>
      <c r="M35" s="156"/>
      <c r="N35" s="243"/>
    </row>
    <row r="36" spans="1:14" s="218" customFormat="1" ht="15" customHeight="1">
      <c r="B36" s="229"/>
      <c r="C36" s="229"/>
      <c r="D36" s="208"/>
      <c r="E36" s="244"/>
      <c r="F36" s="245"/>
      <c r="G36" s="245"/>
      <c r="H36" s="245"/>
      <c r="I36" s="242"/>
      <c r="J36" s="222"/>
      <c r="K36" s="222"/>
      <c r="L36" s="222"/>
      <c r="M36" s="156"/>
      <c r="N36" s="156"/>
    </row>
    <row r="37" spans="1:14" s="212" customFormat="1" ht="16.25" customHeight="1">
      <c r="A37" s="213"/>
      <c r="B37" s="213" t="s">
        <v>300</v>
      </c>
      <c r="C37" s="213"/>
      <c r="D37" s="213"/>
      <c r="E37" s="214"/>
      <c r="F37" s="215">
        <f>F9+F23</f>
        <v>2843820.6667899988</v>
      </c>
      <c r="G37" s="215">
        <f>G9+G23</f>
        <v>2637242.7450070009</v>
      </c>
      <c r="H37" s="215">
        <f>H9+H23</f>
        <v>2879528.0335610011</v>
      </c>
      <c r="I37" s="237"/>
      <c r="J37" s="217">
        <v>7.2640980563720099</v>
      </c>
      <c r="K37" s="217">
        <v>7.2640980563720099</v>
      </c>
      <c r="L37" s="217">
        <v>9.1870681609688916</v>
      </c>
    </row>
    <row r="38" spans="1:14" s="212" customFormat="1" ht="16.25" customHeight="1">
      <c r="A38" s="213"/>
      <c r="B38" s="213"/>
      <c r="C38" s="213"/>
      <c r="D38" s="213"/>
      <c r="E38" s="246"/>
      <c r="F38" s="247"/>
      <c r="G38" s="247"/>
      <c r="H38" s="247"/>
      <c r="I38" s="237"/>
      <c r="J38" s="217"/>
      <c r="K38" s="217"/>
      <c r="L38" s="217"/>
    </row>
    <row r="39" spans="1:14" s="212" customFormat="1" ht="16.25" customHeight="1">
      <c r="A39" s="213"/>
      <c r="B39" s="213" t="s">
        <v>301</v>
      </c>
      <c r="C39" s="213"/>
      <c r="D39" s="213"/>
      <c r="E39" s="214"/>
      <c r="F39" s="215">
        <f>F9-F23</f>
        <v>256197.8824779992</v>
      </c>
      <c r="G39" s="215">
        <f>G9-G23</f>
        <v>215154.66370900092</v>
      </c>
      <c r="H39" s="215">
        <f>H9-H23</f>
        <v>139053.07446900103</v>
      </c>
      <c r="I39" s="237"/>
      <c r="J39" s="217">
        <v>16.020124121253399</v>
      </c>
      <c r="K39" s="217">
        <v>16.020124121253399</v>
      </c>
      <c r="L39" s="217">
        <v>35.370643577091201</v>
      </c>
    </row>
    <row r="40" spans="1:14" s="218" customFormat="1" ht="15" customHeight="1">
      <c r="B40" s="212"/>
      <c r="C40" s="212"/>
      <c r="E40" s="214"/>
      <c r="F40" s="220"/>
      <c r="G40" s="220"/>
      <c r="H40" s="220"/>
      <c r="I40" s="227"/>
      <c r="J40" s="222"/>
      <c r="K40" s="222"/>
      <c r="L40" s="222"/>
    </row>
    <row r="41" spans="1:14" s="218" customFormat="1" ht="29" customHeight="1">
      <c r="A41" s="156"/>
      <c r="B41" s="1298" t="s">
        <v>302</v>
      </c>
      <c r="C41" s="1298"/>
      <c r="D41" s="1298"/>
      <c r="E41" s="214"/>
      <c r="F41" s="215">
        <f>SUM(F42:F46)</f>
        <v>1495525.5495340002</v>
      </c>
      <c r="G41" s="215">
        <f>SUM(G42:G46)</f>
        <v>1397114.066721</v>
      </c>
      <c r="H41" s="215">
        <f>SUM(H42:H46)</f>
        <v>1600724.294465</v>
      </c>
      <c r="I41" s="227"/>
      <c r="J41" s="217">
        <v>6.5803946207181001</v>
      </c>
      <c r="K41" s="217">
        <v>6.5803946207181001</v>
      </c>
      <c r="L41" s="217">
        <v>14.573629497687998</v>
      </c>
    </row>
    <row r="42" spans="1:14" s="218" customFormat="1" ht="16.25" customHeight="1">
      <c r="A42" s="156"/>
      <c r="B42" s="156"/>
      <c r="C42" s="156"/>
      <c r="D42" s="213" t="s">
        <v>303</v>
      </c>
      <c r="E42" s="248"/>
      <c r="F42" s="249">
        <v>486380.56942399999</v>
      </c>
      <c r="G42" s="249">
        <v>450012.12686800002</v>
      </c>
      <c r="H42" s="249">
        <v>484245.34087299998</v>
      </c>
      <c r="I42" s="227"/>
      <c r="J42" s="222">
        <v>7.4773633739254004</v>
      </c>
      <c r="K42" s="222">
        <v>7.4773633739254004</v>
      </c>
      <c r="L42" s="222">
        <v>7.6071758872936837</v>
      </c>
    </row>
    <row r="43" spans="1:14" s="218" customFormat="1" ht="16.25" customHeight="1">
      <c r="A43" s="156"/>
      <c r="B43" s="156"/>
      <c r="C43" s="156"/>
      <c r="D43" s="213" t="s">
        <v>304</v>
      </c>
      <c r="E43" s="248"/>
      <c r="F43" s="249">
        <v>367523.70898499998</v>
      </c>
      <c r="G43" s="249">
        <v>363020.74606999999</v>
      </c>
      <c r="H43" s="249">
        <v>396262.58990700002</v>
      </c>
      <c r="I43" s="227"/>
      <c r="J43" s="222">
        <v>1.22521698734374</v>
      </c>
      <c r="K43" s="222">
        <v>1.22521698734374</v>
      </c>
      <c r="L43" s="222">
        <v>9.1570093987383618</v>
      </c>
    </row>
    <row r="44" spans="1:14" s="218" customFormat="1" ht="16.25" customHeight="1">
      <c r="A44" s="156"/>
      <c r="B44" s="156"/>
      <c r="C44" s="156"/>
      <c r="D44" s="213" t="s">
        <v>305</v>
      </c>
      <c r="E44" s="248"/>
      <c r="F44" s="249">
        <v>267628.985522</v>
      </c>
      <c r="G44" s="249">
        <v>250122.732861</v>
      </c>
      <c r="H44" s="249">
        <v>325157.84817999997</v>
      </c>
      <c r="I44" s="227"/>
      <c r="J44" s="222">
        <v>6.5412394053113196</v>
      </c>
      <c r="K44" s="222">
        <v>6.5412394053113196</v>
      </c>
      <c r="L44" s="222">
        <v>29.999318518840518</v>
      </c>
    </row>
    <row r="45" spans="1:14" s="218" customFormat="1" ht="16.25" customHeight="1">
      <c r="A45" s="156"/>
      <c r="B45" s="156"/>
      <c r="C45" s="156"/>
      <c r="D45" s="213" t="s">
        <v>306</v>
      </c>
      <c r="E45" s="248"/>
      <c r="F45" s="249">
        <v>216244.06753</v>
      </c>
      <c r="G45" s="249">
        <v>206785.58747999999</v>
      </c>
      <c r="H45" s="249">
        <v>218910.33463900001</v>
      </c>
      <c r="I45" s="227"/>
      <c r="J45" s="222">
        <v>4.3739836001224903</v>
      </c>
      <c r="K45" s="222">
        <v>4.3739836001224903</v>
      </c>
      <c r="L45" s="222">
        <v>5.8634391819849192</v>
      </c>
    </row>
    <row r="46" spans="1:14" s="218" customFormat="1" ht="16.25" customHeight="1" thickBot="1">
      <c r="A46" s="156"/>
      <c r="B46" s="156"/>
      <c r="C46" s="156"/>
      <c r="D46" s="250" t="s">
        <v>307</v>
      </c>
      <c r="E46" s="251"/>
      <c r="F46" s="252">
        <v>157748.218073</v>
      </c>
      <c r="G46" s="252">
        <v>127172.873442</v>
      </c>
      <c r="H46" s="252">
        <v>176148.18086600001</v>
      </c>
      <c r="I46" s="253"/>
      <c r="J46" s="254">
        <v>19.382370846719098</v>
      </c>
      <c r="K46" s="254">
        <v>19.382370846719098</v>
      </c>
      <c r="L46" s="254">
        <v>38.510812957557562</v>
      </c>
    </row>
    <row r="47" spans="1:14" s="218" customFormat="1" ht="6.5" customHeight="1">
      <c r="A47" s="156"/>
      <c r="B47" s="156"/>
      <c r="C47" s="156"/>
      <c r="E47" s="255"/>
      <c r="F47" s="256"/>
      <c r="G47" s="256"/>
      <c r="H47" s="256"/>
      <c r="I47" s="227"/>
      <c r="J47" s="222"/>
      <c r="K47" s="222"/>
      <c r="L47" s="222"/>
    </row>
    <row r="48" spans="1:14" s="218" customFormat="1" ht="24.5" customHeight="1">
      <c r="A48" s="156"/>
      <c r="B48" s="213"/>
      <c r="C48" s="213"/>
      <c r="D48" s="257" t="s">
        <v>308</v>
      </c>
      <c r="E48" s="258"/>
      <c r="F48" s="259"/>
      <c r="G48" s="259"/>
      <c r="H48" s="259"/>
      <c r="I48" s="227"/>
      <c r="J48" s="217">
        <f>J41/J37*100</f>
        <v>90.587910152807339</v>
      </c>
      <c r="K48" s="217">
        <f>K41/K37*100</f>
        <v>90.587910152807339</v>
      </c>
      <c r="L48" s="217">
        <f>L41/L37*100</f>
        <v>158.63199491219433</v>
      </c>
    </row>
    <row r="49" spans="1:31" s="262" customFormat="1" ht="8.25" customHeight="1" thickBot="1">
      <c r="A49" s="260"/>
      <c r="B49" s="260"/>
      <c r="C49" s="260"/>
      <c r="D49" s="260"/>
      <c r="E49" s="260"/>
      <c r="F49" s="260"/>
      <c r="G49" s="260"/>
      <c r="H49" s="260"/>
      <c r="I49" s="260"/>
      <c r="J49" s="261"/>
      <c r="K49" s="261"/>
      <c r="L49" s="261"/>
    </row>
    <row r="50" spans="1:31" s="262" customFormat="1" ht="15" customHeight="1" thickTop="1">
      <c r="E50" s="263"/>
      <c r="F50" s="263"/>
      <c r="H50" s="264"/>
      <c r="I50" s="264"/>
      <c r="J50" s="47"/>
      <c r="K50" s="47"/>
      <c r="L50" s="43" t="s">
        <v>31</v>
      </c>
    </row>
    <row r="51" spans="1:31" s="262" customFormat="1">
      <c r="B51" s="265"/>
      <c r="C51" s="265"/>
      <c r="D51" s="264"/>
      <c r="E51" s="264"/>
      <c r="F51" s="264"/>
      <c r="G51" s="264"/>
      <c r="J51" s="200"/>
      <c r="K51" s="200"/>
      <c r="L51" s="44" t="s">
        <v>32</v>
      </c>
    </row>
    <row r="52" spans="1:31" s="269" customFormat="1" ht="15" customHeight="1">
      <c r="A52" s="266"/>
      <c r="B52" s="267"/>
      <c r="C52" s="267"/>
      <c r="D52" s="264"/>
      <c r="E52" s="268"/>
      <c r="F52" s="268"/>
      <c r="G52" s="268"/>
      <c r="H52" s="266"/>
      <c r="I52" s="264"/>
      <c r="J52" s="47"/>
      <c r="K52" s="47"/>
      <c r="L52" s="47"/>
      <c r="M52" s="266"/>
      <c r="N52" s="266"/>
      <c r="O52" s="266"/>
      <c r="P52" s="266"/>
      <c r="Q52" s="266"/>
      <c r="R52" s="266"/>
      <c r="S52" s="266"/>
      <c r="T52" s="266"/>
      <c r="U52" s="266"/>
      <c r="V52" s="266"/>
      <c r="W52" s="266"/>
      <c r="X52" s="266"/>
      <c r="Y52" s="266"/>
      <c r="Z52" s="266"/>
      <c r="AA52" s="266"/>
      <c r="AB52" s="266"/>
      <c r="AC52" s="266"/>
      <c r="AD52" s="266"/>
      <c r="AE52" s="266"/>
    </row>
    <row r="53" spans="1:31" s="269" customFormat="1" ht="15" customHeight="1">
      <c r="A53" s="270"/>
      <c r="B53" s="267"/>
      <c r="C53" s="267"/>
      <c r="D53" s="264"/>
      <c r="E53" s="268"/>
      <c r="F53" s="268"/>
      <c r="G53" s="268"/>
      <c r="H53" s="266"/>
      <c r="I53" s="264"/>
      <c r="J53" s="47"/>
      <c r="K53" s="47"/>
      <c r="L53" s="47"/>
      <c r="M53" s="266"/>
      <c r="N53" s="266"/>
      <c r="O53" s="266"/>
      <c r="P53" s="266"/>
      <c r="Q53" s="266"/>
      <c r="R53" s="266"/>
      <c r="S53" s="266"/>
      <c r="T53" s="266"/>
      <c r="U53" s="266"/>
      <c r="V53" s="266"/>
      <c r="W53" s="266"/>
      <c r="X53" s="266"/>
      <c r="Y53" s="266"/>
      <c r="Z53" s="266"/>
      <c r="AA53" s="266"/>
      <c r="AB53" s="266"/>
      <c r="AC53" s="266"/>
      <c r="AD53" s="266"/>
      <c r="AE53" s="266"/>
    </row>
    <row r="54" spans="1:31" s="269" customFormat="1" ht="15" customHeight="1">
      <c r="A54" s="266"/>
      <c r="B54" s="267"/>
      <c r="C54" s="267"/>
      <c r="D54" s="264"/>
      <c r="E54" s="268"/>
      <c r="F54" s="268"/>
      <c r="G54" s="268"/>
      <c r="H54" s="266"/>
      <c r="I54" s="264"/>
      <c r="J54" s="47"/>
      <c r="K54" s="47"/>
      <c r="L54" s="47"/>
      <c r="M54" s="266"/>
      <c r="N54" s="266"/>
      <c r="O54" s="266"/>
      <c r="P54" s="266"/>
      <c r="Q54" s="266"/>
      <c r="R54" s="266"/>
      <c r="S54" s="266"/>
      <c r="T54" s="266"/>
      <c r="U54" s="266"/>
      <c r="V54" s="266"/>
      <c r="W54" s="266"/>
      <c r="X54" s="266"/>
      <c r="Y54" s="266"/>
      <c r="Z54" s="266"/>
      <c r="AA54" s="266"/>
      <c r="AB54" s="266"/>
      <c r="AC54" s="266"/>
      <c r="AD54" s="266"/>
      <c r="AE54" s="266"/>
    </row>
    <row r="55" spans="1:31" s="269" customFormat="1" ht="15" customHeight="1">
      <c r="A55" s="266"/>
      <c r="B55" s="267"/>
      <c r="C55" s="267"/>
      <c r="D55" s="264"/>
      <c r="E55" s="268"/>
      <c r="F55" s="268"/>
      <c r="G55" s="268"/>
      <c r="H55" s="266"/>
      <c r="I55" s="264"/>
      <c r="J55" s="47"/>
      <c r="K55" s="47"/>
      <c r="L55" s="47"/>
      <c r="M55" s="266"/>
      <c r="N55" s="266"/>
      <c r="O55" s="266"/>
      <c r="P55" s="266"/>
      <c r="Q55" s="266"/>
      <c r="R55" s="266"/>
      <c r="S55" s="266"/>
      <c r="T55" s="266"/>
      <c r="U55" s="266"/>
      <c r="V55" s="266"/>
      <c r="W55" s="266"/>
      <c r="X55" s="266"/>
      <c r="Y55" s="266"/>
      <c r="Z55" s="266"/>
      <c r="AA55" s="266"/>
      <c r="AB55" s="266"/>
      <c r="AC55" s="266"/>
      <c r="AD55" s="266"/>
      <c r="AE55" s="266"/>
    </row>
    <row r="56" spans="1:31" s="269" customFormat="1" ht="15" customHeight="1">
      <c r="A56" s="266"/>
      <c r="B56" s="271"/>
      <c r="C56" s="271"/>
      <c r="D56" s="264"/>
      <c r="E56" s="268"/>
      <c r="F56" s="268"/>
      <c r="G56" s="268"/>
      <c r="H56" s="266"/>
      <c r="I56" s="264"/>
      <c r="J56" s="47"/>
      <c r="K56" s="47"/>
      <c r="L56" s="47"/>
      <c r="M56" s="266"/>
      <c r="N56" s="266"/>
      <c r="O56" s="266"/>
      <c r="P56" s="266"/>
      <c r="Q56" s="266"/>
      <c r="R56" s="266"/>
      <c r="S56" s="266"/>
      <c r="T56" s="266"/>
      <c r="U56" s="266"/>
      <c r="V56" s="266"/>
      <c r="W56" s="266"/>
      <c r="X56" s="266"/>
      <c r="Y56" s="266"/>
      <c r="Z56" s="266"/>
      <c r="AA56" s="266"/>
      <c r="AB56" s="266"/>
      <c r="AC56" s="266"/>
      <c r="AD56" s="266"/>
      <c r="AE56" s="266"/>
    </row>
    <row r="57" spans="1:31" s="272" customFormat="1" ht="15" customHeight="1">
      <c r="A57" s="194"/>
      <c r="B57" s="267"/>
      <c r="C57" s="267"/>
      <c r="D57" s="218"/>
      <c r="E57" s="268"/>
      <c r="F57" s="268"/>
      <c r="G57" s="268"/>
      <c r="H57" s="194"/>
      <c r="I57" s="262"/>
      <c r="J57" s="200"/>
      <c r="K57" s="200"/>
      <c r="L57" s="200"/>
      <c r="M57" s="194"/>
      <c r="N57" s="194"/>
      <c r="O57" s="194"/>
      <c r="P57" s="194"/>
      <c r="Q57" s="194"/>
      <c r="R57" s="194"/>
      <c r="S57" s="194"/>
      <c r="T57" s="194"/>
      <c r="U57" s="194"/>
      <c r="V57" s="194"/>
      <c r="W57" s="194"/>
      <c r="X57" s="194"/>
      <c r="Y57" s="194"/>
      <c r="Z57" s="194"/>
      <c r="AA57" s="194"/>
      <c r="AB57" s="194"/>
      <c r="AC57" s="194"/>
      <c r="AD57" s="194"/>
      <c r="AE57" s="194"/>
    </row>
    <row r="58" spans="1:31" s="272" customFormat="1" ht="15" customHeight="1">
      <c r="A58" s="194"/>
      <c r="B58" s="267"/>
      <c r="C58" s="267"/>
      <c r="D58" s="218"/>
      <c r="E58" s="268"/>
      <c r="F58" s="268"/>
      <c r="G58" s="268"/>
      <c r="H58" s="194"/>
      <c r="I58" s="262"/>
      <c r="J58" s="200"/>
      <c r="K58" s="200"/>
      <c r="L58" s="200"/>
      <c r="M58" s="194"/>
      <c r="N58" s="194"/>
      <c r="O58" s="194"/>
      <c r="P58" s="194"/>
      <c r="Q58" s="194"/>
      <c r="R58" s="194"/>
      <c r="S58" s="194"/>
      <c r="T58" s="194"/>
      <c r="U58" s="194"/>
      <c r="V58" s="194"/>
      <c r="W58" s="194"/>
      <c r="X58" s="194"/>
      <c r="Y58" s="194"/>
      <c r="Z58" s="194"/>
      <c r="AA58" s="194"/>
      <c r="AB58" s="194"/>
      <c r="AC58" s="194"/>
      <c r="AD58" s="194"/>
      <c r="AE58" s="194"/>
    </row>
    <row r="59" spans="1:31" s="272" customFormat="1" ht="15" customHeight="1">
      <c r="A59" s="194"/>
      <c r="B59" s="271"/>
      <c r="C59" s="271"/>
      <c r="D59" s="218"/>
      <c r="E59" s="268"/>
      <c r="F59" s="268"/>
      <c r="G59" s="268"/>
      <c r="H59" s="194"/>
      <c r="I59" s="262"/>
      <c r="J59" s="200"/>
      <c r="K59" s="200"/>
      <c r="L59" s="200"/>
      <c r="M59" s="194"/>
      <c r="N59" s="194"/>
      <c r="O59" s="194"/>
      <c r="P59" s="194"/>
      <c r="Q59" s="194"/>
      <c r="R59" s="194"/>
      <c r="S59" s="194"/>
      <c r="T59" s="194"/>
      <c r="U59" s="194"/>
      <c r="V59" s="194"/>
      <c r="W59" s="194"/>
      <c r="X59" s="194"/>
      <c r="Y59" s="194"/>
      <c r="Z59" s="194"/>
      <c r="AA59" s="194"/>
      <c r="AB59" s="194"/>
      <c r="AC59" s="194"/>
      <c r="AD59" s="194"/>
      <c r="AE59" s="194"/>
    </row>
  </sheetData>
  <mergeCells count="4">
    <mergeCell ref="F6:H6"/>
    <mergeCell ref="J6:L6"/>
    <mergeCell ref="B7:D7"/>
    <mergeCell ref="B41:D41"/>
  </mergeCells>
  <conditionalFormatting sqref="D37:D40 D42:D46 E46 D48">
    <cfRule type="cellIs" dxfId="29" priority="2" stopIfTrue="1" operator="lessThan">
      <formula>0</formula>
    </cfRule>
  </conditionalFormatting>
  <conditionalFormatting sqref="H40">
    <cfRule type="cellIs" dxfId="28" priority="1" stopIfTrue="1" operator="lessThan">
      <formula>0</formula>
    </cfRule>
  </conditionalFormatting>
  <printOptions horizontalCentered="1"/>
  <pageMargins left="0.55118110236220474" right="0.26" top="0.55118110236220474" bottom="0.55118110236220474" header="0.55118110236220474" footer="0.55118110236220474"/>
  <pageSetup paperSize="9" scale="61"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7C49B-53EE-4409-99A3-0B4B49C17E24}">
  <sheetPr codeName="Sheet36">
    <pageSetUpPr fitToPage="1"/>
  </sheetPr>
  <dimension ref="B1:J22"/>
  <sheetViews>
    <sheetView view="pageBreakPreview" zoomScaleNormal="100" zoomScaleSheetLayoutView="100" workbookViewId="0">
      <selection activeCell="D60" sqref="D60"/>
    </sheetView>
  </sheetViews>
  <sheetFormatPr baseColWidth="10" defaultColWidth="8.83203125" defaultRowHeight="15"/>
  <cols>
    <col min="1" max="1" width="1.6640625" customWidth="1"/>
    <col min="2" max="2" width="11.6640625" customWidth="1"/>
    <col min="3" max="3" width="40.6640625" customWidth="1"/>
    <col min="4" max="4" width="35.6640625" customWidth="1"/>
    <col min="5" max="6" width="13.33203125" customWidth="1"/>
    <col min="7" max="7" width="12.5" customWidth="1"/>
  </cols>
  <sheetData>
    <row r="1" spans="2:10" s="273" customFormat="1" ht="8.25" customHeight="1"/>
    <row r="2" spans="2:10" s="273" customFormat="1" ht="8.25" customHeight="1"/>
    <row r="3" spans="2:10" s="275" customFormat="1" ht="16.5" customHeight="1">
      <c r="B3" s="2" t="s">
        <v>309</v>
      </c>
      <c r="C3" s="274" t="s">
        <v>310</v>
      </c>
      <c r="J3" s="276"/>
    </row>
    <row r="4" spans="2:10" s="275" customFormat="1" ht="16.5" customHeight="1">
      <c r="B4" s="5" t="s">
        <v>311</v>
      </c>
      <c r="C4" s="199" t="s">
        <v>312</v>
      </c>
      <c r="D4" s="277"/>
      <c r="E4" s="278"/>
      <c r="F4" s="278"/>
      <c r="G4" s="278"/>
      <c r="H4" s="278"/>
      <c r="I4" s="278"/>
      <c r="J4" s="276"/>
    </row>
    <row r="5" spans="2:10" s="273" customFormat="1" ht="13.25" customHeight="1" thickBot="1">
      <c r="B5" s="279"/>
      <c r="C5" s="279"/>
      <c r="D5" s="279"/>
      <c r="E5" s="279"/>
      <c r="F5" s="279"/>
      <c r="G5" s="279"/>
      <c r="H5" s="279"/>
      <c r="I5" s="279"/>
      <c r="J5" s="279"/>
    </row>
    <row r="6" spans="2:10" s="282" customFormat="1" ht="35" customHeight="1" thickBot="1">
      <c r="B6" s="1300" t="s">
        <v>313</v>
      </c>
      <c r="C6" s="1300"/>
      <c r="D6" s="280"/>
      <c r="E6" s="280">
        <v>2022</v>
      </c>
      <c r="F6" s="280">
        <v>2023</v>
      </c>
      <c r="G6" s="280">
        <v>2024</v>
      </c>
      <c r="H6" s="281"/>
      <c r="I6" s="281"/>
      <c r="J6"/>
    </row>
    <row r="7" spans="2:10" s="282" customFormat="1" ht="20" customHeight="1">
      <c r="B7" s="1263"/>
      <c r="C7" s="1263"/>
      <c r="D7"/>
      <c r="E7"/>
      <c r="F7"/>
      <c r="G7"/>
      <c r="H7" s="283"/>
      <c r="I7" s="284"/>
      <c r="J7"/>
    </row>
    <row r="8" spans="2:10" s="290" customFormat="1" ht="20" customHeight="1">
      <c r="B8" s="1301" t="s">
        <v>314</v>
      </c>
      <c r="C8" s="1301"/>
      <c r="D8" s="285"/>
      <c r="E8" s="286">
        <v>103183.759714306</v>
      </c>
      <c r="F8" s="286">
        <v>40424.334334178719</v>
      </c>
      <c r="G8" s="287">
        <v>18410.1937419723</v>
      </c>
      <c r="H8" s="288"/>
      <c r="I8" s="289"/>
      <c r="J8"/>
    </row>
    <row r="9" spans="2:10" s="282" customFormat="1" ht="20" customHeight="1">
      <c r="B9" s="291" t="s">
        <v>315</v>
      </c>
      <c r="C9" s="78"/>
      <c r="D9" s="285"/>
      <c r="E9" s="286"/>
      <c r="F9" s="286"/>
      <c r="G9" s="287"/>
      <c r="H9" s="288"/>
      <c r="I9" s="289"/>
      <c r="J9"/>
    </row>
    <row r="10" spans="2:10" s="282" customFormat="1" ht="20" customHeight="1">
      <c r="B10" s="1302" t="s">
        <v>316</v>
      </c>
      <c r="C10" s="1303"/>
      <c r="D10" s="292"/>
      <c r="E10" s="293">
        <v>92638.159</v>
      </c>
      <c r="F10" s="293">
        <v>38634.646976337019</v>
      </c>
      <c r="G10" s="294">
        <v>17450.979950057801</v>
      </c>
      <c r="H10" s="283"/>
      <c r="I10" s="284"/>
      <c r="J10"/>
    </row>
    <row r="11" spans="2:10" s="282" customFormat="1" ht="20" customHeight="1">
      <c r="B11" s="1302" t="s">
        <v>317</v>
      </c>
      <c r="C11" s="1303"/>
      <c r="D11" s="292"/>
      <c r="E11" s="293">
        <v>10545.602000000001</v>
      </c>
      <c r="F11" s="293">
        <v>1789.6873578417001</v>
      </c>
      <c r="G11" s="294">
        <v>959.21379191450001</v>
      </c>
      <c r="H11" s="283"/>
      <c r="I11" s="284"/>
      <c r="J11"/>
    </row>
    <row r="12" spans="2:10" s="282" customFormat="1" ht="20" customHeight="1">
      <c r="B12" s="1304"/>
      <c r="C12" s="1304"/>
      <c r="D12" s="292"/>
      <c r="E12" s="293"/>
      <c r="F12" s="293"/>
      <c r="G12" s="294"/>
      <c r="H12" s="283"/>
      <c r="I12" s="284"/>
      <c r="J12"/>
    </row>
    <row r="13" spans="2:10" s="282" customFormat="1" ht="20" customHeight="1">
      <c r="B13" s="37" t="s">
        <v>318</v>
      </c>
      <c r="C13" s="37"/>
      <c r="D13" s="285"/>
      <c r="E13" s="286">
        <v>239120.86566456899</v>
      </c>
      <c r="F13" s="286">
        <v>131660.1507882</v>
      </c>
      <c r="G13" s="287">
        <v>65975.955000000002</v>
      </c>
      <c r="H13" s="283"/>
      <c r="I13" s="284"/>
      <c r="J13"/>
    </row>
    <row r="14" spans="2:10" s="282" customFormat="1" ht="20" customHeight="1">
      <c r="B14" s="291" t="s">
        <v>319</v>
      </c>
      <c r="C14" s="78"/>
      <c r="D14" s="285"/>
      <c r="E14" s="286"/>
      <c r="F14" s="286"/>
      <c r="G14" s="287"/>
      <c r="H14" s="283"/>
      <c r="I14" s="284"/>
      <c r="J14"/>
    </row>
    <row r="15" spans="2:10" s="282" customFormat="1" ht="20" customHeight="1">
      <c r="B15" s="1299" t="s">
        <v>320</v>
      </c>
      <c r="C15" s="1299"/>
      <c r="D15" s="292"/>
      <c r="E15" s="293">
        <v>134885</v>
      </c>
      <c r="F15" s="293">
        <v>134885</v>
      </c>
      <c r="G15" s="294">
        <v>51093.125999999997</v>
      </c>
      <c r="H15" s="283"/>
      <c r="I15" s="284"/>
      <c r="J15"/>
    </row>
    <row r="16" spans="2:10" s="282" customFormat="1" ht="20" customHeight="1">
      <c r="B16" s="1299" t="s">
        <v>321</v>
      </c>
      <c r="C16" s="1299"/>
      <c r="D16" s="292"/>
      <c r="E16" s="293">
        <v>70523</v>
      </c>
      <c r="F16" s="293">
        <v>70523</v>
      </c>
      <c r="G16" s="294">
        <v>14882.829</v>
      </c>
      <c r="H16" s="283"/>
      <c r="I16" s="284"/>
    </row>
    <row r="17" spans="2:9" s="282" customFormat="1" ht="20" customHeight="1">
      <c r="B17" s="296"/>
      <c r="C17" s="295"/>
      <c r="D17" s="292"/>
      <c r="E17" s="293"/>
      <c r="F17" s="293"/>
      <c r="G17" s="294"/>
      <c r="H17" s="283"/>
      <c r="I17" s="284"/>
    </row>
    <row r="18" spans="2:9" s="282" customFormat="1" ht="20" customHeight="1">
      <c r="B18" s="37" t="s">
        <v>322</v>
      </c>
      <c r="C18" s="37"/>
      <c r="D18" s="285"/>
      <c r="E18" s="286">
        <v>332378.00327375002</v>
      </c>
      <c r="F18" s="286">
        <v>146990.04357459999</v>
      </c>
      <c r="G18" s="287">
        <v>72398.831000000006</v>
      </c>
      <c r="H18" s="297"/>
      <c r="I18" s="289"/>
    </row>
    <row r="19" spans="2:9" s="282" customFormat="1" ht="20" customHeight="1">
      <c r="B19" s="78" t="s">
        <v>323</v>
      </c>
      <c r="C19" s="78"/>
      <c r="D19" s="285"/>
      <c r="E19" s="285"/>
      <c r="F19" s="285"/>
      <c r="G19" s="285"/>
      <c r="H19" s="297"/>
      <c r="I19" s="289"/>
    </row>
    <row r="20" spans="2:9" s="282" customFormat="1" ht="20" customHeight="1" thickBot="1">
      <c r="B20" s="298"/>
      <c r="C20" s="298"/>
      <c r="D20" s="298"/>
      <c r="E20" s="298"/>
      <c r="F20" s="298"/>
      <c r="G20" s="298"/>
      <c r="H20" s="283"/>
      <c r="I20" s="284"/>
    </row>
    <row r="21" spans="2:9" s="49" customFormat="1" ht="15.25" customHeight="1">
      <c r="D21" s="48"/>
      <c r="E21" s="48"/>
      <c r="F21" s="48"/>
      <c r="G21" s="192" t="s">
        <v>31</v>
      </c>
    </row>
    <row r="22" spans="2:9" s="49" customFormat="1" ht="15.25" customHeight="1">
      <c r="B22" s="106"/>
      <c r="D22" s="299"/>
      <c r="E22" s="299"/>
      <c r="F22" s="299"/>
      <c r="G22" s="193" t="s">
        <v>32</v>
      </c>
    </row>
  </sheetData>
  <mergeCells count="8">
    <mergeCell ref="B15:C15"/>
    <mergeCell ref="B16:C16"/>
    <mergeCell ref="B6:C6"/>
    <mergeCell ref="B7:C7"/>
    <mergeCell ref="B8:C8"/>
    <mergeCell ref="B10:C10"/>
    <mergeCell ref="B11:C11"/>
    <mergeCell ref="B12:C12"/>
  </mergeCells>
  <printOptions horizontalCentered="1"/>
  <pageMargins left="0.55118110236220474" right="0.55118110236220474" top="0.55118110236220474" bottom="0.55118110236220474" header="0.31496062992125984" footer="0.31496062992125984"/>
  <pageSetup paperSize="9" scale="66"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909A4-C227-4AC2-A190-BE734E2A253B}">
  <sheetPr codeName="Sheet37">
    <pageSetUpPr fitToPage="1"/>
  </sheetPr>
  <dimension ref="A1:J37"/>
  <sheetViews>
    <sheetView view="pageBreakPreview" zoomScaleNormal="100" zoomScaleSheetLayoutView="100" workbookViewId="0">
      <selection activeCell="D60" sqref="D60"/>
    </sheetView>
  </sheetViews>
  <sheetFormatPr baseColWidth="10" defaultColWidth="8.83203125" defaultRowHeight="15"/>
  <cols>
    <col min="1" max="1" width="5.83203125" customWidth="1"/>
    <col min="2" max="2" width="6.5" customWidth="1"/>
    <col min="3" max="3" width="60.83203125" customWidth="1"/>
    <col min="4" max="4" width="2.5" customWidth="1"/>
    <col min="5" max="5" width="14.1640625" customWidth="1"/>
    <col min="6" max="6" width="14.33203125" customWidth="1"/>
    <col min="7" max="7" width="13" customWidth="1"/>
  </cols>
  <sheetData>
    <row r="1" spans="1:10" s="275" customFormat="1" ht="16.5" customHeight="1">
      <c r="A1" s="1305" t="s">
        <v>324</v>
      </c>
      <c r="B1" s="1305"/>
      <c r="C1" s="274" t="s">
        <v>325</v>
      </c>
      <c r="J1" s="276"/>
    </row>
    <row r="2" spans="1:10" s="275" customFormat="1" ht="16.5" customHeight="1">
      <c r="A2" s="1306" t="s">
        <v>326</v>
      </c>
      <c r="B2" s="1306"/>
      <c r="C2" s="199" t="s">
        <v>327</v>
      </c>
      <c r="D2" s="277"/>
      <c r="E2" s="278"/>
      <c r="F2" s="278"/>
      <c r="G2" s="278"/>
      <c r="H2" s="278"/>
      <c r="I2" s="278"/>
      <c r="J2" s="276"/>
    </row>
    <row r="3" spans="1:10" s="303" customFormat="1" ht="12.75" customHeight="1" thickBot="1">
      <c r="A3" s="300"/>
      <c r="B3" s="300"/>
      <c r="C3" s="301"/>
      <c r="D3" s="302"/>
      <c r="E3" s="302"/>
      <c r="F3" s="302"/>
      <c r="G3" s="302"/>
    </row>
    <row r="4" spans="1:10" s="306" customFormat="1" ht="39.75" customHeight="1" thickBot="1">
      <c r="A4" s="304"/>
      <c r="B4" s="1307" t="s">
        <v>328</v>
      </c>
      <c r="C4" s="1307"/>
      <c r="D4" s="305"/>
      <c r="E4" s="305">
        <v>2023</v>
      </c>
      <c r="F4" s="305">
        <v>2024</v>
      </c>
      <c r="G4" s="305">
        <v>2025</v>
      </c>
    </row>
    <row r="5" spans="1:10" s="307" customFormat="1" ht="13.25" customHeight="1">
      <c r="B5" s="306"/>
      <c r="C5" s="308"/>
      <c r="D5" s="1308"/>
      <c r="E5" s="1309"/>
      <c r="F5" s="1309"/>
      <c r="G5" s="1309"/>
    </row>
    <row r="6" spans="1:10" s="311" customFormat="1" ht="30" customHeight="1">
      <c r="B6" s="303">
        <v>1</v>
      </c>
      <c r="C6" s="312" t="s">
        <v>329</v>
      </c>
      <c r="D6" s="313"/>
      <c r="E6" s="314"/>
      <c r="F6" s="314"/>
      <c r="G6" s="314"/>
    </row>
    <row r="7" spans="1:10" s="307" customFormat="1" ht="30" customHeight="1">
      <c r="B7" s="306"/>
      <c r="C7" s="315" t="s">
        <v>330</v>
      </c>
      <c r="D7" s="316"/>
      <c r="E7" s="317">
        <v>15581.6</v>
      </c>
      <c r="F7" s="317">
        <v>15667.7</v>
      </c>
      <c r="G7" s="317">
        <v>16141.9</v>
      </c>
    </row>
    <row r="8" spans="1:10" s="307" customFormat="1" ht="30" customHeight="1">
      <c r="B8" s="306"/>
      <c r="C8" s="318" t="s">
        <v>331</v>
      </c>
      <c r="D8" s="316"/>
      <c r="E8" s="317">
        <v>15073.4</v>
      </c>
      <c r="F8" s="317">
        <v>14956.7</v>
      </c>
      <c r="G8" s="317">
        <v>15400.5</v>
      </c>
    </row>
    <row r="9" spans="1:10" s="307" customFormat="1" ht="30" customHeight="1">
      <c r="B9" s="306"/>
      <c r="C9" s="318" t="s">
        <v>332</v>
      </c>
      <c r="D9" s="316"/>
      <c r="E9" s="317">
        <v>508.2</v>
      </c>
      <c r="F9" s="317">
        <v>711</v>
      </c>
      <c r="G9" s="317">
        <v>741.4</v>
      </c>
    </row>
    <row r="10" spans="1:10" s="307" customFormat="1" ht="30" customHeight="1">
      <c r="B10" s="306"/>
      <c r="C10" s="318" t="s">
        <v>333</v>
      </c>
      <c r="D10" s="316"/>
      <c r="E10" s="317">
        <v>7103.5</v>
      </c>
      <c r="F10" s="317">
        <v>7225.5</v>
      </c>
      <c r="G10" s="317">
        <v>7392.4</v>
      </c>
    </row>
    <row r="11" spans="1:10" s="307" customFormat="1" ht="30" customHeight="1">
      <c r="B11" s="306"/>
      <c r="C11" s="318" t="s">
        <v>334</v>
      </c>
      <c r="D11" s="316"/>
      <c r="E11" s="317">
        <v>68.7</v>
      </c>
      <c r="F11" s="317">
        <v>68.400000000000006</v>
      </c>
      <c r="G11" s="317">
        <v>68.599999999999994</v>
      </c>
    </row>
    <row r="12" spans="1:10" s="307" customFormat="1" ht="30" customHeight="1">
      <c r="B12" s="306"/>
      <c r="C12" s="318" t="s">
        <v>335</v>
      </c>
      <c r="D12" s="316"/>
      <c r="E12" s="317">
        <v>3.3</v>
      </c>
      <c r="F12" s="317">
        <v>4.5</v>
      </c>
      <c r="G12" s="317">
        <v>4.5999999999999996</v>
      </c>
    </row>
    <row r="13" spans="1:10" s="307" customFormat="1" ht="13">
      <c r="B13" s="306"/>
      <c r="C13" s="319"/>
      <c r="D13" s="316"/>
      <c r="E13" s="317"/>
      <c r="F13" s="317"/>
      <c r="G13" s="317"/>
    </row>
    <row r="14" spans="1:10" s="311" customFormat="1" ht="30" customHeight="1">
      <c r="B14" s="303"/>
      <c r="C14" s="320" t="s">
        <v>336</v>
      </c>
      <c r="D14" s="321"/>
      <c r="E14" s="322"/>
      <c r="F14" s="322"/>
      <c r="G14" s="322"/>
    </row>
    <row r="15" spans="1:10" s="307" customFormat="1" ht="30" customHeight="1">
      <c r="B15" s="306"/>
      <c r="C15" s="318" t="s">
        <v>337</v>
      </c>
      <c r="D15" s="316"/>
      <c r="E15" s="317">
        <v>4151.8999999999996</v>
      </c>
      <c r="F15" s="317">
        <v>4223.3</v>
      </c>
      <c r="G15" s="323">
        <v>4455.1000000000004</v>
      </c>
    </row>
    <row r="16" spans="1:10" s="307" customFormat="1" ht="30" customHeight="1">
      <c r="B16" s="306"/>
      <c r="C16" s="318" t="s">
        <v>338</v>
      </c>
      <c r="D16" s="316"/>
      <c r="E16" s="317">
        <v>9059</v>
      </c>
      <c r="F16" s="317">
        <v>8953.1</v>
      </c>
      <c r="G16" s="323">
        <v>8693.7999999999993</v>
      </c>
    </row>
    <row r="17" spans="1:7" s="307" customFormat="1" ht="30" customHeight="1">
      <c r="B17" s="306"/>
      <c r="C17" s="318" t="s">
        <v>339</v>
      </c>
      <c r="D17" s="316"/>
      <c r="E17" s="317">
        <v>1862.5</v>
      </c>
      <c r="F17" s="317">
        <v>1780.3</v>
      </c>
      <c r="G17" s="323">
        <v>1915.2</v>
      </c>
    </row>
    <row r="18" spans="1:7" s="307" customFormat="1" ht="13">
      <c r="B18" s="306"/>
      <c r="C18" s="324"/>
      <c r="D18" s="316"/>
      <c r="E18" s="317"/>
      <c r="F18" s="317"/>
      <c r="G18" s="317"/>
    </row>
    <row r="19" spans="1:7" s="307" customFormat="1" ht="30" customHeight="1">
      <c r="B19" s="306"/>
      <c r="C19" s="320" t="s">
        <v>340</v>
      </c>
      <c r="D19" s="316"/>
      <c r="E19" s="317"/>
      <c r="F19" s="317"/>
      <c r="G19" s="317"/>
    </row>
    <row r="20" spans="1:7" s="307" customFormat="1" ht="30" customHeight="1">
      <c r="B20" s="306"/>
      <c r="C20" s="318" t="s">
        <v>341</v>
      </c>
      <c r="D20" s="316"/>
      <c r="E20" s="317">
        <v>4435.2</v>
      </c>
      <c r="F20" s="317">
        <v>4778.7</v>
      </c>
      <c r="G20" s="323">
        <v>4787.8</v>
      </c>
    </row>
    <row r="21" spans="1:7" s="307" customFormat="1" ht="30" customHeight="1">
      <c r="B21" s="306"/>
      <c r="C21" s="318" t="s">
        <v>342</v>
      </c>
      <c r="D21" s="316"/>
      <c r="E21" s="317">
        <v>8375</v>
      </c>
      <c r="F21" s="317">
        <v>8313.7999999999993</v>
      </c>
      <c r="G21" s="323">
        <v>8469.2999999999993</v>
      </c>
    </row>
    <row r="22" spans="1:7" s="307" customFormat="1" ht="30" customHeight="1">
      <c r="B22" s="306"/>
      <c r="C22" s="318" t="s">
        <v>343</v>
      </c>
      <c r="D22" s="316"/>
      <c r="E22" s="317">
        <v>1821.2</v>
      </c>
      <c r="F22" s="317">
        <v>1506.3</v>
      </c>
      <c r="G22" s="323">
        <v>1293.9000000000001</v>
      </c>
    </row>
    <row r="23" spans="1:7" s="307" customFormat="1" ht="30" customHeight="1">
      <c r="B23" s="306"/>
      <c r="C23" s="318" t="s">
        <v>344</v>
      </c>
      <c r="D23" s="316"/>
      <c r="E23" s="317">
        <v>442</v>
      </c>
      <c r="F23" s="317">
        <v>358</v>
      </c>
      <c r="G23" s="323">
        <v>513.1</v>
      </c>
    </row>
    <row r="24" spans="1:7" s="307" customFormat="1" ht="13">
      <c r="B24" s="306"/>
      <c r="C24" s="325"/>
      <c r="D24" s="316"/>
      <c r="E24" s="317"/>
      <c r="F24" s="317"/>
      <c r="G24" s="317"/>
    </row>
    <row r="25" spans="1:7" s="307" customFormat="1" ht="31.5" customHeight="1">
      <c r="B25" s="303">
        <v>2</v>
      </c>
      <c r="C25" s="326" t="s">
        <v>345</v>
      </c>
      <c r="D25" s="316"/>
      <c r="E25" s="316"/>
      <c r="F25" s="316"/>
      <c r="G25" s="316"/>
    </row>
    <row r="26" spans="1:7" s="307" customFormat="1" ht="31.5" customHeight="1">
      <c r="B26" s="306"/>
      <c r="C26" s="327" t="s">
        <v>346</v>
      </c>
      <c r="D26" s="316"/>
      <c r="E26" s="317">
        <v>9195.2000000000007</v>
      </c>
      <c r="F26" s="317">
        <v>9390.7000000000007</v>
      </c>
      <c r="G26" s="317">
        <v>9711.9</v>
      </c>
    </row>
    <row r="27" spans="1:7" s="307" customFormat="1" ht="31.5" customHeight="1">
      <c r="B27" s="306"/>
      <c r="C27" s="327" t="s">
        <v>347</v>
      </c>
      <c r="D27" s="328"/>
      <c r="E27" s="329">
        <v>2442</v>
      </c>
      <c r="F27" s="329">
        <v>2062</v>
      </c>
      <c r="G27" s="329">
        <v>2250</v>
      </c>
    </row>
    <row r="28" spans="1:7" s="307" customFormat="1" ht="34.5" customHeight="1" thickBot="1">
      <c r="A28" s="330"/>
      <c r="B28" s="331"/>
      <c r="C28" s="332" t="s">
        <v>348</v>
      </c>
      <c r="D28" s="333"/>
      <c r="E28" s="334">
        <v>3224</v>
      </c>
      <c r="F28" s="334">
        <v>2933</v>
      </c>
      <c r="G28" s="334">
        <v>3037</v>
      </c>
    </row>
    <row r="29" spans="1:7" s="307" customFormat="1" ht="13">
      <c r="B29" s="306"/>
      <c r="C29" s="335"/>
      <c r="D29" s="316"/>
      <c r="E29" s="316"/>
      <c r="F29" s="316"/>
      <c r="G29" s="336" t="s">
        <v>31</v>
      </c>
    </row>
    <row r="30" spans="1:7" s="307" customFormat="1" ht="13">
      <c r="B30" s="306"/>
      <c r="C30" s="335"/>
      <c r="D30" s="316"/>
      <c r="E30" s="316"/>
      <c r="F30" s="316"/>
      <c r="G30" s="337" t="s">
        <v>32</v>
      </c>
    </row>
    <row r="31" spans="1:7" s="307" customFormat="1" ht="13">
      <c r="B31" s="306"/>
      <c r="C31" s="335"/>
      <c r="D31" s="316"/>
      <c r="E31" s="316"/>
      <c r="F31" s="316"/>
      <c r="G31" s="316"/>
    </row>
    <row r="32" spans="1:7" s="339" customFormat="1" ht="15.75" customHeight="1">
      <c r="A32" s="1310" t="s">
        <v>349</v>
      </c>
      <c r="B32" s="1310"/>
      <c r="C32" s="1310"/>
      <c r="D32" s="338"/>
      <c r="E32" s="338"/>
      <c r="F32" s="338"/>
      <c r="G32" s="338"/>
    </row>
    <row r="33" spans="1:7" s="339" customFormat="1" ht="15.25" customHeight="1">
      <c r="A33" s="340" t="s">
        <v>350</v>
      </c>
      <c r="B33" s="340"/>
      <c r="C33" s="340"/>
      <c r="D33" s="338"/>
      <c r="E33" s="338"/>
      <c r="F33" s="338"/>
      <c r="G33" s="338"/>
    </row>
    <row r="34" spans="1:7" s="339" customFormat="1" ht="15.25" customHeight="1">
      <c r="A34" s="1311" t="s">
        <v>351</v>
      </c>
      <c r="B34" s="1311"/>
      <c r="C34" s="1311"/>
      <c r="D34" s="338"/>
      <c r="E34" s="338"/>
      <c r="F34" s="338"/>
      <c r="G34" s="338"/>
    </row>
    <row r="35" spans="1:7" s="307" customFormat="1" ht="13">
      <c r="A35" s="341"/>
      <c r="B35" s="342"/>
      <c r="C35" s="343"/>
      <c r="D35" s="344"/>
      <c r="E35" s="344"/>
      <c r="F35" s="344"/>
      <c r="G35" s="344"/>
    </row>
    <row r="36" spans="1:7" s="307" customFormat="1" ht="13">
      <c r="B36" s="345"/>
      <c r="C36" s="308"/>
    </row>
    <row r="37" spans="1:7" s="307" customFormat="1" ht="13">
      <c r="B37" s="306"/>
      <c r="C37" s="308"/>
    </row>
  </sheetData>
  <mergeCells count="6">
    <mergeCell ref="A34:C34"/>
    <mergeCell ref="A1:B1"/>
    <mergeCell ref="A2:B2"/>
    <mergeCell ref="B4:C4"/>
    <mergeCell ref="D5:G5"/>
    <mergeCell ref="A32:C32"/>
  </mergeCells>
  <printOptions horizontalCentered="1"/>
  <pageMargins left="0.55118110236220474" right="0.55118110236220474" top="0.55118110236220474" bottom="0.55118110236220474" header="0.31496062992125984" footer="0.31496062992125984"/>
  <pageSetup paperSize="9" scale="73"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847F1-5103-474B-B611-3EB7C80D7729}">
  <sheetPr codeName="Sheet38">
    <pageSetUpPr fitToPage="1"/>
  </sheetPr>
  <dimension ref="A1:J37"/>
  <sheetViews>
    <sheetView view="pageBreakPreview" topLeftCell="A22" zoomScaleNormal="100" zoomScaleSheetLayoutView="100" workbookViewId="0">
      <selection activeCell="D60" sqref="D60"/>
    </sheetView>
  </sheetViews>
  <sheetFormatPr baseColWidth="10" defaultColWidth="8.83203125" defaultRowHeight="15"/>
  <cols>
    <col min="1" max="1" width="6.1640625" customWidth="1"/>
    <col min="2" max="2" width="6.5" customWidth="1"/>
    <col min="3" max="3" width="67.1640625" customWidth="1"/>
    <col min="4" max="4" width="3.33203125" customWidth="1"/>
    <col min="5" max="5" width="14.33203125" customWidth="1"/>
    <col min="6" max="6" width="16.33203125" customWidth="1"/>
    <col min="7" max="7" width="14.1640625" customWidth="1"/>
  </cols>
  <sheetData>
    <row r="1" spans="1:10" s="275" customFormat="1" ht="16.5" customHeight="1">
      <c r="A1" s="1305" t="s">
        <v>324</v>
      </c>
      <c r="B1" s="1305"/>
      <c r="C1" s="274" t="s">
        <v>352</v>
      </c>
      <c r="J1" s="276"/>
    </row>
    <row r="2" spans="1:10" s="275" customFormat="1" ht="16.5" customHeight="1">
      <c r="A2" s="1306" t="s">
        <v>326</v>
      </c>
      <c r="B2" s="1306"/>
      <c r="C2" s="199" t="s">
        <v>353</v>
      </c>
      <c r="D2" s="277"/>
      <c r="E2" s="278"/>
      <c r="F2" s="278"/>
      <c r="G2" s="278"/>
      <c r="H2" s="278"/>
      <c r="I2" s="278"/>
      <c r="J2" s="276"/>
    </row>
    <row r="3" spans="1:10" s="303" customFormat="1" ht="12.75" customHeight="1" thickBot="1">
      <c r="A3" s="300"/>
      <c r="B3" s="300"/>
      <c r="C3" s="301"/>
      <c r="D3" s="302"/>
      <c r="E3" s="302"/>
      <c r="F3" s="302"/>
      <c r="G3" s="302"/>
    </row>
    <row r="4" spans="1:10" s="306" customFormat="1" ht="39.75" customHeight="1" thickBot="1">
      <c r="A4" s="304"/>
      <c r="B4" s="1307" t="s">
        <v>328</v>
      </c>
      <c r="C4" s="1307"/>
      <c r="D4" s="346"/>
      <c r="E4" s="346">
        <v>2023</v>
      </c>
      <c r="F4" s="346">
        <v>2024</v>
      </c>
      <c r="G4" s="346">
        <v>2025</v>
      </c>
    </row>
    <row r="5" spans="1:10" s="307" customFormat="1" ht="13.25" customHeight="1">
      <c r="B5" s="306"/>
      <c r="C5" s="319"/>
      <c r="D5" s="316"/>
      <c r="E5" s="316"/>
      <c r="F5" s="316"/>
      <c r="G5" s="316"/>
    </row>
    <row r="6" spans="1:10" s="307" customFormat="1" ht="38.25" customHeight="1">
      <c r="B6" s="303">
        <v>3</v>
      </c>
      <c r="C6" s="347" t="s">
        <v>354</v>
      </c>
      <c r="D6" s="316"/>
      <c r="E6" s="316"/>
      <c r="F6" s="316"/>
      <c r="G6" s="316"/>
    </row>
    <row r="7" spans="1:10" s="307" customFormat="1" ht="38.25" customHeight="1">
      <c r="B7" s="306"/>
      <c r="C7" s="318" t="s">
        <v>355</v>
      </c>
      <c r="D7" s="316"/>
      <c r="E7" s="317">
        <v>4286</v>
      </c>
      <c r="F7" s="317">
        <v>4555.5</v>
      </c>
      <c r="G7" s="348">
        <v>4766.5</v>
      </c>
    </row>
    <row r="8" spans="1:10" s="307" customFormat="1" ht="38.25" customHeight="1">
      <c r="B8" s="306"/>
      <c r="C8" s="318" t="s">
        <v>356</v>
      </c>
      <c r="D8" s="316"/>
      <c r="E8" s="317">
        <v>4120.8</v>
      </c>
      <c r="F8" s="317">
        <v>4353.1000000000004</v>
      </c>
      <c r="G8" s="348">
        <v>4569.1000000000004</v>
      </c>
    </row>
    <row r="9" spans="1:10" s="307" customFormat="1" ht="38.25" customHeight="1">
      <c r="B9" s="306"/>
      <c r="C9" s="318" t="s">
        <v>357</v>
      </c>
      <c r="D9" s="316"/>
      <c r="E9" s="317">
        <v>165.2</v>
      </c>
      <c r="F9" s="317">
        <v>202.4</v>
      </c>
      <c r="G9" s="348">
        <v>197.4</v>
      </c>
    </row>
    <row r="10" spans="1:10" s="307" customFormat="1" ht="38.25" customHeight="1">
      <c r="B10" s="306"/>
      <c r="C10" s="318" t="s">
        <v>333</v>
      </c>
      <c r="D10" s="316"/>
      <c r="E10" s="317">
        <v>844</v>
      </c>
      <c r="F10" s="317">
        <v>800.9</v>
      </c>
      <c r="G10" s="348">
        <v>841.3</v>
      </c>
    </row>
    <row r="11" spans="1:10" s="307" customFormat="1" ht="38.25" customHeight="1">
      <c r="B11" s="306"/>
      <c r="C11" s="318" t="s">
        <v>334</v>
      </c>
      <c r="D11" s="316"/>
      <c r="E11" s="317">
        <v>83.5</v>
      </c>
      <c r="F11" s="317">
        <v>85</v>
      </c>
      <c r="G11" s="348">
        <v>85</v>
      </c>
    </row>
    <row r="12" spans="1:10" s="307" customFormat="1" ht="38.25" customHeight="1">
      <c r="B12" s="306"/>
      <c r="C12" s="318" t="s">
        <v>358</v>
      </c>
      <c r="D12" s="316"/>
      <c r="E12" s="317">
        <v>3.9</v>
      </c>
      <c r="F12" s="317">
        <v>4.4000000000000004</v>
      </c>
      <c r="G12" s="348">
        <v>4.0999999999999996</v>
      </c>
    </row>
    <row r="13" spans="1:10" s="307" customFormat="1" ht="38.25" customHeight="1">
      <c r="B13" s="306"/>
      <c r="C13" s="318" t="s">
        <v>359</v>
      </c>
      <c r="D13" s="328"/>
      <c r="E13" s="329">
        <v>5020</v>
      </c>
      <c r="F13" s="329">
        <v>4489</v>
      </c>
      <c r="G13" s="349">
        <v>3911</v>
      </c>
    </row>
    <row r="14" spans="1:10" s="307" customFormat="1" ht="38.25" customHeight="1">
      <c r="B14" s="306"/>
      <c r="C14" s="318" t="s">
        <v>360</v>
      </c>
      <c r="D14" s="328"/>
      <c r="E14" s="329">
        <v>4300</v>
      </c>
      <c r="F14" s="329">
        <v>3815</v>
      </c>
      <c r="G14" s="349">
        <v>4582</v>
      </c>
    </row>
    <row r="15" spans="1:10" s="307" customFormat="1" ht="13">
      <c r="B15" s="306"/>
      <c r="C15" s="350"/>
      <c r="D15" s="316"/>
      <c r="E15" s="316"/>
      <c r="F15" s="316"/>
      <c r="G15" s="316"/>
    </row>
    <row r="16" spans="1:10" s="307" customFormat="1" ht="29" customHeight="1">
      <c r="B16" s="303">
        <v>4</v>
      </c>
      <c r="C16" s="350" t="s">
        <v>361</v>
      </c>
      <c r="D16" s="316"/>
      <c r="E16" s="316"/>
      <c r="F16" s="316"/>
      <c r="G16" s="316"/>
    </row>
    <row r="17" spans="1:7" s="307" customFormat="1" ht="36" customHeight="1">
      <c r="B17" s="306"/>
      <c r="C17" s="318" t="s">
        <v>362</v>
      </c>
      <c r="D17" s="316"/>
      <c r="E17" s="317">
        <v>40.700000000000003</v>
      </c>
      <c r="F17" s="317">
        <v>42</v>
      </c>
      <c r="G17" s="317">
        <v>41</v>
      </c>
    </row>
    <row r="18" spans="1:7" s="307" customFormat="1" ht="59" customHeight="1">
      <c r="B18" s="306"/>
      <c r="C18" s="318" t="s">
        <v>363</v>
      </c>
      <c r="D18" s="316"/>
      <c r="E18" s="317">
        <v>2.2999999999999998</v>
      </c>
      <c r="F18" s="317">
        <v>3.4</v>
      </c>
      <c r="G18" s="317">
        <v>-2.6</v>
      </c>
    </row>
    <row r="19" spans="1:7" s="307" customFormat="1" ht="29.5" customHeight="1">
      <c r="B19" s="306"/>
      <c r="C19" s="318" t="s">
        <v>364</v>
      </c>
      <c r="D19" s="328"/>
      <c r="E19" s="317">
        <v>94162</v>
      </c>
      <c r="F19" s="317">
        <v>89022</v>
      </c>
      <c r="G19" s="317">
        <v>90647</v>
      </c>
    </row>
    <row r="20" spans="1:7" s="307" customFormat="1" ht="58.25" customHeight="1">
      <c r="B20" s="306"/>
      <c r="C20" s="318" t="s">
        <v>365</v>
      </c>
      <c r="D20" s="316"/>
      <c r="E20" s="317">
        <v>2.2999999999999998</v>
      </c>
      <c r="F20" s="317">
        <v>-5.5</v>
      </c>
      <c r="G20" s="317">
        <v>1.8</v>
      </c>
    </row>
    <row r="21" spans="1:7" s="307" customFormat="1" ht="13">
      <c r="B21" s="306"/>
      <c r="C21" s="351"/>
      <c r="D21" s="316"/>
      <c r="E21" s="316"/>
      <c r="F21" s="316"/>
      <c r="G21" s="316"/>
    </row>
    <row r="22" spans="1:7" s="307" customFormat="1" ht="48" customHeight="1">
      <c r="B22" s="303">
        <v>5</v>
      </c>
      <c r="C22" s="350" t="s">
        <v>366</v>
      </c>
      <c r="D22" s="352"/>
      <c r="E22" s="353">
        <v>22</v>
      </c>
      <c r="F22" s="353">
        <v>27</v>
      </c>
      <c r="G22" s="353">
        <v>25</v>
      </c>
    </row>
    <row r="23" spans="1:7" s="307" customFormat="1" ht="31.25" customHeight="1">
      <c r="B23" s="306"/>
      <c r="C23" s="318" t="s">
        <v>367</v>
      </c>
      <c r="D23" s="354"/>
      <c r="E23" s="355">
        <v>11</v>
      </c>
      <c r="F23" s="329">
        <v>9</v>
      </c>
      <c r="G23" s="329">
        <v>15</v>
      </c>
    </row>
    <row r="24" spans="1:7" s="307" customFormat="1" ht="37.25" customHeight="1">
      <c r="B24" s="306"/>
      <c r="C24" s="318" t="s">
        <v>368</v>
      </c>
      <c r="D24" s="354"/>
      <c r="E24" s="355">
        <v>24</v>
      </c>
      <c r="F24" s="329">
        <v>30</v>
      </c>
      <c r="G24" s="329">
        <v>30</v>
      </c>
    </row>
    <row r="25" spans="1:7" s="307" customFormat="1" ht="37.25" customHeight="1">
      <c r="B25" s="306"/>
      <c r="C25" s="318" t="s">
        <v>369</v>
      </c>
      <c r="D25" s="354"/>
      <c r="E25" s="355">
        <v>18</v>
      </c>
      <c r="F25" s="329">
        <v>29</v>
      </c>
      <c r="G25" s="329">
        <v>24</v>
      </c>
    </row>
    <row r="26" spans="1:7" s="307" customFormat="1" ht="33.5" customHeight="1" thickBot="1">
      <c r="A26" s="330"/>
      <c r="B26" s="331"/>
      <c r="C26" s="356" t="s">
        <v>370</v>
      </c>
      <c r="D26" s="357"/>
      <c r="E26" s="358">
        <v>28</v>
      </c>
      <c r="F26" s="334">
        <v>31</v>
      </c>
      <c r="G26" s="334">
        <v>32</v>
      </c>
    </row>
    <row r="27" spans="1:7" s="307" customFormat="1" ht="13">
      <c r="B27" s="306"/>
      <c r="C27" s="350"/>
      <c r="D27" s="316"/>
      <c r="E27" s="316"/>
      <c r="F27" s="316"/>
      <c r="G27" s="359" t="s">
        <v>31</v>
      </c>
    </row>
    <row r="28" spans="1:7" s="307" customFormat="1" ht="13">
      <c r="B28" s="306"/>
      <c r="C28" s="350"/>
      <c r="D28" s="316"/>
      <c r="E28" s="316"/>
      <c r="F28" s="316"/>
      <c r="G28" s="360" t="s">
        <v>371</v>
      </c>
    </row>
    <row r="29" spans="1:7" s="307" customFormat="1" ht="13">
      <c r="B29" s="306"/>
      <c r="C29" s="350"/>
      <c r="D29" s="316"/>
      <c r="E29" s="316"/>
      <c r="F29" s="328"/>
      <c r="G29" s="361" t="s">
        <v>32</v>
      </c>
    </row>
    <row r="30" spans="1:7" s="307" customFormat="1" ht="13">
      <c r="B30" s="306"/>
      <c r="C30" s="350"/>
      <c r="D30" s="316"/>
      <c r="E30" s="316"/>
      <c r="F30" s="328"/>
      <c r="G30" s="362" t="s">
        <v>372</v>
      </c>
    </row>
    <row r="31" spans="1:7" s="307" customFormat="1" ht="13">
      <c r="B31" s="306"/>
      <c r="C31" s="350"/>
      <c r="D31" s="316"/>
      <c r="E31" s="316"/>
      <c r="F31" s="316"/>
      <c r="G31" s="316"/>
    </row>
    <row r="32" spans="1:7" s="339" customFormat="1" ht="15.75" customHeight="1">
      <c r="A32" s="1312" t="s">
        <v>373</v>
      </c>
      <c r="B32" s="1312"/>
      <c r="C32" s="1312"/>
      <c r="D32" s="363"/>
      <c r="E32" s="363"/>
      <c r="G32" s="363"/>
    </row>
    <row r="33" spans="1:6" s="339" customFormat="1" ht="15.25" customHeight="1">
      <c r="A33" s="1313" t="s">
        <v>374</v>
      </c>
      <c r="B33" s="1313"/>
      <c r="C33" s="1313"/>
    </row>
    <row r="34" spans="1:6" s="339" customFormat="1" ht="15.25" customHeight="1">
      <c r="A34" s="1314" t="s">
        <v>375</v>
      </c>
      <c r="B34" s="1314"/>
      <c r="C34" s="1314"/>
    </row>
    <row r="35" spans="1:6" s="307" customFormat="1" ht="13">
      <c r="A35" s="364"/>
      <c r="B35" s="365"/>
      <c r="C35" s="343"/>
      <c r="D35" s="344"/>
      <c r="E35" s="344"/>
      <c r="F35" s="344"/>
    </row>
    <row r="36" spans="1:6" s="307" customFormat="1" ht="13">
      <c r="B36" s="366"/>
      <c r="C36" s="343"/>
      <c r="D36" s="344"/>
      <c r="E36" s="344"/>
      <c r="F36" s="344"/>
    </row>
    <row r="37" spans="1:6" s="307" customFormat="1" ht="13">
      <c r="B37" s="367"/>
      <c r="C37" s="308"/>
    </row>
  </sheetData>
  <mergeCells count="6">
    <mergeCell ref="A34:C34"/>
    <mergeCell ref="A1:B1"/>
    <mergeCell ref="A2:B2"/>
    <mergeCell ref="B4:C4"/>
    <mergeCell ref="A32:C32"/>
    <mergeCell ref="A33:C33"/>
  </mergeCells>
  <printOptions horizontalCentered="1"/>
  <pageMargins left="0.55118110236220474" right="0.55118110236220474" top="0.55118110236220474" bottom="0.55118110236220474" header="0.31496062992125984" footer="0.31496062992125984"/>
  <pageSetup paperSize="9" scale="6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FB102-49C7-42FA-B04E-7ED2E9ECD695}">
  <sheetPr codeName="Sheet39"/>
  <dimension ref="B1:I97"/>
  <sheetViews>
    <sheetView view="pageBreakPreview" zoomScale="90" zoomScaleNormal="100" zoomScaleSheetLayoutView="90" workbookViewId="0">
      <selection activeCell="D60" sqref="D60"/>
    </sheetView>
  </sheetViews>
  <sheetFormatPr baseColWidth="10" defaultColWidth="8.83203125" defaultRowHeight="15"/>
  <cols>
    <col min="1" max="1" width="1.6640625" customWidth="1"/>
    <col min="2" max="2" width="1.83203125" customWidth="1"/>
    <col min="3" max="3" width="12.5" customWidth="1"/>
    <col min="5" max="5" width="55.83203125" customWidth="1"/>
    <col min="6" max="6" width="11.5" customWidth="1"/>
    <col min="7" max="7" width="11.6640625" customWidth="1"/>
    <col min="8" max="8" width="12.6640625" customWidth="1"/>
    <col min="9" max="9" width="13" style="404" customWidth="1"/>
  </cols>
  <sheetData>
    <row r="1" spans="2:9" s="282" customFormat="1" ht="14">
      <c r="C1" s="368" t="s">
        <v>376</v>
      </c>
      <c r="D1" s="369" t="s">
        <v>377</v>
      </c>
      <c r="I1" s="290"/>
    </row>
    <row r="2" spans="2:9" s="282" customFormat="1" ht="14">
      <c r="C2" s="370" t="s">
        <v>378</v>
      </c>
      <c r="D2" s="371" t="s">
        <v>379</v>
      </c>
      <c r="I2" s="290"/>
    </row>
    <row r="3" spans="2:9" s="282" customFormat="1" ht="10.5" customHeight="1" thickBot="1">
      <c r="B3" s="372"/>
      <c r="C3" s="372"/>
      <c r="D3" s="372"/>
      <c r="I3" s="290"/>
    </row>
    <row r="4" spans="2:9" s="377" customFormat="1" ht="19.5" customHeight="1">
      <c r="B4" s="373"/>
      <c r="C4" s="1315" t="s">
        <v>380</v>
      </c>
      <c r="D4" s="1315"/>
      <c r="E4" s="1315"/>
      <c r="F4" s="374"/>
      <c r="G4" s="375">
        <v>2022</v>
      </c>
      <c r="H4" s="375">
        <v>2023</v>
      </c>
      <c r="I4" s="376">
        <v>2024</v>
      </c>
    </row>
    <row r="5" spans="2:9" s="377" customFormat="1" ht="19.5" customHeight="1" thickBot="1">
      <c r="B5" s="378"/>
      <c r="C5" s="1316" t="s">
        <v>381</v>
      </c>
      <c r="D5" s="1316"/>
      <c r="E5" s="1316"/>
      <c r="F5" s="379"/>
      <c r="G5" s="1317" t="s">
        <v>382</v>
      </c>
      <c r="H5" s="1317"/>
      <c r="I5" s="1317"/>
    </row>
    <row r="6" spans="2:9" s="377" customFormat="1" ht="17.25" customHeight="1">
      <c r="B6" s="380" t="s">
        <v>383</v>
      </c>
      <c r="C6" s="381"/>
      <c r="D6" s="381"/>
      <c r="E6" s="382"/>
      <c r="F6" s="383"/>
      <c r="G6" s="384"/>
      <c r="H6" s="384"/>
      <c r="I6" s="385"/>
    </row>
    <row r="7" spans="2:9" s="377" customFormat="1" ht="17.25" customHeight="1">
      <c r="B7" s="386" t="s">
        <v>384</v>
      </c>
      <c r="C7" s="381"/>
      <c r="D7" s="381"/>
      <c r="E7" s="382"/>
      <c r="F7" s="383"/>
      <c r="G7" s="384"/>
      <c r="H7" s="384"/>
      <c r="I7" s="385"/>
    </row>
    <row r="8" spans="2:9" s="377" customFormat="1" ht="17.25" customHeight="1">
      <c r="B8" s="386"/>
      <c r="C8" s="381"/>
      <c r="D8" s="381"/>
      <c r="E8" s="382"/>
      <c r="F8" s="383"/>
      <c r="G8" s="384"/>
      <c r="H8" s="384"/>
      <c r="I8" s="385"/>
    </row>
    <row r="9" spans="2:9" s="377" customFormat="1" ht="13.5" customHeight="1">
      <c r="B9" s="387" t="s">
        <v>385</v>
      </c>
      <c r="C9" s="380"/>
      <c r="D9" s="380"/>
      <c r="E9" s="388"/>
      <c r="F9" s="389"/>
      <c r="G9" s="390">
        <v>120.1</v>
      </c>
      <c r="H9" s="390">
        <v>123.1</v>
      </c>
      <c r="I9" s="385">
        <v>127.2</v>
      </c>
    </row>
    <row r="10" spans="2:9" s="377" customFormat="1" ht="13.5" customHeight="1">
      <c r="B10" s="391" t="s">
        <v>386</v>
      </c>
      <c r="C10" s="392"/>
      <c r="D10" s="392"/>
      <c r="E10" s="388"/>
      <c r="F10" s="389"/>
      <c r="G10" s="390"/>
      <c r="H10" s="390"/>
      <c r="I10" s="385"/>
    </row>
    <row r="11" spans="2:9" s="377" customFormat="1" ht="13">
      <c r="B11" s="380"/>
      <c r="C11" s="380"/>
      <c r="D11" s="380"/>
      <c r="E11" s="388"/>
      <c r="F11" s="389"/>
      <c r="G11" s="390"/>
      <c r="H11" s="390"/>
      <c r="I11" s="385"/>
    </row>
    <row r="12" spans="2:9" s="377" customFormat="1" ht="13.5" customHeight="1">
      <c r="B12" s="387" t="s">
        <v>387</v>
      </c>
      <c r="C12" s="380"/>
      <c r="D12" s="380"/>
      <c r="E12" s="388"/>
      <c r="F12" s="393"/>
      <c r="G12" s="394">
        <v>134.80000000000001</v>
      </c>
      <c r="H12" s="394">
        <v>137.1</v>
      </c>
      <c r="I12" s="395">
        <v>145</v>
      </c>
    </row>
    <row r="13" spans="2:9" s="377" customFormat="1" ht="13.5" customHeight="1">
      <c r="B13" s="396" t="s">
        <v>388</v>
      </c>
      <c r="C13" s="386"/>
      <c r="D13" s="386"/>
      <c r="E13" s="388"/>
      <c r="F13" s="393"/>
      <c r="G13" s="394"/>
      <c r="H13" s="394"/>
      <c r="I13" s="395"/>
    </row>
    <row r="14" spans="2:9" s="377" customFormat="1" ht="6.75" customHeight="1">
      <c r="B14" s="397"/>
      <c r="C14" s="397"/>
      <c r="D14" s="397"/>
      <c r="E14" s="388"/>
      <c r="F14" s="393"/>
      <c r="G14" s="394"/>
      <c r="H14" s="394"/>
      <c r="I14" s="395"/>
    </row>
    <row r="15" spans="2:9" s="377" customFormat="1" ht="13.5" customHeight="1">
      <c r="B15" s="387" t="s">
        <v>389</v>
      </c>
      <c r="C15" s="380"/>
      <c r="D15" s="380"/>
      <c r="E15" s="388"/>
      <c r="F15" s="393"/>
      <c r="G15" s="394">
        <v>168.3</v>
      </c>
      <c r="H15" s="394">
        <v>169.2</v>
      </c>
      <c r="I15" s="395">
        <v>170.1</v>
      </c>
    </row>
    <row r="16" spans="2:9" s="377" customFormat="1" ht="13.5" customHeight="1">
      <c r="B16" s="391" t="s">
        <v>390</v>
      </c>
      <c r="C16" s="392"/>
      <c r="D16" s="392"/>
      <c r="E16" s="388"/>
      <c r="F16" s="393"/>
      <c r="G16" s="394"/>
      <c r="H16" s="394"/>
      <c r="I16" s="395"/>
    </row>
    <row r="17" spans="2:9" s="377" customFormat="1" ht="6.75" customHeight="1">
      <c r="B17" s="397"/>
      <c r="C17" s="397"/>
      <c r="D17" s="397"/>
      <c r="E17" s="388"/>
      <c r="F17" s="393"/>
      <c r="G17" s="394"/>
      <c r="H17" s="394"/>
      <c r="I17" s="395"/>
    </row>
    <row r="18" spans="2:9" s="377" customFormat="1" ht="13.5" customHeight="1">
      <c r="B18" s="387" t="s">
        <v>391</v>
      </c>
      <c r="C18" s="380"/>
      <c r="D18" s="380"/>
      <c r="E18" s="388"/>
      <c r="F18" s="393"/>
      <c r="G18" s="394">
        <v>93.5</v>
      </c>
      <c r="H18" s="394">
        <v>93.1</v>
      </c>
      <c r="I18" s="395">
        <v>93.2</v>
      </c>
    </row>
    <row r="19" spans="2:9" s="377" customFormat="1" ht="13.5" customHeight="1">
      <c r="B19" s="391" t="s">
        <v>392</v>
      </c>
      <c r="C19" s="392"/>
      <c r="D19" s="392"/>
      <c r="E19" s="388"/>
      <c r="F19" s="393"/>
      <c r="G19" s="394"/>
      <c r="H19" s="394"/>
      <c r="I19" s="395"/>
    </row>
    <row r="20" spans="2:9" s="377" customFormat="1" ht="6.75" customHeight="1">
      <c r="B20" s="397"/>
      <c r="C20" s="397"/>
      <c r="D20" s="397"/>
      <c r="E20" s="388"/>
      <c r="F20" s="393"/>
      <c r="G20" s="394"/>
      <c r="H20" s="394"/>
      <c r="I20" s="395"/>
    </row>
    <row r="21" spans="2:9" s="377" customFormat="1" ht="13.5" customHeight="1">
      <c r="B21" s="387" t="s">
        <v>393</v>
      </c>
      <c r="C21" s="380"/>
      <c r="D21" s="380"/>
      <c r="E21" s="388"/>
      <c r="F21" s="393"/>
      <c r="G21" s="394">
        <v>119.2</v>
      </c>
      <c r="H21" s="394">
        <v>121</v>
      </c>
      <c r="I21" s="395">
        <v>123.2</v>
      </c>
    </row>
    <row r="22" spans="2:9" s="377" customFormat="1" ht="13.5" customHeight="1">
      <c r="B22" s="391" t="s">
        <v>394</v>
      </c>
      <c r="C22" s="392"/>
      <c r="D22" s="392"/>
      <c r="E22" s="388"/>
      <c r="F22" s="393"/>
      <c r="G22" s="394"/>
      <c r="H22" s="394"/>
      <c r="I22" s="395"/>
    </row>
    <row r="23" spans="2:9" s="377" customFormat="1" ht="6.75" customHeight="1">
      <c r="B23" s="397"/>
      <c r="C23" s="397"/>
      <c r="D23" s="397"/>
      <c r="E23" s="388"/>
      <c r="F23" s="393"/>
      <c r="G23" s="394"/>
      <c r="H23" s="394"/>
      <c r="I23" s="395"/>
    </row>
    <row r="24" spans="2:9" s="377" customFormat="1" ht="13.5" customHeight="1">
      <c r="B24" s="387" t="s">
        <v>395</v>
      </c>
      <c r="C24" s="380"/>
      <c r="D24" s="380"/>
      <c r="E24" s="388"/>
      <c r="F24" s="393"/>
      <c r="G24" s="394">
        <v>116.7</v>
      </c>
      <c r="H24" s="394">
        <v>118.6</v>
      </c>
      <c r="I24" s="395">
        <v>122.8</v>
      </c>
    </row>
    <row r="25" spans="2:9" s="377" customFormat="1" ht="15.75" customHeight="1">
      <c r="B25" s="391" t="s">
        <v>396</v>
      </c>
      <c r="C25" s="392"/>
      <c r="D25" s="392"/>
      <c r="E25" s="388"/>
      <c r="F25" s="393"/>
      <c r="G25" s="394"/>
      <c r="H25" s="394"/>
      <c r="I25" s="395"/>
    </row>
    <row r="26" spans="2:9" s="377" customFormat="1" ht="6.75" customHeight="1">
      <c r="B26" s="397"/>
      <c r="C26" s="397"/>
      <c r="D26" s="397"/>
      <c r="E26" s="388"/>
      <c r="F26" s="393"/>
      <c r="G26" s="394"/>
      <c r="H26" s="394"/>
      <c r="I26" s="395"/>
    </row>
    <row r="27" spans="2:9" s="377" customFormat="1" ht="13.5" customHeight="1">
      <c r="B27" s="387" t="s">
        <v>397</v>
      </c>
      <c r="C27" s="380"/>
      <c r="D27" s="380"/>
      <c r="E27" s="388"/>
      <c r="F27" s="393"/>
      <c r="G27" s="394">
        <v>124.1</v>
      </c>
      <c r="H27" s="394">
        <v>124.6</v>
      </c>
      <c r="I27" s="395">
        <v>125.5</v>
      </c>
    </row>
    <row r="28" spans="2:9" s="377" customFormat="1" ht="13.5" customHeight="1">
      <c r="B28" s="391" t="s">
        <v>398</v>
      </c>
      <c r="C28" s="392"/>
      <c r="D28" s="392"/>
      <c r="E28" s="388"/>
      <c r="F28" s="393"/>
      <c r="G28" s="394"/>
      <c r="H28" s="394"/>
      <c r="I28" s="395"/>
    </row>
    <row r="29" spans="2:9" s="377" customFormat="1" ht="6.75" customHeight="1">
      <c r="B29" s="397"/>
      <c r="C29" s="397"/>
      <c r="D29" s="397"/>
      <c r="E29" s="388"/>
      <c r="F29" s="393"/>
      <c r="G29" s="394"/>
      <c r="H29" s="394"/>
      <c r="I29" s="395"/>
    </row>
    <row r="30" spans="2:9" s="377" customFormat="1" ht="13.5" customHeight="1">
      <c r="B30" s="387" t="s">
        <v>399</v>
      </c>
      <c r="C30" s="380"/>
      <c r="D30" s="380"/>
      <c r="E30" s="388"/>
      <c r="F30" s="393"/>
      <c r="G30" s="394">
        <v>102.6</v>
      </c>
      <c r="H30" s="394">
        <v>113.9</v>
      </c>
      <c r="I30" s="395">
        <v>119.2</v>
      </c>
    </row>
    <row r="31" spans="2:9" s="377" customFormat="1" ht="13.5" customHeight="1">
      <c r="B31" s="391" t="s">
        <v>400</v>
      </c>
      <c r="C31" s="392"/>
      <c r="D31" s="392"/>
      <c r="E31" s="388"/>
      <c r="F31" s="393"/>
      <c r="G31" s="394"/>
      <c r="H31" s="394"/>
      <c r="I31" s="395"/>
    </row>
    <row r="32" spans="2:9" s="377" customFormat="1" ht="6.75" customHeight="1">
      <c r="B32" s="397"/>
      <c r="C32" s="397"/>
      <c r="D32" s="397"/>
      <c r="E32" s="388"/>
      <c r="F32" s="393"/>
      <c r="G32" s="394"/>
      <c r="H32" s="394"/>
      <c r="I32" s="395"/>
    </row>
    <row r="33" spans="2:9" s="377" customFormat="1" ht="13.5" customHeight="1">
      <c r="B33" s="387" t="s">
        <v>401</v>
      </c>
      <c r="C33" s="380"/>
      <c r="D33" s="380"/>
      <c r="E33" s="388"/>
      <c r="F33" s="393"/>
      <c r="G33" s="394">
        <v>97.5</v>
      </c>
      <c r="H33" s="394">
        <v>97.5</v>
      </c>
      <c r="I33" s="395">
        <v>97.5</v>
      </c>
    </row>
    <row r="34" spans="2:9" s="377" customFormat="1" ht="13.5" customHeight="1">
      <c r="B34" s="391" t="s">
        <v>402</v>
      </c>
      <c r="C34" s="392"/>
      <c r="D34" s="392"/>
      <c r="E34" s="388"/>
      <c r="F34" s="393"/>
      <c r="G34" s="394"/>
      <c r="H34" s="394"/>
      <c r="I34" s="395"/>
    </row>
    <row r="35" spans="2:9" s="377" customFormat="1" ht="6.75" customHeight="1">
      <c r="B35" s="397"/>
      <c r="C35" s="397"/>
      <c r="D35" s="397"/>
      <c r="E35" s="388"/>
      <c r="F35" s="393"/>
      <c r="G35" s="394"/>
      <c r="H35" s="394"/>
      <c r="I35" s="395"/>
    </row>
    <row r="36" spans="2:9" s="377" customFormat="1" ht="13.5" customHeight="1">
      <c r="B36" s="387" t="s">
        <v>403</v>
      </c>
      <c r="C36" s="380"/>
      <c r="D36" s="380"/>
      <c r="E36" s="388"/>
      <c r="F36" s="393"/>
      <c r="G36" s="394">
        <v>112.3</v>
      </c>
      <c r="H36" s="394">
        <v>112.8</v>
      </c>
      <c r="I36" s="395">
        <v>115.4</v>
      </c>
    </row>
    <row r="37" spans="2:9" s="377" customFormat="1" ht="13.5" customHeight="1">
      <c r="B37" s="391" t="s">
        <v>404</v>
      </c>
      <c r="C37" s="392"/>
      <c r="D37" s="392"/>
      <c r="E37" s="388"/>
      <c r="F37" s="393"/>
      <c r="G37" s="394"/>
      <c r="H37" s="394"/>
      <c r="I37" s="395"/>
    </row>
    <row r="38" spans="2:9" s="377" customFormat="1" ht="6.75" customHeight="1">
      <c r="B38" s="397"/>
      <c r="C38" s="397"/>
      <c r="D38" s="397"/>
      <c r="E38" s="388"/>
      <c r="F38" s="393"/>
      <c r="G38" s="394"/>
      <c r="H38" s="394"/>
      <c r="I38" s="395"/>
    </row>
    <row r="39" spans="2:9" s="377" customFormat="1" ht="13.5" customHeight="1">
      <c r="B39" s="387" t="s">
        <v>405</v>
      </c>
      <c r="C39" s="380"/>
      <c r="D39" s="380"/>
      <c r="E39" s="388"/>
      <c r="F39" s="393"/>
      <c r="G39" s="394">
        <v>120.9</v>
      </c>
      <c r="H39" s="394">
        <v>121.1</v>
      </c>
      <c r="I39" s="395">
        <v>122.4</v>
      </c>
    </row>
    <row r="40" spans="2:9" s="377" customFormat="1" ht="13.5" customHeight="1">
      <c r="B40" s="391" t="s">
        <v>406</v>
      </c>
      <c r="C40" s="392"/>
      <c r="D40" s="392"/>
      <c r="E40" s="388"/>
      <c r="F40" s="393"/>
      <c r="G40" s="394"/>
      <c r="H40" s="394"/>
      <c r="I40" s="395"/>
    </row>
    <row r="41" spans="2:9" s="377" customFormat="1" ht="6.75" customHeight="1">
      <c r="B41" s="392"/>
      <c r="C41" s="392"/>
      <c r="D41" s="392"/>
      <c r="E41" s="388"/>
      <c r="F41" s="393"/>
      <c r="G41" s="394"/>
      <c r="H41" s="394"/>
      <c r="I41" s="395"/>
    </row>
    <row r="42" spans="2:9" s="377" customFormat="1" ht="13">
      <c r="B42" s="387" t="s">
        <v>407</v>
      </c>
      <c r="C42" s="380"/>
      <c r="D42" s="380"/>
      <c r="E42" s="388"/>
      <c r="F42" s="393"/>
      <c r="G42" s="394">
        <v>132.4</v>
      </c>
      <c r="H42" s="394">
        <v>132.9</v>
      </c>
      <c r="I42" s="395">
        <v>139.5</v>
      </c>
    </row>
    <row r="43" spans="2:9" s="377" customFormat="1" ht="13">
      <c r="B43" s="391" t="s">
        <v>408</v>
      </c>
      <c r="C43" s="392"/>
      <c r="D43" s="392"/>
      <c r="E43" s="388"/>
      <c r="F43" s="393"/>
      <c r="G43" s="394"/>
      <c r="H43" s="394"/>
      <c r="I43" s="395"/>
    </row>
    <row r="44" spans="2:9" s="377" customFormat="1" ht="6.75" customHeight="1">
      <c r="B44" s="397"/>
      <c r="C44" s="397"/>
      <c r="D44" s="397"/>
      <c r="E44" s="388"/>
      <c r="F44" s="393"/>
      <c r="G44" s="394"/>
      <c r="H44" s="394"/>
      <c r="I44" s="395"/>
    </row>
    <row r="45" spans="2:9" s="377" customFormat="1" ht="13">
      <c r="B45" s="387" t="s">
        <v>409</v>
      </c>
      <c r="C45" s="380"/>
      <c r="D45" s="380"/>
      <c r="E45" s="388"/>
      <c r="F45" s="393"/>
      <c r="G45" s="394">
        <v>116</v>
      </c>
      <c r="H45" s="394">
        <v>116.6</v>
      </c>
      <c r="I45" s="395">
        <v>118.9</v>
      </c>
    </row>
    <row r="46" spans="2:9" s="377" customFormat="1" ht="15.75" customHeight="1">
      <c r="B46" s="391" t="s">
        <v>410</v>
      </c>
      <c r="C46" s="392"/>
      <c r="D46" s="392"/>
      <c r="E46" s="388"/>
      <c r="F46" s="393"/>
      <c r="G46" s="398"/>
      <c r="H46" s="398"/>
      <c r="I46" s="399"/>
    </row>
    <row r="47" spans="2:9" s="377" customFormat="1" ht="6.75" customHeight="1">
      <c r="B47" s="397"/>
      <c r="C47" s="397"/>
      <c r="D47" s="397"/>
      <c r="E47" s="388"/>
      <c r="F47" s="393"/>
      <c r="G47" s="394"/>
      <c r="H47" s="394"/>
      <c r="I47" s="395"/>
    </row>
    <row r="48" spans="2:9" s="377" customFormat="1" ht="13">
      <c r="B48" s="387" t="s">
        <v>411</v>
      </c>
      <c r="C48" s="380"/>
      <c r="D48" s="380"/>
      <c r="E48" s="388"/>
      <c r="F48" s="393"/>
      <c r="G48" s="394">
        <v>116</v>
      </c>
      <c r="H48" s="394">
        <v>116.6</v>
      </c>
      <c r="I48" s="395">
        <v>118.9</v>
      </c>
    </row>
    <row r="49" spans="2:9" s="377" customFormat="1" ht="15.75" customHeight="1">
      <c r="B49" s="391" t="s">
        <v>412</v>
      </c>
      <c r="C49" s="392"/>
      <c r="D49" s="392"/>
      <c r="E49" s="388"/>
      <c r="F49" s="393"/>
      <c r="G49" s="398"/>
      <c r="H49" s="398"/>
      <c r="I49" s="399"/>
    </row>
    <row r="50" spans="2:9" s="377" customFormat="1" ht="15.75" customHeight="1">
      <c r="B50" s="392"/>
      <c r="C50" s="392"/>
      <c r="D50" s="392"/>
      <c r="E50" s="388"/>
      <c r="F50" s="393"/>
      <c r="G50" s="398"/>
      <c r="H50" s="398"/>
      <c r="I50" s="399"/>
    </row>
    <row r="51" spans="2:9" s="377" customFormat="1" ht="15.75" customHeight="1">
      <c r="B51" s="311" t="s">
        <v>413</v>
      </c>
      <c r="C51" s="392"/>
      <c r="D51" s="392"/>
      <c r="E51" s="388"/>
      <c r="F51" s="393"/>
      <c r="G51" s="398"/>
      <c r="H51" s="398"/>
      <c r="I51" s="399"/>
    </row>
    <row r="52" spans="2:9" s="377" customFormat="1" ht="15.75" customHeight="1">
      <c r="B52" s="392" t="s">
        <v>414</v>
      </c>
      <c r="C52" s="392"/>
      <c r="D52" s="392"/>
      <c r="E52" s="388"/>
      <c r="F52" s="393"/>
      <c r="G52" s="398"/>
      <c r="H52" s="398"/>
      <c r="I52" s="399"/>
    </row>
    <row r="53" spans="2:9" s="377" customFormat="1" ht="15.75" customHeight="1">
      <c r="B53" s="392"/>
      <c r="C53" s="392"/>
      <c r="D53" s="392"/>
      <c r="E53" s="388"/>
      <c r="F53" s="393"/>
      <c r="G53" s="398"/>
      <c r="H53" s="398"/>
      <c r="I53" s="399"/>
    </row>
    <row r="54" spans="2:9" s="377" customFormat="1" ht="13.5" customHeight="1">
      <c r="B54" s="387" t="s">
        <v>385</v>
      </c>
      <c r="C54" s="380"/>
      <c r="D54" s="380"/>
      <c r="E54" s="388"/>
      <c r="F54" s="389"/>
      <c r="G54" s="400">
        <v>-1.2</v>
      </c>
      <c r="H54" s="400">
        <v>2.5</v>
      </c>
      <c r="I54" s="401">
        <v>3.3</v>
      </c>
    </row>
    <row r="55" spans="2:9" s="377" customFormat="1" ht="13.5" customHeight="1">
      <c r="B55" s="391" t="s">
        <v>386</v>
      </c>
      <c r="C55" s="392"/>
      <c r="D55" s="392"/>
      <c r="E55" s="388"/>
      <c r="F55" s="389"/>
      <c r="G55" s="400"/>
      <c r="H55" s="400"/>
      <c r="I55" s="401"/>
    </row>
    <row r="56" spans="2:9" s="377" customFormat="1" ht="10.5" customHeight="1">
      <c r="B56" s="380"/>
      <c r="C56" s="380"/>
      <c r="D56" s="380"/>
      <c r="E56" s="388"/>
      <c r="F56" s="389"/>
      <c r="G56" s="400"/>
      <c r="H56" s="400"/>
      <c r="I56" s="401"/>
    </row>
    <row r="57" spans="2:9" s="377" customFormat="1" ht="13.5" customHeight="1">
      <c r="B57" s="387" t="s">
        <v>387</v>
      </c>
      <c r="C57" s="380"/>
      <c r="D57" s="380"/>
      <c r="E57" s="388"/>
      <c r="F57" s="393"/>
      <c r="G57" s="398">
        <v>1.3</v>
      </c>
      <c r="H57" s="398">
        <v>1.7</v>
      </c>
      <c r="I57" s="399">
        <v>5.8</v>
      </c>
    </row>
    <row r="58" spans="2:9" s="377" customFormat="1" ht="13.5" customHeight="1">
      <c r="B58" s="396" t="s">
        <v>388</v>
      </c>
      <c r="C58" s="386"/>
      <c r="D58" s="386"/>
      <c r="E58" s="388"/>
      <c r="F58" s="393"/>
      <c r="G58" s="398"/>
      <c r="H58" s="398"/>
      <c r="I58" s="399"/>
    </row>
    <row r="59" spans="2:9" s="377" customFormat="1" ht="6.75" customHeight="1">
      <c r="B59" s="397"/>
      <c r="C59" s="397"/>
      <c r="D59" s="397"/>
      <c r="E59" s="388"/>
      <c r="F59" s="393"/>
      <c r="G59" s="398"/>
      <c r="H59" s="398"/>
      <c r="I59" s="399"/>
    </row>
    <row r="60" spans="2:9" s="377" customFormat="1" ht="13.5" customHeight="1">
      <c r="B60" s="387" t="s">
        <v>389</v>
      </c>
      <c r="C60" s="380"/>
      <c r="D60" s="380"/>
      <c r="E60" s="388"/>
      <c r="F60" s="393"/>
      <c r="G60" s="398">
        <v>0.3</v>
      </c>
      <c r="H60" s="398">
        <v>0.5</v>
      </c>
      <c r="I60" s="399">
        <v>0.5</v>
      </c>
    </row>
    <row r="61" spans="2:9" s="377" customFormat="1" ht="13.5" customHeight="1">
      <c r="B61" s="391" t="s">
        <v>390</v>
      </c>
      <c r="C61" s="392"/>
      <c r="D61" s="392"/>
      <c r="E61" s="388"/>
      <c r="F61" s="393"/>
      <c r="G61" s="398"/>
      <c r="H61" s="398"/>
      <c r="I61" s="399"/>
    </row>
    <row r="62" spans="2:9" s="377" customFormat="1" ht="6.75" customHeight="1">
      <c r="B62" s="397"/>
      <c r="C62" s="397"/>
      <c r="D62" s="397"/>
      <c r="E62" s="388"/>
      <c r="F62" s="393"/>
      <c r="G62" s="398"/>
      <c r="H62" s="398"/>
      <c r="I62" s="399"/>
    </row>
    <row r="63" spans="2:9" s="377" customFormat="1" ht="13.5" customHeight="1">
      <c r="B63" s="387" t="s">
        <v>391</v>
      </c>
      <c r="C63" s="380"/>
      <c r="D63" s="380"/>
      <c r="E63" s="388"/>
      <c r="F63" s="393"/>
      <c r="G63" s="398">
        <v>-0.8</v>
      </c>
      <c r="H63" s="398">
        <v>-0.4</v>
      </c>
      <c r="I63" s="399">
        <v>0.1</v>
      </c>
    </row>
    <row r="64" spans="2:9" s="377" customFormat="1" ht="13.5" customHeight="1">
      <c r="B64" s="391" t="s">
        <v>392</v>
      </c>
      <c r="C64" s="392"/>
      <c r="D64" s="392"/>
      <c r="E64" s="388"/>
      <c r="F64" s="393"/>
      <c r="G64" s="398"/>
      <c r="H64" s="398"/>
      <c r="I64" s="399"/>
    </row>
    <row r="65" spans="2:9" s="377" customFormat="1" ht="6.75" customHeight="1">
      <c r="B65" s="397"/>
      <c r="C65" s="397"/>
      <c r="D65" s="397"/>
      <c r="E65" s="388"/>
      <c r="F65" s="393"/>
      <c r="G65" s="398"/>
      <c r="H65" s="398"/>
      <c r="I65" s="399"/>
    </row>
    <row r="66" spans="2:9" s="377" customFormat="1" ht="13.5" customHeight="1">
      <c r="B66" s="387" t="s">
        <v>393</v>
      </c>
      <c r="C66" s="380"/>
      <c r="D66" s="380"/>
      <c r="E66" s="388"/>
      <c r="F66" s="393"/>
      <c r="G66" s="398">
        <v>-1.7</v>
      </c>
      <c r="H66" s="398">
        <v>1.5</v>
      </c>
      <c r="I66" s="399">
        <v>1.8</v>
      </c>
    </row>
    <row r="67" spans="2:9" s="377" customFormat="1" ht="13.5" customHeight="1">
      <c r="B67" s="391" t="s">
        <v>394</v>
      </c>
      <c r="C67" s="392"/>
      <c r="D67" s="392"/>
      <c r="E67" s="388"/>
      <c r="F67" s="393"/>
      <c r="G67" s="398"/>
      <c r="H67" s="398"/>
      <c r="I67" s="399"/>
    </row>
    <row r="68" spans="2:9" s="377" customFormat="1" ht="6.75" customHeight="1">
      <c r="B68" s="397"/>
      <c r="C68" s="397"/>
      <c r="D68" s="397"/>
      <c r="E68" s="388"/>
      <c r="F68" s="393"/>
      <c r="G68" s="398"/>
      <c r="H68" s="398"/>
      <c r="I68" s="399"/>
    </row>
    <row r="69" spans="2:9" s="377" customFormat="1" ht="13.5" customHeight="1">
      <c r="B69" s="387" t="s">
        <v>395</v>
      </c>
      <c r="C69" s="380"/>
      <c r="D69" s="380"/>
      <c r="E69" s="388"/>
      <c r="F69" s="393"/>
      <c r="G69" s="398">
        <v>0.3</v>
      </c>
      <c r="H69" s="398">
        <v>1.6</v>
      </c>
      <c r="I69" s="399">
        <v>3.5</v>
      </c>
    </row>
    <row r="70" spans="2:9" s="377" customFormat="1" ht="15.75" customHeight="1">
      <c r="B70" s="391" t="s">
        <v>396</v>
      </c>
      <c r="C70" s="392"/>
      <c r="D70" s="392"/>
      <c r="E70" s="388"/>
      <c r="F70" s="393"/>
      <c r="G70" s="398"/>
      <c r="H70" s="398"/>
      <c r="I70" s="399"/>
    </row>
    <row r="71" spans="2:9" s="377" customFormat="1" ht="6.75" customHeight="1">
      <c r="B71" s="397"/>
      <c r="C71" s="397"/>
      <c r="D71" s="397"/>
      <c r="E71" s="388"/>
      <c r="F71" s="393"/>
      <c r="G71" s="398"/>
      <c r="H71" s="398"/>
      <c r="I71" s="399"/>
    </row>
    <row r="72" spans="2:9" s="377" customFormat="1" ht="13.5" customHeight="1">
      <c r="B72" s="387" t="s">
        <v>397</v>
      </c>
      <c r="C72" s="380"/>
      <c r="D72" s="380"/>
      <c r="E72" s="388"/>
      <c r="F72" s="393"/>
      <c r="G72" s="398">
        <v>1.1000000000000001</v>
      </c>
      <c r="H72" s="398">
        <v>0.4</v>
      </c>
      <c r="I72" s="399">
        <v>0.7</v>
      </c>
    </row>
    <row r="73" spans="2:9" s="377" customFormat="1" ht="13.5" customHeight="1">
      <c r="B73" s="391" t="s">
        <v>398</v>
      </c>
      <c r="C73" s="392"/>
      <c r="D73" s="392"/>
      <c r="E73" s="388"/>
      <c r="F73" s="393"/>
      <c r="G73" s="398"/>
      <c r="H73" s="398"/>
      <c r="I73" s="399"/>
    </row>
    <row r="74" spans="2:9" s="377" customFormat="1" ht="6.75" customHeight="1">
      <c r="B74" s="397"/>
      <c r="C74" s="397"/>
      <c r="D74" s="397"/>
      <c r="E74" s="388"/>
      <c r="F74" s="393"/>
      <c r="G74" s="398"/>
      <c r="H74" s="398"/>
      <c r="I74" s="399"/>
    </row>
    <row r="75" spans="2:9" s="377" customFormat="1" ht="13.5" customHeight="1">
      <c r="B75" s="387" t="s">
        <v>399</v>
      </c>
      <c r="C75" s="380"/>
      <c r="D75" s="380"/>
      <c r="E75" s="388"/>
      <c r="F75" s="393"/>
      <c r="G75" s="398">
        <v>-10</v>
      </c>
      <c r="H75" s="398">
        <v>11</v>
      </c>
      <c r="I75" s="399">
        <v>4.7</v>
      </c>
    </row>
    <row r="76" spans="2:9" s="377" customFormat="1" ht="13.5" customHeight="1">
      <c r="B76" s="391" t="s">
        <v>400</v>
      </c>
      <c r="C76" s="392"/>
      <c r="D76" s="392"/>
      <c r="E76" s="388"/>
      <c r="F76" s="393"/>
      <c r="G76" s="398"/>
      <c r="H76" s="398"/>
      <c r="I76" s="399"/>
    </row>
    <row r="77" spans="2:9" s="377" customFormat="1" ht="6.75" customHeight="1">
      <c r="B77" s="397"/>
      <c r="C77" s="397"/>
      <c r="D77" s="397"/>
      <c r="E77" s="388"/>
      <c r="F77" s="393"/>
      <c r="G77" s="398"/>
      <c r="H77" s="398"/>
      <c r="I77" s="399"/>
    </row>
    <row r="78" spans="2:9" s="377" customFormat="1" ht="13.5" customHeight="1">
      <c r="B78" s="387" t="s">
        <v>401</v>
      </c>
      <c r="C78" s="380"/>
      <c r="D78" s="380"/>
      <c r="E78" s="388"/>
      <c r="F78" s="393"/>
      <c r="G78" s="398">
        <v>1.1000000000000001</v>
      </c>
      <c r="H78" s="398">
        <v>0</v>
      </c>
      <c r="I78" s="399">
        <v>0</v>
      </c>
    </row>
    <row r="79" spans="2:9" s="377" customFormat="1" ht="13.5" customHeight="1">
      <c r="B79" s="391" t="s">
        <v>402</v>
      </c>
      <c r="C79" s="392"/>
      <c r="D79" s="392"/>
      <c r="E79" s="388"/>
      <c r="F79" s="393"/>
      <c r="G79" s="398"/>
      <c r="H79" s="398"/>
      <c r="I79" s="399"/>
    </row>
    <row r="80" spans="2:9" s="377" customFormat="1" ht="6.75" customHeight="1">
      <c r="B80" s="397"/>
      <c r="C80" s="397"/>
      <c r="D80" s="397"/>
      <c r="E80" s="388"/>
      <c r="F80" s="393"/>
      <c r="G80" s="398"/>
      <c r="H80" s="398"/>
      <c r="I80" s="399"/>
    </row>
    <row r="81" spans="2:9" s="377" customFormat="1" ht="13.5" customHeight="1">
      <c r="B81" s="387" t="s">
        <v>403</v>
      </c>
      <c r="C81" s="380"/>
      <c r="D81" s="380"/>
      <c r="E81" s="388"/>
      <c r="F81" s="393"/>
      <c r="G81" s="398">
        <v>0.4</v>
      </c>
      <c r="H81" s="398">
        <v>0.4</v>
      </c>
      <c r="I81" s="399">
        <v>2.2999999999999998</v>
      </c>
    </row>
    <row r="82" spans="2:9" s="377" customFormat="1" ht="13.5" customHeight="1">
      <c r="B82" s="391" t="s">
        <v>404</v>
      </c>
      <c r="C82" s="392"/>
      <c r="D82" s="392"/>
      <c r="E82" s="388"/>
      <c r="F82" s="393"/>
      <c r="G82" s="398"/>
      <c r="H82" s="398"/>
      <c r="I82" s="399"/>
    </row>
    <row r="83" spans="2:9" s="377" customFormat="1" ht="6.75" customHeight="1">
      <c r="B83" s="397"/>
      <c r="C83" s="397"/>
      <c r="D83" s="397"/>
      <c r="E83" s="388"/>
      <c r="F83" s="393"/>
      <c r="G83" s="398"/>
      <c r="H83" s="398"/>
      <c r="I83" s="399"/>
    </row>
    <row r="84" spans="2:9" s="377" customFormat="1" ht="13.5" customHeight="1">
      <c r="B84" s="387" t="s">
        <v>405</v>
      </c>
      <c r="C84" s="380"/>
      <c r="D84" s="380"/>
      <c r="E84" s="388"/>
      <c r="F84" s="393"/>
      <c r="G84" s="398">
        <v>1</v>
      </c>
      <c r="H84" s="398">
        <v>0.2</v>
      </c>
      <c r="I84" s="399">
        <v>1.1000000000000001</v>
      </c>
    </row>
    <row r="85" spans="2:9" s="377" customFormat="1" ht="13.5" customHeight="1">
      <c r="B85" s="391" t="s">
        <v>406</v>
      </c>
      <c r="C85" s="392"/>
      <c r="D85" s="392"/>
      <c r="E85" s="388"/>
      <c r="F85" s="393"/>
      <c r="G85" s="398"/>
      <c r="H85" s="398"/>
      <c r="I85" s="399"/>
    </row>
    <row r="86" spans="2:9" s="377" customFormat="1" ht="6.75" customHeight="1">
      <c r="B86" s="392"/>
      <c r="C86" s="392"/>
      <c r="D86" s="392"/>
      <c r="E86" s="388"/>
      <c r="F86" s="393"/>
      <c r="G86" s="398"/>
      <c r="H86" s="398"/>
      <c r="I86" s="399"/>
    </row>
    <row r="87" spans="2:9" s="377" customFormat="1" ht="13">
      <c r="B87" s="387" t="s">
        <v>407</v>
      </c>
      <c r="C87" s="380"/>
      <c r="D87" s="380"/>
      <c r="E87" s="388"/>
      <c r="F87" s="393"/>
      <c r="G87" s="398">
        <v>0.5</v>
      </c>
      <c r="H87" s="398">
        <v>0.4</v>
      </c>
      <c r="I87" s="399">
        <v>5</v>
      </c>
    </row>
    <row r="88" spans="2:9" s="377" customFormat="1" ht="13">
      <c r="B88" s="391" t="s">
        <v>408</v>
      </c>
      <c r="C88" s="392"/>
      <c r="D88" s="392"/>
      <c r="E88" s="388"/>
      <c r="F88" s="393"/>
      <c r="G88" s="398"/>
      <c r="H88" s="398"/>
      <c r="I88" s="399"/>
    </row>
    <row r="89" spans="2:9" s="377" customFormat="1" ht="6.75" customHeight="1">
      <c r="B89" s="391"/>
      <c r="C89" s="392"/>
      <c r="D89" s="392"/>
      <c r="E89" s="388"/>
      <c r="F89" s="393"/>
      <c r="G89" s="398"/>
      <c r="H89" s="398"/>
      <c r="I89" s="399"/>
    </row>
    <row r="90" spans="2:9" s="377" customFormat="1" ht="13">
      <c r="B90" s="387" t="s">
        <v>409</v>
      </c>
      <c r="C90" s="380"/>
      <c r="D90" s="380"/>
      <c r="E90" s="388"/>
      <c r="F90" s="393"/>
      <c r="G90" s="394">
        <v>116</v>
      </c>
      <c r="H90" s="394">
        <v>116.6</v>
      </c>
      <c r="I90" s="395">
        <v>118.9</v>
      </c>
    </row>
    <row r="91" spans="2:9" s="377" customFormat="1" ht="15.75" customHeight="1">
      <c r="B91" s="391" t="s">
        <v>410</v>
      </c>
      <c r="C91" s="392"/>
      <c r="D91" s="392"/>
      <c r="E91" s="388"/>
      <c r="F91" s="393"/>
      <c r="G91" s="398"/>
      <c r="H91" s="398"/>
      <c r="I91" s="399"/>
    </row>
    <row r="92" spans="2:9" s="377" customFormat="1" ht="6.75" customHeight="1">
      <c r="B92" s="397"/>
      <c r="C92" s="397"/>
      <c r="D92" s="397"/>
      <c r="E92" s="388"/>
      <c r="F92" s="393"/>
      <c r="G92" s="398"/>
      <c r="H92" s="398"/>
      <c r="I92" s="399"/>
    </row>
    <row r="93" spans="2:9" s="377" customFormat="1" ht="13">
      <c r="B93" s="387" t="s">
        <v>411</v>
      </c>
      <c r="C93" s="380"/>
      <c r="D93" s="380"/>
      <c r="E93" s="388"/>
      <c r="F93" s="393"/>
      <c r="G93" s="398">
        <v>2.7</v>
      </c>
      <c r="H93" s="398">
        <v>0.5</v>
      </c>
      <c r="I93" s="399">
        <v>2</v>
      </c>
    </row>
    <row r="94" spans="2:9" s="377" customFormat="1" ht="13">
      <c r="B94" s="391" t="s">
        <v>412</v>
      </c>
      <c r="C94" s="392"/>
      <c r="D94" s="392"/>
      <c r="E94" s="388"/>
      <c r="F94" s="393"/>
      <c r="G94" s="398"/>
      <c r="H94" s="398"/>
      <c r="I94" s="399"/>
    </row>
    <row r="95" spans="2:9" s="282" customFormat="1" ht="8.25" customHeight="1" thickBot="1">
      <c r="B95" s="402"/>
      <c r="C95" s="402"/>
      <c r="D95" s="402"/>
      <c r="E95" s="298"/>
      <c r="F95" s="298"/>
      <c r="G95" s="298"/>
      <c r="H95" s="298"/>
      <c r="I95" s="403"/>
    </row>
    <row r="96" spans="2:9" s="282" customFormat="1" ht="14">
      <c r="I96" s="192" t="s">
        <v>31</v>
      </c>
    </row>
    <row r="97" spans="9:9" s="282" customFormat="1" ht="14">
      <c r="I97" s="193" t="s">
        <v>32</v>
      </c>
    </row>
  </sheetData>
  <mergeCells count="3">
    <mergeCell ref="C4:E4"/>
    <mergeCell ref="C5:E5"/>
    <mergeCell ref="G5:I5"/>
  </mergeCells>
  <printOptions horizontalCentered="1"/>
  <pageMargins left="0.55118110236220474" right="0.55118110236220474" top="0.55118110236220474" bottom="0.55118110236220474" header="0.31496062992125984" footer="0.31496062992125984"/>
  <pageSetup paperSize="9" scale="65" fitToWidth="0" fitToHeight="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7DA1A-B970-49BB-9F02-8C86BF38DCE5}">
  <sheetPr codeName="Sheet40"/>
  <dimension ref="A1:P101"/>
  <sheetViews>
    <sheetView view="pageBreakPreview" zoomScale="90" zoomScaleNormal="80" zoomScaleSheetLayoutView="90" workbookViewId="0">
      <selection activeCell="D60" sqref="D60"/>
    </sheetView>
  </sheetViews>
  <sheetFormatPr baseColWidth="10" defaultColWidth="9.1640625" defaultRowHeight="14"/>
  <cols>
    <col min="1" max="1" width="2.83203125" style="282" customWidth="1"/>
    <col min="2" max="3" width="9.1640625" style="282"/>
    <col min="4" max="4" width="39.5" style="282" customWidth="1"/>
    <col min="5" max="5" width="9.1640625" style="282"/>
    <col min="6" max="6" width="17.6640625" style="282" customWidth="1"/>
    <col min="7" max="7" width="14.6640625" style="282" customWidth="1"/>
    <col min="8" max="8" width="5.33203125" style="282" customWidth="1"/>
    <col min="9" max="9" width="14.6640625" style="282" customWidth="1"/>
    <col min="10" max="10" width="5.33203125" style="282" customWidth="1"/>
    <col min="11" max="11" width="14.6640625" style="290" customWidth="1"/>
    <col min="12" max="16384" width="9.1640625" style="282"/>
  </cols>
  <sheetData>
    <row r="1" spans="1:13" s="405" customFormat="1" ht="4" customHeight="1">
      <c r="F1" s="406"/>
      <c r="H1" s="407"/>
      <c r="J1" s="407"/>
      <c r="K1" s="408"/>
    </row>
    <row r="2" spans="1:13" s="405" customFormat="1" ht="4" customHeight="1">
      <c r="F2" s="406"/>
      <c r="H2" s="407"/>
      <c r="J2" s="407"/>
      <c r="K2" s="408"/>
    </row>
    <row r="3" spans="1:13" s="405" customFormat="1" ht="14.25" customHeight="1">
      <c r="A3" s="407"/>
      <c r="B3" s="409" t="s">
        <v>415</v>
      </c>
      <c r="C3" s="1318" t="s">
        <v>416</v>
      </c>
      <c r="D3" s="1318"/>
      <c r="E3" s="1318"/>
      <c r="F3" s="1318"/>
      <c r="G3" s="1318"/>
      <c r="H3" s="1318"/>
      <c r="I3" s="1318"/>
      <c r="J3" s="1318"/>
      <c r="K3" s="408"/>
    </row>
    <row r="4" spans="1:13" s="405" customFormat="1" ht="3.5" customHeight="1">
      <c r="A4" s="407"/>
      <c r="B4" s="410"/>
      <c r="C4" s="1318"/>
      <c r="D4" s="1318"/>
      <c r="E4" s="1318"/>
      <c r="F4" s="1318"/>
      <c r="G4" s="1318"/>
      <c r="H4" s="1318"/>
      <c r="I4" s="1318"/>
      <c r="J4" s="1318"/>
      <c r="K4" s="408"/>
    </row>
    <row r="5" spans="1:13" s="405" customFormat="1" ht="14.25" customHeight="1">
      <c r="B5" s="411" t="s">
        <v>417</v>
      </c>
      <c r="C5" s="1319" t="s">
        <v>418</v>
      </c>
      <c r="D5" s="1319"/>
      <c r="E5" s="1319"/>
      <c r="F5" s="1319"/>
      <c r="G5" s="1319"/>
      <c r="H5" s="1319"/>
      <c r="I5" s="1319"/>
      <c r="J5" s="1319"/>
      <c r="K5" s="408"/>
    </row>
    <row r="6" spans="1:13" s="405" customFormat="1" ht="5" customHeight="1">
      <c r="B6" s="411"/>
      <c r="C6" s="1319"/>
      <c r="D6" s="1319"/>
      <c r="E6" s="1319"/>
      <c r="F6" s="1319"/>
      <c r="G6" s="1319"/>
      <c r="H6" s="1319"/>
      <c r="I6" s="1319"/>
      <c r="J6" s="1319"/>
      <c r="K6" s="408"/>
    </row>
    <row r="7" spans="1:13" s="405" customFormat="1" ht="4.5" customHeight="1" thickBot="1">
      <c r="A7" s="412"/>
      <c r="B7" s="412"/>
      <c r="C7" s="412"/>
      <c r="D7" s="412"/>
      <c r="E7" s="412"/>
      <c r="F7" s="413"/>
      <c r="G7" s="412"/>
      <c r="H7" s="414"/>
      <c r="I7" s="412"/>
      <c r="J7" s="414"/>
      <c r="K7" s="415"/>
    </row>
    <row r="8" spans="1:13" s="416" customFormat="1" ht="5.25" customHeight="1">
      <c r="F8" s="417"/>
      <c r="H8" s="418"/>
      <c r="J8" s="418"/>
      <c r="K8" s="419"/>
    </row>
    <row r="9" spans="1:13" s="416" customFormat="1" ht="14.25" customHeight="1">
      <c r="A9" s="420"/>
      <c r="B9" s="1320" t="s">
        <v>419</v>
      </c>
      <c r="C9" s="1320"/>
      <c r="D9" s="421"/>
      <c r="E9" s="421"/>
      <c r="F9" s="421"/>
      <c r="G9" s="422">
        <v>2022</v>
      </c>
      <c r="H9" s="422"/>
      <c r="I9" s="422">
        <v>2023</v>
      </c>
      <c r="J9" s="422"/>
      <c r="K9" s="423">
        <v>2024</v>
      </c>
      <c r="L9" s="424"/>
    </row>
    <row r="10" spans="1:13" s="416" customFormat="1" ht="5" customHeight="1">
      <c r="A10" s="420"/>
      <c r="B10" s="1320"/>
      <c r="C10" s="1320"/>
      <c r="D10" s="421"/>
      <c r="E10" s="421"/>
      <c r="F10" s="421"/>
      <c r="G10" s="422"/>
      <c r="H10" s="422"/>
      <c r="I10" s="422"/>
      <c r="J10" s="422"/>
      <c r="K10" s="423"/>
      <c r="L10" s="424"/>
    </row>
    <row r="11" spans="1:13" s="416" customFormat="1" ht="8.25" customHeight="1" thickBot="1">
      <c r="A11" s="425"/>
      <c r="B11" s="1321"/>
      <c r="C11" s="1321"/>
      <c r="D11" s="426"/>
      <c r="E11" s="426"/>
      <c r="F11" s="427"/>
      <c r="G11" s="426"/>
      <c r="H11" s="426"/>
      <c r="I11" s="426"/>
      <c r="J11" s="426"/>
      <c r="K11" s="428"/>
      <c r="L11" s="424"/>
    </row>
    <row r="12" spans="1:13" s="416" customFormat="1" ht="8" customHeight="1">
      <c r="B12" s="429"/>
      <c r="C12" s="424"/>
      <c r="D12" s="424"/>
      <c r="E12" s="424"/>
      <c r="F12" s="424"/>
      <c r="G12" s="430"/>
      <c r="H12" s="430"/>
      <c r="I12" s="430"/>
      <c r="J12" s="430"/>
      <c r="K12" s="419"/>
      <c r="L12" s="424"/>
    </row>
    <row r="13" spans="1:13" s="416" customFormat="1" ht="13.75" customHeight="1">
      <c r="B13" s="431" t="s">
        <v>420</v>
      </c>
      <c r="C13" s="424"/>
      <c r="D13" s="424"/>
      <c r="E13" s="424"/>
      <c r="F13" s="424"/>
      <c r="G13" s="432"/>
      <c r="H13" s="432"/>
      <c r="I13" s="432"/>
      <c r="J13" s="432"/>
      <c r="K13" s="433"/>
      <c r="L13" s="424"/>
    </row>
    <row r="14" spans="1:13" s="416" customFormat="1" ht="13.75" customHeight="1">
      <c r="B14" s="434" t="s">
        <v>421</v>
      </c>
      <c r="C14" s="424"/>
      <c r="D14" s="424"/>
      <c r="E14" s="424"/>
      <c r="F14" s="424"/>
      <c r="G14" s="432"/>
      <c r="H14" s="432"/>
      <c r="I14" s="432"/>
      <c r="J14" s="432"/>
      <c r="K14" s="433"/>
      <c r="L14" s="424"/>
    </row>
    <row r="15" spans="1:13" s="416" customFormat="1" ht="7" customHeight="1">
      <c r="B15" s="434"/>
      <c r="C15" s="424"/>
      <c r="D15" s="424"/>
      <c r="E15" s="424"/>
      <c r="F15" s="424"/>
      <c r="G15" s="432"/>
      <c r="H15" s="432"/>
      <c r="I15" s="432"/>
      <c r="J15" s="432"/>
      <c r="K15" s="433"/>
      <c r="L15" s="424"/>
    </row>
    <row r="16" spans="1:13" s="416" customFormat="1" ht="15.5" customHeight="1">
      <c r="B16" s="435" t="s">
        <v>422</v>
      </c>
      <c r="C16" s="424"/>
      <c r="D16" s="424"/>
      <c r="E16" s="436" t="s">
        <v>423</v>
      </c>
      <c r="F16" s="436"/>
      <c r="G16" s="437">
        <v>5.66</v>
      </c>
      <c r="H16" s="437"/>
      <c r="I16" s="437">
        <v>5.75</v>
      </c>
      <c r="J16" s="437"/>
      <c r="K16" s="437">
        <v>5.81</v>
      </c>
      <c r="M16" s="434"/>
    </row>
    <row r="17" spans="2:13" s="416" customFormat="1" ht="15.5" customHeight="1">
      <c r="B17" s="435" t="s">
        <v>424</v>
      </c>
      <c r="D17" s="424"/>
      <c r="E17" s="436" t="s">
        <v>423</v>
      </c>
      <c r="F17" s="436"/>
      <c r="G17" s="437">
        <v>9.0399999999999991</v>
      </c>
      <c r="H17" s="437"/>
      <c r="I17" s="437">
        <v>8.8699999999999992</v>
      </c>
      <c r="J17" s="437"/>
      <c r="K17" s="437">
        <v>8.89</v>
      </c>
      <c r="L17" s="438"/>
      <c r="M17" s="434"/>
    </row>
    <row r="18" spans="2:13" s="416" customFormat="1" ht="15.5" customHeight="1">
      <c r="B18" s="435" t="s">
        <v>425</v>
      </c>
      <c r="C18" s="439"/>
      <c r="D18" s="424"/>
      <c r="E18" s="436" t="s">
        <v>423</v>
      </c>
      <c r="F18" s="436"/>
      <c r="G18" s="437">
        <v>6.63</v>
      </c>
      <c r="H18" s="437"/>
      <c r="I18" s="437">
        <v>6.55</v>
      </c>
      <c r="J18" s="437"/>
      <c r="K18" s="437">
        <v>6.68</v>
      </c>
      <c r="L18" s="440"/>
      <c r="M18" s="434"/>
    </row>
    <row r="19" spans="2:13" s="416" customFormat="1" ht="15.5" customHeight="1">
      <c r="B19" s="435" t="s">
        <v>426</v>
      </c>
      <c r="C19" s="439"/>
      <c r="D19" s="424"/>
      <c r="E19" s="436" t="s">
        <v>423</v>
      </c>
      <c r="F19" s="436"/>
      <c r="G19" s="437">
        <v>4.71</v>
      </c>
      <c r="H19" s="437"/>
      <c r="I19" s="437">
        <v>4.68</v>
      </c>
      <c r="J19" s="437"/>
      <c r="K19" s="437">
        <v>6.92</v>
      </c>
      <c r="L19" s="440"/>
      <c r="M19" s="434"/>
    </row>
    <row r="20" spans="2:13" s="416" customFormat="1" ht="15.5" customHeight="1">
      <c r="B20" s="435" t="s">
        <v>427</v>
      </c>
      <c r="C20" s="439"/>
      <c r="D20" s="424"/>
      <c r="E20" s="436" t="s">
        <v>428</v>
      </c>
      <c r="F20" s="436"/>
      <c r="G20" s="437">
        <v>2.98</v>
      </c>
      <c r="H20" s="437"/>
      <c r="I20" s="437">
        <v>2.91</v>
      </c>
      <c r="J20" s="437"/>
      <c r="K20" s="437">
        <v>3.14</v>
      </c>
      <c r="L20" s="440"/>
      <c r="M20" s="434"/>
    </row>
    <row r="21" spans="2:13" s="416" customFormat="1" ht="15.5" customHeight="1">
      <c r="B21" s="435" t="s">
        <v>429</v>
      </c>
      <c r="C21" s="439"/>
      <c r="D21" s="424"/>
      <c r="E21" s="436" t="s">
        <v>423</v>
      </c>
      <c r="F21" s="436"/>
      <c r="G21" s="437">
        <v>18.440000000000001</v>
      </c>
      <c r="H21" s="437"/>
      <c r="I21" s="437">
        <v>17.399999999999999</v>
      </c>
      <c r="J21" s="437"/>
      <c r="K21" s="437">
        <v>17.87</v>
      </c>
      <c r="L21" s="440"/>
      <c r="M21" s="434"/>
    </row>
    <row r="22" spans="2:13" s="416" customFormat="1" ht="15.5" customHeight="1">
      <c r="B22" s="435" t="s">
        <v>430</v>
      </c>
      <c r="C22" s="439"/>
      <c r="D22" s="424"/>
      <c r="E22" s="436" t="s">
        <v>423</v>
      </c>
      <c r="F22" s="436"/>
      <c r="G22" s="437">
        <v>16.78</v>
      </c>
      <c r="H22" s="437"/>
      <c r="I22" s="437">
        <v>15.79</v>
      </c>
      <c r="J22" s="437"/>
      <c r="K22" s="437">
        <v>15.69</v>
      </c>
      <c r="L22" s="440"/>
      <c r="M22" s="434"/>
    </row>
    <row r="23" spans="2:13" s="416" customFormat="1" ht="15.5" customHeight="1">
      <c r="B23" s="435" t="s">
        <v>431</v>
      </c>
      <c r="C23" s="439"/>
      <c r="D23" s="424"/>
      <c r="E23" s="436" t="s">
        <v>423</v>
      </c>
      <c r="F23" s="436"/>
      <c r="G23" s="437">
        <v>7.82</v>
      </c>
      <c r="H23" s="437"/>
      <c r="I23" s="437">
        <v>7.8</v>
      </c>
      <c r="J23" s="437"/>
      <c r="K23" s="437">
        <v>8.1199999999999992</v>
      </c>
      <c r="L23" s="440"/>
      <c r="M23" s="434"/>
    </row>
    <row r="24" spans="2:13" s="416" customFormat="1" ht="15.5" customHeight="1">
      <c r="B24" s="435" t="s">
        <v>432</v>
      </c>
      <c r="C24" s="439"/>
      <c r="D24" s="424"/>
      <c r="E24" s="436" t="s">
        <v>423</v>
      </c>
      <c r="F24" s="436"/>
      <c r="G24" s="437">
        <v>11.86</v>
      </c>
      <c r="H24" s="437"/>
      <c r="I24" s="437">
        <v>11.6</v>
      </c>
      <c r="J24" s="437"/>
      <c r="K24" s="437">
        <v>11.8</v>
      </c>
      <c r="L24" s="440"/>
      <c r="M24" s="434"/>
    </row>
    <row r="25" spans="2:13" s="416" customFormat="1" ht="15.5" customHeight="1">
      <c r="B25" s="435" t="s">
        <v>433</v>
      </c>
      <c r="C25" s="439"/>
      <c r="D25" s="424"/>
      <c r="E25" s="436" t="s">
        <v>423</v>
      </c>
      <c r="F25" s="436"/>
      <c r="G25" s="437">
        <v>5</v>
      </c>
      <c r="H25" s="437"/>
      <c r="I25" s="437">
        <v>4.8</v>
      </c>
      <c r="J25" s="437"/>
      <c r="K25" s="437">
        <v>5.13</v>
      </c>
      <c r="L25" s="440"/>
      <c r="M25" s="434"/>
    </row>
    <row r="26" spans="2:13" s="416" customFormat="1" ht="15.5" customHeight="1">
      <c r="B26" s="435" t="s">
        <v>434</v>
      </c>
      <c r="C26" s="439"/>
      <c r="D26" s="424"/>
      <c r="E26" s="436" t="s">
        <v>423</v>
      </c>
      <c r="F26" s="436"/>
      <c r="G26" s="437">
        <v>10.69</v>
      </c>
      <c r="H26" s="437"/>
      <c r="I26" s="437">
        <v>10.38</v>
      </c>
      <c r="J26" s="437"/>
      <c r="K26" s="437">
        <v>10.47</v>
      </c>
      <c r="L26" s="440"/>
      <c r="M26" s="434"/>
    </row>
    <row r="27" spans="2:13" s="416" customFormat="1" ht="15.5" customHeight="1">
      <c r="B27" s="435" t="s">
        <v>435</v>
      </c>
      <c r="C27" s="439"/>
      <c r="D27" s="424"/>
      <c r="E27" s="436" t="s">
        <v>423</v>
      </c>
      <c r="F27" s="436"/>
      <c r="G27" s="437">
        <v>5.14</v>
      </c>
      <c r="H27" s="437"/>
      <c r="I27" s="437">
        <v>4.8</v>
      </c>
      <c r="J27" s="437"/>
      <c r="K27" s="437">
        <v>4.82</v>
      </c>
      <c r="L27" s="440"/>
      <c r="M27" s="434"/>
    </row>
    <row r="28" spans="2:13" s="416" customFormat="1" ht="15.5" customHeight="1">
      <c r="B28" s="435" t="s">
        <v>436</v>
      </c>
      <c r="C28" s="439"/>
      <c r="D28" s="424"/>
      <c r="E28" s="436" t="s">
        <v>423</v>
      </c>
      <c r="F28" s="436"/>
      <c r="G28" s="437" t="s">
        <v>437</v>
      </c>
      <c r="H28" s="437"/>
      <c r="I28" s="437" t="s">
        <v>437</v>
      </c>
      <c r="J28" s="437"/>
      <c r="K28" s="437">
        <v>7.35</v>
      </c>
      <c r="L28" s="440"/>
      <c r="M28" s="434"/>
    </row>
    <row r="29" spans="2:13" s="416" customFormat="1" ht="15.5" customHeight="1">
      <c r="B29" s="435" t="s">
        <v>438</v>
      </c>
      <c r="C29" s="439"/>
      <c r="D29" s="424"/>
      <c r="E29" s="436" t="s">
        <v>423</v>
      </c>
      <c r="F29" s="436"/>
      <c r="G29" s="437">
        <v>6.28</v>
      </c>
      <c r="H29" s="437"/>
      <c r="I29" s="437">
        <v>7.22</v>
      </c>
      <c r="J29" s="437"/>
      <c r="K29" s="437">
        <v>6.51</v>
      </c>
      <c r="L29" s="440"/>
      <c r="M29" s="434"/>
    </row>
    <row r="30" spans="2:13" s="416" customFormat="1" ht="15.5" customHeight="1">
      <c r="B30" s="435" t="s">
        <v>439</v>
      </c>
      <c r="C30" s="439"/>
      <c r="D30" s="424"/>
      <c r="E30" s="436" t="s">
        <v>423</v>
      </c>
      <c r="F30" s="436"/>
      <c r="G30" s="437">
        <v>8.5500000000000007</v>
      </c>
      <c r="H30" s="437"/>
      <c r="I30" s="437">
        <v>8.26</v>
      </c>
      <c r="J30" s="437"/>
      <c r="K30" s="437">
        <v>8.4700000000000006</v>
      </c>
      <c r="L30" s="440"/>
      <c r="M30" s="434"/>
    </row>
    <row r="31" spans="2:13" s="416" customFormat="1" ht="15.5" customHeight="1">
      <c r="B31" s="435" t="s">
        <v>440</v>
      </c>
      <c r="C31" s="439"/>
      <c r="D31" s="424"/>
      <c r="E31" s="436" t="s">
        <v>423</v>
      </c>
      <c r="F31" s="436"/>
      <c r="G31" s="437">
        <v>4.0999999999999996</v>
      </c>
      <c r="H31" s="437"/>
      <c r="I31" s="437">
        <v>4.16</v>
      </c>
      <c r="J31" s="437"/>
      <c r="K31" s="437">
        <v>4.3099999999999996</v>
      </c>
      <c r="L31" s="440"/>
      <c r="M31" s="434"/>
    </row>
    <row r="32" spans="2:13" s="416" customFormat="1" ht="7" customHeight="1">
      <c r="B32" s="441"/>
      <c r="C32" s="439"/>
      <c r="D32" s="439"/>
      <c r="E32" s="442"/>
      <c r="F32" s="442"/>
      <c r="G32" s="437"/>
      <c r="H32" s="437"/>
      <c r="I32" s="437"/>
      <c r="J32" s="437"/>
      <c r="K32" s="443"/>
      <c r="L32" s="440"/>
      <c r="M32" s="444"/>
    </row>
    <row r="33" spans="1:14" s="416" customFormat="1" ht="13.75" customHeight="1">
      <c r="B33" s="431" t="s">
        <v>441</v>
      </c>
      <c r="C33" s="439"/>
      <c r="D33" s="439"/>
      <c r="E33" s="442"/>
      <c r="F33" s="442"/>
      <c r="G33" s="437"/>
      <c r="H33" s="437"/>
      <c r="I33" s="437"/>
      <c r="J33" s="437"/>
      <c r="K33" s="443"/>
      <c r="L33" s="440"/>
      <c r="M33" s="444"/>
    </row>
    <row r="34" spans="1:14" s="416" customFormat="1" ht="13.75" customHeight="1">
      <c r="B34" s="434" t="s">
        <v>442</v>
      </c>
      <c r="C34" s="439"/>
      <c r="D34" s="439"/>
      <c r="E34" s="442"/>
      <c r="F34" s="442"/>
      <c r="G34" s="437"/>
      <c r="H34" s="437"/>
      <c r="I34" s="437"/>
      <c r="J34" s="437"/>
      <c r="K34" s="443"/>
      <c r="L34" s="440"/>
      <c r="M34" s="444"/>
    </row>
    <row r="35" spans="1:14" s="416" customFormat="1" ht="7" customHeight="1">
      <c r="B35" s="431"/>
      <c r="C35" s="439"/>
      <c r="D35" s="439"/>
      <c r="E35" s="442"/>
      <c r="F35" s="442"/>
      <c r="G35" s="437"/>
      <c r="H35" s="437"/>
      <c r="I35" s="437"/>
      <c r="J35" s="437"/>
      <c r="K35" s="443"/>
      <c r="L35" s="440"/>
      <c r="M35" s="444"/>
    </row>
    <row r="36" spans="1:14" s="416" customFormat="1" ht="15.5" customHeight="1">
      <c r="B36" s="435" t="s">
        <v>443</v>
      </c>
      <c r="C36" s="445"/>
      <c r="D36" s="439"/>
      <c r="E36" s="436" t="s">
        <v>444</v>
      </c>
      <c r="F36" s="436"/>
      <c r="G36" s="437">
        <v>2.0499999999999998</v>
      </c>
      <c r="H36" s="437"/>
      <c r="I36" s="437">
        <v>2.23</v>
      </c>
      <c r="J36" s="437"/>
      <c r="K36" s="437">
        <v>2.37</v>
      </c>
      <c r="L36" s="418"/>
      <c r="M36" s="440"/>
      <c r="N36" s="444"/>
    </row>
    <row r="37" spans="1:14" s="416" customFormat="1" ht="15.5" customHeight="1">
      <c r="B37" s="435" t="s">
        <v>445</v>
      </c>
      <c r="C37" s="445"/>
      <c r="D37" s="439"/>
      <c r="E37" s="436" t="s">
        <v>444</v>
      </c>
      <c r="F37" s="436"/>
      <c r="G37" s="437">
        <v>1.27</v>
      </c>
      <c r="H37" s="437"/>
      <c r="I37" s="437">
        <v>1.33</v>
      </c>
      <c r="J37" s="437"/>
      <c r="K37" s="437">
        <v>1.46</v>
      </c>
      <c r="L37" s="446"/>
      <c r="M37" s="440"/>
      <c r="N37" s="444"/>
    </row>
    <row r="38" spans="1:14" s="416" customFormat="1" ht="15.5" customHeight="1">
      <c r="B38" s="435" t="s">
        <v>446</v>
      </c>
      <c r="C38" s="445"/>
      <c r="D38" s="439"/>
      <c r="E38" s="436" t="s">
        <v>444</v>
      </c>
      <c r="F38" s="436"/>
      <c r="G38" s="437">
        <v>1.36</v>
      </c>
      <c r="H38" s="437"/>
      <c r="I38" s="437">
        <v>1.47</v>
      </c>
      <c r="J38" s="437"/>
      <c r="K38" s="437">
        <v>1.52</v>
      </c>
      <c r="L38" s="418"/>
      <c r="M38" s="440"/>
      <c r="N38" s="444"/>
    </row>
    <row r="39" spans="1:14" s="416" customFormat="1" ht="15.5" customHeight="1">
      <c r="B39" s="435" t="s">
        <v>447</v>
      </c>
      <c r="C39" s="445"/>
      <c r="D39" s="439"/>
      <c r="E39" s="436" t="s">
        <v>423</v>
      </c>
      <c r="F39" s="436"/>
      <c r="G39" s="437">
        <v>4.24</v>
      </c>
      <c r="H39" s="437"/>
      <c r="I39" s="437">
        <v>4.9000000000000004</v>
      </c>
      <c r="J39" s="437"/>
      <c r="K39" s="437">
        <v>4.9400000000000004</v>
      </c>
      <c r="M39" s="440"/>
      <c r="N39" s="444"/>
    </row>
    <row r="40" spans="1:14" s="416" customFormat="1" ht="15.5" customHeight="1">
      <c r="A40" s="438"/>
      <c r="B40" s="435" t="s">
        <v>448</v>
      </c>
      <c r="C40" s="445"/>
      <c r="D40" s="438"/>
      <c r="E40" s="436" t="s">
        <v>423</v>
      </c>
      <c r="F40" s="436"/>
      <c r="G40" s="437">
        <v>4.49</v>
      </c>
      <c r="H40" s="437"/>
      <c r="I40" s="437">
        <v>4.92</v>
      </c>
      <c r="J40" s="437"/>
      <c r="K40" s="437">
        <v>5.26</v>
      </c>
      <c r="L40" s="438"/>
      <c r="M40" s="438"/>
      <c r="N40" s="438"/>
    </row>
    <row r="41" spans="1:14" s="416" customFormat="1" ht="15.5" customHeight="1">
      <c r="B41" s="435" t="s">
        <v>449</v>
      </c>
      <c r="C41" s="445"/>
      <c r="E41" s="436" t="s">
        <v>423</v>
      </c>
      <c r="F41" s="436"/>
      <c r="G41" s="437">
        <v>4.83</v>
      </c>
      <c r="H41" s="437"/>
      <c r="I41" s="437">
        <v>5.45</v>
      </c>
      <c r="J41" s="437"/>
      <c r="K41" s="437">
        <v>5.74</v>
      </c>
      <c r="L41" s="438"/>
      <c r="N41" s="438"/>
    </row>
    <row r="42" spans="1:14" s="416" customFormat="1" ht="15.5" customHeight="1">
      <c r="B42" s="435" t="s">
        <v>450</v>
      </c>
      <c r="C42" s="445"/>
      <c r="E42" s="436" t="s">
        <v>423</v>
      </c>
      <c r="F42" s="436"/>
      <c r="G42" s="437" t="s">
        <v>437</v>
      </c>
      <c r="H42" s="437"/>
      <c r="I42" s="437" t="s">
        <v>437</v>
      </c>
      <c r="J42" s="437"/>
      <c r="K42" s="437">
        <v>6</v>
      </c>
      <c r="L42" s="438"/>
      <c r="N42" s="438"/>
    </row>
    <row r="43" spans="1:14" s="416" customFormat="1" ht="15.5" customHeight="1">
      <c r="B43" s="435" t="s">
        <v>451</v>
      </c>
      <c r="C43" s="445"/>
      <c r="E43" s="436" t="s">
        <v>423</v>
      </c>
      <c r="F43" s="436"/>
      <c r="G43" s="437">
        <v>5.23</v>
      </c>
      <c r="H43" s="437"/>
      <c r="I43" s="437">
        <v>6.13</v>
      </c>
      <c r="J43" s="437"/>
      <c r="K43" s="437">
        <v>6.24</v>
      </c>
      <c r="L43" s="438"/>
      <c r="M43" s="447"/>
      <c r="N43" s="438"/>
    </row>
    <row r="44" spans="1:14" s="416" customFormat="1" ht="15.5" customHeight="1">
      <c r="B44" s="435" t="s">
        <v>452</v>
      </c>
      <c r="C44" s="445"/>
      <c r="E44" s="436" t="s">
        <v>423</v>
      </c>
      <c r="F44" s="436"/>
      <c r="G44" s="437">
        <v>3.69</v>
      </c>
      <c r="H44" s="437"/>
      <c r="I44" s="437">
        <v>3.9</v>
      </c>
      <c r="J44" s="437"/>
      <c r="K44" s="437">
        <v>3.75</v>
      </c>
      <c r="L44" s="438"/>
      <c r="M44" s="447"/>
      <c r="N44" s="438"/>
    </row>
    <row r="45" spans="1:14" s="416" customFormat="1" ht="7" customHeight="1">
      <c r="B45" s="448"/>
      <c r="C45" s="445"/>
      <c r="E45" s="417"/>
      <c r="F45" s="417"/>
      <c r="G45" s="437"/>
      <c r="H45" s="437"/>
      <c r="I45" s="437"/>
      <c r="J45" s="437"/>
      <c r="K45" s="443"/>
      <c r="L45" s="447"/>
      <c r="M45" s="438"/>
    </row>
    <row r="46" spans="1:14" s="416" customFormat="1" ht="13.75" customHeight="1">
      <c r="B46" s="449" t="s">
        <v>453</v>
      </c>
      <c r="C46" s="445"/>
      <c r="E46" s="417"/>
      <c r="F46" s="417"/>
      <c r="G46" s="437"/>
      <c r="H46" s="437"/>
      <c r="I46" s="437"/>
      <c r="J46" s="437"/>
      <c r="K46" s="443"/>
      <c r="L46" s="438"/>
      <c r="M46" s="438"/>
    </row>
    <row r="47" spans="1:14" s="416" customFormat="1" ht="13.75" customHeight="1">
      <c r="B47" s="450" t="s">
        <v>454</v>
      </c>
      <c r="C47" s="445"/>
      <c r="E47" s="417"/>
      <c r="F47" s="417"/>
      <c r="G47" s="437"/>
      <c r="H47" s="437"/>
      <c r="I47" s="437"/>
      <c r="J47" s="437"/>
      <c r="K47" s="443"/>
      <c r="L47" s="438"/>
      <c r="M47" s="438"/>
    </row>
    <row r="48" spans="1:14" s="416" customFormat="1" ht="7" customHeight="1">
      <c r="B48" s="450"/>
      <c r="C48" s="445"/>
      <c r="E48" s="417"/>
      <c r="F48" s="417"/>
      <c r="G48" s="437"/>
      <c r="H48" s="437"/>
      <c r="I48" s="437"/>
      <c r="J48" s="437"/>
      <c r="K48" s="443"/>
      <c r="L48" s="438"/>
      <c r="M48" s="438"/>
    </row>
    <row r="49" spans="1:16" s="416" customFormat="1" ht="15.5" customHeight="1">
      <c r="B49" s="435" t="s">
        <v>455</v>
      </c>
      <c r="C49" s="445"/>
      <c r="E49" s="436" t="s">
        <v>423</v>
      </c>
      <c r="F49" s="436"/>
      <c r="G49" s="437">
        <v>7.8</v>
      </c>
      <c r="H49" s="437"/>
      <c r="I49" s="437">
        <v>8.02</v>
      </c>
      <c r="J49" s="437"/>
      <c r="K49" s="437">
        <v>8.33</v>
      </c>
      <c r="L49" s="438"/>
      <c r="M49" s="438"/>
    </row>
    <row r="50" spans="1:16" s="416" customFormat="1" ht="15.5" customHeight="1">
      <c r="B50" s="435" t="s">
        <v>456</v>
      </c>
      <c r="C50" s="445"/>
      <c r="D50" s="451"/>
      <c r="E50" s="436" t="s">
        <v>423</v>
      </c>
      <c r="F50" s="436"/>
      <c r="G50" s="437">
        <v>10.86</v>
      </c>
      <c r="H50" s="437"/>
      <c r="I50" s="437">
        <v>11.09</v>
      </c>
      <c r="J50" s="437"/>
      <c r="K50" s="437">
        <v>11.54</v>
      </c>
      <c r="L50" s="438"/>
      <c r="M50" s="438"/>
    </row>
    <row r="51" spans="1:16" s="416" customFormat="1" ht="15.5" customHeight="1">
      <c r="A51" s="438"/>
      <c r="B51" s="435" t="s">
        <v>457</v>
      </c>
      <c r="C51" s="445"/>
      <c r="D51" s="451"/>
      <c r="E51" s="436" t="s">
        <v>458</v>
      </c>
      <c r="F51" s="436"/>
      <c r="G51" s="437">
        <v>4.57</v>
      </c>
      <c r="H51" s="437"/>
      <c r="I51" s="437">
        <v>4.7</v>
      </c>
      <c r="J51" s="437"/>
      <c r="K51" s="437">
        <v>4.63</v>
      </c>
      <c r="L51" s="452"/>
      <c r="M51" s="452"/>
      <c r="N51" s="452"/>
      <c r="O51" s="447"/>
      <c r="P51" s="438"/>
    </row>
    <row r="52" spans="1:16" s="416" customFormat="1" ht="15.5" customHeight="1">
      <c r="A52" s="438"/>
      <c r="B52" s="435" t="s">
        <v>459</v>
      </c>
      <c r="C52" s="445"/>
      <c r="D52" s="453"/>
      <c r="E52" s="436" t="s">
        <v>458</v>
      </c>
      <c r="F52" s="436"/>
      <c r="G52" s="437">
        <v>4.3600000000000003</v>
      </c>
      <c r="H52" s="437"/>
      <c r="I52" s="437">
        <v>4.53</v>
      </c>
      <c r="J52" s="437"/>
      <c r="K52" s="437">
        <v>4.49</v>
      </c>
      <c r="L52" s="438"/>
      <c r="M52" s="452"/>
      <c r="N52" s="452"/>
      <c r="O52" s="438"/>
      <c r="P52" s="438"/>
    </row>
    <row r="53" spans="1:16" s="416" customFormat="1" ht="15.5" customHeight="1">
      <c r="B53" s="435" t="s">
        <v>460</v>
      </c>
      <c r="C53" s="445"/>
      <c r="D53" s="453"/>
      <c r="E53" s="436" t="s">
        <v>458</v>
      </c>
      <c r="F53" s="436"/>
      <c r="G53" s="437">
        <v>4.17</v>
      </c>
      <c r="H53" s="437"/>
      <c r="I53" s="437">
        <v>4.33</v>
      </c>
      <c r="J53" s="437"/>
      <c r="K53" s="437">
        <v>4.22</v>
      </c>
    </row>
    <row r="54" spans="1:16" s="416" customFormat="1" ht="7" customHeight="1">
      <c r="B54" s="454"/>
      <c r="C54" s="445"/>
      <c r="E54" s="417"/>
      <c r="F54" s="417"/>
      <c r="G54" s="437"/>
      <c r="H54" s="437"/>
      <c r="I54" s="437"/>
      <c r="J54" s="437"/>
      <c r="K54" s="443"/>
    </row>
    <row r="55" spans="1:16" s="416" customFormat="1" ht="13.75" customHeight="1">
      <c r="B55" s="449" t="s">
        <v>461</v>
      </c>
      <c r="C55" s="445"/>
      <c r="E55" s="417"/>
      <c r="F55" s="417"/>
      <c r="G55" s="437"/>
      <c r="H55" s="437"/>
      <c r="I55" s="437"/>
      <c r="J55" s="437"/>
      <c r="K55" s="443"/>
    </row>
    <row r="56" spans="1:16" s="416" customFormat="1" ht="13.75" customHeight="1">
      <c r="B56" s="450" t="s">
        <v>462</v>
      </c>
      <c r="C56" s="445"/>
      <c r="E56" s="417"/>
      <c r="F56" s="417"/>
      <c r="G56" s="437"/>
      <c r="H56" s="437"/>
      <c r="I56" s="437"/>
      <c r="J56" s="437"/>
      <c r="K56" s="443"/>
    </row>
    <row r="57" spans="1:16" s="416" customFormat="1" ht="7" customHeight="1">
      <c r="B57" s="449"/>
      <c r="C57" s="445"/>
      <c r="E57" s="417"/>
      <c r="F57" s="417"/>
      <c r="G57" s="437"/>
      <c r="H57" s="437"/>
      <c r="I57" s="437"/>
      <c r="J57" s="437"/>
      <c r="K57" s="443"/>
    </row>
    <row r="58" spans="1:16" s="416" customFormat="1" ht="15.5" customHeight="1">
      <c r="B58" s="435" t="s">
        <v>463</v>
      </c>
      <c r="C58" s="445"/>
      <c r="E58" s="436" t="s">
        <v>423</v>
      </c>
      <c r="F58" s="436"/>
      <c r="G58" s="437">
        <v>28.86</v>
      </c>
      <c r="H58" s="437"/>
      <c r="I58" s="437">
        <v>29.78</v>
      </c>
      <c r="J58" s="437"/>
      <c r="K58" s="437">
        <v>27.23</v>
      </c>
    </row>
    <row r="59" spans="1:16" s="416" customFormat="1" ht="15.5" customHeight="1">
      <c r="B59" s="435" t="s">
        <v>464</v>
      </c>
      <c r="C59" s="445"/>
      <c r="E59" s="436" t="s">
        <v>423</v>
      </c>
      <c r="F59" s="436"/>
      <c r="G59" s="437">
        <v>11.08</v>
      </c>
      <c r="H59" s="437"/>
      <c r="I59" s="437">
        <v>11.41</v>
      </c>
      <c r="J59" s="437"/>
      <c r="K59" s="437">
        <v>10.85</v>
      </c>
    </row>
    <row r="60" spans="1:16" s="416" customFormat="1" ht="15.5" customHeight="1">
      <c r="B60" s="435" t="s">
        <v>465</v>
      </c>
      <c r="C60" s="445"/>
      <c r="E60" s="436" t="s">
        <v>423</v>
      </c>
      <c r="F60" s="436"/>
      <c r="G60" s="437">
        <v>16.75</v>
      </c>
      <c r="H60" s="437"/>
      <c r="I60" s="437">
        <v>16.989999999999998</v>
      </c>
      <c r="J60" s="437"/>
      <c r="K60" s="437">
        <v>16.329999999999998</v>
      </c>
    </row>
    <row r="61" spans="1:16" s="416" customFormat="1" ht="15.5" customHeight="1">
      <c r="B61" s="435" t="s">
        <v>466</v>
      </c>
      <c r="C61" s="445"/>
      <c r="E61" s="436" t="s">
        <v>423</v>
      </c>
      <c r="F61" s="436"/>
      <c r="G61" s="437">
        <v>15.51</v>
      </c>
      <c r="H61" s="437"/>
      <c r="I61" s="437">
        <v>15.77</v>
      </c>
      <c r="J61" s="437"/>
      <c r="K61" s="437">
        <v>15.2</v>
      </c>
    </row>
    <row r="62" spans="1:16" s="416" customFormat="1" ht="15.5" customHeight="1">
      <c r="B62" s="435" t="s">
        <v>467</v>
      </c>
      <c r="C62" s="445"/>
      <c r="E62" s="436" t="s">
        <v>423</v>
      </c>
      <c r="F62" s="436"/>
      <c r="G62" s="437">
        <v>37.44</v>
      </c>
      <c r="H62" s="437"/>
      <c r="I62" s="437">
        <v>38.880000000000003</v>
      </c>
      <c r="J62" s="437"/>
      <c r="K62" s="437">
        <v>37.44</v>
      </c>
    </row>
    <row r="63" spans="1:16" s="416" customFormat="1" ht="15.5" customHeight="1">
      <c r="B63" s="435" t="s">
        <v>468</v>
      </c>
      <c r="C63" s="445"/>
      <c r="E63" s="436" t="s">
        <v>423</v>
      </c>
      <c r="F63" s="436"/>
      <c r="G63" s="437">
        <v>35.32</v>
      </c>
      <c r="H63" s="437"/>
      <c r="I63" s="437">
        <v>37.03</v>
      </c>
      <c r="J63" s="437"/>
      <c r="K63" s="437">
        <v>35.57</v>
      </c>
    </row>
    <row r="64" spans="1:16" s="416" customFormat="1" ht="15.5" customHeight="1">
      <c r="B64" s="435" t="s">
        <v>469</v>
      </c>
      <c r="C64" s="445"/>
      <c r="E64" s="436" t="s">
        <v>423</v>
      </c>
      <c r="F64" s="436"/>
      <c r="G64" s="437">
        <v>13.59</v>
      </c>
      <c r="H64" s="437"/>
      <c r="I64" s="437">
        <v>13.82</v>
      </c>
      <c r="J64" s="437"/>
      <c r="K64" s="437">
        <v>13.26</v>
      </c>
    </row>
    <row r="65" spans="2:11" s="416" customFormat="1" ht="15.5" customHeight="1">
      <c r="B65" s="435" t="s">
        <v>470</v>
      </c>
      <c r="C65" s="445"/>
      <c r="E65" s="436" t="s">
        <v>423</v>
      </c>
      <c r="F65" s="436"/>
      <c r="G65" s="437">
        <v>12.03</v>
      </c>
      <c r="H65" s="437"/>
      <c r="I65" s="437">
        <v>12.19</v>
      </c>
      <c r="J65" s="437"/>
      <c r="K65" s="437">
        <v>11.65</v>
      </c>
    </row>
    <row r="66" spans="2:11" s="416" customFormat="1" ht="15.5" customHeight="1">
      <c r="B66" s="435" t="s">
        <v>471</v>
      </c>
      <c r="C66" s="445"/>
      <c r="E66" s="436" t="s">
        <v>423</v>
      </c>
      <c r="F66" s="436"/>
      <c r="G66" s="437">
        <v>20.81</v>
      </c>
      <c r="H66" s="437"/>
      <c r="I66" s="437">
        <v>20.2</v>
      </c>
      <c r="J66" s="437"/>
      <c r="K66" s="437">
        <v>18.98</v>
      </c>
    </row>
    <row r="67" spans="2:11" s="416" customFormat="1" ht="15.5" customHeight="1">
      <c r="B67" s="435" t="s">
        <v>472</v>
      </c>
      <c r="C67" s="445"/>
      <c r="E67" s="436" t="s">
        <v>423</v>
      </c>
      <c r="F67" s="436"/>
      <c r="G67" s="437">
        <v>9.82</v>
      </c>
      <c r="H67" s="437"/>
      <c r="I67" s="437">
        <v>10.28</v>
      </c>
      <c r="J67" s="437"/>
      <c r="K67" s="437">
        <v>10.36</v>
      </c>
    </row>
    <row r="68" spans="2:11" s="416" customFormat="1" ht="15.5" customHeight="1">
      <c r="B68" s="435" t="s">
        <v>473</v>
      </c>
      <c r="C68" s="445"/>
      <c r="E68" s="436" t="s">
        <v>423</v>
      </c>
      <c r="F68" s="436"/>
      <c r="G68" s="437">
        <v>36.97</v>
      </c>
      <c r="H68" s="437"/>
      <c r="I68" s="437">
        <v>37.9</v>
      </c>
      <c r="J68" s="437"/>
      <c r="K68" s="437">
        <v>37.840000000000003</v>
      </c>
    </row>
    <row r="69" spans="2:11" s="416" customFormat="1" ht="7" customHeight="1">
      <c r="B69" s="454"/>
      <c r="C69" s="445"/>
      <c r="E69" s="417"/>
      <c r="F69" s="417"/>
      <c r="G69" s="437"/>
      <c r="H69" s="437"/>
      <c r="I69" s="437"/>
      <c r="J69" s="437"/>
      <c r="K69" s="443"/>
    </row>
    <row r="70" spans="2:11" s="416" customFormat="1" ht="13.75" customHeight="1">
      <c r="B70" s="449" t="s">
        <v>474</v>
      </c>
      <c r="C70" s="445"/>
      <c r="E70" s="417"/>
      <c r="F70" s="417"/>
      <c r="G70" s="437"/>
      <c r="H70" s="437"/>
      <c r="I70" s="437"/>
      <c r="J70" s="437"/>
      <c r="K70" s="443"/>
    </row>
    <row r="71" spans="2:11" s="416" customFormat="1" ht="13.75" customHeight="1">
      <c r="B71" s="450" t="s">
        <v>475</v>
      </c>
      <c r="C71" s="445"/>
      <c r="E71" s="417"/>
      <c r="F71" s="417"/>
      <c r="G71" s="437"/>
      <c r="H71" s="437"/>
      <c r="I71" s="437"/>
      <c r="J71" s="437"/>
      <c r="K71" s="443"/>
    </row>
    <row r="72" spans="2:11" s="416" customFormat="1" ht="7" customHeight="1">
      <c r="B72" s="450"/>
      <c r="C72" s="445"/>
      <c r="E72" s="417"/>
      <c r="F72" s="417"/>
      <c r="G72" s="437"/>
      <c r="H72" s="437"/>
      <c r="I72" s="437"/>
      <c r="J72" s="437"/>
      <c r="K72" s="443"/>
    </row>
    <row r="73" spans="2:11" s="416" customFormat="1" ht="15.5" customHeight="1">
      <c r="B73" s="435" t="s">
        <v>476</v>
      </c>
      <c r="C73" s="445"/>
      <c r="E73" s="436" t="s">
        <v>423</v>
      </c>
      <c r="F73" s="436"/>
      <c r="G73" s="437">
        <v>34.14</v>
      </c>
      <c r="H73" s="437"/>
      <c r="I73" s="437">
        <v>34</v>
      </c>
      <c r="J73" s="437"/>
      <c r="K73" s="437">
        <v>32.450000000000003</v>
      </c>
    </row>
    <row r="74" spans="2:11" s="416" customFormat="1" ht="15.5" customHeight="1">
      <c r="B74" s="435" t="s">
        <v>477</v>
      </c>
      <c r="C74" s="445"/>
      <c r="E74" s="436" t="s">
        <v>423</v>
      </c>
      <c r="F74" s="436"/>
      <c r="G74" s="437">
        <v>30.83</v>
      </c>
      <c r="H74" s="437"/>
      <c r="I74" s="437">
        <v>31.23</v>
      </c>
      <c r="J74" s="437"/>
      <c r="K74" s="437">
        <v>30.89</v>
      </c>
    </row>
    <row r="75" spans="2:11" s="416" customFormat="1" ht="15.5" customHeight="1">
      <c r="B75" s="435" t="s">
        <v>478</v>
      </c>
      <c r="C75" s="445"/>
      <c r="E75" s="436" t="s">
        <v>423</v>
      </c>
      <c r="F75" s="436"/>
      <c r="G75" s="437">
        <v>32.69</v>
      </c>
      <c r="H75" s="437"/>
      <c r="I75" s="437">
        <v>33.43</v>
      </c>
      <c r="J75" s="437"/>
      <c r="K75" s="437">
        <v>32.950000000000003</v>
      </c>
    </row>
    <row r="76" spans="2:11" s="416" customFormat="1" ht="7" customHeight="1">
      <c r="B76" s="454"/>
      <c r="C76" s="445"/>
      <c r="E76" s="417"/>
      <c r="F76" s="417"/>
      <c r="G76" s="437"/>
      <c r="H76" s="437"/>
      <c r="I76" s="437"/>
      <c r="J76" s="437"/>
      <c r="K76" s="437"/>
    </row>
    <row r="77" spans="2:11" s="416" customFormat="1" ht="13.75" customHeight="1">
      <c r="B77" s="449" t="s">
        <v>479</v>
      </c>
      <c r="C77" s="445"/>
      <c r="E77" s="417"/>
      <c r="F77" s="417"/>
      <c r="G77" s="437"/>
      <c r="H77" s="437"/>
      <c r="I77" s="437"/>
      <c r="J77" s="437"/>
      <c r="K77" s="437"/>
    </row>
    <row r="78" spans="2:11" s="416" customFormat="1" ht="13.75" customHeight="1">
      <c r="B78" s="450" t="s">
        <v>388</v>
      </c>
      <c r="C78" s="445"/>
      <c r="E78" s="417"/>
      <c r="F78" s="417"/>
      <c r="G78" s="437"/>
      <c r="H78" s="437"/>
      <c r="I78" s="437"/>
      <c r="J78" s="437"/>
      <c r="K78" s="437"/>
    </row>
    <row r="79" spans="2:11" s="416" customFormat="1" ht="7" customHeight="1">
      <c r="B79" s="450"/>
      <c r="C79" s="445"/>
      <c r="E79" s="417"/>
      <c r="F79" s="417"/>
      <c r="G79" s="437"/>
      <c r="H79" s="437"/>
      <c r="I79" s="437"/>
      <c r="J79" s="437"/>
      <c r="K79" s="437"/>
    </row>
    <row r="80" spans="2:11" s="416" customFormat="1" ht="15.5" customHeight="1">
      <c r="B80" s="441" t="s">
        <v>480</v>
      </c>
      <c r="C80" s="445"/>
      <c r="E80" s="436" t="s">
        <v>481</v>
      </c>
      <c r="F80" s="436"/>
      <c r="G80" s="437">
        <v>3.23</v>
      </c>
      <c r="H80" s="437"/>
      <c r="I80" s="437">
        <v>3.51</v>
      </c>
      <c r="J80" s="437"/>
      <c r="K80" s="437">
        <v>3.68</v>
      </c>
    </row>
    <row r="81" spans="1:12" s="416" customFormat="1" ht="15.5" customHeight="1">
      <c r="B81" s="435" t="s">
        <v>482</v>
      </c>
      <c r="C81" s="445"/>
      <c r="E81" s="436" t="s">
        <v>483</v>
      </c>
      <c r="F81" s="436"/>
      <c r="G81" s="437">
        <v>1.69</v>
      </c>
      <c r="H81" s="437"/>
      <c r="I81" s="437">
        <v>1.84</v>
      </c>
      <c r="J81" s="437"/>
      <c r="K81" s="437">
        <v>1.98</v>
      </c>
    </row>
    <row r="82" spans="1:12" s="416" customFormat="1" ht="15.5" customHeight="1">
      <c r="B82" s="435" t="s">
        <v>484</v>
      </c>
      <c r="C82" s="445"/>
      <c r="E82" s="436" t="s">
        <v>483</v>
      </c>
      <c r="F82" s="436"/>
      <c r="G82" s="437">
        <v>5.83</v>
      </c>
      <c r="H82" s="437"/>
      <c r="I82" s="437">
        <v>6.29</v>
      </c>
      <c r="J82" s="437"/>
      <c r="K82" s="437">
        <v>6.64</v>
      </c>
    </row>
    <row r="83" spans="1:12" s="416" customFormat="1" ht="15.5" customHeight="1">
      <c r="B83" s="435" t="s">
        <v>485</v>
      </c>
      <c r="C83" s="445"/>
      <c r="E83" s="436" t="s">
        <v>483</v>
      </c>
      <c r="F83" s="436"/>
      <c r="G83" s="437">
        <v>5.86</v>
      </c>
      <c r="H83" s="437"/>
      <c r="I83" s="437">
        <v>6.36</v>
      </c>
      <c r="J83" s="437"/>
      <c r="K83" s="437">
        <v>6.73</v>
      </c>
    </row>
    <row r="84" spans="1:12" s="416" customFormat="1" ht="15.5" customHeight="1">
      <c r="B84" s="435" t="s">
        <v>486</v>
      </c>
      <c r="C84" s="445"/>
      <c r="E84" s="436" t="s">
        <v>483</v>
      </c>
      <c r="F84" s="436"/>
      <c r="G84" s="437">
        <v>5.8</v>
      </c>
      <c r="H84" s="437"/>
      <c r="I84" s="437">
        <v>6.3</v>
      </c>
      <c r="J84" s="437"/>
      <c r="K84" s="437">
        <v>6.66</v>
      </c>
    </row>
    <row r="85" spans="1:12" s="416" customFormat="1" ht="15.5" customHeight="1">
      <c r="B85" s="435" t="s">
        <v>487</v>
      </c>
      <c r="C85" s="445"/>
      <c r="E85" s="436" t="s">
        <v>483</v>
      </c>
      <c r="F85" s="436"/>
      <c r="G85" s="437">
        <v>9.69</v>
      </c>
      <c r="H85" s="437"/>
      <c r="I85" s="437">
        <v>10.6</v>
      </c>
      <c r="J85" s="437"/>
      <c r="K85" s="437">
        <v>11.05</v>
      </c>
    </row>
    <row r="86" spans="1:12" s="416" customFormat="1" ht="15.5" customHeight="1">
      <c r="B86" s="441" t="s">
        <v>488</v>
      </c>
      <c r="C86" s="445"/>
      <c r="E86" s="436" t="s">
        <v>489</v>
      </c>
      <c r="F86" s="436"/>
      <c r="G86" s="437">
        <v>1.32</v>
      </c>
      <c r="H86" s="437"/>
      <c r="I86" s="437">
        <v>1.47</v>
      </c>
      <c r="J86" s="437"/>
      <c r="K86" s="437">
        <v>1.54</v>
      </c>
    </row>
    <row r="87" spans="1:12" s="416" customFormat="1" ht="15.5" customHeight="1">
      <c r="B87" s="435" t="s">
        <v>490</v>
      </c>
      <c r="C87" s="445"/>
      <c r="E87" s="436" t="s">
        <v>491</v>
      </c>
      <c r="F87" s="436"/>
      <c r="G87" s="437" t="s">
        <v>437</v>
      </c>
      <c r="H87" s="437"/>
      <c r="I87" s="437" t="s">
        <v>437</v>
      </c>
      <c r="J87" s="437"/>
      <c r="K87" s="437">
        <v>1.56</v>
      </c>
    </row>
    <row r="88" spans="1:12" s="416" customFormat="1" ht="15.5" customHeight="1">
      <c r="B88" s="435" t="s">
        <v>492</v>
      </c>
      <c r="C88" s="445"/>
      <c r="E88" s="436" t="s">
        <v>493</v>
      </c>
      <c r="F88" s="436"/>
      <c r="G88" s="437">
        <v>0.93</v>
      </c>
      <c r="H88" s="437"/>
      <c r="I88" s="437">
        <v>1.03</v>
      </c>
      <c r="J88" s="437"/>
      <c r="K88" s="437">
        <v>1.0900000000000001</v>
      </c>
    </row>
    <row r="89" spans="1:12" s="416" customFormat="1" ht="15.5" customHeight="1">
      <c r="B89" s="435" t="s">
        <v>494</v>
      </c>
      <c r="C89" s="445"/>
      <c r="E89" s="436" t="s">
        <v>483</v>
      </c>
      <c r="F89" s="436"/>
      <c r="G89" s="437">
        <v>6.22</v>
      </c>
      <c r="H89" s="437"/>
      <c r="I89" s="437">
        <v>6.82</v>
      </c>
      <c r="J89" s="437"/>
      <c r="K89" s="437">
        <v>7.2</v>
      </c>
    </row>
    <row r="90" spans="1:12" s="416" customFormat="1" ht="15.5" customHeight="1">
      <c r="B90" s="441" t="s">
        <v>495</v>
      </c>
      <c r="C90" s="445"/>
      <c r="E90" s="436" t="s">
        <v>496</v>
      </c>
      <c r="F90" s="436"/>
      <c r="G90" s="437">
        <v>1.84</v>
      </c>
      <c r="H90" s="437"/>
      <c r="I90" s="437">
        <v>2.0099999999999998</v>
      </c>
      <c r="J90" s="437"/>
      <c r="K90" s="437">
        <v>2.14</v>
      </c>
    </row>
    <row r="91" spans="1:12" s="416" customFormat="1" ht="15.5" customHeight="1">
      <c r="B91" s="441" t="s">
        <v>497</v>
      </c>
      <c r="C91" s="445"/>
      <c r="E91" s="436" t="s">
        <v>496</v>
      </c>
      <c r="F91" s="436"/>
      <c r="G91" s="437">
        <v>1.52</v>
      </c>
      <c r="H91" s="437"/>
      <c r="I91" s="437">
        <v>1.64</v>
      </c>
      <c r="J91" s="437"/>
      <c r="K91" s="437">
        <v>1.78</v>
      </c>
    </row>
    <row r="92" spans="1:12" s="416" customFormat="1" ht="15.5" customHeight="1">
      <c r="B92" s="441" t="s">
        <v>498</v>
      </c>
      <c r="C92" s="445"/>
      <c r="E92" s="436" t="s">
        <v>496</v>
      </c>
      <c r="F92" s="436"/>
      <c r="G92" s="437">
        <v>1.43</v>
      </c>
      <c r="H92" s="437"/>
      <c r="I92" s="437">
        <v>1.55</v>
      </c>
      <c r="J92" s="437"/>
      <c r="K92" s="437">
        <v>1.67</v>
      </c>
    </row>
    <row r="93" spans="1:12" s="416" customFormat="1" ht="15.5" customHeight="1">
      <c r="B93" s="441" t="s">
        <v>499</v>
      </c>
      <c r="C93" s="445"/>
      <c r="E93" s="436" t="s">
        <v>496</v>
      </c>
      <c r="F93" s="436"/>
      <c r="G93" s="437">
        <v>2.2999999999999998</v>
      </c>
      <c r="H93" s="437"/>
      <c r="I93" s="437">
        <v>2.54</v>
      </c>
      <c r="J93" s="437"/>
      <c r="K93" s="437">
        <v>2.73</v>
      </c>
    </row>
    <row r="94" spans="1:12" s="405" customFormat="1" ht="7" customHeight="1" thickBot="1">
      <c r="A94" s="455"/>
      <c r="B94" s="455"/>
      <c r="C94" s="455"/>
      <c r="D94" s="455"/>
      <c r="E94" s="455"/>
      <c r="F94" s="456"/>
      <c r="G94" s="455"/>
      <c r="H94" s="457"/>
      <c r="I94" s="455"/>
      <c r="J94" s="457"/>
      <c r="K94" s="458"/>
    </row>
    <row r="95" spans="1:12" s="405" customFormat="1" ht="12" customHeight="1">
      <c r="F95" s="1322" t="s">
        <v>31</v>
      </c>
      <c r="G95" s="1322"/>
      <c r="H95" s="1322"/>
      <c r="I95" s="1322"/>
      <c r="J95" s="1322"/>
      <c r="K95" s="1322"/>
      <c r="L95" s="459"/>
    </row>
    <row r="96" spans="1:12" s="405" customFormat="1" ht="12" customHeight="1">
      <c r="F96" s="1323" t="s">
        <v>32</v>
      </c>
      <c r="G96" s="1323"/>
      <c r="H96" s="1323"/>
      <c r="I96" s="1323"/>
      <c r="J96" s="1323"/>
      <c r="K96" s="1323"/>
      <c r="L96" s="460"/>
    </row>
    <row r="97" spans="2:11" ht="12" customHeight="1">
      <c r="B97" s="174" t="s">
        <v>500</v>
      </c>
    </row>
    <row r="98" spans="2:11" ht="12" customHeight="1">
      <c r="B98" s="105" t="s">
        <v>501</v>
      </c>
    </row>
    <row r="99" spans="2:11" ht="12" customHeight="1">
      <c r="B99" s="461" t="s">
        <v>502</v>
      </c>
    </row>
    <row r="100" spans="2:11" ht="12" customHeight="1">
      <c r="B100" s="105" t="s">
        <v>503</v>
      </c>
    </row>
    <row r="101" spans="2:11" s="462" customFormat="1" ht="13.5" customHeight="1">
      <c r="B101" s="52" t="s">
        <v>504</v>
      </c>
      <c r="K101" s="463"/>
    </row>
  </sheetData>
  <mergeCells count="5">
    <mergeCell ref="C3:J4"/>
    <mergeCell ref="C5:J6"/>
    <mergeCell ref="B9:C11"/>
    <mergeCell ref="F95:K95"/>
    <mergeCell ref="F96:K96"/>
  </mergeCells>
  <conditionalFormatting sqref="C18:C35">
    <cfRule type="cellIs" dxfId="27" priority="2" stopIfTrue="1" operator="lessThan">
      <formula>0</formula>
    </cfRule>
  </conditionalFormatting>
  <conditionalFormatting sqref="D36:F39">
    <cfRule type="cellIs" dxfId="26" priority="1"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60" fitToWidth="0" fitToHeight="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F9DE5-FFC4-4A36-98D5-86E415FBAB22}">
  <sheetPr codeName="Sheet41"/>
  <dimension ref="A1:W957"/>
  <sheetViews>
    <sheetView view="pageBreakPreview" topLeftCell="A73" zoomScaleNormal="100" zoomScaleSheetLayoutView="100" workbookViewId="0">
      <selection activeCell="D60" sqref="D60"/>
    </sheetView>
  </sheetViews>
  <sheetFormatPr baseColWidth="10" defaultColWidth="14.5" defaultRowHeight="15.5" customHeight="1"/>
  <cols>
    <col min="1" max="1" width="0.83203125" style="405" customWidth="1"/>
    <col min="2" max="2" width="12.33203125" style="405" customWidth="1"/>
    <col min="3" max="3" width="43" style="405" customWidth="1"/>
    <col min="4" max="4" width="8.6640625" style="405" customWidth="1"/>
    <col min="5" max="5" width="13.5" style="405" customWidth="1"/>
    <col min="6" max="6" width="14.5" style="406" customWidth="1"/>
    <col min="7" max="7" width="6.6640625" style="405" customWidth="1"/>
    <col min="8" max="8" width="8.6640625" style="407" customWidth="1"/>
    <col min="9" max="9" width="3.6640625" style="405" customWidth="1"/>
    <col min="10" max="10" width="8.6640625" style="407" customWidth="1"/>
    <col min="11" max="11" width="3.6640625" style="405" customWidth="1"/>
    <col min="12" max="12" width="8.6640625" style="407" customWidth="1"/>
    <col min="13" max="13" width="2" style="405" customWidth="1"/>
    <col min="14" max="25" width="9.1640625" style="405" customWidth="1"/>
    <col min="26" max="16384" width="14.5" style="405"/>
  </cols>
  <sheetData>
    <row r="1" spans="1:23" ht="7.5" customHeight="1"/>
    <row r="2" spans="1:23" ht="7.5" customHeight="1"/>
    <row r="3" spans="1:23" ht="14.25" customHeight="1">
      <c r="A3" s="407"/>
      <c r="B3" s="409" t="s">
        <v>415</v>
      </c>
      <c r="C3" s="1318" t="s">
        <v>505</v>
      </c>
      <c r="D3" s="1318"/>
      <c r="E3" s="1318"/>
      <c r="F3" s="1318"/>
      <c r="G3" s="1318"/>
      <c r="H3" s="1318"/>
      <c r="I3" s="1318"/>
      <c r="J3" s="1318"/>
      <c r="L3" s="405"/>
    </row>
    <row r="4" spans="1:23" ht="3.5" customHeight="1">
      <c r="A4" s="407"/>
      <c r="B4" s="410"/>
      <c r="C4" s="1318"/>
      <c r="D4" s="1318"/>
      <c r="E4" s="1318"/>
      <c r="F4" s="1318"/>
      <c r="G4" s="1318"/>
      <c r="H4" s="1318"/>
      <c r="I4" s="1318"/>
      <c r="J4" s="1318"/>
      <c r="L4" s="405"/>
    </row>
    <row r="5" spans="1:23" ht="14.25" customHeight="1">
      <c r="B5" s="411" t="s">
        <v>417</v>
      </c>
      <c r="C5" s="1319" t="s">
        <v>506</v>
      </c>
      <c r="D5" s="1319"/>
      <c r="E5" s="1319"/>
      <c r="F5" s="1319"/>
      <c r="G5" s="1319"/>
      <c r="H5" s="1319"/>
      <c r="I5" s="1319"/>
      <c r="J5" s="1319"/>
      <c r="L5" s="405"/>
    </row>
    <row r="6" spans="1:23" ht="6.75" customHeight="1">
      <c r="B6" s="411"/>
      <c r="C6" s="1319"/>
      <c r="D6" s="1319"/>
      <c r="E6" s="1319"/>
      <c r="F6" s="1319"/>
      <c r="G6" s="1319"/>
      <c r="H6" s="1319"/>
      <c r="I6" s="1319"/>
      <c r="J6" s="1319"/>
      <c r="L6" s="405"/>
    </row>
    <row r="7" spans="1:23" ht="4.5" customHeight="1" thickBot="1">
      <c r="A7" s="412"/>
      <c r="B7" s="412"/>
      <c r="C7" s="412"/>
      <c r="D7" s="412"/>
      <c r="E7" s="412"/>
      <c r="F7" s="413"/>
      <c r="G7" s="412"/>
      <c r="H7" s="414"/>
      <c r="I7" s="412"/>
      <c r="J7" s="414"/>
      <c r="K7" s="412"/>
      <c r="L7" s="414"/>
      <c r="M7" s="412"/>
    </row>
    <row r="8" spans="1:23" s="416" customFormat="1" ht="5.25" customHeight="1">
      <c r="F8" s="417"/>
      <c r="H8" s="418"/>
      <c r="J8" s="418"/>
      <c r="L8" s="418"/>
    </row>
    <row r="9" spans="1:23" s="416" customFormat="1" ht="16" customHeight="1">
      <c r="A9" s="420"/>
      <c r="B9" s="1320" t="s">
        <v>419</v>
      </c>
      <c r="C9" s="1320"/>
      <c r="D9" s="421"/>
      <c r="E9" s="421"/>
      <c r="F9" s="421"/>
      <c r="G9" s="464"/>
      <c r="H9" s="422">
        <v>2022</v>
      </c>
      <c r="I9" s="422"/>
      <c r="J9" s="422">
        <v>2023</v>
      </c>
      <c r="K9" s="422"/>
      <c r="L9" s="423">
        <v>2024</v>
      </c>
      <c r="M9" s="438"/>
    </row>
    <row r="10" spans="1:23" s="416" customFormat="1" ht="5.25" customHeight="1">
      <c r="A10" s="420"/>
      <c r="B10" s="1320"/>
      <c r="C10" s="1320"/>
      <c r="D10" s="421"/>
      <c r="E10" s="421"/>
      <c r="F10" s="421"/>
      <c r="G10" s="421"/>
      <c r="H10" s="422"/>
      <c r="I10" s="421"/>
      <c r="J10" s="422"/>
      <c r="K10" s="421"/>
      <c r="L10" s="422"/>
      <c r="M10" s="438"/>
    </row>
    <row r="11" spans="1:23" s="416" customFormat="1" ht="10.5" customHeight="1" thickBot="1">
      <c r="A11" s="425"/>
      <c r="B11" s="1321"/>
      <c r="C11" s="1321"/>
      <c r="D11" s="426"/>
      <c r="E11" s="426"/>
      <c r="F11" s="427"/>
      <c r="G11" s="426"/>
      <c r="H11" s="426"/>
      <c r="I11" s="426"/>
      <c r="J11" s="426"/>
      <c r="K11" s="426"/>
      <c r="L11" s="426"/>
      <c r="M11" s="465"/>
    </row>
    <row r="12" spans="1:23" s="416" customFormat="1" ht="8" customHeight="1">
      <c r="B12" s="429"/>
      <c r="C12" s="424"/>
      <c r="D12" s="424"/>
      <c r="E12" s="424"/>
      <c r="F12" s="424"/>
      <c r="G12" s="430"/>
      <c r="H12" s="430"/>
      <c r="I12" s="430"/>
      <c r="J12" s="430"/>
      <c r="K12" s="430"/>
      <c r="L12" s="430"/>
    </row>
    <row r="13" spans="1:23" s="416" customFormat="1" ht="15.5" customHeight="1">
      <c r="B13" s="449" t="s">
        <v>507</v>
      </c>
      <c r="C13" s="445"/>
      <c r="E13" s="417"/>
      <c r="F13" s="417"/>
      <c r="G13" s="452"/>
      <c r="H13" s="440"/>
      <c r="I13" s="440"/>
      <c r="J13" s="440"/>
      <c r="K13" s="440"/>
      <c r="L13" s="440"/>
      <c r="M13" s="418"/>
    </row>
    <row r="14" spans="1:23" s="416" customFormat="1" ht="15.5" customHeight="1">
      <c r="B14" s="450" t="s">
        <v>508</v>
      </c>
      <c r="C14" s="445"/>
      <c r="E14" s="417"/>
      <c r="F14" s="417"/>
      <c r="G14" s="452"/>
      <c r="H14" s="440"/>
      <c r="I14" s="440"/>
      <c r="J14" s="440"/>
      <c r="K14" s="440"/>
      <c r="L14" s="440"/>
      <c r="M14" s="418"/>
    </row>
    <row r="15" spans="1:23" s="416" customFormat="1" ht="7" customHeight="1">
      <c r="B15" s="466"/>
      <c r="C15" s="445"/>
      <c r="E15" s="417"/>
      <c r="F15" s="417"/>
      <c r="G15" s="452"/>
      <c r="H15" s="440"/>
      <c r="I15" s="440"/>
      <c r="J15" s="440"/>
      <c r="K15" s="440"/>
      <c r="L15" s="440"/>
      <c r="M15" s="418"/>
    </row>
    <row r="16" spans="1:23" s="416" customFormat="1" ht="14.25" customHeight="1">
      <c r="B16" s="435" t="s">
        <v>509</v>
      </c>
      <c r="C16" s="445"/>
      <c r="E16" s="436" t="s">
        <v>510</v>
      </c>
      <c r="F16" s="436"/>
      <c r="G16" s="452"/>
      <c r="H16" s="437">
        <v>131.25</v>
      </c>
      <c r="I16" s="437"/>
      <c r="J16" s="437">
        <v>140.49</v>
      </c>
      <c r="K16" s="437"/>
      <c r="L16" s="437">
        <v>148.18</v>
      </c>
      <c r="M16" s="418"/>
      <c r="N16" s="467"/>
      <c r="O16" s="467"/>
      <c r="Q16" s="467"/>
      <c r="T16" s="467"/>
      <c r="U16" s="467"/>
      <c r="V16" s="467"/>
      <c r="W16" s="467"/>
    </row>
    <row r="17" spans="2:20" s="416" customFormat="1" ht="28.5" customHeight="1">
      <c r="B17" s="1324" t="s">
        <v>511</v>
      </c>
      <c r="C17" s="1324"/>
      <c r="E17" s="436" t="s">
        <v>512</v>
      </c>
      <c r="F17" s="436"/>
      <c r="G17" s="452"/>
      <c r="H17" s="437">
        <v>1457.43</v>
      </c>
      <c r="I17" s="437"/>
      <c r="J17" s="437">
        <v>1501.89</v>
      </c>
      <c r="K17" s="437"/>
      <c r="L17" s="437">
        <v>1475.55</v>
      </c>
      <c r="M17" s="418"/>
      <c r="N17" s="467"/>
      <c r="O17" s="467"/>
      <c r="Q17" s="467"/>
      <c r="T17" s="467"/>
    </row>
    <row r="18" spans="2:20" s="416" customFormat="1" ht="14.25" customHeight="1">
      <c r="B18" s="435" t="s">
        <v>513</v>
      </c>
      <c r="C18" s="445"/>
      <c r="E18" s="436" t="s">
        <v>512</v>
      </c>
      <c r="F18" s="436"/>
      <c r="G18" s="452"/>
      <c r="H18" s="437" t="s">
        <v>437</v>
      </c>
      <c r="I18" s="437"/>
      <c r="J18" s="437" t="s">
        <v>437</v>
      </c>
      <c r="K18" s="437"/>
      <c r="L18" s="437">
        <v>1242.04</v>
      </c>
      <c r="M18" s="418"/>
      <c r="N18" s="467"/>
      <c r="O18" s="467"/>
      <c r="Q18" s="467"/>
      <c r="T18" s="467"/>
    </row>
    <row r="19" spans="2:20" s="416" customFormat="1" ht="7" customHeight="1">
      <c r="B19" s="454"/>
      <c r="C19" s="445"/>
      <c r="E19" s="417"/>
      <c r="F19" s="417"/>
      <c r="G19" s="452"/>
      <c r="H19" s="437"/>
      <c r="I19" s="437"/>
      <c r="J19" s="437"/>
      <c r="K19" s="437"/>
      <c r="L19" s="437"/>
      <c r="M19" s="418"/>
      <c r="N19" s="467"/>
      <c r="O19" s="467"/>
      <c r="Q19" s="467"/>
      <c r="T19" s="467"/>
    </row>
    <row r="20" spans="2:20" s="416" customFormat="1" ht="15.5" customHeight="1">
      <c r="B20" s="431" t="s">
        <v>514</v>
      </c>
      <c r="C20" s="445"/>
      <c r="E20" s="417"/>
      <c r="F20" s="417"/>
      <c r="G20" s="452"/>
      <c r="H20" s="437"/>
      <c r="I20" s="437"/>
      <c r="J20" s="437"/>
      <c r="K20" s="437"/>
      <c r="L20" s="437"/>
      <c r="M20" s="418"/>
      <c r="N20" s="467"/>
      <c r="O20" s="467"/>
      <c r="Q20" s="467"/>
      <c r="T20" s="467"/>
    </row>
    <row r="21" spans="2:20" s="416" customFormat="1" ht="15.5" customHeight="1">
      <c r="B21" s="434" t="s">
        <v>515</v>
      </c>
      <c r="C21" s="445"/>
      <c r="E21" s="417"/>
      <c r="F21" s="417"/>
      <c r="G21" s="452"/>
      <c r="H21" s="437"/>
      <c r="I21" s="437"/>
      <c r="J21" s="437"/>
      <c r="K21" s="437"/>
      <c r="L21" s="437"/>
      <c r="M21" s="418"/>
      <c r="N21" s="467"/>
      <c r="O21" s="467"/>
      <c r="Q21" s="467"/>
      <c r="T21" s="467"/>
    </row>
    <row r="22" spans="2:20" s="416" customFormat="1" ht="7" customHeight="1">
      <c r="B22" s="434"/>
      <c r="C22" s="445"/>
      <c r="E22" s="417"/>
      <c r="F22" s="417"/>
      <c r="G22" s="452"/>
      <c r="H22" s="437"/>
      <c r="I22" s="437"/>
      <c r="J22" s="437"/>
      <c r="K22" s="437"/>
      <c r="L22" s="437"/>
      <c r="M22" s="418"/>
      <c r="N22" s="467"/>
      <c r="O22" s="467"/>
      <c r="Q22" s="467"/>
      <c r="T22" s="467"/>
    </row>
    <row r="23" spans="2:20" s="416" customFormat="1" ht="14.25" customHeight="1">
      <c r="B23" s="435" t="s">
        <v>516</v>
      </c>
      <c r="C23" s="445"/>
      <c r="E23" s="436" t="s">
        <v>517</v>
      </c>
      <c r="F23" s="436"/>
      <c r="G23" s="452"/>
      <c r="H23" s="437">
        <v>34.270000000000003</v>
      </c>
      <c r="I23" s="437"/>
      <c r="J23" s="437">
        <v>35.72</v>
      </c>
      <c r="K23" s="437"/>
      <c r="L23" s="437">
        <v>35.549999999999997</v>
      </c>
      <c r="M23" s="418"/>
      <c r="N23" s="467"/>
      <c r="O23" s="467"/>
      <c r="Q23" s="467"/>
      <c r="T23" s="467"/>
    </row>
    <row r="24" spans="2:20" s="416" customFormat="1" ht="14.25" customHeight="1">
      <c r="B24" s="435" t="s">
        <v>518</v>
      </c>
      <c r="C24" s="445"/>
      <c r="E24" s="436" t="s">
        <v>519</v>
      </c>
      <c r="F24" s="436"/>
      <c r="G24" s="452"/>
      <c r="H24" s="437" t="s">
        <v>437</v>
      </c>
      <c r="I24" s="437"/>
      <c r="J24" s="437" t="s">
        <v>437</v>
      </c>
      <c r="K24" s="437"/>
      <c r="L24" s="437">
        <v>11.46</v>
      </c>
      <c r="M24" s="418"/>
      <c r="N24" s="467"/>
      <c r="O24" s="467"/>
      <c r="Q24" s="467"/>
      <c r="T24" s="467"/>
    </row>
    <row r="25" spans="2:20" s="416" customFormat="1" ht="7" customHeight="1">
      <c r="B25" s="454"/>
      <c r="C25" s="445"/>
      <c r="E25" s="417"/>
      <c r="F25" s="417"/>
      <c r="G25" s="452"/>
      <c r="H25" s="437"/>
      <c r="I25" s="437"/>
      <c r="J25" s="437"/>
      <c r="K25" s="437"/>
      <c r="L25" s="437"/>
      <c r="M25" s="418"/>
      <c r="N25" s="467"/>
      <c r="O25" s="467"/>
      <c r="Q25" s="467"/>
      <c r="T25" s="467"/>
    </row>
    <row r="26" spans="2:20" s="416" customFormat="1" ht="15.5" customHeight="1">
      <c r="B26" s="431" t="s">
        <v>520</v>
      </c>
      <c r="C26" s="445"/>
      <c r="E26" s="417"/>
      <c r="F26" s="417"/>
      <c r="G26" s="452"/>
      <c r="H26" s="437"/>
      <c r="I26" s="437"/>
      <c r="J26" s="437"/>
      <c r="K26" s="437"/>
      <c r="L26" s="437"/>
      <c r="M26" s="418"/>
      <c r="N26" s="467"/>
      <c r="O26" s="467"/>
      <c r="Q26" s="467"/>
      <c r="T26" s="467"/>
    </row>
    <row r="27" spans="2:20" s="416" customFormat="1" ht="15.5" customHeight="1">
      <c r="B27" s="434" t="s">
        <v>521</v>
      </c>
      <c r="C27" s="445"/>
      <c r="E27" s="417"/>
      <c r="F27" s="417"/>
      <c r="G27" s="452"/>
      <c r="H27" s="437"/>
      <c r="I27" s="437"/>
      <c r="J27" s="437"/>
      <c r="K27" s="437"/>
      <c r="L27" s="437"/>
      <c r="M27" s="418"/>
      <c r="N27" s="467"/>
      <c r="O27" s="467"/>
      <c r="Q27" s="467"/>
      <c r="T27" s="467"/>
    </row>
    <row r="28" spans="2:20" s="416" customFormat="1" ht="7" customHeight="1">
      <c r="B28" s="431"/>
      <c r="C28" s="445"/>
      <c r="E28" s="417"/>
      <c r="F28" s="417"/>
      <c r="G28" s="452"/>
      <c r="H28" s="437"/>
      <c r="I28" s="437"/>
      <c r="J28" s="437"/>
      <c r="K28" s="437"/>
      <c r="L28" s="437"/>
      <c r="M28" s="418"/>
      <c r="N28" s="467"/>
      <c r="O28" s="467"/>
      <c r="Q28" s="467"/>
      <c r="T28" s="467"/>
    </row>
    <row r="29" spans="2:20" s="416" customFormat="1" ht="14.25" customHeight="1">
      <c r="B29" s="435" t="s">
        <v>522</v>
      </c>
      <c r="C29" s="445"/>
      <c r="E29" s="436" t="s">
        <v>523</v>
      </c>
      <c r="F29" s="436"/>
      <c r="G29" s="452"/>
      <c r="H29" s="437">
        <v>7.51</v>
      </c>
      <c r="I29" s="437"/>
      <c r="J29" s="437">
        <v>8.09</v>
      </c>
      <c r="K29" s="437"/>
      <c r="L29" s="437">
        <v>8.2200000000000006</v>
      </c>
      <c r="M29" s="418"/>
      <c r="N29" s="467"/>
      <c r="O29" s="467"/>
      <c r="Q29" s="467"/>
      <c r="T29" s="467"/>
    </row>
    <row r="30" spans="2:20" s="416" customFormat="1" ht="14.25" customHeight="1">
      <c r="B30" s="435" t="s">
        <v>524</v>
      </c>
      <c r="C30" s="445"/>
      <c r="E30" s="436" t="s">
        <v>525</v>
      </c>
      <c r="F30" s="436"/>
      <c r="G30" s="452"/>
      <c r="H30" s="437">
        <v>3.49</v>
      </c>
      <c r="I30" s="437"/>
      <c r="J30" s="437">
        <v>3.95</v>
      </c>
      <c r="K30" s="437"/>
      <c r="L30" s="437">
        <v>4</v>
      </c>
      <c r="M30" s="418"/>
      <c r="N30" s="467"/>
      <c r="O30" s="467"/>
      <c r="Q30" s="467"/>
      <c r="T30" s="467"/>
    </row>
    <row r="31" spans="2:20" s="416" customFormat="1" ht="14.25" customHeight="1">
      <c r="B31" s="435" t="s">
        <v>526</v>
      </c>
      <c r="C31" s="445"/>
      <c r="E31" s="436" t="s">
        <v>527</v>
      </c>
      <c r="F31" s="436"/>
      <c r="G31" s="452"/>
      <c r="H31" s="437">
        <v>25.79</v>
      </c>
      <c r="I31" s="437"/>
      <c r="J31" s="437">
        <v>27.67</v>
      </c>
      <c r="K31" s="437"/>
      <c r="L31" s="437">
        <v>28.85</v>
      </c>
      <c r="M31" s="418"/>
      <c r="N31" s="467"/>
      <c r="O31" s="467"/>
      <c r="Q31" s="467"/>
      <c r="T31" s="467"/>
    </row>
    <row r="32" spans="2:20" s="416" customFormat="1" ht="14.25" customHeight="1">
      <c r="B32" s="435" t="s">
        <v>528</v>
      </c>
      <c r="C32" s="445"/>
      <c r="E32" s="436" t="s">
        <v>529</v>
      </c>
      <c r="F32" s="436"/>
      <c r="G32" s="452"/>
      <c r="H32" s="437">
        <v>11.73</v>
      </c>
      <c r="I32" s="437"/>
      <c r="J32" s="437">
        <v>12.09</v>
      </c>
      <c r="K32" s="437"/>
      <c r="L32" s="437">
        <v>12.23</v>
      </c>
      <c r="M32" s="418"/>
      <c r="N32" s="467"/>
      <c r="O32" s="467"/>
      <c r="Q32" s="467"/>
      <c r="T32" s="467"/>
    </row>
    <row r="33" spans="2:20" s="416" customFormat="1" ht="7" customHeight="1">
      <c r="B33" s="454"/>
      <c r="C33" s="445"/>
      <c r="E33" s="417"/>
      <c r="F33" s="417"/>
      <c r="G33" s="452"/>
      <c r="H33" s="437"/>
      <c r="I33" s="437"/>
      <c r="J33" s="437"/>
      <c r="K33" s="437"/>
      <c r="L33" s="437"/>
      <c r="M33" s="418"/>
      <c r="N33" s="467"/>
      <c r="O33" s="467"/>
      <c r="Q33" s="467"/>
      <c r="T33" s="467"/>
    </row>
    <row r="34" spans="2:20" s="416" customFormat="1" ht="15.5" customHeight="1">
      <c r="B34" s="431" t="s">
        <v>530</v>
      </c>
      <c r="C34" s="445"/>
      <c r="E34" s="417"/>
      <c r="F34" s="417"/>
      <c r="G34" s="452"/>
      <c r="H34" s="437"/>
      <c r="I34" s="437"/>
      <c r="J34" s="437"/>
      <c r="K34" s="437"/>
      <c r="L34" s="437"/>
      <c r="M34" s="418"/>
      <c r="N34" s="467"/>
      <c r="O34" s="467"/>
      <c r="Q34" s="467"/>
      <c r="T34" s="467"/>
    </row>
    <row r="35" spans="2:20" s="416" customFormat="1" ht="15.5" customHeight="1">
      <c r="B35" s="434" t="s">
        <v>531</v>
      </c>
      <c r="C35" s="445"/>
      <c r="E35" s="417"/>
      <c r="F35" s="417"/>
      <c r="G35" s="452"/>
      <c r="H35" s="437"/>
      <c r="I35" s="437"/>
      <c r="J35" s="437"/>
      <c r="K35" s="437"/>
      <c r="L35" s="437"/>
      <c r="M35" s="418"/>
      <c r="N35" s="467"/>
      <c r="O35" s="467"/>
      <c r="Q35" s="467"/>
      <c r="T35" s="467"/>
    </row>
    <row r="36" spans="2:20" s="416" customFormat="1" ht="7" customHeight="1">
      <c r="B36" s="434"/>
      <c r="C36" s="445"/>
      <c r="E36" s="417"/>
      <c r="F36" s="417"/>
      <c r="G36" s="452"/>
      <c r="H36" s="437"/>
      <c r="I36" s="437"/>
      <c r="J36" s="437"/>
      <c r="K36" s="437"/>
      <c r="L36" s="437"/>
      <c r="M36" s="418"/>
      <c r="N36" s="467"/>
      <c r="O36" s="467"/>
      <c r="Q36" s="467"/>
      <c r="T36" s="467"/>
    </row>
    <row r="37" spans="2:20" s="416" customFormat="1" ht="14.25" customHeight="1">
      <c r="B37" s="435" t="s">
        <v>532</v>
      </c>
      <c r="C37" s="445"/>
      <c r="E37" s="436" t="s">
        <v>533</v>
      </c>
      <c r="F37" s="436"/>
      <c r="G37" s="452"/>
      <c r="H37" s="437">
        <v>6.87</v>
      </c>
      <c r="I37" s="437"/>
      <c r="J37" s="437">
        <v>7.07</v>
      </c>
      <c r="K37" s="437"/>
      <c r="L37" s="437">
        <v>7.86</v>
      </c>
      <c r="M37" s="418"/>
      <c r="N37" s="467"/>
      <c r="O37" s="467"/>
      <c r="Q37" s="467"/>
      <c r="T37" s="467"/>
    </row>
    <row r="38" spans="2:20" s="416" customFormat="1" ht="14.25" customHeight="1">
      <c r="B38" s="441" t="s">
        <v>534</v>
      </c>
      <c r="C38" s="445"/>
      <c r="E38" s="436" t="s">
        <v>535</v>
      </c>
      <c r="F38" s="436"/>
      <c r="G38" s="452"/>
      <c r="H38" s="437">
        <v>4.93</v>
      </c>
      <c r="I38" s="437"/>
      <c r="J38" s="437">
        <v>5.15</v>
      </c>
      <c r="K38" s="437"/>
      <c r="L38" s="437">
        <v>5.21</v>
      </c>
      <c r="M38" s="418"/>
      <c r="N38" s="467"/>
      <c r="O38" s="467"/>
      <c r="Q38" s="467"/>
      <c r="T38" s="467"/>
    </row>
    <row r="39" spans="2:20" s="416" customFormat="1" ht="7" customHeight="1">
      <c r="B39" s="454"/>
      <c r="C39" s="445"/>
      <c r="E39" s="417"/>
      <c r="F39" s="417"/>
      <c r="G39" s="452"/>
      <c r="H39" s="437"/>
      <c r="I39" s="437"/>
      <c r="J39" s="437"/>
      <c r="K39" s="437"/>
      <c r="L39" s="437"/>
      <c r="M39" s="418"/>
      <c r="N39" s="467"/>
      <c r="O39" s="467"/>
      <c r="Q39" s="467"/>
      <c r="T39" s="467"/>
    </row>
    <row r="40" spans="2:20" s="416" customFormat="1" ht="15.5" customHeight="1">
      <c r="B40" s="431" t="s">
        <v>536</v>
      </c>
      <c r="C40" s="445"/>
      <c r="E40" s="417"/>
      <c r="F40" s="417"/>
      <c r="G40" s="452"/>
      <c r="H40" s="437"/>
      <c r="I40" s="437"/>
      <c r="J40" s="437"/>
      <c r="K40" s="437"/>
      <c r="L40" s="437"/>
      <c r="M40" s="418"/>
      <c r="N40" s="467"/>
      <c r="O40" s="467"/>
      <c r="Q40" s="467"/>
      <c r="T40" s="467"/>
    </row>
    <row r="41" spans="2:20" s="416" customFormat="1" ht="15.5" customHeight="1">
      <c r="B41" s="434" t="s">
        <v>537</v>
      </c>
      <c r="C41" s="445"/>
      <c r="E41" s="417"/>
      <c r="F41" s="417"/>
      <c r="G41" s="452"/>
      <c r="H41" s="437"/>
      <c r="I41" s="437"/>
      <c r="J41" s="437"/>
      <c r="K41" s="437"/>
      <c r="L41" s="437"/>
      <c r="M41" s="418"/>
      <c r="N41" s="467"/>
      <c r="O41" s="467"/>
      <c r="Q41" s="467"/>
      <c r="T41" s="467"/>
    </row>
    <row r="42" spans="2:20" s="416" customFormat="1" ht="7" customHeight="1">
      <c r="B42" s="431"/>
      <c r="C42" s="445"/>
      <c r="E42" s="417"/>
      <c r="F42" s="417"/>
      <c r="G42" s="452"/>
      <c r="H42" s="437"/>
      <c r="I42" s="437"/>
      <c r="J42" s="437"/>
      <c r="K42" s="437"/>
      <c r="L42" s="437"/>
      <c r="M42" s="418"/>
      <c r="N42" s="467"/>
      <c r="O42" s="467"/>
      <c r="Q42" s="467"/>
      <c r="T42" s="467"/>
    </row>
    <row r="43" spans="2:20" s="416" customFormat="1" ht="14.25" customHeight="1">
      <c r="B43" s="435" t="s">
        <v>538</v>
      </c>
      <c r="C43" s="445"/>
      <c r="E43" s="436" t="s">
        <v>539</v>
      </c>
      <c r="F43" s="436"/>
      <c r="G43" s="452"/>
      <c r="H43" s="437">
        <v>8.5299999999999994</v>
      </c>
      <c r="I43" s="437"/>
      <c r="J43" s="437">
        <v>9.31</v>
      </c>
      <c r="K43" s="437"/>
      <c r="L43" s="437">
        <v>9.61</v>
      </c>
      <c r="M43" s="418"/>
      <c r="N43" s="467"/>
      <c r="O43" s="467"/>
      <c r="Q43" s="467"/>
      <c r="T43" s="467"/>
    </row>
    <row r="44" spans="2:20" s="416" customFormat="1" ht="14.25" customHeight="1">
      <c r="B44" s="435" t="s">
        <v>540</v>
      </c>
      <c r="C44" s="445"/>
      <c r="E44" s="436" t="s">
        <v>541</v>
      </c>
      <c r="F44" s="436"/>
      <c r="G44" s="452"/>
      <c r="H44" s="437">
        <v>26.06</v>
      </c>
      <c r="I44" s="437"/>
      <c r="J44" s="437">
        <v>24.08</v>
      </c>
      <c r="K44" s="437"/>
      <c r="L44" s="437">
        <v>22.35</v>
      </c>
      <c r="M44" s="418"/>
      <c r="N44" s="467"/>
      <c r="O44" s="467"/>
      <c r="Q44" s="467"/>
      <c r="T44" s="467"/>
    </row>
    <row r="45" spans="2:20" s="416" customFormat="1" ht="14.25" customHeight="1">
      <c r="B45" s="435" t="s">
        <v>542</v>
      </c>
      <c r="C45" s="445"/>
      <c r="E45" s="436" t="s">
        <v>543</v>
      </c>
      <c r="F45" s="436"/>
      <c r="G45" s="452"/>
      <c r="H45" s="437">
        <v>31.1</v>
      </c>
      <c r="I45" s="437"/>
      <c r="J45" s="437">
        <v>30.53</v>
      </c>
      <c r="K45" s="437"/>
      <c r="L45" s="437">
        <v>30.05</v>
      </c>
      <c r="M45" s="418"/>
      <c r="N45" s="467"/>
      <c r="O45" s="467"/>
      <c r="Q45" s="467"/>
      <c r="T45" s="467"/>
    </row>
    <row r="46" spans="2:20" s="416" customFormat="1" ht="14.25" customHeight="1">
      <c r="B46" s="435" t="s">
        <v>540</v>
      </c>
      <c r="C46" s="445"/>
      <c r="E46" s="436" t="s">
        <v>544</v>
      </c>
      <c r="F46" s="436"/>
      <c r="G46" s="452"/>
      <c r="H46" s="437">
        <v>7.04</v>
      </c>
      <c r="I46" s="437"/>
      <c r="J46" s="437">
        <v>6.89</v>
      </c>
      <c r="K46" s="437"/>
      <c r="L46" s="437">
        <v>6.98</v>
      </c>
      <c r="M46" s="418"/>
      <c r="N46" s="467"/>
      <c r="O46" s="467"/>
      <c r="Q46" s="467"/>
      <c r="T46" s="467"/>
    </row>
    <row r="47" spans="2:20" s="416" customFormat="1" ht="7" customHeight="1">
      <c r="B47" s="454"/>
      <c r="C47" s="445"/>
      <c r="E47" s="417"/>
      <c r="F47" s="417"/>
      <c r="G47" s="452"/>
      <c r="H47" s="437"/>
      <c r="I47" s="437"/>
      <c r="J47" s="437"/>
      <c r="K47" s="437"/>
      <c r="L47" s="437"/>
      <c r="M47" s="418"/>
      <c r="N47" s="467"/>
      <c r="O47" s="467"/>
      <c r="Q47" s="467"/>
      <c r="T47" s="467"/>
    </row>
    <row r="48" spans="2:20" s="416" customFormat="1" ht="15.5" customHeight="1">
      <c r="B48" s="431" t="s">
        <v>545</v>
      </c>
      <c r="C48" s="445"/>
      <c r="E48" s="417"/>
      <c r="F48" s="417"/>
      <c r="G48" s="452"/>
      <c r="H48" s="437"/>
      <c r="I48" s="437"/>
      <c r="J48" s="437"/>
      <c r="K48" s="437"/>
      <c r="L48" s="437"/>
      <c r="M48" s="418"/>
      <c r="N48" s="467"/>
      <c r="O48" s="467"/>
      <c r="Q48" s="467"/>
      <c r="T48" s="467"/>
    </row>
    <row r="49" spans="2:20" s="416" customFormat="1" ht="15.5" customHeight="1">
      <c r="B49" s="434" t="s">
        <v>546</v>
      </c>
      <c r="C49" s="445"/>
      <c r="E49" s="417"/>
      <c r="F49" s="417"/>
      <c r="G49" s="452"/>
      <c r="H49" s="437"/>
      <c r="I49" s="437"/>
      <c r="J49" s="437"/>
      <c r="K49" s="437"/>
      <c r="L49" s="437"/>
      <c r="M49" s="418"/>
      <c r="N49" s="467"/>
      <c r="O49" s="467"/>
      <c r="Q49" s="467"/>
      <c r="T49" s="467"/>
    </row>
    <row r="50" spans="2:20" s="416" customFormat="1" ht="7" customHeight="1">
      <c r="B50" s="434"/>
      <c r="C50" s="445"/>
      <c r="E50" s="417"/>
      <c r="F50" s="417"/>
      <c r="G50" s="452"/>
      <c r="H50" s="437"/>
      <c r="I50" s="437"/>
      <c r="J50" s="437"/>
      <c r="K50" s="437"/>
      <c r="L50" s="437"/>
      <c r="M50" s="418"/>
      <c r="N50" s="467"/>
      <c r="O50" s="467"/>
      <c r="Q50" s="467"/>
      <c r="T50" s="467"/>
    </row>
    <row r="51" spans="2:20" s="416" customFormat="1" ht="14.25" customHeight="1">
      <c r="B51" s="435" t="s">
        <v>547</v>
      </c>
      <c r="C51" s="445"/>
      <c r="E51" s="436" t="s">
        <v>548</v>
      </c>
      <c r="F51" s="436"/>
      <c r="G51" s="452"/>
      <c r="H51" s="437">
        <v>26.37</v>
      </c>
      <c r="I51" s="437"/>
      <c r="J51" s="437">
        <v>28.57</v>
      </c>
      <c r="K51" s="437"/>
      <c r="L51" s="437">
        <v>36.5</v>
      </c>
      <c r="M51" s="418"/>
      <c r="N51" s="467"/>
      <c r="O51" s="467"/>
      <c r="Q51" s="467"/>
      <c r="T51" s="467"/>
    </row>
    <row r="52" spans="2:20" s="416" customFormat="1" ht="14.25" customHeight="1">
      <c r="B52" s="435" t="s">
        <v>549</v>
      </c>
      <c r="C52" s="445"/>
      <c r="E52" s="436" t="s">
        <v>428</v>
      </c>
      <c r="F52" s="436"/>
      <c r="G52" s="452"/>
      <c r="H52" s="437">
        <v>4.6900000000000004</v>
      </c>
      <c r="I52" s="437"/>
      <c r="J52" s="437">
        <v>5.0999999999999996</v>
      </c>
      <c r="K52" s="437"/>
      <c r="L52" s="437">
        <v>5.22</v>
      </c>
      <c r="M52" s="418"/>
      <c r="N52" s="467"/>
      <c r="O52" s="467"/>
      <c r="Q52" s="467"/>
      <c r="T52" s="467"/>
    </row>
    <row r="53" spans="2:20" s="416" customFormat="1" ht="14.25" customHeight="1">
      <c r="B53" s="435" t="s">
        <v>550</v>
      </c>
      <c r="C53" s="445"/>
      <c r="E53" s="436" t="s">
        <v>551</v>
      </c>
      <c r="F53" s="436"/>
      <c r="G53" s="452"/>
      <c r="H53" s="437">
        <v>3.65</v>
      </c>
      <c r="I53" s="437"/>
      <c r="J53" s="437">
        <v>3.84</v>
      </c>
      <c r="K53" s="437"/>
      <c r="L53" s="437">
        <v>3.88</v>
      </c>
      <c r="M53" s="418"/>
      <c r="N53" s="467"/>
      <c r="O53" s="467"/>
      <c r="Q53" s="467"/>
      <c r="T53" s="467"/>
    </row>
    <row r="54" spans="2:20" s="416" customFormat="1" ht="7" customHeight="1">
      <c r="B54" s="454"/>
      <c r="C54" s="445"/>
      <c r="E54" s="417"/>
      <c r="F54" s="417"/>
      <c r="G54" s="452"/>
      <c r="H54" s="437"/>
      <c r="I54" s="437"/>
      <c r="J54" s="437"/>
      <c r="K54" s="437"/>
      <c r="L54" s="437"/>
      <c r="M54" s="418"/>
      <c r="N54" s="467"/>
      <c r="O54" s="467"/>
      <c r="Q54" s="467"/>
      <c r="T54" s="467"/>
    </row>
    <row r="55" spans="2:20" s="416" customFormat="1" ht="15.5" customHeight="1">
      <c r="B55" s="468" t="s">
        <v>552</v>
      </c>
      <c r="C55" s="445"/>
      <c r="E55" s="417"/>
      <c r="F55" s="417"/>
      <c r="G55" s="452"/>
      <c r="H55" s="437"/>
      <c r="I55" s="432"/>
      <c r="J55" s="437"/>
      <c r="K55" s="437"/>
      <c r="L55" s="437"/>
      <c r="M55" s="418"/>
      <c r="N55" s="467"/>
      <c r="O55" s="467"/>
      <c r="Q55" s="467"/>
      <c r="T55" s="467"/>
    </row>
    <row r="56" spans="2:20" s="416" customFormat="1" ht="15.5" customHeight="1">
      <c r="B56" s="469" t="s">
        <v>553</v>
      </c>
      <c r="C56" s="445"/>
      <c r="E56" s="417"/>
      <c r="F56" s="417"/>
      <c r="G56" s="452"/>
      <c r="H56" s="437"/>
      <c r="I56" s="432"/>
      <c r="J56" s="437"/>
      <c r="K56" s="437"/>
      <c r="L56" s="437"/>
      <c r="M56" s="418"/>
      <c r="N56" s="467"/>
      <c r="O56" s="467"/>
      <c r="P56" s="467"/>
      <c r="Q56" s="467"/>
      <c r="R56" s="467"/>
      <c r="S56" s="467"/>
      <c r="T56" s="467"/>
    </row>
    <row r="57" spans="2:20" s="416" customFormat="1" ht="7" customHeight="1">
      <c r="B57" s="470"/>
      <c r="C57" s="445"/>
      <c r="E57" s="417"/>
      <c r="F57" s="417"/>
      <c r="G57" s="452"/>
      <c r="H57" s="437"/>
      <c r="I57" s="432"/>
      <c r="J57" s="437"/>
      <c r="K57" s="437"/>
      <c r="L57" s="437"/>
      <c r="M57" s="418"/>
      <c r="N57" s="467"/>
      <c r="O57" s="467"/>
      <c r="P57" s="467"/>
      <c r="Q57" s="467"/>
      <c r="R57" s="467"/>
      <c r="S57" s="467"/>
      <c r="T57" s="467"/>
    </row>
    <row r="58" spans="2:20" s="416" customFormat="1" ht="14.25" customHeight="1">
      <c r="B58" s="435" t="s">
        <v>554</v>
      </c>
      <c r="C58" s="445"/>
      <c r="E58" s="436" t="s">
        <v>525</v>
      </c>
      <c r="F58" s="436"/>
      <c r="G58" s="452"/>
      <c r="H58" s="437">
        <v>4.1900000000000004</v>
      </c>
      <c r="I58" s="437"/>
      <c r="J58" s="437">
        <v>4.82</v>
      </c>
      <c r="K58" s="437"/>
      <c r="L58" s="437">
        <v>5.08</v>
      </c>
      <c r="M58" s="418"/>
      <c r="N58" s="467"/>
      <c r="O58" s="467"/>
      <c r="P58" s="467"/>
      <c r="Q58" s="467"/>
      <c r="R58" s="467"/>
      <c r="S58" s="467"/>
      <c r="T58" s="467"/>
    </row>
    <row r="59" spans="2:20" s="416" customFormat="1" ht="14.25" customHeight="1">
      <c r="B59" s="435" t="s">
        <v>554</v>
      </c>
      <c r="C59" s="445"/>
      <c r="E59" s="436" t="s">
        <v>555</v>
      </c>
      <c r="F59" s="436"/>
      <c r="G59" s="452"/>
      <c r="H59" s="437">
        <v>4.6399999999999997</v>
      </c>
      <c r="I59" s="437"/>
      <c r="J59" s="437">
        <v>5.13</v>
      </c>
      <c r="K59" s="437"/>
      <c r="L59" s="437">
        <v>5.13</v>
      </c>
      <c r="M59" s="418"/>
      <c r="N59" s="467"/>
      <c r="O59" s="467"/>
      <c r="P59" s="467"/>
      <c r="Q59" s="467"/>
      <c r="R59" s="467"/>
      <c r="S59" s="467"/>
      <c r="T59" s="467"/>
    </row>
    <row r="60" spans="2:20" s="416" customFormat="1" ht="14.25" customHeight="1">
      <c r="B60" s="435" t="s">
        <v>556</v>
      </c>
      <c r="C60" s="445"/>
      <c r="E60" s="436" t="s">
        <v>557</v>
      </c>
      <c r="F60" s="436"/>
      <c r="G60" s="452"/>
      <c r="H60" s="437">
        <v>5.67</v>
      </c>
      <c r="I60" s="437"/>
      <c r="J60" s="437">
        <v>5.89</v>
      </c>
      <c r="K60" s="437"/>
      <c r="L60" s="437">
        <v>6.34</v>
      </c>
      <c r="M60" s="418"/>
      <c r="N60" s="467"/>
      <c r="O60" s="467"/>
      <c r="P60" s="467"/>
      <c r="Q60" s="467"/>
      <c r="R60" s="467"/>
      <c r="S60" s="467"/>
      <c r="T60" s="467"/>
    </row>
    <row r="61" spans="2:20" s="416" customFormat="1" ht="14.25" customHeight="1">
      <c r="B61" s="435" t="s">
        <v>558</v>
      </c>
      <c r="C61" s="445"/>
      <c r="E61" s="436" t="s">
        <v>559</v>
      </c>
      <c r="F61" s="436"/>
      <c r="G61" s="452"/>
      <c r="H61" s="437">
        <v>4.16</v>
      </c>
      <c r="I61" s="437"/>
      <c r="J61" s="437">
        <v>4.4000000000000004</v>
      </c>
      <c r="K61" s="437"/>
      <c r="L61" s="437">
        <v>4.87</v>
      </c>
      <c r="M61" s="418"/>
      <c r="N61" s="467"/>
      <c r="O61" s="467"/>
      <c r="P61" s="467"/>
      <c r="Q61" s="467"/>
      <c r="R61" s="467"/>
      <c r="S61" s="467"/>
      <c r="T61" s="467"/>
    </row>
    <row r="62" spans="2:20" s="416" customFormat="1" ht="14.25" customHeight="1">
      <c r="B62" s="435" t="s">
        <v>560</v>
      </c>
      <c r="C62" s="445"/>
      <c r="E62" s="436" t="s">
        <v>561</v>
      </c>
      <c r="F62" s="436"/>
      <c r="G62" s="452"/>
      <c r="H62" s="437">
        <v>3.65</v>
      </c>
      <c r="I62" s="437"/>
      <c r="J62" s="437">
        <v>3.94</v>
      </c>
      <c r="K62" s="437"/>
      <c r="L62" s="437">
        <v>4.21</v>
      </c>
      <c r="M62" s="418"/>
      <c r="N62" s="467"/>
      <c r="O62" s="467"/>
      <c r="P62" s="467"/>
      <c r="Q62" s="467"/>
      <c r="R62" s="467"/>
      <c r="S62" s="467"/>
      <c r="T62" s="467"/>
    </row>
    <row r="63" spans="2:20" s="416" customFormat="1" ht="14.25" customHeight="1">
      <c r="B63" s="435" t="s">
        <v>562</v>
      </c>
      <c r="C63" s="445"/>
      <c r="E63" s="436" t="s">
        <v>563</v>
      </c>
      <c r="F63" s="436"/>
      <c r="G63" s="452"/>
      <c r="H63" s="437" t="s">
        <v>437</v>
      </c>
      <c r="I63" s="437"/>
      <c r="J63" s="437" t="s">
        <v>437</v>
      </c>
      <c r="K63" s="437"/>
      <c r="L63" s="437">
        <v>7.97</v>
      </c>
      <c r="M63" s="418"/>
      <c r="N63" s="467"/>
      <c r="O63" s="467"/>
      <c r="P63" s="467"/>
      <c r="Q63" s="467"/>
      <c r="R63" s="467"/>
      <c r="S63" s="467"/>
      <c r="T63" s="467"/>
    </row>
    <row r="64" spans="2:20" s="416" customFormat="1" ht="14.25" customHeight="1">
      <c r="B64" s="435" t="s">
        <v>564</v>
      </c>
      <c r="C64" s="445"/>
      <c r="E64" s="436" t="s">
        <v>565</v>
      </c>
      <c r="F64" s="436"/>
      <c r="G64" s="452"/>
      <c r="H64" s="437">
        <v>6.93</v>
      </c>
      <c r="I64" s="437"/>
      <c r="J64" s="437">
        <v>7.09</v>
      </c>
      <c r="K64" s="437"/>
      <c r="L64" s="437">
        <v>7.19</v>
      </c>
      <c r="M64" s="418"/>
      <c r="N64" s="467"/>
      <c r="O64" s="467"/>
      <c r="P64" s="467"/>
      <c r="Q64" s="467"/>
      <c r="R64" s="467"/>
      <c r="S64" s="467"/>
      <c r="T64" s="467"/>
    </row>
    <row r="65" spans="2:20" s="416" customFormat="1" ht="14.25" customHeight="1">
      <c r="B65" s="435" t="s">
        <v>566</v>
      </c>
      <c r="C65" s="445"/>
      <c r="E65" s="436" t="s">
        <v>567</v>
      </c>
      <c r="F65" s="436"/>
      <c r="G65" s="452"/>
      <c r="H65" s="437">
        <v>1.93</v>
      </c>
      <c r="I65" s="437"/>
      <c r="J65" s="437">
        <v>2.12</v>
      </c>
      <c r="K65" s="437"/>
      <c r="L65" s="437">
        <v>2.31</v>
      </c>
      <c r="M65" s="418"/>
      <c r="N65" s="467"/>
      <c r="O65" s="467"/>
      <c r="P65" s="467"/>
      <c r="Q65" s="467"/>
      <c r="R65" s="467"/>
      <c r="S65" s="467"/>
      <c r="T65" s="467"/>
    </row>
    <row r="66" spans="2:20" s="416" customFormat="1" ht="14.25" customHeight="1">
      <c r="B66" s="435" t="s">
        <v>568</v>
      </c>
      <c r="C66" s="445"/>
      <c r="E66" s="436" t="s">
        <v>569</v>
      </c>
      <c r="F66" s="436"/>
      <c r="G66" s="452"/>
      <c r="H66" s="437">
        <v>5.21</v>
      </c>
      <c r="I66" s="437"/>
      <c r="J66" s="437">
        <v>5.35</v>
      </c>
      <c r="K66" s="437"/>
      <c r="L66" s="437">
        <v>5.67</v>
      </c>
      <c r="M66" s="418"/>
      <c r="N66" s="467"/>
      <c r="O66" s="467"/>
      <c r="P66" s="467"/>
      <c r="Q66" s="467"/>
      <c r="R66" s="467"/>
      <c r="S66" s="467"/>
      <c r="T66" s="467"/>
    </row>
    <row r="67" spans="2:20" s="416" customFormat="1" ht="14.25" customHeight="1">
      <c r="B67" s="435" t="s">
        <v>566</v>
      </c>
      <c r="C67" s="445"/>
      <c r="E67" s="436" t="s">
        <v>570</v>
      </c>
      <c r="F67" s="436"/>
      <c r="G67" s="452"/>
      <c r="H67" s="437">
        <v>9.64</v>
      </c>
      <c r="I67" s="437"/>
      <c r="J67" s="437">
        <v>10.199999999999999</v>
      </c>
      <c r="K67" s="437"/>
      <c r="L67" s="437">
        <v>10.45</v>
      </c>
      <c r="M67" s="418"/>
      <c r="N67" s="467"/>
      <c r="O67" s="467"/>
      <c r="P67" s="467"/>
      <c r="Q67" s="467"/>
      <c r="R67" s="467"/>
      <c r="S67" s="467"/>
      <c r="T67" s="467"/>
    </row>
    <row r="68" spans="2:20" s="416" customFormat="1" ht="7" customHeight="1">
      <c r="B68" s="454"/>
      <c r="C68" s="445"/>
      <c r="E68" s="417"/>
      <c r="F68" s="417"/>
      <c r="G68" s="452"/>
      <c r="H68" s="437"/>
      <c r="I68" s="437"/>
      <c r="J68" s="437"/>
      <c r="K68" s="437"/>
      <c r="L68" s="437"/>
      <c r="M68" s="418"/>
      <c r="N68" s="467"/>
      <c r="O68" s="467"/>
      <c r="P68" s="467"/>
      <c r="Q68" s="467"/>
      <c r="R68" s="467"/>
      <c r="S68" s="467"/>
      <c r="T68" s="467"/>
    </row>
    <row r="69" spans="2:20" s="416" customFormat="1" ht="15.5" customHeight="1">
      <c r="B69" s="431" t="s">
        <v>571</v>
      </c>
      <c r="C69" s="445"/>
      <c r="E69" s="417"/>
      <c r="F69" s="417"/>
      <c r="G69" s="440"/>
      <c r="H69" s="437"/>
      <c r="I69" s="437"/>
      <c r="J69" s="437"/>
      <c r="K69" s="437"/>
      <c r="L69" s="437"/>
      <c r="N69" s="467"/>
      <c r="O69" s="467"/>
      <c r="P69" s="467"/>
      <c r="Q69" s="467"/>
      <c r="R69" s="467"/>
      <c r="S69" s="467"/>
      <c r="T69" s="467"/>
    </row>
    <row r="70" spans="2:20" s="416" customFormat="1" ht="15.5" customHeight="1">
      <c r="B70" s="434" t="s">
        <v>572</v>
      </c>
      <c r="C70" s="445"/>
      <c r="E70" s="417"/>
      <c r="F70" s="417"/>
      <c r="G70" s="440"/>
      <c r="H70" s="437"/>
      <c r="I70" s="437"/>
      <c r="J70" s="437"/>
      <c r="K70" s="437"/>
      <c r="L70" s="437"/>
      <c r="N70" s="467"/>
      <c r="O70" s="467"/>
      <c r="P70" s="467"/>
      <c r="Q70" s="467"/>
      <c r="R70" s="467"/>
      <c r="S70" s="467"/>
      <c r="T70" s="467"/>
    </row>
    <row r="71" spans="2:20" s="416" customFormat="1" ht="7" customHeight="1">
      <c r="B71" s="434"/>
      <c r="C71" s="445"/>
      <c r="E71" s="417"/>
      <c r="F71" s="417"/>
      <c r="G71" s="440"/>
      <c r="H71" s="437"/>
      <c r="I71" s="437"/>
      <c r="J71" s="437"/>
      <c r="K71" s="437"/>
      <c r="L71" s="437"/>
      <c r="N71" s="467"/>
      <c r="O71" s="467"/>
      <c r="P71" s="467"/>
      <c r="Q71" s="467"/>
      <c r="R71" s="467"/>
      <c r="S71" s="467"/>
      <c r="T71" s="467"/>
    </row>
    <row r="72" spans="2:20" s="416" customFormat="1" ht="14.25" customHeight="1">
      <c r="B72" s="435" t="s">
        <v>573</v>
      </c>
      <c r="C72" s="445"/>
      <c r="E72" s="436" t="s">
        <v>574</v>
      </c>
      <c r="F72" s="436"/>
      <c r="G72" s="471"/>
      <c r="H72" s="437">
        <v>6.58</v>
      </c>
      <c r="I72" s="437"/>
      <c r="J72" s="437">
        <v>6.85</v>
      </c>
      <c r="K72" s="437"/>
      <c r="L72" s="437">
        <v>7.1</v>
      </c>
      <c r="N72" s="467"/>
      <c r="O72" s="467"/>
      <c r="P72" s="467"/>
      <c r="Q72" s="467"/>
      <c r="R72" s="467"/>
      <c r="S72" s="467"/>
      <c r="T72" s="467"/>
    </row>
    <row r="73" spans="2:20" s="416" customFormat="1" ht="14.25" customHeight="1">
      <c r="B73" s="435" t="s">
        <v>575</v>
      </c>
      <c r="C73" s="445"/>
      <c r="E73" s="436" t="s">
        <v>576</v>
      </c>
      <c r="F73" s="436"/>
      <c r="G73" s="440"/>
      <c r="H73" s="437" t="s">
        <v>437</v>
      </c>
      <c r="I73" s="437"/>
      <c r="J73" s="437" t="s">
        <v>437</v>
      </c>
      <c r="K73" s="437"/>
      <c r="L73" s="437">
        <v>14.48</v>
      </c>
      <c r="N73" s="467"/>
      <c r="O73" s="467"/>
      <c r="P73" s="467"/>
      <c r="Q73" s="467"/>
      <c r="R73" s="467"/>
      <c r="S73" s="467"/>
      <c r="T73" s="467"/>
    </row>
    <row r="74" spans="2:20" s="416" customFormat="1" ht="14.25" customHeight="1">
      <c r="B74" s="441" t="s">
        <v>577</v>
      </c>
      <c r="C74" s="445"/>
      <c r="E74" s="436" t="s">
        <v>578</v>
      </c>
      <c r="F74" s="436"/>
      <c r="G74" s="440"/>
      <c r="H74" s="437">
        <v>1.03</v>
      </c>
      <c r="I74" s="437"/>
      <c r="J74" s="437">
        <v>1.0900000000000001</v>
      </c>
      <c r="K74" s="437"/>
      <c r="L74" s="437">
        <v>1.28</v>
      </c>
      <c r="N74" s="467"/>
      <c r="O74" s="467"/>
      <c r="P74" s="467"/>
      <c r="Q74" s="467"/>
      <c r="R74" s="467"/>
      <c r="S74" s="467"/>
      <c r="T74" s="467"/>
    </row>
    <row r="75" spans="2:20" s="416" customFormat="1" ht="14.25" customHeight="1">
      <c r="B75" s="435" t="s">
        <v>579</v>
      </c>
      <c r="C75" s="445"/>
      <c r="E75" s="436" t="s">
        <v>580</v>
      </c>
      <c r="F75" s="436"/>
      <c r="G75" s="440"/>
      <c r="H75" s="437">
        <v>13.88</v>
      </c>
      <c r="I75" s="437"/>
      <c r="J75" s="437">
        <v>14.28</v>
      </c>
      <c r="K75" s="437"/>
      <c r="L75" s="437">
        <v>14.74</v>
      </c>
      <c r="N75" s="467"/>
      <c r="O75" s="467"/>
      <c r="P75" s="467"/>
      <c r="Q75" s="467"/>
      <c r="R75" s="467"/>
      <c r="S75" s="467"/>
      <c r="T75" s="467"/>
    </row>
    <row r="76" spans="2:20" s="416" customFormat="1" ht="14.25" customHeight="1">
      <c r="B76" s="435" t="s">
        <v>581</v>
      </c>
      <c r="C76" s="445"/>
      <c r="E76" s="436" t="s">
        <v>582</v>
      </c>
      <c r="F76" s="436"/>
      <c r="G76" s="440"/>
      <c r="H76" s="437">
        <v>15.89</v>
      </c>
      <c r="I76" s="437"/>
      <c r="J76" s="437">
        <v>16.71</v>
      </c>
      <c r="K76" s="437"/>
      <c r="L76" s="437">
        <v>16.89</v>
      </c>
      <c r="N76" s="467"/>
      <c r="O76" s="467"/>
      <c r="P76" s="467"/>
      <c r="Q76" s="467"/>
      <c r="R76" s="467"/>
      <c r="S76" s="467"/>
      <c r="T76" s="467"/>
    </row>
    <row r="77" spans="2:20" s="416" customFormat="1" ht="14.25" customHeight="1">
      <c r="B77" s="435" t="s">
        <v>583</v>
      </c>
      <c r="C77" s="445"/>
      <c r="E77" s="436" t="s">
        <v>512</v>
      </c>
      <c r="F77" s="436"/>
      <c r="G77" s="440"/>
      <c r="H77" s="437">
        <v>1.3</v>
      </c>
      <c r="I77" s="437"/>
      <c r="J77" s="437">
        <v>1.41</v>
      </c>
      <c r="K77" s="437"/>
      <c r="L77" s="437">
        <v>1.43</v>
      </c>
      <c r="N77" s="467"/>
      <c r="O77" s="467"/>
      <c r="P77" s="467"/>
      <c r="Q77" s="467"/>
      <c r="R77" s="467"/>
      <c r="S77" s="467"/>
      <c r="T77" s="467"/>
    </row>
    <row r="78" spans="2:20" s="416" customFormat="1" ht="14.25" customHeight="1">
      <c r="B78" s="435" t="s">
        <v>584</v>
      </c>
      <c r="C78" s="445"/>
      <c r="E78" s="436" t="s">
        <v>585</v>
      </c>
      <c r="F78" s="436"/>
      <c r="G78" s="440"/>
      <c r="H78" s="437">
        <v>13.41</v>
      </c>
      <c r="I78" s="437"/>
      <c r="J78" s="437">
        <v>14.06</v>
      </c>
      <c r="K78" s="437"/>
      <c r="L78" s="437">
        <v>14.97</v>
      </c>
      <c r="N78" s="467"/>
      <c r="O78" s="467"/>
      <c r="P78" s="467"/>
      <c r="Q78" s="467"/>
      <c r="R78" s="467"/>
      <c r="S78" s="467"/>
      <c r="T78" s="467"/>
    </row>
    <row r="79" spans="2:20" s="416" customFormat="1" ht="14.25" customHeight="1">
      <c r="B79" s="435" t="s">
        <v>586</v>
      </c>
      <c r="C79" s="445"/>
      <c r="E79" s="436" t="s">
        <v>587</v>
      </c>
      <c r="F79" s="436"/>
      <c r="G79" s="440"/>
      <c r="H79" s="437">
        <v>3.51</v>
      </c>
      <c r="I79" s="437"/>
      <c r="J79" s="437">
        <v>3.65</v>
      </c>
      <c r="K79" s="437"/>
      <c r="L79" s="437">
        <v>3.79</v>
      </c>
      <c r="N79" s="467"/>
      <c r="O79" s="467"/>
      <c r="P79" s="467"/>
      <c r="Q79" s="467"/>
      <c r="R79" s="467"/>
      <c r="S79" s="467"/>
      <c r="T79" s="467"/>
    </row>
    <row r="80" spans="2:20" s="416" customFormat="1" ht="14.25" customHeight="1">
      <c r="B80" s="435" t="s">
        <v>588</v>
      </c>
      <c r="C80" s="445"/>
      <c r="E80" s="436" t="s">
        <v>589</v>
      </c>
      <c r="F80" s="436"/>
      <c r="G80" s="440"/>
      <c r="H80" s="437">
        <v>9.6199999999999992</v>
      </c>
      <c r="I80" s="437"/>
      <c r="J80" s="437">
        <v>10.45</v>
      </c>
      <c r="K80" s="437"/>
      <c r="L80" s="437">
        <v>10.58</v>
      </c>
      <c r="N80" s="467"/>
      <c r="O80" s="467"/>
      <c r="P80" s="467"/>
      <c r="Q80" s="467"/>
      <c r="R80" s="467"/>
      <c r="S80" s="467"/>
      <c r="T80" s="467"/>
    </row>
    <row r="81" spans="1:20" s="416" customFormat="1" ht="14.25" customHeight="1">
      <c r="B81" s="435" t="s">
        <v>590</v>
      </c>
      <c r="C81" s="445"/>
      <c r="E81" s="436" t="s">
        <v>591</v>
      </c>
      <c r="F81" s="436"/>
      <c r="G81" s="440"/>
      <c r="H81" s="437" t="s">
        <v>437</v>
      </c>
      <c r="I81" s="437"/>
      <c r="J81" s="437" t="s">
        <v>437</v>
      </c>
      <c r="K81" s="437"/>
      <c r="L81" s="437">
        <v>20.53</v>
      </c>
      <c r="N81" s="467"/>
      <c r="O81" s="467"/>
      <c r="P81" s="467"/>
      <c r="Q81" s="467"/>
      <c r="R81" s="467"/>
      <c r="S81" s="467"/>
      <c r="T81" s="467"/>
    </row>
    <row r="82" spans="1:20" s="416" customFormat="1" ht="14.25" customHeight="1">
      <c r="B82" s="435" t="s">
        <v>592</v>
      </c>
      <c r="C82" s="445"/>
      <c r="E82" s="436" t="s">
        <v>593</v>
      </c>
      <c r="F82" s="436"/>
      <c r="G82" s="440"/>
      <c r="H82" s="437" t="s">
        <v>437</v>
      </c>
      <c r="I82" s="437"/>
      <c r="J82" s="437" t="s">
        <v>437</v>
      </c>
      <c r="K82" s="437"/>
      <c r="L82" s="437">
        <v>4.96</v>
      </c>
      <c r="N82" s="467"/>
      <c r="O82" s="467"/>
      <c r="P82" s="467"/>
      <c r="Q82" s="467"/>
      <c r="R82" s="467"/>
      <c r="S82" s="467"/>
      <c r="T82" s="467"/>
    </row>
    <row r="83" spans="1:20" s="416" customFormat="1" ht="14.25" customHeight="1">
      <c r="B83" s="435" t="s">
        <v>594</v>
      </c>
      <c r="C83" s="445"/>
      <c r="E83" s="436" t="s">
        <v>595</v>
      </c>
      <c r="F83" s="436"/>
      <c r="G83" s="440"/>
      <c r="H83" s="437" t="s">
        <v>437</v>
      </c>
      <c r="I83" s="437"/>
      <c r="J83" s="437" t="s">
        <v>437</v>
      </c>
      <c r="K83" s="437"/>
      <c r="L83" s="437">
        <v>8.58</v>
      </c>
      <c r="N83" s="467"/>
      <c r="O83" s="467"/>
      <c r="P83" s="467"/>
      <c r="Q83" s="467"/>
      <c r="R83" s="467"/>
      <c r="S83" s="467"/>
      <c r="T83" s="467"/>
    </row>
    <row r="84" spans="1:20" s="416" customFormat="1" ht="6.75" customHeight="1">
      <c r="B84" s="435"/>
      <c r="C84" s="445"/>
      <c r="E84" s="436"/>
      <c r="F84" s="436"/>
      <c r="G84" s="452"/>
      <c r="H84" s="437"/>
      <c r="I84" s="437"/>
      <c r="J84" s="437"/>
      <c r="K84" s="437"/>
      <c r="L84" s="437"/>
    </row>
    <row r="85" spans="1:20" s="416" customFormat="1" ht="7.5" customHeight="1" thickBot="1">
      <c r="A85" s="472"/>
      <c r="B85" s="473"/>
      <c r="C85" s="474"/>
      <c r="D85" s="472"/>
      <c r="E85" s="475"/>
      <c r="F85" s="475"/>
      <c r="G85" s="472"/>
      <c r="H85" s="476"/>
      <c r="I85" s="476"/>
      <c r="J85" s="476"/>
      <c r="K85" s="476"/>
      <c r="L85" s="476"/>
      <c r="M85" s="473"/>
    </row>
    <row r="86" spans="1:20" ht="14" customHeight="1">
      <c r="G86" s="1322" t="s">
        <v>31</v>
      </c>
      <c r="H86" s="1322"/>
      <c r="I86" s="1322"/>
      <c r="J86" s="1322"/>
      <c r="K86" s="1322"/>
      <c r="L86" s="1322"/>
      <c r="M86" s="1322"/>
    </row>
    <row r="87" spans="1:20" ht="14" customHeight="1">
      <c r="G87" s="1323" t="s">
        <v>32</v>
      </c>
      <c r="H87" s="1323"/>
      <c r="I87" s="1323"/>
      <c r="J87" s="1323"/>
      <c r="K87" s="1323"/>
      <c r="L87" s="1323"/>
      <c r="M87" s="1323"/>
    </row>
    <row r="88" spans="1:20" ht="14" customHeight="1">
      <c r="H88" s="477"/>
      <c r="I88" s="477"/>
      <c r="J88" s="477"/>
      <c r="K88" s="477"/>
      <c r="L88" s="477"/>
      <c r="M88" s="477"/>
    </row>
    <row r="89" spans="1:20" ht="14" customHeight="1">
      <c r="B89" s="174" t="s">
        <v>500</v>
      </c>
      <c r="G89" s="477"/>
      <c r="H89" s="477"/>
      <c r="I89" s="477"/>
      <c r="J89" s="477"/>
      <c r="K89" s="477"/>
      <c r="L89" s="477"/>
      <c r="M89" s="477"/>
    </row>
    <row r="90" spans="1:20" ht="14" customHeight="1">
      <c r="B90" s="105" t="s">
        <v>501</v>
      </c>
      <c r="G90" s="477"/>
      <c r="H90" s="477"/>
      <c r="I90" s="477"/>
      <c r="J90" s="477"/>
      <c r="K90" s="477"/>
      <c r="L90" s="477"/>
      <c r="M90" s="477"/>
    </row>
    <row r="91" spans="1:20" ht="14" customHeight="1">
      <c r="B91" s="107" t="s">
        <v>502</v>
      </c>
      <c r="G91" s="477"/>
      <c r="H91" s="477"/>
      <c r="I91" s="477"/>
      <c r="J91" s="477"/>
      <c r="K91" s="477"/>
      <c r="L91" s="477"/>
      <c r="M91" s="477"/>
    </row>
    <row r="92" spans="1:20" ht="14" customHeight="1">
      <c r="B92" s="105" t="s">
        <v>503</v>
      </c>
      <c r="G92" s="1323"/>
      <c r="H92" s="1323"/>
      <c r="I92" s="1323"/>
      <c r="J92" s="1323"/>
      <c r="K92" s="1323"/>
      <c r="L92" s="1323"/>
      <c r="M92" s="1323"/>
    </row>
    <row r="93" spans="1:20" ht="15.75" customHeight="1">
      <c r="B93" s="107" t="s">
        <v>504</v>
      </c>
    </row>
    <row r="94" spans="1:20" ht="15.75" customHeight="1"/>
    <row r="95" spans="1:20" ht="15.75" customHeight="1"/>
    <row r="96" spans="1:20"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sheetData>
  <mergeCells count="7">
    <mergeCell ref="G92:M92"/>
    <mergeCell ref="C3:J4"/>
    <mergeCell ref="C5:J6"/>
    <mergeCell ref="B9:C11"/>
    <mergeCell ref="B17:C17"/>
    <mergeCell ref="G86:M86"/>
    <mergeCell ref="G87:M87"/>
  </mergeCells>
  <conditionalFormatting sqref="E16:F16">
    <cfRule type="cellIs" dxfId="25" priority="1" stopIfTrue="1" operator="lessThan">
      <formula>0</formula>
    </cfRule>
  </conditionalFormatting>
  <printOptions horizontalCentered="1"/>
  <pageMargins left="0.55118110236220474" right="0.55118110236220474" top="0.55118110236220474" bottom="0.55118110236220474" header="0.55118110236220474" footer="0.55118110236220474"/>
  <pageSetup paperSize="9" scale="67" fitToWidth="0" fitToHeight="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E8AB2-78F2-403C-82EE-4E77F57249A7}">
  <sheetPr codeName="Sheet42">
    <pageSetUpPr fitToPage="1"/>
  </sheetPr>
  <dimension ref="A1:K54"/>
  <sheetViews>
    <sheetView view="pageBreakPreview" zoomScale="90" zoomScaleNormal="100" zoomScaleSheetLayoutView="90" workbookViewId="0">
      <selection activeCell="D60" sqref="D60"/>
    </sheetView>
  </sheetViews>
  <sheetFormatPr baseColWidth="10" defaultColWidth="8.83203125" defaultRowHeight="15"/>
  <cols>
    <col min="1" max="1" width="3.83203125" customWidth="1"/>
    <col min="2" max="2" width="12.5" customWidth="1"/>
    <col min="3" max="3" width="47.5" customWidth="1"/>
    <col min="4" max="4" width="15.33203125" customWidth="1"/>
    <col min="5" max="5" width="11.5" customWidth="1"/>
    <col min="6" max="6" width="11.6640625" customWidth="1"/>
    <col min="7" max="7" width="14.5" customWidth="1"/>
  </cols>
  <sheetData>
    <row r="1" spans="1:11" s="275" customFormat="1" ht="16.5" customHeight="1">
      <c r="B1" s="2" t="s">
        <v>596</v>
      </c>
      <c r="C1" s="3" t="s">
        <v>597</v>
      </c>
      <c r="D1" s="3"/>
      <c r="E1" s="3"/>
      <c r="F1" s="3"/>
      <c r="G1" s="3"/>
      <c r="K1" s="276"/>
    </row>
    <row r="2" spans="1:11" s="275" customFormat="1" ht="16.5" customHeight="1">
      <c r="B2" s="2"/>
      <c r="C2" s="3" t="s">
        <v>598</v>
      </c>
      <c r="D2" s="3"/>
      <c r="E2" s="3"/>
      <c r="F2" s="3"/>
      <c r="G2" s="3"/>
      <c r="K2" s="276"/>
    </row>
    <row r="3" spans="1:11" s="275" customFormat="1" ht="16.5" customHeight="1">
      <c r="B3" s="5" t="s">
        <v>599</v>
      </c>
      <c r="C3" s="478" t="s">
        <v>600</v>
      </c>
      <c r="D3" s="478"/>
      <c r="E3" s="478"/>
      <c r="F3" s="478"/>
      <c r="G3" s="478"/>
      <c r="H3" s="278"/>
      <c r="I3" s="278"/>
      <c r="J3" s="278"/>
      <c r="K3" s="276"/>
    </row>
    <row r="4" spans="1:11" s="282" customFormat="1" ht="14">
      <c r="B4" s="371"/>
      <c r="C4" s="479" t="s">
        <v>601</v>
      </c>
    </row>
    <row r="5" spans="1:11" s="282" customFormat="1" thickBot="1">
      <c r="A5" s="298"/>
      <c r="B5" s="372"/>
    </row>
    <row r="6" spans="1:11" s="480" customFormat="1" ht="20" customHeight="1">
      <c r="B6" s="1325" t="s">
        <v>602</v>
      </c>
      <c r="C6" s="1325"/>
      <c r="D6" s="481"/>
      <c r="E6" s="481">
        <v>2022</v>
      </c>
      <c r="F6" s="481">
        <v>2023</v>
      </c>
      <c r="G6" s="481">
        <v>2024</v>
      </c>
    </row>
    <row r="7" spans="1:11" s="480" customFormat="1" ht="17.25" customHeight="1" thickBot="1">
      <c r="A7" s="482"/>
      <c r="B7" s="1326" t="s">
        <v>603</v>
      </c>
      <c r="C7" s="1326"/>
      <c r="D7" s="482"/>
      <c r="E7" s="302"/>
      <c r="F7" s="483" t="s">
        <v>604</v>
      </c>
      <c r="G7" s="302"/>
    </row>
    <row r="8" spans="1:11" s="480" customFormat="1" ht="11.25" customHeight="1">
      <c r="B8" s="484"/>
      <c r="C8" s="312"/>
      <c r="E8" s="312"/>
      <c r="F8" s="309"/>
      <c r="G8" s="312"/>
    </row>
    <row r="9" spans="1:11" s="480" customFormat="1" ht="16.5" customHeight="1">
      <c r="B9" s="1327" t="s">
        <v>605</v>
      </c>
      <c r="C9" s="1327"/>
      <c r="D9" s="309"/>
      <c r="E9" s="385"/>
      <c r="F9" s="385"/>
      <c r="G9" s="385"/>
    </row>
    <row r="10" spans="1:11" s="480" customFormat="1" ht="15.25" customHeight="1">
      <c r="B10" s="1328" t="s">
        <v>606</v>
      </c>
      <c r="C10" s="1328"/>
      <c r="D10" s="309"/>
      <c r="E10" s="385"/>
      <c r="F10" s="385"/>
      <c r="G10" s="385"/>
    </row>
    <row r="11" spans="1:11" s="480" customFormat="1" ht="17.25" customHeight="1">
      <c r="B11" s="484"/>
      <c r="C11" s="312"/>
      <c r="D11" s="309"/>
      <c r="E11" s="385"/>
      <c r="F11" s="385"/>
      <c r="G11" s="385"/>
    </row>
    <row r="12" spans="1:11" s="480" customFormat="1" ht="13.5" customHeight="1">
      <c r="B12" s="486" t="s">
        <v>385</v>
      </c>
      <c r="C12" s="487"/>
      <c r="D12" s="488"/>
      <c r="E12" s="385">
        <v>102.4</v>
      </c>
      <c r="F12" s="385">
        <v>112.1</v>
      </c>
      <c r="G12" s="385">
        <v>120.8</v>
      </c>
    </row>
    <row r="13" spans="1:11" s="480" customFormat="1" ht="13.5" customHeight="1">
      <c r="B13" s="92" t="s">
        <v>386</v>
      </c>
      <c r="C13" s="487"/>
      <c r="D13" s="488"/>
      <c r="E13" s="385"/>
      <c r="F13" s="385"/>
      <c r="G13" s="385"/>
    </row>
    <row r="14" spans="1:11" s="480" customFormat="1" ht="13">
      <c r="B14" s="312"/>
      <c r="C14" s="487"/>
      <c r="D14" s="488"/>
      <c r="E14" s="385"/>
      <c r="F14" s="385"/>
      <c r="G14" s="385"/>
    </row>
    <row r="15" spans="1:11" s="480" customFormat="1" ht="13.5" customHeight="1">
      <c r="B15" s="489" t="s">
        <v>607</v>
      </c>
      <c r="C15" s="487"/>
      <c r="D15" s="490"/>
      <c r="E15" s="395">
        <v>109.7</v>
      </c>
      <c r="F15" s="395">
        <v>142.80000000000001</v>
      </c>
      <c r="G15" s="395">
        <v>144.69999999999999</v>
      </c>
    </row>
    <row r="16" spans="1:11" s="480" customFormat="1" ht="13.5" customHeight="1">
      <c r="B16" s="491" t="s">
        <v>608</v>
      </c>
      <c r="C16" s="487"/>
      <c r="D16" s="490"/>
      <c r="E16" s="395"/>
      <c r="F16" s="395"/>
      <c r="G16" s="395"/>
    </row>
    <row r="17" spans="2:7" s="480" customFormat="1" ht="6.75" customHeight="1">
      <c r="B17" s="343"/>
      <c r="C17" s="487"/>
      <c r="D17" s="490"/>
      <c r="E17" s="395"/>
      <c r="F17" s="395"/>
      <c r="G17" s="395"/>
    </row>
    <row r="18" spans="2:7" s="480" customFormat="1" ht="13.5" customHeight="1">
      <c r="B18" s="489" t="s">
        <v>609</v>
      </c>
      <c r="C18" s="487"/>
      <c r="D18" s="490"/>
      <c r="E18" s="395">
        <v>65.5</v>
      </c>
      <c r="F18" s="395">
        <v>92.5</v>
      </c>
      <c r="G18" s="395">
        <v>104.2</v>
      </c>
    </row>
    <row r="19" spans="2:7" s="480" customFormat="1" ht="13.5" customHeight="1">
      <c r="B19" s="491" t="s">
        <v>610</v>
      </c>
      <c r="C19" s="487"/>
      <c r="D19" s="490"/>
      <c r="E19" s="395"/>
      <c r="F19" s="395"/>
      <c r="G19" s="395"/>
    </row>
    <row r="20" spans="2:7" s="480" customFormat="1" ht="6.75" customHeight="1">
      <c r="B20" s="343"/>
      <c r="C20" s="487"/>
      <c r="D20" s="490"/>
      <c r="E20" s="395"/>
      <c r="F20" s="395"/>
      <c r="G20" s="395"/>
    </row>
    <row r="21" spans="2:7" s="480" customFormat="1" ht="13.5" customHeight="1">
      <c r="B21" s="489" t="s">
        <v>611</v>
      </c>
      <c r="C21" s="487"/>
      <c r="D21" s="490"/>
      <c r="E21" s="395">
        <v>105.6</v>
      </c>
      <c r="F21" s="395">
        <v>111.4</v>
      </c>
      <c r="G21" s="395">
        <v>120.8</v>
      </c>
    </row>
    <row r="22" spans="2:7" s="480" customFormat="1" ht="13.5" customHeight="1">
      <c r="B22" s="491" t="s">
        <v>612</v>
      </c>
      <c r="C22" s="487"/>
      <c r="D22" s="490"/>
      <c r="E22" s="395"/>
      <c r="F22" s="395"/>
      <c r="G22" s="395"/>
    </row>
    <row r="23" spans="2:7" s="480" customFormat="1" ht="6.75" customHeight="1">
      <c r="B23" s="343"/>
      <c r="C23" s="487"/>
      <c r="D23" s="490"/>
      <c r="E23" s="395"/>
      <c r="F23" s="395"/>
      <c r="G23" s="395"/>
    </row>
    <row r="24" spans="2:7" s="480" customFormat="1" ht="13.5" customHeight="1">
      <c r="B24" s="1329" t="s">
        <v>613</v>
      </c>
      <c r="C24" s="1329"/>
      <c r="D24" s="490"/>
      <c r="E24" s="395">
        <v>117.1</v>
      </c>
      <c r="F24" s="395">
        <v>116.6</v>
      </c>
      <c r="G24" s="395">
        <v>117.4</v>
      </c>
    </row>
    <row r="25" spans="2:7" s="480" customFormat="1" ht="13.5" customHeight="1">
      <c r="B25" s="491" t="s">
        <v>614</v>
      </c>
      <c r="C25" s="487"/>
      <c r="D25" s="490"/>
      <c r="E25" s="395"/>
      <c r="F25" s="395"/>
      <c r="G25" s="395"/>
    </row>
    <row r="26" spans="2:7" s="480" customFormat="1" ht="6.75" customHeight="1">
      <c r="B26" s="343"/>
      <c r="C26" s="487"/>
      <c r="D26" s="490"/>
      <c r="E26" s="395"/>
      <c r="F26" s="395"/>
      <c r="G26" s="395"/>
    </row>
    <row r="27" spans="2:7" s="480" customFormat="1" ht="13.5" customHeight="1">
      <c r="B27" s="489" t="s">
        <v>615</v>
      </c>
      <c r="C27" s="487"/>
      <c r="D27" s="490"/>
      <c r="E27" s="395">
        <v>111.7</v>
      </c>
      <c r="F27" s="395">
        <v>112.3</v>
      </c>
      <c r="G27" s="395">
        <v>115.2</v>
      </c>
    </row>
    <row r="28" spans="2:7" s="480" customFormat="1" ht="15.75" customHeight="1">
      <c r="B28" s="491" t="s">
        <v>616</v>
      </c>
      <c r="C28" s="487"/>
      <c r="D28" s="492"/>
      <c r="E28" s="493"/>
      <c r="F28" s="493"/>
      <c r="G28" s="493"/>
    </row>
    <row r="29" spans="2:7" s="480" customFormat="1" ht="6.75" customHeight="1">
      <c r="B29" s="343"/>
      <c r="C29" s="487"/>
      <c r="D29" s="492"/>
      <c r="E29" s="493"/>
      <c r="F29" s="493"/>
      <c r="G29" s="493"/>
    </row>
    <row r="30" spans="2:7" s="290" customFormat="1" ht="14">
      <c r="E30" s="494"/>
      <c r="F30" s="494"/>
      <c r="G30" s="494"/>
    </row>
    <row r="31" spans="2:7" s="290" customFormat="1" ht="14">
      <c r="B31" s="495" t="s">
        <v>617</v>
      </c>
      <c r="E31" s="494"/>
      <c r="F31" s="494"/>
      <c r="G31" s="494"/>
    </row>
    <row r="32" spans="2:7" s="290" customFormat="1" ht="15.25" customHeight="1">
      <c r="B32" s="496" t="s">
        <v>618</v>
      </c>
      <c r="E32" s="494"/>
      <c r="F32" s="494"/>
      <c r="G32" s="494"/>
    </row>
    <row r="33" spans="2:7" s="290" customFormat="1" ht="14">
      <c r="B33" s="497"/>
      <c r="E33" s="494"/>
      <c r="F33" s="494"/>
      <c r="G33" s="494"/>
    </row>
    <row r="34" spans="2:7" s="480" customFormat="1" ht="13.5" customHeight="1">
      <c r="B34" s="486" t="s">
        <v>385</v>
      </c>
      <c r="C34" s="487"/>
      <c r="D34" s="488"/>
      <c r="E34" s="401">
        <v>-2.7</v>
      </c>
      <c r="F34" s="401">
        <v>9.5</v>
      </c>
      <c r="G34" s="385">
        <v>7.8</v>
      </c>
    </row>
    <row r="35" spans="2:7" s="480" customFormat="1" ht="13.5" customHeight="1">
      <c r="B35" s="92" t="s">
        <v>386</v>
      </c>
      <c r="C35" s="487"/>
      <c r="D35" s="488"/>
      <c r="E35" s="401"/>
      <c r="F35" s="401"/>
      <c r="G35" s="385"/>
    </row>
    <row r="36" spans="2:7" s="480" customFormat="1" ht="13">
      <c r="B36" s="312"/>
      <c r="C36" s="487"/>
      <c r="D36" s="488"/>
      <c r="E36" s="401"/>
      <c r="F36" s="401"/>
      <c r="G36" s="385"/>
    </row>
    <row r="37" spans="2:7" s="480" customFormat="1" ht="13.5" customHeight="1">
      <c r="B37" s="489" t="s">
        <v>607</v>
      </c>
      <c r="C37" s="487"/>
      <c r="D37" s="490"/>
      <c r="E37" s="399">
        <v>15.7</v>
      </c>
      <c r="F37" s="399">
        <v>30.2</v>
      </c>
      <c r="G37" s="395">
        <v>1.3</v>
      </c>
    </row>
    <row r="38" spans="2:7" s="480" customFormat="1" ht="13.5" customHeight="1">
      <c r="B38" s="491" t="s">
        <v>608</v>
      </c>
      <c r="C38" s="487"/>
      <c r="D38" s="490"/>
      <c r="E38" s="399"/>
      <c r="F38" s="399"/>
      <c r="G38" s="395"/>
    </row>
    <row r="39" spans="2:7" s="480" customFormat="1" ht="6.75" customHeight="1">
      <c r="B39" s="343"/>
      <c r="C39" s="487"/>
      <c r="D39" s="490"/>
      <c r="E39" s="399"/>
      <c r="F39" s="399"/>
      <c r="G39" s="395"/>
    </row>
    <row r="40" spans="2:7" s="480" customFormat="1" ht="13.5" customHeight="1">
      <c r="B40" s="489" t="s">
        <v>609</v>
      </c>
      <c r="C40" s="487"/>
      <c r="D40" s="490"/>
      <c r="E40" s="399">
        <v>-36.299999999999997</v>
      </c>
      <c r="F40" s="399">
        <v>41.2</v>
      </c>
      <c r="G40" s="395">
        <v>12.6</v>
      </c>
    </row>
    <row r="41" spans="2:7" s="480" customFormat="1" ht="13.5" customHeight="1">
      <c r="B41" s="491" t="s">
        <v>610</v>
      </c>
      <c r="C41" s="487"/>
      <c r="D41" s="490"/>
      <c r="E41" s="399"/>
      <c r="F41" s="399"/>
      <c r="G41" s="395"/>
    </row>
    <row r="42" spans="2:7" s="480" customFormat="1" ht="6.75" customHeight="1">
      <c r="B42" s="343"/>
      <c r="C42" s="487"/>
      <c r="D42" s="490"/>
      <c r="E42" s="399"/>
      <c r="F42" s="399"/>
      <c r="G42" s="395"/>
    </row>
    <row r="43" spans="2:7" s="480" customFormat="1" ht="13.5" customHeight="1">
      <c r="B43" s="489" t="s">
        <v>611</v>
      </c>
      <c r="C43" s="487"/>
      <c r="D43" s="490"/>
      <c r="E43" s="399">
        <v>-0.4</v>
      </c>
      <c r="F43" s="399">
        <v>5.5</v>
      </c>
      <c r="G43" s="395">
        <v>8.4</v>
      </c>
    </row>
    <row r="44" spans="2:7" s="480" customFormat="1" ht="13.5" customHeight="1">
      <c r="B44" s="491" t="s">
        <v>612</v>
      </c>
      <c r="C44" s="487"/>
      <c r="D44" s="490"/>
      <c r="E44" s="399"/>
      <c r="F44" s="399"/>
      <c r="G44" s="395"/>
    </row>
    <row r="45" spans="2:7" s="480" customFormat="1" ht="6.75" customHeight="1">
      <c r="B45" s="343"/>
      <c r="C45" s="487"/>
      <c r="D45" s="490"/>
      <c r="E45" s="399"/>
      <c r="F45" s="399"/>
      <c r="G45" s="395"/>
    </row>
    <row r="46" spans="2:7" s="480" customFormat="1" ht="13.5" customHeight="1">
      <c r="B46" s="1329" t="s">
        <v>613</v>
      </c>
      <c r="C46" s="1329"/>
      <c r="D46" s="490"/>
      <c r="E46" s="399">
        <v>-0.4</v>
      </c>
      <c r="F46" s="399">
        <v>-0.4</v>
      </c>
      <c r="G46" s="395">
        <v>0.7</v>
      </c>
    </row>
    <row r="47" spans="2:7" s="480" customFormat="1" ht="13.5" customHeight="1">
      <c r="B47" s="491" t="s">
        <v>614</v>
      </c>
      <c r="C47" s="487"/>
      <c r="D47" s="490"/>
      <c r="E47" s="399"/>
      <c r="F47" s="399"/>
      <c r="G47" s="395"/>
    </row>
    <row r="48" spans="2:7" s="480" customFormat="1" ht="6.75" customHeight="1">
      <c r="B48" s="343"/>
      <c r="C48" s="487"/>
      <c r="D48" s="490"/>
      <c r="E48" s="399"/>
      <c r="F48" s="399"/>
      <c r="G48" s="395"/>
    </row>
    <row r="49" spans="1:10" s="480" customFormat="1" ht="13.5" customHeight="1">
      <c r="B49" s="489" t="s">
        <v>615</v>
      </c>
      <c r="C49" s="487"/>
      <c r="D49" s="490"/>
      <c r="E49" s="399">
        <v>-0.2</v>
      </c>
      <c r="F49" s="399">
        <v>0.5</v>
      </c>
      <c r="G49" s="395">
        <v>2.6</v>
      </c>
      <c r="H49" s="498"/>
      <c r="I49" s="498"/>
      <c r="J49" s="498"/>
    </row>
    <row r="50" spans="1:10" s="480" customFormat="1" ht="15.75" customHeight="1">
      <c r="B50" s="491" t="s">
        <v>616</v>
      </c>
      <c r="C50" s="487"/>
      <c r="D50" s="499"/>
      <c r="E50" s="395"/>
      <c r="F50" s="399"/>
      <c r="G50" s="399"/>
    </row>
    <row r="51" spans="1:10" s="480" customFormat="1" ht="6.75" customHeight="1">
      <c r="B51" s="343"/>
      <c r="C51" s="487"/>
      <c r="D51" s="500"/>
      <c r="E51" s="492"/>
      <c r="F51" s="492"/>
      <c r="G51" s="492"/>
    </row>
    <row r="52" spans="1:10" s="282" customFormat="1" ht="8.25" customHeight="1" thickBot="1">
      <c r="A52" s="298"/>
      <c r="B52" s="402"/>
      <c r="C52" s="298"/>
      <c r="D52" s="298"/>
      <c r="E52" s="298"/>
      <c r="F52" s="298"/>
      <c r="G52" s="298"/>
    </row>
    <row r="53" spans="1:10" s="282" customFormat="1" ht="14">
      <c r="G53" s="192" t="s">
        <v>31</v>
      </c>
    </row>
    <row r="54" spans="1:10" s="282" customFormat="1" ht="14">
      <c r="G54" s="193" t="s">
        <v>32</v>
      </c>
    </row>
  </sheetData>
  <mergeCells count="6">
    <mergeCell ref="B46:C46"/>
    <mergeCell ref="B6:C6"/>
    <mergeCell ref="B7:C7"/>
    <mergeCell ref="B9:C9"/>
    <mergeCell ref="B10:C10"/>
    <mergeCell ref="B24:C24"/>
  </mergeCells>
  <printOptions horizontalCentered="1"/>
  <pageMargins left="0.55118110236220474" right="0.55118110236220474" top="0.55118110236220474" bottom="0.55118110236220474" header="0.31496062992125984" footer="0.31496062992125984"/>
  <pageSetup paperSize="9" scale="73"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27B6F-7926-4290-886D-3E79D8097176}">
  <sheetPr codeName="Sheet43">
    <pageSetUpPr fitToPage="1"/>
  </sheetPr>
  <dimension ref="A1:J71"/>
  <sheetViews>
    <sheetView view="pageBreakPreview" zoomScale="90" zoomScaleNormal="100" zoomScaleSheetLayoutView="90" workbookViewId="0">
      <selection activeCell="D60" sqref="D60"/>
    </sheetView>
  </sheetViews>
  <sheetFormatPr baseColWidth="10" defaultColWidth="8.83203125" defaultRowHeight="15"/>
  <cols>
    <col min="1" max="1" width="2.83203125" customWidth="1"/>
    <col min="2" max="2" width="12.5" customWidth="1"/>
    <col min="3" max="3" width="59.6640625" customWidth="1"/>
    <col min="4" max="4" width="4.1640625" customWidth="1"/>
    <col min="5" max="5" width="14.1640625" customWidth="1"/>
    <col min="6" max="6" width="15.5" customWidth="1"/>
    <col min="7" max="7" width="16" style="404" customWidth="1"/>
  </cols>
  <sheetData>
    <row r="1" spans="1:10" s="1" customFormat="1" ht="8.25" customHeight="1"/>
    <row r="2" spans="1:10" s="1" customFormat="1" ht="8.25" customHeight="1"/>
    <row r="3" spans="1:10" s="1" customFormat="1" ht="16.5" customHeight="1">
      <c r="A3"/>
      <c r="B3" s="501" t="s">
        <v>619</v>
      </c>
      <c r="C3" s="3" t="s">
        <v>620</v>
      </c>
      <c r="D3"/>
      <c r="E3" s="4"/>
      <c r="F3"/>
      <c r="G3" s="404"/>
      <c r="H3"/>
      <c r="I3"/>
      <c r="J3"/>
    </row>
    <row r="4" spans="1:10" s="1" customFormat="1" ht="16.5" customHeight="1">
      <c r="A4"/>
      <c r="B4" s="502" t="s">
        <v>621</v>
      </c>
      <c r="C4" s="6" t="s">
        <v>622</v>
      </c>
      <c r="D4" s="8"/>
      <c r="E4" s="4"/>
      <c r="F4"/>
      <c r="G4" s="404"/>
      <c r="H4"/>
      <c r="I4"/>
      <c r="J4"/>
    </row>
    <row r="5" spans="1:10" s="1" customFormat="1" ht="13.25" customHeight="1" thickBot="1">
      <c r="A5" s="9"/>
      <c r="B5" s="9"/>
      <c r="C5" s="9"/>
      <c r="D5" s="8"/>
      <c r="E5" s="8"/>
      <c r="F5"/>
      <c r="G5" s="404"/>
      <c r="H5"/>
      <c r="I5"/>
      <c r="J5"/>
    </row>
    <row r="6" spans="1:10" s="12" customFormat="1" ht="43.25" customHeight="1" thickBot="1">
      <c r="A6" s="10"/>
      <c r="B6" s="1273" t="s">
        <v>623</v>
      </c>
      <c r="C6" s="1293"/>
      <c r="D6" s="11"/>
      <c r="E6" s="11">
        <v>2021</v>
      </c>
      <c r="F6" s="11">
        <v>2022</v>
      </c>
      <c r="G6" s="11">
        <v>2023</v>
      </c>
    </row>
    <row r="7" spans="1:10" s="12" customFormat="1" ht="16.5" customHeight="1">
      <c r="B7" s="73"/>
      <c r="C7" s="74"/>
      <c r="D7" s="75"/>
      <c r="E7" s="75"/>
    </row>
    <row r="8" spans="1:10" s="16" customFormat="1" ht="15.25" customHeight="1">
      <c r="B8" s="37" t="s">
        <v>624</v>
      </c>
      <c r="D8" s="76"/>
      <c r="E8" s="503"/>
      <c r="F8" s="23"/>
      <c r="G8" s="23"/>
    </row>
    <row r="9" spans="1:10" s="104" customFormat="1" ht="15.25" customHeight="1">
      <c r="B9" s="78" t="s">
        <v>625</v>
      </c>
      <c r="D9" s="504"/>
      <c r="E9" s="505"/>
      <c r="F9" s="506"/>
      <c r="G9" s="506"/>
      <c r="J9" s="507"/>
    </row>
    <row r="10" spans="1:10" s="16" customFormat="1" ht="8.25" customHeight="1">
      <c r="B10" s="81"/>
      <c r="D10" s="22"/>
      <c r="E10" s="22"/>
      <c r="F10" s="23"/>
      <c r="G10" s="23"/>
      <c r="H10" s="22"/>
      <c r="I10" s="66"/>
    </row>
    <row r="11" spans="1:10" s="16" customFormat="1" ht="15.25" customHeight="1">
      <c r="B11" s="176" t="s">
        <v>626</v>
      </c>
      <c r="C11" s="29"/>
      <c r="D11" s="508"/>
      <c r="E11" s="509">
        <v>32674</v>
      </c>
      <c r="F11" s="509">
        <v>32674</v>
      </c>
      <c r="G11" s="510">
        <v>21534</v>
      </c>
      <c r="H11" s="22"/>
      <c r="I11" s="66"/>
    </row>
    <row r="12" spans="1:10" s="16" customFormat="1" ht="8.25" customHeight="1">
      <c r="B12" s="81"/>
      <c r="D12" s="23"/>
      <c r="E12" s="24"/>
      <c r="F12" s="24"/>
      <c r="G12" s="24"/>
    </row>
    <row r="13" spans="1:10" s="16" customFormat="1" ht="15.25" customHeight="1">
      <c r="B13" s="28" t="s">
        <v>627</v>
      </c>
      <c r="C13" s="29"/>
      <c r="D13" s="23"/>
      <c r="E13" s="24"/>
      <c r="F13" s="24"/>
      <c r="G13" s="24"/>
    </row>
    <row r="14" spans="1:10" s="16" customFormat="1" ht="15.25" customHeight="1">
      <c r="B14" s="511" t="s">
        <v>628</v>
      </c>
      <c r="C14" s="29"/>
      <c r="D14" s="508"/>
      <c r="E14" s="512">
        <v>27754</v>
      </c>
      <c r="F14" s="512">
        <v>27754</v>
      </c>
      <c r="G14" s="513">
        <v>17302</v>
      </c>
      <c r="I14" s="66"/>
    </row>
    <row r="15" spans="1:10" s="16" customFormat="1" ht="15.25" customHeight="1">
      <c r="B15" s="511" t="s">
        <v>629</v>
      </c>
      <c r="C15" s="29"/>
      <c r="D15" s="508"/>
      <c r="E15" s="512">
        <v>4920</v>
      </c>
      <c r="F15" s="512">
        <v>4920</v>
      </c>
      <c r="G15" s="513">
        <v>4232</v>
      </c>
      <c r="H15" s="514"/>
      <c r="I15" s="66"/>
    </row>
    <row r="16" spans="1:10" s="16" customFormat="1" ht="7.5" customHeight="1">
      <c r="B16" s="515"/>
      <c r="C16" s="21"/>
      <c r="D16" s="23"/>
      <c r="E16" s="512"/>
      <c r="F16" s="512"/>
      <c r="G16" s="513"/>
    </row>
    <row r="17" spans="2:9" s="16" customFormat="1" ht="15.25" customHeight="1">
      <c r="B17" s="28" t="s">
        <v>630</v>
      </c>
      <c r="C17" s="29"/>
      <c r="D17" s="508"/>
      <c r="E17" s="512"/>
      <c r="F17" s="512"/>
      <c r="G17" s="513"/>
    </row>
    <row r="18" spans="2:9" s="16" customFormat="1" ht="15.25" customHeight="1">
      <c r="B18" s="511" t="s">
        <v>631</v>
      </c>
      <c r="C18" s="29"/>
      <c r="D18" s="508"/>
      <c r="E18" s="512">
        <v>27545</v>
      </c>
      <c r="F18" s="512">
        <v>27545</v>
      </c>
      <c r="G18" s="513">
        <v>18362</v>
      </c>
      <c r="I18" s="66"/>
    </row>
    <row r="19" spans="2:9" s="16" customFormat="1" ht="15.25" customHeight="1">
      <c r="B19" s="511" t="s">
        <v>632</v>
      </c>
      <c r="C19" s="29"/>
      <c r="D19" s="508"/>
      <c r="E19" s="512">
        <v>5129</v>
      </c>
      <c r="F19" s="512">
        <v>5129</v>
      </c>
      <c r="G19" s="513">
        <v>3172</v>
      </c>
      <c r="H19" s="514"/>
      <c r="I19" s="66"/>
    </row>
    <row r="20" spans="2:9" s="16" customFormat="1" ht="7.5" customHeight="1">
      <c r="B20" s="515"/>
      <c r="C20" s="21"/>
      <c r="D20" s="23"/>
      <c r="E20" s="512"/>
      <c r="F20" s="512"/>
      <c r="G20" s="513"/>
    </row>
    <row r="21" spans="2:9" s="16" customFormat="1" ht="15.25" customHeight="1">
      <c r="B21" s="28" t="s">
        <v>633</v>
      </c>
      <c r="C21" s="21"/>
      <c r="D21" s="23"/>
      <c r="E21" s="512"/>
      <c r="F21" s="512"/>
      <c r="G21" s="513"/>
    </row>
    <row r="22" spans="2:9" s="16" customFormat="1" ht="15.25" customHeight="1">
      <c r="B22" s="516" t="s">
        <v>634</v>
      </c>
      <c r="C22" s="21"/>
      <c r="D22" s="23"/>
      <c r="E22" s="512"/>
      <c r="F22" s="512"/>
      <c r="G22" s="513"/>
    </row>
    <row r="23" spans="2:9" s="16" customFormat="1" ht="15.25" customHeight="1">
      <c r="B23" s="517" t="s">
        <v>635</v>
      </c>
      <c r="C23" s="29"/>
      <c r="D23" s="508"/>
      <c r="E23" s="512">
        <v>2106</v>
      </c>
      <c r="F23" s="512">
        <v>2106</v>
      </c>
      <c r="G23" s="513">
        <v>1638</v>
      </c>
      <c r="H23" s="514"/>
      <c r="I23" s="66"/>
    </row>
    <row r="24" spans="2:9" s="16" customFormat="1" ht="15.25" customHeight="1">
      <c r="B24" s="518" t="s">
        <v>636</v>
      </c>
      <c r="C24" s="29"/>
      <c r="D24" s="508"/>
      <c r="E24" s="512">
        <v>122</v>
      </c>
      <c r="F24" s="512">
        <v>122</v>
      </c>
      <c r="G24" s="513">
        <v>156</v>
      </c>
      <c r="I24" s="66"/>
    </row>
    <row r="25" spans="2:9" s="16" customFormat="1" ht="15.25" customHeight="1">
      <c r="B25" s="517" t="s">
        <v>637</v>
      </c>
      <c r="C25" s="29"/>
      <c r="D25" s="508"/>
      <c r="E25" s="512">
        <v>10303</v>
      </c>
      <c r="F25" s="512">
        <v>10303</v>
      </c>
      <c r="G25" s="513">
        <v>7994</v>
      </c>
      <c r="I25" s="66"/>
    </row>
    <row r="26" spans="2:9" s="16" customFormat="1" ht="15.25" customHeight="1">
      <c r="B26" s="517" t="s">
        <v>638</v>
      </c>
      <c r="C26" s="29"/>
      <c r="D26" s="508"/>
      <c r="E26" s="512">
        <v>3958</v>
      </c>
      <c r="F26" s="512">
        <v>3958</v>
      </c>
      <c r="G26" s="513">
        <v>2297</v>
      </c>
      <c r="I26" s="66"/>
    </row>
    <row r="27" spans="2:9" s="16" customFormat="1" ht="15.25" customHeight="1">
      <c r="B27" s="517" t="s">
        <v>639</v>
      </c>
      <c r="C27" s="29"/>
      <c r="D27" s="508"/>
      <c r="E27" s="512">
        <v>505</v>
      </c>
      <c r="F27" s="512">
        <v>505</v>
      </c>
      <c r="G27" s="513">
        <v>318</v>
      </c>
      <c r="I27" s="66"/>
    </row>
    <row r="28" spans="2:9" s="16" customFormat="1" ht="15.25" customHeight="1">
      <c r="B28" s="517" t="s">
        <v>640</v>
      </c>
      <c r="C28" s="21"/>
      <c r="D28" s="508"/>
      <c r="E28" s="512">
        <v>3429</v>
      </c>
      <c r="F28" s="512">
        <v>3429</v>
      </c>
      <c r="G28" s="513">
        <v>1979</v>
      </c>
      <c r="I28" s="66"/>
    </row>
    <row r="29" spans="2:9" s="16" customFormat="1" ht="15.25" customHeight="1">
      <c r="B29" s="517" t="s">
        <v>641</v>
      </c>
      <c r="C29" s="21"/>
      <c r="D29" s="508"/>
      <c r="E29" s="512">
        <v>1440</v>
      </c>
      <c r="F29" s="512">
        <v>1440</v>
      </c>
      <c r="G29" s="513">
        <v>1354</v>
      </c>
      <c r="I29" s="66"/>
    </row>
    <row r="30" spans="2:9" s="16" customFormat="1" ht="15.25" customHeight="1">
      <c r="B30" s="519" t="s">
        <v>642</v>
      </c>
      <c r="C30" s="21"/>
      <c r="D30" s="23"/>
      <c r="E30" s="512"/>
      <c r="F30" s="512"/>
      <c r="G30" s="513"/>
    </row>
    <row r="31" spans="2:9" s="16" customFormat="1" ht="15.25" customHeight="1">
      <c r="B31" s="517" t="s">
        <v>643</v>
      </c>
      <c r="C31" s="21"/>
      <c r="D31" s="508"/>
      <c r="E31" s="512">
        <v>585</v>
      </c>
      <c r="F31" s="512">
        <v>585</v>
      </c>
      <c r="G31" s="513">
        <v>283</v>
      </c>
      <c r="I31" s="66"/>
    </row>
    <row r="32" spans="2:9" s="16" customFormat="1" ht="15.25" customHeight="1">
      <c r="B32" s="517" t="s">
        <v>644</v>
      </c>
      <c r="C32" s="21"/>
      <c r="D32" s="508"/>
      <c r="E32" s="512">
        <v>2218</v>
      </c>
      <c r="F32" s="512">
        <v>2218</v>
      </c>
      <c r="G32" s="513">
        <v>1216</v>
      </c>
      <c r="I32" s="66"/>
    </row>
    <row r="33" spans="1:10" s="16" customFormat="1" ht="15.25" customHeight="1">
      <c r="B33" s="519" t="s">
        <v>645</v>
      </c>
      <c r="C33" s="21"/>
      <c r="D33" s="23"/>
      <c r="E33" s="512"/>
      <c r="F33" s="512"/>
      <c r="G33" s="513"/>
    </row>
    <row r="34" spans="1:10" s="16" customFormat="1" ht="15.25" customHeight="1">
      <c r="B34" s="517" t="s">
        <v>646</v>
      </c>
      <c r="C34" s="21"/>
      <c r="D34" s="508"/>
      <c r="E34" s="512">
        <v>8008</v>
      </c>
      <c r="F34" s="512">
        <v>8008</v>
      </c>
      <c r="G34" s="513">
        <v>4299</v>
      </c>
      <c r="I34" s="66"/>
    </row>
    <row r="35" spans="1:10" s="16" customFormat="1" ht="15.25" customHeight="1">
      <c r="B35" s="520"/>
      <c r="C35" s="21"/>
      <c r="D35" s="23"/>
      <c r="E35" s="23"/>
      <c r="F35" s="23"/>
      <c r="G35" s="23"/>
    </row>
    <row r="36" spans="1:10" s="42" customFormat="1" ht="8.25" customHeight="1" thickBot="1">
      <c r="A36" s="10"/>
      <c r="D36" s="521"/>
      <c r="E36" s="521"/>
      <c r="F36" s="522"/>
      <c r="G36" s="522"/>
      <c r="H36" s="16"/>
    </row>
    <row r="37" spans="1:10" s="42" customFormat="1" ht="8.25" customHeight="1">
      <c r="A37" s="16"/>
      <c r="B37" s="523"/>
      <c r="C37" s="524"/>
      <c r="D37" s="525"/>
      <c r="E37" s="525"/>
      <c r="F37" s="526"/>
      <c r="G37" s="527"/>
      <c r="H37" s="16"/>
    </row>
    <row r="38" spans="1:10" s="16" customFormat="1" ht="15.25" customHeight="1">
      <c r="B38" s="37" t="s">
        <v>647</v>
      </c>
      <c r="D38" s="76"/>
      <c r="E38" s="503"/>
      <c r="F38" s="90"/>
      <c r="G38" s="23"/>
    </row>
    <row r="39" spans="1:10" s="104" customFormat="1" ht="15.25" customHeight="1">
      <c r="B39" s="78" t="s">
        <v>648</v>
      </c>
      <c r="D39" s="506"/>
      <c r="E39" s="528"/>
      <c r="F39" s="529"/>
      <c r="G39" s="506"/>
      <c r="J39" s="507"/>
    </row>
    <row r="40" spans="1:10" s="16" customFormat="1" ht="8.25" customHeight="1">
      <c r="B40" s="81"/>
      <c r="D40" s="23"/>
      <c r="E40" s="23"/>
      <c r="F40" s="23"/>
      <c r="G40" s="23"/>
      <c r="H40" s="22"/>
      <c r="I40" s="66"/>
    </row>
    <row r="41" spans="1:10" s="16" customFormat="1" ht="15.25" customHeight="1">
      <c r="B41" s="176" t="s">
        <v>626</v>
      </c>
      <c r="C41" s="29"/>
      <c r="D41" s="508"/>
      <c r="E41" s="509">
        <v>312</v>
      </c>
      <c r="F41" s="509">
        <v>312</v>
      </c>
      <c r="G41" s="510">
        <v>301</v>
      </c>
      <c r="H41" s="22"/>
      <c r="I41" s="66"/>
    </row>
    <row r="42" spans="1:10" s="16" customFormat="1" ht="8.25" customHeight="1">
      <c r="B42" s="81"/>
      <c r="D42" s="75"/>
      <c r="E42" s="90"/>
      <c r="F42" s="90"/>
      <c r="G42" s="90"/>
    </row>
    <row r="43" spans="1:10" s="16" customFormat="1" ht="15.25" customHeight="1">
      <c r="B43" s="28" t="s">
        <v>627</v>
      </c>
      <c r="C43" s="29"/>
      <c r="D43" s="22"/>
      <c r="E43" s="24"/>
      <c r="F43" s="24"/>
      <c r="G43" s="24"/>
    </row>
    <row r="44" spans="1:10" s="16" customFormat="1" ht="15.25" customHeight="1">
      <c r="B44" s="511" t="s">
        <v>628</v>
      </c>
      <c r="C44" s="29"/>
      <c r="D44" s="508"/>
      <c r="E44" s="512">
        <v>184</v>
      </c>
      <c r="F44" s="512">
        <v>184</v>
      </c>
      <c r="G44" s="513">
        <v>204</v>
      </c>
      <c r="I44" s="66"/>
    </row>
    <row r="45" spans="1:10" s="16" customFormat="1" ht="15.25" customHeight="1">
      <c r="B45" s="511" t="s">
        <v>629</v>
      </c>
      <c r="C45" s="29"/>
      <c r="D45" s="508"/>
      <c r="E45" s="512">
        <v>128</v>
      </c>
      <c r="F45" s="512">
        <v>128</v>
      </c>
      <c r="G45" s="513">
        <v>97</v>
      </c>
      <c r="H45" s="514"/>
      <c r="I45" s="66"/>
    </row>
    <row r="46" spans="1:10" s="16" customFormat="1" ht="7.5" customHeight="1">
      <c r="B46" s="515"/>
      <c r="C46" s="21"/>
      <c r="D46" s="86"/>
      <c r="E46" s="512"/>
      <c r="F46" s="512"/>
      <c r="G46" s="513"/>
    </row>
    <row r="47" spans="1:10" s="16" customFormat="1" ht="15.25" customHeight="1">
      <c r="B47" s="28" t="s">
        <v>630</v>
      </c>
      <c r="C47" s="29"/>
      <c r="D47" s="66"/>
      <c r="E47" s="512"/>
      <c r="F47" s="512"/>
      <c r="G47" s="513"/>
    </row>
    <row r="48" spans="1:10" s="16" customFormat="1" ht="15.25" customHeight="1">
      <c r="B48" s="511" t="s">
        <v>631</v>
      </c>
      <c r="C48" s="29"/>
      <c r="D48" s="508"/>
      <c r="E48" s="512">
        <v>307</v>
      </c>
      <c r="F48" s="512">
        <v>307</v>
      </c>
      <c r="G48" s="513">
        <v>292</v>
      </c>
      <c r="I48" s="66"/>
    </row>
    <row r="49" spans="2:9" s="16" customFormat="1" ht="15.25" customHeight="1">
      <c r="B49" s="511" t="s">
        <v>632</v>
      </c>
      <c r="C49" s="29"/>
      <c r="D49" s="508"/>
      <c r="E49" s="512">
        <v>5</v>
      </c>
      <c r="F49" s="512">
        <v>5</v>
      </c>
      <c r="G49" s="513">
        <v>9</v>
      </c>
      <c r="H49" s="514"/>
      <c r="I49" s="66"/>
    </row>
    <row r="50" spans="2:9" s="16" customFormat="1" ht="7.5" customHeight="1">
      <c r="B50" s="515"/>
      <c r="C50" s="21"/>
      <c r="D50" s="66"/>
      <c r="E50" s="24"/>
      <c r="F50" s="24"/>
      <c r="G50" s="24"/>
    </row>
    <row r="51" spans="2:9" s="16" customFormat="1" ht="15.25" customHeight="1">
      <c r="B51" s="28" t="s">
        <v>633</v>
      </c>
      <c r="C51" s="21"/>
      <c r="D51" s="22"/>
      <c r="E51" s="23"/>
      <c r="F51" s="23"/>
      <c r="G51" s="23"/>
    </row>
    <row r="52" spans="2:9" s="16" customFormat="1" ht="15.25" customHeight="1">
      <c r="B52" s="516" t="s">
        <v>634</v>
      </c>
      <c r="C52" s="21"/>
      <c r="D52" s="22"/>
      <c r="E52" s="23"/>
      <c r="F52" s="23"/>
      <c r="G52" s="23"/>
    </row>
    <row r="53" spans="2:9" s="16" customFormat="1" ht="15.25" customHeight="1">
      <c r="B53" s="517" t="s">
        <v>635</v>
      </c>
      <c r="C53" s="29"/>
      <c r="D53" s="508"/>
      <c r="E53" s="512">
        <v>50</v>
      </c>
      <c r="F53" s="512">
        <v>50</v>
      </c>
      <c r="G53" s="513">
        <v>26</v>
      </c>
      <c r="H53" s="514"/>
      <c r="I53" s="66"/>
    </row>
    <row r="54" spans="2:9" s="16" customFormat="1" ht="15.25" customHeight="1">
      <c r="B54" s="518" t="s">
        <v>636</v>
      </c>
      <c r="C54" s="29"/>
      <c r="D54" s="508"/>
      <c r="E54" s="512">
        <v>3</v>
      </c>
      <c r="F54" s="512">
        <v>3</v>
      </c>
      <c r="G54" s="513">
        <v>9</v>
      </c>
      <c r="I54" s="66"/>
    </row>
    <row r="55" spans="2:9" s="16" customFormat="1" ht="15.25" customHeight="1">
      <c r="B55" s="517" t="s">
        <v>637</v>
      </c>
      <c r="C55" s="29"/>
      <c r="D55" s="508"/>
      <c r="E55" s="512">
        <v>83</v>
      </c>
      <c r="F55" s="512">
        <v>83</v>
      </c>
      <c r="G55" s="513">
        <v>65</v>
      </c>
      <c r="I55" s="66"/>
    </row>
    <row r="56" spans="2:9" s="16" customFormat="1" ht="15.25" customHeight="1">
      <c r="B56" s="517" t="s">
        <v>638</v>
      </c>
      <c r="C56" s="29"/>
      <c r="D56" s="508"/>
      <c r="E56" s="512">
        <v>81</v>
      </c>
      <c r="F56" s="512">
        <v>81</v>
      </c>
      <c r="G56" s="513">
        <v>73</v>
      </c>
      <c r="I56" s="66"/>
    </row>
    <row r="57" spans="2:9" s="16" customFormat="1" ht="15.25" customHeight="1">
      <c r="B57" s="517" t="s">
        <v>639</v>
      </c>
      <c r="C57" s="29"/>
      <c r="D57" s="508"/>
      <c r="E57" s="512">
        <v>3</v>
      </c>
      <c r="F57" s="512">
        <v>3</v>
      </c>
      <c r="G57" s="513">
        <v>8</v>
      </c>
      <c r="I57" s="66"/>
    </row>
    <row r="58" spans="2:9" s="16" customFormat="1" ht="15.25" customHeight="1">
      <c r="B58" s="517" t="s">
        <v>640</v>
      </c>
      <c r="C58" s="21"/>
      <c r="D58" s="508"/>
      <c r="E58" s="512">
        <v>10</v>
      </c>
      <c r="F58" s="512">
        <v>10</v>
      </c>
      <c r="G58" s="513">
        <v>9</v>
      </c>
      <c r="I58" s="66"/>
    </row>
    <row r="59" spans="2:9" s="16" customFormat="1" ht="15.25" customHeight="1">
      <c r="B59" s="517" t="s">
        <v>641</v>
      </c>
      <c r="C59" s="21"/>
      <c r="D59" s="508"/>
      <c r="E59" s="512">
        <v>13</v>
      </c>
      <c r="F59" s="512">
        <v>13</v>
      </c>
      <c r="G59" s="513">
        <v>40</v>
      </c>
      <c r="I59" s="66"/>
    </row>
    <row r="60" spans="2:9" s="16" customFormat="1" ht="15.25" customHeight="1">
      <c r="B60" s="519" t="s">
        <v>642</v>
      </c>
      <c r="C60" s="21"/>
      <c r="D60" s="23"/>
      <c r="E60" s="23"/>
      <c r="F60" s="23"/>
      <c r="G60" s="23"/>
    </row>
    <row r="61" spans="2:9" s="16" customFormat="1" ht="15.25" customHeight="1">
      <c r="B61" s="517" t="s">
        <v>643</v>
      </c>
      <c r="C61" s="21"/>
      <c r="D61" s="508"/>
      <c r="E61" s="512">
        <v>3</v>
      </c>
      <c r="F61" s="512">
        <v>3</v>
      </c>
      <c r="G61" s="513">
        <v>1</v>
      </c>
      <c r="I61" s="66"/>
    </row>
    <row r="62" spans="2:9" s="16" customFormat="1" ht="15.25" customHeight="1">
      <c r="B62" s="517" t="s">
        <v>644</v>
      </c>
      <c r="C62" s="21"/>
      <c r="D62" s="508"/>
      <c r="E62" s="512">
        <v>13</v>
      </c>
      <c r="F62" s="512">
        <v>13</v>
      </c>
      <c r="G62" s="513">
        <v>23</v>
      </c>
      <c r="I62" s="66"/>
    </row>
    <row r="63" spans="2:9" s="16" customFormat="1" ht="15.25" customHeight="1">
      <c r="B63" s="519" t="s">
        <v>645</v>
      </c>
      <c r="C63" s="21"/>
      <c r="D63" s="23"/>
      <c r="E63" s="23"/>
      <c r="F63" s="23"/>
      <c r="G63" s="23"/>
    </row>
    <row r="64" spans="2:9" s="16" customFormat="1" ht="15.25" customHeight="1">
      <c r="B64" s="517" t="s">
        <v>646</v>
      </c>
      <c r="C64" s="21"/>
      <c r="D64" s="508"/>
      <c r="E64" s="512">
        <v>53</v>
      </c>
      <c r="F64" s="512">
        <v>53</v>
      </c>
      <c r="G64" s="513">
        <v>47</v>
      </c>
      <c r="I64" s="66"/>
    </row>
    <row r="65" spans="1:8" s="16" customFormat="1" ht="15.25" customHeight="1">
      <c r="B65" s="520"/>
      <c r="C65" s="21"/>
      <c r="D65" s="22"/>
      <c r="E65" s="23"/>
      <c r="F65" s="23"/>
      <c r="G65" s="23"/>
    </row>
    <row r="66" spans="1:8" s="42" customFormat="1" ht="8.25" customHeight="1" thickBot="1">
      <c r="A66" s="168"/>
      <c r="B66" s="530"/>
      <c r="C66" s="530"/>
      <c r="D66" s="531"/>
      <c r="E66" s="531"/>
      <c r="F66" s="530"/>
      <c r="G66" s="168"/>
      <c r="H66" s="16"/>
    </row>
    <row r="67" spans="1:8" s="42" customFormat="1" ht="9.25" customHeight="1">
      <c r="C67" s="1330"/>
      <c r="D67" s="1330"/>
      <c r="E67" s="1330"/>
      <c r="F67" s="1330"/>
      <c r="G67" s="1330"/>
      <c r="H67" s="16"/>
    </row>
    <row r="68" spans="1:8" s="42" customFormat="1" ht="15.25" customHeight="1">
      <c r="C68" s="1331" t="s">
        <v>649</v>
      </c>
      <c r="D68" s="1331"/>
      <c r="E68" s="1331"/>
      <c r="F68" s="1331"/>
      <c r="G68" s="1331"/>
      <c r="H68" s="16"/>
    </row>
    <row r="69" spans="1:8" s="42" customFormat="1" ht="15.25" customHeight="1">
      <c r="B69" s="106"/>
      <c r="C69" s="1331" t="s">
        <v>650</v>
      </c>
      <c r="D69" s="1331"/>
      <c r="E69" s="1331"/>
      <c r="F69" s="1331"/>
      <c r="G69" s="1331"/>
      <c r="H69" s="16"/>
    </row>
    <row r="70" spans="1:8" s="1" customFormat="1" ht="14">
      <c r="C70" s="1332" t="s">
        <v>651</v>
      </c>
      <c r="D70" s="1332"/>
      <c r="E70" s="1332"/>
      <c r="F70" s="1332"/>
      <c r="G70" s="1332"/>
      <c r="H70" s="16"/>
    </row>
    <row r="71" spans="1:8" s="1" customFormat="1" ht="14">
      <c r="C71" s="1332" t="s">
        <v>652</v>
      </c>
      <c r="D71" s="1332"/>
      <c r="E71" s="1332"/>
      <c r="F71" s="1332"/>
      <c r="G71" s="1332"/>
      <c r="H71" s="16"/>
    </row>
  </sheetData>
  <mergeCells count="6">
    <mergeCell ref="C71:G71"/>
    <mergeCell ref="B6:C6"/>
    <mergeCell ref="C67:G67"/>
    <mergeCell ref="C68:G68"/>
    <mergeCell ref="C69:G69"/>
    <mergeCell ref="C70:G70"/>
  </mergeCells>
  <conditionalFormatting sqref="C11">
    <cfRule type="cellIs" dxfId="24" priority="2" stopIfTrue="1" operator="lessThan">
      <formula>0</formula>
    </cfRule>
  </conditionalFormatting>
  <conditionalFormatting sqref="C13:C15">
    <cfRule type="cellIs" dxfId="23" priority="8" stopIfTrue="1" operator="lessThan">
      <formula>0</formula>
    </cfRule>
  </conditionalFormatting>
  <conditionalFormatting sqref="C17:C19">
    <cfRule type="cellIs" dxfId="22" priority="6" stopIfTrue="1" operator="lessThan">
      <formula>0</formula>
    </cfRule>
  </conditionalFormatting>
  <conditionalFormatting sqref="C23:C27">
    <cfRule type="cellIs" dxfId="21" priority="7" stopIfTrue="1" operator="lessThan">
      <formula>0</formula>
    </cfRule>
  </conditionalFormatting>
  <conditionalFormatting sqref="C37">
    <cfRule type="cellIs" dxfId="20" priority="9" stopIfTrue="1" operator="lessThan">
      <formula>0</formula>
    </cfRule>
  </conditionalFormatting>
  <conditionalFormatting sqref="C41">
    <cfRule type="cellIs" dxfId="19" priority="1" stopIfTrue="1" operator="lessThan">
      <formula>0</formula>
    </cfRule>
  </conditionalFormatting>
  <conditionalFormatting sqref="C43:C45">
    <cfRule type="cellIs" dxfId="18" priority="5" stopIfTrue="1" operator="lessThan">
      <formula>0</formula>
    </cfRule>
  </conditionalFormatting>
  <conditionalFormatting sqref="C47:C49">
    <cfRule type="cellIs" dxfId="17" priority="3" stopIfTrue="1" operator="lessThan">
      <formula>0</formula>
    </cfRule>
  </conditionalFormatting>
  <conditionalFormatting sqref="C53:C57">
    <cfRule type="cellIs" dxfId="16" priority="4"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68"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69A95-182C-480C-86C3-597C19F834CF}">
  <sheetPr codeName="Sheet44">
    <pageSetUpPr fitToPage="1"/>
  </sheetPr>
  <dimension ref="A1:L71"/>
  <sheetViews>
    <sheetView view="pageBreakPreview" topLeftCell="A52" zoomScaleNormal="100" zoomScaleSheetLayoutView="100" workbookViewId="0">
      <selection activeCell="D60" sqref="D60"/>
    </sheetView>
  </sheetViews>
  <sheetFormatPr baseColWidth="10" defaultColWidth="8.83203125" defaultRowHeight="15"/>
  <cols>
    <col min="1" max="1" width="2.33203125" customWidth="1"/>
    <col min="2" max="2" width="12.5" customWidth="1"/>
    <col min="3" max="3" width="60.1640625" customWidth="1"/>
    <col min="4" max="4" width="2.6640625" customWidth="1"/>
    <col min="5" max="5" width="14.1640625" customWidth="1"/>
    <col min="6" max="6" width="14.33203125" customWidth="1"/>
    <col min="7" max="7" width="15" style="404" customWidth="1"/>
  </cols>
  <sheetData>
    <row r="1" spans="1:12" s="1" customFormat="1" ht="8.25" customHeight="1"/>
    <row r="2" spans="1:12" s="1" customFormat="1" ht="8.25" customHeight="1"/>
    <row r="3" spans="1:12" s="1" customFormat="1" ht="16.5" customHeight="1">
      <c r="B3" s="501" t="s">
        <v>619</v>
      </c>
      <c r="C3" s="532" t="s">
        <v>653</v>
      </c>
      <c r="E3" s="4"/>
      <c r="F3" s="4"/>
      <c r="L3" s="532"/>
    </row>
    <row r="4" spans="1:12" s="1" customFormat="1" ht="16.5" customHeight="1">
      <c r="B4" s="502" t="s">
        <v>621</v>
      </c>
      <c r="C4" s="533" t="s">
        <v>654</v>
      </c>
      <c r="D4" s="8"/>
      <c r="E4" s="4"/>
      <c r="F4" s="4"/>
      <c r="L4" s="533"/>
    </row>
    <row r="5" spans="1:12" s="1" customFormat="1" ht="13.25" customHeight="1" thickBot="1">
      <c r="A5" s="9"/>
      <c r="B5" s="9"/>
      <c r="C5" s="9"/>
      <c r="D5" s="8"/>
      <c r="E5" s="8"/>
      <c r="F5" s="8"/>
    </row>
    <row r="6" spans="1:12" s="12" customFormat="1" ht="43.25" customHeight="1" thickBot="1">
      <c r="A6" s="10"/>
      <c r="B6" s="1273" t="s">
        <v>623</v>
      </c>
      <c r="C6" s="1293"/>
      <c r="D6" s="11"/>
      <c r="E6" s="11">
        <v>2021</v>
      </c>
      <c r="F6" s="11">
        <v>2022</v>
      </c>
      <c r="G6" s="11">
        <v>2023</v>
      </c>
    </row>
    <row r="7" spans="1:12" s="12" customFormat="1" ht="16.5" customHeight="1">
      <c r="B7" s="73"/>
      <c r="C7" s="74"/>
      <c r="D7" s="75"/>
      <c r="E7" s="75"/>
      <c r="F7" s="534"/>
      <c r="G7" s="535"/>
    </row>
    <row r="8" spans="1:12" s="16" customFormat="1" ht="15.25" customHeight="1">
      <c r="B8" s="37" t="s">
        <v>655</v>
      </c>
      <c r="D8" s="76"/>
      <c r="E8" s="503"/>
      <c r="F8" s="536"/>
      <c r="G8" s="535"/>
    </row>
    <row r="9" spans="1:12" s="104" customFormat="1" ht="15.25" customHeight="1">
      <c r="B9" s="78" t="s">
        <v>656</v>
      </c>
      <c r="D9" s="504"/>
      <c r="E9" s="505"/>
      <c r="F9" s="537"/>
      <c r="G9" s="538"/>
      <c r="K9" s="507"/>
    </row>
    <row r="10" spans="1:12" s="16" customFormat="1" ht="8.25" customHeight="1">
      <c r="B10" s="81"/>
      <c r="D10" s="22"/>
      <c r="E10" s="22"/>
      <c r="F10" s="535"/>
      <c r="G10" s="535"/>
      <c r="H10" s="22"/>
      <c r="I10" s="22"/>
      <c r="J10" s="66"/>
    </row>
    <row r="11" spans="1:12" s="16" customFormat="1" ht="15.25" customHeight="1">
      <c r="B11" s="176" t="s">
        <v>626</v>
      </c>
      <c r="C11" s="29"/>
      <c r="D11" s="539"/>
      <c r="E11" s="534">
        <v>2.1800000000000002</v>
      </c>
      <c r="F11" s="534">
        <v>2.1800000000000002</v>
      </c>
      <c r="G11" s="534">
        <v>1.43</v>
      </c>
      <c r="H11" s="22"/>
      <c r="I11" s="22"/>
      <c r="J11" s="66"/>
    </row>
    <row r="12" spans="1:12" s="16" customFormat="1" ht="8.25" customHeight="1">
      <c r="B12" s="81"/>
      <c r="D12" s="22"/>
      <c r="E12" s="535"/>
      <c r="F12" s="535"/>
      <c r="G12" s="535"/>
    </row>
    <row r="13" spans="1:12" s="16" customFormat="1" ht="15.25" customHeight="1">
      <c r="B13" s="28" t="s">
        <v>627</v>
      </c>
      <c r="C13" s="29"/>
      <c r="D13" s="22"/>
      <c r="E13" s="535"/>
      <c r="F13" s="535"/>
      <c r="G13" s="535"/>
    </row>
    <row r="14" spans="1:12" s="16" customFormat="1" ht="15.25" customHeight="1">
      <c r="B14" s="511" t="s">
        <v>628</v>
      </c>
      <c r="C14" s="29"/>
      <c r="D14" s="539"/>
      <c r="E14" s="535">
        <v>2.16</v>
      </c>
      <c r="F14" s="535">
        <v>2.16</v>
      </c>
      <c r="G14" s="535">
        <v>1.32</v>
      </c>
    </row>
    <row r="15" spans="1:12" s="16" customFormat="1" ht="15.25" customHeight="1">
      <c r="B15" s="511" t="s">
        <v>629</v>
      </c>
      <c r="C15" s="29"/>
      <c r="D15" s="539"/>
      <c r="E15" s="535">
        <v>2.35</v>
      </c>
      <c r="F15" s="535">
        <v>2.35</v>
      </c>
      <c r="G15" s="535">
        <v>2.2200000000000002</v>
      </c>
    </row>
    <row r="16" spans="1:12" s="16" customFormat="1" ht="7.5" customHeight="1">
      <c r="B16" s="515"/>
      <c r="C16" s="21"/>
      <c r="D16" s="23"/>
      <c r="E16" s="535"/>
      <c r="F16" s="535"/>
      <c r="G16" s="535"/>
    </row>
    <row r="17" spans="2:7" s="16" customFormat="1" ht="15.25" customHeight="1">
      <c r="B17" s="28" t="s">
        <v>630</v>
      </c>
      <c r="C17" s="29"/>
      <c r="D17" s="22"/>
      <c r="E17" s="535"/>
      <c r="F17" s="535"/>
      <c r="G17" s="535"/>
    </row>
    <row r="18" spans="2:7" s="16" customFormat="1" ht="15.25" customHeight="1">
      <c r="B18" s="511" t="s">
        <v>631</v>
      </c>
      <c r="C18" s="29"/>
      <c r="D18" s="539"/>
      <c r="E18" s="535">
        <v>3.02</v>
      </c>
      <c r="F18" s="535">
        <v>3.02</v>
      </c>
      <c r="G18" s="535">
        <v>2</v>
      </c>
    </row>
    <row r="19" spans="2:7" s="16" customFormat="1" ht="15.25" customHeight="1">
      <c r="B19" s="511" t="s">
        <v>632</v>
      </c>
      <c r="C19" s="29"/>
      <c r="D19" s="539"/>
      <c r="E19" s="535">
        <v>0.88</v>
      </c>
      <c r="F19" s="535">
        <v>0.88</v>
      </c>
      <c r="G19" s="535">
        <v>0.54</v>
      </c>
    </row>
    <row r="20" spans="2:7" s="16" customFormat="1" ht="7.5" customHeight="1">
      <c r="B20" s="515"/>
      <c r="C20" s="21"/>
      <c r="D20" s="22"/>
      <c r="E20" s="535"/>
      <c r="F20" s="535"/>
      <c r="G20" s="535"/>
    </row>
    <row r="21" spans="2:7" s="16" customFormat="1" ht="15.25" customHeight="1">
      <c r="B21" s="28" t="s">
        <v>633</v>
      </c>
      <c r="C21" s="21"/>
      <c r="D21" s="22"/>
      <c r="E21" s="535"/>
      <c r="F21" s="535"/>
      <c r="G21" s="535"/>
    </row>
    <row r="22" spans="2:7" s="16" customFormat="1" ht="15.25" customHeight="1">
      <c r="B22" s="516" t="s">
        <v>634</v>
      </c>
      <c r="C22" s="21"/>
      <c r="D22" s="22"/>
      <c r="E22" s="535"/>
      <c r="F22" s="535"/>
      <c r="G22" s="535"/>
    </row>
    <row r="23" spans="2:7" s="16" customFormat="1" ht="15.25" customHeight="1">
      <c r="B23" s="517" t="s">
        <v>635</v>
      </c>
      <c r="C23" s="29"/>
      <c r="D23" s="539"/>
      <c r="E23" s="535">
        <v>1.3448275862068966</v>
      </c>
      <c r="F23" s="535">
        <v>1.3448275862068966</v>
      </c>
      <c r="G23" s="535">
        <v>1.056774193548387</v>
      </c>
    </row>
    <row r="24" spans="2:7" s="16" customFormat="1" ht="15.25" customHeight="1">
      <c r="B24" s="518" t="s">
        <v>636</v>
      </c>
      <c r="C24" s="29"/>
      <c r="D24" s="539"/>
      <c r="E24" s="535">
        <v>1.4841849148418491</v>
      </c>
      <c r="F24" s="535">
        <v>1.4841849148418491</v>
      </c>
      <c r="G24" s="535">
        <v>1.9024390243902438</v>
      </c>
    </row>
    <row r="25" spans="2:7" s="16" customFormat="1" ht="15.25" customHeight="1">
      <c r="B25" s="517" t="s">
        <v>637</v>
      </c>
      <c r="C25" s="29"/>
      <c r="D25" s="539"/>
      <c r="E25" s="535">
        <v>4.1244995996797433</v>
      </c>
      <c r="F25" s="535">
        <v>4.1244995996797433</v>
      </c>
      <c r="G25" s="535">
        <v>3.1958103462061245</v>
      </c>
    </row>
    <row r="26" spans="2:7" s="16" customFormat="1" ht="15.25" customHeight="1">
      <c r="B26" s="517" t="s">
        <v>638</v>
      </c>
      <c r="C26" s="29"/>
      <c r="D26" s="539"/>
      <c r="E26" s="535">
        <v>3.373103800920402</v>
      </c>
      <c r="F26" s="535">
        <v>3.373103800920402</v>
      </c>
      <c r="G26" s="535">
        <v>1.9808896324531293</v>
      </c>
    </row>
    <row r="27" spans="2:7" s="16" customFormat="1" ht="15.25" customHeight="1">
      <c r="B27" s="517" t="s">
        <v>639</v>
      </c>
      <c r="C27" s="29"/>
      <c r="D27" s="539"/>
      <c r="E27" s="535">
        <v>3.1542785758900687</v>
      </c>
      <c r="F27" s="535">
        <v>3.1542785758900687</v>
      </c>
      <c r="G27" s="535">
        <v>1.9488876631733774</v>
      </c>
    </row>
    <row r="28" spans="2:7" s="16" customFormat="1" ht="15.25" customHeight="1">
      <c r="B28" s="517" t="s">
        <v>640</v>
      </c>
      <c r="C28" s="21"/>
      <c r="D28" s="539"/>
      <c r="E28" s="535">
        <v>1.239875614694822</v>
      </c>
      <c r="F28" s="535">
        <v>1.239875614694822</v>
      </c>
      <c r="G28" s="535">
        <v>0.70016663895247422</v>
      </c>
    </row>
    <row r="29" spans="2:7" s="16" customFormat="1" ht="15.25" customHeight="1">
      <c r="B29" s="517" t="s">
        <v>641</v>
      </c>
      <c r="C29" s="21"/>
      <c r="D29" s="539"/>
      <c r="E29" s="535">
        <v>1.5779092702169624</v>
      </c>
      <c r="F29" s="535">
        <v>1.5779092702169624</v>
      </c>
      <c r="G29" s="535">
        <v>1.4411000894035506</v>
      </c>
    </row>
    <row r="30" spans="2:7" s="16" customFormat="1" ht="15.25" customHeight="1">
      <c r="B30" s="519" t="s">
        <v>642</v>
      </c>
      <c r="C30" s="21"/>
      <c r="D30" s="22"/>
      <c r="E30" s="535"/>
      <c r="F30" s="535"/>
      <c r="G30" s="535"/>
    </row>
    <row r="31" spans="2:7" s="16" customFormat="1" ht="15.25" customHeight="1">
      <c r="B31" s="517" t="s">
        <v>643</v>
      </c>
      <c r="C31" s="21"/>
      <c r="D31" s="539"/>
      <c r="E31" s="535">
        <v>0.37987012987012986</v>
      </c>
      <c r="F31" s="535">
        <v>0.37987012987012986</v>
      </c>
      <c r="G31" s="535">
        <v>0.18430478671442527</v>
      </c>
    </row>
    <row r="32" spans="2:7" s="16" customFormat="1" ht="15.25" customHeight="1">
      <c r="B32" s="517" t="s">
        <v>644</v>
      </c>
      <c r="C32" s="21"/>
      <c r="D32" s="539"/>
      <c r="E32" s="535">
        <v>2.6610677864427115</v>
      </c>
      <c r="F32" s="535">
        <v>2.6610677864427115</v>
      </c>
      <c r="G32" s="535">
        <v>1.4672522805154691</v>
      </c>
    </row>
    <row r="33" spans="1:11" s="16" customFormat="1" ht="15.25" customHeight="1">
      <c r="B33" s="519" t="s">
        <v>645</v>
      </c>
      <c r="C33" s="21"/>
      <c r="D33" s="22"/>
      <c r="E33" s="535"/>
      <c r="F33" s="535"/>
      <c r="G33" s="535"/>
    </row>
    <row r="34" spans="1:11" s="16" customFormat="1" ht="15.25" customHeight="1">
      <c r="B34" s="517" t="s">
        <v>646</v>
      </c>
      <c r="C34" s="21"/>
      <c r="D34" s="539"/>
      <c r="E34" s="535">
        <v>2.3378974104458004</v>
      </c>
      <c r="F34" s="535">
        <v>2.3378974104458004</v>
      </c>
      <c r="G34" s="535">
        <v>1.2361405042326097</v>
      </c>
    </row>
    <row r="35" spans="1:11" s="16" customFormat="1" ht="15.25" customHeight="1">
      <c r="B35" s="520"/>
      <c r="C35" s="21"/>
      <c r="D35" s="22"/>
      <c r="E35" s="535"/>
      <c r="F35" s="535"/>
      <c r="G35" s="535"/>
    </row>
    <row r="36" spans="1:11" s="42" customFormat="1" ht="8.25" customHeight="1" thickBot="1">
      <c r="A36" s="530"/>
      <c r="B36" s="530"/>
      <c r="C36" s="530"/>
      <c r="D36" s="530"/>
      <c r="E36" s="540"/>
      <c r="F36" s="540"/>
      <c r="G36" s="540"/>
      <c r="H36" s="16"/>
      <c r="I36" s="16"/>
    </row>
    <row r="37" spans="1:11" s="42" customFormat="1" ht="8.25" customHeight="1">
      <c r="B37" s="104"/>
      <c r="C37" s="102"/>
      <c r="D37" s="100"/>
      <c r="E37" s="535"/>
      <c r="F37" s="535"/>
      <c r="G37" s="535"/>
      <c r="H37" s="16"/>
      <c r="I37" s="16"/>
    </row>
    <row r="38" spans="1:11" s="16" customFormat="1" ht="15.25" customHeight="1">
      <c r="B38" s="37" t="s">
        <v>657</v>
      </c>
      <c r="D38" s="76"/>
      <c r="E38" s="536"/>
      <c r="F38" s="536"/>
      <c r="G38" s="534"/>
    </row>
    <row r="39" spans="1:11" s="104" customFormat="1" ht="15.25" customHeight="1">
      <c r="B39" s="78" t="s">
        <v>658</v>
      </c>
      <c r="D39" s="541"/>
      <c r="E39" s="537"/>
      <c r="F39" s="537"/>
      <c r="G39" s="542"/>
      <c r="K39" s="507"/>
    </row>
    <row r="40" spans="1:11" s="16" customFormat="1" ht="8.25" customHeight="1">
      <c r="B40" s="81"/>
      <c r="D40" s="75"/>
      <c r="E40" s="535"/>
      <c r="F40" s="535"/>
      <c r="G40" s="534"/>
      <c r="H40" s="22"/>
      <c r="I40" s="22"/>
      <c r="J40" s="66"/>
    </row>
    <row r="41" spans="1:11" s="16" customFormat="1" ht="15.25" customHeight="1">
      <c r="B41" s="176" t="s">
        <v>626</v>
      </c>
      <c r="C41" s="29"/>
      <c r="D41" s="539"/>
      <c r="E41" s="534">
        <v>2.09</v>
      </c>
      <c r="F41" s="534">
        <v>2.09</v>
      </c>
      <c r="G41" s="534">
        <v>2</v>
      </c>
      <c r="H41" s="22"/>
      <c r="I41" s="22"/>
      <c r="J41" s="66"/>
    </row>
    <row r="42" spans="1:11" s="16" customFormat="1" ht="8.25" customHeight="1">
      <c r="B42" s="81"/>
      <c r="D42" s="22"/>
      <c r="E42" s="535"/>
      <c r="F42" s="535"/>
      <c r="G42" s="535"/>
    </row>
    <row r="43" spans="1:11" s="16" customFormat="1" ht="15.25" customHeight="1">
      <c r="B43" s="28" t="s">
        <v>627</v>
      </c>
      <c r="C43" s="29"/>
      <c r="D43" s="22"/>
      <c r="E43" s="535"/>
      <c r="F43" s="535"/>
      <c r="G43" s="535"/>
    </row>
    <row r="44" spans="1:11" s="16" customFormat="1" ht="15.25" customHeight="1">
      <c r="B44" s="511" t="s">
        <v>628</v>
      </c>
      <c r="C44" s="29"/>
      <c r="D44" s="539"/>
      <c r="E44" s="535">
        <v>1.43</v>
      </c>
      <c r="F44" s="535">
        <v>1.43</v>
      </c>
      <c r="G44" s="535">
        <v>1.55</v>
      </c>
    </row>
    <row r="45" spans="1:11" s="16" customFormat="1" ht="15.25" customHeight="1">
      <c r="B45" s="511" t="s">
        <v>629</v>
      </c>
      <c r="C45" s="29"/>
      <c r="D45" s="539"/>
      <c r="E45" s="535">
        <v>6.12</v>
      </c>
      <c r="F45" s="535">
        <v>6.12</v>
      </c>
      <c r="G45" s="535">
        <v>5.08</v>
      </c>
    </row>
    <row r="46" spans="1:11" s="16" customFormat="1" ht="7.5" customHeight="1">
      <c r="B46" s="515"/>
      <c r="C46" s="21"/>
      <c r="D46" s="23"/>
      <c r="E46" s="535"/>
      <c r="F46" s="535"/>
      <c r="G46" s="535"/>
    </row>
    <row r="47" spans="1:11" s="16" customFormat="1" ht="15.25" customHeight="1">
      <c r="B47" s="28" t="s">
        <v>630</v>
      </c>
      <c r="C47" s="29"/>
      <c r="D47" s="22"/>
      <c r="E47" s="535"/>
      <c r="F47" s="535"/>
      <c r="G47" s="535"/>
    </row>
    <row r="48" spans="1:11" s="16" customFormat="1" ht="15.25" customHeight="1">
      <c r="B48" s="511" t="s">
        <v>631</v>
      </c>
      <c r="C48" s="29"/>
      <c r="D48" s="539"/>
      <c r="E48" s="535">
        <v>3.36</v>
      </c>
      <c r="F48" s="535">
        <v>3.36</v>
      </c>
      <c r="G48" s="535">
        <v>3.18</v>
      </c>
    </row>
    <row r="49" spans="2:7" s="16" customFormat="1" ht="15.25" customHeight="1">
      <c r="B49" s="511" t="s">
        <v>632</v>
      </c>
      <c r="C49" s="29"/>
      <c r="D49" s="539"/>
      <c r="E49" s="535">
        <v>0.09</v>
      </c>
      <c r="F49" s="535">
        <v>0.09</v>
      </c>
      <c r="G49" s="535">
        <v>0.15</v>
      </c>
    </row>
    <row r="50" spans="2:7" s="16" customFormat="1" ht="7.5" customHeight="1">
      <c r="B50" s="515"/>
      <c r="C50" s="21"/>
      <c r="D50" s="22"/>
      <c r="E50" s="535"/>
      <c r="F50" s="535"/>
      <c r="G50" s="535"/>
    </row>
    <row r="51" spans="2:7" s="16" customFormat="1" ht="15.25" customHeight="1">
      <c r="B51" s="28" t="s">
        <v>633</v>
      </c>
      <c r="C51" s="21"/>
      <c r="D51" s="22"/>
      <c r="E51" s="535"/>
      <c r="F51" s="535"/>
      <c r="G51" s="535"/>
    </row>
    <row r="52" spans="2:7" s="16" customFormat="1" ht="15.25" customHeight="1">
      <c r="B52" s="516" t="s">
        <v>634</v>
      </c>
      <c r="C52" s="21"/>
      <c r="D52" s="22"/>
      <c r="E52" s="535"/>
      <c r="F52" s="535"/>
      <c r="G52" s="535"/>
    </row>
    <row r="53" spans="2:7" s="16" customFormat="1" ht="15.25" customHeight="1">
      <c r="B53" s="517" t="s">
        <v>635</v>
      </c>
      <c r="C53" s="29"/>
      <c r="D53" s="539"/>
      <c r="E53" s="535">
        <v>3.1928480204342278</v>
      </c>
      <c r="F53" s="535">
        <v>3.1928480204342278</v>
      </c>
      <c r="G53" s="535">
        <v>1.6774193548387097</v>
      </c>
    </row>
    <row r="54" spans="2:7" s="16" customFormat="1" ht="15.25" customHeight="1">
      <c r="B54" s="518" t="s">
        <v>636</v>
      </c>
      <c r="C54" s="29"/>
      <c r="D54" s="539"/>
      <c r="E54" s="535">
        <v>3.6496350364963508</v>
      </c>
      <c r="F54" s="535">
        <v>3.6496350364963508</v>
      </c>
      <c r="G54" s="535">
        <v>10.975609756097562</v>
      </c>
    </row>
    <row r="55" spans="2:7" s="16" customFormat="1" ht="15.25" customHeight="1">
      <c r="B55" s="517" t="s">
        <v>637</v>
      </c>
      <c r="C55" s="29"/>
      <c r="D55" s="539"/>
      <c r="E55" s="535">
        <v>3.3226581265012012</v>
      </c>
      <c r="F55" s="535">
        <v>3.3226581265012012</v>
      </c>
      <c r="G55" s="535">
        <v>2.5985448149036539</v>
      </c>
    </row>
    <row r="56" spans="2:7" s="16" customFormat="1" ht="15.25" customHeight="1">
      <c r="B56" s="517" t="s">
        <v>638</v>
      </c>
      <c r="C56" s="29"/>
      <c r="D56" s="539"/>
      <c r="E56" s="535">
        <v>6.9030168740412483</v>
      </c>
      <c r="F56" s="535">
        <v>6.9030168740412483</v>
      </c>
      <c r="G56" s="535">
        <v>6.2953828110177819</v>
      </c>
    </row>
    <row r="57" spans="2:7" s="16" customFormat="1" ht="15.25" customHeight="1">
      <c r="B57" s="517" t="s">
        <v>639</v>
      </c>
      <c r="C57" s="29"/>
      <c r="D57" s="539"/>
      <c r="E57" s="535">
        <v>1.8738288569643973</v>
      </c>
      <c r="F57" s="535">
        <v>1.8738288569643973</v>
      </c>
      <c r="G57" s="535">
        <v>4.9028620457191883</v>
      </c>
    </row>
    <row r="58" spans="2:7" s="16" customFormat="1" ht="15.25" customHeight="1">
      <c r="B58" s="517" t="s">
        <v>640</v>
      </c>
      <c r="C58" s="21"/>
      <c r="D58" s="539"/>
      <c r="E58" s="535">
        <v>0.36158518947063928</v>
      </c>
      <c r="F58" s="535">
        <v>0.36158518947063928</v>
      </c>
      <c r="G58" s="535">
        <v>0.3184183805241167</v>
      </c>
    </row>
    <row r="59" spans="2:7" s="16" customFormat="1" ht="15.25" customHeight="1">
      <c r="B59" s="517" t="s">
        <v>641</v>
      </c>
      <c r="C59" s="21"/>
      <c r="D59" s="539"/>
      <c r="E59" s="535">
        <v>1.4245014245014245</v>
      </c>
      <c r="F59" s="535">
        <v>1.4245014245014245</v>
      </c>
      <c r="G59" s="535">
        <v>4.2573119332453491</v>
      </c>
    </row>
    <row r="60" spans="2:7" s="16" customFormat="1" ht="15.25" customHeight="1">
      <c r="B60" s="519" t="s">
        <v>642</v>
      </c>
      <c r="C60" s="21"/>
      <c r="D60" s="22"/>
      <c r="E60" s="535"/>
      <c r="F60" s="535"/>
      <c r="G60" s="535"/>
    </row>
    <row r="61" spans="2:7" s="16" customFormat="1" ht="15.25" customHeight="1">
      <c r="B61" s="517" t="s">
        <v>643</v>
      </c>
      <c r="C61" s="21"/>
      <c r="D61" s="539"/>
      <c r="E61" s="535">
        <v>0.19480519480519479</v>
      </c>
      <c r="F61" s="535">
        <v>0.19480519480519479</v>
      </c>
      <c r="G61" s="535">
        <v>6.5125366330185605E-2</v>
      </c>
    </row>
    <row r="62" spans="2:7" s="16" customFormat="1" ht="15.25" customHeight="1">
      <c r="B62" s="517" t="s">
        <v>644</v>
      </c>
      <c r="C62" s="21"/>
      <c r="D62" s="539"/>
      <c r="E62" s="535">
        <v>1.5596880623875224</v>
      </c>
      <c r="F62" s="535">
        <v>1.5596880623875224</v>
      </c>
      <c r="G62" s="535">
        <v>2.7752304647907717</v>
      </c>
    </row>
    <row r="63" spans="2:7" s="16" customFormat="1" ht="15.25" customHeight="1">
      <c r="B63" s="519" t="s">
        <v>645</v>
      </c>
      <c r="C63" s="21"/>
      <c r="D63" s="22"/>
      <c r="E63" s="535"/>
      <c r="F63" s="535"/>
      <c r="G63" s="535"/>
    </row>
    <row r="64" spans="2:7" s="16" customFormat="1" ht="15.25" customHeight="1">
      <c r="B64" s="517" t="s">
        <v>646</v>
      </c>
      <c r="C64" s="21"/>
      <c r="D64" s="539"/>
      <c r="E64" s="535">
        <v>1.5473097246956471</v>
      </c>
      <c r="F64" s="535">
        <v>1.5473097246956471</v>
      </c>
      <c r="G64" s="535">
        <v>1.3514446080235554</v>
      </c>
    </row>
    <row r="65" spans="1:9" s="16" customFormat="1" ht="15.25" customHeight="1">
      <c r="B65" s="520"/>
      <c r="C65" s="21"/>
      <c r="D65" s="22"/>
      <c r="E65" s="535"/>
      <c r="F65" s="535"/>
      <c r="G65" s="535"/>
    </row>
    <row r="66" spans="1:9" s="42" customFormat="1" ht="8.25" customHeight="1" thickBot="1">
      <c r="A66" s="530"/>
      <c r="B66" s="530"/>
      <c r="C66" s="530"/>
      <c r="D66" s="530"/>
      <c r="E66" s="530"/>
      <c r="F66" s="530"/>
      <c r="G66" s="530"/>
      <c r="H66" s="16"/>
      <c r="I66" s="16"/>
    </row>
    <row r="67" spans="1:9" s="42" customFormat="1" ht="9.25" customHeight="1">
      <c r="D67" s="48"/>
      <c r="E67" s="49"/>
      <c r="F67" s="49"/>
      <c r="G67" s="192"/>
      <c r="H67" s="16"/>
      <c r="I67" s="16"/>
    </row>
    <row r="68" spans="1:9" s="42" customFormat="1" ht="15.25" customHeight="1">
      <c r="B68" s="106"/>
      <c r="C68" s="49"/>
      <c r="D68" s="299"/>
      <c r="E68" s="543"/>
      <c r="F68" s="543"/>
      <c r="G68" s="192" t="s">
        <v>649</v>
      </c>
      <c r="I68" s="16"/>
    </row>
    <row r="69" spans="1:9" s="42" customFormat="1" ht="15.25" customHeight="1">
      <c r="B69" s="106"/>
      <c r="C69" s="49"/>
      <c r="D69" s="299"/>
      <c r="E69" s="543"/>
      <c r="F69" s="543"/>
      <c r="G69" s="192" t="s">
        <v>650</v>
      </c>
      <c r="I69" s="16"/>
    </row>
    <row r="70" spans="1:9" s="1" customFormat="1" ht="14">
      <c r="E70" s="544"/>
      <c r="F70" s="544"/>
      <c r="G70" s="193" t="s">
        <v>651</v>
      </c>
      <c r="I70" s="16"/>
    </row>
    <row r="71" spans="1:9" s="1" customFormat="1" ht="14">
      <c r="E71" s="544"/>
      <c r="F71" s="544"/>
      <c r="G71" s="193" t="s">
        <v>652</v>
      </c>
      <c r="I71" s="16"/>
    </row>
  </sheetData>
  <mergeCells count="1">
    <mergeCell ref="B6:C6"/>
  </mergeCells>
  <conditionalFormatting sqref="C11">
    <cfRule type="cellIs" dxfId="15" priority="2" stopIfTrue="1" operator="lessThan">
      <formula>0</formula>
    </cfRule>
  </conditionalFormatting>
  <conditionalFormatting sqref="C13:C15">
    <cfRule type="cellIs" dxfId="14" priority="8" stopIfTrue="1" operator="lessThan">
      <formula>0</formula>
    </cfRule>
  </conditionalFormatting>
  <conditionalFormatting sqref="C17:C19">
    <cfRule type="cellIs" dxfId="13" priority="6" stopIfTrue="1" operator="lessThan">
      <formula>0</formula>
    </cfRule>
  </conditionalFormatting>
  <conditionalFormatting sqref="C23:C27">
    <cfRule type="cellIs" dxfId="12" priority="7" stopIfTrue="1" operator="lessThan">
      <formula>0</formula>
    </cfRule>
  </conditionalFormatting>
  <conditionalFormatting sqref="C37">
    <cfRule type="cellIs" dxfId="11" priority="9" stopIfTrue="1" operator="lessThan">
      <formula>0</formula>
    </cfRule>
  </conditionalFormatting>
  <conditionalFormatting sqref="C41">
    <cfRule type="cellIs" dxfId="10" priority="1" stopIfTrue="1" operator="lessThan">
      <formula>0</formula>
    </cfRule>
  </conditionalFormatting>
  <conditionalFormatting sqref="C43:C45">
    <cfRule type="cellIs" dxfId="9" priority="5" stopIfTrue="1" operator="lessThan">
      <formula>0</formula>
    </cfRule>
  </conditionalFormatting>
  <conditionalFormatting sqref="C47:C49">
    <cfRule type="cellIs" dxfId="8" priority="3" stopIfTrue="1" operator="lessThan">
      <formula>0</formula>
    </cfRule>
  </conditionalFormatting>
  <conditionalFormatting sqref="C53:C57">
    <cfRule type="cellIs" dxfId="7" priority="4"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70"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5E3B8-9973-4BAF-AAAC-265BA7485069}">
  <sheetPr codeName="Sheet45">
    <pageSetUpPr fitToPage="1"/>
  </sheetPr>
  <dimension ref="A1:K31"/>
  <sheetViews>
    <sheetView view="pageBreakPreview" zoomScaleNormal="100" zoomScaleSheetLayoutView="100" workbookViewId="0">
      <selection activeCell="D60" sqref="D60"/>
    </sheetView>
  </sheetViews>
  <sheetFormatPr baseColWidth="10" defaultColWidth="8.83203125" defaultRowHeight="15"/>
  <cols>
    <col min="1" max="1" width="3.6640625" customWidth="1"/>
    <col min="5" max="5" width="37.6640625" customWidth="1"/>
    <col min="6" max="6" width="6.5" customWidth="1"/>
    <col min="7" max="7" width="3.1640625" customWidth="1"/>
    <col min="8" max="8" width="11.33203125" customWidth="1"/>
    <col min="9" max="9" width="13.33203125" customWidth="1"/>
    <col min="10" max="10" width="12.5" style="404" customWidth="1"/>
  </cols>
  <sheetData>
    <row r="1" spans="1:10" s="545" customFormat="1" ht="8.25" customHeight="1"/>
    <row r="2" spans="1:10" s="545" customFormat="1" ht="8.25" customHeight="1"/>
    <row r="3" spans="1:10" s="545" customFormat="1" ht="16.5" customHeight="1">
      <c r="A3" s="1333" t="s">
        <v>659</v>
      </c>
      <c r="B3" s="1333"/>
      <c r="C3" s="3" t="s">
        <v>660</v>
      </c>
      <c r="F3" s="547"/>
    </row>
    <row r="4" spans="1:10" s="545" customFormat="1" ht="16.5" customHeight="1">
      <c r="A4" s="1334" t="s">
        <v>661</v>
      </c>
      <c r="B4" s="1334"/>
      <c r="C4" s="6" t="s">
        <v>662</v>
      </c>
      <c r="D4" s="549"/>
      <c r="E4" s="549"/>
      <c r="F4" s="547"/>
    </row>
    <row r="5" spans="1:10" s="545" customFormat="1" ht="13.25" customHeight="1" thickBot="1">
      <c r="A5" s="550"/>
      <c r="B5" s="550"/>
      <c r="C5" s="550"/>
      <c r="D5" s="550"/>
      <c r="E5" s="550"/>
      <c r="F5" s="351"/>
    </row>
    <row r="6" spans="1:10" s="551" customFormat="1" ht="43.25" customHeight="1" thickBot="1">
      <c r="A6" s="10"/>
      <c r="B6" s="1273" t="s">
        <v>663</v>
      </c>
      <c r="C6" s="1293"/>
      <c r="D6" s="10"/>
      <c r="E6" s="10"/>
      <c r="F6" s="11"/>
      <c r="G6" s="11"/>
      <c r="H6" s="11">
        <v>2021</v>
      </c>
      <c r="I6" s="11">
        <v>2022</v>
      </c>
      <c r="J6" s="11">
        <v>2023</v>
      </c>
    </row>
    <row r="7" spans="1:10" s="551" customFormat="1" ht="16.5" customHeight="1">
      <c r="B7" s="552"/>
      <c r="C7" s="553"/>
      <c r="D7" s="258"/>
      <c r="E7" s="258"/>
      <c r="F7" s="258"/>
      <c r="G7" s="554"/>
      <c r="H7" s="554"/>
      <c r="I7" s="554"/>
      <c r="J7" s="554"/>
    </row>
    <row r="8" spans="1:10" s="551" customFormat="1" ht="15.25" customHeight="1">
      <c r="B8" s="555" t="s">
        <v>664</v>
      </c>
      <c r="C8" s="553"/>
      <c r="D8" s="258"/>
      <c r="E8" s="258"/>
      <c r="F8" s="258"/>
      <c r="G8" s="554"/>
      <c r="H8" s="554"/>
      <c r="I8" s="554"/>
      <c r="J8" s="554"/>
    </row>
    <row r="9" spans="1:10" s="551" customFormat="1" ht="15.25" customHeight="1">
      <c r="B9" s="556" t="s">
        <v>665</v>
      </c>
      <c r="C9" s="553"/>
      <c r="D9" s="557"/>
      <c r="E9" s="557"/>
      <c r="F9" s="557"/>
      <c r="G9" s="557"/>
      <c r="H9" s="558">
        <v>82</v>
      </c>
      <c r="I9" s="558">
        <v>86.2</v>
      </c>
      <c r="J9" s="131">
        <v>81.8</v>
      </c>
    </row>
    <row r="10" spans="1:10" s="551" customFormat="1" ht="15.25" customHeight="1">
      <c r="B10" s="556" t="s">
        <v>666</v>
      </c>
      <c r="C10" s="553"/>
      <c r="D10" s="557"/>
      <c r="E10" s="557"/>
      <c r="F10" s="557"/>
      <c r="G10" s="557"/>
      <c r="H10" s="558">
        <v>18</v>
      </c>
      <c r="I10" s="558">
        <v>13.8</v>
      </c>
      <c r="J10" s="131">
        <v>18.2</v>
      </c>
    </row>
    <row r="11" spans="1:10" s="551" customFormat="1" ht="16.5" customHeight="1">
      <c r="B11" s="552"/>
      <c r="C11" s="553"/>
      <c r="D11" s="559"/>
      <c r="E11" s="559"/>
      <c r="F11" s="559"/>
      <c r="G11" s="559"/>
      <c r="H11" s="558"/>
      <c r="I11" s="558"/>
      <c r="J11" s="131"/>
    </row>
    <row r="12" spans="1:10" s="551" customFormat="1" ht="15.25" customHeight="1">
      <c r="B12" s="555" t="s">
        <v>667</v>
      </c>
      <c r="C12" s="553"/>
      <c r="D12" s="258"/>
      <c r="E12" s="258"/>
      <c r="F12" s="258"/>
      <c r="G12" s="554"/>
      <c r="H12" s="558"/>
      <c r="I12" s="558"/>
      <c r="J12" s="131"/>
    </row>
    <row r="13" spans="1:10" s="551" customFormat="1" ht="15.25" customHeight="1">
      <c r="B13" s="556" t="s">
        <v>665</v>
      </c>
      <c r="C13" s="553"/>
      <c r="D13" s="557"/>
      <c r="E13" s="557"/>
      <c r="F13" s="557"/>
      <c r="G13" s="557"/>
      <c r="H13" s="558">
        <v>85.6</v>
      </c>
      <c r="I13" s="558">
        <v>84.2</v>
      </c>
      <c r="J13" s="131">
        <v>84.2</v>
      </c>
    </row>
    <row r="14" spans="1:10" s="551" customFormat="1" ht="15.25" customHeight="1">
      <c r="B14" s="556" t="s">
        <v>666</v>
      </c>
      <c r="C14" s="553"/>
      <c r="D14" s="557"/>
      <c r="E14" s="557"/>
      <c r="F14" s="557"/>
      <c r="G14" s="557"/>
      <c r="H14" s="558">
        <v>14.4</v>
      </c>
      <c r="I14" s="558">
        <v>14.9</v>
      </c>
      <c r="J14" s="131">
        <v>14.9</v>
      </c>
    </row>
    <row r="15" spans="1:10" s="551" customFormat="1" ht="16.5" customHeight="1">
      <c r="B15" s="552"/>
      <c r="C15" s="553"/>
      <c r="D15" s="559"/>
      <c r="E15" s="559"/>
      <c r="F15" s="559"/>
      <c r="G15" s="559"/>
      <c r="H15" s="558"/>
      <c r="I15" s="558"/>
      <c r="J15" s="131"/>
    </row>
    <row r="16" spans="1:10" s="551" customFormat="1" ht="15.25" customHeight="1">
      <c r="B16" s="555" t="s">
        <v>668</v>
      </c>
      <c r="C16" s="553"/>
      <c r="D16" s="258"/>
      <c r="E16" s="258"/>
      <c r="F16" s="258"/>
      <c r="G16" s="554"/>
      <c r="H16" s="558"/>
      <c r="I16" s="558"/>
      <c r="J16" s="131"/>
    </row>
    <row r="17" spans="1:11" s="551" customFormat="1" ht="15.25" customHeight="1">
      <c r="B17" s="556" t="s">
        <v>665</v>
      </c>
      <c r="C17" s="553"/>
      <c r="D17" s="557"/>
      <c r="E17" s="557"/>
      <c r="F17" s="557"/>
      <c r="G17" s="557"/>
      <c r="H17" s="558">
        <v>85.7</v>
      </c>
      <c r="I17" s="558">
        <v>84.4</v>
      </c>
      <c r="J17" s="131">
        <v>84.4</v>
      </c>
    </row>
    <row r="18" spans="1:11" s="551" customFormat="1" ht="15.25" customHeight="1">
      <c r="B18" s="556" t="s">
        <v>666</v>
      </c>
      <c r="C18" s="553"/>
      <c r="D18" s="557"/>
      <c r="E18" s="557"/>
      <c r="F18" s="557"/>
      <c r="G18" s="557"/>
      <c r="H18" s="558">
        <v>14.3</v>
      </c>
      <c r="I18" s="558">
        <v>15.6</v>
      </c>
      <c r="J18" s="131">
        <v>15.6</v>
      </c>
    </row>
    <row r="19" spans="1:11" s="551" customFormat="1" ht="16.5" customHeight="1">
      <c r="B19" s="552"/>
      <c r="C19" s="553"/>
      <c r="D19" s="559"/>
      <c r="E19" s="559"/>
      <c r="F19" s="559"/>
      <c r="G19" s="559"/>
      <c r="H19" s="558"/>
      <c r="I19" s="558"/>
      <c r="J19" s="131"/>
    </row>
    <row r="20" spans="1:11" s="551" customFormat="1" ht="15.25" customHeight="1">
      <c r="B20" s="555" t="s">
        <v>669</v>
      </c>
      <c r="C20" s="553"/>
      <c r="D20" s="258"/>
      <c r="E20" s="258"/>
      <c r="F20" s="258"/>
      <c r="G20" s="554"/>
      <c r="H20" s="558"/>
      <c r="I20" s="558"/>
      <c r="J20" s="131"/>
    </row>
    <row r="21" spans="1:11" s="551" customFormat="1" ht="15.25" customHeight="1">
      <c r="B21" s="556" t="s">
        <v>665</v>
      </c>
      <c r="C21" s="553"/>
      <c r="D21" s="557"/>
      <c r="E21" s="557"/>
      <c r="F21" s="557"/>
      <c r="G21" s="557"/>
      <c r="H21" s="558">
        <v>80.8</v>
      </c>
      <c r="I21" s="558">
        <v>89.5</v>
      </c>
      <c r="J21" s="131">
        <v>89.5</v>
      </c>
    </row>
    <row r="22" spans="1:11" s="551" customFormat="1" ht="15.25" customHeight="1">
      <c r="B22" s="556" t="s">
        <v>666</v>
      </c>
      <c r="C22" s="553"/>
      <c r="D22" s="557"/>
      <c r="E22" s="557"/>
      <c r="F22" s="557"/>
      <c r="G22" s="557"/>
      <c r="H22" s="558">
        <v>19.2</v>
      </c>
      <c r="I22" s="558">
        <v>10.5</v>
      </c>
      <c r="J22" s="131">
        <v>10.5</v>
      </c>
    </row>
    <row r="23" spans="1:11" s="351" customFormat="1" ht="15.25" customHeight="1">
      <c r="B23" s="555"/>
      <c r="C23" s="560"/>
      <c r="D23" s="239"/>
      <c r="E23" s="239"/>
      <c r="F23" s="558"/>
      <c r="G23" s="561"/>
      <c r="H23" s="558"/>
      <c r="I23" s="558"/>
      <c r="J23" s="558"/>
      <c r="K23" s="551"/>
    </row>
    <row r="24" spans="1:11" s="549" customFormat="1" ht="8.25" customHeight="1">
      <c r="B24" s="562"/>
      <c r="C24" s="555"/>
      <c r="D24" s="563"/>
      <c r="E24" s="564"/>
      <c r="F24" s="564"/>
      <c r="G24" s="565"/>
      <c r="H24" s="564"/>
      <c r="I24" s="564"/>
      <c r="J24" s="564"/>
    </row>
    <row r="25" spans="1:11" s="549" customFormat="1" ht="8.25" customHeight="1" thickBot="1">
      <c r="A25" s="566"/>
      <c r="B25" s="566"/>
      <c r="C25" s="566"/>
      <c r="D25" s="567"/>
      <c r="E25" s="567"/>
      <c r="F25" s="567"/>
      <c r="G25" s="567"/>
      <c r="H25" s="567"/>
      <c r="I25" s="567"/>
      <c r="J25" s="567"/>
    </row>
    <row r="26" spans="1:11" s="549" customFormat="1" ht="15.25" customHeight="1" thickTop="1">
      <c r="D26" s="568"/>
      <c r="E26" s="569"/>
      <c r="F26" s="564"/>
      <c r="G26" s="568"/>
      <c r="H26" s="568"/>
      <c r="I26" s="568"/>
      <c r="J26" s="192" t="s">
        <v>670</v>
      </c>
    </row>
    <row r="27" spans="1:11" s="549" customFormat="1" ht="15.25" customHeight="1">
      <c r="B27" s="570"/>
      <c r="C27" s="299"/>
      <c r="D27" s="299"/>
      <c r="E27" s="299"/>
      <c r="G27" s="299"/>
      <c r="H27" s="299"/>
      <c r="I27" s="299"/>
      <c r="J27" s="193" t="s">
        <v>671</v>
      </c>
    </row>
    <row r="28" spans="1:11" s="549" customFormat="1" ht="15.25" customHeight="1">
      <c r="B28" s="570"/>
      <c r="C28" s="299"/>
      <c r="D28" s="299"/>
      <c r="E28" s="299"/>
      <c r="G28" s="299"/>
      <c r="H28" s="299"/>
      <c r="I28" s="299"/>
      <c r="J28" s="193"/>
    </row>
    <row r="29" spans="1:11" s="549" customFormat="1" ht="15.25" customHeight="1">
      <c r="A29" s="299"/>
      <c r="B29" s="571" t="s">
        <v>134</v>
      </c>
      <c r="C29" s="299"/>
      <c r="D29" s="299"/>
      <c r="E29" s="299"/>
      <c r="G29" s="299"/>
      <c r="H29" s="299"/>
      <c r="I29" s="299"/>
      <c r="J29" s="193"/>
    </row>
    <row r="30" spans="1:11" s="574" customFormat="1" ht="15.25" customHeight="1">
      <c r="A30" s="545"/>
      <c r="B30" s="572" t="s">
        <v>672</v>
      </c>
      <c r="C30" s="351"/>
      <c r="D30" s="573"/>
      <c r="E30" s="573"/>
      <c r="F30" s="573"/>
      <c r="G30" s="545"/>
      <c r="H30" s="549"/>
      <c r="I30" s="549"/>
      <c r="J30" s="549"/>
    </row>
    <row r="31" spans="1:11" s="574" customFormat="1" ht="15.25" customHeight="1">
      <c r="A31" s="545"/>
      <c r="B31" s="575" t="s">
        <v>673</v>
      </c>
      <c r="C31" s="351"/>
      <c r="D31" s="573"/>
      <c r="E31" s="573"/>
      <c r="F31" s="573"/>
      <c r="G31" s="545"/>
      <c r="H31" s="549"/>
      <c r="I31" s="549"/>
      <c r="J31" s="549"/>
    </row>
  </sheetData>
  <mergeCells count="3">
    <mergeCell ref="A3:B3"/>
    <mergeCell ref="A4:B4"/>
    <mergeCell ref="B6:C6"/>
  </mergeCells>
  <conditionalFormatting sqref="C23">
    <cfRule type="cellIs" dxfId="6" priority="1"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74"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74A45-9635-4E64-BB1F-0DFDA031B3B7}">
  <sheetPr codeName="Sheet46">
    <pageSetUpPr fitToPage="1"/>
  </sheetPr>
  <dimension ref="A1:K59"/>
  <sheetViews>
    <sheetView view="pageBreakPreview" zoomScaleNormal="100" zoomScaleSheetLayoutView="100" workbookViewId="0">
      <selection activeCell="D60" sqref="D60"/>
    </sheetView>
  </sheetViews>
  <sheetFormatPr baseColWidth="10" defaultColWidth="8.83203125" defaultRowHeight="15"/>
  <cols>
    <col min="1" max="1" width="4" customWidth="1"/>
    <col min="5" max="5" width="41" customWidth="1"/>
    <col min="6" max="6" width="3.5" customWidth="1"/>
    <col min="7" max="7" width="2.83203125" customWidth="1"/>
    <col min="8" max="8" width="12.33203125" customWidth="1"/>
    <col min="9" max="9" width="11.83203125" customWidth="1"/>
    <col min="10" max="10" width="13.33203125" style="404" customWidth="1"/>
  </cols>
  <sheetData>
    <row r="1" spans="1:10" s="545" customFormat="1" ht="8.25" customHeight="1"/>
    <row r="2" spans="1:10" s="545" customFormat="1" ht="8.25" customHeight="1"/>
    <row r="3" spans="1:10" s="545" customFormat="1" ht="16.5" customHeight="1">
      <c r="B3" s="546" t="s">
        <v>674</v>
      </c>
      <c r="C3" s="3" t="s">
        <v>675</v>
      </c>
      <c r="F3" s="547"/>
    </row>
    <row r="4" spans="1:10" s="545" customFormat="1" ht="16.5" customHeight="1">
      <c r="B4" s="548" t="s">
        <v>676</v>
      </c>
      <c r="C4" s="6" t="s">
        <v>677</v>
      </c>
      <c r="D4" s="549"/>
      <c r="E4" s="549"/>
      <c r="F4" s="547"/>
    </row>
    <row r="5" spans="1:10" s="545" customFormat="1" ht="13.25" customHeight="1" thickBot="1">
      <c r="A5" s="550"/>
      <c r="B5" s="550"/>
      <c r="C5" s="550"/>
      <c r="D5" s="550"/>
      <c r="E5" s="550"/>
      <c r="F5" s="351"/>
    </row>
    <row r="6" spans="1:10" s="551" customFormat="1" ht="43.25" customHeight="1" thickBot="1">
      <c r="A6" s="10"/>
      <c r="B6" s="1273" t="s">
        <v>663</v>
      </c>
      <c r="C6" s="1293"/>
      <c r="D6" s="10"/>
      <c r="E6" s="10"/>
      <c r="F6" s="11"/>
      <c r="G6" s="11"/>
      <c r="H6" s="11">
        <v>2021</v>
      </c>
      <c r="I6" s="11">
        <v>2022</v>
      </c>
      <c r="J6" s="11">
        <v>2023</v>
      </c>
    </row>
    <row r="7" spans="1:10" s="551" customFormat="1" ht="16.5" customHeight="1">
      <c r="B7" s="552"/>
      <c r="C7" s="553"/>
      <c r="D7" s="258"/>
      <c r="E7" s="258"/>
      <c r="F7" s="258"/>
      <c r="G7" s="554"/>
      <c r="H7" s="554"/>
      <c r="I7" s="554"/>
      <c r="J7" s="554"/>
    </row>
    <row r="8" spans="1:10" s="551" customFormat="1" ht="16.5" customHeight="1">
      <c r="B8" s="37" t="s">
        <v>678</v>
      </c>
      <c r="C8" s="553"/>
      <c r="D8" s="258"/>
      <c r="E8" s="258"/>
      <c r="F8" s="214"/>
      <c r="G8" s="576"/>
      <c r="H8" s="214">
        <v>129</v>
      </c>
      <c r="I8" s="214">
        <v>137</v>
      </c>
      <c r="J8" s="577">
        <v>137</v>
      </c>
    </row>
    <row r="9" spans="1:10" s="551" customFormat="1" ht="15.25" customHeight="1">
      <c r="B9" s="556" t="s">
        <v>665</v>
      </c>
      <c r="C9" s="553"/>
      <c r="D9" s="557"/>
      <c r="E9" s="557"/>
      <c r="F9" s="559"/>
      <c r="G9" s="559"/>
      <c r="H9" s="239">
        <v>87</v>
      </c>
      <c r="I9" s="239">
        <v>91</v>
      </c>
      <c r="J9" s="129">
        <v>90</v>
      </c>
    </row>
    <row r="10" spans="1:10" s="551" customFormat="1" ht="15.25" customHeight="1">
      <c r="B10" s="556" t="s">
        <v>666</v>
      </c>
      <c r="C10" s="553"/>
      <c r="D10" s="557"/>
      <c r="E10" s="557"/>
      <c r="F10" s="559"/>
      <c r="G10" s="559"/>
      <c r="H10" s="239">
        <v>42</v>
      </c>
      <c r="I10" s="239">
        <v>49</v>
      </c>
      <c r="J10" s="129">
        <v>47</v>
      </c>
    </row>
    <row r="11" spans="1:10" s="551" customFormat="1" ht="16.5" customHeight="1">
      <c r="B11" s="552"/>
      <c r="C11" s="553"/>
      <c r="D11" s="258"/>
      <c r="E11" s="258"/>
      <c r="F11" s="258"/>
      <c r="G11" s="554"/>
      <c r="H11" s="239"/>
      <c r="I11" s="239"/>
      <c r="J11" s="129"/>
    </row>
    <row r="12" spans="1:10" s="551" customFormat="1" ht="15.25" customHeight="1">
      <c r="B12" s="555" t="s">
        <v>679</v>
      </c>
      <c r="C12" s="553"/>
      <c r="D12" s="258"/>
      <c r="E12" s="258"/>
      <c r="F12" s="258"/>
      <c r="G12" s="554"/>
      <c r="H12" s="239"/>
      <c r="I12" s="239"/>
      <c r="J12" s="129"/>
    </row>
    <row r="13" spans="1:10" s="551" customFormat="1" ht="15.25" customHeight="1">
      <c r="B13" s="556" t="s">
        <v>678</v>
      </c>
      <c r="C13" s="553"/>
      <c r="D13" s="258"/>
      <c r="E13" s="258"/>
      <c r="F13" s="214"/>
      <c r="G13" s="578"/>
      <c r="H13" s="214">
        <v>1</v>
      </c>
      <c r="I13" s="214">
        <v>1</v>
      </c>
      <c r="J13" s="577">
        <v>1</v>
      </c>
    </row>
    <row r="14" spans="1:10" s="551" customFormat="1" ht="15.25" customHeight="1">
      <c r="B14" s="556" t="s">
        <v>665</v>
      </c>
      <c r="C14" s="553"/>
      <c r="D14" s="557"/>
      <c r="E14" s="557"/>
      <c r="F14" s="559"/>
      <c r="G14" s="579"/>
      <c r="H14" s="580" t="s">
        <v>437</v>
      </c>
      <c r="I14" s="580" t="s">
        <v>437</v>
      </c>
      <c r="J14" s="581" t="s">
        <v>437</v>
      </c>
    </row>
    <row r="15" spans="1:10" s="551" customFormat="1" ht="15.25" customHeight="1">
      <c r="B15" s="556" t="s">
        <v>666</v>
      </c>
      <c r="C15" s="553"/>
      <c r="D15" s="557"/>
      <c r="E15" s="557"/>
      <c r="F15" s="579"/>
      <c r="G15" s="559"/>
      <c r="H15" s="239">
        <v>1</v>
      </c>
      <c r="I15" s="239">
        <v>1</v>
      </c>
      <c r="J15" s="129">
        <v>1</v>
      </c>
    </row>
    <row r="16" spans="1:10" s="551" customFormat="1" ht="16.5" customHeight="1">
      <c r="B16" s="552"/>
      <c r="C16" s="553"/>
      <c r="D16" s="559"/>
      <c r="E16" s="559"/>
      <c r="F16" s="559"/>
      <c r="G16" s="559"/>
      <c r="H16" s="239"/>
      <c r="I16" s="239"/>
      <c r="J16" s="129"/>
    </row>
    <row r="17" spans="2:10" s="551" customFormat="1" ht="15.25" customHeight="1">
      <c r="B17" s="555" t="s">
        <v>680</v>
      </c>
      <c r="C17" s="553"/>
      <c r="D17" s="258"/>
      <c r="E17" s="258"/>
      <c r="F17" s="258"/>
      <c r="G17" s="554"/>
      <c r="H17" s="239"/>
      <c r="I17" s="239"/>
      <c r="J17" s="129"/>
    </row>
    <row r="18" spans="2:10" s="551" customFormat="1" ht="15.25" customHeight="1">
      <c r="B18" s="556" t="s">
        <v>678</v>
      </c>
      <c r="C18" s="553"/>
      <c r="D18" s="258"/>
      <c r="E18" s="258"/>
      <c r="F18" s="214"/>
      <c r="G18" s="578"/>
      <c r="H18" s="214">
        <v>1</v>
      </c>
      <c r="I18" s="214">
        <v>1</v>
      </c>
      <c r="J18" s="577">
        <v>1</v>
      </c>
    </row>
    <row r="19" spans="2:10" s="551" customFormat="1" ht="15.25" customHeight="1">
      <c r="B19" s="556" t="s">
        <v>665</v>
      </c>
      <c r="C19" s="553"/>
      <c r="D19" s="557"/>
      <c r="E19" s="557"/>
      <c r="F19" s="559"/>
      <c r="G19" s="579"/>
      <c r="H19" s="580" t="s">
        <v>437</v>
      </c>
      <c r="I19" s="580" t="s">
        <v>437</v>
      </c>
      <c r="J19" s="581" t="s">
        <v>437</v>
      </c>
    </row>
    <row r="20" spans="2:10" s="551" customFormat="1" ht="15.25" customHeight="1">
      <c r="B20" s="556" t="s">
        <v>666</v>
      </c>
      <c r="C20" s="553"/>
      <c r="D20" s="557"/>
      <c r="E20" s="557"/>
      <c r="F20" s="579"/>
      <c r="G20" s="559"/>
      <c r="H20" s="239">
        <v>1</v>
      </c>
      <c r="I20" s="239">
        <v>1</v>
      </c>
      <c r="J20" s="129">
        <v>1</v>
      </c>
    </row>
    <row r="21" spans="2:10" s="551" customFormat="1" ht="16.5" customHeight="1">
      <c r="B21" s="552"/>
      <c r="C21" s="553"/>
      <c r="D21" s="559"/>
      <c r="E21" s="559"/>
      <c r="F21" s="559"/>
      <c r="G21" s="559"/>
      <c r="H21" s="239"/>
      <c r="I21" s="239"/>
      <c r="J21" s="129"/>
    </row>
    <row r="22" spans="2:10" s="551" customFormat="1" ht="15.25" customHeight="1">
      <c r="B22" s="555" t="s">
        <v>681</v>
      </c>
      <c r="C22" s="553"/>
      <c r="D22" s="258"/>
      <c r="E22" s="258"/>
      <c r="F22" s="258"/>
      <c r="G22" s="554"/>
      <c r="H22" s="239"/>
      <c r="I22" s="239"/>
      <c r="J22" s="129"/>
    </row>
    <row r="23" spans="2:10" s="551" customFormat="1" ht="15.25" customHeight="1">
      <c r="B23" s="556" t="s">
        <v>678</v>
      </c>
      <c r="C23" s="553"/>
      <c r="D23" s="258"/>
      <c r="E23" s="258"/>
      <c r="F23" s="214"/>
      <c r="G23" s="578"/>
      <c r="H23" s="214">
        <v>1</v>
      </c>
      <c r="I23" s="214">
        <v>1</v>
      </c>
      <c r="J23" s="577">
        <v>1</v>
      </c>
    </row>
    <row r="24" spans="2:10" s="551" customFormat="1" ht="15.25" customHeight="1">
      <c r="B24" s="556" t="s">
        <v>665</v>
      </c>
      <c r="C24" s="553"/>
      <c r="D24" s="557"/>
      <c r="E24" s="557"/>
      <c r="F24" s="559"/>
      <c r="G24" s="579"/>
      <c r="H24" s="580" t="s">
        <v>437</v>
      </c>
      <c r="I24" s="239">
        <v>1</v>
      </c>
      <c r="J24" s="129">
        <v>1</v>
      </c>
    </row>
    <row r="25" spans="2:10" s="551" customFormat="1" ht="15.25" customHeight="1">
      <c r="B25" s="556" t="s">
        <v>666</v>
      </c>
      <c r="C25" s="553"/>
      <c r="D25" s="557"/>
      <c r="E25" s="557"/>
      <c r="F25" s="579"/>
      <c r="G25" s="559"/>
      <c r="H25" s="239">
        <v>1</v>
      </c>
      <c r="I25" s="580" t="s">
        <v>437</v>
      </c>
      <c r="J25" s="581" t="s">
        <v>437</v>
      </c>
    </row>
    <row r="26" spans="2:10" s="551" customFormat="1" ht="16.5" customHeight="1">
      <c r="B26" s="552"/>
      <c r="C26" s="553"/>
      <c r="D26" s="559"/>
      <c r="E26" s="559"/>
      <c r="F26" s="559"/>
      <c r="G26" s="559"/>
      <c r="H26" s="239"/>
      <c r="I26" s="239"/>
      <c r="J26" s="129"/>
    </row>
    <row r="27" spans="2:10" s="551" customFormat="1" ht="15.25" customHeight="1">
      <c r="B27" s="555" t="s">
        <v>682</v>
      </c>
      <c r="C27" s="553"/>
      <c r="D27" s="258"/>
      <c r="E27" s="258"/>
      <c r="F27" s="258"/>
      <c r="G27" s="554"/>
      <c r="H27" s="239"/>
      <c r="I27" s="239"/>
      <c r="J27" s="129"/>
    </row>
    <row r="28" spans="2:10" s="551" customFormat="1" ht="15.25" customHeight="1">
      <c r="B28" s="556" t="s">
        <v>678</v>
      </c>
      <c r="C28" s="553"/>
      <c r="D28" s="258"/>
      <c r="E28" s="258"/>
      <c r="F28" s="214"/>
      <c r="G28" s="578"/>
      <c r="H28" s="214">
        <v>1</v>
      </c>
      <c r="I28" s="214">
        <v>1</v>
      </c>
      <c r="J28" s="577">
        <v>1</v>
      </c>
    </row>
    <row r="29" spans="2:10" s="551" customFormat="1" ht="15.25" customHeight="1">
      <c r="B29" s="556" t="s">
        <v>665</v>
      </c>
      <c r="C29" s="553"/>
      <c r="D29" s="557"/>
      <c r="E29" s="557"/>
      <c r="F29" s="559"/>
      <c r="G29" s="579"/>
      <c r="H29" s="580">
        <v>1</v>
      </c>
      <c r="I29" s="239">
        <v>1</v>
      </c>
      <c r="J29" s="129">
        <v>1</v>
      </c>
    </row>
    <row r="30" spans="2:10" s="551" customFormat="1" ht="15.25" customHeight="1">
      <c r="B30" s="556" t="s">
        <v>666</v>
      </c>
      <c r="C30" s="553"/>
      <c r="D30" s="557"/>
      <c r="E30" s="557"/>
      <c r="F30" s="579"/>
      <c r="G30" s="579"/>
      <c r="H30" s="580" t="s">
        <v>437</v>
      </c>
      <c r="I30" s="580" t="s">
        <v>437</v>
      </c>
      <c r="J30" s="581" t="s">
        <v>437</v>
      </c>
    </row>
    <row r="31" spans="2:10" s="551" customFormat="1" ht="16.5" customHeight="1">
      <c r="B31" s="552"/>
      <c r="C31" s="553"/>
      <c r="D31" s="258"/>
      <c r="E31" s="258"/>
      <c r="F31" s="258"/>
      <c r="G31" s="554"/>
      <c r="H31" s="239"/>
      <c r="I31" s="239"/>
      <c r="J31" s="129"/>
    </row>
    <row r="32" spans="2:10" s="551" customFormat="1" ht="15.25" customHeight="1">
      <c r="B32" s="555" t="s">
        <v>683</v>
      </c>
      <c r="C32" s="553"/>
      <c r="D32" s="258"/>
      <c r="E32" s="258"/>
      <c r="F32" s="258"/>
      <c r="G32" s="554"/>
      <c r="H32" s="239"/>
      <c r="I32" s="239"/>
      <c r="J32" s="129"/>
    </row>
    <row r="33" spans="2:10" s="551" customFormat="1" ht="15.25" customHeight="1">
      <c r="B33" s="556" t="s">
        <v>678</v>
      </c>
      <c r="C33" s="553"/>
      <c r="D33" s="258"/>
      <c r="E33" s="258"/>
      <c r="F33" s="214"/>
      <c r="G33" s="578"/>
      <c r="H33" s="214">
        <v>9</v>
      </c>
      <c r="I33" s="214">
        <v>10</v>
      </c>
      <c r="J33" s="577">
        <v>10</v>
      </c>
    </row>
    <row r="34" spans="2:10" s="551" customFormat="1" ht="15.25" customHeight="1">
      <c r="B34" s="556" t="s">
        <v>665</v>
      </c>
      <c r="C34" s="553"/>
      <c r="D34" s="557"/>
      <c r="E34" s="557"/>
      <c r="F34" s="559"/>
      <c r="G34" s="559"/>
      <c r="H34" s="239">
        <v>5</v>
      </c>
      <c r="I34" s="239">
        <v>4</v>
      </c>
      <c r="J34" s="129">
        <v>4</v>
      </c>
    </row>
    <row r="35" spans="2:10" s="551" customFormat="1" ht="15.25" customHeight="1">
      <c r="B35" s="556" t="s">
        <v>666</v>
      </c>
      <c r="C35" s="553"/>
      <c r="D35" s="557"/>
      <c r="E35" s="557"/>
      <c r="F35" s="559"/>
      <c r="G35" s="559"/>
      <c r="H35" s="239">
        <v>4</v>
      </c>
      <c r="I35" s="239">
        <v>5</v>
      </c>
      <c r="J35" s="129">
        <v>6</v>
      </c>
    </row>
    <row r="36" spans="2:10" s="551" customFormat="1" ht="16.5" customHeight="1">
      <c r="B36" s="552"/>
      <c r="C36" s="553"/>
      <c r="D36" s="559"/>
      <c r="E36" s="559"/>
      <c r="F36" s="559"/>
      <c r="G36" s="559"/>
      <c r="H36" s="239"/>
      <c r="I36" s="239"/>
      <c r="J36" s="129"/>
    </row>
    <row r="37" spans="2:10" s="551" customFormat="1" ht="15.25" customHeight="1">
      <c r="B37" s="351" t="s">
        <v>684</v>
      </c>
      <c r="C37" s="553"/>
      <c r="D37" s="258"/>
      <c r="E37" s="258"/>
      <c r="F37" s="258"/>
      <c r="G37" s="554"/>
      <c r="H37" s="239"/>
      <c r="I37" s="239"/>
      <c r="J37" s="129"/>
    </row>
    <row r="38" spans="2:10" s="551" customFormat="1" ht="15.25" customHeight="1">
      <c r="B38" s="556" t="s">
        <v>678</v>
      </c>
      <c r="C38" s="553"/>
      <c r="D38" s="258"/>
      <c r="E38" s="258"/>
      <c r="F38" s="214"/>
      <c r="G38" s="578"/>
      <c r="H38" s="214">
        <v>24</v>
      </c>
      <c r="I38" s="214">
        <v>26</v>
      </c>
      <c r="J38" s="577">
        <v>28</v>
      </c>
    </row>
    <row r="39" spans="2:10" s="551" customFormat="1" ht="15.25" customHeight="1">
      <c r="B39" s="556" t="s">
        <v>665</v>
      </c>
      <c r="C39" s="553"/>
      <c r="D39" s="557"/>
      <c r="E39" s="557"/>
      <c r="F39" s="559"/>
      <c r="G39" s="559"/>
      <c r="H39" s="239">
        <v>13</v>
      </c>
      <c r="I39" s="239">
        <v>18</v>
      </c>
      <c r="J39" s="129">
        <v>19</v>
      </c>
    </row>
    <row r="40" spans="2:10" s="551" customFormat="1" ht="15.25" customHeight="1">
      <c r="B40" s="556" t="s">
        <v>666</v>
      </c>
      <c r="C40" s="553"/>
      <c r="D40" s="557"/>
      <c r="E40" s="557"/>
      <c r="F40" s="559"/>
      <c r="G40" s="559"/>
      <c r="H40" s="239">
        <v>11</v>
      </c>
      <c r="I40" s="239">
        <v>8</v>
      </c>
      <c r="J40" s="129">
        <v>9</v>
      </c>
    </row>
    <row r="41" spans="2:10" s="551" customFormat="1" ht="16.5" customHeight="1">
      <c r="B41" s="552"/>
      <c r="C41" s="553"/>
      <c r="D41" s="559"/>
      <c r="E41" s="559"/>
      <c r="F41" s="559"/>
      <c r="G41" s="559"/>
      <c r="H41" s="239"/>
      <c r="I41" s="239"/>
      <c r="J41" s="129"/>
    </row>
    <row r="42" spans="2:10" s="551" customFormat="1" ht="15.25" customHeight="1">
      <c r="B42" s="555" t="s">
        <v>685</v>
      </c>
      <c r="C42" s="553"/>
      <c r="D42" s="258"/>
      <c r="E42" s="258"/>
      <c r="F42" s="258"/>
      <c r="G42" s="554"/>
      <c r="H42" s="239"/>
      <c r="I42" s="239"/>
      <c r="J42" s="129"/>
    </row>
    <row r="43" spans="2:10" s="551" customFormat="1" ht="15.25" customHeight="1">
      <c r="B43" s="556" t="s">
        <v>678</v>
      </c>
      <c r="C43" s="553"/>
      <c r="D43" s="258"/>
      <c r="E43" s="258"/>
      <c r="F43" s="214"/>
      <c r="G43" s="578"/>
      <c r="H43" s="214">
        <v>59</v>
      </c>
      <c r="I43" s="214">
        <v>58</v>
      </c>
      <c r="J43" s="577">
        <v>50</v>
      </c>
    </row>
    <row r="44" spans="2:10" s="551" customFormat="1" ht="15.25" customHeight="1">
      <c r="B44" s="556" t="s">
        <v>665</v>
      </c>
      <c r="C44" s="553"/>
      <c r="D44" s="557"/>
      <c r="E44" s="557"/>
      <c r="F44" s="559"/>
      <c r="G44" s="559"/>
      <c r="H44" s="239">
        <v>42</v>
      </c>
      <c r="I44" s="239">
        <v>40</v>
      </c>
      <c r="J44" s="129">
        <v>36</v>
      </c>
    </row>
    <row r="45" spans="2:10" s="551" customFormat="1" ht="15.25" customHeight="1">
      <c r="B45" s="556" t="s">
        <v>666</v>
      </c>
      <c r="C45" s="553"/>
      <c r="D45" s="557"/>
      <c r="E45" s="557"/>
      <c r="F45" s="559"/>
      <c r="G45" s="559"/>
      <c r="H45" s="239">
        <v>17</v>
      </c>
      <c r="I45" s="239">
        <v>18</v>
      </c>
      <c r="J45" s="129">
        <v>14</v>
      </c>
    </row>
    <row r="46" spans="2:10" s="551" customFormat="1" ht="16.5" customHeight="1">
      <c r="B46" s="552"/>
      <c r="C46" s="553"/>
      <c r="D46" s="559"/>
      <c r="E46" s="559"/>
      <c r="F46" s="559"/>
      <c r="G46" s="559"/>
      <c r="H46" s="239"/>
      <c r="I46" s="239"/>
      <c r="J46" s="129"/>
    </row>
    <row r="47" spans="2:10" s="551" customFormat="1" ht="15.25" customHeight="1">
      <c r="B47" s="555" t="s">
        <v>686</v>
      </c>
      <c r="C47" s="553"/>
      <c r="D47" s="258"/>
      <c r="E47" s="258"/>
      <c r="F47" s="258"/>
      <c r="G47" s="554"/>
      <c r="H47" s="239"/>
      <c r="I47" s="239"/>
      <c r="J47" s="129"/>
    </row>
    <row r="48" spans="2:10" s="551" customFormat="1" ht="15.25" customHeight="1">
      <c r="B48" s="556" t="s">
        <v>678</v>
      </c>
      <c r="C48" s="553"/>
      <c r="D48" s="258"/>
      <c r="E48" s="258"/>
      <c r="F48" s="214"/>
      <c r="G48" s="578"/>
      <c r="H48" s="214">
        <v>33</v>
      </c>
      <c r="I48" s="214">
        <v>39</v>
      </c>
      <c r="J48" s="577">
        <v>45</v>
      </c>
    </row>
    <row r="49" spans="1:11" s="551" customFormat="1" ht="15.25" customHeight="1">
      <c r="B49" s="556" t="s">
        <v>665</v>
      </c>
      <c r="C49" s="553"/>
      <c r="D49" s="557"/>
      <c r="E49" s="557"/>
      <c r="F49" s="559"/>
      <c r="G49" s="559"/>
      <c r="H49" s="239">
        <v>8</v>
      </c>
      <c r="I49" s="239">
        <v>27</v>
      </c>
      <c r="J49" s="129">
        <v>29</v>
      </c>
    </row>
    <row r="50" spans="1:11" s="551" customFormat="1" ht="15.25" customHeight="1">
      <c r="B50" s="556" t="s">
        <v>666</v>
      </c>
      <c r="C50" s="553"/>
      <c r="D50" s="557"/>
      <c r="E50" s="557"/>
      <c r="F50" s="559"/>
      <c r="G50" s="559"/>
      <c r="H50" s="239">
        <v>25</v>
      </c>
      <c r="I50" s="239">
        <v>12</v>
      </c>
      <c r="J50" s="129">
        <v>16</v>
      </c>
    </row>
    <row r="51" spans="1:11" s="351" customFormat="1" ht="15.25" customHeight="1">
      <c r="B51" s="555"/>
      <c r="C51" s="560"/>
      <c r="D51" s="239"/>
      <c r="E51" s="239"/>
      <c r="F51" s="558"/>
      <c r="G51" s="554"/>
      <c r="H51" s="239"/>
      <c r="I51" s="239"/>
      <c r="J51" s="239"/>
      <c r="K51" s="551"/>
    </row>
    <row r="52" spans="1:11" s="549" customFormat="1" ht="8.25" customHeight="1">
      <c r="B52" s="562"/>
      <c r="C52" s="555"/>
      <c r="D52" s="563"/>
      <c r="E52" s="564"/>
      <c r="F52" s="564"/>
      <c r="G52" s="565"/>
      <c r="H52" s="582"/>
      <c r="I52" s="582"/>
      <c r="J52" s="582"/>
    </row>
    <row r="53" spans="1:11" s="549" customFormat="1" ht="8.25" customHeight="1" thickBot="1">
      <c r="A53" s="583"/>
      <c r="B53" s="583"/>
      <c r="C53" s="583"/>
      <c r="D53" s="584"/>
      <c r="E53" s="584"/>
      <c r="F53" s="584"/>
      <c r="G53" s="584"/>
      <c r="H53" s="584"/>
      <c r="I53" s="584"/>
      <c r="J53" s="584"/>
    </row>
    <row r="54" spans="1:11" s="549" customFormat="1" ht="15.25" customHeight="1">
      <c r="D54" s="568"/>
      <c r="E54" s="569"/>
      <c r="F54" s="564"/>
      <c r="G54" s="568"/>
      <c r="H54" s="568"/>
      <c r="I54" s="568"/>
      <c r="J54" s="192" t="s">
        <v>687</v>
      </c>
    </row>
    <row r="55" spans="1:11" s="549" customFormat="1" ht="15.25" customHeight="1">
      <c r="B55" s="570"/>
      <c r="C55" s="299"/>
      <c r="D55" s="299"/>
      <c r="E55" s="299"/>
      <c r="G55" s="299"/>
      <c r="H55" s="299"/>
      <c r="I55" s="299"/>
      <c r="J55" s="193" t="s">
        <v>688</v>
      </c>
    </row>
    <row r="56" spans="1:11" s="549" customFormat="1" ht="15.25" customHeight="1">
      <c r="B56" s="570"/>
      <c r="C56" s="299"/>
      <c r="D56" s="299"/>
      <c r="E56" s="299"/>
      <c r="G56" s="299"/>
      <c r="H56" s="299"/>
      <c r="I56" s="299"/>
      <c r="J56" s="193"/>
    </row>
    <row r="57" spans="1:11" s="549" customFormat="1" ht="15.25" customHeight="1">
      <c r="A57" s="299"/>
      <c r="B57" s="299"/>
      <c r="C57" s="299"/>
      <c r="D57" s="299"/>
      <c r="E57" s="299"/>
      <c r="G57" s="299"/>
      <c r="H57" s="299"/>
      <c r="I57" s="299"/>
      <c r="J57" s="193"/>
    </row>
    <row r="58" spans="1:11" s="574" customFormat="1" ht="15.25" customHeight="1">
      <c r="A58" s="545"/>
      <c r="B58" s="585"/>
      <c r="C58" s="351"/>
      <c r="D58" s="573"/>
      <c r="E58" s="573"/>
      <c r="F58" s="573"/>
      <c r="G58" s="545"/>
      <c r="H58" s="549"/>
      <c r="I58" s="549"/>
      <c r="J58" s="549"/>
    </row>
    <row r="59" spans="1:11" s="574" customFormat="1" ht="15.25" customHeight="1">
      <c r="A59" s="545"/>
      <c r="B59" s="586"/>
      <c r="C59" s="351"/>
      <c r="D59" s="573"/>
      <c r="E59" s="573"/>
      <c r="F59" s="573"/>
      <c r="G59" s="545"/>
      <c r="H59" s="549"/>
      <c r="I59" s="549"/>
      <c r="J59" s="549"/>
    </row>
  </sheetData>
  <mergeCells count="1">
    <mergeCell ref="B6:C6"/>
  </mergeCells>
  <conditionalFormatting sqref="C51">
    <cfRule type="cellIs" dxfId="5" priority="1"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74"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8F2AC-2432-4D3C-89B1-C0CE3F6DE883}">
  <sheetPr codeName="Sheet47">
    <pageSetUpPr fitToPage="1"/>
  </sheetPr>
  <dimension ref="A1:K44"/>
  <sheetViews>
    <sheetView view="pageBreakPreview" zoomScaleNormal="100" zoomScaleSheetLayoutView="100" workbookViewId="0">
      <selection activeCell="D60" sqref="D60"/>
    </sheetView>
  </sheetViews>
  <sheetFormatPr baseColWidth="10" defaultColWidth="8.83203125" defaultRowHeight="15"/>
  <cols>
    <col min="1" max="1" width="3.5" customWidth="1"/>
    <col min="5" max="5" width="44" customWidth="1"/>
    <col min="6" max="7" width="2.33203125" customWidth="1"/>
    <col min="8" max="8" width="12.33203125" customWidth="1"/>
    <col min="9" max="9" width="12.5" customWidth="1"/>
    <col min="10" max="10" width="13" style="404" customWidth="1"/>
  </cols>
  <sheetData>
    <row r="1" spans="1:10" s="545" customFormat="1" ht="8.25" customHeight="1"/>
    <row r="2" spans="1:10" s="545" customFormat="1" ht="8.25" customHeight="1"/>
    <row r="3" spans="1:10" s="545" customFormat="1" ht="16.5" customHeight="1">
      <c r="B3" s="546" t="s">
        <v>689</v>
      </c>
      <c r="C3" s="3" t="s">
        <v>690</v>
      </c>
      <c r="F3" s="547"/>
    </row>
    <row r="4" spans="1:10" s="545" customFormat="1" ht="16.5" customHeight="1">
      <c r="B4" s="548" t="s">
        <v>691</v>
      </c>
      <c r="C4" s="6" t="s">
        <v>692</v>
      </c>
      <c r="D4" s="549"/>
      <c r="E4" s="549"/>
      <c r="F4" s="547"/>
    </row>
    <row r="5" spans="1:10" s="545" customFormat="1" ht="13.25" customHeight="1" thickBot="1">
      <c r="A5" s="550"/>
      <c r="B5" s="550"/>
      <c r="C5" s="550"/>
      <c r="D5" s="550"/>
      <c r="E5" s="550"/>
      <c r="F5" s="351"/>
    </row>
    <row r="6" spans="1:10" s="551" customFormat="1" ht="43.25" customHeight="1" thickBot="1">
      <c r="A6" s="10"/>
      <c r="B6" s="1273" t="s">
        <v>663</v>
      </c>
      <c r="C6" s="1293"/>
      <c r="D6" s="10"/>
      <c r="E6" s="10"/>
      <c r="F6" s="11"/>
      <c r="G6" s="11"/>
      <c r="H6" s="11">
        <v>2021</v>
      </c>
      <c r="I6" s="11">
        <v>2022</v>
      </c>
      <c r="J6" s="11">
        <v>2023</v>
      </c>
    </row>
    <row r="7" spans="1:10" s="551" customFormat="1" ht="16.5" customHeight="1">
      <c r="B7" s="552"/>
      <c r="C7" s="553"/>
      <c r="D7" s="258"/>
      <c r="E7" s="258"/>
      <c r="F7" s="258"/>
      <c r="G7" s="587"/>
      <c r="H7" s="554"/>
      <c r="I7" s="554"/>
      <c r="J7" s="554"/>
    </row>
    <row r="8" spans="1:10" s="551" customFormat="1" ht="16.5" customHeight="1">
      <c r="B8" s="37" t="s">
        <v>678</v>
      </c>
      <c r="C8" s="553"/>
      <c r="D8" s="258"/>
      <c r="E8" s="258"/>
      <c r="F8" s="239"/>
      <c r="G8" s="588"/>
      <c r="H8" s="214">
        <v>202</v>
      </c>
      <c r="I8" s="214">
        <v>204</v>
      </c>
      <c r="J8" s="214">
        <v>201</v>
      </c>
    </row>
    <row r="9" spans="1:10" s="551" customFormat="1" ht="15.25" customHeight="1">
      <c r="B9" s="556" t="s">
        <v>665</v>
      </c>
      <c r="C9" s="553"/>
      <c r="D9" s="557"/>
      <c r="E9" s="557"/>
      <c r="F9" s="559"/>
      <c r="G9" s="559"/>
      <c r="H9" s="239">
        <v>175</v>
      </c>
      <c r="I9" s="239">
        <v>175</v>
      </c>
      <c r="J9" s="239">
        <v>170</v>
      </c>
    </row>
    <row r="10" spans="1:10" s="551" customFormat="1" ht="15.25" customHeight="1">
      <c r="B10" s="556" t="s">
        <v>666</v>
      </c>
      <c r="C10" s="553"/>
      <c r="D10" s="557"/>
      <c r="E10" s="557"/>
      <c r="F10" s="559"/>
      <c r="G10" s="559"/>
      <c r="H10" s="239">
        <v>27</v>
      </c>
      <c r="I10" s="239">
        <v>29</v>
      </c>
      <c r="J10" s="239">
        <v>31</v>
      </c>
    </row>
    <row r="11" spans="1:10" s="551" customFormat="1" ht="16.5" customHeight="1">
      <c r="B11" s="552"/>
      <c r="C11" s="553"/>
      <c r="D11" s="258"/>
      <c r="E11" s="258"/>
      <c r="F11" s="558"/>
      <c r="G11" s="588"/>
      <c r="H11" s="239"/>
      <c r="I11" s="239"/>
      <c r="J11" s="239"/>
    </row>
    <row r="12" spans="1:10" s="551" customFormat="1" ht="15.25" customHeight="1">
      <c r="B12" s="555" t="s">
        <v>693</v>
      </c>
      <c r="C12" s="553"/>
      <c r="D12" s="258"/>
      <c r="E12" s="258"/>
      <c r="F12" s="558"/>
      <c r="G12" s="588"/>
      <c r="H12" s="239"/>
      <c r="I12" s="239"/>
      <c r="J12" s="239"/>
    </row>
    <row r="13" spans="1:10" s="551" customFormat="1" ht="15.25" customHeight="1">
      <c r="B13" s="556" t="s">
        <v>678</v>
      </c>
      <c r="C13" s="553"/>
      <c r="D13" s="258"/>
      <c r="E13" s="258"/>
      <c r="F13" s="239"/>
      <c r="G13" s="239"/>
      <c r="H13" s="214">
        <v>1</v>
      </c>
      <c r="I13" s="214">
        <v>1</v>
      </c>
      <c r="J13" s="214">
        <v>1</v>
      </c>
    </row>
    <row r="14" spans="1:10" s="551" customFormat="1" ht="15.25" customHeight="1">
      <c r="B14" s="556" t="s">
        <v>665</v>
      </c>
      <c r="C14" s="553"/>
      <c r="D14" s="557"/>
      <c r="E14" s="557"/>
      <c r="F14" s="559"/>
      <c r="G14" s="559"/>
      <c r="H14" s="239">
        <v>1</v>
      </c>
      <c r="I14" s="239">
        <v>1</v>
      </c>
      <c r="J14" s="580">
        <v>1</v>
      </c>
    </row>
    <row r="15" spans="1:10" s="551" customFormat="1" ht="15.25" customHeight="1">
      <c r="B15" s="556" t="s">
        <v>666</v>
      </c>
      <c r="C15" s="553"/>
      <c r="D15" s="557"/>
      <c r="E15" s="557"/>
      <c r="F15" s="579"/>
      <c r="G15" s="579"/>
      <c r="H15" s="580" t="s">
        <v>437</v>
      </c>
      <c r="I15" s="580" t="s">
        <v>437</v>
      </c>
      <c r="J15" s="580" t="s">
        <v>437</v>
      </c>
    </row>
    <row r="16" spans="1:10" s="551" customFormat="1" ht="16.5" customHeight="1">
      <c r="B16" s="552"/>
      <c r="C16" s="553"/>
      <c r="D16" s="559"/>
      <c r="E16" s="559"/>
      <c r="F16" s="559"/>
      <c r="G16" s="559"/>
      <c r="H16" s="239"/>
      <c r="I16" s="239"/>
      <c r="J16" s="239"/>
    </row>
    <row r="17" spans="2:10" s="551" customFormat="1" ht="15.25" customHeight="1">
      <c r="B17" s="555" t="s">
        <v>694</v>
      </c>
      <c r="C17" s="553"/>
      <c r="D17" s="258"/>
      <c r="E17" s="258"/>
      <c r="F17" s="558"/>
      <c r="G17" s="588"/>
      <c r="H17" s="239"/>
      <c r="I17" s="239"/>
      <c r="J17" s="239"/>
    </row>
    <row r="18" spans="2:10" s="551" customFormat="1" ht="15.25" customHeight="1">
      <c r="B18" s="556" t="s">
        <v>678</v>
      </c>
      <c r="C18" s="553"/>
      <c r="D18" s="258"/>
      <c r="E18" s="258"/>
      <c r="F18" s="239"/>
      <c r="G18" s="239"/>
      <c r="H18" s="214">
        <v>6</v>
      </c>
      <c r="I18" s="214">
        <v>6</v>
      </c>
      <c r="J18" s="214">
        <v>5</v>
      </c>
    </row>
    <row r="19" spans="2:10" s="551" customFormat="1" ht="15.25" customHeight="1">
      <c r="B19" s="556" t="s">
        <v>665</v>
      </c>
      <c r="C19" s="553"/>
      <c r="D19" s="557"/>
      <c r="E19" s="557"/>
      <c r="F19" s="559"/>
      <c r="G19" s="559"/>
      <c r="H19" s="239">
        <v>6</v>
      </c>
      <c r="I19" s="239">
        <v>6</v>
      </c>
      <c r="J19" s="580">
        <v>5</v>
      </c>
    </row>
    <row r="20" spans="2:10" s="551" customFormat="1" ht="15.25" customHeight="1">
      <c r="B20" s="556" t="s">
        <v>666</v>
      </c>
      <c r="C20" s="553"/>
      <c r="D20" s="557"/>
      <c r="E20" s="557"/>
      <c r="F20" s="579"/>
      <c r="G20" s="579"/>
      <c r="H20" s="580" t="s">
        <v>437</v>
      </c>
      <c r="I20" s="580" t="s">
        <v>437</v>
      </c>
      <c r="J20" s="580" t="s">
        <v>437</v>
      </c>
    </row>
    <row r="21" spans="2:10" s="551" customFormat="1" ht="16.5" customHeight="1">
      <c r="B21" s="552"/>
      <c r="C21" s="553"/>
      <c r="D21" s="559"/>
      <c r="E21" s="559"/>
      <c r="F21" s="559"/>
      <c r="G21" s="559"/>
      <c r="H21" s="239"/>
      <c r="I21" s="239"/>
      <c r="J21" s="239"/>
    </row>
    <row r="22" spans="2:10" s="551" customFormat="1" ht="15.25" customHeight="1">
      <c r="B22" s="555" t="s">
        <v>695</v>
      </c>
      <c r="C22" s="553"/>
      <c r="D22" s="258"/>
      <c r="E22" s="258"/>
      <c r="F22" s="558"/>
      <c r="G22" s="588"/>
      <c r="H22" s="239"/>
      <c r="I22" s="239"/>
      <c r="J22" s="239"/>
    </row>
    <row r="23" spans="2:10" s="551" customFormat="1" ht="15.25" customHeight="1">
      <c r="B23" s="556" t="s">
        <v>678</v>
      </c>
      <c r="C23" s="553"/>
      <c r="D23" s="258"/>
      <c r="E23" s="258"/>
      <c r="F23" s="239"/>
      <c r="G23" s="239"/>
      <c r="H23" s="214">
        <v>12</v>
      </c>
      <c r="I23" s="214">
        <v>13</v>
      </c>
      <c r="J23" s="214">
        <v>13</v>
      </c>
    </row>
    <row r="24" spans="2:10" s="551" customFormat="1" ht="15.25" customHeight="1">
      <c r="B24" s="556" t="s">
        <v>665</v>
      </c>
      <c r="C24" s="553"/>
      <c r="D24" s="557"/>
      <c r="E24" s="557"/>
      <c r="F24" s="559"/>
      <c r="G24" s="579"/>
      <c r="H24" s="239">
        <v>12</v>
      </c>
      <c r="I24" s="580">
        <v>13</v>
      </c>
      <c r="J24" s="580">
        <v>13</v>
      </c>
    </row>
    <row r="25" spans="2:10" s="551" customFormat="1" ht="15.25" customHeight="1">
      <c r="B25" s="556" t="s">
        <v>666</v>
      </c>
      <c r="C25" s="553"/>
      <c r="D25" s="557"/>
      <c r="E25" s="557"/>
      <c r="F25" s="579"/>
      <c r="G25" s="579"/>
      <c r="H25" s="580" t="s">
        <v>437</v>
      </c>
      <c r="I25" s="580" t="s">
        <v>437</v>
      </c>
      <c r="J25" s="580" t="s">
        <v>437</v>
      </c>
    </row>
    <row r="26" spans="2:10" s="551" customFormat="1" ht="16.5" customHeight="1">
      <c r="B26" s="552"/>
      <c r="C26" s="553"/>
      <c r="D26" s="559"/>
      <c r="E26" s="559"/>
      <c r="F26" s="559"/>
      <c r="G26" s="559"/>
      <c r="H26" s="239"/>
      <c r="I26" s="239"/>
      <c r="J26" s="239"/>
    </row>
    <row r="27" spans="2:10" s="551" customFormat="1" ht="15.25" customHeight="1">
      <c r="B27" s="555" t="s">
        <v>696</v>
      </c>
      <c r="C27" s="553"/>
      <c r="D27" s="258"/>
      <c r="E27" s="258"/>
      <c r="F27" s="558"/>
      <c r="G27" s="588"/>
      <c r="H27" s="239"/>
      <c r="I27" s="239"/>
      <c r="J27" s="239"/>
    </row>
    <row r="28" spans="2:10" s="551" customFormat="1" ht="15.25" customHeight="1">
      <c r="B28" s="556" t="s">
        <v>678</v>
      </c>
      <c r="C28" s="553"/>
      <c r="D28" s="258"/>
      <c r="E28" s="258"/>
      <c r="F28" s="239"/>
      <c r="G28" s="239"/>
      <c r="H28" s="214">
        <v>15</v>
      </c>
      <c r="I28" s="214">
        <v>14</v>
      </c>
      <c r="J28" s="214">
        <v>13</v>
      </c>
    </row>
    <row r="29" spans="2:10" s="551" customFormat="1" ht="15.25" customHeight="1">
      <c r="B29" s="556" t="s">
        <v>665</v>
      </c>
      <c r="C29" s="553"/>
      <c r="D29" s="557"/>
      <c r="E29" s="557"/>
      <c r="F29" s="559"/>
      <c r="G29" s="579"/>
      <c r="H29" s="239">
        <v>10</v>
      </c>
      <c r="I29" s="580">
        <v>11</v>
      </c>
      <c r="J29" s="580">
        <v>11</v>
      </c>
    </row>
    <row r="30" spans="2:10" s="551" customFormat="1" ht="15.25" customHeight="1">
      <c r="B30" s="556" t="s">
        <v>666</v>
      </c>
      <c r="C30" s="553"/>
      <c r="D30" s="557"/>
      <c r="E30" s="557"/>
      <c r="F30" s="579"/>
      <c r="G30" s="579"/>
      <c r="H30" s="580">
        <v>5</v>
      </c>
      <c r="I30" s="580">
        <v>3</v>
      </c>
      <c r="J30" s="580">
        <v>2</v>
      </c>
    </row>
    <row r="31" spans="2:10" s="551" customFormat="1" ht="16.5" customHeight="1">
      <c r="B31" s="552"/>
      <c r="C31" s="553"/>
      <c r="D31" s="258"/>
      <c r="E31" s="258"/>
      <c r="F31" s="558"/>
      <c r="G31" s="588"/>
      <c r="H31" s="239"/>
      <c r="I31" s="239"/>
      <c r="J31" s="239"/>
    </row>
    <row r="32" spans="2:10" s="551" customFormat="1" ht="15.25" customHeight="1">
      <c r="B32" s="555" t="s">
        <v>697</v>
      </c>
      <c r="C32" s="553"/>
      <c r="D32" s="258"/>
      <c r="E32" s="258"/>
      <c r="F32" s="558"/>
      <c r="G32" s="588"/>
      <c r="H32" s="239"/>
      <c r="I32" s="239"/>
      <c r="J32" s="239"/>
    </row>
    <row r="33" spans="1:11" s="551" customFormat="1" ht="15.25" customHeight="1">
      <c r="B33" s="556" t="s">
        <v>678</v>
      </c>
      <c r="C33" s="553"/>
      <c r="D33" s="258"/>
      <c r="E33" s="258"/>
      <c r="F33" s="239"/>
      <c r="G33" s="239"/>
      <c r="H33" s="214">
        <v>168</v>
      </c>
      <c r="I33" s="214">
        <v>170</v>
      </c>
      <c r="J33" s="214">
        <v>169</v>
      </c>
    </row>
    <row r="34" spans="1:11" s="551" customFormat="1" ht="15.25" customHeight="1">
      <c r="B34" s="556" t="s">
        <v>665</v>
      </c>
      <c r="C34" s="553"/>
      <c r="D34" s="557"/>
      <c r="E34" s="557"/>
      <c r="F34" s="559"/>
      <c r="G34" s="559"/>
      <c r="H34" s="239">
        <v>146</v>
      </c>
      <c r="I34" s="239">
        <v>144</v>
      </c>
      <c r="J34" s="239">
        <v>140</v>
      </c>
    </row>
    <row r="35" spans="1:11" s="551" customFormat="1" ht="15.25" customHeight="1">
      <c r="B35" s="556" t="s">
        <v>666</v>
      </c>
      <c r="C35" s="553"/>
      <c r="D35" s="557"/>
      <c r="E35" s="557"/>
      <c r="F35" s="559"/>
      <c r="G35" s="559"/>
      <c r="H35" s="239">
        <v>22</v>
      </c>
      <c r="I35" s="239">
        <v>26</v>
      </c>
      <c r="J35" s="239">
        <v>29</v>
      </c>
    </row>
    <row r="36" spans="1:11" s="351" customFormat="1" ht="15.25" customHeight="1">
      <c r="B36" s="555"/>
      <c r="C36" s="560"/>
      <c r="D36" s="239"/>
      <c r="E36" s="239"/>
      <c r="F36" s="558"/>
      <c r="G36" s="561"/>
      <c r="H36" s="239"/>
      <c r="I36" s="239"/>
      <c r="J36" s="239"/>
      <c r="K36" s="551"/>
    </row>
    <row r="37" spans="1:11" s="549" customFormat="1" ht="8.25" customHeight="1">
      <c r="B37" s="562"/>
      <c r="C37" s="555"/>
      <c r="D37" s="563"/>
      <c r="E37" s="564"/>
      <c r="F37" s="564"/>
      <c r="G37" s="565"/>
      <c r="H37" s="564"/>
      <c r="I37" s="564"/>
      <c r="J37" s="564"/>
    </row>
    <row r="38" spans="1:11" s="549" customFormat="1" ht="8.25" customHeight="1" thickBot="1">
      <c r="A38" s="583"/>
      <c r="B38" s="583"/>
      <c r="C38" s="583"/>
      <c r="D38" s="584"/>
      <c r="E38" s="584"/>
      <c r="F38" s="584"/>
      <c r="G38" s="584"/>
      <c r="H38" s="584"/>
      <c r="I38" s="584"/>
      <c r="J38" s="584"/>
    </row>
    <row r="39" spans="1:11" s="549" customFormat="1" ht="15.25" customHeight="1">
      <c r="D39" s="568"/>
      <c r="E39" s="569"/>
      <c r="F39" s="564"/>
      <c r="G39" s="568"/>
      <c r="H39" s="568"/>
      <c r="I39" s="568"/>
      <c r="J39" s="192" t="s">
        <v>698</v>
      </c>
    </row>
    <row r="40" spans="1:11" s="549" customFormat="1" ht="15.25" customHeight="1">
      <c r="B40" s="570"/>
      <c r="C40" s="299"/>
      <c r="D40" s="299"/>
      <c r="E40" s="299"/>
      <c r="G40" s="299"/>
      <c r="H40" s="299"/>
      <c r="I40" s="299"/>
      <c r="J40" s="193" t="s">
        <v>699</v>
      </c>
    </row>
    <row r="41" spans="1:11" s="549" customFormat="1" ht="15.25" customHeight="1">
      <c r="B41" s="570"/>
      <c r="C41" s="299"/>
      <c r="D41" s="299"/>
      <c r="E41" s="299"/>
      <c r="G41" s="299"/>
      <c r="H41" s="299"/>
      <c r="I41" s="299"/>
      <c r="J41" s="193"/>
    </row>
    <row r="42" spans="1:11" s="549" customFormat="1" ht="15.25" customHeight="1">
      <c r="A42" s="299"/>
      <c r="B42" s="299"/>
      <c r="C42" s="299"/>
      <c r="D42" s="299"/>
      <c r="E42" s="299"/>
      <c r="G42" s="299"/>
      <c r="H42" s="299"/>
      <c r="I42" s="299"/>
      <c r="J42" s="193"/>
    </row>
    <row r="43" spans="1:11" s="574" customFormat="1" ht="15.25" customHeight="1">
      <c r="A43" s="545"/>
      <c r="B43" s="585"/>
      <c r="C43" s="351"/>
      <c r="D43" s="573"/>
      <c r="E43" s="573"/>
      <c r="F43" s="573"/>
      <c r="G43" s="545"/>
      <c r="H43" s="549"/>
      <c r="I43" s="549"/>
      <c r="J43" s="549"/>
    </row>
    <row r="44" spans="1:11" s="574" customFormat="1" ht="15.25" customHeight="1">
      <c r="A44" s="545"/>
      <c r="B44" s="586"/>
      <c r="C44" s="351"/>
      <c r="D44" s="573"/>
      <c r="E44" s="573"/>
      <c r="F44" s="573"/>
      <c r="G44" s="545"/>
      <c r="H44" s="549"/>
      <c r="I44" s="549"/>
      <c r="J44" s="549"/>
    </row>
  </sheetData>
  <mergeCells count="1">
    <mergeCell ref="B6:C6"/>
  </mergeCells>
  <conditionalFormatting sqref="C36">
    <cfRule type="cellIs" dxfId="4" priority="1"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73"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0F6A2-F867-42C7-91A4-52B0D5DFD417}">
  <sheetPr codeName="Sheet48">
    <pageSetUpPr fitToPage="1"/>
  </sheetPr>
  <dimension ref="A1:P51"/>
  <sheetViews>
    <sheetView view="pageBreakPreview" zoomScale="90" zoomScaleNormal="100" zoomScaleSheetLayoutView="90" workbookViewId="0">
      <selection activeCell="D60" sqref="D60"/>
    </sheetView>
  </sheetViews>
  <sheetFormatPr baseColWidth="10" defaultColWidth="8.83203125" defaultRowHeight="15"/>
  <cols>
    <col min="1" max="1" width="3.5" customWidth="1"/>
    <col min="2" max="2" width="13.5" customWidth="1"/>
    <col min="4" max="4" width="57.5" customWidth="1"/>
    <col min="5" max="5" width="1.6640625" customWidth="1"/>
    <col min="6" max="6" width="1.5" customWidth="1"/>
    <col min="7" max="7" width="13.5" customWidth="1"/>
    <col min="8" max="8" width="12.83203125" customWidth="1"/>
    <col min="9" max="9" width="13.1640625" style="404" customWidth="1"/>
  </cols>
  <sheetData>
    <row r="1" spans="1:9" s="545" customFormat="1" ht="8.25" customHeight="1"/>
    <row r="2" spans="1:9" s="545" customFormat="1" ht="8.25" customHeight="1"/>
    <row r="3" spans="1:9" s="545" customFormat="1" ht="30.5" customHeight="1">
      <c r="B3" s="589" t="s">
        <v>700</v>
      </c>
      <c r="C3" s="1335" t="s">
        <v>701</v>
      </c>
      <c r="D3" s="1335"/>
      <c r="E3" s="1335"/>
      <c r="F3" s="1335"/>
      <c r="G3" s="1335"/>
      <c r="H3" s="1335"/>
      <c r="I3" s="1335"/>
    </row>
    <row r="4" spans="1:9" s="545" customFormat="1" ht="31.5" customHeight="1">
      <c r="B4" s="590" t="s">
        <v>702</v>
      </c>
      <c r="C4" s="1336" t="s">
        <v>703</v>
      </c>
      <c r="D4" s="1336"/>
      <c r="E4" s="1336"/>
      <c r="F4" s="1336"/>
      <c r="G4" s="1336"/>
      <c r="H4" s="1336"/>
      <c r="I4" s="1336"/>
    </row>
    <row r="5" spans="1:9" s="545" customFormat="1" ht="13.25" customHeight="1" thickBot="1">
      <c r="A5" s="550"/>
      <c r="B5" s="550"/>
      <c r="C5" s="550"/>
      <c r="D5" s="550"/>
      <c r="E5" s="550"/>
      <c r="F5" s="351"/>
    </row>
    <row r="6" spans="1:9" s="551" customFormat="1" ht="43.25" customHeight="1" thickBot="1">
      <c r="A6" s="10"/>
      <c r="B6" s="1273" t="s">
        <v>663</v>
      </c>
      <c r="C6" s="1293"/>
      <c r="D6" s="10"/>
      <c r="E6" s="10"/>
      <c r="F6" s="11"/>
      <c r="G6" s="11">
        <v>2021</v>
      </c>
      <c r="H6" s="11">
        <v>2022</v>
      </c>
      <c r="I6" s="11">
        <v>2023</v>
      </c>
    </row>
    <row r="7" spans="1:9" s="551" customFormat="1" ht="16.5" customHeight="1">
      <c r="B7" s="552"/>
      <c r="C7" s="553"/>
      <c r="D7" s="258"/>
      <c r="E7" s="258"/>
      <c r="F7" s="258"/>
      <c r="G7" s="554"/>
      <c r="H7" s="554"/>
      <c r="I7" s="554"/>
    </row>
    <row r="8" spans="1:9" s="551" customFormat="1" ht="16.5" customHeight="1">
      <c r="B8" s="37" t="s">
        <v>678</v>
      </c>
      <c r="C8" s="553"/>
      <c r="D8" s="258"/>
      <c r="E8" s="258"/>
      <c r="F8" s="214"/>
      <c r="G8" s="214">
        <v>224</v>
      </c>
      <c r="H8" s="214">
        <v>245</v>
      </c>
      <c r="I8" s="214">
        <v>265</v>
      </c>
    </row>
    <row r="9" spans="1:9" s="551" customFormat="1" ht="15.25" customHeight="1">
      <c r="B9" s="556" t="s">
        <v>665</v>
      </c>
      <c r="C9" s="553"/>
      <c r="D9" s="557"/>
      <c r="E9" s="557"/>
      <c r="F9" s="559"/>
      <c r="G9" s="239">
        <v>182</v>
      </c>
      <c r="H9" s="239">
        <v>203</v>
      </c>
      <c r="I9" s="239">
        <v>223</v>
      </c>
    </row>
    <row r="10" spans="1:9" s="551" customFormat="1" ht="15.25" customHeight="1">
      <c r="B10" s="556" t="s">
        <v>666</v>
      </c>
      <c r="C10" s="553"/>
      <c r="D10" s="557"/>
      <c r="E10" s="557"/>
      <c r="F10" s="559"/>
      <c r="G10" s="239">
        <v>42</v>
      </c>
      <c r="H10" s="239">
        <v>42</v>
      </c>
      <c r="I10" s="239">
        <v>42</v>
      </c>
    </row>
    <row r="11" spans="1:9" s="551" customFormat="1" ht="16.5" customHeight="1">
      <c r="B11" s="552"/>
      <c r="C11" s="553"/>
      <c r="D11" s="258"/>
      <c r="E11" s="258"/>
      <c r="F11" s="258"/>
      <c r="G11" s="214"/>
      <c r="H11" s="214"/>
      <c r="I11" s="239"/>
    </row>
    <row r="12" spans="1:9" s="551" customFormat="1" ht="15.25" customHeight="1">
      <c r="B12" s="555" t="s">
        <v>704</v>
      </c>
      <c r="C12" s="553"/>
      <c r="D12" s="258"/>
      <c r="E12" s="258"/>
      <c r="F12" s="258"/>
      <c r="G12" s="214"/>
      <c r="H12" s="214"/>
      <c r="I12" s="239"/>
    </row>
    <row r="13" spans="1:9" s="551" customFormat="1" ht="15.25" customHeight="1">
      <c r="B13" s="556" t="s">
        <v>678</v>
      </c>
      <c r="C13" s="553"/>
      <c r="D13" s="258"/>
      <c r="E13" s="258"/>
      <c r="F13" s="214"/>
      <c r="G13" s="214">
        <v>1</v>
      </c>
      <c r="H13" s="214">
        <v>1</v>
      </c>
      <c r="I13" s="214">
        <v>1</v>
      </c>
    </row>
    <row r="14" spans="1:9" s="551" customFormat="1" ht="15.25" customHeight="1">
      <c r="B14" s="556" t="s">
        <v>665</v>
      </c>
      <c r="C14" s="553"/>
      <c r="D14" s="557"/>
      <c r="E14" s="557"/>
      <c r="F14" s="559"/>
      <c r="G14" s="239">
        <v>1</v>
      </c>
      <c r="H14" s="239">
        <v>1</v>
      </c>
      <c r="I14" s="580">
        <v>1</v>
      </c>
    </row>
    <row r="15" spans="1:9" s="551" customFormat="1" ht="15.25" customHeight="1">
      <c r="B15" s="556" t="s">
        <v>666</v>
      </c>
      <c r="C15" s="553"/>
      <c r="D15" s="557"/>
      <c r="E15" s="557"/>
      <c r="F15" s="579"/>
      <c r="G15" s="580" t="s">
        <v>437</v>
      </c>
      <c r="H15" s="580" t="s">
        <v>437</v>
      </c>
      <c r="I15" s="580" t="s">
        <v>437</v>
      </c>
    </row>
    <row r="16" spans="1:9" s="551" customFormat="1" ht="16.5" customHeight="1">
      <c r="B16" s="552"/>
      <c r="C16" s="553"/>
      <c r="D16" s="559"/>
      <c r="E16" s="559"/>
      <c r="F16" s="559"/>
      <c r="G16" s="239"/>
      <c r="H16" s="239"/>
      <c r="I16" s="239"/>
    </row>
    <row r="17" spans="2:9" s="551" customFormat="1" ht="15.25" customHeight="1">
      <c r="B17" s="555" t="s">
        <v>705</v>
      </c>
      <c r="C17" s="553"/>
      <c r="D17" s="258"/>
      <c r="E17" s="258"/>
      <c r="F17" s="258"/>
      <c r="G17" s="214"/>
      <c r="H17" s="214"/>
      <c r="I17" s="239"/>
    </row>
    <row r="18" spans="2:9" s="551" customFormat="1" ht="15.25" customHeight="1">
      <c r="B18" s="556" t="s">
        <v>678</v>
      </c>
      <c r="C18" s="553"/>
      <c r="D18" s="258"/>
      <c r="E18" s="258"/>
      <c r="F18" s="214"/>
      <c r="G18" s="214">
        <v>27</v>
      </c>
      <c r="H18" s="214">
        <v>26</v>
      </c>
      <c r="I18" s="214">
        <v>24</v>
      </c>
    </row>
    <row r="19" spans="2:9" s="551" customFormat="1" ht="15.25" customHeight="1">
      <c r="B19" s="556" t="s">
        <v>665</v>
      </c>
      <c r="C19" s="553"/>
      <c r="D19" s="557"/>
      <c r="E19" s="557"/>
      <c r="F19" s="591"/>
      <c r="G19" s="581"/>
      <c r="H19" s="580">
        <v>20</v>
      </c>
      <c r="I19" s="580">
        <v>19</v>
      </c>
    </row>
    <row r="20" spans="2:9" s="551" customFormat="1" ht="15.25" customHeight="1">
      <c r="B20" s="556" t="s">
        <v>666</v>
      </c>
      <c r="C20" s="553"/>
      <c r="D20" s="557"/>
      <c r="E20" s="557"/>
      <c r="F20" s="591"/>
      <c r="G20" s="581"/>
      <c r="H20" s="580">
        <v>6</v>
      </c>
      <c r="I20" s="580">
        <v>5</v>
      </c>
    </row>
    <row r="21" spans="2:9" s="551" customFormat="1" ht="16.5" customHeight="1">
      <c r="B21" s="552"/>
      <c r="C21" s="553"/>
      <c r="D21" s="559"/>
      <c r="E21" s="559"/>
      <c r="F21" s="559"/>
      <c r="G21" s="239"/>
      <c r="H21" s="239"/>
      <c r="I21" s="239"/>
    </row>
    <row r="22" spans="2:9" s="551" customFormat="1" ht="15.25" customHeight="1">
      <c r="B22" s="555" t="s">
        <v>706</v>
      </c>
      <c r="C22" s="553"/>
      <c r="D22" s="258"/>
      <c r="E22" s="258"/>
      <c r="F22" s="258"/>
      <c r="G22" s="214"/>
      <c r="H22" s="214"/>
      <c r="I22" s="239"/>
    </row>
    <row r="23" spans="2:9" s="551" customFormat="1" ht="15.25" customHeight="1">
      <c r="B23" s="556" t="s">
        <v>678</v>
      </c>
      <c r="C23" s="553"/>
      <c r="D23" s="258"/>
      <c r="E23" s="258"/>
      <c r="F23" s="214"/>
      <c r="G23" s="214">
        <v>60</v>
      </c>
      <c r="H23" s="214">
        <v>60</v>
      </c>
      <c r="I23" s="214">
        <v>60</v>
      </c>
    </row>
    <row r="24" spans="2:9" s="551" customFormat="1" ht="15.25" customHeight="1">
      <c r="B24" s="556" t="s">
        <v>665</v>
      </c>
      <c r="C24" s="553"/>
      <c r="D24" s="557"/>
      <c r="E24" s="557"/>
      <c r="F24" s="591"/>
      <c r="G24" s="581"/>
      <c r="H24" s="580">
        <v>45</v>
      </c>
      <c r="I24" s="580">
        <v>44</v>
      </c>
    </row>
    <row r="25" spans="2:9" s="551" customFormat="1" ht="15.25" customHeight="1">
      <c r="B25" s="556" t="s">
        <v>666</v>
      </c>
      <c r="C25" s="553"/>
      <c r="D25" s="557"/>
      <c r="E25" s="557"/>
      <c r="F25" s="591"/>
      <c r="G25" s="581"/>
      <c r="H25" s="580">
        <v>15</v>
      </c>
      <c r="I25" s="580">
        <v>16</v>
      </c>
    </row>
    <row r="26" spans="2:9" s="551" customFormat="1" ht="16.5" customHeight="1">
      <c r="B26" s="552"/>
      <c r="C26" s="553"/>
      <c r="D26" s="559"/>
      <c r="E26" s="559"/>
      <c r="F26" s="559"/>
      <c r="G26" s="239"/>
      <c r="H26" s="239"/>
      <c r="I26" s="239"/>
    </row>
    <row r="27" spans="2:9" s="551" customFormat="1" ht="15.25" customHeight="1">
      <c r="B27" s="555" t="s">
        <v>707</v>
      </c>
      <c r="C27" s="553"/>
      <c r="D27" s="258"/>
      <c r="E27" s="258"/>
      <c r="F27" s="258"/>
      <c r="G27" s="214"/>
      <c r="H27" s="214"/>
      <c r="I27" s="239"/>
    </row>
    <row r="28" spans="2:9" s="551" customFormat="1" ht="15.25" customHeight="1">
      <c r="B28" s="592" t="s">
        <v>708</v>
      </c>
      <c r="C28" s="553"/>
      <c r="D28" s="258"/>
      <c r="E28" s="258"/>
      <c r="F28" s="258"/>
      <c r="G28" s="214"/>
      <c r="H28" s="214"/>
      <c r="I28" s="239"/>
    </row>
    <row r="29" spans="2:9" s="551" customFormat="1" ht="15.25" customHeight="1">
      <c r="B29" s="556" t="s">
        <v>678</v>
      </c>
      <c r="C29" s="553"/>
      <c r="D29" s="258"/>
      <c r="E29" s="258"/>
      <c r="F29" s="214"/>
      <c r="G29" s="214">
        <v>40</v>
      </c>
      <c r="H29" s="214">
        <v>59</v>
      </c>
      <c r="I29" s="214">
        <v>73</v>
      </c>
    </row>
    <row r="30" spans="2:9" s="551" customFormat="1" ht="15.25" customHeight="1">
      <c r="B30" s="556" t="s">
        <v>665</v>
      </c>
      <c r="C30" s="553"/>
      <c r="D30" s="557"/>
      <c r="E30" s="557"/>
      <c r="F30" s="559"/>
      <c r="G30" s="239">
        <v>35</v>
      </c>
      <c r="H30" s="580">
        <v>54</v>
      </c>
      <c r="I30" s="580">
        <v>68</v>
      </c>
    </row>
    <row r="31" spans="2:9" s="551" customFormat="1" ht="15.25" customHeight="1">
      <c r="B31" s="556" t="s">
        <v>666</v>
      </c>
      <c r="C31" s="553"/>
      <c r="D31" s="557"/>
      <c r="E31" s="557"/>
      <c r="F31" s="579"/>
      <c r="G31" s="580">
        <v>6</v>
      </c>
      <c r="H31" s="580">
        <v>5</v>
      </c>
      <c r="I31" s="580">
        <v>5</v>
      </c>
    </row>
    <row r="32" spans="2:9" s="551" customFormat="1" ht="16.5" customHeight="1">
      <c r="B32" s="552"/>
      <c r="C32" s="553"/>
      <c r="D32" s="559"/>
      <c r="E32" s="559"/>
      <c r="F32" s="559"/>
      <c r="G32" s="239"/>
      <c r="H32" s="239"/>
      <c r="I32" s="239"/>
    </row>
    <row r="33" spans="1:16" s="551" customFormat="1" ht="15.25" customHeight="1">
      <c r="B33" s="555" t="s">
        <v>709</v>
      </c>
      <c r="C33" s="553"/>
      <c r="D33" s="258"/>
      <c r="E33" s="258"/>
      <c r="F33" s="258"/>
      <c r="G33" s="214"/>
      <c r="H33" s="214"/>
      <c r="I33" s="239"/>
    </row>
    <row r="34" spans="1:16" s="551" customFormat="1" ht="15.25" customHeight="1">
      <c r="B34" s="556" t="s">
        <v>678</v>
      </c>
      <c r="C34" s="553"/>
      <c r="D34" s="258"/>
      <c r="E34" s="258"/>
      <c r="F34" s="214"/>
      <c r="G34" s="214">
        <v>96</v>
      </c>
      <c r="H34" s="214">
        <v>99</v>
      </c>
      <c r="I34" s="214">
        <v>111</v>
      </c>
    </row>
    <row r="35" spans="1:16" s="551" customFormat="1" ht="15.25" customHeight="1">
      <c r="B35" s="556" t="s">
        <v>665</v>
      </c>
      <c r="C35" s="553"/>
      <c r="D35" s="557"/>
      <c r="E35" s="557"/>
      <c r="F35" s="559"/>
      <c r="G35" s="239">
        <v>83</v>
      </c>
      <c r="H35" s="580">
        <v>83</v>
      </c>
      <c r="I35" s="580">
        <v>95</v>
      </c>
    </row>
    <row r="36" spans="1:16" s="551" customFormat="1" ht="15.25" customHeight="1">
      <c r="B36" s="556" t="s">
        <v>666</v>
      </c>
      <c r="C36" s="553"/>
      <c r="D36" s="557"/>
      <c r="E36" s="557"/>
      <c r="F36" s="579"/>
      <c r="G36" s="580">
        <v>13</v>
      </c>
      <c r="H36" s="580">
        <v>16</v>
      </c>
      <c r="I36" s="580">
        <v>16</v>
      </c>
    </row>
    <row r="37" spans="1:16" s="551" customFormat="1" ht="16.5" customHeight="1">
      <c r="B37" s="552"/>
      <c r="C37" s="553"/>
      <c r="D37" s="258"/>
      <c r="E37" s="258"/>
      <c r="F37" s="258"/>
      <c r="G37" s="239"/>
      <c r="H37" s="239"/>
      <c r="I37" s="239"/>
    </row>
    <row r="38" spans="1:16" s="549" customFormat="1" ht="8.25" customHeight="1">
      <c r="B38" s="562"/>
      <c r="C38" s="555"/>
      <c r="D38" s="563"/>
      <c r="E38" s="564"/>
      <c r="F38" s="564"/>
      <c r="G38" s="564"/>
      <c r="H38" s="564"/>
      <c r="I38" s="564"/>
    </row>
    <row r="39" spans="1:16" s="549" customFormat="1" ht="8.25" customHeight="1" thickBot="1">
      <c r="A39" s="583"/>
      <c r="B39" s="583"/>
      <c r="C39" s="583"/>
      <c r="D39" s="584"/>
      <c r="E39" s="584"/>
      <c r="F39" s="584"/>
      <c r="G39" s="584"/>
      <c r="H39" s="584"/>
      <c r="I39" s="584"/>
    </row>
    <row r="40" spans="1:16" s="549" customFormat="1" ht="18.75" customHeight="1">
      <c r="D40" s="568"/>
      <c r="E40" s="569"/>
      <c r="F40" s="564"/>
      <c r="G40" s="568"/>
      <c r="H40" s="568"/>
      <c r="I40" s="192" t="s">
        <v>710</v>
      </c>
    </row>
    <row r="41" spans="1:16" s="549" customFormat="1" ht="18.75" customHeight="1">
      <c r="B41" s="570"/>
      <c r="C41" s="299"/>
      <c r="D41" s="299"/>
      <c r="E41" s="299"/>
      <c r="G41" s="299"/>
      <c r="H41" s="299"/>
      <c r="I41" s="193" t="s">
        <v>711</v>
      </c>
    </row>
    <row r="42" spans="1:16" s="549" customFormat="1" ht="14">
      <c r="B42" s="570"/>
      <c r="C42" s="299"/>
      <c r="D42" s="299"/>
      <c r="E42" s="299"/>
      <c r="G42" s="299"/>
      <c r="H42" s="299"/>
      <c r="I42" s="193"/>
    </row>
    <row r="43" spans="1:16" s="549" customFormat="1" ht="23.25" customHeight="1">
      <c r="A43" s="1337" t="s">
        <v>712</v>
      </c>
      <c r="B43" s="1337"/>
      <c r="C43" s="299"/>
      <c r="D43" s="299"/>
      <c r="E43" s="299"/>
      <c r="G43" s="299"/>
      <c r="H43" s="299"/>
      <c r="I43" s="193"/>
    </row>
    <row r="44" spans="1:16" s="597" customFormat="1" ht="16">
      <c r="A44" s="593" t="s">
        <v>713</v>
      </c>
      <c r="B44" s="594"/>
      <c r="C44" s="594"/>
      <c r="D44" s="594"/>
      <c r="E44" s="594"/>
      <c r="F44" s="594"/>
      <c r="G44" s="594"/>
      <c r="H44" s="594"/>
      <c r="I44" s="594"/>
      <c r="J44" s="594"/>
      <c r="K44" s="595"/>
      <c r="L44" s="596"/>
      <c r="M44" s="594"/>
      <c r="O44" s="598"/>
      <c r="P44" s="599"/>
    </row>
    <row r="45" spans="1:16" s="597" customFormat="1" ht="23.25" customHeight="1">
      <c r="A45" s="600" t="s">
        <v>714</v>
      </c>
      <c r="B45" s="594"/>
      <c r="C45" s="594"/>
      <c r="D45" s="594"/>
      <c r="E45" s="594"/>
      <c r="F45" s="594"/>
      <c r="G45" s="594"/>
      <c r="H45" s="594"/>
      <c r="I45" s="594"/>
      <c r="J45" s="594"/>
      <c r="K45" s="595"/>
      <c r="L45" s="596"/>
      <c r="M45" s="594"/>
      <c r="O45" s="598"/>
      <c r="P45" s="599"/>
    </row>
    <row r="46" spans="1:16" s="597" customFormat="1" ht="16">
      <c r="A46" s="593" t="s">
        <v>715</v>
      </c>
      <c r="B46" s="594"/>
      <c r="C46" s="594"/>
      <c r="D46" s="594"/>
      <c r="E46" s="594"/>
      <c r="F46" s="594"/>
      <c r="G46" s="594"/>
      <c r="H46" s="594"/>
      <c r="I46" s="594"/>
      <c r="J46" s="594"/>
      <c r="K46" s="595"/>
      <c r="L46" s="596"/>
      <c r="M46" s="594"/>
      <c r="O46" s="598"/>
      <c r="P46" s="599"/>
    </row>
    <row r="47" spans="1:16" s="597" customFormat="1" ht="21.75" customHeight="1">
      <c r="A47" s="600" t="s">
        <v>716</v>
      </c>
      <c r="B47" s="594"/>
      <c r="C47" s="594"/>
      <c r="D47" s="594"/>
      <c r="E47" s="594"/>
      <c r="F47" s="594"/>
      <c r="G47" s="594"/>
      <c r="H47" s="594"/>
      <c r="I47" s="594"/>
      <c r="J47" s="594"/>
      <c r="K47" s="595"/>
      <c r="L47" s="596"/>
      <c r="M47" s="594"/>
      <c r="O47" s="598"/>
      <c r="P47" s="599"/>
    </row>
    <row r="48" spans="1:16" s="597" customFormat="1" ht="16">
      <c r="A48" s="601" t="s">
        <v>717</v>
      </c>
      <c r="B48" s="594"/>
      <c r="C48" s="594"/>
      <c r="D48" s="594"/>
      <c r="E48" s="594"/>
      <c r="F48" s="594"/>
      <c r="G48" s="594"/>
      <c r="H48" s="594"/>
      <c r="I48" s="594"/>
      <c r="J48" s="594"/>
      <c r="K48" s="595"/>
      <c r="L48" s="596"/>
      <c r="M48" s="594"/>
      <c r="O48" s="598"/>
      <c r="P48" s="599"/>
    </row>
    <row r="49" spans="1:16" s="597" customFormat="1" ht="22.5" customHeight="1">
      <c r="A49" s="600" t="s">
        <v>718</v>
      </c>
      <c r="B49" s="594"/>
      <c r="C49" s="594"/>
      <c r="D49" s="594"/>
      <c r="E49" s="594"/>
      <c r="F49" s="594"/>
      <c r="G49" s="594"/>
      <c r="H49" s="594"/>
      <c r="I49" s="594"/>
      <c r="J49" s="594"/>
      <c r="K49" s="595"/>
      <c r="L49" s="596"/>
      <c r="M49" s="594"/>
      <c r="O49" s="598"/>
      <c r="P49" s="599"/>
    </row>
    <row r="50" spans="1:16" s="597" customFormat="1" ht="30" customHeight="1">
      <c r="A50" s="1338" t="s">
        <v>719</v>
      </c>
      <c r="B50" s="1338"/>
      <c r="C50" s="1338"/>
      <c r="D50" s="1338"/>
      <c r="E50" s="1338"/>
      <c r="F50" s="1338"/>
      <c r="G50" s="1338"/>
      <c r="H50" s="1338"/>
      <c r="I50" s="1338"/>
      <c r="J50" s="1338"/>
      <c r="K50" s="1338"/>
      <c r="L50" s="1338"/>
      <c r="M50" s="1338"/>
      <c r="O50" s="598"/>
      <c r="P50" s="599"/>
    </row>
    <row r="51" spans="1:16" s="597" customFormat="1" ht="45.75" customHeight="1">
      <c r="A51" s="1339" t="s">
        <v>720</v>
      </c>
      <c r="B51" s="1339"/>
      <c r="C51" s="1339"/>
      <c r="D51" s="1339"/>
      <c r="E51" s="1339"/>
      <c r="F51" s="1339"/>
      <c r="G51" s="1339"/>
      <c r="H51" s="1339"/>
      <c r="I51" s="1339"/>
      <c r="J51" s="1339"/>
      <c r="K51" s="1339"/>
      <c r="L51" s="1339"/>
      <c r="M51" s="594"/>
      <c r="O51" s="598"/>
      <c r="P51" s="599"/>
    </row>
  </sheetData>
  <mergeCells count="6">
    <mergeCell ref="A51:L51"/>
    <mergeCell ref="C3:I3"/>
    <mergeCell ref="C4:I4"/>
    <mergeCell ref="B6:C6"/>
    <mergeCell ref="A43:B43"/>
    <mergeCell ref="A50:M50"/>
  </mergeCells>
  <printOptions horizontalCentered="1"/>
  <pageMargins left="0.55118110236220474" right="0.55118110236220474" top="0.55118110236220474" bottom="0.55118110236220474" header="0.31496062992125984" footer="0.31496062992125984"/>
  <pageSetup paperSize="9" scale="68"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D5490-3D2E-4220-AD86-676A92025659}">
  <sheetPr codeName="Sheet49">
    <pageSetUpPr fitToPage="1"/>
  </sheetPr>
  <dimension ref="A1:AO56"/>
  <sheetViews>
    <sheetView view="pageBreakPreview" zoomScaleNormal="100" zoomScaleSheetLayoutView="100" workbookViewId="0">
      <selection activeCell="D60" sqref="D60"/>
    </sheetView>
  </sheetViews>
  <sheetFormatPr baseColWidth="10" defaultColWidth="8.83203125" defaultRowHeight="15"/>
  <cols>
    <col min="1" max="2" width="1.5" customWidth="1"/>
    <col min="3" max="3" width="11.33203125" customWidth="1"/>
    <col min="4" max="4" width="83.33203125" customWidth="1"/>
    <col min="5" max="5" width="2.1640625" customWidth="1"/>
    <col min="6" max="6" width="15.1640625" customWidth="1"/>
    <col min="7" max="7" width="15.6640625" customWidth="1"/>
  </cols>
  <sheetData>
    <row r="1" spans="1:41" s="602" customFormat="1" ht="13">
      <c r="D1" s="603"/>
    </row>
    <row r="2" spans="1:41" s="604" customFormat="1" ht="14">
      <c r="C2" s="605" t="s">
        <v>721</v>
      </c>
      <c r="D2" s="606" t="s">
        <v>722</v>
      </c>
      <c r="E2" s="607"/>
      <c r="F2" s="607"/>
      <c r="G2" s="607"/>
    </row>
    <row r="3" spans="1:41" s="608" customFormat="1" ht="14">
      <c r="B3" s="609" t="s">
        <v>723</v>
      </c>
      <c r="C3" s="610" t="s">
        <v>724</v>
      </c>
      <c r="D3" s="609" t="s">
        <v>725</v>
      </c>
      <c r="E3" s="609"/>
      <c r="F3" s="609"/>
      <c r="G3" s="609"/>
    </row>
    <row r="4" spans="1:41" s="611" customFormat="1" ht="18" customHeight="1" thickBot="1">
      <c r="B4" s="612"/>
      <c r="C4" s="1350"/>
      <c r="D4" s="1350"/>
      <c r="E4" s="613"/>
      <c r="F4" s="614"/>
    </row>
    <row r="5" spans="1:41" s="619" customFormat="1" ht="5" customHeight="1">
      <c r="A5" s="612"/>
      <c r="B5" s="615"/>
      <c r="C5" s="1351"/>
      <c r="D5" s="1351"/>
      <c r="E5" s="616"/>
      <c r="F5" s="617"/>
      <c r="G5" s="618"/>
      <c r="H5" s="612"/>
      <c r="I5" s="612"/>
      <c r="J5" s="612"/>
      <c r="K5" s="612"/>
      <c r="L5" s="612"/>
      <c r="M5" s="612"/>
      <c r="N5" s="612"/>
      <c r="O5" s="612"/>
      <c r="P5" s="612"/>
      <c r="Q5" s="612"/>
      <c r="R5" s="612"/>
      <c r="S5" s="612"/>
      <c r="T5" s="612"/>
      <c r="U5" s="612"/>
      <c r="V5" s="612"/>
      <c r="W5" s="612"/>
      <c r="X5" s="612"/>
      <c r="Y5" s="612"/>
      <c r="Z5" s="612"/>
      <c r="AA5" s="612"/>
      <c r="AB5" s="612"/>
      <c r="AC5" s="612"/>
      <c r="AD5" s="612"/>
      <c r="AE5" s="612"/>
      <c r="AF5" s="612"/>
      <c r="AG5" s="612"/>
      <c r="AH5" s="612"/>
      <c r="AI5" s="612"/>
      <c r="AJ5" s="612"/>
      <c r="AK5" s="612"/>
      <c r="AL5" s="612"/>
      <c r="AM5" s="612"/>
      <c r="AN5" s="612"/>
      <c r="AO5" s="612"/>
    </row>
    <row r="6" spans="1:41" s="623" customFormat="1" ht="35" customHeight="1" thickBot="1">
      <c r="A6" s="611"/>
      <c r="B6" s="620"/>
      <c r="C6" s="1352" t="s">
        <v>726</v>
      </c>
      <c r="D6" s="1352"/>
      <c r="E6" s="621"/>
      <c r="F6" s="622">
        <v>2022</v>
      </c>
      <c r="G6" s="622">
        <v>2023</v>
      </c>
      <c r="H6" s="611"/>
      <c r="I6" s="611"/>
      <c r="J6" s="611"/>
      <c r="K6" s="611"/>
      <c r="L6" s="611"/>
      <c r="M6" s="611"/>
      <c r="N6" s="611"/>
      <c r="O6" s="611"/>
      <c r="P6" s="611"/>
      <c r="Q6" s="611"/>
      <c r="R6" s="611"/>
      <c r="S6" s="611"/>
      <c r="T6" s="611"/>
      <c r="U6" s="611"/>
      <c r="V6" s="611"/>
      <c r="W6" s="611"/>
      <c r="X6" s="611"/>
      <c r="Y6" s="611"/>
      <c r="Z6" s="611"/>
      <c r="AA6" s="611"/>
      <c r="AB6" s="611"/>
      <c r="AC6" s="611"/>
      <c r="AD6" s="611"/>
      <c r="AE6" s="611"/>
      <c r="AF6" s="611"/>
      <c r="AG6" s="611"/>
      <c r="AH6" s="611"/>
      <c r="AI6" s="611"/>
      <c r="AJ6" s="611"/>
      <c r="AK6" s="611"/>
      <c r="AL6" s="611"/>
      <c r="AM6" s="611"/>
      <c r="AN6" s="611"/>
      <c r="AO6" s="611"/>
    </row>
    <row r="7" spans="1:41" s="624" customFormat="1" ht="8.25" customHeight="1">
      <c r="C7" s="1353"/>
      <c r="D7" s="1353"/>
      <c r="E7" s="625"/>
      <c r="F7" s="626"/>
      <c r="G7" s="626"/>
    </row>
    <row r="8" spans="1:41" s="608" customFormat="1" ht="15.75" customHeight="1">
      <c r="C8" s="1354" t="s">
        <v>727</v>
      </c>
      <c r="D8" s="1354"/>
      <c r="E8" s="624"/>
      <c r="F8" s="627"/>
      <c r="G8" s="627"/>
    </row>
    <row r="9" spans="1:41" s="602" customFormat="1" ht="18.75" customHeight="1">
      <c r="C9" s="1348" t="s">
        <v>728</v>
      </c>
      <c r="D9" s="1348"/>
      <c r="F9" s="627"/>
      <c r="G9" s="627"/>
    </row>
    <row r="10" spans="1:41" s="608" customFormat="1" ht="15.75" customHeight="1">
      <c r="C10" s="1329" t="s">
        <v>729</v>
      </c>
      <c r="D10" s="1329"/>
      <c r="E10" s="624"/>
      <c r="F10" s="628">
        <v>207943</v>
      </c>
      <c r="G10" s="628">
        <v>207943</v>
      </c>
    </row>
    <row r="11" spans="1:41" s="602" customFormat="1" ht="15.75" customHeight="1">
      <c r="C11" s="1340" t="s">
        <v>730</v>
      </c>
      <c r="D11" s="1340"/>
      <c r="E11" s="608"/>
      <c r="F11" s="629"/>
      <c r="G11" s="629"/>
    </row>
    <row r="12" spans="1:41" s="602" customFormat="1" ht="18.75" customHeight="1">
      <c r="C12" s="1345"/>
      <c r="D12" s="1345"/>
      <c r="F12" s="628"/>
      <c r="G12" s="628"/>
    </row>
    <row r="13" spans="1:41" s="608" customFormat="1" ht="15.75" customHeight="1">
      <c r="C13" s="1346" t="s">
        <v>731</v>
      </c>
      <c r="D13" s="1346"/>
      <c r="E13" s="602"/>
      <c r="F13" s="628">
        <v>2766234</v>
      </c>
      <c r="G13" s="628">
        <v>2766234</v>
      </c>
      <c r="N13" s="630"/>
    </row>
    <row r="14" spans="1:41" s="602" customFormat="1" ht="15.75" customHeight="1">
      <c r="C14" s="1340" t="s">
        <v>732</v>
      </c>
      <c r="D14" s="1340"/>
      <c r="E14" s="608"/>
      <c r="F14" s="629"/>
      <c r="G14" s="629"/>
    </row>
    <row r="15" spans="1:41" s="602" customFormat="1" ht="18.75" customHeight="1">
      <c r="C15" s="1345"/>
      <c r="D15" s="1345"/>
      <c r="F15" s="628"/>
      <c r="G15" s="628"/>
    </row>
    <row r="16" spans="1:41" s="608" customFormat="1" ht="15.75" customHeight="1">
      <c r="C16" s="1346" t="s">
        <v>733</v>
      </c>
      <c r="D16" s="1346"/>
      <c r="E16" s="602"/>
      <c r="F16" s="631">
        <v>1959787</v>
      </c>
      <c r="G16" s="631">
        <v>1959787</v>
      </c>
    </row>
    <row r="17" spans="3:7" s="602" customFormat="1" ht="15.75" customHeight="1">
      <c r="C17" s="1340" t="s">
        <v>734</v>
      </c>
      <c r="D17" s="1340"/>
      <c r="E17" s="608"/>
      <c r="F17" s="632"/>
      <c r="G17" s="632"/>
    </row>
    <row r="18" spans="3:7" s="602" customFormat="1" ht="18.75" customHeight="1">
      <c r="C18" s="1345"/>
      <c r="D18" s="1345"/>
      <c r="F18" s="631"/>
      <c r="G18" s="631"/>
    </row>
    <row r="19" spans="3:7" s="608" customFormat="1" ht="15.75" customHeight="1">
      <c r="C19" s="1346" t="s">
        <v>735</v>
      </c>
      <c r="D19" s="1346"/>
      <c r="E19" s="602"/>
      <c r="F19" s="628">
        <v>64904</v>
      </c>
      <c r="G19" s="628">
        <v>64904</v>
      </c>
    </row>
    <row r="20" spans="3:7" s="602" customFormat="1" ht="15.75" customHeight="1">
      <c r="C20" s="1340" t="s">
        <v>736</v>
      </c>
      <c r="D20" s="1340"/>
      <c r="E20" s="608"/>
      <c r="F20" s="629"/>
      <c r="G20" s="629"/>
    </row>
    <row r="21" spans="3:7" s="602" customFormat="1" ht="18.75" customHeight="1">
      <c r="C21" s="1345"/>
      <c r="D21" s="1345"/>
      <c r="F21" s="628"/>
      <c r="G21" s="628"/>
    </row>
    <row r="22" spans="3:7" s="608" customFormat="1" ht="15.75" customHeight="1">
      <c r="C22" s="1346" t="s">
        <v>737</v>
      </c>
      <c r="D22" s="1346"/>
      <c r="E22" s="602"/>
      <c r="F22" s="628">
        <v>1610</v>
      </c>
      <c r="G22" s="628">
        <v>1610</v>
      </c>
    </row>
    <row r="23" spans="3:7" s="602" customFormat="1" ht="15.75" customHeight="1">
      <c r="C23" s="1340" t="s">
        <v>738</v>
      </c>
      <c r="D23" s="1340"/>
      <c r="E23" s="608"/>
      <c r="F23" s="629"/>
      <c r="G23" s="629"/>
    </row>
    <row r="24" spans="3:7" s="602" customFormat="1" ht="18.75" customHeight="1">
      <c r="C24" s="1345"/>
      <c r="D24" s="1345"/>
      <c r="F24" s="628"/>
      <c r="G24" s="628"/>
    </row>
    <row r="25" spans="3:7" s="608" customFormat="1" ht="15.75" customHeight="1">
      <c r="C25" s="1346" t="s">
        <v>739</v>
      </c>
      <c r="D25" s="1346"/>
      <c r="E25" s="602"/>
      <c r="F25" s="631">
        <v>1065</v>
      </c>
      <c r="G25" s="631">
        <v>1065</v>
      </c>
    </row>
    <row r="26" spans="3:7" s="602" customFormat="1" ht="15.75" customHeight="1">
      <c r="C26" s="1340" t="s">
        <v>740</v>
      </c>
      <c r="D26" s="1340"/>
      <c r="E26" s="608"/>
      <c r="F26" s="632"/>
      <c r="G26" s="632"/>
    </row>
    <row r="27" spans="3:7" s="602" customFormat="1" ht="18.75" customHeight="1">
      <c r="C27" s="1349"/>
      <c r="D27" s="1349"/>
      <c r="F27" s="631"/>
      <c r="G27" s="631"/>
    </row>
    <row r="28" spans="3:7" s="635" customFormat="1" ht="15.75" customHeight="1">
      <c r="C28" s="1347" t="s">
        <v>741</v>
      </c>
      <c r="D28" s="1347"/>
      <c r="E28" s="633"/>
      <c r="F28" s="634"/>
      <c r="G28" s="634"/>
    </row>
    <row r="29" spans="3:7" s="633" customFormat="1" ht="18.75" customHeight="1">
      <c r="C29" s="1348" t="s">
        <v>742</v>
      </c>
      <c r="D29" s="1348"/>
      <c r="F29" s="634"/>
      <c r="G29" s="634"/>
    </row>
    <row r="30" spans="3:7" s="608" customFormat="1" ht="15.75" customHeight="1">
      <c r="C30" s="1346" t="s">
        <v>743</v>
      </c>
      <c r="D30" s="1346"/>
      <c r="E30" s="602"/>
      <c r="F30" s="628">
        <v>297271</v>
      </c>
      <c r="G30" s="628">
        <v>297271</v>
      </c>
    </row>
    <row r="31" spans="3:7" s="602" customFormat="1" ht="15.75" customHeight="1">
      <c r="C31" s="1340" t="s">
        <v>744</v>
      </c>
      <c r="D31" s="1340"/>
      <c r="E31" s="608"/>
      <c r="F31" s="629"/>
      <c r="G31" s="629"/>
    </row>
    <row r="32" spans="3:7" s="602" customFormat="1" ht="18.75" customHeight="1">
      <c r="C32" s="1345"/>
      <c r="D32" s="1345"/>
      <c r="F32" s="628"/>
      <c r="G32" s="628"/>
    </row>
    <row r="33" spans="1:9" s="608" customFormat="1" ht="15.75" customHeight="1">
      <c r="C33" s="1346" t="s">
        <v>745</v>
      </c>
      <c r="D33" s="1346"/>
      <c r="E33" s="602"/>
      <c r="F33" s="628">
        <v>36974</v>
      </c>
      <c r="G33" s="628">
        <v>36974</v>
      </c>
    </row>
    <row r="34" spans="1:9" s="602" customFormat="1" ht="15.75" customHeight="1">
      <c r="C34" s="1340" t="s">
        <v>732</v>
      </c>
      <c r="D34" s="1340"/>
      <c r="E34" s="608"/>
      <c r="F34" s="629"/>
      <c r="G34" s="629"/>
    </row>
    <row r="35" spans="1:9" s="602" customFormat="1" ht="18.75" customHeight="1">
      <c r="C35" s="1345"/>
      <c r="D35" s="1345"/>
      <c r="F35" s="628"/>
      <c r="G35" s="628"/>
    </row>
    <row r="36" spans="1:9" s="608" customFormat="1" ht="15.75" customHeight="1">
      <c r="C36" s="1346" t="s">
        <v>746</v>
      </c>
      <c r="D36" s="1346"/>
      <c r="E36" s="602"/>
      <c r="F36" s="628">
        <v>98641</v>
      </c>
      <c r="G36" s="628">
        <v>98641</v>
      </c>
    </row>
    <row r="37" spans="1:9" s="602" customFormat="1" ht="15.75" customHeight="1">
      <c r="C37" s="1340" t="s">
        <v>747</v>
      </c>
      <c r="D37" s="1340"/>
      <c r="E37" s="608"/>
      <c r="F37" s="629"/>
      <c r="G37" s="629"/>
    </row>
    <row r="38" spans="1:9" s="602" customFormat="1" ht="18.75" customHeight="1">
      <c r="C38" s="1345"/>
      <c r="D38" s="1345"/>
      <c r="F38" s="628"/>
      <c r="G38" s="628"/>
    </row>
    <row r="39" spans="1:9" s="608" customFormat="1" ht="15.75" customHeight="1">
      <c r="C39" s="1346" t="s">
        <v>748</v>
      </c>
      <c r="D39" s="1346"/>
      <c r="E39" s="602"/>
      <c r="F39" s="631">
        <v>586</v>
      </c>
      <c r="G39" s="631">
        <v>586</v>
      </c>
    </row>
    <row r="40" spans="1:9" s="602" customFormat="1" ht="15.75" customHeight="1">
      <c r="C40" s="1340" t="s">
        <v>749</v>
      </c>
      <c r="D40" s="1340"/>
      <c r="E40" s="608"/>
      <c r="F40" s="632"/>
      <c r="G40" s="632"/>
    </row>
    <row r="41" spans="1:9" s="602" customFormat="1" ht="18.75" customHeight="1">
      <c r="C41" s="1345"/>
      <c r="D41" s="1345"/>
      <c r="F41" s="631"/>
      <c r="G41" s="631"/>
    </row>
    <row r="42" spans="1:9" s="608" customFormat="1" ht="15.75" customHeight="1">
      <c r="C42" s="1346" t="s">
        <v>750</v>
      </c>
      <c r="D42" s="1346"/>
      <c r="E42" s="602"/>
      <c r="F42" s="631">
        <v>69745</v>
      </c>
      <c r="G42" s="631">
        <v>69745</v>
      </c>
    </row>
    <row r="43" spans="1:9" s="602" customFormat="1" ht="15.75" customHeight="1">
      <c r="C43" s="1340" t="s">
        <v>751</v>
      </c>
      <c r="D43" s="1340"/>
      <c r="E43" s="608"/>
      <c r="F43" s="632"/>
      <c r="G43" s="632"/>
    </row>
    <row r="44" spans="1:9" s="602" customFormat="1" ht="18.75" customHeight="1">
      <c r="C44" s="1345"/>
      <c r="D44" s="1345"/>
      <c r="F44" s="631"/>
      <c r="G44" s="631"/>
    </row>
    <row r="45" spans="1:9" s="608" customFormat="1" ht="15.75" customHeight="1">
      <c r="C45" s="1346" t="s">
        <v>752</v>
      </c>
      <c r="D45" s="1346"/>
      <c r="E45" s="602"/>
      <c r="F45" s="631">
        <v>2319</v>
      </c>
      <c r="G45" s="631">
        <v>2319</v>
      </c>
    </row>
    <row r="46" spans="1:9" s="611" customFormat="1" ht="15.75" customHeight="1">
      <c r="A46" s="602"/>
      <c r="C46" s="1340" t="s">
        <v>753</v>
      </c>
      <c r="D46" s="1340"/>
      <c r="E46" s="608"/>
      <c r="F46" s="608"/>
      <c r="G46" s="636"/>
      <c r="I46" s="637"/>
    </row>
    <row r="47" spans="1:9" s="638" customFormat="1" ht="15.75" customHeight="1" thickBot="1">
      <c r="C47" s="1341"/>
      <c r="D47" s="1341"/>
      <c r="E47" s="639"/>
      <c r="F47" s="639"/>
      <c r="G47" s="640"/>
    </row>
    <row r="48" spans="1:9" s="638" customFormat="1" ht="9.25" customHeight="1">
      <c r="C48" s="1342"/>
      <c r="D48" s="1342"/>
      <c r="E48" s="1342"/>
      <c r="F48" s="1342"/>
      <c r="G48" s="1342"/>
    </row>
    <row r="49" spans="1:7" s="638" customFormat="1" ht="15.25" customHeight="1">
      <c r="C49" s="1343" t="s">
        <v>754</v>
      </c>
      <c r="D49" s="1343"/>
      <c r="E49" s="1343"/>
      <c r="F49" s="1343"/>
      <c r="G49" s="1343"/>
    </row>
    <row r="50" spans="1:7" s="638" customFormat="1" ht="15.25" customHeight="1">
      <c r="C50" s="1343" t="s">
        <v>755</v>
      </c>
      <c r="D50" s="1343"/>
      <c r="E50" s="1343"/>
      <c r="F50" s="1343"/>
      <c r="G50" s="1343"/>
    </row>
    <row r="51" spans="1:7" s="638" customFormat="1" ht="15.25" customHeight="1">
      <c r="A51" s="641"/>
      <c r="C51" s="1344" t="s">
        <v>756</v>
      </c>
      <c r="D51" s="1344"/>
      <c r="E51" s="1344"/>
      <c r="F51" s="1344"/>
      <c r="G51" s="1344"/>
    </row>
    <row r="52" spans="1:7" s="638" customFormat="1" ht="15.25" customHeight="1">
      <c r="G52" s="642" t="s">
        <v>757</v>
      </c>
    </row>
    <row r="53" spans="1:7" s="638" customFormat="1" ht="12">
      <c r="B53" s="643"/>
      <c r="C53" s="299" t="s">
        <v>134</v>
      </c>
      <c r="D53" s="644"/>
    </row>
    <row r="54" spans="1:7" s="638" customFormat="1" ht="12">
      <c r="C54" s="643" t="s">
        <v>758</v>
      </c>
      <c r="D54" s="644"/>
    </row>
    <row r="55" spans="1:7" s="602" customFormat="1" ht="13">
      <c r="C55" s="645" t="s">
        <v>759</v>
      </c>
      <c r="D55" s="644"/>
      <c r="E55" s="638"/>
      <c r="F55" s="638"/>
      <c r="G55" s="638"/>
    </row>
    <row r="56" spans="1:7" s="404" customFormat="1"/>
  </sheetData>
  <mergeCells count="48">
    <mergeCell ref="C15:D15"/>
    <mergeCell ref="C4:D4"/>
    <mergeCell ref="C5:D5"/>
    <mergeCell ref="C6:D6"/>
    <mergeCell ref="C7:D7"/>
    <mergeCell ref="C8:D8"/>
    <mergeCell ref="C9:D9"/>
    <mergeCell ref="C10:D10"/>
    <mergeCell ref="C11:D11"/>
    <mergeCell ref="C12:D12"/>
    <mergeCell ref="C13:D13"/>
    <mergeCell ref="C14:D14"/>
    <mergeCell ref="C27:D27"/>
    <mergeCell ref="C16:D16"/>
    <mergeCell ref="C17:D17"/>
    <mergeCell ref="C18:D18"/>
    <mergeCell ref="C19:D19"/>
    <mergeCell ref="C20:D20"/>
    <mergeCell ref="C21:D21"/>
    <mergeCell ref="C22:D22"/>
    <mergeCell ref="C23:D23"/>
    <mergeCell ref="C24:D24"/>
    <mergeCell ref="C25:D25"/>
    <mergeCell ref="C26:D26"/>
    <mergeCell ref="C39:D39"/>
    <mergeCell ref="C28:D28"/>
    <mergeCell ref="C29:D29"/>
    <mergeCell ref="C30:D30"/>
    <mergeCell ref="C31:D31"/>
    <mergeCell ref="C32:D32"/>
    <mergeCell ref="C33:D33"/>
    <mergeCell ref="C34:D34"/>
    <mergeCell ref="C35:D35"/>
    <mergeCell ref="C36:D36"/>
    <mergeCell ref="C37:D37"/>
    <mergeCell ref="C38:D38"/>
    <mergeCell ref="C51:G51"/>
    <mergeCell ref="C40:D40"/>
    <mergeCell ref="C41:D41"/>
    <mergeCell ref="C42:D42"/>
    <mergeCell ref="C43:D43"/>
    <mergeCell ref="C44:D44"/>
    <mergeCell ref="C45:D45"/>
    <mergeCell ref="C46:D46"/>
    <mergeCell ref="C47:D47"/>
    <mergeCell ref="C48:G48"/>
    <mergeCell ref="C49:G49"/>
    <mergeCell ref="C50:G50"/>
  </mergeCells>
  <printOptions horizontalCentered="1"/>
  <pageMargins left="0.55118110236220474" right="0.55118110236220474" top="0.55118110236220474" bottom="0.55118110236220474" header="0.31496062992125984" footer="0.31496062992125984"/>
  <pageSetup paperSize="9" scale="65"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95F0D-67AA-4D81-97CA-1347731888CD}">
  <sheetPr codeName="Sheet50">
    <pageSetUpPr fitToPage="1"/>
  </sheetPr>
  <dimension ref="A1:N78"/>
  <sheetViews>
    <sheetView view="pageBreakPreview" zoomScaleNormal="100" zoomScaleSheetLayoutView="100" workbookViewId="0">
      <selection activeCell="D60" sqref="D60"/>
    </sheetView>
  </sheetViews>
  <sheetFormatPr baseColWidth="10" defaultColWidth="8.83203125" defaultRowHeight="15"/>
  <cols>
    <col min="1" max="1" width="3.1640625" customWidth="1"/>
    <col min="3" max="3" width="21.33203125" customWidth="1"/>
    <col min="4" max="4" width="8.5" customWidth="1"/>
    <col min="5" max="5" width="21" customWidth="1"/>
    <col min="6" max="6" width="13.83203125" customWidth="1"/>
    <col min="7" max="7" width="12.33203125" customWidth="1"/>
    <col min="8" max="8" width="14.5" customWidth="1"/>
    <col min="9" max="9" width="18.6640625" customWidth="1"/>
    <col min="10" max="10" width="2.33203125" customWidth="1"/>
  </cols>
  <sheetData>
    <row r="1" spans="1:14" s="377" customFormat="1" ht="8" customHeight="1">
      <c r="B1" s="646"/>
      <c r="C1" s="646"/>
      <c r="D1" s="647"/>
      <c r="E1" s="648"/>
      <c r="F1" s="649"/>
      <c r="G1" s="649"/>
      <c r="H1" s="650"/>
      <c r="I1" s="649"/>
    </row>
    <row r="2" spans="1:14" s="377" customFormat="1" ht="8" customHeight="1">
      <c r="B2" s="646"/>
      <c r="C2" s="646"/>
      <c r="D2" s="647"/>
      <c r="E2" s="648"/>
      <c r="F2" s="649"/>
      <c r="G2" s="649"/>
      <c r="H2" s="650"/>
      <c r="I2" s="649"/>
    </row>
    <row r="3" spans="1:14" s="282" customFormat="1" ht="16.5" customHeight="1">
      <c r="B3" s="651" t="s">
        <v>760</v>
      </c>
      <c r="C3" s="652" t="s">
        <v>761</v>
      </c>
      <c r="D3" s="653"/>
      <c r="E3" s="654"/>
      <c r="F3" s="290"/>
      <c r="G3" s="652"/>
      <c r="H3" s="652"/>
      <c r="I3" s="652"/>
      <c r="J3" s="652"/>
      <c r="K3" s="290"/>
      <c r="L3" s="290"/>
      <c r="M3" s="290"/>
      <c r="N3" s="290"/>
    </row>
    <row r="4" spans="1:14" s="282" customFormat="1" ht="16.5" customHeight="1">
      <c r="B4" s="655" t="s">
        <v>762</v>
      </c>
      <c r="C4" s="1355" t="s">
        <v>763</v>
      </c>
      <c r="D4" s="1355"/>
      <c r="E4" s="1355"/>
      <c r="F4" s="1355"/>
      <c r="G4" s="1355"/>
      <c r="H4" s="1355"/>
      <c r="I4" s="1355"/>
      <c r="J4" s="652"/>
      <c r="K4" s="290"/>
      <c r="L4" s="290"/>
      <c r="M4" s="290"/>
      <c r="N4" s="290"/>
    </row>
    <row r="5" spans="1:14" s="377" customFormat="1" ht="16.5" customHeight="1" thickBot="1">
      <c r="A5" s="402"/>
      <c r="B5" s="402"/>
      <c r="C5" s="402"/>
      <c r="D5" s="656"/>
      <c r="E5" s="657"/>
      <c r="F5" s="658"/>
      <c r="G5" s="659"/>
      <c r="H5" s="659"/>
      <c r="I5" s="659"/>
      <c r="J5" s="402"/>
      <c r="K5" s="660"/>
      <c r="L5" s="660"/>
      <c r="M5" s="660"/>
      <c r="N5" s="660"/>
    </row>
    <row r="6" spans="1:14" s="377" customFormat="1" ht="18.75" customHeight="1">
      <c r="A6" s="661"/>
      <c r="B6" s="661" t="s">
        <v>764</v>
      </c>
      <c r="C6" s="662"/>
      <c r="D6" s="663" t="s">
        <v>765</v>
      </c>
      <c r="E6" s="664" t="s">
        <v>385</v>
      </c>
      <c r="F6" s="664" t="s">
        <v>766</v>
      </c>
      <c r="G6" s="665" t="s">
        <v>767</v>
      </c>
      <c r="H6" s="666" t="s">
        <v>768</v>
      </c>
      <c r="I6" s="664" t="s">
        <v>769</v>
      </c>
      <c r="J6" s="661"/>
      <c r="K6" s="667"/>
      <c r="L6" s="667"/>
      <c r="M6" s="667"/>
    </row>
    <row r="7" spans="1:14" s="675" customFormat="1" ht="33.5" customHeight="1" thickBot="1">
      <c r="A7" s="668"/>
      <c r="B7" s="668" t="s">
        <v>770</v>
      </c>
      <c r="C7" s="669"/>
      <c r="D7" s="670" t="s">
        <v>771</v>
      </c>
      <c r="E7" s="671" t="s">
        <v>386</v>
      </c>
      <c r="F7" s="672" t="s">
        <v>772</v>
      </c>
      <c r="G7" s="673" t="s">
        <v>773</v>
      </c>
      <c r="H7" s="671" t="s">
        <v>774</v>
      </c>
      <c r="I7" s="672" t="s">
        <v>775</v>
      </c>
      <c r="J7" s="668"/>
      <c r="K7" s="674"/>
      <c r="L7" s="674"/>
      <c r="M7" s="674"/>
    </row>
    <row r="8" spans="1:14" s="676" customFormat="1" ht="8" customHeight="1">
      <c r="B8" s="677"/>
      <c r="C8" s="677"/>
      <c r="D8" s="310"/>
      <c r="E8" s="678"/>
      <c r="F8" s="678"/>
      <c r="G8" s="678"/>
      <c r="H8" s="678"/>
      <c r="I8" s="678"/>
      <c r="K8" s="377"/>
      <c r="L8" s="377"/>
      <c r="M8" s="377"/>
    </row>
    <row r="9" spans="1:14" s="676" customFormat="1" ht="13" customHeight="1">
      <c r="B9" s="679" t="s">
        <v>776</v>
      </c>
      <c r="C9" s="679"/>
      <c r="D9" s="310">
        <v>2022</v>
      </c>
      <c r="E9" s="680">
        <v>16489</v>
      </c>
      <c r="F9" s="680">
        <v>310</v>
      </c>
      <c r="G9" s="680">
        <v>1738</v>
      </c>
      <c r="H9" s="680">
        <v>9729</v>
      </c>
      <c r="I9" s="680">
        <v>4712</v>
      </c>
      <c r="K9" s="282"/>
      <c r="L9" s="377"/>
      <c r="M9" s="377"/>
    </row>
    <row r="10" spans="1:14" s="676" customFormat="1" ht="13" customHeight="1">
      <c r="B10" s="677"/>
      <c r="C10" s="677"/>
      <c r="D10" s="310">
        <v>2023</v>
      </c>
      <c r="E10" s="680">
        <v>13279</v>
      </c>
      <c r="F10" s="680">
        <v>253</v>
      </c>
      <c r="G10" s="680">
        <v>1582</v>
      </c>
      <c r="H10" s="680">
        <v>7326</v>
      </c>
      <c r="I10" s="680">
        <v>4118</v>
      </c>
      <c r="K10" s="282"/>
      <c r="L10" s="377"/>
      <c r="M10" s="377"/>
    </row>
    <row r="11" spans="1:14" s="676" customFormat="1" ht="13" customHeight="1">
      <c r="B11" s="677"/>
      <c r="C11" s="677"/>
      <c r="D11" s="310">
        <v>2024</v>
      </c>
      <c r="E11" s="680">
        <v>11495</v>
      </c>
      <c r="F11" s="680">
        <v>243</v>
      </c>
      <c r="G11" s="680">
        <v>1553</v>
      </c>
      <c r="H11" s="680">
        <v>5636</v>
      </c>
      <c r="I11" s="680">
        <v>4063</v>
      </c>
      <c r="K11" s="282"/>
      <c r="L11" s="377"/>
      <c r="M11" s="377"/>
    </row>
    <row r="12" spans="1:14" s="676" customFormat="1" ht="8" customHeight="1">
      <c r="B12" s="681"/>
      <c r="C12" s="677"/>
      <c r="D12" s="682"/>
      <c r="E12" s="349"/>
      <c r="F12" s="683"/>
      <c r="G12" s="683"/>
      <c r="H12" s="683"/>
      <c r="I12" s="683"/>
      <c r="K12" s="377"/>
      <c r="L12" s="377"/>
      <c r="M12" s="377"/>
    </row>
    <row r="13" spans="1:14" s="684" customFormat="1" ht="13" customHeight="1">
      <c r="B13" s="685" t="s">
        <v>249</v>
      </c>
      <c r="C13" s="685"/>
      <c r="D13" s="682">
        <v>2022</v>
      </c>
      <c r="E13" s="349">
        <v>1923</v>
      </c>
      <c r="F13" s="683">
        <v>35</v>
      </c>
      <c r="G13" s="683">
        <v>206</v>
      </c>
      <c r="H13" s="683">
        <v>1083</v>
      </c>
      <c r="I13" s="683">
        <v>599</v>
      </c>
      <c r="K13" s="377"/>
      <c r="L13" s="377"/>
      <c r="M13" s="377"/>
    </row>
    <row r="14" spans="1:14" s="684" customFormat="1" ht="13" customHeight="1">
      <c r="B14" s="686"/>
      <c r="C14" s="686"/>
      <c r="D14" s="682">
        <v>2023</v>
      </c>
      <c r="E14" s="349">
        <v>1384</v>
      </c>
      <c r="F14" s="349">
        <v>36</v>
      </c>
      <c r="G14" s="349">
        <v>164</v>
      </c>
      <c r="H14" s="349">
        <v>737</v>
      </c>
      <c r="I14" s="683">
        <v>447</v>
      </c>
      <c r="K14" s="377"/>
      <c r="L14" s="377"/>
      <c r="M14" s="377"/>
    </row>
    <row r="15" spans="1:14" s="684" customFormat="1" ht="13" customHeight="1">
      <c r="B15" s="686"/>
      <c r="C15" s="686"/>
      <c r="D15" s="682">
        <v>2024</v>
      </c>
      <c r="E15" s="349">
        <v>925</v>
      </c>
      <c r="F15" s="349">
        <v>21</v>
      </c>
      <c r="G15" s="349">
        <v>144</v>
      </c>
      <c r="H15" s="349">
        <v>395</v>
      </c>
      <c r="I15" s="683">
        <v>365</v>
      </c>
      <c r="J15" s="687"/>
      <c r="K15" s="377"/>
      <c r="L15" s="377"/>
      <c r="M15" s="377"/>
    </row>
    <row r="16" spans="1:14" s="377" customFormat="1" ht="8" customHeight="1">
      <c r="B16" s="688"/>
      <c r="C16" s="688"/>
      <c r="D16" s="682"/>
      <c r="E16" s="349"/>
      <c r="F16" s="349"/>
      <c r="G16" s="349"/>
      <c r="H16" s="349"/>
      <c r="I16" s="349"/>
      <c r="L16" s="689"/>
    </row>
    <row r="17" spans="2:14" s="377" customFormat="1" ht="13" customHeight="1">
      <c r="B17" s="690" t="s">
        <v>250</v>
      </c>
      <c r="C17" s="690"/>
      <c r="D17" s="682">
        <v>2022</v>
      </c>
      <c r="E17" s="349">
        <v>937</v>
      </c>
      <c r="F17" s="349">
        <v>20</v>
      </c>
      <c r="G17" s="349">
        <v>145</v>
      </c>
      <c r="H17" s="349">
        <v>444</v>
      </c>
      <c r="I17" s="349">
        <v>328</v>
      </c>
    </row>
    <row r="18" spans="2:14" s="646" customFormat="1" ht="13" customHeight="1">
      <c r="B18" s="690"/>
      <c r="C18" s="690"/>
      <c r="D18" s="682">
        <v>2023</v>
      </c>
      <c r="E18" s="349">
        <v>674</v>
      </c>
      <c r="F18" s="349">
        <v>13</v>
      </c>
      <c r="G18" s="349">
        <v>119</v>
      </c>
      <c r="H18" s="349">
        <v>270</v>
      </c>
      <c r="I18" s="349">
        <v>272</v>
      </c>
    </row>
    <row r="19" spans="2:14" s="377" customFormat="1" ht="13" customHeight="1">
      <c r="B19" s="690"/>
      <c r="C19" s="690"/>
      <c r="D19" s="682">
        <v>2024</v>
      </c>
      <c r="E19" s="349">
        <v>734</v>
      </c>
      <c r="F19" s="349">
        <v>11</v>
      </c>
      <c r="G19" s="349">
        <v>148</v>
      </c>
      <c r="H19" s="349">
        <v>301</v>
      </c>
      <c r="I19" s="349">
        <v>274</v>
      </c>
    </row>
    <row r="20" spans="2:14" s="377" customFormat="1" ht="8" customHeight="1">
      <c r="B20" s="688"/>
      <c r="C20" s="688"/>
      <c r="D20" s="682"/>
      <c r="E20" s="349"/>
      <c r="F20" s="349"/>
      <c r="G20" s="349"/>
      <c r="H20" s="349"/>
      <c r="I20" s="349"/>
    </row>
    <row r="21" spans="2:14" s="377" customFormat="1" ht="13" customHeight="1">
      <c r="B21" s="690" t="s">
        <v>251</v>
      </c>
      <c r="C21" s="690"/>
      <c r="D21" s="682">
        <v>2022</v>
      </c>
      <c r="E21" s="349">
        <v>470</v>
      </c>
      <c r="F21" s="349">
        <v>9</v>
      </c>
      <c r="G21" s="349">
        <v>73</v>
      </c>
      <c r="H21" s="349">
        <v>210</v>
      </c>
      <c r="I21" s="349">
        <v>178</v>
      </c>
      <c r="K21" s="282"/>
      <c r="L21" s="282"/>
      <c r="M21" s="282"/>
      <c r="N21" s="282"/>
    </row>
    <row r="22" spans="2:14" s="377" customFormat="1" ht="13" customHeight="1">
      <c r="B22" s="690"/>
      <c r="C22" s="690"/>
      <c r="D22" s="682">
        <v>2023</v>
      </c>
      <c r="E22" s="349">
        <v>504</v>
      </c>
      <c r="F22" s="349">
        <v>13</v>
      </c>
      <c r="G22" s="349">
        <v>108</v>
      </c>
      <c r="H22" s="349">
        <v>172</v>
      </c>
      <c r="I22" s="349">
        <v>211</v>
      </c>
      <c r="K22" s="282"/>
      <c r="L22" s="282"/>
      <c r="M22" s="282"/>
      <c r="N22" s="282"/>
    </row>
    <row r="23" spans="2:14" s="377" customFormat="1" ht="13" customHeight="1">
      <c r="B23" s="690"/>
      <c r="C23" s="690"/>
      <c r="D23" s="682">
        <v>2024</v>
      </c>
      <c r="E23" s="349">
        <v>426</v>
      </c>
      <c r="F23" s="349">
        <v>8</v>
      </c>
      <c r="G23" s="349">
        <v>107</v>
      </c>
      <c r="H23" s="349">
        <v>110</v>
      </c>
      <c r="I23" s="349">
        <v>201</v>
      </c>
      <c r="K23" s="282"/>
      <c r="L23" s="282"/>
      <c r="M23" s="282"/>
      <c r="N23" s="282"/>
    </row>
    <row r="24" spans="2:14" s="377" customFormat="1" ht="8" customHeight="1">
      <c r="B24" s="691"/>
      <c r="C24" s="691"/>
      <c r="D24" s="682"/>
      <c r="E24" s="349"/>
      <c r="F24" s="349"/>
      <c r="G24" s="349"/>
      <c r="H24" s="349"/>
      <c r="I24" s="349"/>
      <c r="K24" s="282"/>
      <c r="L24" s="282"/>
      <c r="M24" s="282"/>
      <c r="N24" s="282"/>
    </row>
    <row r="25" spans="2:14" s="377" customFormat="1" ht="13" customHeight="1">
      <c r="B25" s="690" t="s">
        <v>252</v>
      </c>
      <c r="C25" s="690"/>
      <c r="D25" s="682">
        <v>2022</v>
      </c>
      <c r="E25" s="349">
        <v>460</v>
      </c>
      <c r="F25" s="349">
        <v>5</v>
      </c>
      <c r="G25" s="349">
        <v>22</v>
      </c>
      <c r="H25" s="349">
        <v>269</v>
      </c>
      <c r="I25" s="349">
        <v>164</v>
      </c>
      <c r="K25" s="282"/>
      <c r="L25" s="282"/>
      <c r="M25" s="282"/>
      <c r="N25" s="282"/>
    </row>
    <row r="26" spans="2:14" s="377" customFormat="1" ht="13" customHeight="1">
      <c r="B26" s="690"/>
      <c r="C26" s="690"/>
      <c r="D26" s="682">
        <v>2023</v>
      </c>
      <c r="E26" s="349">
        <v>366</v>
      </c>
      <c r="F26" s="349">
        <v>6</v>
      </c>
      <c r="G26" s="349">
        <v>53</v>
      </c>
      <c r="H26" s="349">
        <v>158</v>
      </c>
      <c r="I26" s="349">
        <v>149</v>
      </c>
      <c r="K26" s="282"/>
      <c r="L26" s="282"/>
      <c r="M26" s="282"/>
      <c r="N26" s="282"/>
    </row>
    <row r="27" spans="2:14" s="377" customFormat="1" ht="13" customHeight="1">
      <c r="B27" s="690"/>
      <c r="C27" s="690"/>
      <c r="D27" s="682">
        <v>2024</v>
      </c>
      <c r="E27" s="349">
        <v>311</v>
      </c>
      <c r="F27" s="349">
        <v>4</v>
      </c>
      <c r="G27" s="349">
        <v>41</v>
      </c>
      <c r="H27" s="349">
        <v>96</v>
      </c>
      <c r="I27" s="349">
        <v>170</v>
      </c>
      <c r="K27" s="282"/>
      <c r="L27" s="282"/>
      <c r="M27" s="282"/>
      <c r="N27" s="282"/>
    </row>
    <row r="28" spans="2:14" s="377" customFormat="1" ht="8" customHeight="1">
      <c r="B28" s="690"/>
      <c r="C28" s="690"/>
      <c r="D28" s="682"/>
      <c r="E28" s="349"/>
      <c r="F28" s="349"/>
      <c r="G28" s="349"/>
      <c r="H28" s="349"/>
      <c r="I28" s="349"/>
      <c r="K28" s="282"/>
      <c r="L28" s="282"/>
      <c r="M28" s="282"/>
      <c r="N28" s="282"/>
    </row>
    <row r="29" spans="2:14" s="377" customFormat="1" ht="13.5" customHeight="1">
      <c r="B29" s="690" t="s">
        <v>253</v>
      </c>
      <c r="C29" s="690"/>
      <c r="D29" s="682">
        <v>2022</v>
      </c>
      <c r="E29" s="349">
        <v>778</v>
      </c>
      <c r="F29" s="349">
        <v>10</v>
      </c>
      <c r="G29" s="349">
        <v>56</v>
      </c>
      <c r="H29" s="349">
        <v>454</v>
      </c>
      <c r="I29" s="349">
        <v>258</v>
      </c>
      <c r="K29" s="282"/>
      <c r="L29" s="282"/>
      <c r="M29" s="282"/>
      <c r="N29" s="282"/>
    </row>
    <row r="30" spans="2:14" s="377" customFormat="1" ht="13.5" customHeight="1">
      <c r="B30" s="690"/>
      <c r="C30" s="690"/>
      <c r="D30" s="682">
        <v>2023</v>
      </c>
      <c r="E30" s="349">
        <v>525</v>
      </c>
      <c r="F30" s="349">
        <v>8</v>
      </c>
      <c r="G30" s="349">
        <v>75</v>
      </c>
      <c r="H30" s="349">
        <v>229</v>
      </c>
      <c r="I30" s="349">
        <v>213</v>
      </c>
      <c r="K30" s="282"/>
      <c r="L30" s="282"/>
      <c r="M30" s="282"/>
      <c r="N30" s="282"/>
    </row>
    <row r="31" spans="2:14" s="377" customFormat="1" ht="13.5" customHeight="1">
      <c r="B31" s="690"/>
      <c r="C31" s="690"/>
      <c r="D31" s="682">
        <v>2024</v>
      </c>
      <c r="E31" s="349">
        <v>434</v>
      </c>
      <c r="F31" s="349">
        <v>11</v>
      </c>
      <c r="G31" s="349">
        <v>54</v>
      </c>
      <c r="H31" s="349">
        <v>148</v>
      </c>
      <c r="I31" s="349">
        <v>221</v>
      </c>
      <c r="K31" s="282"/>
      <c r="L31" s="282"/>
      <c r="M31" s="282"/>
      <c r="N31" s="282"/>
    </row>
    <row r="32" spans="2:14" s="377" customFormat="1" ht="8" customHeight="1">
      <c r="B32" s="688"/>
      <c r="C32" s="688"/>
      <c r="D32" s="682"/>
      <c r="E32" s="349"/>
      <c r="F32" s="349"/>
      <c r="G32" s="349"/>
      <c r="H32" s="349"/>
      <c r="I32" s="349"/>
      <c r="K32" s="282"/>
      <c r="L32" s="282"/>
      <c r="M32" s="282"/>
      <c r="N32" s="282"/>
    </row>
    <row r="33" spans="2:14" s="377" customFormat="1" ht="13.5" customHeight="1">
      <c r="B33" s="690" t="s">
        <v>254</v>
      </c>
      <c r="C33" s="690"/>
      <c r="D33" s="682">
        <v>2022</v>
      </c>
      <c r="E33" s="349">
        <v>595</v>
      </c>
      <c r="F33" s="349">
        <v>16</v>
      </c>
      <c r="G33" s="349">
        <v>114</v>
      </c>
      <c r="H33" s="349">
        <v>239</v>
      </c>
      <c r="I33" s="349">
        <v>226</v>
      </c>
      <c r="K33" s="282"/>
      <c r="L33" s="282"/>
      <c r="M33" s="282"/>
      <c r="N33" s="282"/>
    </row>
    <row r="34" spans="2:14" s="377" customFormat="1" ht="13.5" customHeight="1">
      <c r="B34" s="690"/>
      <c r="C34" s="690"/>
      <c r="D34" s="682">
        <v>2023</v>
      </c>
      <c r="E34" s="349">
        <v>405</v>
      </c>
      <c r="F34" s="349">
        <v>8</v>
      </c>
      <c r="G34" s="349">
        <v>98</v>
      </c>
      <c r="H34" s="349">
        <v>144</v>
      </c>
      <c r="I34" s="349">
        <v>155</v>
      </c>
      <c r="K34" s="282"/>
      <c r="L34" s="282"/>
      <c r="M34" s="282"/>
      <c r="N34" s="282"/>
    </row>
    <row r="35" spans="2:14" s="377" customFormat="1" ht="13.5" customHeight="1">
      <c r="B35" s="690"/>
      <c r="C35" s="690"/>
      <c r="D35" s="682">
        <v>2024</v>
      </c>
      <c r="E35" s="349">
        <v>413</v>
      </c>
      <c r="F35" s="349">
        <v>11</v>
      </c>
      <c r="G35" s="349">
        <v>113</v>
      </c>
      <c r="H35" s="349">
        <v>85</v>
      </c>
      <c r="I35" s="349">
        <v>204</v>
      </c>
      <c r="K35" s="282"/>
      <c r="L35" s="282"/>
      <c r="M35" s="282"/>
      <c r="N35" s="282"/>
    </row>
    <row r="36" spans="2:14" s="377" customFormat="1" ht="8" customHeight="1">
      <c r="B36" s="688"/>
      <c r="C36" s="688"/>
      <c r="D36" s="682"/>
      <c r="E36" s="349"/>
      <c r="F36" s="349"/>
      <c r="G36" s="349"/>
      <c r="H36" s="349"/>
      <c r="I36" s="349"/>
      <c r="K36" s="282"/>
      <c r="L36" s="282"/>
      <c r="M36" s="282"/>
      <c r="N36" s="282"/>
    </row>
    <row r="37" spans="2:14" s="377" customFormat="1" ht="13.5" customHeight="1">
      <c r="B37" s="690" t="s">
        <v>255</v>
      </c>
      <c r="C37" s="690"/>
      <c r="D37" s="682">
        <v>2022</v>
      </c>
      <c r="E37" s="349">
        <v>1056</v>
      </c>
      <c r="F37" s="349">
        <v>15</v>
      </c>
      <c r="G37" s="349">
        <v>80</v>
      </c>
      <c r="H37" s="349">
        <v>620</v>
      </c>
      <c r="I37" s="349">
        <v>341</v>
      </c>
      <c r="K37" s="282"/>
      <c r="L37" s="282"/>
      <c r="M37" s="282"/>
      <c r="N37" s="282"/>
    </row>
    <row r="38" spans="2:14" s="377" customFormat="1" ht="13.5" customHeight="1">
      <c r="B38" s="690"/>
      <c r="C38" s="690"/>
      <c r="D38" s="682">
        <v>2023</v>
      </c>
      <c r="E38" s="349">
        <v>842</v>
      </c>
      <c r="F38" s="349">
        <v>16</v>
      </c>
      <c r="G38" s="349">
        <v>88</v>
      </c>
      <c r="H38" s="349">
        <v>425</v>
      </c>
      <c r="I38" s="349">
        <v>313</v>
      </c>
      <c r="K38" s="282"/>
      <c r="L38" s="282"/>
      <c r="M38" s="282"/>
      <c r="N38" s="282"/>
    </row>
    <row r="39" spans="2:14" s="377" customFormat="1" ht="13.5" customHeight="1">
      <c r="B39" s="690"/>
      <c r="C39" s="690"/>
      <c r="D39" s="682">
        <v>2024</v>
      </c>
      <c r="E39" s="349">
        <v>931</v>
      </c>
      <c r="F39" s="349">
        <v>13</v>
      </c>
      <c r="G39" s="349">
        <v>88</v>
      </c>
      <c r="H39" s="349">
        <v>451</v>
      </c>
      <c r="I39" s="349">
        <v>379</v>
      </c>
      <c r="K39" s="282"/>
      <c r="L39" s="282"/>
      <c r="M39" s="282"/>
      <c r="N39" s="282"/>
    </row>
    <row r="40" spans="2:14" s="377" customFormat="1" ht="8" customHeight="1">
      <c r="B40" s="688"/>
      <c r="C40" s="688"/>
      <c r="D40" s="682"/>
      <c r="E40" s="349"/>
      <c r="F40" s="349"/>
      <c r="G40" s="349"/>
      <c r="H40" s="349"/>
      <c r="I40" s="349"/>
      <c r="K40" s="282"/>
      <c r="L40" s="282"/>
      <c r="M40" s="282"/>
      <c r="N40" s="282"/>
    </row>
    <row r="41" spans="2:14" s="377" customFormat="1" ht="13" customHeight="1">
      <c r="B41" s="690" t="s">
        <v>256</v>
      </c>
      <c r="C41" s="690"/>
      <c r="D41" s="682">
        <v>2022</v>
      </c>
      <c r="E41" s="349">
        <v>1103</v>
      </c>
      <c r="F41" s="349">
        <v>31</v>
      </c>
      <c r="G41" s="349">
        <v>102</v>
      </c>
      <c r="H41" s="349">
        <v>551</v>
      </c>
      <c r="I41" s="349">
        <v>419</v>
      </c>
      <c r="K41" s="282"/>
      <c r="L41" s="282"/>
      <c r="M41" s="282"/>
      <c r="N41" s="282"/>
    </row>
    <row r="42" spans="2:14" s="377" customFormat="1" ht="13" customHeight="1">
      <c r="B42" s="690"/>
      <c r="C42" s="690"/>
      <c r="D42" s="682">
        <v>2023</v>
      </c>
      <c r="E42" s="349">
        <v>789</v>
      </c>
      <c r="F42" s="349">
        <v>22</v>
      </c>
      <c r="G42" s="349">
        <v>74</v>
      </c>
      <c r="H42" s="349">
        <v>371</v>
      </c>
      <c r="I42" s="683">
        <v>322</v>
      </c>
      <c r="K42" s="282"/>
      <c r="L42" s="282"/>
      <c r="M42" s="282"/>
      <c r="N42" s="282"/>
    </row>
    <row r="43" spans="2:14" s="377" customFormat="1" ht="13" customHeight="1">
      <c r="B43" s="690"/>
      <c r="C43" s="690"/>
      <c r="D43" s="682">
        <v>2024</v>
      </c>
      <c r="E43" s="349">
        <v>747</v>
      </c>
      <c r="F43" s="349">
        <v>27</v>
      </c>
      <c r="G43" s="349">
        <v>96</v>
      </c>
      <c r="H43" s="349">
        <v>289</v>
      </c>
      <c r="I43" s="349">
        <v>335</v>
      </c>
      <c r="K43" s="282"/>
      <c r="L43" s="282"/>
      <c r="M43" s="282"/>
      <c r="N43" s="282"/>
    </row>
    <row r="44" spans="2:14" s="377" customFormat="1" ht="8" customHeight="1">
      <c r="B44" s="688"/>
      <c r="C44" s="688"/>
      <c r="D44" s="682"/>
      <c r="E44" s="349"/>
      <c r="F44" s="349"/>
      <c r="G44" s="349"/>
      <c r="H44" s="349"/>
      <c r="I44" s="683"/>
      <c r="K44" s="282"/>
      <c r="L44" s="282"/>
      <c r="M44" s="282"/>
      <c r="N44" s="282"/>
    </row>
    <row r="45" spans="2:14" s="377" customFormat="1" ht="13" customHeight="1">
      <c r="B45" s="690" t="s">
        <v>257</v>
      </c>
      <c r="C45" s="690"/>
      <c r="D45" s="682">
        <v>2022</v>
      </c>
      <c r="E45" s="349">
        <v>121</v>
      </c>
      <c r="F45" s="349">
        <v>1</v>
      </c>
      <c r="G45" s="349">
        <v>24</v>
      </c>
      <c r="H45" s="349">
        <v>36</v>
      </c>
      <c r="I45" s="683">
        <v>60</v>
      </c>
      <c r="K45" s="282"/>
      <c r="L45" s="282"/>
      <c r="M45" s="282"/>
      <c r="N45" s="282"/>
    </row>
    <row r="46" spans="2:14" s="377" customFormat="1" ht="13" customHeight="1">
      <c r="B46" s="690"/>
      <c r="C46" s="690"/>
      <c r="D46" s="682">
        <v>2023</v>
      </c>
      <c r="E46" s="349">
        <v>81</v>
      </c>
      <c r="F46" s="349">
        <v>2</v>
      </c>
      <c r="G46" s="349">
        <v>19</v>
      </c>
      <c r="H46" s="349">
        <v>20</v>
      </c>
      <c r="I46" s="349">
        <v>40</v>
      </c>
      <c r="K46" s="282"/>
      <c r="L46" s="282"/>
      <c r="M46" s="282"/>
      <c r="N46" s="282"/>
    </row>
    <row r="47" spans="2:14" s="377" customFormat="1" ht="13" customHeight="1">
      <c r="B47" s="690"/>
      <c r="C47" s="690"/>
      <c r="D47" s="682">
        <v>2024</v>
      </c>
      <c r="E47" s="349">
        <v>80</v>
      </c>
      <c r="F47" s="349">
        <v>2</v>
      </c>
      <c r="G47" s="349">
        <v>28</v>
      </c>
      <c r="H47" s="349">
        <v>12</v>
      </c>
      <c r="I47" s="349">
        <v>38</v>
      </c>
      <c r="K47" s="282"/>
      <c r="L47" s="282"/>
      <c r="M47" s="282"/>
      <c r="N47" s="282"/>
    </row>
    <row r="48" spans="2:14" s="377" customFormat="1" ht="8" customHeight="1">
      <c r="B48" s="690"/>
      <c r="C48" s="690"/>
      <c r="D48" s="682"/>
      <c r="E48" s="349"/>
      <c r="F48" s="349"/>
      <c r="G48" s="349"/>
      <c r="H48" s="349"/>
      <c r="I48" s="349"/>
      <c r="K48" s="282"/>
      <c r="L48" s="282"/>
      <c r="M48" s="282"/>
      <c r="N48" s="282"/>
    </row>
    <row r="49" spans="2:14" s="377" customFormat="1" ht="13.5" customHeight="1">
      <c r="B49" s="692" t="s">
        <v>258</v>
      </c>
      <c r="C49" s="692"/>
      <c r="D49" s="682">
        <v>2022</v>
      </c>
      <c r="E49" s="349">
        <v>4302</v>
      </c>
      <c r="F49" s="349">
        <v>90</v>
      </c>
      <c r="G49" s="349">
        <v>346</v>
      </c>
      <c r="H49" s="349">
        <v>2906</v>
      </c>
      <c r="I49" s="349">
        <v>960</v>
      </c>
      <c r="K49" s="282"/>
      <c r="L49" s="282"/>
      <c r="M49" s="282"/>
      <c r="N49" s="282"/>
    </row>
    <row r="50" spans="2:14" s="377" customFormat="1" ht="13.5" customHeight="1">
      <c r="B50" s="693"/>
      <c r="C50" s="693"/>
      <c r="D50" s="682">
        <v>2023</v>
      </c>
      <c r="E50" s="349">
        <v>4239</v>
      </c>
      <c r="F50" s="349">
        <v>69</v>
      </c>
      <c r="G50" s="349">
        <v>341</v>
      </c>
      <c r="H50" s="349">
        <v>2832</v>
      </c>
      <c r="I50" s="683">
        <v>997</v>
      </c>
      <c r="K50" s="282"/>
      <c r="L50" s="282"/>
      <c r="M50" s="282"/>
      <c r="N50" s="282"/>
    </row>
    <row r="51" spans="2:14" s="377" customFormat="1" ht="13.5" customHeight="1">
      <c r="B51" s="693"/>
      <c r="C51" s="693"/>
      <c r="D51" s="682">
        <v>2024</v>
      </c>
      <c r="E51" s="349">
        <v>3805</v>
      </c>
      <c r="F51" s="349">
        <v>80</v>
      </c>
      <c r="G51" s="349">
        <v>320</v>
      </c>
      <c r="H51" s="349">
        <v>2418</v>
      </c>
      <c r="I51" s="349">
        <v>987</v>
      </c>
      <c r="K51" s="282"/>
      <c r="L51" s="282"/>
      <c r="M51" s="282"/>
      <c r="N51" s="282"/>
    </row>
    <row r="52" spans="2:14" s="377" customFormat="1" ht="8" customHeight="1">
      <c r="B52" s="693"/>
      <c r="C52" s="693"/>
      <c r="D52" s="682"/>
      <c r="E52" s="349"/>
      <c r="F52" s="349"/>
      <c r="G52" s="349"/>
      <c r="H52" s="349"/>
      <c r="I52" s="349"/>
      <c r="K52" s="282"/>
      <c r="L52" s="282"/>
      <c r="M52" s="282"/>
      <c r="N52" s="282"/>
    </row>
    <row r="53" spans="2:14" s="377" customFormat="1" ht="13.5" customHeight="1">
      <c r="B53" s="692" t="s">
        <v>259</v>
      </c>
      <c r="C53" s="692"/>
      <c r="D53" s="682">
        <v>2022</v>
      </c>
      <c r="E53" s="349">
        <v>293</v>
      </c>
      <c r="F53" s="349">
        <v>1</v>
      </c>
      <c r="G53" s="349">
        <v>80</v>
      </c>
      <c r="H53" s="349">
        <v>94</v>
      </c>
      <c r="I53" s="349">
        <v>118</v>
      </c>
      <c r="K53" s="282"/>
      <c r="L53" s="282"/>
      <c r="M53" s="282"/>
      <c r="N53" s="282"/>
    </row>
    <row r="54" spans="2:14" s="377" customFormat="1" ht="13.5" customHeight="1">
      <c r="B54" s="692"/>
      <c r="C54" s="692"/>
      <c r="D54" s="682">
        <v>2023</v>
      </c>
      <c r="E54" s="349">
        <v>278</v>
      </c>
      <c r="F54" s="349">
        <v>3</v>
      </c>
      <c r="G54" s="349">
        <v>64</v>
      </c>
      <c r="H54" s="349">
        <v>93</v>
      </c>
      <c r="I54" s="349">
        <v>118</v>
      </c>
      <c r="K54" s="282"/>
      <c r="L54" s="282"/>
      <c r="M54" s="282"/>
      <c r="N54" s="282"/>
    </row>
    <row r="55" spans="2:14" s="377" customFormat="1" ht="13.5" customHeight="1">
      <c r="B55" s="692"/>
      <c r="C55" s="692"/>
      <c r="D55" s="682">
        <v>2024</v>
      </c>
      <c r="E55" s="349">
        <v>224</v>
      </c>
      <c r="F55" s="349">
        <v>4</v>
      </c>
      <c r="G55" s="349">
        <v>68</v>
      </c>
      <c r="H55" s="349">
        <v>51</v>
      </c>
      <c r="I55" s="349">
        <v>101</v>
      </c>
      <c r="K55" s="282"/>
      <c r="L55" s="282"/>
      <c r="M55" s="282"/>
      <c r="N55" s="282"/>
    </row>
    <row r="56" spans="2:14" s="377" customFormat="1" ht="8" customHeight="1">
      <c r="B56" s="688"/>
      <c r="C56" s="688"/>
      <c r="D56" s="682"/>
      <c r="E56" s="349"/>
      <c r="F56" s="349"/>
      <c r="G56" s="349"/>
      <c r="H56" s="349"/>
      <c r="I56" s="349"/>
      <c r="K56" s="282"/>
      <c r="L56" s="282"/>
      <c r="M56" s="282"/>
      <c r="N56" s="282"/>
    </row>
    <row r="57" spans="2:14" s="377" customFormat="1" ht="13" customHeight="1">
      <c r="B57" s="692" t="s">
        <v>777</v>
      </c>
      <c r="C57" s="692"/>
      <c r="D57" s="682">
        <v>2022</v>
      </c>
      <c r="E57" s="349">
        <v>639</v>
      </c>
      <c r="F57" s="349">
        <v>28</v>
      </c>
      <c r="G57" s="349">
        <v>219</v>
      </c>
      <c r="H57" s="349">
        <v>171</v>
      </c>
      <c r="I57" s="349">
        <v>221</v>
      </c>
      <c r="K57" s="282"/>
      <c r="L57" s="282"/>
      <c r="M57" s="282"/>
      <c r="N57" s="282"/>
    </row>
    <row r="58" spans="2:14" s="377" customFormat="1" ht="13" customHeight="1">
      <c r="B58" s="692"/>
      <c r="C58" s="692"/>
      <c r="D58" s="682">
        <v>2023</v>
      </c>
      <c r="E58" s="349">
        <v>483</v>
      </c>
      <c r="F58" s="349">
        <v>24</v>
      </c>
      <c r="G58" s="349">
        <v>153</v>
      </c>
      <c r="H58" s="349">
        <v>130</v>
      </c>
      <c r="I58" s="349">
        <v>176</v>
      </c>
      <c r="K58" s="282"/>
      <c r="L58" s="282"/>
      <c r="M58" s="282"/>
      <c r="N58" s="282"/>
    </row>
    <row r="59" spans="2:14" s="377" customFormat="1" ht="13" customHeight="1">
      <c r="B59" s="692"/>
      <c r="C59" s="692"/>
      <c r="D59" s="682">
        <v>2024</v>
      </c>
      <c r="E59" s="349">
        <v>414</v>
      </c>
      <c r="F59" s="349">
        <v>15</v>
      </c>
      <c r="G59" s="349">
        <v>140</v>
      </c>
      <c r="H59" s="349">
        <v>111</v>
      </c>
      <c r="I59" s="349">
        <v>148</v>
      </c>
      <c r="K59" s="282"/>
      <c r="L59" s="282"/>
      <c r="M59" s="282"/>
      <c r="N59" s="282"/>
    </row>
    <row r="60" spans="2:14" s="377" customFormat="1" ht="8" customHeight="1">
      <c r="B60" s="694"/>
      <c r="C60" s="694"/>
      <c r="D60" s="682"/>
      <c r="E60" s="349"/>
      <c r="F60" s="349"/>
      <c r="G60" s="349"/>
      <c r="H60" s="349"/>
      <c r="I60" s="683"/>
      <c r="K60" s="282"/>
      <c r="L60" s="282"/>
      <c r="M60" s="282"/>
      <c r="N60" s="282"/>
    </row>
    <row r="61" spans="2:14" s="377" customFormat="1" ht="13" customHeight="1">
      <c r="B61" s="690" t="s">
        <v>261</v>
      </c>
      <c r="C61" s="690"/>
      <c r="D61" s="682">
        <v>2022</v>
      </c>
      <c r="E61" s="349">
        <v>898</v>
      </c>
      <c r="F61" s="349">
        <v>27</v>
      </c>
      <c r="G61" s="349">
        <v>149</v>
      </c>
      <c r="H61" s="349">
        <v>387</v>
      </c>
      <c r="I61" s="683">
        <v>335</v>
      </c>
      <c r="K61" s="282"/>
      <c r="L61" s="282"/>
      <c r="M61" s="282"/>
      <c r="N61" s="282"/>
    </row>
    <row r="62" spans="2:14" s="377" customFormat="1" ht="13" customHeight="1">
      <c r="B62" s="690"/>
      <c r="C62" s="690"/>
      <c r="D62" s="682">
        <v>2023</v>
      </c>
      <c r="E62" s="349">
        <v>761</v>
      </c>
      <c r="F62" s="349">
        <v>8</v>
      </c>
      <c r="G62" s="349">
        <v>138</v>
      </c>
      <c r="H62" s="349">
        <v>288</v>
      </c>
      <c r="I62" s="683">
        <v>327</v>
      </c>
      <c r="K62" s="282"/>
      <c r="L62" s="282"/>
      <c r="M62" s="282"/>
      <c r="N62" s="282"/>
    </row>
    <row r="63" spans="2:14" s="377" customFormat="1" ht="13" customHeight="1">
      <c r="B63" s="690"/>
      <c r="C63" s="690"/>
      <c r="D63" s="682">
        <v>2024</v>
      </c>
      <c r="E63" s="349">
        <v>593</v>
      </c>
      <c r="F63" s="349">
        <v>25</v>
      </c>
      <c r="G63" s="349">
        <v>124</v>
      </c>
      <c r="H63" s="349">
        <v>148</v>
      </c>
      <c r="I63" s="683">
        <v>296</v>
      </c>
      <c r="K63" s="282"/>
      <c r="L63" s="282"/>
      <c r="M63" s="282"/>
      <c r="N63" s="282"/>
    </row>
    <row r="64" spans="2:14" s="377" customFormat="1" ht="8" customHeight="1">
      <c r="B64" s="688"/>
      <c r="C64" s="688"/>
      <c r="D64" s="682"/>
      <c r="E64" s="349"/>
      <c r="F64" s="695"/>
      <c r="G64" s="349"/>
      <c r="H64" s="349"/>
      <c r="I64" s="349"/>
      <c r="K64" s="282"/>
      <c r="L64" s="282"/>
      <c r="M64" s="282"/>
      <c r="N64" s="282"/>
    </row>
    <row r="65" spans="1:14" s="377" customFormat="1" ht="13.5" customHeight="1">
      <c r="B65" s="690" t="s">
        <v>778</v>
      </c>
      <c r="C65" s="690"/>
      <c r="D65" s="682">
        <v>2022</v>
      </c>
      <c r="E65" s="349">
        <v>2914</v>
      </c>
      <c r="F65" s="695">
        <v>22</v>
      </c>
      <c r="G65" s="349">
        <v>122</v>
      </c>
      <c r="H65" s="349">
        <v>2265</v>
      </c>
      <c r="I65" s="349">
        <v>505</v>
      </c>
      <c r="K65" s="282"/>
      <c r="L65" s="282"/>
      <c r="M65" s="282"/>
      <c r="N65" s="282"/>
    </row>
    <row r="66" spans="1:14" s="377" customFormat="1" ht="13" customHeight="1">
      <c r="B66" s="690"/>
      <c r="C66" s="690"/>
      <c r="D66" s="682">
        <v>2023</v>
      </c>
      <c r="E66" s="349">
        <v>1948</v>
      </c>
      <c r="F66" s="695">
        <v>25</v>
      </c>
      <c r="G66" s="695">
        <v>88</v>
      </c>
      <c r="H66" s="695">
        <v>1457</v>
      </c>
      <c r="I66" s="695">
        <v>378</v>
      </c>
      <c r="K66" s="282"/>
      <c r="L66" s="282"/>
      <c r="M66" s="282"/>
      <c r="N66" s="282"/>
    </row>
    <row r="67" spans="1:14" s="377" customFormat="1" ht="13" customHeight="1">
      <c r="B67" s="307"/>
      <c r="C67" s="688"/>
      <c r="D67" s="682">
        <v>2024</v>
      </c>
      <c r="E67" s="349">
        <v>1458</v>
      </c>
      <c r="F67" s="695">
        <v>11</v>
      </c>
      <c r="G67" s="695">
        <v>82</v>
      </c>
      <c r="H67" s="695">
        <v>1021</v>
      </c>
      <c r="I67" s="695">
        <v>344</v>
      </c>
      <c r="K67" s="282"/>
      <c r="L67" s="282"/>
      <c r="M67" s="282"/>
      <c r="N67" s="282"/>
    </row>
    <row r="68" spans="1:14" s="377" customFormat="1" ht="8" customHeight="1" thickBot="1">
      <c r="A68" s="402"/>
      <c r="B68" s="696"/>
      <c r="C68" s="696"/>
      <c r="D68" s="656"/>
      <c r="E68" s="697"/>
      <c r="F68" s="697"/>
      <c r="G68" s="697"/>
      <c r="H68" s="697"/>
      <c r="I68" s="697"/>
      <c r="K68" s="282"/>
    </row>
    <row r="69" spans="1:14" s="698" customFormat="1" ht="16.5" customHeight="1">
      <c r="D69" s="699"/>
      <c r="I69" s="700"/>
      <c r="J69" s="701" t="s">
        <v>779</v>
      </c>
    </row>
    <row r="70" spans="1:14" s="698" customFormat="1" ht="15.25" customHeight="1">
      <c r="J70" s="702" t="s">
        <v>780</v>
      </c>
    </row>
    <row r="71" spans="1:14" s="698" customFormat="1" ht="16.5" customHeight="1">
      <c r="B71" s="703" t="s">
        <v>781</v>
      </c>
      <c r="J71" s="702"/>
    </row>
    <row r="72" spans="1:14" s="698" customFormat="1" ht="13">
      <c r="A72" s="704" t="s">
        <v>34</v>
      </c>
      <c r="B72" s="703" t="s">
        <v>782</v>
      </c>
      <c r="C72" s="705"/>
      <c r="D72" s="706"/>
      <c r="E72" s="703"/>
      <c r="F72" s="703"/>
      <c r="G72" s="703"/>
    </row>
    <row r="73" spans="1:14" s="698" customFormat="1" ht="12">
      <c r="B73" s="707" t="s">
        <v>783</v>
      </c>
      <c r="C73" s="708"/>
      <c r="D73" s="709"/>
      <c r="E73" s="703"/>
      <c r="H73" s="710"/>
      <c r="I73" s="711"/>
    </row>
    <row r="74" spans="1:14" s="698" customFormat="1" ht="12">
      <c r="B74" s="712" t="s">
        <v>784</v>
      </c>
      <c r="C74" s="708"/>
      <c r="D74" s="709"/>
      <c r="E74" s="703"/>
      <c r="H74" s="710"/>
      <c r="I74" s="711"/>
    </row>
    <row r="75" spans="1:14" s="698" customFormat="1" ht="13">
      <c r="A75" s="704" t="s">
        <v>37</v>
      </c>
      <c r="B75" s="713" t="s">
        <v>785</v>
      </c>
      <c r="C75" s="714"/>
      <c r="D75" s="715"/>
      <c r="E75" s="716"/>
      <c r="F75" s="717"/>
      <c r="G75" s="717"/>
      <c r="H75" s="717"/>
      <c r="I75" s="717"/>
      <c r="J75" s="717"/>
      <c r="K75" s="717"/>
      <c r="L75" s="717"/>
      <c r="M75" s="717"/>
      <c r="N75" s="717"/>
    </row>
    <row r="76" spans="1:14" s="717" customFormat="1" ht="12">
      <c r="A76" s="718"/>
      <c r="B76" s="719" t="s">
        <v>786</v>
      </c>
      <c r="C76" s="714"/>
      <c r="D76" s="715"/>
      <c r="E76" s="716"/>
    </row>
    <row r="77" spans="1:14" s="698" customFormat="1" ht="13" customHeight="1">
      <c r="A77" s="704" t="s">
        <v>272</v>
      </c>
      <c r="B77" s="720" t="s">
        <v>787</v>
      </c>
      <c r="C77" s="714"/>
      <c r="D77" s="715"/>
      <c r="E77" s="716"/>
      <c r="N77" s="717"/>
    </row>
    <row r="78" spans="1:14" s="698" customFormat="1" ht="12">
      <c r="B78" s="719" t="s">
        <v>788</v>
      </c>
      <c r="C78" s="714"/>
      <c r="D78" s="715"/>
      <c r="E78" s="716"/>
      <c r="F78" s="717"/>
      <c r="G78" s="717"/>
      <c r="H78" s="717"/>
      <c r="I78" s="717"/>
      <c r="J78" s="717"/>
      <c r="K78" s="717"/>
      <c r="L78" s="717"/>
      <c r="M78" s="717"/>
      <c r="N78" s="717"/>
    </row>
  </sheetData>
  <mergeCells count="1">
    <mergeCell ref="C4:I4"/>
  </mergeCells>
  <printOptions horizontalCentered="1"/>
  <pageMargins left="0.55118110236220474" right="0.55118110236220474" top="0.55118110236220474" bottom="0.55118110236220474" header="0.31496062992125984" footer="0.31496062992125984"/>
  <pageSetup paperSize="9" scale="6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DAD5D-3EDB-4257-A4F2-E24EDB5FE3D3}">
  <sheetPr codeName="Sheet51">
    <pageSetUpPr fitToPage="1"/>
  </sheetPr>
  <dimension ref="A1:Z77"/>
  <sheetViews>
    <sheetView view="pageBreakPreview" zoomScaleNormal="100" zoomScaleSheetLayoutView="100" workbookViewId="0">
      <selection activeCell="D60" sqref="D60"/>
    </sheetView>
  </sheetViews>
  <sheetFormatPr baseColWidth="10" defaultColWidth="8.83203125" defaultRowHeight="15"/>
  <cols>
    <col min="1" max="1" width="2.6640625" customWidth="1"/>
    <col min="3" max="3" width="12.83203125" customWidth="1"/>
    <col min="4" max="4" width="8.5" customWidth="1"/>
    <col min="6" max="6" width="16.5" customWidth="1"/>
    <col min="7" max="7" width="10.5" customWidth="1"/>
    <col min="8" max="8" width="13.6640625" customWidth="1"/>
    <col min="9" max="9" width="20.6640625" customWidth="1"/>
    <col min="10" max="10" width="12.33203125" customWidth="1"/>
    <col min="11" max="11" width="1.1640625" customWidth="1"/>
  </cols>
  <sheetData>
    <row r="1" spans="1:26" s="377" customFormat="1" ht="8" customHeight="1">
      <c r="B1" s="646"/>
      <c r="C1" s="646"/>
      <c r="D1" s="647"/>
      <c r="E1" s="721"/>
      <c r="F1" s="722"/>
      <c r="G1" s="649"/>
      <c r="H1" s="650"/>
      <c r="I1" s="649"/>
      <c r="J1" s="722"/>
    </row>
    <row r="2" spans="1:26" s="377" customFormat="1" ht="8" customHeight="1">
      <c r="B2" s="646"/>
      <c r="C2" s="646"/>
      <c r="D2" s="647"/>
      <c r="E2" s="721"/>
      <c r="F2" s="722"/>
      <c r="G2" s="649"/>
      <c r="H2" s="650"/>
      <c r="I2" s="649"/>
      <c r="J2" s="722"/>
    </row>
    <row r="3" spans="1:26" s="290" customFormat="1" ht="14">
      <c r="B3" s="651" t="s">
        <v>789</v>
      </c>
      <c r="C3" s="723" t="s">
        <v>790</v>
      </c>
      <c r="D3" s="724"/>
      <c r="E3" s="725"/>
      <c r="F3" s="725"/>
      <c r="G3" s="651"/>
      <c r="H3" s="723"/>
      <c r="I3" s="723"/>
      <c r="J3" s="651"/>
      <c r="K3" s="723"/>
      <c r="L3" s="726"/>
    </row>
    <row r="4" spans="1:26" s="727" customFormat="1" ht="14">
      <c r="B4" s="728" t="s">
        <v>791</v>
      </c>
      <c r="C4" s="729" t="s">
        <v>792</v>
      </c>
      <c r="D4" s="724"/>
      <c r="E4" s="725"/>
      <c r="F4" s="725"/>
      <c r="G4" s="651"/>
      <c r="H4" s="729"/>
      <c r="I4" s="730"/>
      <c r="J4" s="728"/>
      <c r="K4" s="730"/>
      <c r="L4" s="731"/>
    </row>
    <row r="5" spans="1:26" s="377" customFormat="1" ht="9.25" customHeight="1" thickBot="1">
      <c r="A5" s="402"/>
      <c r="B5" s="732"/>
      <c r="C5" s="732"/>
      <c r="D5" s="656"/>
      <c r="E5" s="733"/>
      <c r="F5" s="733"/>
      <c r="G5" s="402"/>
      <c r="H5" s="402"/>
      <c r="I5" s="402"/>
      <c r="J5" s="733"/>
      <c r="K5" s="402"/>
    </row>
    <row r="6" spans="1:26" s="377" customFormat="1" ht="44.25" customHeight="1">
      <c r="A6" s="734"/>
      <c r="B6" s="377" t="s">
        <v>793</v>
      </c>
      <c r="D6" s="735" t="s">
        <v>765</v>
      </c>
      <c r="E6" s="721" t="s">
        <v>385</v>
      </c>
      <c r="F6" s="666" t="s">
        <v>794</v>
      </c>
      <c r="G6" s="1356" t="s">
        <v>795</v>
      </c>
      <c r="H6" s="1356"/>
      <c r="I6" s="1356"/>
      <c r="J6" s="666" t="s">
        <v>796</v>
      </c>
      <c r="K6" s="735"/>
    </row>
    <row r="7" spans="1:26" s="674" customFormat="1" ht="16.25" customHeight="1" thickBot="1">
      <c r="A7" s="736"/>
      <c r="B7" s="15" t="s">
        <v>770</v>
      </c>
      <c r="C7" s="15"/>
      <c r="D7" s="737" t="s">
        <v>771</v>
      </c>
      <c r="E7" s="738" t="s">
        <v>386</v>
      </c>
      <c r="F7" s="1357" t="s">
        <v>797</v>
      </c>
      <c r="G7" s="1359" t="s">
        <v>798</v>
      </c>
      <c r="H7" s="1359"/>
      <c r="I7" s="1359"/>
      <c r="J7" s="739" t="s">
        <v>799</v>
      </c>
      <c r="K7" s="741"/>
    </row>
    <row r="8" spans="1:26" s="667" customFormat="1" ht="18.75" customHeight="1">
      <c r="A8" s="742"/>
      <c r="D8" s="735"/>
      <c r="E8" s="721"/>
      <c r="F8" s="1358"/>
      <c r="G8" s="721" t="s">
        <v>800</v>
      </c>
      <c r="H8" s="721" t="s">
        <v>801</v>
      </c>
      <c r="I8" s="721" t="s">
        <v>802</v>
      </c>
      <c r="J8" s="666"/>
      <c r="K8" s="743"/>
      <c r="N8" s="744"/>
    </row>
    <row r="9" spans="1:26" s="674" customFormat="1" ht="18.75" customHeight="1" thickBot="1">
      <c r="A9" s="745"/>
      <c r="B9" s="746"/>
      <c r="C9" s="746"/>
      <c r="D9" s="740"/>
      <c r="E9" s="747"/>
      <c r="F9" s="671"/>
      <c r="G9" s="671" t="s">
        <v>803</v>
      </c>
      <c r="H9" s="671" t="s">
        <v>804</v>
      </c>
      <c r="I9" s="747" t="s">
        <v>805</v>
      </c>
      <c r="J9" s="671"/>
      <c r="K9" s="671"/>
      <c r="N9" s="748"/>
    </row>
    <row r="10" spans="1:26" s="667" customFormat="1" ht="8" customHeight="1">
      <c r="B10" s="34"/>
      <c r="C10" s="34"/>
      <c r="D10" s="310"/>
      <c r="E10" s="738"/>
      <c r="F10" s="739"/>
      <c r="G10" s="749"/>
      <c r="H10" s="749"/>
      <c r="I10" s="750"/>
      <c r="J10" s="738"/>
      <c r="L10" s="751"/>
      <c r="N10" s="744"/>
    </row>
    <row r="11" spans="1:26" s="667" customFormat="1" ht="14" customHeight="1">
      <c r="B11" s="311" t="s">
        <v>806</v>
      </c>
      <c r="C11" s="311"/>
      <c r="D11" s="310">
        <v>2022</v>
      </c>
      <c r="E11" s="680">
        <v>66967</v>
      </c>
      <c r="F11" s="680">
        <v>16497</v>
      </c>
      <c r="G11" s="680">
        <v>1549</v>
      </c>
      <c r="H11" s="680">
        <v>6817</v>
      </c>
      <c r="I11" s="680">
        <v>22501</v>
      </c>
      <c r="J11" s="680">
        <v>19584</v>
      </c>
      <c r="K11" s="282"/>
    </row>
    <row r="12" spans="1:26" s="667" customFormat="1" ht="14" customHeight="1">
      <c r="B12" s="392"/>
      <c r="C12" s="392"/>
      <c r="D12" s="310">
        <v>2023</v>
      </c>
      <c r="E12" s="680">
        <v>52344</v>
      </c>
      <c r="F12" s="680">
        <v>14040</v>
      </c>
      <c r="G12" s="680">
        <v>921</v>
      </c>
      <c r="H12" s="680">
        <v>4599</v>
      </c>
      <c r="I12" s="680">
        <v>16059</v>
      </c>
      <c r="J12" s="680">
        <v>16725</v>
      </c>
      <c r="K12" s="282"/>
    </row>
    <row r="13" spans="1:26" s="667" customFormat="1" ht="14" customHeight="1">
      <c r="B13" s="392"/>
      <c r="C13" s="392"/>
      <c r="D13" s="310">
        <v>2024</v>
      </c>
      <c r="E13" s="680">
        <v>41479</v>
      </c>
      <c r="F13" s="680">
        <v>11352</v>
      </c>
      <c r="G13" s="680">
        <v>639</v>
      </c>
      <c r="H13" s="680">
        <v>2849</v>
      </c>
      <c r="I13" s="680">
        <v>9944</v>
      </c>
      <c r="J13" s="680">
        <v>16695</v>
      </c>
      <c r="K13" s="282"/>
    </row>
    <row r="14" spans="1:26" s="667" customFormat="1" ht="8" customHeight="1">
      <c r="B14" s="392"/>
      <c r="C14" s="392"/>
      <c r="D14" s="682"/>
      <c r="E14" s="752"/>
      <c r="F14" s="683"/>
      <c r="G14" s="683"/>
      <c r="H14" s="683"/>
      <c r="I14" s="683"/>
      <c r="J14" s="683"/>
      <c r="K14" s="282"/>
      <c r="N14" s="744"/>
    </row>
    <row r="15" spans="1:26" s="676" customFormat="1" ht="14" customHeight="1">
      <c r="B15" s="685" t="s">
        <v>249</v>
      </c>
      <c r="C15" s="753"/>
      <c r="D15" s="682">
        <v>2022</v>
      </c>
      <c r="E15" s="752">
        <v>7947</v>
      </c>
      <c r="F15" s="683">
        <v>1364</v>
      </c>
      <c r="G15" s="683">
        <v>219</v>
      </c>
      <c r="H15" s="683">
        <v>981</v>
      </c>
      <c r="I15" s="683">
        <v>3471</v>
      </c>
      <c r="J15" s="683">
        <v>1908</v>
      </c>
      <c r="K15" s="282"/>
      <c r="N15" s="377"/>
      <c r="O15" s="377"/>
      <c r="P15" s="377"/>
      <c r="X15" s="282"/>
      <c r="Y15" s="282"/>
      <c r="Z15" s="282"/>
    </row>
    <row r="16" spans="1:26" s="676" customFormat="1" ht="14" customHeight="1">
      <c r="B16" s="686"/>
      <c r="C16" s="754"/>
      <c r="D16" s="682">
        <v>2023</v>
      </c>
      <c r="E16" s="752">
        <v>5966</v>
      </c>
      <c r="F16" s="349">
        <v>1273</v>
      </c>
      <c r="G16" s="349">
        <v>141</v>
      </c>
      <c r="H16" s="349">
        <v>802</v>
      </c>
      <c r="I16" s="349">
        <v>2347</v>
      </c>
      <c r="J16" s="349">
        <v>1403</v>
      </c>
      <c r="K16" s="282"/>
      <c r="L16" s="282"/>
      <c r="M16" s="282"/>
      <c r="N16" s="282"/>
      <c r="O16" s="282"/>
      <c r="P16" s="282"/>
      <c r="Q16" s="282"/>
      <c r="R16" s="282"/>
      <c r="S16" s="282"/>
      <c r="T16" s="282"/>
      <c r="U16" s="282"/>
      <c r="V16" s="282"/>
      <c r="W16" s="282"/>
      <c r="X16" s="282"/>
      <c r="Y16" s="282"/>
      <c r="Z16" s="282"/>
    </row>
    <row r="17" spans="2:26" s="676" customFormat="1" ht="14" customHeight="1">
      <c r="B17" s="686"/>
      <c r="C17" s="754"/>
      <c r="D17" s="682">
        <v>2024</v>
      </c>
      <c r="E17" s="752">
        <v>3440</v>
      </c>
      <c r="F17" s="683">
        <v>883</v>
      </c>
      <c r="G17" s="683">
        <v>71</v>
      </c>
      <c r="H17" s="683">
        <v>400</v>
      </c>
      <c r="I17" s="683">
        <v>1144</v>
      </c>
      <c r="J17" s="683">
        <v>942</v>
      </c>
      <c r="K17" s="282"/>
      <c r="L17" s="282"/>
      <c r="M17" s="282"/>
      <c r="N17" s="282"/>
      <c r="O17" s="282"/>
      <c r="P17" s="282"/>
      <c r="Q17" s="282"/>
      <c r="R17" s="282"/>
      <c r="S17" s="282"/>
      <c r="T17" s="282"/>
      <c r="U17" s="282"/>
      <c r="V17" s="282"/>
      <c r="W17" s="282"/>
      <c r="X17" s="282"/>
      <c r="Y17" s="282"/>
      <c r="Z17" s="282"/>
    </row>
    <row r="18" spans="2:26" s="676" customFormat="1" ht="8" customHeight="1">
      <c r="B18" s="686"/>
      <c r="C18" s="754"/>
      <c r="D18" s="682"/>
      <c r="E18" s="752"/>
      <c r="F18" s="349"/>
      <c r="G18" s="349"/>
      <c r="H18" s="349"/>
      <c r="I18" s="349"/>
      <c r="J18" s="349"/>
      <c r="K18" s="282"/>
      <c r="L18" s="282"/>
      <c r="M18" s="282"/>
      <c r="N18" s="282"/>
      <c r="O18" s="282"/>
      <c r="P18" s="282"/>
      <c r="Q18" s="282"/>
      <c r="R18" s="282"/>
      <c r="S18" s="282"/>
      <c r="T18" s="282"/>
      <c r="U18" s="282"/>
      <c r="V18" s="282"/>
      <c r="W18" s="282"/>
      <c r="X18" s="282"/>
      <c r="Y18" s="282"/>
      <c r="Z18" s="282"/>
    </row>
    <row r="19" spans="2:26" s="377" customFormat="1" ht="14" customHeight="1">
      <c r="B19" s="690" t="s">
        <v>250</v>
      </c>
      <c r="C19" s="755"/>
      <c r="D19" s="682">
        <v>2022</v>
      </c>
      <c r="E19" s="752">
        <v>4678</v>
      </c>
      <c r="F19" s="349">
        <v>1138</v>
      </c>
      <c r="G19" s="349">
        <v>78</v>
      </c>
      <c r="H19" s="349">
        <v>314</v>
      </c>
      <c r="I19" s="349">
        <v>2192</v>
      </c>
      <c r="J19" s="349">
        <v>954</v>
      </c>
      <c r="K19" s="282"/>
      <c r="L19" s="282"/>
      <c r="M19" s="282"/>
      <c r="N19" s="282"/>
      <c r="O19" s="282"/>
      <c r="P19" s="282"/>
      <c r="Q19" s="282"/>
      <c r="R19" s="282"/>
      <c r="S19" s="282"/>
      <c r="T19" s="282"/>
      <c r="U19" s="282"/>
      <c r="V19" s="282"/>
      <c r="W19" s="282"/>
      <c r="X19" s="282"/>
      <c r="Y19" s="282"/>
      <c r="Z19" s="282"/>
    </row>
    <row r="20" spans="2:26" s="646" customFormat="1" ht="14" customHeight="1">
      <c r="B20" s="690"/>
      <c r="C20" s="755"/>
      <c r="D20" s="682">
        <v>2023</v>
      </c>
      <c r="E20" s="752">
        <v>3457</v>
      </c>
      <c r="F20" s="349">
        <v>980</v>
      </c>
      <c r="G20" s="349">
        <v>46</v>
      </c>
      <c r="H20" s="349">
        <v>235</v>
      </c>
      <c r="I20" s="349">
        <v>1399</v>
      </c>
      <c r="J20" s="349">
        <v>797</v>
      </c>
      <c r="K20" s="282"/>
      <c r="L20" s="282"/>
      <c r="M20" s="282"/>
      <c r="N20" s="282"/>
      <c r="O20" s="282"/>
      <c r="P20" s="282"/>
      <c r="Q20" s="282"/>
      <c r="R20" s="282"/>
      <c r="S20" s="282"/>
      <c r="T20" s="282"/>
      <c r="U20" s="282"/>
      <c r="V20" s="282"/>
      <c r="W20" s="282"/>
      <c r="X20" s="282"/>
      <c r="Y20" s="282"/>
      <c r="Z20" s="282"/>
    </row>
    <row r="21" spans="2:26" s="377" customFormat="1" ht="14" customHeight="1">
      <c r="B21" s="690"/>
      <c r="C21" s="755"/>
      <c r="D21" s="682">
        <v>2024</v>
      </c>
      <c r="E21" s="752">
        <v>3067</v>
      </c>
      <c r="F21" s="683">
        <v>989</v>
      </c>
      <c r="G21" s="683">
        <v>24</v>
      </c>
      <c r="H21" s="683">
        <v>140</v>
      </c>
      <c r="I21" s="683">
        <v>1083</v>
      </c>
      <c r="J21" s="683">
        <v>831</v>
      </c>
      <c r="L21" s="282"/>
      <c r="M21" s="282"/>
      <c r="N21" s="282"/>
      <c r="O21" s="282"/>
      <c r="P21" s="282"/>
      <c r="Q21" s="282"/>
      <c r="R21" s="282"/>
      <c r="S21" s="282"/>
      <c r="T21" s="282"/>
      <c r="U21" s="282"/>
      <c r="V21" s="282"/>
      <c r="W21" s="282"/>
      <c r="X21" s="282"/>
      <c r="Y21" s="282"/>
      <c r="Z21" s="282"/>
    </row>
    <row r="22" spans="2:26" s="377" customFormat="1" ht="8" customHeight="1">
      <c r="B22" s="688"/>
      <c r="C22" s="307"/>
      <c r="D22" s="682"/>
      <c r="E22" s="752"/>
      <c r="F22" s="349"/>
      <c r="G22" s="349"/>
      <c r="H22" s="349"/>
      <c r="I22" s="349"/>
      <c r="J22" s="349"/>
      <c r="K22" s="282"/>
      <c r="L22" s="282"/>
      <c r="M22" s="282"/>
      <c r="N22" s="282"/>
      <c r="O22" s="282"/>
      <c r="P22" s="282"/>
      <c r="Q22" s="282"/>
      <c r="R22" s="282"/>
      <c r="S22" s="282"/>
      <c r="T22" s="282"/>
      <c r="U22" s="282"/>
      <c r="V22" s="282"/>
      <c r="W22" s="282"/>
      <c r="X22" s="282"/>
      <c r="Y22" s="282"/>
      <c r="Z22" s="282"/>
    </row>
    <row r="23" spans="2:26" s="377" customFormat="1" ht="14" customHeight="1">
      <c r="B23" s="690" t="s">
        <v>251</v>
      </c>
      <c r="C23" s="755"/>
      <c r="D23" s="682">
        <v>2022</v>
      </c>
      <c r="E23" s="752">
        <v>3075</v>
      </c>
      <c r="F23" s="349">
        <v>929</v>
      </c>
      <c r="G23" s="349">
        <v>20</v>
      </c>
      <c r="H23" s="349">
        <v>301</v>
      </c>
      <c r="I23" s="349">
        <v>1069</v>
      </c>
      <c r="J23" s="349">
        <v>755</v>
      </c>
      <c r="K23" s="282"/>
      <c r="L23" s="282"/>
      <c r="M23" s="282"/>
      <c r="N23" s="282"/>
      <c r="O23" s="282"/>
      <c r="P23" s="282"/>
      <c r="Q23" s="282"/>
      <c r="R23" s="282"/>
      <c r="S23" s="282"/>
      <c r="T23" s="282"/>
      <c r="U23" s="282"/>
      <c r="V23" s="282"/>
      <c r="W23" s="282"/>
      <c r="X23" s="282"/>
      <c r="Y23" s="282"/>
      <c r="Z23" s="282"/>
    </row>
    <row r="24" spans="2:26" s="377" customFormat="1" ht="14" customHeight="1">
      <c r="B24" s="690"/>
      <c r="C24" s="755"/>
      <c r="D24" s="682">
        <v>2023</v>
      </c>
      <c r="E24" s="752">
        <v>2027</v>
      </c>
      <c r="F24" s="349">
        <v>626</v>
      </c>
      <c r="G24" s="349">
        <v>14</v>
      </c>
      <c r="H24" s="349">
        <v>118</v>
      </c>
      <c r="I24" s="349">
        <v>709</v>
      </c>
      <c r="J24" s="349">
        <v>560</v>
      </c>
      <c r="K24" s="282"/>
      <c r="L24" s="282"/>
      <c r="M24" s="282"/>
      <c r="N24" s="282"/>
      <c r="O24" s="282"/>
      <c r="P24" s="282"/>
      <c r="Q24" s="282"/>
      <c r="R24" s="282"/>
      <c r="S24" s="282"/>
      <c r="T24" s="282"/>
      <c r="U24" s="282"/>
      <c r="V24" s="282"/>
      <c r="W24" s="282"/>
      <c r="X24" s="282"/>
      <c r="Y24" s="282"/>
      <c r="Z24" s="282"/>
    </row>
    <row r="25" spans="2:26" s="377" customFormat="1" ht="14" customHeight="1">
      <c r="B25" s="690"/>
      <c r="C25" s="755"/>
      <c r="D25" s="682">
        <v>2024</v>
      </c>
      <c r="E25" s="752">
        <v>1591</v>
      </c>
      <c r="F25" s="683">
        <v>483</v>
      </c>
      <c r="G25" s="683">
        <v>4</v>
      </c>
      <c r="H25" s="683">
        <v>73</v>
      </c>
      <c r="I25" s="683">
        <v>483</v>
      </c>
      <c r="J25" s="683">
        <v>548</v>
      </c>
      <c r="K25" s="282"/>
      <c r="L25" s="282"/>
      <c r="M25" s="282"/>
      <c r="N25" s="282"/>
      <c r="O25" s="282"/>
      <c r="P25" s="282"/>
      <c r="Q25" s="282"/>
      <c r="R25" s="282"/>
      <c r="S25" s="282"/>
      <c r="T25" s="282"/>
      <c r="U25" s="282"/>
      <c r="V25" s="282"/>
      <c r="W25" s="282"/>
      <c r="X25" s="282"/>
      <c r="Y25" s="282"/>
      <c r="Z25" s="282"/>
    </row>
    <row r="26" spans="2:26" s="377" customFormat="1" ht="8" customHeight="1">
      <c r="B26" s="691"/>
      <c r="C26" s="308"/>
      <c r="D26" s="682"/>
      <c r="E26" s="752"/>
      <c r="F26" s="349"/>
      <c r="G26" s="349"/>
      <c r="H26" s="349"/>
      <c r="I26" s="349"/>
      <c r="J26" s="349"/>
      <c r="K26" s="282"/>
      <c r="L26" s="282"/>
      <c r="M26" s="282"/>
      <c r="N26" s="282"/>
      <c r="O26" s="282"/>
      <c r="P26" s="282"/>
      <c r="Q26" s="282"/>
      <c r="R26" s="282"/>
      <c r="S26" s="282"/>
      <c r="T26" s="282"/>
      <c r="U26" s="282"/>
      <c r="V26" s="282"/>
      <c r="W26" s="282"/>
      <c r="X26" s="282"/>
      <c r="Y26" s="282"/>
      <c r="Z26" s="282"/>
    </row>
    <row r="27" spans="2:26" s="377" customFormat="1" ht="14" customHeight="1">
      <c r="B27" s="690" t="s">
        <v>252</v>
      </c>
      <c r="C27" s="755"/>
      <c r="D27" s="682">
        <v>2022</v>
      </c>
      <c r="E27" s="752">
        <v>2101</v>
      </c>
      <c r="F27" s="349">
        <v>681</v>
      </c>
      <c r="G27" s="349">
        <v>18</v>
      </c>
      <c r="H27" s="349">
        <v>91</v>
      </c>
      <c r="I27" s="349">
        <v>718</v>
      </c>
      <c r="J27" s="349">
        <v>593</v>
      </c>
      <c r="K27" s="282"/>
      <c r="L27" s="282"/>
      <c r="M27" s="282"/>
      <c r="N27" s="282"/>
      <c r="O27" s="282"/>
      <c r="P27" s="282"/>
      <c r="Q27" s="282"/>
      <c r="R27" s="282"/>
      <c r="S27" s="282"/>
      <c r="T27" s="282"/>
      <c r="U27" s="282"/>
      <c r="V27" s="282"/>
      <c r="W27" s="282"/>
    </row>
    <row r="28" spans="2:26" s="377" customFormat="1" ht="14" customHeight="1">
      <c r="B28" s="690"/>
      <c r="C28" s="755"/>
      <c r="D28" s="682">
        <v>2023</v>
      </c>
      <c r="E28" s="752">
        <v>1428</v>
      </c>
      <c r="F28" s="349">
        <v>487</v>
      </c>
      <c r="G28" s="349">
        <v>13</v>
      </c>
      <c r="H28" s="349">
        <v>59</v>
      </c>
      <c r="I28" s="349">
        <v>393</v>
      </c>
      <c r="J28" s="349">
        <v>476</v>
      </c>
      <c r="K28" s="282"/>
      <c r="L28" s="282"/>
      <c r="M28" s="282"/>
      <c r="N28" s="282"/>
      <c r="O28" s="282"/>
      <c r="P28" s="282"/>
      <c r="Q28" s="282"/>
      <c r="R28" s="282"/>
      <c r="S28" s="282"/>
      <c r="T28" s="282"/>
      <c r="U28" s="282"/>
      <c r="V28" s="282"/>
      <c r="W28" s="282"/>
    </row>
    <row r="29" spans="2:26" s="377" customFormat="1" ht="14" customHeight="1">
      <c r="B29" s="690"/>
      <c r="C29" s="755"/>
      <c r="D29" s="682">
        <v>2024</v>
      </c>
      <c r="E29" s="752">
        <v>999</v>
      </c>
      <c r="F29" s="683">
        <v>315</v>
      </c>
      <c r="G29" s="683">
        <v>3</v>
      </c>
      <c r="H29" s="683">
        <v>29</v>
      </c>
      <c r="I29" s="683">
        <v>276</v>
      </c>
      <c r="J29" s="683">
        <v>376</v>
      </c>
      <c r="K29" s="282"/>
      <c r="L29" s="282"/>
      <c r="M29" s="282"/>
      <c r="N29" s="282"/>
      <c r="O29" s="282"/>
      <c r="P29" s="282"/>
      <c r="Q29" s="282"/>
      <c r="R29" s="282"/>
      <c r="S29" s="282"/>
      <c r="T29" s="282"/>
      <c r="U29" s="282"/>
      <c r="V29" s="282"/>
      <c r="W29" s="282"/>
    </row>
    <row r="30" spans="2:26" s="377" customFormat="1" ht="8" customHeight="1">
      <c r="B30" s="690"/>
      <c r="C30" s="755"/>
      <c r="D30" s="682"/>
      <c r="E30" s="752"/>
      <c r="F30" s="349"/>
      <c r="G30" s="349"/>
      <c r="H30" s="349"/>
      <c r="I30" s="349"/>
      <c r="J30" s="349"/>
      <c r="K30" s="282"/>
      <c r="L30" s="282"/>
      <c r="M30" s="282"/>
      <c r="N30" s="282"/>
      <c r="O30" s="282"/>
      <c r="P30" s="282"/>
      <c r="Q30" s="282"/>
      <c r="R30" s="282"/>
      <c r="S30" s="282"/>
      <c r="T30" s="282"/>
      <c r="U30" s="282"/>
      <c r="V30" s="282"/>
      <c r="W30" s="282"/>
    </row>
    <row r="31" spans="2:26" s="377" customFormat="1" ht="14" customHeight="1">
      <c r="B31" s="690" t="s">
        <v>253</v>
      </c>
      <c r="C31" s="755"/>
      <c r="D31" s="682">
        <v>2022</v>
      </c>
      <c r="E31" s="752">
        <v>2549</v>
      </c>
      <c r="F31" s="349">
        <v>765</v>
      </c>
      <c r="G31" s="349">
        <v>48</v>
      </c>
      <c r="H31" s="349">
        <v>166</v>
      </c>
      <c r="I31" s="349">
        <v>626</v>
      </c>
      <c r="J31" s="349">
        <v>944</v>
      </c>
      <c r="K31" s="282"/>
      <c r="L31" s="282"/>
      <c r="M31" s="282"/>
      <c r="N31" s="282"/>
      <c r="O31" s="282"/>
      <c r="P31" s="282"/>
      <c r="Q31" s="282"/>
      <c r="R31" s="282"/>
      <c r="S31" s="282"/>
      <c r="T31" s="282"/>
      <c r="U31" s="282"/>
      <c r="V31" s="282"/>
      <c r="W31" s="282"/>
    </row>
    <row r="32" spans="2:26" s="377" customFormat="1" ht="14" customHeight="1">
      <c r="B32" s="690"/>
      <c r="C32" s="755"/>
      <c r="D32" s="682">
        <v>2023</v>
      </c>
      <c r="E32" s="752">
        <v>1906</v>
      </c>
      <c r="F32" s="349">
        <v>660</v>
      </c>
      <c r="G32" s="349">
        <v>22</v>
      </c>
      <c r="H32" s="349">
        <v>90</v>
      </c>
      <c r="I32" s="349">
        <v>437</v>
      </c>
      <c r="J32" s="349">
        <v>697</v>
      </c>
      <c r="K32" s="282"/>
      <c r="L32" s="282"/>
      <c r="M32" s="282"/>
      <c r="N32" s="282"/>
      <c r="O32" s="282"/>
      <c r="P32" s="282"/>
      <c r="Q32" s="282"/>
      <c r="R32" s="282"/>
      <c r="S32" s="282"/>
      <c r="T32" s="282"/>
      <c r="U32" s="282"/>
      <c r="V32" s="282"/>
      <c r="W32" s="282"/>
    </row>
    <row r="33" spans="2:23" s="377" customFormat="1" ht="14" customHeight="1">
      <c r="B33" s="690"/>
      <c r="C33" s="755"/>
      <c r="D33" s="682">
        <v>2024</v>
      </c>
      <c r="E33" s="752">
        <v>1401</v>
      </c>
      <c r="F33" s="683">
        <v>380</v>
      </c>
      <c r="G33" s="683">
        <v>25</v>
      </c>
      <c r="H33" s="683">
        <v>62</v>
      </c>
      <c r="I33" s="683">
        <v>307</v>
      </c>
      <c r="J33" s="683">
        <v>627</v>
      </c>
      <c r="K33" s="282"/>
      <c r="L33" s="282"/>
      <c r="M33" s="282"/>
      <c r="N33" s="282"/>
      <c r="O33" s="282"/>
      <c r="P33" s="282"/>
      <c r="Q33" s="282"/>
      <c r="R33" s="282"/>
      <c r="S33" s="282"/>
      <c r="T33" s="282"/>
      <c r="U33" s="282"/>
      <c r="V33" s="282"/>
      <c r="W33" s="282"/>
    </row>
    <row r="34" spans="2:23" s="377" customFormat="1" ht="8" customHeight="1">
      <c r="B34" s="690"/>
      <c r="C34" s="755"/>
      <c r="D34" s="682"/>
      <c r="E34" s="752"/>
      <c r="F34" s="349"/>
      <c r="G34" s="349"/>
      <c r="H34" s="349"/>
      <c r="I34" s="349"/>
      <c r="J34" s="349"/>
      <c r="K34" s="282"/>
      <c r="L34" s="282"/>
      <c r="M34" s="282"/>
      <c r="N34" s="282"/>
      <c r="O34" s="282"/>
      <c r="P34" s="282"/>
      <c r="Q34" s="282"/>
      <c r="R34" s="282"/>
      <c r="S34" s="282"/>
      <c r="T34" s="282"/>
      <c r="U34" s="282"/>
      <c r="V34" s="282"/>
      <c r="W34" s="282"/>
    </row>
    <row r="35" spans="2:23" s="377" customFormat="1" ht="14" customHeight="1">
      <c r="B35" s="690" t="s">
        <v>254</v>
      </c>
      <c r="C35" s="755"/>
      <c r="D35" s="682">
        <v>2022</v>
      </c>
      <c r="E35" s="752">
        <v>2676</v>
      </c>
      <c r="F35" s="349">
        <v>718</v>
      </c>
      <c r="G35" s="349">
        <v>29</v>
      </c>
      <c r="H35" s="349">
        <v>130</v>
      </c>
      <c r="I35" s="349">
        <v>713</v>
      </c>
      <c r="J35" s="349">
        <v>1086</v>
      </c>
      <c r="K35" s="282"/>
      <c r="L35" s="282"/>
      <c r="M35" s="282"/>
      <c r="N35" s="282"/>
      <c r="O35" s="282"/>
      <c r="P35" s="282"/>
      <c r="Q35" s="282"/>
      <c r="R35" s="282"/>
      <c r="S35" s="282"/>
      <c r="T35" s="282"/>
      <c r="U35" s="282"/>
      <c r="V35" s="282"/>
      <c r="W35" s="282"/>
    </row>
    <row r="36" spans="2:23" s="377" customFormat="1" ht="14" customHeight="1">
      <c r="B36" s="690"/>
      <c r="C36" s="755"/>
      <c r="D36" s="682">
        <v>2023</v>
      </c>
      <c r="E36" s="752">
        <v>1926</v>
      </c>
      <c r="F36" s="349">
        <v>604</v>
      </c>
      <c r="G36" s="349">
        <v>26</v>
      </c>
      <c r="H36" s="349">
        <v>100</v>
      </c>
      <c r="I36" s="349">
        <v>484</v>
      </c>
      <c r="J36" s="349">
        <v>712</v>
      </c>
      <c r="K36" s="282"/>
      <c r="L36" s="282"/>
      <c r="M36" s="282"/>
      <c r="N36" s="282"/>
      <c r="O36" s="282"/>
      <c r="P36" s="282"/>
      <c r="Q36" s="282"/>
      <c r="R36" s="282"/>
      <c r="S36" s="282"/>
      <c r="T36" s="282"/>
      <c r="U36" s="282"/>
      <c r="V36" s="282"/>
      <c r="W36" s="282"/>
    </row>
    <row r="37" spans="2:23" s="377" customFormat="1" ht="14" customHeight="1">
      <c r="B37" s="690"/>
      <c r="C37" s="755"/>
      <c r="D37" s="682">
        <v>2024</v>
      </c>
      <c r="E37" s="752">
        <v>1643</v>
      </c>
      <c r="F37" s="683">
        <v>478</v>
      </c>
      <c r="G37" s="683">
        <v>13</v>
      </c>
      <c r="H37" s="683">
        <v>69</v>
      </c>
      <c r="I37" s="683">
        <v>312</v>
      </c>
      <c r="J37" s="683">
        <v>771</v>
      </c>
      <c r="K37" s="282"/>
      <c r="L37" s="282"/>
      <c r="M37" s="282"/>
      <c r="N37" s="282"/>
      <c r="O37" s="282"/>
      <c r="P37" s="282"/>
      <c r="Q37" s="282"/>
      <c r="R37" s="282"/>
      <c r="S37" s="282"/>
      <c r="T37" s="282"/>
      <c r="U37" s="282"/>
      <c r="V37" s="282"/>
      <c r="W37" s="282"/>
    </row>
    <row r="38" spans="2:23" s="377" customFormat="1" ht="8" customHeight="1">
      <c r="B38" s="690"/>
      <c r="C38" s="755"/>
      <c r="D38" s="682"/>
      <c r="E38" s="752"/>
      <c r="F38" s="349"/>
      <c r="G38" s="349"/>
      <c r="H38" s="349"/>
      <c r="I38" s="349"/>
      <c r="J38" s="349"/>
      <c r="K38" s="282"/>
      <c r="L38" s="282"/>
      <c r="M38" s="282"/>
      <c r="N38" s="282"/>
      <c r="O38" s="282"/>
      <c r="P38" s="282"/>
      <c r="Q38" s="282"/>
      <c r="R38" s="282"/>
      <c r="S38" s="282"/>
      <c r="T38" s="282"/>
      <c r="U38" s="282"/>
      <c r="V38" s="282"/>
      <c r="W38" s="282"/>
    </row>
    <row r="39" spans="2:23" s="377" customFormat="1" ht="14" customHeight="1">
      <c r="B39" s="690" t="s">
        <v>255</v>
      </c>
      <c r="C39" s="755"/>
      <c r="D39" s="682">
        <v>2022</v>
      </c>
      <c r="E39" s="752">
        <v>4162</v>
      </c>
      <c r="F39" s="349">
        <v>1036</v>
      </c>
      <c r="G39" s="349">
        <v>73</v>
      </c>
      <c r="H39" s="349">
        <v>314</v>
      </c>
      <c r="I39" s="349">
        <v>1704</v>
      </c>
      <c r="J39" s="349">
        <v>1033</v>
      </c>
      <c r="K39" s="282"/>
      <c r="L39" s="282"/>
      <c r="M39" s="282"/>
      <c r="N39" s="282"/>
      <c r="O39" s="282"/>
      <c r="P39" s="282"/>
      <c r="Q39" s="282"/>
      <c r="R39" s="282"/>
      <c r="S39" s="282"/>
      <c r="T39" s="282"/>
      <c r="U39" s="282"/>
      <c r="V39" s="282"/>
      <c r="W39" s="282"/>
    </row>
    <row r="40" spans="2:23" s="377" customFormat="1" ht="14" customHeight="1">
      <c r="B40" s="690"/>
      <c r="C40" s="755"/>
      <c r="D40" s="682">
        <v>2023</v>
      </c>
      <c r="E40" s="752">
        <v>3011</v>
      </c>
      <c r="F40" s="349">
        <v>736</v>
      </c>
      <c r="G40" s="349">
        <v>29</v>
      </c>
      <c r="H40" s="349">
        <v>156</v>
      </c>
      <c r="I40" s="349">
        <v>1231</v>
      </c>
      <c r="J40" s="349">
        <v>859</v>
      </c>
      <c r="K40" s="282"/>
      <c r="L40" s="282"/>
      <c r="M40" s="282"/>
      <c r="N40" s="282"/>
      <c r="O40" s="282"/>
      <c r="P40" s="282"/>
      <c r="Q40" s="282"/>
      <c r="R40" s="282"/>
      <c r="S40" s="282"/>
      <c r="T40" s="282"/>
      <c r="U40" s="282"/>
      <c r="V40" s="282"/>
      <c r="W40" s="282"/>
    </row>
    <row r="41" spans="2:23" s="377" customFormat="1" ht="14" customHeight="1">
      <c r="B41" s="690"/>
      <c r="C41" s="755"/>
      <c r="D41" s="682">
        <v>2024</v>
      </c>
      <c r="E41" s="752">
        <v>2899</v>
      </c>
      <c r="F41" s="683">
        <v>785</v>
      </c>
      <c r="G41" s="683">
        <v>22</v>
      </c>
      <c r="H41" s="683">
        <v>97</v>
      </c>
      <c r="I41" s="683">
        <v>761</v>
      </c>
      <c r="J41" s="683">
        <v>1234</v>
      </c>
      <c r="K41" s="282"/>
      <c r="L41" s="282"/>
      <c r="M41" s="282"/>
      <c r="N41" s="282"/>
      <c r="O41" s="282"/>
      <c r="P41" s="282"/>
      <c r="Q41" s="282"/>
      <c r="R41" s="282"/>
      <c r="S41" s="282"/>
      <c r="T41" s="282"/>
      <c r="U41" s="282"/>
      <c r="V41" s="282"/>
      <c r="W41" s="282"/>
    </row>
    <row r="42" spans="2:23" s="377" customFormat="1" ht="8" customHeight="1">
      <c r="B42" s="690"/>
      <c r="C42" s="755"/>
      <c r="D42" s="682"/>
      <c r="E42" s="752"/>
      <c r="F42" s="349"/>
      <c r="G42" s="349"/>
      <c r="H42" s="349"/>
      <c r="I42" s="349"/>
      <c r="J42" s="349"/>
      <c r="K42" s="282"/>
      <c r="L42" s="282"/>
      <c r="M42" s="282"/>
      <c r="N42" s="282"/>
      <c r="O42" s="282"/>
      <c r="P42" s="282"/>
      <c r="Q42" s="282"/>
      <c r="R42" s="282"/>
      <c r="S42" s="282"/>
      <c r="T42" s="282"/>
      <c r="U42" s="282"/>
      <c r="V42" s="282"/>
      <c r="W42" s="282"/>
    </row>
    <row r="43" spans="2:23" s="377" customFormat="1" ht="14" customHeight="1">
      <c r="B43" s="690" t="s">
        <v>256</v>
      </c>
      <c r="C43" s="755"/>
      <c r="D43" s="682">
        <v>2022</v>
      </c>
      <c r="E43" s="752">
        <v>3809</v>
      </c>
      <c r="F43" s="349">
        <v>1064</v>
      </c>
      <c r="G43" s="349">
        <v>58</v>
      </c>
      <c r="H43" s="349">
        <v>237</v>
      </c>
      <c r="I43" s="349">
        <v>1359</v>
      </c>
      <c r="J43" s="349">
        <v>1087</v>
      </c>
      <c r="K43" s="282"/>
      <c r="L43" s="282"/>
      <c r="M43" s="282"/>
      <c r="N43" s="282"/>
      <c r="O43" s="282"/>
      <c r="P43" s="282"/>
      <c r="Q43" s="282"/>
      <c r="R43" s="282"/>
      <c r="S43" s="282"/>
      <c r="T43" s="282"/>
      <c r="U43" s="282"/>
      <c r="V43" s="282"/>
      <c r="W43" s="282"/>
    </row>
    <row r="44" spans="2:23" s="377" customFormat="1" ht="14" customHeight="1">
      <c r="B44" s="690"/>
      <c r="C44" s="755"/>
      <c r="D44" s="682">
        <v>2023</v>
      </c>
      <c r="E44" s="752">
        <v>2599</v>
      </c>
      <c r="F44" s="349">
        <v>666</v>
      </c>
      <c r="G44" s="349">
        <v>40</v>
      </c>
      <c r="H44" s="349">
        <v>168</v>
      </c>
      <c r="I44" s="349">
        <v>937</v>
      </c>
      <c r="J44" s="349">
        <v>788</v>
      </c>
      <c r="K44" s="282"/>
      <c r="L44" s="282"/>
      <c r="M44" s="282"/>
      <c r="N44" s="282"/>
      <c r="O44" s="282"/>
      <c r="P44" s="282"/>
      <c r="Q44" s="282"/>
      <c r="R44" s="282"/>
      <c r="S44" s="282"/>
      <c r="T44" s="282"/>
      <c r="U44" s="282"/>
      <c r="V44" s="282"/>
      <c r="W44" s="282"/>
    </row>
    <row r="45" spans="2:23" s="377" customFormat="1" ht="14" customHeight="1">
      <c r="B45" s="690"/>
      <c r="C45" s="755"/>
      <c r="D45" s="682">
        <v>2024</v>
      </c>
      <c r="E45" s="752">
        <v>2178</v>
      </c>
      <c r="F45" s="683">
        <v>614</v>
      </c>
      <c r="G45" s="683">
        <v>23</v>
      </c>
      <c r="H45" s="683">
        <v>121</v>
      </c>
      <c r="I45" s="683">
        <v>609</v>
      </c>
      <c r="J45" s="683">
        <v>811</v>
      </c>
      <c r="K45" s="282"/>
      <c r="L45" s="282"/>
      <c r="M45" s="282"/>
      <c r="N45" s="282"/>
      <c r="O45" s="282"/>
      <c r="P45" s="282"/>
      <c r="Q45" s="282"/>
      <c r="R45" s="282"/>
      <c r="S45" s="282"/>
      <c r="T45" s="282"/>
      <c r="U45" s="282"/>
      <c r="V45" s="282"/>
      <c r="W45" s="282"/>
    </row>
    <row r="46" spans="2:23" s="377" customFormat="1" ht="8" customHeight="1">
      <c r="B46" s="690"/>
      <c r="C46" s="755"/>
      <c r="D46" s="682"/>
      <c r="E46" s="752"/>
      <c r="F46" s="349"/>
      <c r="G46" s="349"/>
      <c r="H46" s="349"/>
      <c r="I46" s="349"/>
      <c r="J46" s="349"/>
      <c r="K46" s="282"/>
      <c r="L46" s="282"/>
      <c r="M46" s="282"/>
      <c r="N46" s="282"/>
      <c r="O46" s="282"/>
      <c r="P46" s="282"/>
      <c r="Q46" s="282"/>
      <c r="R46" s="282"/>
      <c r="S46" s="282"/>
      <c r="T46" s="282"/>
      <c r="U46" s="282"/>
      <c r="V46" s="282"/>
      <c r="W46" s="282"/>
    </row>
    <row r="47" spans="2:23" s="377" customFormat="1" ht="14" customHeight="1">
      <c r="B47" s="690" t="s">
        <v>257</v>
      </c>
      <c r="C47" s="755"/>
      <c r="D47" s="682">
        <v>2022</v>
      </c>
      <c r="E47" s="752">
        <v>406</v>
      </c>
      <c r="F47" s="349">
        <v>111</v>
      </c>
      <c r="G47" s="349">
        <v>2</v>
      </c>
      <c r="H47" s="349">
        <v>17</v>
      </c>
      <c r="I47" s="349">
        <v>89</v>
      </c>
      <c r="J47" s="349">
        <v>187</v>
      </c>
      <c r="K47" s="282"/>
      <c r="L47" s="282"/>
      <c r="M47" s="282"/>
      <c r="N47" s="282"/>
      <c r="O47" s="282"/>
      <c r="P47" s="282"/>
      <c r="Q47" s="282"/>
      <c r="R47" s="282"/>
      <c r="S47" s="282"/>
      <c r="T47" s="282"/>
      <c r="U47" s="282"/>
      <c r="V47" s="282"/>
      <c r="W47" s="282"/>
    </row>
    <row r="48" spans="2:23" s="377" customFormat="1" ht="14" customHeight="1">
      <c r="B48" s="690"/>
      <c r="C48" s="755"/>
      <c r="D48" s="682">
        <v>2023</v>
      </c>
      <c r="E48" s="752">
        <v>412</v>
      </c>
      <c r="F48" s="349">
        <v>155</v>
      </c>
      <c r="G48" s="349" t="s">
        <v>437</v>
      </c>
      <c r="H48" s="349">
        <v>6</v>
      </c>
      <c r="I48" s="349">
        <v>93</v>
      </c>
      <c r="J48" s="349">
        <v>158</v>
      </c>
      <c r="K48" s="282"/>
      <c r="L48" s="282"/>
      <c r="M48" s="282"/>
      <c r="N48" s="282"/>
      <c r="O48" s="282"/>
      <c r="P48" s="282"/>
      <c r="Q48" s="282"/>
      <c r="R48" s="282"/>
      <c r="S48" s="282"/>
      <c r="T48" s="282"/>
      <c r="U48" s="282"/>
      <c r="V48" s="282"/>
      <c r="W48" s="282"/>
    </row>
    <row r="49" spans="2:23" s="377" customFormat="1" ht="14" customHeight="1">
      <c r="B49" s="690"/>
      <c r="C49" s="755"/>
      <c r="D49" s="682">
        <v>2024</v>
      </c>
      <c r="E49" s="752">
        <v>356</v>
      </c>
      <c r="F49" s="683">
        <v>102</v>
      </c>
      <c r="G49" s="756" t="s">
        <v>437</v>
      </c>
      <c r="H49" s="683">
        <v>3</v>
      </c>
      <c r="I49" s="756">
        <v>56</v>
      </c>
      <c r="J49" s="683">
        <v>195</v>
      </c>
      <c r="K49" s="282"/>
      <c r="L49" s="282"/>
      <c r="M49" s="282"/>
      <c r="N49" s="282"/>
      <c r="O49" s="282"/>
      <c r="P49" s="282"/>
      <c r="Q49" s="282"/>
      <c r="R49" s="282"/>
      <c r="S49" s="282"/>
      <c r="T49" s="282"/>
      <c r="U49" s="282"/>
      <c r="V49" s="282"/>
      <c r="W49" s="282"/>
    </row>
    <row r="50" spans="2:23" s="377" customFormat="1" ht="8" customHeight="1">
      <c r="B50" s="690"/>
      <c r="C50" s="755"/>
      <c r="D50" s="682"/>
      <c r="E50" s="752"/>
      <c r="F50" s="349"/>
      <c r="G50" s="349"/>
      <c r="H50" s="349"/>
      <c r="I50" s="349"/>
      <c r="J50" s="349"/>
      <c r="K50" s="282"/>
      <c r="L50" s="282"/>
      <c r="M50" s="282"/>
      <c r="N50" s="282"/>
      <c r="O50" s="282"/>
      <c r="P50" s="282"/>
      <c r="Q50" s="282"/>
      <c r="R50" s="282"/>
      <c r="S50" s="282"/>
      <c r="T50" s="282"/>
      <c r="U50" s="282"/>
      <c r="V50" s="282"/>
      <c r="W50" s="282"/>
    </row>
    <row r="51" spans="2:23" s="377" customFormat="1" ht="14" customHeight="1">
      <c r="B51" s="692" t="s">
        <v>258</v>
      </c>
      <c r="C51" s="757"/>
      <c r="D51" s="682">
        <v>2022</v>
      </c>
      <c r="E51" s="752">
        <v>15498</v>
      </c>
      <c r="F51" s="349">
        <v>3679</v>
      </c>
      <c r="G51" s="349">
        <v>595</v>
      </c>
      <c r="H51" s="349">
        <v>2204</v>
      </c>
      <c r="I51" s="349">
        <v>5503</v>
      </c>
      <c r="J51" s="349">
        <v>3514</v>
      </c>
      <c r="K51" s="282"/>
      <c r="L51" s="282"/>
      <c r="M51" s="282"/>
      <c r="N51" s="282"/>
      <c r="O51" s="282"/>
      <c r="P51" s="282"/>
      <c r="Q51" s="282"/>
      <c r="R51" s="282"/>
      <c r="S51" s="282"/>
      <c r="T51" s="282"/>
      <c r="U51" s="282"/>
      <c r="V51" s="282"/>
      <c r="W51" s="282"/>
    </row>
    <row r="52" spans="2:23" s="377" customFormat="1" ht="13.5" customHeight="1">
      <c r="B52" s="692"/>
      <c r="C52" s="757"/>
      <c r="D52" s="682">
        <v>2023</v>
      </c>
      <c r="E52" s="752">
        <v>13033</v>
      </c>
      <c r="F52" s="349">
        <v>3025</v>
      </c>
      <c r="G52" s="349">
        <v>374</v>
      </c>
      <c r="H52" s="349">
        <v>1544</v>
      </c>
      <c r="I52" s="349">
        <v>4337</v>
      </c>
      <c r="J52" s="349">
        <v>3753</v>
      </c>
      <c r="K52" s="282"/>
      <c r="L52" s="282"/>
      <c r="M52" s="282"/>
      <c r="N52" s="282"/>
      <c r="O52" s="282"/>
      <c r="P52" s="282"/>
      <c r="Q52" s="282"/>
      <c r="R52" s="282"/>
      <c r="S52" s="282"/>
      <c r="T52" s="282"/>
      <c r="U52" s="282"/>
      <c r="V52" s="282"/>
      <c r="W52" s="282"/>
    </row>
    <row r="53" spans="2:23" s="377" customFormat="1" ht="14" customHeight="1">
      <c r="B53" s="692"/>
      <c r="C53" s="757"/>
      <c r="D53" s="682">
        <v>2024</v>
      </c>
      <c r="E53" s="752">
        <v>11102</v>
      </c>
      <c r="F53" s="683">
        <v>2801</v>
      </c>
      <c r="G53" s="683">
        <v>302</v>
      </c>
      <c r="H53" s="683">
        <v>973</v>
      </c>
      <c r="I53" s="683">
        <v>2606</v>
      </c>
      <c r="J53" s="683">
        <v>4420</v>
      </c>
      <c r="K53" s="282"/>
      <c r="L53" s="282"/>
      <c r="M53" s="282"/>
      <c r="N53" s="282"/>
      <c r="O53" s="282"/>
      <c r="P53" s="282"/>
      <c r="Q53" s="282"/>
      <c r="R53" s="282"/>
      <c r="S53" s="282"/>
      <c r="T53" s="282"/>
      <c r="U53" s="282"/>
      <c r="V53" s="282"/>
      <c r="W53" s="282"/>
    </row>
    <row r="54" spans="2:23" s="377" customFormat="1" ht="8" customHeight="1">
      <c r="B54" s="688"/>
      <c r="C54" s="307"/>
      <c r="D54" s="682"/>
      <c r="E54" s="752"/>
      <c r="F54" s="349"/>
      <c r="G54" s="349"/>
      <c r="H54" s="349"/>
      <c r="I54" s="349"/>
      <c r="J54" s="349"/>
      <c r="K54" s="282"/>
      <c r="L54" s="282"/>
      <c r="M54" s="282"/>
      <c r="N54" s="282"/>
      <c r="O54" s="282"/>
      <c r="P54" s="282"/>
      <c r="Q54" s="282"/>
      <c r="R54" s="282"/>
      <c r="S54" s="282"/>
      <c r="T54" s="282"/>
      <c r="U54" s="282"/>
      <c r="V54" s="282"/>
      <c r="W54" s="282"/>
    </row>
    <row r="55" spans="2:23" s="648" customFormat="1" ht="14" customHeight="1">
      <c r="B55" s="692" t="s">
        <v>259</v>
      </c>
      <c r="C55" s="757"/>
      <c r="D55" s="682">
        <v>2022</v>
      </c>
      <c r="E55" s="752">
        <v>1577</v>
      </c>
      <c r="F55" s="349">
        <v>496</v>
      </c>
      <c r="G55" s="349">
        <v>13</v>
      </c>
      <c r="H55" s="349">
        <v>78</v>
      </c>
      <c r="I55" s="349">
        <v>466</v>
      </c>
      <c r="J55" s="349">
        <v>523</v>
      </c>
      <c r="K55" s="282"/>
      <c r="L55" s="282"/>
      <c r="M55" s="282"/>
      <c r="N55" s="282"/>
      <c r="O55" s="282"/>
      <c r="P55" s="282"/>
      <c r="Q55" s="282"/>
      <c r="R55" s="282"/>
      <c r="S55" s="282"/>
      <c r="T55" s="282"/>
      <c r="U55" s="282"/>
      <c r="V55" s="282"/>
      <c r="W55" s="282"/>
    </row>
    <row r="56" spans="2:23" s="648" customFormat="1" ht="14" customHeight="1">
      <c r="B56" s="692"/>
      <c r="C56" s="757"/>
      <c r="D56" s="682">
        <v>2023</v>
      </c>
      <c r="E56" s="752">
        <v>1821</v>
      </c>
      <c r="F56" s="349">
        <v>601</v>
      </c>
      <c r="G56" s="349">
        <v>4</v>
      </c>
      <c r="H56" s="349">
        <v>56</v>
      </c>
      <c r="I56" s="349">
        <v>313</v>
      </c>
      <c r="J56" s="349">
        <v>847</v>
      </c>
      <c r="K56" s="282"/>
      <c r="L56" s="282"/>
      <c r="M56" s="282"/>
      <c r="N56" s="282"/>
      <c r="O56" s="282"/>
      <c r="P56" s="282"/>
      <c r="Q56" s="282"/>
      <c r="R56" s="282"/>
      <c r="S56" s="282"/>
      <c r="T56" s="282"/>
      <c r="U56" s="282"/>
      <c r="V56" s="282"/>
      <c r="W56" s="282"/>
    </row>
    <row r="57" spans="2:23" s="648" customFormat="1" ht="14" customHeight="1">
      <c r="B57" s="692"/>
      <c r="C57" s="757"/>
      <c r="D57" s="682">
        <v>2024</v>
      </c>
      <c r="E57" s="752">
        <v>1370</v>
      </c>
      <c r="F57" s="683">
        <v>480</v>
      </c>
      <c r="G57" s="683">
        <v>7</v>
      </c>
      <c r="H57" s="683">
        <v>63</v>
      </c>
      <c r="I57" s="683">
        <v>224</v>
      </c>
      <c r="J57" s="683">
        <v>596</v>
      </c>
      <c r="K57" s="282"/>
      <c r="L57" s="282"/>
      <c r="M57" s="282"/>
      <c r="N57" s="282"/>
      <c r="O57" s="282"/>
      <c r="P57" s="282"/>
      <c r="Q57" s="282"/>
      <c r="R57" s="282"/>
      <c r="S57" s="282"/>
      <c r="T57" s="282"/>
      <c r="U57" s="282"/>
      <c r="V57" s="282"/>
      <c r="W57" s="282"/>
    </row>
    <row r="58" spans="2:23" s="377" customFormat="1" ht="8" customHeight="1">
      <c r="B58" s="688"/>
      <c r="C58" s="307"/>
      <c r="D58" s="682"/>
      <c r="E58" s="752"/>
      <c r="F58" s="349"/>
      <c r="G58" s="349"/>
      <c r="H58" s="349"/>
      <c r="I58" s="349"/>
      <c r="J58" s="349"/>
      <c r="K58" s="282"/>
      <c r="L58" s="282"/>
      <c r="M58" s="282"/>
      <c r="N58" s="282"/>
      <c r="O58" s="282"/>
      <c r="P58" s="282"/>
      <c r="Q58" s="282"/>
      <c r="R58" s="282"/>
      <c r="S58" s="282"/>
      <c r="T58" s="282"/>
      <c r="U58" s="282"/>
      <c r="V58" s="282"/>
      <c r="W58" s="282"/>
    </row>
    <row r="59" spans="2:23" s="377" customFormat="1" ht="14" customHeight="1">
      <c r="B59" s="692" t="s">
        <v>807</v>
      </c>
      <c r="C59" s="757"/>
      <c r="D59" s="682">
        <v>2022</v>
      </c>
      <c r="E59" s="752">
        <v>5106</v>
      </c>
      <c r="F59" s="349">
        <v>1806</v>
      </c>
      <c r="G59" s="349">
        <v>81</v>
      </c>
      <c r="H59" s="349">
        <v>157</v>
      </c>
      <c r="I59" s="349">
        <v>435</v>
      </c>
      <c r="J59" s="349">
        <v>2627</v>
      </c>
      <c r="K59" s="282"/>
      <c r="L59" s="282"/>
      <c r="M59" s="282"/>
      <c r="N59" s="282"/>
      <c r="O59" s="282"/>
      <c r="P59" s="282"/>
      <c r="Q59" s="282"/>
      <c r="R59" s="282"/>
      <c r="S59" s="282"/>
      <c r="T59" s="282"/>
      <c r="U59" s="282"/>
      <c r="V59" s="282"/>
      <c r="W59" s="282"/>
    </row>
    <row r="60" spans="2:23" s="377" customFormat="1" ht="14" customHeight="1">
      <c r="B60" s="692"/>
      <c r="C60" s="757"/>
      <c r="D60" s="682">
        <v>2023</v>
      </c>
      <c r="E60" s="752">
        <v>3316</v>
      </c>
      <c r="F60" s="349">
        <v>1332</v>
      </c>
      <c r="G60" s="349">
        <v>36</v>
      </c>
      <c r="H60" s="349">
        <v>77</v>
      </c>
      <c r="I60" s="349">
        <v>318</v>
      </c>
      <c r="J60" s="349">
        <v>1553</v>
      </c>
      <c r="K60" s="282"/>
      <c r="L60" s="282"/>
      <c r="M60" s="282"/>
      <c r="N60" s="282"/>
      <c r="O60" s="282"/>
      <c r="P60" s="282"/>
      <c r="Q60" s="282"/>
      <c r="R60" s="282"/>
      <c r="S60" s="282"/>
      <c r="T60" s="282"/>
      <c r="U60" s="282"/>
      <c r="V60" s="282"/>
      <c r="W60" s="282"/>
    </row>
    <row r="61" spans="2:23" s="377" customFormat="1" ht="14" customHeight="1">
      <c r="B61" s="692"/>
      <c r="C61" s="757"/>
      <c r="D61" s="682">
        <v>2024</v>
      </c>
      <c r="E61" s="752">
        <v>3014</v>
      </c>
      <c r="F61" s="683">
        <v>1122</v>
      </c>
      <c r="G61" s="683">
        <v>25</v>
      </c>
      <c r="H61" s="683">
        <v>70</v>
      </c>
      <c r="I61" s="683">
        <v>263</v>
      </c>
      <c r="J61" s="683">
        <v>1534</v>
      </c>
      <c r="K61" s="282"/>
      <c r="L61" s="282"/>
      <c r="M61" s="282"/>
      <c r="N61" s="282"/>
      <c r="O61" s="282"/>
      <c r="P61" s="282"/>
      <c r="Q61" s="282"/>
      <c r="R61" s="282"/>
      <c r="S61" s="282"/>
      <c r="T61" s="282"/>
      <c r="U61" s="282"/>
      <c r="V61" s="282"/>
      <c r="W61" s="282"/>
    </row>
    <row r="62" spans="2:23" s="377" customFormat="1" ht="8" customHeight="1">
      <c r="B62" s="688"/>
      <c r="C62" s="307"/>
      <c r="D62" s="682"/>
      <c r="E62" s="752"/>
      <c r="F62" s="349"/>
      <c r="G62" s="349"/>
      <c r="H62" s="349"/>
      <c r="I62" s="349"/>
      <c r="J62" s="349"/>
      <c r="K62" s="282"/>
      <c r="L62" s="282"/>
      <c r="M62" s="282"/>
      <c r="N62" s="282"/>
      <c r="O62" s="282"/>
      <c r="P62" s="282"/>
      <c r="Q62" s="282"/>
      <c r="R62" s="282"/>
      <c r="S62" s="282"/>
      <c r="T62" s="282"/>
      <c r="U62" s="282"/>
      <c r="V62" s="282"/>
      <c r="W62" s="282"/>
    </row>
    <row r="63" spans="2:23" s="648" customFormat="1" ht="14" customHeight="1">
      <c r="B63" s="690" t="s">
        <v>261</v>
      </c>
      <c r="C63" s="755"/>
      <c r="D63" s="682">
        <v>2022</v>
      </c>
      <c r="E63" s="752">
        <v>5125</v>
      </c>
      <c r="F63" s="349">
        <v>1623</v>
      </c>
      <c r="G63" s="349">
        <v>61</v>
      </c>
      <c r="H63" s="349">
        <v>404</v>
      </c>
      <c r="I63" s="349">
        <v>1393</v>
      </c>
      <c r="J63" s="349">
        <v>1644</v>
      </c>
      <c r="K63" s="282"/>
      <c r="L63" s="282"/>
      <c r="M63" s="282"/>
      <c r="N63" s="282"/>
      <c r="O63" s="282"/>
      <c r="P63" s="282"/>
      <c r="Q63" s="282"/>
      <c r="R63" s="282"/>
      <c r="S63" s="282"/>
      <c r="T63" s="282"/>
      <c r="U63" s="282"/>
      <c r="V63" s="282"/>
      <c r="W63" s="282"/>
    </row>
    <row r="64" spans="2:23" s="648" customFormat="1" ht="14" customHeight="1">
      <c r="B64" s="690"/>
      <c r="C64" s="755"/>
      <c r="D64" s="682">
        <v>2023</v>
      </c>
      <c r="E64" s="752">
        <v>5089</v>
      </c>
      <c r="F64" s="349">
        <v>1946</v>
      </c>
      <c r="G64" s="349">
        <v>29</v>
      </c>
      <c r="H64" s="349">
        <v>188</v>
      </c>
      <c r="I64" s="349">
        <v>861</v>
      </c>
      <c r="J64" s="349">
        <v>2065</v>
      </c>
      <c r="K64" s="282"/>
      <c r="L64" s="282"/>
      <c r="M64" s="282"/>
      <c r="N64" s="282"/>
      <c r="O64" s="282"/>
      <c r="P64" s="282"/>
      <c r="Q64" s="282"/>
      <c r="R64" s="282"/>
      <c r="S64" s="282"/>
      <c r="T64" s="282"/>
      <c r="U64" s="282"/>
      <c r="V64" s="282"/>
      <c r="W64" s="282"/>
    </row>
    <row r="65" spans="1:23" s="648" customFormat="1" ht="14" customHeight="1">
      <c r="B65" s="690"/>
      <c r="C65" s="755"/>
      <c r="D65" s="682">
        <v>2024</v>
      </c>
      <c r="E65" s="752">
        <v>3701</v>
      </c>
      <c r="F65" s="683">
        <v>1163</v>
      </c>
      <c r="G65" s="683">
        <v>23</v>
      </c>
      <c r="H65" s="683">
        <v>136</v>
      </c>
      <c r="I65" s="683">
        <v>503</v>
      </c>
      <c r="J65" s="683">
        <v>1876</v>
      </c>
      <c r="K65" s="282"/>
      <c r="L65" s="282"/>
      <c r="M65" s="282"/>
      <c r="N65" s="282"/>
      <c r="O65" s="282"/>
      <c r="P65" s="282"/>
      <c r="Q65" s="282"/>
      <c r="R65" s="282"/>
      <c r="S65" s="282"/>
      <c r="T65" s="282"/>
      <c r="U65" s="282"/>
      <c r="V65" s="282"/>
      <c r="W65" s="282"/>
    </row>
    <row r="66" spans="1:23" s="377" customFormat="1" ht="8" customHeight="1">
      <c r="B66" s="688"/>
      <c r="C66" s="307"/>
      <c r="D66" s="682"/>
      <c r="E66" s="752"/>
      <c r="F66" s="349"/>
      <c r="G66" s="349"/>
      <c r="H66" s="349"/>
      <c r="I66" s="349"/>
      <c r="J66" s="349"/>
      <c r="K66" s="282"/>
      <c r="L66" s="282"/>
      <c r="M66" s="282"/>
      <c r="N66" s="282"/>
      <c r="O66" s="282"/>
      <c r="P66" s="282"/>
      <c r="Q66" s="282"/>
      <c r="R66" s="282"/>
      <c r="S66" s="282"/>
      <c r="T66" s="282"/>
      <c r="U66" s="282"/>
      <c r="V66" s="282"/>
      <c r="W66" s="282"/>
    </row>
    <row r="67" spans="1:23" s="377" customFormat="1" ht="14" customHeight="1">
      <c r="B67" s="690" t="s">
        <v>808</v>
      </c>
      <c r="C67" s="755"/>
      <c r="D67" s="682">
        <v>2022</v>
      </c>
      <c r="E67" s="752">
        <v>8258</v>
      </c>
      <c r="F67" s="349">
        <v>1087</v>
      </c>
      <c r="G67" s="349">
        <v>254</v>
      </c>
      <c r="H67" s="349">
        <v>1423</v>
      </c>
      <c r="I67" s="349">
        <v>2763</v>
      </c>
      <c r="J67" s="349">
        <v>2729</v>
      </c>
      <c r="K67" s="282"/>
      <c r="L67" s="282"/>
      <c r="M67" s="282"/>
      <c r="N67" s="282"/>
      <c r="O67" s="282"/>
      <c r="P67" s="282"/>
      <c r="Q67" s="282"/>
      <c r="R67" s="282"/>
      <c r="S67" s="282"/>
      <c r="T67" s="282"/>
      <c r="U67" s="282"/>
      <c r="V67" s="282"/>
      <c r="W67" s="282"/>
    </row>
    <row r="68" spans="1:23" s="377" customFormat="1" ht="14" customHeight="1">
      <c r="B68" s="758"/>
      <c r="C68" s="688"/>
      <c r="D68" s="682">
        <v>2023</v>
      </c>
      <c r="E68" s="752">
        <v>6353</v>
      </c>
      <c r="F68" s="349">
        <v>949</v>
      </c>
      <c r="G68" s="349">
        <v>147</v>
      </c>
      <c r="H68" s="349">
        <v>1000</v>
      </c>
      <c r="I68" s="349">
        <v>2200</v>
      </c>
      <c r="J68" s="349">
        <v>2057</v>
      </c>
      <c r="K68" s="282"/>
      <c r="L68" s="282"/>
      <c r="M68" s="282"/>
      <c r="N68" s="282"/>
      <c r="O68" s="282"/>
      <c r="P68" s="282"/>
      <c r="Q68" s="282"/>
      <c r="R68" s="282"/>
      <c r="S68" s="282"/>
      <c r="T68" s="282"/>
      <c r="U68" s="282"/>
      <c r="V68" s="282"/>
      <c r="W68" s="282"/>
    </row>
    <row r="69" spans="1:23" s="377" customFormat="1" ht="14" customHeight="1">
      <c r="B69" s="758"/>
      <c r="C69" s="688"/>
      <c r="D69" s="682">
        <v>2024</v>
      </c>
      <c r="E69" s="752">
        <v>4718</v>
      </c>
      <c r="F69" s="752">
        <v>757</v>
      </c>
      <c r="G69" s="752">
        <v>97</v>
      </c>
      <c r="H69" s="752">
        <v>613</v>
      </c>
      <c r="I69" s="752">
        <v>1317</v>
      </c>
      <c r="J69" s="349">
        <v>1934</v>
      </c>
      <c r="K69" s="282"/>
      <c r="L69" s="282"/>
      <c r="M69" s="282"/>
      <c r="N69" s="282"/>
      <c r="O69" s="282"/>
      <c r="P69" s="282"/>
      <c r="Q69" s="282"/>
      <c r="R69" s="282"/>
      <c r="S69" s="282"/>
      <c r="T69" s="282"/>
      <c r="U69" s="282"/>
      <c r="V69" s="282"/>
      <c r="W69" s="282"/>
    </row>
    <row r="70" spans="1:23" s="377" customFormat="1" ht="7.5" customHeight="1" thickBot="1">
      <c r="A70" s="402"/>
      <c r="B70" s="402"/>
      <c r="C70" s="402"/>
      <c r="D70" s="759"/>
      <c r="E70" s="760"/>
      <c r="F70" s="733"/>
      <c r="G70" s="761"/>
      <c r="H70" s="762"/>
      <c r="I70" s="761"/>
      <c r="J70" s="733"/>
      <c r="K70" s="402"/>
    </row>
    <row r="71" spans="1:23" s="698" customFormat="1" ht="16.5" customHeight="1">
      <c r="D71" s="763"/>
      <c r="E71" s="718"/>
      <c r="F71" s="717"/>
      <c r="G71" s="711"/>
      <c r="H71" s="710"/>
      <c r="I71" s="711"/>
      <c r="J71" s="717"/>
      <c r="K71" s="764" t="s">
        <v>779</v>
      </c>
    </row>
    <row r="72" spans="1:23" s="698" customFormat="1" ht="16.5" customHeight="1">
      <c r="D72" s="763"/>
      <c r="E72" s="718"/>
      <c r="F72" s="717"/>
      <c r="G72" s="711"/>
      <c r="H72" s="710"/>
      <c r="I72" s="711"/>
      <c r="J72" s="718"/>
      <c r="K72" s="702" t="s">
        <v>780</v>
      </c>
    </row>
    <row r="73" spans="1:23" s="698" customFormat="1" ht="16.5" customHeight="1">
      <c r="B73" s="703" t="s">
        <v>781</v>
      </c>
      <c r="C73" s="765"/>
      <c r="D73" s="699"/>
      <c r="E73" s="718"/>
      <c r="F73" s="717"/>
      <c r="G73" s="711"/>
      <c r="H73" s="710"/>
      <c r="I73" s="711"/>
      <c r="J73" s="718"/>
      <c r="K73" s="702"/>
    </row>
    <row r="74" spans="1:23" s="698" customFormat="1" ht="13">
      <c r="A74" s="704" t="s">
        <v>34</v>
      </c>
      <c r="B74" s="713" t="s">
        <v>809</v>
      </c>
      <c r="C74" s="714"/>
      <c r="D74" s="715"/>
      <c r="E74" s="716"/>
      <c r="F74" s="717"/>
      <c r="G74" s="717"/>
      <c r="H74" s="717"/>
      <c r="I74" s="717"/>
      <c r="J74" s="717"/>
      <c r="K74" s="717"/>
      <c r="L74" s="717"/>
    </row>
    <row r="75" spans="1:23" s="717" customFormat="1" ht="14" customHeight="1">
      <c r="A75" s="718"/>
      <c r="B75" s="719" t="s">
        <v>786</v>
      </c>
      <c r="C75" s="714"/>
      <c r="D75" s="715"/>
      <c r="E75" s="716"/>
    </row>
    <row r="76" spans="1:23" s="698" customFormat="1" ht="13" customHeight="1">
      <c r="A76" s="704" t="s">
        <v>37</v>
      </c>
      <c r="B76" s="720" t="s">
        <v>810</v>
      </c>
      <c r="C76" s="714"/>
      <c r="D76" s="715"/>
      <c r="E76" s="716"/>
      <c r="L76" s="717"/>
    </row>
    <row r="77" spans="1:23" s="698" customFormat="1" ht="14" customHeight="1">
      <c r="B77" s="719" t="s">
        <v>788</v>
      </c>
      <c r="C77" s="714"/>
      <c r="D77" s="715"/>
      <c r="E77" s="716"/>
      <c r="F77" s="717"/>
      <c r="G77" s="717"/>
      <c r="H77" s="717"/>
      <c r="I77" s="717"/>
      <c r="J77" s="717"/>
      <c r="K77" s="717"/>
      <c r="L77" s="717"/>
    </row>
  </sheetData>
  <mergeCells count="3">
    <mergeCell ref="G6:I6"/>
    <mergeCell ref="F7:F8"/>
    <mergeCell ref="G7:I7"/>
  </mergeCells>
  <printOptions horizontalCentered="1"/>
  <pageMargins left="0.55118110236220474" right="0.55118110236220474" top="0.55118110236220474" bottom="0.55118110236220474" header="0.31496062992125984" footer="0.31496062992125984"/>
  <pageSetup paperSize="9" scale="73"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CECA-DE7F-479A-8DFD-F2AFD0A50B83}">
  <sheetPr codeName="Sheet52">
    <pageSetUpPr fitToPage="1"/>
  </sheetPr>
  <dimension ref="A1:L83"/>
  <sheetViews>
    <sheetView view="pageBreakPreview" zoomScale="90" zoomScaleNormal="100" zoomScaleSheetLayoutView="90" workbookViewId="0">
      <selection activeCell="D60" sqref="D60"/>
    </sheetView>
  </sheetViews>
  <sheetFormatPr baseColWidth="10" defaultColWidth="8.83203125" defaultRowHeight="15"/>
  <cols>
    <col min="1" max="1" width="3.6640625" customWidth="1"/>
    <col min="3" max="3" width="14" customWidth="1"/>
    <col min="4" max="4" width="25.6640625" customWidth="1"/>
    <col min="5" max="5" width="17.5" customWidth="1"/>
    <col min="6" max="7" width="11.5" customWidth="1"/>
    <col min="8" max="8" width="17" customWidth="1"/>
    <col min="9" max="9" width="14.5" customWidth="1"/>
    <col min="10" max="10" width="2.6640625" customWidth="1"/>
  </cols>
  <sheetData>
    <row r="1" spans="1:12" s="290" customFormat="1" ht="8.25" customHeight="1">
      <c r="D1" s="724"/>
      <c r="G1" s="725"/>
      <c r="H1" s="725"/>
      <c r="I1" s="725"/>
    </row>
    <row r="2" spans="1:12" s="290" customFormat="1" ht="16.5" customHeight="1">
      <c r="A2" s="651"/>
      <c r="B2" s="651" t="s">
        <v>811</v>
      </c>
      <c r="C2" s="723" t="s">
        <v>812</v>
      </c>
      <c r="D2" s="766"/>
      <c r="E2" s="723"/>
      <c r="F2" s="723"/>
      <c r="G2" s="651"/>
      <c r="H2" s="651"/>
      <c r="I2" s="651"/>
      <c r="J2" s="723"/>
      <c r="K2" s="723"/>
      <c r="L2" s="723"/>
    </row>
    <row r="3" spans="1:12" s="290" customFormat="1" ht="14.25" customHeight="1">
      <c r="A3" s="651"/>
      <c r="B3" s="651"/>
      <c r="C3" s="767" t="s">
        <v>813</v>
      </c>
      <c r="D3" s="766"/>
      <c r="E3" s="723"/>
      <c r="F3" s="723"/>
      <c r="G3" s="651"/>
      <c r="H3" s="651"/>
      <c r="I3" s="651"/>
      <c r="J3" s="723"/>
      <c r="K3" s="723"/>
      <c r="L3" s="723"/>
    </row>
    <row r="4" spans="1:12" s="290" customFormat="1" ht="16.5" customHeight="1">
      <c r="A4" s="768"/>
      <c r="B4" s="768" t="s">
        <v>814</v>
      </c>
      <c r="C4" s="729" t="s">
        <v>815</v>
      </c>
      <c r="D4" s="769"/>
      <c r="E4" s="729"/>
      <c r="F4" s="729"/>
      <c r="G4" s="768"/>
      <c r="H4" s="768"/>
      <c r="I4" s="768"/>
      <c r="J4" s="729"/>
      <c r="K4" s="729"/>
    </row>
    <row r="5" spans="1:12" s="480" customFormat="1" ht="8.25" customHeight="1" thickBot="1">
      <c r="A5" s="658"/>
      <c r="B5" s="658"/>
      <c r="C5" s="658"/>
      <c r="D5" s="770"/>
      <c r="E5" s="658"/>
      <c r="F5" s="658"/>
      <c r="G5" s="771"/>
      <c r="H5" s="771"/>
      <c r="I5" s="771"/>
      <c r="J5" s="660"/>
      <c r="K5" s="660"/>
    </row>
    <row r="6" spans="1:12" s="480" customFormat="1" ht="18.75" customHeight="1">
      <c r="A6" s="772"/>
      <c r="B6" s="773"/>
      <c r="C6" s="774"/>
      <c r="D6" s="775"/>
      <c r="E6" s="776" t="s">
        <v>816</v>
      </c>
      <c r="F6" s="776"/>
      <c r="G6" s="1360" t="s">
        <v>817</v>
      </c>
      <c r="H6" s="1360"/>
      <c r="I6" s="1360"/>
      <c r="J6" s="777"/>
      <c r="K6" s="778"/>
    </row>
    <row r="7" spans="1:12" s="480" customFormat="1" ht="18.75" customHeight="1" thickBot="1">
      <c r="A7" s="484"/>
      <c r="B7" s="779" t="s">
        <v>818</v>
      </c>
      <c r="C7" s="484"/>
      <c r="D7" s="777" t="s">
        <v>765</v>
      </c>
      <c r="E7" s="780" t="s">
        <v>819</v>
      </c>
      <c r="F7" s="780"/>
      <c r="G7" s="781"/>
      <c r="H7" s="782" t="s">
        <v>820</v>
      </c>
      <c r="I7" s="781"/>
      <c r="J7" s="783"/>
    </row>
    <row r="8" spans="1:12" s="480" customFormat="1" ht="27.5" customHeight="1">
      <c r="A8" s="784"/>
      <c r="B8" s="785" t="s">
        <v>821</v>
      </c>
      <c r="C8" s="784"/>
      <c r="D8" s="786" t="s">
        <v>771</v>
      </c>
      <c r="E8" s="787" t="s">
        <v>822</v>
      </c>
      <c r="F8" s="788"/>
      <c r="G8" s="789" t="s">
        <v>385</v>
      </c>
      <c r="H8" s="789" t="s">
        <v>823</v>
      </c>
      <c r="I8" s="789" t="s">
        <v>824</v>
      </c>
      <c r="J8" s="790"/>
    </row>
    <row r="9" spans="1:12" s="795" customFormat="1" ht="18.75" customHeight="1" thickBot="1">
      <c r="A9" s="791"/>
      <c r="B9" s="791"/>
      <c r="C9" s="792"/>
      <c r="D9" s="793"/>
      <c r="E9" s="793"/>
      <c r="F9" s="793"/>
      <c r="G9" s="794" t="s">
        <v>386</v>
      </c>
      <c r="H9" s="794" t="s">
        <v>775</v>
      </c>
      <c r="I9" s="794" t="s">
        <v>825</v>
      </c>
      <c r="J9" s="786"/>
    </row>
    <row r="10" spans="1:12" s="480" customFormat="1" ht="8.25" customHeight="1">
      <c r="A10" s="796"/>
      <c r="B10" s="796"/>
      <c r="C10" s="796"/>
      <c r="D10" s="310"/>
      <c r="E10" s="797"/>
      <c r="F10" s="797"/>
      <c r="G10" s="797"/>
      <c r="H10" s="797"/>
      <c r="I10" s="797"/>
      <c r="J10" s="797"/>
    </row>
    <row r="11" spans="1:12" s="480" customFormat="1" ht="13.5" customHeight="1">
      <c r="A11" s="796"/>
      <c r="B11" s="796" t="s">
        <v>806</v>
      </c>
      <c r="D11" s="310">
        <v>2021</v>
      </c>
      <c r="E11" s="797">
        <v>567516</v>
      </c>
      <c r="F11" s="797"/>
      <c r="G11" s="797">
        <v>15044</v>
      </c>
      <c r="H11" s="797">
        <v>8877</v>
      </c>
      <c r="I11" s="797">
        <v>6167</v>
      </c>
      <c r="J11" s="797"/>
    </row>
    <row r="12" spans="1:12" s="480" customFormat="1" ht="13.5" customHeight="1">
      <c r="A12" s="496"/>
      <c r="B12" s="496"/>
      <c r="D12" s="310">
        <v>2022</v>
      </c>
      <c r="E12" s="797">
        <v>418237</v>
      </c>
      <c r="F12" s="797"/>
      <c r="G12" s="797">
        <v>17236</v>
      </c>
      <c r="H12" s="797">
        <v>12602</v>
      </c>
      <c r="I12" s="797">
        <v>4634</v>
      </c>
      <c r="J12" s="683"/>
    </row>
    <row r="13" spans="1:12" s="480" customFormat="1" ht="13.5" customHeight="1">
      <c r="A13" s="496"/>
      <c r="B13" s="496"/>
      <c r="D13" s="310">
        <v>2023</v>
      </c>
      <c r="E13" s="797">
        <v>370286</v>
      </c>
      <c r="F13" s="683"/>
      <c r="G13" s="797">
        <v>23069</v>
      </c>
      <c r="H13" s="797">
        <v>18530</v>
      </c>
      <c r="I13" s="797">
        <v>4539</v>
      </c>
      <c r="J13" s="683"/>
    </row>
    <row r="14" spans="1:12" s="480" customFormat="1" ht="6.75" customHeight="1">
      <c r="A14" s="496"/>
      <c r="B14" s="496"/>
      <c r="D14" s="682"/>
      <c r="E14" s="683"/>
      <c r="F14" s="683"/>
      <c r="G14" s="683"/>
      <c r="H14" s="683"/>
      <c r="I14" s="683"/>
      <c r="J14" s="683"/>
    </row>
    <row r="15" spans="1:12" s="480" customFormat="1" ht="13.5" customHeight="1">
      <c r="A15" s="685"/>
      <c r="B15" s="685" t="s">
        <v>249</v>
      </c>
      <c r="D15" s="682">
        <v>2021</v>
      </c>
      <c r="E15" s="683">
        <v>82502</v>
      </c>
      <c r="F15" s="683"/>
      <c r="G15" s="683">
        <v>1609</v>
      </c>
      <c r="H15" s="683">
        <v>569</v>
      </c>
      <c r="I15" s="683">
        <v>1040</v>
      </c>
      <c r="J15" s="683"/>
    </row>
    <row r="16" spans="1:12" s="480" customFormat="1" ht="13.5" customHeight="1">
      <c r="A16" s="685"/>
      <c r="B16" s="685"/>
      <c r="D16" s="682">
        <v>2022</v>
      </c>
      <c r="E16" s="683">
        <v>58207</v>
      </c>
      <c r="F16" s="683"/>
      <c r="G16" s="683">
        <v>1735</v>
      </c>
      <c r="H16" s="683">
        <v>1038</v>
      </c>
      <c r="I16" s="683">
        <v>697</v>
      </c>
      <c r="J16" s="683"/>
    </row>
    <row r="17" spans="1:10" s="480" customFormat="1" ht="13.5" customHeight="1">
      <c r="A17" s="685"/>
      <c r="B17" s="685"/>
      <c r="D17" s="682">
        <v>2023</v>
      </c>
      <c r="E17" s="683">
        <v>49559</v>
      </c>
      <c r="F17" s="683"/>
      <c r="G17" s="683">
        <v>1786</v>
      </c>
      <c r="H17" s="683">
        <v>1172</v>
      </c>
      <c r="I17" s="683">
        <v>614</v>
      </c>
      <c r="J17" s="683"/>
    </row>
    <row r="18" spans="1:10" s="480" customFormat="1" ht="6.75" customHeight="1">
      <c r="A18" s="685"/>
      <c r="B18" s="685"/>
      <c r="C18" s="798"/>
      <c r="D18" s="682"/>
      <c r="E18" s="683"/>
      <c r="F18" s="683"/>
      <c r="G18" s="683"/>
      <c r="H18" s="683"/>
      <c r="I18" s="683"/>
      <c r="J18" s="683"/>
    </row>
    <row r="19" spans="1:10" s="480" customFormat="1" ht="13.5" customHeight="1">
      <c r="A19" s="690"/>
      <c r="B19" s="690" t="s">
        <v>250</v>
      </c>
      <c r="D19" s="682">
        <v>2021</v>
      </c>
      <c r="E19" s="683">
        <v>24867</v>
      </c>
      <c r="F19" s="683"/>
      <c r="G19" s="683">
        <v>1445</v>
      </c>
      <c r="H19" s="683">
        <v>999</v>
      </c>
      <c r="I19" s="683">
        <v>446</v>
      </c>
      <c r="J19" s="683"/>
    </row>
    <row r="20" spans="1:10" s="480" customFormat="1" ht="13.5" customHeight="1">
      <c r="A20" s="690"/>
      <c r="B20" s="690"/>
      <c r="D20" s="682">
        <v>2022</v>
      </c>
      <c r="E20" s="683">
        <v>19651</v>
      </c>
      <c r="F20" s="683"/>
      <c r="G20" s="683">
        <v>1517</v>
      </c>
      <c r="H20" s="683">
        <v>1163</v>
      </c>
      <c r="I20" s="683">
        <v>354</v>
      </c>
      <c r="J20" s="683"/>
    </row>
    <row r="21" spans="1:10" s="480" customFormat="1" ht="13.5" customHeight="1">
      <c r="A21" s="690"/>
      <c r="B21" s="690"/>
      <c r="D21" s="682">
        <v>2023</v>
      </c>
      <c r="E21" s="683">
        <v>18414</v>
      </c>
      <c r="F21" s="683"/>
      <c r="G21" s="683">
        <v>2028</v>
      </c>
      <c r="H21" s="683">
        <v>1622</v>
      </c>
      <c r="I21" s="683">
        <v>406</v>
      </c>
      <c r="J21" s="683"/>
    </row>
    <row r="22" spans="1:10" s="480" customFormat="1" ht="6" customHeight="1">
      <c r="A22" s="694"/>
      <c r="B22" s="694"/>
      <c r="D22" s="682"/>
      <c r="E22" s="683"/>
      <c r="F22" s="683"/>
      <c r="G22" s="683"/>
      <c r="H22" s="683"/>
      <c r="I22" s="683"/>
      <c r="J22" s="683"/>
    </row>
    <row r="23" spans="1:10" s="480" customFormat="1" ht="13.5" customHeight="1">
      <c r="A23" s="690"/>
      <c r="B23" s="690" t="s">
        <v>251</v>
      </c>
      <c r="D23" s="682">
        <v>2021</v>
      </c>
      <c r="E23" s="683">
        <v>11295</v>
      </c>
      <c r="F23" s="683"/>
      <c r="G23" s="683">
        <v>1813</v>
      </c>
      <c r="H23" s="683">
        <v>1475</v>
      </c>
      <c r="I23" s="683">
        <v>338</v>
      </c>
      <c r="J23" s="683"/>
    </row>
    <row r="24" spans="1:10" s="480" customFormat="1" ht="13.5" customHeight="1">
      <c r="A24" s="690"/>
      <c r="B24" s="690"/>
      <c r="D24" s="682">
        <v>2022</v>
      </c>
      <c r="E24" s="683">
        <v>9752</v>
      </c>
      <c r="F24" s="683"/>
      <c r="G24" s="683">
        <v>2168</v>
      </c>
      <c r="H24" s="683">
        <v>1892</v>
      </c>
      <c r="I24" s="683">
        <v>276</v>
      </c>
      <c r="J24" s="683"/>
    </row>
    <row r="25" spans="1:10" s="480" customFormat="1" ht="13.5" customHeight="1">
      <c r="A25" s="690"/>
      <c r="B25" s="690"/>
      <c r="D25" s="682">
        <v>2023</v>
      </c>
      <c r="E25" s="683">
        <v>7982</v>
      </c>
      <c r="F25" s="683"/>
      <c r="G25" s="683">
        <v>2042</v>
      </c>
      <c r="H25" s="683">
        <v>1818</v>
      </c>
      <c r="I25" s="683">
        <v>224</v>
      </c>
      <c r="J25" s="683"/>
    </row>
    <row r="26" spans="1:10" s="480" customFormat="1" ht="6.75" customHeight="1">
      <c r="A26" s="799"/>
      <c r="B26" s="799"/>
      <c r="D26" s="682"/>
      <c r="E26" s="683"/>
      <c r="F26" s="683"/>
      <c r="G26" s="683"/>
      <c r="H26" s="683"/>
      <c r="I26" s="683"/>
      <c r="J26" s="683"/>
    </row>
    <row r="27" spans="1:10" s="480" customFormat="1" ht="13.5" customHeight="1">
      <c r="A27" s="690"/>
      <c r="B27" s="690" t="s">
        <v>252</v>
      </c>
      <c r="D27" s="682">
        <v>2021</v>
      </c>
      <c r="E27" s="683">
        <v>19593</v>
      </c>
      <c r="F27" s="683"/>
      <c r="G27" s="683">
        <v>406</v>
      </c>
      <c r="H27" s="683">
        <v>189</v>
      </c>
      <c r="I27" s="683">
        <v>217</v>
      </c>
      <c r="J27" s="683"/>
    </row>
    <row r="28" spans="1:10" s="480" customFormat="1" ht="13.5" customHeight="1">
      <c r="A28" s="690"/>
      <c r="B28" s="690"/>
      <c r="D28" s="682">
        <v>2022</v>
      </c>
      <c r="E28" s="683">
        <v>14543</v>
      </c>
      <c r="F28" s="683"/>
      <c r="G28" s="683">
        <v>386</v>
      </c>
      <c r="H28" s="683">
        <v>235</v>
      </c>
      <c r="I28" s="683">
        <v>151</v>
      </c>
      <c r="J28" s="683"/>
    </row>
    <row r="29" spans="1:10" s="480" customFormat="1" ht="13.5" customHeight="1">
      <c r="A29" s="690"/>
      <c r="B29" s="690"/>
      <c r="D29" s="682">
        <v>2023</v>
      </c>
      <c r="E29" s="683">
        <v>13049</v>
      </c>
      <c r="F29" s="683"/>
      <c r="G29" s="683">
        <v>699</v>
      </c>
      <c r="H29" s="683">
        <v>563</v>
      </c>
      <c r="I29" s="683">
        <v>136</v>
      </c>
      <c r="J29" s="683"/>
    </row>
    <row r="30" spans="1:10" s="480" customFormat="1" ht="6.75" customHeight="1">
      <c r="A30" s="690"/>
      <c r="B30" s="690"/>
      <c r="D30" s="682"/>
      <c r="E30" s="683"/>
      <c r="F30" s="683"/>
      <c r="G30" s="683"/>
      <c r="H30" s="683"/>
      <c r="I30" s="683"/>
      <c r="J30" s="683"/>
    </row>
    <row r="31" spans="1:10" s="480" customFormat="1" ht="13.5" customHeight="1">
      <c r="A31" s="690"/>
      <c r="B31" s="690" t="s">
        <v>253</v>
      </c>
      <c r="D31" s="682">
        <v>2021</v>
      </c>
      <c r="E31" s="683">
        <v>25838</v>
      </c>
      <c r="F31" s="683"/>
      <c r="G31" s="683">
        <v>1313</v>
      </c>
      <c r="H31" s="683">
        <v>976</v>
      </c>
      <c r="I31" s="683">
        <v>337</v>
      </c>
      <c r="J31" s="683"/>
    </row>
    <row r="32" spans="1:10" s="480" customFormat="1" ht="13.5" customHeight="1">
      <c r="A32" s="690"/>
      <c r="B32" s="690"/>
      <c r="D32" s="682">
        <v>2022</v>
      </c>
      <c r="E32" s="683">
        <v>19905</v>
      </c>
      <c r="F32" s="683"/>
      <c r="G32" s="683">
        <v>1800</v>
      </c>
      <c r="H32" s="683">
        <v>1565</v>
      </c>
      <c r="I32" s="683">
        <v>235</v>
      </c>
      <c r="J32" s="683"/>
    </row>
    <row r="33" spans="1:10" s="480" customFormat="1" ht="13.5" customHeight="1">
      <c r="A33" s="690"/>
      <c r="B33" s="690"/>
      <c r="D33" s="682">
        <v>2023</v>
      </c>
      <c r="E33" s="683">
        <v>18014</v>
      </c>
      <c r="F33" s="683"/>
      <c r="G33" s="683">
        <v>1711</v>
      </c>
      <c r="H33" s="683">
        <v>1462</v>
      </c>
      <c r="I33" s="683">
        <v>249</v>
      </c>
      <c r="J33" s="683"/>
    </row>
    <row r="34" spans="1:10" s="480" customFormat="1" ht="6.75" customHeight="1">
      <c r="A34" s="690"/>
      <c r="B34" s="690"/>
      <c r="D34" s="682"/>
      <c r="E34" s="683"/>
      <c r="F34" s="683"/>
      <c r="G34" s="683"/>
      <c r="H34" s="683"/>
      <c r="I34" s="683"/>
      <c r="J34" s="683"/>
    </row>
    <row r="35" spans="1:10" s="480" customFormat="1" ht="13.5" customHeight="1">
      <c r="A35" s="690"/>
      <c r="B35" s="690" t="s">
        <v>254</v>
      </c>
      <c r="D35" s="682">
        <v>2021</v>
      </c>
      <c r="E35" s="683">
        <v>21196</v>
      </c>
      <c r="F35" s="683"/>
      <c r="G35" s="683">
        <v>867</v>
      </c>
      <c r="H35" s="683">
        <v>413</v>
      </c>
      <c r="I35" s="683">
        <v>454</v>
      </c>
      <c r="J35" s="683"/>
    </row>
    <row r="36" spans="1:10" s="480" customFormat="1" ht="13.5" customHeight="1">
      <c r="A36" s="690"/>
      <c r="B36" s="690"/>
      <c r="D36" s="682">
        <v>2022</v>
      </c>
      <c r="E36" s="683">
        <v>17000</v>
      </c>
      <c r="F36" s="683"/>
      <c r="G36" s="683">
        <v>805</v>
      </c>
      <c r="H36" s="683">
        <v>449</v>
      </c>
      <c r="I36" s="683">
        <v>356</v>
      </c>
      <c r="J36" s="683"/>
    </row>
    <row r="37" spans="1:10" s="480" customFormat="1" ht="13.5" customHeight="1">
      <c r="A37" s="690"/>
      <c r="B37" s="690"/>
      <c r="D37" s="682">
        <v>2023</v>
      </c>
      <c r="E37" s="683">
        <v>15120</v>
      </c>
      <c r="F37" s="683"/>
      <c r="G37" s="683">
        <v>929</v>
      </c>
      <c r="H37" s="683">
        <v>610</v>
      </c>
      <c r="I37" s="683">
        <v>319</v>
      </c>
      <c r="J37" s="683"/>
    </row>
    <row r="38" spans="1:10" s="480" customFormat="1" ht="6.75" customHeight="1">
      <c r="A38" s="690"/>
      <c r="B38" s="690"/>
      <c r="D38" s="682"/>
      <c r="E38" s="683"/>
      <c r="F38" s="683"/>
      <c r="G38" s="683"/>
      <c r="H38" s="683"/>
      <c r="I38" s="683"/>
      <c r="J38" s="683"/>
    </row>
    <row r="39" spans="1:10" s="480" customFormat="1" ht="13.5" customHeight="1">
      <c r="A39" s="690"/>
      <c r="B39" s="690" t="s">
        <v>255</v>
      </c>
      <c r="D39" s="682">
        <v>2021</v>
      </c>
      <c r="E39" s="683">
        <v>47198</v>
      </c>
      <c r="F39" s="683"/>
      <c r="G39" s="683">
        <v>544</v>
      </c>
      <c r="H39" s="683">
        <v>152</v>
      </c>
      <c r="I39" s="683">
        <v>392</v>
      </c>
      <c r="J39" s="683"/>
    </row>
    <row r="40" spans="1:10" s="480" customFormat="1" ht="13.5" customHeight="1">
      <c r="A40" s="690"/>
      <c r="B40" s="690"/>
      <c r="D40" s="682">
        <v>2022</v>
      </c>
      <c r="E40" s="683">
        <v>35234</v>
      </c>
      <c r="F40" s="683"/>
      <c r="G40" s="683">
        <v>531</v>
      </c>
      <c r="H40" s="683">
        <v>244</v>
      </c>
      <c r="I40" s="683">
        <v>287</v>
      </c>
      <c r="J40" s="683"/>
    </row>
    <row r="41" spans="1:10" s="480" customFormat="1" ht="13.5" customHeight="1">
      <c r="A41" s="690"/>
      <c r="B41" s="690"/>
      <c r="D41" s="682">
        <v>2023</v>
      </c>
      <c r="E41" s="683">
        <v>32792</v>
      </c>
      <c r="F41" s="683"/>
      <c r="G41" s="683">
        <v>4541</v>
      </c>
      <c r="H41" s="683">
        <v>4213</v>
      </c>
      <c r="I41" s="683">
        <v>328</v>
      </c>
      <c r="J41" s="683"/>
    </row>
    <row r="42" spans="1:10" s="480" customFormat="1" ht="6.75" customHeight="1">
      <c r="A42" s="690"/>
      <c r="B42" s="690"/>
      <c r="D42" s="682"/>
      <c r="E42" s="683"/>
      <c r="F42" s="683"/>
      <c r="G42" s="683"/>
      <c r="H42" s="683"/>
      <c r="I42" s="683"/>
      <c r="J42" s="683"/>
    </row>
    <row r="43" spans="1:10" s="480" customFormat="1" ht="13.5" customHeight="1">
      <c r="A43" s="690"/>
      <c r="B43" s="690" t="s">
        <v>256</v>
      </c>
      <c r="D43" s="682">
        <v>2021</v>
      </c>
      <c r="E43" s="683">
        <v>39720</v>
      </c>
      <c r="F43" s="683"/>
      <c r="G43" s="683">
        <v>1727</v>
      </c>
      <c r="H43" s="683">
        <v>1060</v>
      </c>
      <c r="I43" s="683">
        <v>667</v>
      </c>
      <c r="J43" s="683"/>
    </row>
    <row r="44" spans="1:10" s="480" customFormat="1" ht="13.5" customHeight="1">
      <c r="A44" s="690"/>
      <c r="B44" s="690"/>
      <c r="D44" s="682">
        <v>2022</v>
      </c>
      <c r="E44" s="683">
        <v>30669</v>
      </c>
      <c r="F44" s="683"/>
      <c r="G44" s="683">
        <v>2394</v>
      </c>
      <c r="H44" s="683">
        <v>1903</v>
      </c>
      <c r="I44" s="683">
        <v>491</v>
      </c>
      <c r="J44" s="683"/>
    </row>
    <row r="45" spans="1:10" s="480" customFormat="1" ht="13.5" customHeight="1">
      <c r="A45" s="690"/>
      <c r="B45" s="690"/>
      <c r="D45" s="682">
        <v>2023</v>
      </c>
      <c r="E45" s="683">
        <v>28148</v>
      </c>
      <c r="F45" s="683"/>
      <c r="G45" s="683">
        <v>2806</v>
      </c>
      <c r="H45" s="683">
        <v>2231</v>
      </c>
      <c r="I45" s="683">
        <v>575</v>
      </c>
      <c r="J45" s="683"/>
    </row>
    <row r="46" spans="1:10" s="480" customFormat="1" ht="6.75" customHeight="1">
      <c r="A46" s="690"/>
      <c r="B46" s="690"/>
      <c r="D46" s="682"/>
      <c r="E46" s="683"/>
      <c r="F46" s="683"/>
      <c r="G46" s="683"/>
      <c r="H46" s="683"/>
      <c r="I46" s="683"/>
      <c r="J46" s="683"/>
    </row>
    <row r="47" spans="1:10" s="480" customFormat="1" ht="13.5" customHeight="1">
      <c r="A47" s="690"/>
      <c r="B47" s="690" t="s">
        <v>257</v>
      </c>
      <c r="D47" s="682">
        <v>2021</v>
      </c>
      <c r="E47" s="683">
        <v>2098</v>
      </c>
      <c r="F47" s="683"/>
      <c r="G47" s="683">
        <v>292</v>
      </c>
      <c r="H47" s="683">
        <v>216</v>
      </c>
      <c r="I47" s="683">
        <v>76</v>
      </c>
      <c r="J47" s="683"/>
    </row>
    <row r="48" spans="1:10" s="480" customFormat="1" ht="13.5" customHeight="1">
      <c r="A48" s="690"/>
      <c r="B48" s="690"/>
      <c r="D48" s="682">
        <v>2022</v>
      </c>
      <c r="E48" s="683">
        <v>1615</v>
      </c>
      <c r="F48" s="683"/>
      <c r="G48" s="683">
        <v>245</v>
      </c>
      <c r="H48" s="683">
        <v>199</v>
      </c>
      <c r="I48" s="683">
        <v>46</v>
      </c>
      <c r="J48" s="683"/>
    </row>
    <row r="49" spans="1:10" s="480" customFormat="1" ht="13.5" customHeight="1">
      <c r="A49" s="690"/>
      <c r="B49" s="690"/>
      <c r="D49" s="682">
        <v>2023</v>
      </c>
      <c r="E49" s="683">
        <v>1593</v>
      </c>
      <c r="F49" s="683"/>
      <c r="G49" s="683">
        <v>241</v>
      </c>
      <c r="H49" s="683">
        <v>199</v>
      </c>
      <c r="I49" s="683">
        <v>42</v>
      </c>
      <c r="J49" s="683"/>
    </row>
    <row r="50" spans="1:10" s="480" customFormat="1" ht="6.75" customHeight="1">
      <c r="A50" s="690"/>
      <c r="B50" s="690"/>
      <c r="D50" s="682"/>
      <c r="E50" s="683"/>
      <c r="F50" s="683"/>
      <c r="G50" s="683"/>
      <c r="H50" s="683"/>
      <c r="I50" s="683"/>
      <c r="J50" s="683"/>
    </row>
    <row r="51" spans="1:10" s="480" customFormat="1" ht="13.5" customHeight="1">
      <c r="A51" s="692"/>
      <c r="B51" s="692" t="s">
        <v>258</v>
      </c>
      <c r="D51" s="682">
        <v>2021</v>
      </c>
      <c r="E51" s="683">
        <v>168222</v>
      </c>
      <c r="F51" s="683"/>
      <c r="G51" s="683">
        <v>1878</v>
      </c>
      <c r="H51" s="683">
        <v>824</v>
      </c>
      <c r="I51" s="683">
        <v>1054</v>
      </c>
      <c r="J51" s="683"/>
    </row>
    <row r="52" spans="1:10" s="480" customFormat="1" ht="13.5" customHeight="1">
      <c r="A52" s="692"/>
      <c r="B52" s="692"/>
      <c r="D52" s="682">
        <v>2022</v>
      </c>
      <c r="E52" s="683">
        <v>123230</v>
      </c>
      <c r="F52" s="683"/>
      <c r="G52" s="683">
        <v>3191</v>
      </c>
      <c r="H52" s="683">
        <v>2386</v>
      </c>
      <c r="I52" s="683">
        <v>805</v>
      </c>
      <c r="J52" s="683"/>
    </row>
    <row r="53" spans="1:10" s="480" customFormat="1" ht="13.5" customHeight="1">
      <c r="A53" s="692"/>
      <c r="B53" s="692"/>
      <c r="D53" s="682">
        <v>2023</v>
      </c>
      <c r="E53" s="683">
        <v>108564</v>
      </c>
      <c r="F53" s="683"/>
      <c r="G53" s="683">
        <v>2915</v>
      </c>
      <c r="H53" s="683">
        <v>2173</v>
      </c>
      <c r="I53" s="683">
        <v>742</v>
      </c>
      <c r="J53" s="683"/>
    </row>
    <row r="54" spans="1:10" s="480" customFormat="1" ht="6.75" customHeight="1">
      <c r="A54" s="694"/>
      <c r="B54" s="694"/>
      <c r="D54" s="682"/>
      <c r="E54" s="683"/>
      <c r="F54" s="683"/>
      <c r="G54" s="683"/>
      <c r="H54" s="683"/>
      <c r="I54" s="683"/>
      <c r="J54" s="683"/>
    </row>
    <row r="55" spans="1:10" s="480" customFormat="1" ht="13.5" customHeight="1">
      <c r="A55" s="692"/>
      <c r="B55" s="692" t="s">
        <v>259</v>
      </c>
      <c r="D55" s="682">
        <v>2021</v>
      </c>
      <c r="E55" s="683">
        <v>11355</v>
      </c>
      <c r="F55" s="683"/>
      <c r="G55" s="683">
        <v>734</v>
      </c>
      <c r="H55" s="683">
        <v>457</v>
      </c>
      <c r="I55" s="683">
        <v>277</v>
      </c>
      <c r="J55" s="683"/>
    </row>
    <row r="56" spans="1:10" s="480" customFormat="1" ht="13.5" customHeight="1">
      <c r="A56" s="692"/>
      <c r="B56" s="692"/>
      <c r="D56" s="682">
        <v>2022</v>
      </c>
      <c r="E56" s="683">
        <v>9152</v>
      </c>
      <c r="F56" s="683"/>
      <c r="G56" s="683">
        <v>622</v>
      </c>
      <c r="H56" s="683">
        <v>384</v>
      </c>
      <c r="I56" s="683">
        <v>238</v>
      </c>
      <c r="J56" s="683"/>
    </row>
    <row r="57" spans="1:10" s="480" customFormat="1" ht="13.5" customHeight="1">
      <c r="A57" s="692"/>
      <c r="B57" s="692"/>
      <c r="D57" s="682">
        <v>2023</v>
      </c>
      <c r="E57" s="683">
        <v>8458</v>
      </c>
      <c r="F57" s="683"/>
      <c r="G57" s="683">
        <v>642</v>
      </c>
      <c r="H57" s="683">
        <v>452</v>
      </c>
      <c r="I57" s="683">
        <v>190</v>
      </c>
      <c r="J57" s="683"/>
    </row>
    <row r="58" spans="1:10" s="480" customFormat="1" ht="6.75" customHeight="1">
      <c r="A58" s="694"/>
      <c r="B58" s="694"/>
      <c r="D58" s="682"/>
      <c r="E58" s="683"/>
      <c r="F58" s="683"/>
      <c r="G58" s="683"/>
      <c r="H58" s="683"/>
      <c r="I58" s="683"/>
      <c r="J58" s="683"/>
    </row>
    <row r="59" spans="1:10" s="480" customFormat="1" ht="13.5" customHeight="1">
      <c r="A59" s="692"/>
      <c r="B59" s="692" t="s">
        <v>260</v>
      </c>
      <c r="D59" s="682">
        <v>2021</v>
      </c>
      <c r="E59" s="683">
        <v>17902</v>
      </c>
      <c r="F59" s="683"/>
      <c r="G59" s="683">
        <v>916</v>
      </c>
      <c r="H59" s="683">
        <v>632</v>
      </c>
      <c r="I59" s="683">
        <v>284</v>
      </c>
      <c r="J59" s="683"/>
    </row>
    <row r="60" spans="1:10" s="480" customFormat="1" ht="13.5" customHeight="1">
      <c r="A60" s="692"/>
      <c r="B60" s="692"/>
      <c r="D60" s="682">
        <v>2022</v>
      </c>
      <c r="E60" s="683">
        <v>12498</v>
      </c>
      <c r="F60" s="683"/>
      <c r="G60" s="683">
        <v>582</v>
      </c>
      <c r="H60" s="683">
        <v>368</v>
      </c>
      <c r="I60" s="683">
        <v>214</v>
      </c>
      <c r="J60" s="683"/>
    </row>
    <row r="61" spans="1:10" s="480" customFormat="1" ht="13.5" customHeight="1">
      <c r="A61" s="692"/>
      <c r="B61" s="692"/>
      <c r="D61" s="682">
        <v>2023</v>
      </c>
      <c r="E61" s="683">
        <v>12563</v>
      </c>
      <c r="F61" s="683"/>
      <c r="G61" s="683">
        <v>578</v>
      </c>
      <c r="H61" s="683">
        <v>365</v>
      </c>
      <c r="I61" s="683">
        <v>213</v>
      </c>
      <c r="J61" s="683"/>
    </row>
    <row r="62" spans="1:10" s="480" customFormat="1" ht="6.75" customHeight="1">
      <c r="A62" s="694"/>
      <c r="B62" s="694"/>
      <c r="D62" s="682"/>
      <c r="E62" s="683"/>
      <c r="F62" s="683"/>
      <c r="G62" s="683"/>
      <c r="H62" s="683"/>
      <c r="I62" s="683"/>
      <c r="J62" s="683"/>
    </row>
    <row r="63" spans="1:10" s="480" customFormat="1" ht="13.5" customHeight="1">
      <c r="A63" s="690"/>
      <c r="B63" s="690" t="s">
        <v>261</v>
      </c>
      <c r="D63" s="682">
        <v>2021</v>
      </c>
      <c r="E63" s="683">
        <v>21341</v>
      </c>
      <c r="F63" s="683"/>
      <c r="G63" s="683">
        <v>883</v>
      </c>
      <c r="H63" s="683">
        <v>514</v>
      </c>
      <c r="I63" s="683">
        <v>369</v>
      </c>
      <c r="J63" s="683"/>
    </row>
    <row r="64" spans="1:10" s="480" customFormat="1" ht="13.5" customHeight="1">
      <c r="A64" s="690"/>
      <c r="B64" s="690"/>
      <c r="D64" s="682">
        <v>2022</v>
      </c>
      <c r="E64" s="683">
        <v>16158</v>
      </c>
      <c r="F64" s="683"/>
      <c r="G64" s="683">
        <v>818</v>
      </c>
      <c r="H64" s="683">
        <v>503</v>
      </c>
      <c r="I64" s="683">
        <v>315</v>
      </c>
      <c r="J64" s="683"/>
    </row>
    <row r="65" spans="1:11" s="480" customFormat="1" ht="13.5" customHeight="1">
      <c r="A65" s="690"/>
      <c r="B65" s="690"/>
      <c r="D65" s="682">
        <v>2023</v>
      </c>
      <c r="E65" s="683">
        <v>14231</v>
      </c>
      <c r="F65" s="683"/>
      <c r="G65" s="683">
        <v>880</v>
      </c>
      <c r="H65" s="683">
        <v>554</v>
      </c>
      <c r="I65" s="683">
        <v>326</v>
      </c>
      <c r="J65" s="683"/>
    </row>
    <row r="66" spans="1:11" s="480" customFormat="1" ht="6.75" customHeight="1">
      <c r="A66" s="694"/>
      <c r="B66" s="694"/>
      <c r="D66" s="682"/>
      <c r="E66" s="683"/>
      <c r="F66" s="683"/>
      <c r="G66" s="683"/>
      <c r="H66" s="683"/>
      <c r="I66" s="683"/>
      <c r="J66" s="683"/>
    </row>
    <row r="67" spans="1:11" s="480" customFormat="1" ht="13.5" customHeight="1">
      <c r="A67" s="690"/>
      <c r="B67" s="690" t="s">
        <v>262</v>
      </c>
      <c r="D67" s="682">
        <v>2021</v>
      </c>
      <c r="E67" s="683">
        <v>71917</v>
      </c>
      <c r="F67" s="683"/>
      <c r="G67" s="683">
        <v>539</v>
      </c>
      <c r="H67" s="683">
        <v>339</v>
      </c>
      <c r="I67" s="683">
        <v>200</v>
      </c>
      <c r="J67" s="683"/>
    </row>
    <row r="68" spans="1:11" s="480" customFormat="1" ht="13.5" customHeight="1">
      <c r="A68" s="694"/>
      <c r="B68" s="694"/>
      <c r="D68" s="682">
        <v>2022</v>
      </c>
      <c r="E68" s="683">
        <v>48796</v>
      </c>
      <c r="F68" s="683"/>
      <c r="G68" s="683">
        <v>389</v>
      </c>
      <c r="H68" s="683">
        <v>233</v>
      </c>
      <c r="I68" s="683">
        <v>156</v>
      </c>
      <c r="J68" s="800"/>
    </row>
    <row r="69" spans="1:11" s="480" customFormat="1" ht="13.5" customHeight="1">
      <c r="A69" s="694"/>
      <c r="B69" s="694"/>
      <c r="D69" s="682">
        <v>2023</v>
      </c>
      <c r="E69" s="683">
        <v>40237</v>
      </c>
      <c r="F69" s="683"/>
      <c r="G69" s="683">
        <v>1148</v>
      </c>
      <c r="H69" s="683">
        <v>981</v>
      </c>
      <c r="I69" s="683">
        <v>167</v>
      </c>
      <c r="J69" s="800"/>
    </row>
    <row r="70" spans="1:11" s="480" customFormat="1" ht="6.75" customHeight="1">
      <c r="A70" s="694"/>
      <c r="B70" s="694"/>
      <c r="D70" s="682"/>
      <c r="E70" s="683"/>
      <c r="F70" s="683"/>
      <c r="G70" s="683"/>
      <c r="H70" s="683"/>
      <c r="I70" s="683"/>
      <c r="J70" s="800"/>
    </row>
    <row r="71" spans="1:11" s="480" customFormat="1" ht="13.5" customHeight="1">
      <c r="A71" s="690"/>
      <c r="B71" s="690" t="s">
        <v>263</v>
      </c>
      <c r="D71" s="682">
        <v>2021</v>
      </c>
      <c r="E71" s="683">
        <v>618</v>
      </c>
      <c r="F71" s="683"/>
      <c r="G71" s="683">
        <v>41</v>
      </c>
      <c r="H71" s="683">
        <v>34</v>
      </c>
      <c r="I71" s="683">
        <v>7</v>
      </c>
      <c r="J71" s="800"/>
    </row>
    <row r="72" spans="1:11" s="480" customFormat="1" ht="13.5" customHeight="1">
      <c r="A72" s="690"/>
      <c r="B72" s="690"/>
      <c r="D72" s="682">
        <v>2022</v>
      </c>
      <c r="E72" s="683">
        <v>408</v>
      </c>
      <c r="F72" s="683"/>
      <c r="G72" s="683">
        <v>23</v>
      </c>
      <c r="H72" s="683">
        <v>17</v>
      </c>
      <c r="I72" s="683">
        <v>6</v>
      </c>
      <c r="J72" s="800"/>
    </row>
    <row r="73" spans="1:11" s="480" customFormat="1" ht="13.5" customHeight="1">
      <c r="A73" s="690"/>
      <c r="B73" s="690"/>
      <c r="D73" s="682">
        <v>2023</v>
      </c>
      <c r="E73" s="683">
        <v>387</v>
      </c>
      <c r="F73" s="683"/>
      <c r="G73" s="683">
        <v>21</v>
      </c>
      <c r="H73" s="683">
        <v>18</v>
      </c>
      <c r="I73" s="683">
        <v>3</v>
      </c>
      <c r="J73" s="800"/>
    </row>
    <row r="74" spans="1:11" s="480" customFormat="1" ht="6.75" customHeight="1">
      <c r="A74" s="690"/>
      <c r="B74" s="690"/>
      <c r="C74" s="798"/>
      <c r="D74" s="682"/>
      <c r="E74" s="683"/>
      <c r="F74" s="801"/>
      <c r="G74" s="683"/>
      <c r="H74" s="683"/>
      <c r="I74" s="683"/>
      <c r="J74" s="800"/>
    </row>
    <row r="75" spans="1:11" s="480" customFormat="1" ht="13.5" customHeight="1">
      <c r="A75" s="690"/>
      <c r="B75" s="690" t="s">
        <v>264</v>
      </c>
      <c r="C75" s="798"/>
      <c r="D75" s="682">
        <v>2021</v>
      </c>
      <c r="E75" s="683">
        <v>1854</v>
      </c>
      <c r="F75" s="683"/>
      <c r="G75" s="683">
        <v>37</v>
      </c>
      <c r="H75" s="683">
        <v>28</v>
      </c>
      <c r="I75" s="683">
        <v>9</v>
      </c>
      <c r="J75" s="800"/>
    </row>
    <row r="76" spans="1:11" s="480" customFormat="1" ht="13.5" customHeight="1">
      <c r="A76" s="802"/>
      <c r="B76" s="694"/>
      <c r="C76" s="798"/>
      <c r="D76" s="682">
        <v>2022</v>
      </c>
      <c r="E76" s="683">
        <v>1419</v>
      </c>
      <c r="F76" s="683"/>
      <c r="G76" s="683">
        <v>30</v>
      </c>
      <c r="H76" s="683">
        <v>23</v>
      </c>
      <c r="I76" s="683">
        <v>7</v>
      </c>
    </row>
    <row r="77" spans="1:11" s="480" customFormat="1" ht="13.5" customHeight="1">
      <c r="A77" s="344"/>
      <c r="B77" s="344"/>
      <c r="C77" s="798"/>
      <c r="D77" s="682">
        <v>2023</v>
      </c>
      <c r="E77" s="683">
        <v>1175</v>
      </c>
      <c r="F77" s="683"/>
      <c r="G77" s="683">
        <v>102</v>
      </c>
      <c r="H77" s="683">
        <v>97</v>
      </c>
      <c r="I77" s="683">
        <v>5</v>
      </c>
    </row>
    <row r="78" spans="1:11" s="480" customFormat="1" ht="6.75" customHeight="1" thickBot="1">
      <c r="A78" s="803"/>
      <c r="B78" s="803"/>
      <c r="C78" s="804"/>
      <c r="D78" s="759"/>
      <c r="E78" s="805"/>
      <c r="F78" s="805"/>
      <c r="G78" s="805"/>
      <c r="H78" s="805"/>
      <c r="I78" s="805"/>
      <c r="J78" s="800"/>
    </row>
    <row r="79" spans="1:11" s="810" customFormat="1" ht="16.5" customHeight="1">
      <c r="A79" s="806"/>
      <c r="B79" s="806"/>
      <c r="C79" s="807"/>
      <c r="D79" s="763"/>
      <c r="E79" s="808"/>
      <c r="F79" s="1361" t="s">
        <v>826</v>
      </c>
      <c r="G79" s="1361"/>
      <c r="H79" s="1361"/>
      <c r="I79" s="1361"/>
      <c r="J79" s="809"/>
      <c r="K79" s="809"/>
    </row>
    <row r="80" spans="1:11" s="810" customFormat="1" ht="14.75" customHeight="1">
      <c r="D80" s="811"/>
      <c r="F80" s="1362" t="s">
        <v>827</v>
      </c>
      <c r="G80" s="1362"/>
      <c r="H80" s="1362"/>
      <c r="I80" s="1362"/>
      <c r="J80" s="809"/>
    </row>
    <row r="81" spans="4:10" s="810" customFormat="1" ht="14.75" customHeight="1">
      <c r="D81" s="811"/>
      <c r="E81" s="1363" t="s">
        <v>828</v>
      </c>
      <c r="F81" s="1363"/>
      <c r="G81" s="1363"/>
      <c r="H81" s="1363"/>
      <c r="I81" s="1363"/>
      <c r="J81" s="813"/>
    </row>
    <row r="82" spans="4:10" s="810" customFormat="1" ht="14.75" customHeight="1">
      <c r="D82" s="811"/>
      <c r="F82" s="1363" t="s">
        <v>829</v>
      </c>
      <c r="G82" s="1363"/>
      <c r="H82" s="1363"/>
      <c r="I82" s="1363"/>
      <c r="J82" s="813"/>
    </row>
    <row r="83" spans="4:10" s="810" customFormat="1" ht="12">
      <c r="D83" s="811"/>
      <c r="G83" s="808"/>
      <c r="H83" s="808"/>
      <c r="I83" s="814"/>
      <c r="J83" s="812"/>
    </row>
  </sheetData>
  <mergeCells count="5">
    <mergeCell ref="G6:I6"/>
    <mergeCell ref="F79:I79"/>
    <mergeCell ref="F80:I80"/>
    <mergeCell ref="E81:I81"/>
    <mergeCell ref="F82:I82"/>
  </mergeCells>
  <printOptions horizontalCentered="1"/>
  <pageMargins left="0.55118110236220474" right="0.55118110236220474" top="0.55118110236220474" bottom="0.55118110236220474" header="0.31496062992125984" footer="0.31496062992125984"/>
  <pageSetup paperSize="9" scale="6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114B8-F6C4-4061-8776-F26E3A24A623}">
  <sheetPr codeName="Sheet53">
    <pageSetUpPr fitToPage="1"/>
  </sheetPr>
  <dimension ref="A1:FS97"/>
  <sheetViews>
    <sheetView view="pageBreakPreview" zoomScaleNormal="106" zoomScaleSheetLayoutView="100" workbookViewId="0">
      <selection activeCell="D60" sqref="D60"/>
    </sheetView>
  </sheetViews>
  <sheetFormatPr baseColWidth="10" defaultColWidth="9.1640625" defaultRowHeight="14"/>
  <cols>
    <col min="1" max="1" width="3" style="815" customWidth="1"/>
    <col min="2" max="2" width="12.6640625" style="815" customWidth="1"/>
    <col min="3" max="3" width="8.6640625" style="815" customWidth="1"/>
    <col min="4" max="4" width="7.1640625" style="815" customWidth="1"/>
    <col min="5" max="5" width="8.5" style="815" customWidth="1"/>
    <col min="6" max="6" width="12.5" style="815" customWidth="1"/>
    <col min="7" max="7" width="15.33203125" style="815" customWidth="1"/>
    <col min="8" max="8" width="9" style="815" customWidth="1"/>
    <col min="9" max="9" width="14.83203125" style="815" customWidth="1"/>
    <col min="10" max="10" width="10.1640625" style="815" customWidth="1"/>
    <col min="11" max="11" width="8.33203125" style="815" customWidth="1"/>
    <col min="12" max="12" width="11.6640625" style="815" customWidth="1"/>
    <col min="13" max="13" width="1.6640625" style="815" customWidth="1"/>
    <col min="14" max="16384" width="9.1640625" style="815"/>
  </cols>
  <sheetData>
    <row r="1" spans="1:15" ht="8" customHeight="1"/>
    <row r="2" spans="1:15" ht="7.5" customHeight="1"/>
    <row r="3" spans="1:15" ht="16.5" customHeight="1">
      <c r="B3" s="816" t="s">
        <v>830</v>
      </c>
      <c r="C3" s="817" t="s">
        <v>831</v>
      </c>
      <c r="D3" s="818"/>
      <c r="E3" s="819"/>
      <c r="F3" s="819"/>
    </row>
    <row r="4" spans="1:15" ht="16.5" customHeight="1">
      <c r="B4" s="820"/>
      <c r="C4" s="821" t="s">
        <v>832</v>
      </c>
      <c r="D4" s="818"/>
      <c r="E4" s="819"/>
      <c r="F4" s="819"/>
    </row>
    <row r="5" spans="1:15" ht="16.5" customHeight="1">
      <c r="B5" s="822" t="s">
        <v>833</v>
      </c>
      <c r="C5" s="823" t="s">
        <v>834</v>
      </c>
      <c r="D5" s="824"/>
      <c r="E5" s="825"/>
      <c r="F5" s="825"/>
      <c r="G5" s="825"/>
      <c r="H5" s="825"/>
      <c r="I5" s="825"/>
      <c r="J5" s="825"/>
      <c r="K5" s="825"/>
      <c r="L5" s="825"/>
    </row>
    <row r="6" spans="1:15" ht="16.5" customHeight="1">
      <c r="B6" s="822"/>
      <c r="C6" s="826" t="s">
        <v>832</v>
      </c>
      <c r="D6" s="824"/>
      <c r="E6" s="825"/>
      <c r="F6" s="825"/>
      <c r="G6" s="825"/>
      <c r="H6" s="825"/>
      <c r="I6" s="825"/>
      <c r="J6" s="825"/>
      <c r="K6" s="825"/>
      <c r="L6" s="825"/>
    </row>
    <row r="7" spans="1:15" ht="10" customHeight="1" thickBot="1">
      <c r="A7" s="827"/>
      <c r="B7" s="828"/>
      <c r="C7" s="828"/>
      <c r="D7" s="829"/>
      <c r="E7" s="828"/>
      <c r="F7" s="828"/>
      <c r="G7" s="828"/>
      <c r="H7" s="828"/>
      <c r="I7" s="828"/>
      <c r="J7" s="828"/>
      <c r="K7" s="828"/>
      <c r="L7" s="828"/>
      <c r="M7" s="830"/>
    </row>
    <row r="8" spans="1:15" ht="5.25" customHeight="1">
      <c r="A8" s="831"/>
      <c r="B8" s="832" t="s">
        <v>835</v>
      </c>
      <c r="C8" s="832"/>
      <c r="D8" s="833"/>
      <c r="E8" s="832"/>
      <c r="F8" s="834" t="s">
        <v>835</v>
      </c>
      <c r="G8" s="834" t="s">
        <v>835</v>
      </c>
      <c r="H8" s="834"/>
      <c r="I8" s="834"/>
      <c r="J8" s="834"/>
      <c r="K8" s="834"/>
      <c r="L8" s="834"/>
      <c r="M8" s="834"/>
    </row>
    <row r="9" spans="1:15" s="839" customFormat="1" ht="16" customHeight="1">
      <c r="A9" s="835"/>
      <c r="B9" s="836" t="s">
        <v>818</v>
      </c>
      <c r="C9" s="836"/>
      <c r="D9" s="837" t="s">
        <v>765</v>
      </c>
      <c r="E9" s="838" t="s">
        <v>385</v>
      </c>
      <c r="F9" s="838" t="s">
        <v>836</v>
      </c>
      <c r="G9" s="838" t="s">
        <v>837</v>
      </c>
      <c r="H9" s="838" t="s">
        <v>838</v>
      </c>
      <c r="I9" s="838" t="s">
        <v>839</v>
      </c>
      <c r="J9" s="838" t="s">
        <v>840</v>
      </c>
      <c r="K9" s="838" t="s">
        <v>841</v>
      </c>
      <c r="L9" s="838" t="s">
        <v>842</v>
      </c>
      <c r="M9" s="838"/>
      <c r="O9" s="840"/>
    </row>
    <row r="10" spans="1:15" s="839" customFormat="1" ht="15.25" customHeight="1">
      <c r="A10" s="835"/>
      <c r="B10" s="841" t="s">
        <v>821</v>
      </c>
      <c r="C10" s="841"/>
      <c r="D10" s="842" t="s">
        <v>771</v>
      </c>
      <c r="E10" s="843" t="s">
        <v>386</v>
      </c>
      <c r="F10" s="843" t="s">
        <v>843</v>
      </c>
      <c r="G10" s="843" t="s">
        <v>844</v>
      </c>
      <c r="H10" s="843" t="s">
        <v>845</v>
      </c>
      <c r="I10" s="838" t="s">
        <v>846</v>
      </c>
      <c r="J10" s="843" t="s">
        <v>847</v>
      </c>
      <c r="K10" s="843"/>
      <c r="L10" s="838" t="s">
        <v>848</v>
      </c>
      <c r="M10" s="843"/>
    </row>
    <row r="11" spans="1:15" s="839" customFormat="1" ht="15.75" customHeight="1">
      <c r="A11" s="835"/>
      <c r="B11" s="835"/>
      <c r="C11" s="835"/>
      <c r="D11" s="844"/>
      <c r="E11" s="843"/>
      <c r="F11" s="843" t="s">
        <v>849</v>
      </c>
      <c r="G11" s="843"/>
      <c r="H11" s="843"/>
      <c r="I11" s="843" t="s">
        <v>850</v>
      </c>
      <c r="J11" s="843"/>
      <c r="K11" s="843"/>
      <c r="L11" s="838" t="s">
        <v>851</v>
      </c>
      <c r="M11" s="845"/>
    </row>
    <row r="12" spans="1:15" s="839" customFormat="1" ht="15.75" customHeight="1">
      <c r="A12" s="835"/>
      <c r="B12" s="835"/>
      <c r="C12" s="835"/>
      <c r="D12" s="844"/>
      <c r="E12" s="843"/>
      <c r="F12" s="843"/>
      <c r="G12" s="843"/>
      <c r="H12" s="843"/>
      <c r="I12" s="843" t="s">
        <v>852</v>
      </c>
      <c r="J12" s="843"/>
      <c r="K12" s="846"/>
      <c r="L12" s="843" t="s">
        <v>853</v>
      </c>
      <c r="M12" s="845"/>
    </row>
    <row r="13" spans="1:15" s="839" customFormat="1" ht="15.75" customHeight="1">
      <c r="A13" s="835"/>
      <c r="B13" s="835"/>
      <c r="C13" s="835"/>
      <c r="D13" s="844"/>
      <c r="E13" s="843"/>
      <c r="F13" s="843"/>
      <c r="G13" s="843"/>
      <c r="H13" s="843"/>
      <c r="I13" s="843"/>
      <c r="J13" s="843"/>
      <c r="K13" s="846"/>
      <c r="L13" s="843" t="s">
        <v>854</v>
      </c>
      <c r="M13" s="845"/>
    </row>
    <row r="14" spans="1:15" s="839" customFormat="1" ht="6.75" customHeight="1">
      <c r="A14" s="847"/>
      <c r="B14" s="847"/>
      <c r="C14" s="847"/>
      <c r="D14" s="848"/>
      <c r="E14" s="849"/>
      <c r="F14" s="850"/>
      <c r="G14" s="849"/>
      <c r="H14" s="849"/>
      <c r="I14" s="849"/>
      <c r="J14" s="849"/>
      <c r="K14" s="849"/>
      <c r="L14" s="849"/>
      <c r="M14" s="849"/>
    </row>
    <row r="15" spans="1:15" s="839" customFormat="1" ht="7" customHeight="1">
      <c r="A15" s="840"/>
      <c r="B15" s="835"/>
      <c r="C15" s="835"/>
      <c r="D15" s="844"/>
      <c r="E15" s="851"/>
      <c r="F15" s="845"/>
      <c r="G15" s="845"/>
      <c r="H15" s="845"/>
      <c r="I15" s="845"/>
      <c r="J15" s="845"/>
      <c r="K15" s="845"/>
      <c r="L15" s="845"/>
      <c r="M15" s="845"/>
    </row>
    <row r="16" spans="1:15" s="839" customFormat="1" ht="13" customHeight="1">
      <c r="B16" s="852" t="s">
        <v>776</v>
      </c>
      <c r="C16" s="852"/>
      <c r="D16" s="310">
        <v>2021</v>
      </c>
      <c r="E16" s="853">
        <f t="shared" ref="E16:L18" si="0">SUM(E20,E24,E28,E32,E36,E40,E44,E48,E52,E56,E60,E64,E68,E72,E76)</f>
        <v>542916</v>
      </c>
      <c r="F16" s="853">
        <f t="shared" si="0"/>
        <v>48353</v>
      </c>
      <c r="G16" s="853">
        <f t="shared" si="0"/>
        <v>38404</v>
      </c>
      <c r="H16" s="853">
        <f t="shared" si="0"/>
        <v>196388</v>
      </c>
      <c r="I16" s="853">
        <f t="shared" si="0"/>
        <v>186416</v>
      </c>
      <c r="J16" s="853">
        <f t="shared" si="0"/>
        <v>2786</v>
      </c>
      <c r="K16" s="853">
        <f t="shared" si="0"/>
        <v>45080</v>
      </c>
      <c r="L16" s="853">
        <f t="shared" si="0"/>
        <v>25489</v>
      </c>
    </row>
    <row r="17" spans="2:23" s="839" customFormat="1" ht="13" customHeight="1">
      <c r="B17" s="854"/>
      <c r="C17" s="854"/>
      <c r="D17" s="310">
        <v>2022</v>
      </c>
      <c r="E17" s="853">
        <f t="shared" si="0"/>
        <v>586558</v>
      </c>
      <c r="F17" s="853">
        <f t="shared" si="0"/>
        <v>52111</v>
      </c>
      <c r="G17" s="853">
        <f t="shared" si="0"/>
        <v>40319</v>
      </c>
      <c r="H17" s="853">
        <f t="shared" si="0"/>
        <v>213716</v>
      </c>
      <c r="I17" s="853">
        <f t="shared" si="0"/>
        <v>201355</v>
      </c>
      <c r="J17" s="853">
        <f t="shared" si="0"/>
        <v>2996</v>
      </c>
      <c r="K17" s="853">
        <f t="shared" si="0"/>
        <v>48644</v>
      </c>
      <c r="L17" s="853">
        <f t="shared" si="0"/>
        <v>27417</v>
      </c>
    </row>
    <row r="18" spans="2:23" s="839" customFormat="1" ht="13" customHeight="1">
      <c r="B18" s="854"/>
      <c r="C18" s="854"/>
      <c r="D18" s="310">
        <v>2023</v>
      </c>
      <c r="E18" s="853">
        <f t="shared" si="0"/>
        <v>621248</v>
      </c>
      <c r="F18" s="853">
        <f t="shared" si="0"/>
        <v>55112</v>
      </c>
      <c r="G18" s="853">
        <f t="shared" si="0"/>
        <v>41819</v>
      </c>
      <c r="H18" s="853">
        <f t="shared" si="0"/>
        <v>227032</v>
      </c>
      <c r="I18" s="853">
        <f t="shared" si="0"/>
        <v>213592</v>
      </c>
      <c r="J18" s="853">
        <f t="shared" si="0"/>
        <v>3204</v>
      </c>
      <c r="K18" s="853">
        <f t="shared" si="0"/>
        <v>51599</v>
      </c>
      <c r="L18" s="853">
        <f t="shared" si="0"/>
        <v>28890</v>
      </c>
      <c r="M18" s="854"/>
      <c r="P18" s="855"/>
      <c r="Q18" s="855"/>
      <c r="R18" s="855"/>
      <c r="S18" s="855"/>
      <c r="T18" s="855"/>
      <c r="U18" s="855"/>
      <c r="V18" s="855"/>
      <c r="W18" s="855"/>
    </row>
    <row r="19" spans="2:23" s="839" customFormat="1" ht="7" customHeight="1">
      <c r="B19" s="856"/>
      <c r="C19" s="857"/>
      <c r="D19" s="858"/>
      <c r="E19" s="859"/>
      <c r="F19" s="859"/>
      <c r="G19" s="859"/>
      <c r="H19" s="859"/>
      <c r="I19" s="859"/>
      <c r="J19" s="859"/>
      <c r="K19" s="859"/>
      <c r="L19" s="859"/>
    </row>
    <row r="20" spans="2:23" s="839" customFormat="1" ht="13.5" customHeight="1">
      <c r="B20" s="860" t="s">
        <v>249</v>
      </c>
      <c r="C20" s="861"/>
      <c r="D20" s="858">
        <v>2021</v>
      </c>
      <c r="E20" s="859">
        <f t="shared" ref="E20" si="1">SUM(F20:L20)</f>
        <v>63447</v>
      </c>
      <c r="F20" s="859">
        <v>5057</v>
      </c>
      <c r="G20" s="859">
        <v>4221</v>
      </c>
      <c r="H20" s="859">
        <v>23451</v>
      </c>
      <c r="I20" s="859">
        <v>21338</v>
      </c>
      <c r="J20" s="859">
        <v>331</v>
      </c>
      <c r="K20" s="859">
        <v>6015</v>
      </c>
      <c r="L20" s="859">
        <v>3034</v>
      </c>
      <c r="P20" s="855"/>
      <c r="Q20" s="855"/>
      <c r="R20" s="855"/>
      <c r="S20" s="855"/>
      <c r="T20" s="855"/>
      <c r="U20" s="855"/>
      <c r="V20" s="855"/>
      <c r="W20" s="855"/>
    </row>
    <row r="21" spans="2:23" s="839" customFormat="1" ht="13.5" customHeight="1">
      <c r="B21" s="860"/>
      <c r="C21" s="861"/>
      <c r="D21" s="858">
        <v>2022</v>
      </c>
      <c r="E21" s="859">
        <f>SUM(F21:L21)</f>
        <v>68685</v>
      </c>
      <c r="F21" s="859">
        <v>5504</v>
      </c>
      <c r="G21" s="859">
        <v>4417</v>
      </c>
      <c r="H21" s="859">
        <v>25357</v>
      </c>
      <c r="I21" s="859">
        <v>23294</v>
      </c>
      <c r="J21" s="859">
        <v>364</v>
      </c>
      <c r="K21" s="859">
        <v>6467</v>
      </c>
      <c r="L21" s="859">
        <v>3282</v>
      </c>
    </row>
    <row r="22" spans="2:23" s="839" customFormat="1" ht="13.5" customHeight="1">
      <c r="B22" s="860"/>
      <c r="C22" s="861"/>
      <c r="D22" s="858">
        <v>2023</v>
      </c>
      <c r="E22" s="859">
        <f>SUM(F22:L22)</f>
        <v>72368</v>
      </c>
      <c r="F22" s="859">
        <v>5840</v>
      </c>
      <c r="G22" s="859">
        <v>4567</v>
      </c>
      <c r="H22" s="859">
        <v>26737</v>
      </c>
      <c r="I22" s="859">
        <v>24580</v>
      </c>
      <c r="J22" s="859">
        <v>383</v>
      </c>
      <c r="K22" s="859">
        <v>6855</v>
      </c>
      <c r="L22" s="862">
        <v>3406</v>
      </c>
      <c r="M22" s="854"/>
    </row>
    <row r="23" spans="2:23" s="839" customFormat="1" ht="7" customHeight="1">
      <c r="B23" s="860"/>
      <c r="C23" s="863"/>
      <c r="D23" s="858"/>
      <c r="E23" s="859"/>
      <c r="F23" s="859"/>
      <c r="G23" s="859"/>
      <c r="H23" s="859"/>
      <c r="I23" s="859"/>
      <c r="J23" s="859"/>
      <c r="K23" s="859"/>
      <c r="L23" s="859"/>
    </row>
    <row r="24" spans="2:23" s="839" customFormat="1" ht="13.5" customHeight="1">
      <c r="B24" s="860" t="s">
        <v>250</v>
      </c>
      <c r="C24" s="861"/>
      <c r="D24" s="858">
        <v>2021</v>
      </c>
      <c r="E24" s="859">
        <f t="shared" ref="E24:E28" si="2">SUM(F24:L24)</f>
        <v>47185</v>
      </c>
      <c r="F24" s="859">
        <v>5057</v>
      </c>
      <c r="G24" s="859">
        <v>3234</v>
      </c>
      <c r="H24" s="859">
        <v>18375</v>
      </c>
      <c r="I24" s="859">
        <v>14020</v>
      </c>
      <c r="J24" s="859">
        <v>307</v>
      </c>
      <c r="K24" s="859">
        <v>3934</v>
      </c>
      <c r="L24" s="859">
        <v>2258</v>
      </c>
    </row>
    <row r="25" spans="2:23" s="839" customFormat="1" ht="13.5" customHeight="1">
      <c r="B25" s="860"/>
      <c r="C25" s="861"/>
      <c r="D25" s="858">
        <v>2022</v>
      </c>
      <c r="E25" s="859">
        <f>SUM(F25:L25)</f>
        <v>51260</v>
      </c>
      <c r="F25" s="862">
        <v>5461</v>
      </c>
      <c r="G25" s="862">
        <v>3401</v>
      </c>
      <c r="H25" s="862">
        <v>20185</v>
      </c>
      <c r="I25" s="862">
        <v>15220</v>
      </c>
      <c r="J25" s="862">
        <v>323</v>
      </c>
      <c r="K25" s="862">
        <v>4254</v>
      </c>
      <c r="L25" s="862">
        <v>2416</v>
      </c>
    </row>
    <row r="26" spans="2:23" s="839" customFormat="1" ht="13.5" customHeight="1">
      <c r="B26" s="860"/>
      <c r="C26" s="861"/>
      <c r="D26" s="858">
        <v>2023</v>
      </c>
      <c r="E26" s="859">
        <f>SUM(F26:L26)</f>
        <v>54216</v>
      </c>
      <c r="F26" s="859">
        <v>5756</v>
      </c>
      <c r="G26" s="859">
        <v>3551</v>
      </c>
      <c r="H26" s="859">
        <v>21471</v>
      </c>
      <c r="I26" s="859">
        <v>16036</v>
      </c>
      <c r="J26" s="859">
        <v>347</v>
      </c>
      <c r="K26" s="859">
        <v>4485</v>
      </c>
      <c r="L26" s="862">
        <v>2570</v>
      </c>
      <c r="M26" s="854"/>
    </row>
    <row r="27" spans="2:23" s="839" customFormat="1" ht="7" customHeight="1">
      <c r="B27" s="860"/>
      <c r="C27" s="863"/>
      <c r="D27" s="858"/>
      <c r="E27" s="859"/>
      <c r="F27" s="859"/>
      <c r="G27" s="859"/>
      <c r="H27" s="859"/>
      <c r="I27" s="859"/>
      <c r="J27" s="859"/>
      <c r="K27" s="859"/>
      <c r="L27" s="859"/>
    </row>
    <row r="28" spans="2:23" s="839" customFormat="1" ht="13.5" customHeight="1">
      <c r="B28" s="860" t="s">
        <v>251</v>
      </c>
      <c r="C28" s="861"/>
      <c r="D28" s="858">
        <v>2021</v>
      </c>
      <c r="E28" s="859">
        <f t="shared" si="2"/>
        <v>37265</v>
      </c>
      <c r="F28" s="859">
        <v>3394</v>
      </c>
      <c r="G28" s="859">
        <v>2363</v>
      </c>
      <c r="H28" s="859">
        <v>11384</v>
      </c>
      <c r="I28" s="859">
        <v>13760</v>
      </c>
      <c r="J28" s="859">
        <v>247</v>
      </c>
      <c r="K28" s="859">
        <v>4169</v>
      </c>
      <c r="L28" s="859">
        <v>1948</v>
      </c>
    </row>
    <row r="29" spans="2:23" s="839" customFormat="1" ht="13.5" customHeight="1">
      <c r="B29" s="860"/>
      <c r="C29" s="861"/>
      <c r="D29" s="858">
        <v>2022</v>
      </c>
      <c r="E29" s="859">
        <f>SUM(F29:L29)</f>
        <v>41545</v>
      </c>
      <c r="F29" s="862">
        <v>3779</v>
      </c>
      <c r="G29" s="862">
        <v>2569</v>
      </c>
      <c r="H29" s="862">
        <v>12777</v>
      </c>
      <c r="I29" s="862">
        <v>15491</v>
      </c>
      <c r="J29" s="862">
        <v>273</v>
      </c>
      <c r="K29" s="862">
        <v>4533</v>
      </c>
      <c r="L29" s="862">
        <v>2123</v>
      </c>
    </row>
    <row r="30" spans="2:23" s="839" customFormat="1" ht="13.5" customHeight="1">
      <c r="B30" s="860"/>
      <c r="C30" s="861"/>
      <c r="D30" s="858">
        <v>2023</v>
      </c>
      <c r="E30" s="859">
        <f>SUM(F30:L30)</f>
        <v>44167</v>
      </c>
      <c r="F30" s="859">
        <v>3976</v>
      </c>
      <c r="G30" s="859">
        <v>2712</v>
      </c>
      <c r="H30" s="859">
        <v>13742</v>
      </c>
      <c r="I30" s="859">
        <v>16477</v>
      </c>
      <c r="J30" s="859">
        <v>289</v>
      </c>
      <c r="K30" s="859">
        <v>4741</v>
      </c>
      <c r="L30" s="862">
        <v>2230</v>
      </c>
      <c r="M30" s="854"/>
    </row>
    <row r="31" spans="2:23" s="839" customFormat="1" ht="7" customHeight="1">
      <c r="B31" s="860"/>
      <c r="C31" s="863"/>
      <c r="D31" s="858"/>
      <c r="E31" s="859"/>
      <c r="F31" s="859"/>
      <c r="G31" s="859"/>
      <c r="H31" s="859"/>
      <c r="I31" s="859"/>
      <c r="J31" s="859"/>
      <c r="K31" s="859"/>
      <c r="L31" s="859"/>
    </row>
    <row r="32" spans="2:23" s="839" customFormat="1" ht="13.5" customHeight="1">
      <c r="B32" s="860" t="s">
        <v>252</v>
      </c>
      <c r="C32" s="861"/>
      <c r="D32" s="858">
        <v>2021</v>
      </c>
      <c r="E32" s="859">
        <f>SUM(F32:L32)</f>
        <v>25433</v>
      </c>
      <c r="F32" s="859">
        <v>1868</v>
      </c>
      <c r="G32" s="859">
        <v>2223</v>
      </c>
      <c r="H32" s="859">
        <v>9897</v>
      </c>
      <c r="I32" s="859">
        <v>8562</v>
      </c>
      <c r="J32" s="859">
        <v>120</v>
      </c>
      <c r="K32" s="859">
        <v>1956</v>
      </c>
      <c r="L32" s="859">
        <v>807</v>
      </c>
    </row>
    <row r="33" spans="2:23" s="839" customFormat="1" ht="13.5" customHeight="1">
      <c r="B33" s="860"/>
      <c r="C33" s="861"/>
      <c r="D33" s="858">
        <v>2022</v>
      </c>
      <c r="E33" s="859">
        <f>SUM(F33:L33)</f>
        <v>27054</v>
      </c>
      <c r="F33" s="862">
        <v>1996</v>
      </c>
      <c r="G33" s="862">
        <v>2363</v>
      </c>
      <c r="H33" s="862">
        <v>10644</v>
      </c>
      <c r="I33" s="862">
        <v>8983</v>
      </c>
      <c r="J33" s="862">
        <v>125</v>
      </c>
      <c r="K33" s="862">
        <v>2060</v>
      </c>
      <c r="L33" s="862">
        <v>883</v>
      </c>
    </row>
    <row r="34" spans="2:23" s="839" customFormat="1" ht="13.5" customHeight="1">
      <c r="B34" s="860"/>
      <c r="C34" s="861"/>
      <c r="D34" s="858">
        <v>2023</v>
      </c>
      <c r="E34" s="859">
        <f>SUM(F34:L34)</f>
        <v>28450</v>
      </c>
      <c r="F34" s="859">
        <v>2112</v>
      </c>
      <c r="G34" s="859">
        <v>2469</v>
      </c>
      <c r="H34" s="859">
        <v>11238</v>
      </c>
      <c r="I34" s="859">
        <v>9455</v>
      </c>
      <c r="J34" s="859">
        <v>135</v>
      </c>
      <c r="K34" s="859">
        <v>2131</v>
      </c>
      <c r="L34" s="862">
        <v>910</v>
      </c>
      <c r="M34" s="854"/>
      <c r="P34" s="855"/>
      <c r="Q34" s="855"/>
      <c r="R34" s="855"/>
      <c r="S34" s="855"/>
      <c r="T34" s="855"/>
      <c r="U34" s="855"/>
      <c r="V34" s="855"/>
      <c r="W34" s="855"/>
    </row>
    <row r="35" spans="2:23" s="839" customFormat="1" ht="7" customHeight="1">
      <c r="B35" s="860"/>
      <c r="C35" s="863"/>
      <c r="D35" s="858"/>
      <c r="E35" s="859"/>
      <c r="F35" s="859"/>
      <c r="G35" s="859"/>
      <c r="H35" s="859"/>
      <c r="I35" s="859"/>
      <c r="J35" s="859"/>
      <c r="K35" s="859"/>
      <c r="L35" s="859"/>
    </row>
    <row r="36" spans="2:23" s="839" customFormat="1" ht="13.5" customHeight="1">
      <c r="B36" s="860" t="s">
        <v>253</v>
      </c>
      <c r="C36" s="861"/>
      <c r="D36" s="858">
        <v>2021</v>
      </c>
      <c r="E36" s="859">
        <f>SUM(F36:L36)</f>
        <v>24834</v>
      </c>
      <c r="F36" s="859">
        <v>1876</v>
      </c>
      <c r="G36" s="859">
        <v>1788</v>
      </c>
      <c r="H36" s="859">
        <v>9917</v>
      </c>
      <c r="I36" s="859">
        <v>7933</v>
      </c>
      <c r="J36" s="859">
        <v>83</v>
      </c>
      <c r="K36" s="859">
        <v>2014</v>
      </c>
      <c r="L36" s="859">
        <v>1223</v>
      </c>
    </row>
    <row r="37" spans="2:23" s="839" customFormat="1" ht="13.5" customHeight="1">
      <c r="B37" s="860"/>
      <c r="C37" s="861"/>
      <c r="D37" s="858">
        <v>2022</v>
      </c>
      <c r="E37" s="859">
        <f>SUM(F37:L37)</f>
        <v>26758</v>
      </c>
      <c r="F37" s="862">
        <v>2062</v>
      </c>
      <c r="G37" s="862">
        <v>1892</v>
      </c>
      <c r="H37" s="862">
        <v>10742</v>
      </c>
      <c r="I37" s="862">
        <v>8494</v>
      </c>
      <c r="J37" s="862">
        <v>90</v>
      </c>
      <c r="K37" s="862">
        <v>2165</v>
      </c>
      <c r="L37" s="862">
        <v>1313</v>
      </c>
    </row>
    <row r="38" spans="2:23" s="839" customFormat="1" ht="13.5" customHeight="1">
      <c r="B38" s="860"/>
      <c r="C38" s="861"/>
      <c r="D38" s="858">
        <v>2023</v>
      </c>
      <c r="E38" s="859">
        <f>SUM(F38:L38)</f>
        <v>28275</v>
      </c>
      <c r="F38" s="859">
        <v>2186</v>
      </c>
      <c r="G38" s="859">
        <v>1970</v>
      </c>
      <c r="H38" s="859">
        <v>11378</v>
      </c>
      <c r="I38" s="859">
        <v>8938</v>
      </c>
      <c r="J38" s="859">
        <v>100</v>
      </c>
      <c r="K38" s="859">
        <v>2310</v>
      </c>
      <c r="L38" s="862">
        <v>1393</v>
      </c>
      <c r="M38" s="854"/>
    </row>
    <row r="39" spans="2:23" s="839" customFormat="1" ht="7" customHeight="1">
      <c r="B39" s="860"/>
      <c r="C39" s="863"/>
      <c r="D39" s="858"/>
      <c r="E39" s="859"/>
      <c r="F39" s="859"/>
      <c r="G39" s="859"/>
      <c r="H39" s="859"/>
      <c r="I39" s="859"/>
      <c r="J39" s="859"/>
      <c r="K39" s="859"/>
      <c r="L39" s="859"/>
    </row>
    <row r="40" spans="2:23" s="839" customFormat="1" ht="13.5" customHeight="1">
      <c r="B40" s="860" t="s">
        <v>254</v>
      </c>
      <c r="C40" s="861"/>
      <c r="D40" s="858">
        <v>2021</v>
      </c>
      <c r="E40" s="859">
        <f>SUM(F40:L40)</f>
        <v>32049</v>
      </c>
      <c r="F40" s="859">
        <v>2885</v>
      </c>
      <c r="G40" s="859">
        <v>1960</v>
      </c>
      <c r="H40" s="859">
        <v>11781</v>
      </c>
      <c r="I40" s="859">
        <v>11644</v>
      </c>
      <c r="J40" s="859">
        <v>192</v>
      </c>
      <c r="K40" s="859">
        <v>2011</v>
      </c>
      <c r="L40" s="859">
        <v>1576</v>
      </c>
    </row>
    <row r="41" spans="2:23" s="839" customFormat="1" ht="13.5" customHeight="1">
      <c r="B41" s="860"/>
      <c r="C41" s="861"/>
      <c r="D41" s="858">
        <v>2022</v>
      </c>
      <c r="E41" s="859">
        <f>SUM(F41:L41)</f>
        <v>34163</v>
      </c>
      <c r="F41" s="862">
        <v>3073</v>
      </c>
      <c r="G41" s="862">
        <v>2018</v>
      </c>
      <c r="H41" s="862">
        <v>12696</v>
      </c>
      <c r="I41" s="862">
        <v>12323</v>
      </c>
      <c r="J41" s="862">
        <v>202</v>
      </c>
      <c r="K41" s="862">
        <v>2179</v>
      </c>
      <c r="L41" s="862">
        <v>1672</v>
      </c>
    </row>
    <row r="42" spans="2:23" s="839" customFormat="1" ht="13.5" customHeight="1">
      <c r="B42" s="860"/>
      <c r="C42" s="861"/>
      <c r="D42" s="858">
        <v>2023</v>
      </c>
      <c r="E42" s="859">
        <f>SUM(F42:L42)</f>
        <v>36257</v>
      </c>
      <c r="F42" s="859">
        <v>3302</v>
      </c>
      <c r="G42" s="859">
        <v>2080</v>
      </c>
      <c r="H42" s="859">
        <v>13556</v>
      </c>
      <c r="I42" s="859">
        <v>12969</v>
      </c>
      <c r="J42" s="859">
        <v>220</v>
      </c>
      <c r="K42" s="859">
        <v>2354</v>
      </c>
      <c r="L42" s="862">
        <v>1776</v>
      </c>
      <c r="M42" s="854"/>
    </row>
    <row r="43" spans="2:23" s="839" customFormat="1" ht="7" customHeight="1">
      <c r="B43" s="860"/>
      <c r="C43" s="863"/>
      <c r="D43" s="858"/>
      <c r="E43" s="859"/>
      <c r="F43" s="859"/>
      <c r="G43" s="859"/>
      <c r="H43" s="859"/>
      <c r="I43" s="859"/>
      <c r="J43" s="859"/>
      <c r="K43" s="859"/>
      <c r="L43" s="859"/>
    </row>
    <row r="44" spans="2:23" s="839" customFormat="1" ht="13.5" customHeight="1">
      <c r="B44" s="860" t="s">
        <v>255</v>
      </c>
      <c r="C44" s="861"/>
      <c r="D44" s="858">
        <v>2021</v>
      </c>
      <c r="E44" s="859">
        <f>SUM(F44:L44)</f>
        <v>31875</v>
      </c>
      <c r="F44" s="859">
        <v>3241</v>
      </c>
      <c r="G44" s="859">
        <v>2518</v>
      </c>
      <c r="H44" s="859">
        <v>13291</v>
      </c>
      <c r="I44" s="859">
        <v>9465</v>
      </c>
      <c r="J44" s="859">
        <v>114</v>
      </c>
      <c r="K44" s="859">
        <v>2024</v>
      </c>
      <c r="L44" s="859">
        <v>1222</v>
      </c>
    </row>
    <row r="45" spans="2:23" s="839" customFormat="1" ht="13.5" customHeight="1">
      <c r="B45" s="860"/>
      <c r="C45" s="861"/>
      <c r="D45" s="858">
        <v>2022</v>
      </c>
      <c r="E45" s="859">
        <f>SUM(F45:L45)</f>
        <v>34003</v>
      </c>
      <c r="F45" s="862">
        <v>3421</v>
      </c>
      <c r="G45" s="862">
        <v>2633</v>
      </c>
      <c r="H45" s="862">
        <v>14278</v>
      </c>
      <c r="I45" s="862">
        <v>10136</v>
      </c>
      <c r="J45" s="862">
        <v>117</v>
      </c>
      <c r="K45" s="862">
        <v>2135</v>
      </c>
      <c r="L45" s="862">
        <v>1283</v>
      </c>
    </row>
    <row r="46" spans="2:23" s="839" customFormat="1" ht="13.5" customHeight="1">
      <c r="B46" s="860"/>
      <c r="C46" s="861"/>
      <c r="D46" s="858">
        <v>2023</v>
      </c>
      <c r="E46" s="859">
        <f>SUM(F46:L46)</f>
        <v>35884</v>
      </c>
      <c r="F46" s="859">
        <v>3580</v>
      </c>
      <c r="G46" s="859">
        <v>2732</v>
      </c>
      <c r="H46" s="859">
        <v>15139</v>
      </c>
      <c r="I46" s="859">
        <v>10695</v>
      </c>
      <c r="J46" s="859">
        <v>122</v>
      </c>
      <c r="K46" s="859">
        <v>2282</v>
      </c>
      <c r="L46" s="862">
        <v>1334</v>
      </c>
      <c r="M46" s="854"/>
    </row>
    <row r="47" spans="2:23" s="839" customFormat="1" ht="7" customHeight="1">
      <c r="B47" s="860"/>
      <c r="C47" s="863"/>
      <c r="D47" s="858"/>
      <c r="E47" s="859"/>
      <c r="F47" s="859"/>
      <c r="G47" s="859"/>
      <c r="H47" s="859"/>
      <c r="I47" s="859"/>
      <c r="J47" s="859"/>
      <c r="K47" s="859"/>
      <c r="L47" s="859"/>
    </row>
    <row r="48" spans="2:23" s="839" customFormat="1" ht="13.5" customHeight="1">
      <c r="B48" s="860" t="s">
        <v>256</v>
      </c>
      <c r="C48" s="861"/>
      <c r="D48" s="858">
        <v>2021</v>
      </c>
      <c r="E48" s="859">
        <f>SUM(F48:L48)</f>
        <v>47534</v>
      </c>
      <c r="F48" s="859">
        <v>4160</v>
      </c>
      <c r="G48" s="859">
        <v>3239</v>
      </c>
      <c r="H48" s="859">
        <v>16958</v>
      </c>
      <c r="I48" s="859">
        <v>15865</v>
      </c>
      <c r="J48" s="859">
        <v>178</v>
      </c>
      <c r="K48" s="859">
        <v>4825</v>
      </c>
      <c r="L48" s="859">
        <v>2309</v>
      </c>
    </row>
    <row r="49" spans="2:13" s="839" customFormat="1" ht="13.5" customHeight="1">
      <c r="B49" s="860"/>
      <c r="C49" s="861"/>
      <c r="D49" s="858">
        <v>2022</v>
      </c>
      <c r="E49" s="859">
        <f>SUM(F49:L49)</f>
        <v>51458</v>
      </c>
      <c r="F49" s="862">
        <v>4500</v>
      </c>
      <c r="G49" s="862">
        <v>3393</v>
      </c>
      <c r="H49" s="862">
        <v>18757</v>
      </c>
      <c r="I49" s="862">
        <v>16941</v>
      </c>
      <c r="J49" s="862">
        <v>191</v>
      </c>
      <c r="K49" s="862">
        <v>5227</v>
      </c>
      <c r="L49" s="862">
        <v>2449</v>
      </c>
    </row>
    <row r="50" spans="2:13" s="839" customFormat="1" ht="13.5" customHeight="1">
      <c r="B50" s="860"/>
      <c r="C50" s="861"/>
      <c r="D50" s="858">
        <v>2023</v>
      </c>
      <c r="E50" s="859">
        <f>SUM(F50:L50)</f>
        <v>54485</v>
      </c>
      <c r="F50" s="859">
        <v>4788</v>
      </c>
      <c r="G50" s="859">
        <v>3517</v>
      </c>
      <c r="H50" s="859">
        <v>20111</v>
      </c>
      <c r="I50" s="859">
        <v>17776</v>
      </c>
      <c r="J50" s="859">
        <v>211</v>
      </c>
      <c r="K50" s="859">
        <v>5559</v>
      </c>
      <c r="L50" s="862">
        <v>2523</v>
      </c>
      <c r="M50" s="854"/>
    </row>
    <row r="51" spans="2:13" s="839" customFormat="1" ht="7" customHeight="1">
      <c r="B51" s="860"/>
      <c r="C51" s="863"/>
      <c r="D51" s="858"/>
      <c r="E51" s="859"/>
      <c r="F51" s="859"/>
      <c r="G51" s="859"/>
      <c r="H51" s="859"/>
      <c r="I51" s="859"/>
      <c r="J51" s="859"/>
      <c r="K51" s="859"/>
      <c r="L51" s="859"/>
    </row>
    <row r="52" spans="2:13" s="839" customFormat="1" ht="13.5" customHeight="1">
      <c r="B52" s="860" t="s">
        <v>257</v>
      </c>
      <c r="C52" s="861"/>
      <c r="D52" s="858">
        <v>2021</v>
      </c>
      <c r="E52" s="859">
        <f>SUM(F52:L52)</f>
        <v>6637</v>
      </c>
      <c r="F52" s="859">
        <v>707</v>
      </c>
      <c r="G52" s="859">
        <v>347</v>
      </c>
      <c r="H52" s="859">
        <v>2281</v>
      </c>
      <c r="I52" s="859">
        <v>2239</v>
      </c>
      <c r="J52" s="859">
        <v>63</v>
      </c>
      <c r="K52" s="859">
        <v>737</v>
      </c>
      <c r="L52" s="859">
        <v>263</v>
      </c>
    </row>
    <row r="53" spans="2:13" s="839" customFormat="1" ht="13.5" customHeight="1">
      <c r="B53" s="860"/>
      <c r="C53" s="861"/>
      <c r="D53" s="858">
        <v>2022</v>
      </c>
      <c r="E53" s="859">
        <f>SUM(F53:L53)</f>
        <v>7464</v>
      </c>
      <c r="F53" s="862">
        <v>796</v>
      </c>
      <c r="G53" s="862">
        <v>384</v>
      </c>
      <c r="H53" s="862">
        <v>2576</v>
      </c>
      <c r="I53" s="862">
        <v>2486</v>
      </c>
      <c r="J53" s="862">
        <v>74</v>
      </c>
      <c r="K53" s="862">
        <v>859</v>
      </c>
      <c r="L53" s="862">
        <v>289</v>
      </c>
    </row>
    <row r="54" spans="2:13" s="839" customFormat="1" ht="13.5" customHeight="1">
      <c r="B54" s="860"/>
      <c r="C54" s="861"/>
      <c r="D54" s="858">
        <v>2023</v>
      </c>
      <c r="E54" s="859">
        <f>SUM(F54:L54)</f>
        <v>7984</v>
      </c>
      <c r="F54" s="859">
        <v>832</v>
      </c>
      <c r="G54" s="859">
        <v>404</v>
      </c>
      <c r="H54" s="859">
        <v>2746</v>
      </c>
      <c r="I54" s="859">
        <v>2710</v>
      </c>
      <c r="J54" s="859">
        <v>80</v>
      </c>
      <c r="K54" s="859">
        <v>907</v>
      </c>
      <c r="L54" s="862">
        <v>305</v>
      </c>
      <c r="M54" s="854"/>
    </row>
    <row r="55" spans="2:13" s="839" customFormat="1" ht="7" customHeight="1">
      <c r="B55" s="860"/>
      <c r="C55" s="863"/>
      <c r="D55" s="858"/>
      <c r="E55" s="859"/>
      <c r="F55" s="859"/>
      <c r="G55" s="859"/>
      <c r="H55" s="859"/>
      <c r="I55" s="859"/>
      <c r="J55" s="859"/>
      <c r="K55" s="859"/>
      <c r="L55" s="859"/>
    </row>
    <row r="56" spans="2:13" s="839" customFormat="1" ht="13.5" customHeight="1">
      <c r="B56" s="860" t="s">
        <v>855</v>
      </c>
      <c r="C56" s="861"/>
      <c r="D56" s="858">
        <v>2021</v>
      </c>
      <c r="E56" s="859">
        <f>SUM(F56:L56)</f>
        <v>88466</v>
      </c>
      <c r="F56" s="859">
        <v>6586</v>
      </c>
      <c r="G56" s="859">
        <v>6005</v>
      </c>
      <c r="H56" s="859">
        <v>35230</v>
      </c>
      <c r="I56" s="859">
        <v>29820</v>
      </c>
      <c r="J56" s="859">
        <v>358</v>
      </c>
      <c r="K56" s="859">
        <v>5830</v>
      </c>
      <c r="L56" s="859">
        <v>4637</v>
      </c>
    </row>
    <row r="57" spans="2:13" s="839" customFormat="1" ht="13.5" customHeight="1">
      <c r="B57" s="860"/>
      <c r="C57" s="861"/>
      <c r="D57" s="858">
        <v>2022</v>
      </c>
      <c r="E57" s="859">
        <f>SUM(F57:L57)</f>
        <v>95101</v>
      </c>
      <c r="F57" s="862">
        <v>7084</v>
      </c>
      <c r="G57" s="862">
        <v>6272</v>
      </c>
      <c r="H57" s="862">
        <v>38213</v>
      </c>
      <c r="I57" s="862">
        <v>31852</v>
      </c>
      <c r="J57" s="862">
        <v>388</v>
      </c>
      <c r="K57" s="862">
        <v>6324</v>
      </c>
      <c r="L57" s="862">
        <v>4968</v>
      </c>
    </row>
    <row r="58" spans="2:13" s="839" customFormat="1" ht="13.5" customHeight="1">
      <c r="B58" s="860"/>
      <c r="C58" s="861"/>
      <c r="D58" s="858">
        <v>2023</v>
      </c>
      <c r="E58" s="859">
        <f>SUM(F58:L58)</f>
        <v>100835</v>
      </c>
      <c r="F58" s="859">
        <v>7535</v>
      </c>
      <c r="G58" s="859">
        <v>6466</v>
      </c>
      <c r="H58" s="859">
        <v>40342</v>
      </c>
      <c r="I58" s="859">
        <v>34153</v>
      </c>
      <c r="J58" s="859">
        <v>407</v>
      </c>
      <c r="K58" s="859">
        <v>6691</v>
      </c>
      <c r="L58" s="862">
        <v>5241</v>
      </c>
      <c r="M58" s="854"/>
    </row>
    <row r="59" spans="2:13" s="839" customFormat="1" ht="7" customHeight="1">
      <c r="B59" s="860"/>
      <c r="C59" s="863"/>
      <c r="D59" s="858"/>
      <c r="E59" s="859"/>
      <c r="F59" s="859"/>
      <c r="G59" s="859"/>
      <c r="H59" s="859"/>
      <c r="I59" s="859"/>
      <c r="J59" s="859"/>
      <c r="K59" s="859"/>
      <c r="L59" s="859"/>
    </row>
    <row r="60" spans="2:13" s="839" customFormat="1" ht="13.5" customHeight="1">
      <c r="B60" s="860" t="s">
        <v>259</v>
      </c>
      <c r="C60" s="861"/>
      <c r="D60" s="858">
        <v>2021</v>
      </c>
      <c r="E60" s="859">
        <f>SUM(F60:L60)</f>
        <v>27230</v>
      </c>
      <c r="F60" s="859">
        <v>2418</v>
      </c>
      <c r="G60" s="859">
        <v>2238</v>
      </c>
      <c r="H60" s="859">
        <v>8179</v>
      </c>
      <c r="I60" s="859">
        <v>11051</v>
      </c>
      <c r="J60" s="859">
        <v>130</v>
      </c>
      <c r="K60" s="859">
        <v>1924</v>
      </c>
      <c r="L60" s="859">
        <v>1290</v>
      </c>
    </row>
    <row r="61" spans="2:13" s="839" customFormat="1" ht="13.5" customHeight="1">
      <c r="B61" s="860"/>
      <c r="C61" s="861"/>
      <c r="D61" s="858">
        <v>2022</v>
      </c>
      <c r="E61" s="859">
        <f>SUM(F61:L61)</f>
        <v>28961</v>
      </c>
      <c r="F61" s="862">
        <v>2575</v>
      </c>
      <c r="G61" s="862">
        <v>2330</v>
      </c>
      <c r="H61" s="862">
        <v>8768</v>
      </c>
      <c r="I61" s="862">
        <v>11696</v>
      </c>
      <c r="J61" s="862">
        <v>144</v>
      </c>
      <c r="K61" s="862">
        <v>2083</v>
      </c>
      <c r="L61" s="862">
        <v>1365</v>
      </c>
    </row>
    <row r="62" spans="2:13" s="839" customFormat="1" ht="13.5" customHeight="1">
      <c r="B62" s="860"/>
      <c r="C62" s="861"/>
      <c r="D62" s="858">
        <v>2023</v>
      </c>
      <c r="E62" s="859">
        <f>SUM(F62:L62)</f>
        <v>30753</v>
      </c>
      <c r="F62" s="859">
        <v>2733</v>
      </c>
      <c r="G62" s="859">
        <v>2420</v>
      </c>
      <c r="H62" s="859">
        <v>9309</v>
      </c>
      <c r="I62" s="859">
        <v>12424</v>
      </c>
      <c r="J62" s="859">
        <v>155</v>
      </c>
      <c r="K62" s="859">
        <v>2249</v>
      </c>
      <c r="L62" s="862">
        <v>1463</v>
      </c>
      <c r="M62" s="854"/>
    </row>
    <row r="63" spans="2:13" s="839" customFormat="1" ht="7" customHeight="1">
      <c r="B63" s="860"/>
      <c r="C63" s="863"/>
      <c r="D63" s="858"/>
      <c r="E63" s="859"/>
      <c r="F63" s="859"/>
      <c r="G63" s="859"/>
      <c r="H63" s="859"/>
      <c r="I63" s="859"/>
      <c r="J63" s="859"/>
      <c r="K63" s="859"/>
      <c r="L63" s="859"/>
    </row>
    <row r="64" spans="2:13" s="839" customFormat="1" ht="13.5" customHeight="1">
      <c r="B64" s="860" t="s">
        <v>856</v>
      </c>
      <c r="C64" s="861"/>
      <c r="D64" s="858">
        <v>2021</v>
      </c>
      <c r="E64" s="859">
        <f>SUM(F64:L64)</f>
        <v>34995</v>
      </c>
      <c r="F64" s="859">
        <v>3048</v>
      </c>
      <c r="G64" s="859">
        <v>2636</v>
      </c>
      <c r="H64" s="859">
        <v>9640</v>
      </c>
      <c r="I64" s="859">
        <v>14668</v>
      </c>
      <c r="J64" s="859">
        <v>297</v>
      </c>
      <c r="K64" s="859">
        <v>2642</v>
      </c>
      <c r="L64" s="859">
        <v>2064</v>
      </c>
    </row>
    <row r="65" spans="2:13" s="839" customFormat="1" ht="13.5" customHeight="1">
      <c r="B65" s="860"/>
      <c r="C65" s="861"/>
      <c r="D65" s="858">
        <v>2022</v>
      </c>
      <c r="E65" s="859">
        <f>SUM(F65:L65)</f>
        <v>37623</v>
      </c>
      <c r="F65" s="862">
        <v>3232</v>
      </c>
      <c r="G65" s="862">
        <v>2746</v>
      </c>
      <c r="H65" s="862">
        <v>10350</v>
      </c>
      <c r="I65" s="862">
        <v>15858</v>
      </c>
      <c r="J65" s="862">
        <v>316</v>
      </c>
      <c r="K65" s="862">
        <v>2875</v>
      </c>
      <c r="L65" s="862">
        <v>2246</v>
      </c>
    </row>
    <row r="66" spans="2:13" s="839" customFormat="1" ht="13.5" customHeight="1">
      <c r="B66" s="860"/>
      <c r="C66" s="861"/>
      <c r="D66" s="858">
        <v>2023</v>
      </c>
      <c r="E66" s="859">
        <f>SUM(F66:L66)</f>
        <v>39751</v>
      </c>
      <c r="F66" s="859">
        <v>3392</v>
      </c>
      <c r="G66" s="859">
        <v>2845</v>
      </c>
      <c r="H66" s="859">
        <v>10985</v>
      </c>
      <c r="I66" s="859">
        <v>16755</v>
      </c>
      <c r="J66" s="859">
        <v>340</v>
      </c>
      <c r="K66" s="859">
        <v>3029</v>
      </c>
      <c r="L66" s="862">
        <v>2405</v>
      </c>
      <c r="M66" s="854"/>
    </row>
    <row r="67" spans="2:13" s="839" customFormat="1" ht="7" customHeight="1">
      <c r="B67" s="860"/>
      <c r="C67" s="863"/>
      <c r="D67" s="858"/>
      <c r="E67" s="859"/>
      <c r="F67" s="859"/>
      <c r="G67" s="859"/>
      <c r="H67" s="859"/>
      <c r="I67" s="859"/>
      <c r="J67" s="859"/>
      <c r="K67" s="859"/>
      <c r="L67" s="859"/>
    </row>
    <row r="68" spans="2:13" s="839" customFormat="1" ht="13.5" customHeight="1">
      <c r="B68" s="860" t="s">
        <v>261</v>
      </c>
      <c r="C68" s="861"/>
      <c r="D68" s="858">
        <v>2021</v>
      </c>
      <c r="E68" s="859">
        <f>SUM(F68:L68)</f>
        <v>36069</v>
      </c>
      <c r="F68" s="859">
        <v>4232</v>
      </c>
      <c r="G68" s="859">
        <v>2545</v>
      </c>
      <c r="H68" s="859">
        <v>10352</v>
      </c>
      <c r="I68" s="859">
        <v>12977</v>
      </c>
      <c r="J68" s="859">
        <v>221</v>
      </c>
      <c r="K68" s="859">
        <v>4255</v>
      </c>
      <c r="L68" s="859">
        <v>1487</v>
      </c>
    </row>
    <row r="69" spans="2:13" s="839" customFormat="1" ht="13.5" customHeight="1">
      <c r="B69" s="860"/>
      <c r="C69" s="861"/>
      <c r="D69" s="858">
        <v>2022</v>
      </c>
      <c r="E69" s="859">
        <f>SUM(F69:L69)</f>
        <v>39246</v>
      </c>
      <c r="F69" s="862">
        <v>4542</v>
      </c>
      <c r="G69" s="862">
        <v>2665</v>
      </c>
      <c r="H69" s="862">
        <v>11320</v>
      </c>
      <c r="I69" s="862">
        <v>14291</v>
      </c>
      <c r="J69" s="862">
        <v>231</v>
      </c>
      <c r="K69" s="862">
        <v>4556</v>
      </c>
      <c r="L69" s="862">
        <v>1641</v>
      </c>
    </row>
    <row r="70" spans="2:13" s="839" customFormat="1" ht="13.5" customHeight="1">
      <c r="B70" s="860"/>
      <c r="C70" s="861"/>
      <c r="D70" s="858">
        <v>2023</v>
      </c>
      <c r="E70" s="859">
        <f>SUM(F70:L70)</f>
        <v>41731</v>
      </c>
      <c r="F70" s="859">
        <v>4780</v>
      </c>
      <c r="G70" s="859">
        <v>2744</v>
      </c>
      <c r="H70" s="859">
        <v>12120</v>
      </c>
      <c r="I70" s="859">
        <v>15258</v>
      </c>
      <c r="J70" s="859">
        <v>241</v>
      </c>
      <c r="K70" s="859">
        <v>4839</v>
      </c>
      <c r="L70" s="862">
        <v>1749</v>
      </c>
      <c r="M70" s="854"/>
    </row>
    <row r="71" spans="2:13" s="839" customFormat="1" ht="7" customHeight="1">
      <c r="B71" s="860"/>
      <c r="C71" s="863"/>
      <c r="D71" s="858"/>
      <c r="E71" s="859"/>
      <c r="F71" s="859"/>
      <c r="G71" s="859"/>
      <c r="H71" s="859"/>
      <c r="I71" s="859"/>
      <c r="J71" s="859"/>
      <c r="K71" s="859"/>
      <c r="L71" s="859"/>
    </row>
    <row r="72" spans="2:13" s="839" customFormat="1" ht="13">
      <c r="B72" s="860" t="s">
        <v>262</v>
      </c>
      <c r="C72" s="861"/>
      <c r="D72" s="858">
        <v>2021</v>
      </c>
      <c r="E72" s="859">
        <f>SUM(F72:L72)</f>
        <v>38194</v>
      </c>
      <c r="F72" s="859">
        <v>3693</v>
      </c>
      <c r="G72" s="859">
        <v>3007</v>
      </c>
      <c r="H72" s="859">
        <v>15201</v>
      </c>
      <c r="I72" s="859">
        <v>12224</v>
      </c>
      <c r="J72" s="859">
        <v>120</v>
      </c>
      <c r="K72" s="859">
        <v>2657</v>
      </c>
      <c r="L72" s="859">
        <v>1292</v>
      </c>
    </row>
    <row r="73" spans="2:13" s="839" customFormat="1" ht="13.5" customHeight="1">
      <c r="B73" s="860"/>
      <c r="C73" s="861"/>
      <c r="D73" s="858">
        <v>2022</v>
      </c>
      <c r="E73" s="859">
        <f>SUM(F73:L73)</f>
        <v>41421</v>
      </c>
      <c r="F73" s="862">
        <v>3950</v>
      </c>
      <c r="G73" s="862">
        <v>3151</v>
      </c>
      <c r="H73" s="862">
        <v>16571</v>
      </c>
      <c r="I73" s="862">
        <v>13380</v>
      </c>
      <c r="J73" s="862">
        <v>133</v>
      </c>
      <c r="K73" s="862">
        <v>2831</v>
      </c>
      <c r="L73" s="862">
        <v>1405</v>
      </c>
    </row>
    <row r="74" spans="2:13" s="839" customFormat="1" ht="13.5" customHeight="1">
      <c r="B74" s="860"/>
      <c r="C74" s="861"/>
      <c r="D74" s="858">
        <v>2023</v>
      </c>
      <c r="E74" s="859">
        <f>SUM(F74:L74)</f>
        <v>44199</v>
      </c>
      <c r="F74" s="859">
        <v>4163</v>
      </c>
      <c r="G74" s="859">
        <v>3252</v>
      </c>
      <c r="H74" s="859">
        <v>17657</v>
      </c>
      <c r="I74" s="859">
        <v>14412</v>
      </c>
      <c r="J74" s="859">
        <v>151</v>
      </c>
      <c r="K74" s="859">
        <v>3067</v>
      </c>
      <c r="L74" s="862">
        <v>1497</v>
      </c>
      <c r="M74" s="854"/>
    </row>
    <row r="75" spans="2:13" s="839" customFormat="1" ht="7" customHeight="1">
      <c r="B75" s="860"/>
      <c r="C75" s="863"/>
      <c r="D75" s="858"/>
      <c r="E75" s="859"/>
      <c r="F75" s="859"/>
      <c r="G75" s="859"/>
      <c r="H75" s="859"/>
      <c r="I75" s="859"/>
      <c r="J75" s="859"/>
      <c r="K75" s="859"/>
      <c r="L75" s="859"/>
    </row>
    <row r="76" spans="2:13" s="839" customFormat="1" ht="13.5" customHeight="1">
      <c r="B76" s="860" t="s">
        <v>263</v>
      </c>
      <c r="C76" s="861"/>
      <c r="D76" s="858">
        <v>2021</v>
      </c>
      <c r="E76" s="859">
        <f>SUM(F76:L76)</f>
        <v>1703</v>
      </c>
      <c r="F76" s="859">
        <v>131</v>
      </c>
      <c r="G76" s="859">
        <v>80</v>
      </c>
      <c r="H76" s="859">
        <v>451</v>
      </c>
      <c r="I76" s="859">
        <v>850</v>
      </c>
      <c r="J76" s="859">
        <v>25</v>
      </c>
      <c r="K76" s="859">
        <v>87</v>
      </c>
      <c r="L76" s="859">
        <v>79</v>
      </c>
    </row>
    <row r="77" spans="2:13" s="839" customFormat="1" ht="13.5" customHeight="1">
      <c r="B77" s="864"/>
      <c r="C77" s="864"/>
      <c r="D77" s="858">
        <v>2022</v>
      </c>
      <c r="E77" s="859">
        <f>SUM(F77:L77)</f>
        <v>1816</v>
      </c>
      <c r="F77" s="859">
        <v>136</v>
      </c>
      <c r="G77" s="859">
        <v>85</v>
      </c>
      <c r="H77" s="859">
        <v>482</v>
      </c>
      <c r="I77" s="859">
        <v>910</v>
      </c>
      <c r="J77" s="859">
        <v>25</v>
      </c>
      <c r="K77" s="859">
        <v>96</v>
      </c>
      <c r="L77" s="859">
        <v>82</v>
      </c>
    </row>
    <row r="78" spans="2:13" s="839" customFormat="1" ht="13.5" customHeight="1">
      <c r="B78" s="864"/>
      <c r="C78" s="864"/>
      <c r="D78" s="858">
        <v>2023</v>
      </c>
      <c r="E78" s="859">
        <f>SUM(F78:L78)</f>
        <v>1893</v>
      </c>
      <c r="F78" s="865">
        <v>137</v>
      </c>
      <c r="G78" s="865">
        <v>90</v>
      </c>
      <c r="H78" s="865">
        <v>501</v>
      </c>
      <c r="I78" s="865">
        <v>954</v>
      </c>
      <c r="J78" s="865">
        <v>23</v>
      </c>
      <c r="K78" s="865">
        <v>100</v>
      </c>
      <c r="L78" s="865">
        <v>88</v>
      </c>
      <c r="M78" s="854"/>
    </row>
    <row r="79" spans="2:13" s="839" customFormat="1" ht="7" customHeight="1">
      <c r="B79" s="864"/>
      <c r="C79" s="864"/>
      <c r="D79" s="858"/>
      <c r="E79" s="859"/>
      <c r="F79" s="865"/>
      <c r="G79" s="865"/>
      <c r="H79" s="865"/>
      <c r="I79" s="865"/>
      <c r="J79" s="865"/>
      <c r="K79" s="865"/>
      <c r="L79" s="865"/>
      <c r="M79" s="854"/>
    </row>
    <row r="80" spans="2:13" s="839" customFormat="1" ht="13.5" customHeight="1">
      <c r="B80" s="864"/>
      <c r="C80" s="864"/>
      <c r="D80" s="858"/>
      <c r="E80" s="859"/>
      <c r="F80" s="865"/>
      <c r="G80" s="865"/>
      <c r="H80" s="865"/>
      <c r="I80" s="865"/>
      <c r="J80" s="865"/>
      <c r="K80" s="865"/>
      <c r="L80" s="865"/>
      <c r="M80" s="854"/>
    </row>
    <row r="81" spans="1:175" s="839" customFormat="1" ht="7" customHeight="1" thickBot="1">
      <c r="A81" s="827"/>
      <c r="B81" s="866"/>
      <c r="C81" s="866"/>
      <c r="D81" s="829"/>
      <c r="E81" s="867"/>
      <c r="F81" s="867"/>
      <c r="G81" s="867"/>
      <c r="H81" s="867"/>
      <c r="I81" s="867"/>
      <c r="J81" s="867"/>
      <c r="K81" s="867"/>
      <c r="L81" s="867"/>
      <c r="M81" s="827"/>
    </row>
    <row r="82" spans="1:175" ht="16.5" customHeight="1">
      <c r="B82" s="868"/>
      <c r="C82" s="868"/>
      <c r="D82" s="869"/>
      <c r="E82" s="868"/>
      <c r="F82" s="868"/>
      <c r="G82" s="868"/>
      <c r="H82" s="868"/>
      <c r="I82" s="870"/>
      <c r="J82" s="871"/>
      <c r="K82" s="872"/>
      <c r="L82" s="870"/>
      <c r="M82" s="873" t="s">
        <v>857</v>
      </c>
      <c r="O82" s="868"/>
      <c r="P82" s="868"/>
      <c r="Q82" s="868"/>
      <c r="R82" s="868"/>
      <c r="S82" s="868"/>
      <c r="T82" s="868"/>
      <c r="U82" s="868"/>
      <c r="V82" s="868"/>
      <c r="W82" s="868"/>
      <c r="X82" s="868"/>
      <c r="Y82" s="868"/>
      <c r="Z82" s="868"/>
      <c r="AA82" s="868"/>
      <c r="AB82" s="868"/>
      <c r="AC82" s="868"/>
      <c r="AD82" s="868"/>
      <c r="AE82" s="868"/>
      <c r="AF82" s="868"/>
      <c r="AG82" s="868"/>
      <c r="AH82" s="868"/>
      <c r="AI82" s="868"/>
      <c r="AJ82" s="868"/>
      <c r="AK82" s="868"/>
      <c r="AL82" s="868"/>
      <c r="AM82" s="868"/>
      <c r="AN82" s="868"/>
      <c r="AO82" s="868"/>
      <c r="AP82" s="868"/>
      <c r="AQ82" s="868"/>
      <c r="AR82" s="868"/>
      <c r="AS82" s="868"/>
      <c r="AT82" s="868"/>
      <c r="AU82" s="868"/>
      <c r="AV82" s="868"/>
      <c r="AW82" s="868"/>
      <c r="AX82" s="868"/>
      <c r="AY82" s="868"/>
      <c r="AZ82" s="868"/>
      <c r="BA82" s="868"/>
      <c r="BB82" s="868"/>
      <c r="BC82" s="868"/>
      <c r="BD82" s="868"/>
      <c r="BE82" s="868"/>
      <c r="BF82" s="868"/>
      <c r="BG82" s="868"/>
      <c r="BH82" s="868"/>
      <c r="BI82" s="868"/>
      <c r="BJ82" s="868"/>
      <c r="BK82" s="868"/>
      <c r="BL82" s="868"/>
      <c r="BM82" s="868"/>
      <c r="BN82" s="868"/>
      <c r="BO82" s="868"/>
      <c r="BP82" s="868"/>
      <c r="BQ82" s="868"/>
      <c r="BR82" s="868"/>
      <c r="BS82" s="868"/>
      <c r="BT82" s="868"/>
      <c r="BU82" s="868"/>
      <c r="BV82" s="868"/>
      <c r="BW82" s="868"/>
      <c r="BX82" s="868"/>
      <c r="BY82" s="868"/>
      <c r="BZ82" s="868"/>
      <c r="CA82" s="868"/>
      <c r="CB82" s="868"/>
      <c r="CC82" s="868"/>
      <c r="CD82" s="868"/>
      <c r="CE82" s="868"/>
      <c r="CF82" s="868"/>
      <c r="CG82" s="868"/>
      <c r="CH82" s="868"/>
      <c r="CI82" s="868"/>
      <c r="CJ82" s="868"/>
      <c r="CK82" s="868"/>
      <c r="CL82" s="868"/>
      <c r="CM82" s="868"/>
      <c r="CN82" s="868"/>
      <c r="CO82" s="868"/>
      <c r="CP82" s="868"/>
      <c r="CQ82" s="868"/>
      <c r="CR82" s="868"/>
      <c r="CS82" s="868"/>
      <c r="CT82" s="868"/>
      <c r="CU82" s="868"/>
      <c r="CV82" s="868"/>
      <c r="CW82" s="868"/>
      <c r="CX82" s="868"/>
      <c r="CY82" s="868"/>
      <c r="CZ82" s="868"/>
      <c r="DA82" s="868"/>
      <c r="DB82" s="868"/>
      <c r="DC82" s="868"/>
      <c r="DD82" s="868"/>
      <c r="DE82" s="868"/>
      <c r="DF82" s="868"/>
      <c r="DG82" s="868"/>
      <c r="DH82" s="868"/>
      <c r="DI82" s="868"/>
      <c r="DJ82" s="868"/>
      <c r="DK82" s="868"/>
      <c r="DL82" s="868"/>
      <c r="DM82" s="868"/>
      <c r="DN82" s="868"/>
      <c r="DO82" s="868"/>
      <c r="DP82" s="868"/>
      <c r="DQ82" s="868"/>
      <c r="DR82" s="868"/>
      <c r="DS82" s="868"/>
      <c r="DT82" s="868"/>
      <c r="DU82" s="868"/>
      <c r="DV82" s="868"/>
      <c r="DW82" s="868"/>
      <c r="DX82" s="868"/>
      <c r="DY82" s="868"/>
      <c r="DZ82" s="868"/>
      <c r="EA82" s="868"/>
      <c r="EB82" s="868"/>
      <c r="EC82" s="868"/>
      <c r="ED82" s="868"/>
      <c r="EE82" s="868"/>
      <c r="EF82" s="868"/>
      <c r="EG82" s="868"/>
      <c r="EH82" s="868"/>
      <c r="EI82" s="868"/>
      <c r="EJ82" s="868"/>
      <c r="EK82" s="868"/>
      <c r="EL82" s="868"/>
      <c r="EM82" s="868"/>
      <c r="EN82" s="868"/>
      <c r="EO82" s="868"/>
      <c r="EP82" s="868"/>
      <c r="EQ82" s="868"/>
      <c r="ER82" s="868"/>
      <c r="ES82" s="868"/>
      <c r="ET82" s="868"/>
      <c r="EU82" s="868"/>
      <c r="EV82" s="868"/>
      <c r="EW82" s="868"/>
      <c r="EX82" s="868"/>
      <c r="EY82" s="868"/>
      <c r="EZ82" s="868"/>
      <c r="FA82" s="868"/>
      <c r="FB82" s="868"/>
      <c r="FC82" s="868"/>
      <c r="FD82" s="868"/>
      <c r="FE82" s="868"/>
      <c r="FF82" s="868"/>
      <c r="FG82" s="868"/>
      <c r="FH82" s="868"/>
      <c r="FI82" s="868"/>
      <c r="FJ82" s="868"/>
      <c r="FK82" s="868"/>
      <c r="FL82" s="868"/>
      <c r="FM82" s="868"/>
      <c r="FN82" s="868"/>
      <c r="FO82" s="868"/>
      <c r="FP82" s="868"/>
      <c r="FQ82" s="868"/>
      <c r="FR82" s="868"/>
      <c r="FS82" s="868"/>
    </row>
    <row r="83" spans="1:175" ht="15.25" customHeight="1">
      <c r="D83" s="869"/>
      <c r="E83" s="868"/>
      <c r="F83" s="868"/>
      <c r="G83" s="868"/>
      <c r="H83" s="868"/>
      <c r="I83" s="870"/>
      <c r="J83" s="874"/>
      <c r="K83" s="874"/>
      <c r="L83" s="875"/>
      <c r="M83" s="876" t="s">
        <v>756</v>
      </c>
      <c r="O83" s="868"/>
      <c r="P83" s="868"/>
      <c r="Q83" s="868"/>
      <c r="R83" s="868"/>
      <c r="S83" s="868"/>
      <c r="T83" s="868"/>
      <c r="U83" s="868"/>
      <c r="V83" s="868"/>
      <c r="W83" s="868"/>
      <c r="X83" s="868"/>
      <c r="Y83" s="868"/>
      <c r="Z83" s="868"/>
      <c r="AA83" s="868"/>
      <c r="AB83" s="868"/>
      <c r="AC83" s="868"/>
      <c r="AD83" s="868"/>
      <c r="AE83" s="868"/>
      <c r="AF83" s="868"/>
      <c r="AG83" s="868"/>
      <c r="AH83" s="868"/>
      <c r="AI83" s="868"/>
      <c r="AJ83" s="868"/>
      <c r="AK83" s="868"/>
      <c r="AL83" s="868"/>
      <c r="AM83" s="868"/>
      <c r="AN83" s="868"/>
      <c r="AO83" s="868"/>
      <c r="AP83" s="868"/>
      <c r="AQ83" s="868"/>
      <c r="AR83" s="868"/>
      <c r="AS83" s="868"/>
      <c r="AT83" s="868"/>
      <c r="AU83" s="868"/>
      <c r="AV83" s="868"/>
      <c r="AW83" s="868"/>
      <c r="AX83" s="868"/>
      <c r="AY83" s="868"/>
      <c r="AZ83" s="868"/>
      <c r="BA83" s="868"/>
      <c r="BB83" s="868"/>
      <c r="BC83" s="868"/>
      <c r="BD83" s="868"/>
      <c r="BE83" s="868"/>
      <c r="BF83" s="868"/>
      <c r="BG83" s="868"/>
      <c r="BH83" s="868"/>
      <c r="BI83" s="868"/>
      <c r="BJ83" s="868"/>
      <c r="BK83" s="868"/>
      <c r="BL83" s="868"/>
      <c r="BM83" s="868"/>
      <c r="BN83" s="868"/>
      <c r="BO83" s="868"/>
      <c r="BP83" s="868"/>
      <c r="BQ83" s="868"/>
      <c r="BR83" s="868"/>
      <c r="BS83" s="868"/>
      <c r="BT83" s="868"/>
      <c r="BU83" s="868"/>
      <c r="BV83" s="868"/>
      <c r="BW83" s="868"/>
      <c r="BX83" s="868"/>
      <c r="BY83" s="868"/>
      <c r="BZ83" s="868"/>
      <c r="CA83" s="868"/>
      <c r="CB83" s="868"/>
      <c r="CC83" s="868"/>
      <c r="CD83" s="868"/>
      <c r="CE83" s="868"/>
      <c r="CF83" s="868"/>
      <c r="CG83" s="868"/>
      <c r="CH83" s="868"/>
      <c r="CI83" s="868"/>
      <c r="CJ83" s="868"/>
      <c r="CK83" s="868"/>
      <c r="CL83" s="868"/>
      <c r="CM83" s="868"/>
      <c r="CN83" s="868"/>
      <c r="CO83" s="868"/>
      <c r="CP83" s="868"/>
      <c r="CQ83" s="868"/>
      <c r="CR83" s="868"/>
      <c r="CS83" s="868"/>
      <c r="CT83" s="868"/>
      <c r="CU83" s="868"/>
      <c r="CV83" s="868"/>
      <c r="CW83" s="868"/>
      <c r="CX83" s="868"/>
      <c r="CY83" s="868"/>
      <c r="CZ83" s="868"/>
      <c r="DA83" s="868"/>
      <c r="DB83" s="868"/>
      <c r="DC83" s="868"/>
      <c r="DD83" s="868"/>
      <c r="DE83" s="868"/>
      <c r="DF83" s="868"/>
      <c r="DG83" s="868"/>
      <c r="DH83" s="868"/>
      <c r="DI83" s="868"/>
      <c r="DJ83" s="868"/>
      <c r="DK83" s="868"/>
      <c r="DL83" s="868"/>
      <c r="DM83" s="868"/>
      <c r="DN83" s="868"/>
      <c r="DO83" s="868"/>
      <c r="DP83" s="868"/>
      <c r="DQ83" s="868"/>
      <c r="DR83" s="868"/>
      <c r="DS83" s="868"/>
      <c r="DT83" s="868"/>
      <c r="DU83" s="868"/>
      <c r="DV83" s="868"/>
      <c r="DW83" s="868"/>
      <c r="DX83" s="868"/>
      <c r="DY83" s="868"/>
      <c r="DZ83" s="868"/>
      <c r="EA83" s="868"/>
      <c r="EB83" s="868"/>
      <c r="EC83" s="868"/>
      <c r="ED83" s="868"/>
      <c r="EE83" s="868"/>
      <c r="EF83" s="868"/>
      <c r="EG83" s="868"/>
      <c r="EH83" s="868"/>
      <c r="EI83" s="868"/>
      <c r="EJ83" s="868"/>
      <c r="EK83" s="868"/>
      <c r="EL83" s="868"/>
      <c r="EM83" s="868"/>
      <c r="EN83" s="868"/>
      <c r="EO83" s="868"/>
      <c r="EP83" s="868"/>
      <c r="EQ83" s="868"/>
      <c r="ER83" s="868"/>
      <c r="ES83" s="868"/>
      <c r="ET83" s="868"/>
      <c r="EU83" s="868"/>
      <c r="EV83" s="868"/>
      <c r="EW83" s="868"/>
      <c r="EX83" s="868"/>
      <c r="EY83" s="868"/>
      <c r="EZ83" s="868"/>
      <c r="FA83" s="868"/>
      <c r="FB83" s="868"/>
      <c r="FC83" s="868"/>
      <c r="FD83" s="868"/>
      <c r="FE83" s="868"/>
      <c r="FF83" s="868"/>
      <c r="FG83" s="868"/>
      <c r="FH83" s="868"/>
      <c r="FI83" s="868"/>
      <c r="FJ83" s="868"/>
      <c r="FK83" s="868"/>
      <c r="FL83" s="868"/>
      <c r="FM83" s="868"/>
      <c r="FN83" s="868"/>
      <c r="FO83" s="868"/>
      <c r="FP83" s="868"/>
      <c r="FQ83" s="868"/>
      <c r="FR83" s="868"/>
      <c r="FS83" s="868"/>
    </row>
    <row r="84" spans="1:175" ht="15.25" customHeight="1">
      <c r="B84" s="877" t="s">
        <v>858</v>
      </c>
      <c r="C84" s="878"/>
      <c r="D84" s="879"/>
      <c r="E84" s="868"/>
      <c r="F84" s="868"/>
      <c r="G84" s="868"/>
      <c r="H84" s="868"/>
      <c r="O84" s="868"/>
      <c r="P84" s="868"/>
      <c r="Q84" s="868"/>
      <c r="R84" s="868"/>
      <c r="S84" s="868"/>
      <c r="T84" s="868"/>
      <c r="U84" s="868"/>
      <c r="V84" s="868"/>
      <c r="W84" s="868"/>
      <c r="X84" s="868"/>
      <c r="Y84" s="868"/>
      <c r="Z84" s="868"/>
      <c r="AA84" s="868"/>
      <c r="AB84" s="868"/>
      <c r="AC84" s="868"/>
      <c r="AD84" s="868"/>
      <c r="AE84" s="868"/>
      <c r="AF84" s="868"/>
      <c r="AG84" s="868"/>
      <c r="AH84" s="868"/>
      <c r="AI84" s="868"/>
      <c r="AJ84" s="868"/>
      <c r="AK84" s="868"/>
      <c r="AL84" s="868"/>
      <c r="AM84" s="868"/>
      <c r="AN84" s="868"/>
      <c r="AO84" s="868"/>
      <c r="AP84" s="868"/>
      <c r="AQ84" s="868"/>
      <c r="AR84" s="868"/>
      <c r="AS84" s="868"/>
      <c r="AT84" s="868"/>
      <c r="AU84" s="868"/>
      <c r="AV84" s="868"/>
      <c r="AW84" s="868"/>
      <c r="AX84" s="868"/>
      <c r="AY84" s="868"/>
      <c r="AZ84" s="868"/>
      <c r="BA84" s="868"/>
      <c r="BB84" s="868"/>
      <c r="BC84" s="868"/>
      <c r="BD84" s="868"/>
      <c r="BE84" s="868"/>
      <c r="BF84" s="868"/>
      <c r="BG84" s="868"/>
      <c r="BH84" s="868"/>
      <c r="BI84" s="868"/>
      <c r="BJ84" s="868"/>
      <c r="BK84" s="868"/>
      <c r="BL84" s="868"/>
      <c r="BM84" s="868"/>
      <c r="BN84" s="868"/>
      <c r="BO84" s="868"/>
      <c r="BP84" s="868"/>
      <c r="BQ84" s="868"/>
      <c r="BR84" s="868"/>
      <c r="BS84" s="868"/>
      <c r="BT84" s="868"/>
      <c r="BU84" s="868"/>
      <c r="BV84" s="868"/>
      <c r="BW84" s="868"/>
      <c r="BX84" s="868"/>
      <c r="BY84" s="868"/>
      <c r="BZ84" s="868"/>
      <c r="CA84" s="868"/>
      <c r="CB84" s="868"/>
      <c r="CC84" s="868"/>
      <c r="CD84" s="868"/>
      <c r="CE84" s="868"/>
      <c r="CF84" s="868"/>
      <c r="CG84" s="868"/>
      <c r="CH84" s="868"/>
      <c r="CI84" s="868"/>
      <c r="CJ84" s="868"/>
      <c r="CK84" s="868"/>
      <c r="CL84" s="868"/>
      <c r="CM84" s="868"/>
      <c r="CN84" s="868"/>
      <c r="CO84" s="868"/>
      <c r="CP84" s="868"/>
      <c r="CQ84" s="868"/>
      <c r="CR84" s="868"/>
      <c r="CS84" s="868"/>
      <c r="CT84" s="868"/>
      <c r="CU84" s="868"/>
      <c r="CV84" s="868"/>
      <c r="CW84" s="868"/>
      <c r="CX84" s="868"/>
      <c r="CY84" s="868"/>
      <c r="CZ84" s="868"/>
      <c r="DA84" s="868"/>
      <c r="DB84" s="868"/>
      <c r="DC84" s="868"/>
      <c r="DD84" s="868"/>
      <c r="DE84" s="868"/>
      <c r="DF84" s="868"/>
      <c r="DG84" s="868"/>
      <c r="DH84" s="868"/>
      <c r="DI84" s="868"/>
      <c r="DJ84" s="868"/>
      <c r="DK84" s="868"/>
      <c r="DL84" s="868"/>
      <c r="DM84" s="868"/>
      <c r="DN84" s="868"/>
      <c r="DO84" s="868"/>
      <c r="DP84" s="868"/>
      <c r="DQ84" s="868"/>
      <c r="DR84" s="868"/>
      <c r="DS84" s="868"/>
      <c r="DT84" s="868"/>
      <c r="DU84" s="868"/>
      <c r="DV84" s="868"/>
      <c r="DW84" s="868"/>
      <c r="DX84" s="868"/>
      <c r="DY84" s="868"/>
      <c r="DZ84" s="868"/>
      <c r="EA84" s="868"/>
      <c r="EB84" s="868"/>
      <c r="EC84" s="868"/>
      <c r="ED84" s="868"/>
      <c r="EE84" s="868"/>
      <c r="EF84" s="868"/>
      <c r="EG84" s="868"/>
      <c r="EH84" s="868"/>
      <c r="EI84" s="868"/>
      <c r="EJ84" s="868"/>
      <c r="EK84" s="868"/>
      <c r="EL84" s="868"/>
      <c r="EM84" s="868"/>
      <c r="EN84" s="868"/>
      <c r="EO84" s="868"/>
      <c r="EP84" s="868"/>
      <c r="EQ84" s="868"/>
      <c r="ER84" s="868"/>
      <c r="ES84" s="868"/>
      <c r="ET84" s="868"/>
      <c r="EU84" s="868"/>
      <c r="EV84" s="868"/>
      <c r="EW84" s="868"/>
      <c r="EX84" s="868"/>
      <c r="EY84" s="868"/>
      <c r="EZ84" s="868"/>
      <c r="FA84" s="868"/>
      <c r="FB84" s="868"/>
      <c r="FC84" s="868"/>
      <c r="FD84" s="868"/>
      <c r="FE84" s="868"/>
      <c r="FF84" s="868"/>
      <c r="FG84" s="868"/>
      <c r="FH84" s="868"/>
      <c r="FI84" s="868"/>
      <c r="FJ84" s="868"/>
      <c r="FK84" s="868"/>
      <c r="FL84" s="868"/>
      <c r="FM84" s="868"/>
      <c r="FN84" s="868"/>
      <c r="FO84" s="868"/>
      <c r="FP84" s="868"/>
      <c r="FQ84" s="868"/>
      <c r="FR84" s="868"/>
      <c r="FS84" s="868"/>
    </row>
    <row r="85" spans="1:175" ht="16.5" customHeight="1">
      <c r="A85" s="880" t="s">
        <v>34</v>
      </c>
      <c r="B85" s="881" t="s">
        <v>859</v>
      </c>
      <c r="C85" s="882"/>
      <c r="D85" s="869"/>
      <c r="E85" s="868"/>
      <c r="F85" s="868"/>
      <c r="G85" s="868"/>
      <c r="H85" s="868"/>
      <c r="J85" s="872"/>
      <c r="K85" s="883"/>
      <c r="L85" s="883"/>
      <c r="M85" s="884"/>
      <c r="O85" s="868"/>
      <c r="P85" s="868"/>
      <c r="Q85" s="868"/>
      <c r="R85" s="868"/>
      <c r="S85" s="868"/>
      <c r="T85" s="868"/>
      <c r="U85" s="868"/>
      <c r="V85" s="868"/>
      <c r="W85" s="868"/>
      <c r="X85" s="868"/>
      <c r="Y85" s="868"/>
      <c r="Z85" s="868"/>
      <c r="AA85" s="868"/>
      <c r="AB85" s="868"/>
      <c r="AC85" s="868"/>
      <c r="AD85" s="868"/>
      <c r="AE85" s="868"/>
      <c r="AF85" s="868"/>
      <c r="AG85" s="868"/>
      <c r="AH85" s="868"/>
      <c r="AI85" s="868"/>
      <c r="AJ85" s="868"/>
      <c r="AK85" s="868"/>
      <c r="AL85" s="868"/>
      <c r="AM85" s="868"/>
      <c r="AN85" s="868"/>
      <c r="AO85" s="868"/>
      <c r="AP85" s="868"/>
      <c r="AQ85" s="868"/>
      <c r="AR85" s="868"/>
      <c r="AS85" s="868"/>
      <c r="AT85" s="868"/>
      <c r="AU85" s="868"/>
      <c r="AV85" s="868"/>
      <c r="AW85" s="868"/>
      <c r="AX85" s="868"/>
      <c r="AY85" s="868"/>
      <c r="AZ85" s="868"/>
      <c r="BA85" s="868"/>
      <c r="BB85" s="868"/>
      <c r="BC85" s="868"/>
      <c r="BD85" s="868"/>
      <c r="BE85" s="868"/>
      <c r="BF85" s="868"/>
      <c r="BG85" s="868"/>
      <c r="BH85" s="868"/>
      <c r="BI85" s="868"/>
      <c r="BJ85" s="868"/>
      <c r="BK85" s="868"/>
      <c r="BL85" s="868"/>
      <c r="BM85" s="868"/>
      <c r="BN85" s="868"/>
      <c r="BO85" s="868"/>
      <c r="BP85" s="868"/>
      <c r="BQ85" s="868"/>
      <c r="BR85" s="868"/>
      <c r="BS85" s="868"/>
      <c r="BT85" s="868"/>
      <c r="BU85" s="868"/>
      <c r="BV85" s="868"/>
      <c r="BW85" s="868"/>
      <c r="BX85" s="868"/>
      <c r="BY85" s="868"/>
      <c r="BZ85" s="868"/>
      <c r="CA85" s="868"/>
      <c r="CB85" s="868"/>
      <c r="CC85" s="868"/>
      <c r="CD85" s="868"/>
      <c r="CE85" s="868"/>
      <c r="CF85" s="868"/>
      <c r="CG85" s="868"/>
      <c r="CH85" s="868"/>
      <c r="CI85" s="868"/>
      <c r="CJ85" s="868"/>
      <c r="CK85" s="868"/>
      <c r="CL85" s="868"/>
      <c r="CM85" s="868"/>
      <c r="CN85" s="868"/>
      <c r="CO85" s="868"/>
      <c r="CP85" s="868"/>
      <c r="CQ85" s="868"/>
      <c r="CR85" s="868"/>
      <c r="CS85" s="868"/>
      <c r="CT85" s="868"/>
      <c r="CU85" s="868"/>
      <c r="CV85" s="868"/>
      <c r="CW85" s="868"/>
      <c r="CX85" s="868"/>
      <c r="CY85" s="868"/>
      <c r="CZ85" s="868"/>
      <c r="DA85" s="868"/>
      <c r="DB85" s="868"/>
      <c r="DC85" s="868"/>
      <c r="DD85" s="868"/>
      <c r="DE85" s="868"/>
      <c r="DF85" s="868"/>
      <c r="DG85" s="868"/>
      <c r="DH85" s="868"/>
      <c r="DI85" s="868"/>
      <c r="DJ85" s="868"/>
      <c r="DK85" s="868"/>
      <c r="DL85" s="868"/>
      <c r="DM85" s="868"/>
      <c r="DN85" s="868"/>
      <c r="DO85" s="868"/>
      <c r="DP85" s="868"/>
      <c r="DQ85" s="868"/>
      <c r="DR85" s="868"/>
      <c r="DS85" s="868"/>
      <c r="DT85" s="868"/>
      <c r="DU85" s="868"/>
      <c r="DV85" s="868"/>
      <c r="DW85" s="868"/>
      <c r="DX85" s="868"/>
      <c r="DY85" s="868"/>
      <c r="DZ85" s="868"/>
      <c r="EA85" s="868"/>
      <c r="EB85" s="868"/>
      <c r="EC85" s="868"/>
      <c r="ED85" s="868"/>
      <c r="EE85" s="868"/>
      <c r="EF85" s="868"/>
      <c r="EG85" s="868"/>
      <c r="EH85" s="868"/>
      <c r="EI85" s="868"/>
      <c r="EJ85" s="868"/>
      <c r="EK85" s="868"/>
      <c r="EL85" s="868"/>
      <c r="EM85" s="868"/>
      <c r="EN85" s="868"/>
      <c r="EO85" s="868"/>
      <c r="EP85" s="868"/>
      <c r="EQ85" s="868"/>
      <c r="ER85" s="868"/>
      <c r="ES85" s="868"/>
      <c r="ET85" s="868"/>
      <c r="EU85" s="868"/>
      <c r="EV85" s="868"/>
      <c r="EW85" s="868"/>
      <c r="EX85" s="868"/>
      <c r="EY85" s="868"/>
      <c r="EZ85" s="868"/>
      <c r="FA85" s="868"/>
      <c r="FB85" s="868"/>
      <c r="FC85" s="868"/>
      <c r="FD85" s="868"/>
      <c r="FE85" s="868"/>
      <c r="FF85" s="868"/>
      <c r="FG85" s="868"/>
      <c r="FH85" s="868"/>
      <c r="FI85" s="868"/>
      <c r="FJ85" s="868"/>
      <c r="FK85" s="868"/>
      <c r="FL85" s="868"/>
      <c r="FM85" s="868"/>
      <c r="FN85" s="868"/>
      <c r="FO85" s="868"/>
      <c r="FP85" s="868"/>
      <c r="FQ85" s="868"/>
      <c r="FR85" s="868"/>
      <c r="FS85" s="868"/>
    </row>
    <row r="86" spans="1:175" ht="14" customHeight="1">
      <c r="B86" s="885" t="s">
        <v>860</v>
      </c>
      <c r="C86" s="878"/>
      <c r="D86" s="879"/>
      <c r="E86" s="868"/>
      <c r="F86" s="868"/>
      <c r="G86" s="868"/>
      <c r="H86" s="868"/>
      <c r="I86" s="886"/>
      <c r="K86" s="887"/>
      <c r="L86" s="887"/>
      <c r="M86" s="887"/>
      <c r="O86" s="868"/>
      <c r="P86" s="868"/>
      <c r="Q86" s="868"/>
      <c r="R86" s="868"/>
      <c r="S86" s="868"/>
      <c r="T86" s="868"/>
      <c r="U86" s="868"/>
      <c r="V86" s="868"/>
      <c r="W86" s="868"/>
      <c r="X86" s="868"/>
      <c r="Y86" s="868"/>
      <c r="Z86" s="868"/>
      <c r="AA86" s="868"/>
      <c r="AB86" s="868"/>
      <c r="AC86" s="868"/>
      <c r="AD86" s="868"/>
      <c r="AE86" s="868"/>
      <c r="AF86" s="868"/>
      <c r="AG86" s="868"/>
      <c r="AH86" s="868"/>
      <c r="AI86" s="868"/>
      <c r="AJ86" s="868"/>
      <c r="AK86" s="868"/>
      <c r="AL86" s="868"/>
      <c r="AM86" s="868"/>
      <c r="AN86" s="868"/>
      <c r="AO86" s="868"/>
      <c r="AP86" s="868"/>
      <c r="AQ86" s="868"/>
      <c r="AR86" s="868"/>
      <c r="AS86" s="868"/>
      <c r="AT86" s="868"/>
      <c r="AU86" s="868"/>
      <c r="AV86" s="868"/>
      <c r="AW86" s="868"/>
      <c r="AX86" s="868"/>
      <c r="AY86" s="868"/>
      <c r="AZ86" s="868"/>
      <c r="BA86" s="868"/>
      <c r="BB86" s="868"/>
      <c r="BC86" s="868"/>
      <c r="BD86" s="868"/>
      <c r="BE86" s="868"/>
      <c r="BF86" s="868"/>
      <c r="BG86" s="868"/>
      <c r="BH86" s="868"/>
      <c r="BI86" s="868"/>
      <c r="BJ86" s="868"/>
      <c r="BK86" s="868"/>
      <c r="BL86" s="868"/>
      <c r="BM86" s="868"/>
      <c r="BN86" s="868"/>
      <c r="BO86" s="868"/>
      <c r="BP86" s="868"/>
      <c r="BQ86" s="868"/>
      <c r="BR86" s="868"/>
      <c r="BS86" s="868"/>
      <c r="BT86" s="868"/>
      <c r="BU86" s="868"/>
      <c r="BV86" s="868"/>
      <c r="BW86" s="868"/>
      <c r="BX86" s="868"/>
      <c r="BY86" s="868"/>
      <c r="BZ86" s="868"/>
      <c r="CA86" s="868"/>
      <c r="CB86" s="868"/>
      <c r="CC86" s="868"/>
      <c r="CD86" s="868"/>
      <c r="CE86" s="868"/>
      <c r="CF86" s="868"/>
      <c r="CG86" s="868"/>
      <c r="CH86" s="868"/>
      <c r="CI86" s="868"/>
      <c r="CJ86" s="868"/>
      <c r="CK86" s="868"/>
      <c r="CL86" s="868"/>
      <c r="CM86" s="868"/>
      <c r="CN86" s="868"/>
      <c r="CO86" s="868"/>
      <c r="CP86" s="868"/>
      <c r="CQ86" s="868"/>
      <c r="CR86" s="868"/>
      <c r="CS86" s="868"/>
      <c r="CT86" s="868"/>
      <c r="CU86" s="868"/>
      <c r="CV86" s="868"/>
      <c r="CW86" s="868"/>
      <c r="CX86" s="868"/>
      <c r="CY86" s="868"/>
      <c r="CZ86" s="868"/>
      <c r="DA86" s="868"/>
      <c r="DB86" s="868"/>
      <c r="DC86" s="868"/>
      <c r="DD86" s="868"/>
      <c r="DE86" s="868"/>
      <c r="DF86" s="868"/>
      <c r="DG86" s="868"/>
      <c r="DH86" s="868"/>
      <c r="DI86" s="868"/>
      <c r="DJ86" s="868"/>
      <c r="DK86" s="868"/>
      <c r="DL86" s="868"/>
      <c r="DM86" s="868"/>
      <c r="DN86" s="868"/>
      <c r="DO86" s="868"/>
      <c r="DP86" s="868"/>
      <c r="DQ86" s="868"/>
      <c r="DR86" s="868"/>
      <c r="DS86" s="868"/>
      <c r="DT86" s="868"/>
      <c r="DU86" s="868"/>
      <c r="DV86" s="868"/>
      <c r="DW86" s="868"/>
      <c r="DX86" s="868"/>
      <c r="DY86" s="868"/>
      <c r="DZ86" s="868"/>
      <c r="EA86" s="868"/>
      <c r="EB86" s="868"/>
      <c r="EC86" s="868"/>
      <c r="ED86" s="868"/>
      <c r="EE86" s="868"/>
      <c r="EF86" s="868"/>
      <c r="EG86" s="868"/>
      <c r="EH86" s="868"/>
      <c r="EI86" s="868"/>
      <c r="EJ86" s="868"/>
      <c r="EK86" s="868"/>
      <c r="EL86" s="868"/>
      <c r="EM86" s="868"/>
      <c r="EN86" s="868"/>
      <c r="EO86" s="868"/>
      <c r="EP86" s="868"/>
      <c r="EQ86" s="868"/>
      <c r="ER86" s="868"/>
      <c r="ES86" s="868"/>
      <c r="ET86" s="868"/>
      <c r="EU86" s="868"/>
      <c r="EV86" s="868"/>
      <c r="EW86" s="868"/>
      <c r="EX86" s="868"/>
      <c r="EY86" s="868"/>
      <c r="EZ86" s="868"/>
      <c r="FA86" s="868"/>
      <c r="FB86" s="868"/>
      <c r="FC86" s="868"/>
      <c r="FD86" s="868"/>
      <c r="FE86" s="868"/>
      <c r="FF86" s="868"/>
      <c r="FG86" s="868"/>
      <c r="FH86" s="868"/>
      <c r="FI86" s="868"/>
      <c r="FJ86" s="868"/>
      <c r="FK86" s="868"/>
      <c r="FL86" s="868"/>
      <c r="FM86" s="868"/>
      <c r="FN86" s="868"/>
      <c r="FO86" s="868"/>
      <c r="FP86" s="868"/>
      <c r="FQ86" s="868"/>
      <c r="FR86" s="868"/>
      <c r="FS86" s="868"/>
    </row>
    <row r="87" spans="1:175" ht="13.5" customHeight="1">
      <c r="B87" s="888"/>
      <c r="C87" s="888"/>
      <c r="D87" s="889"/>
      <c r="E87" s="890"/>
      <c r="F87" s="890"/>
      <c r="G87" s="890"/>
      <c r="H87" s="888"/>
      <c r="I87" s="889"/>
      <c r="J87" s="889"/>
      <c r="K87" s="889"/>
      <c r="L87" s="889"/>
      <c r="M87" s="890"/>
    </row>
    <row r="88" spans="1:175" s="54" customFormat="1">
      <c r="A88" s="891" t="s">
        <v>37</v>
      </c>
      <c r="B88" s="105" t="s">
        <v>861</v>
      </c>
    </row>
    <row r="89" spans="1:175" s="54" customFormat="1">
      <c r="B89" s="55" t="s">
        <v>862</v>
      </c>
    </row>
    <row r="90" spans="1:175" ht="16.5" customHeight="1">
      <c r="B90" s="892"/>
      <c r="C90" s="892"/>
      <c r="D90" s="893"/>
      <c r="E90" s="894"/>
      <c r="F90" s="895"/>
      <c r="G90" s="896"/>
      <c r="H90" s="895"/>
      <c r="I90" s="896"/>
      <c r="J90" s="895"/>
      <c r="K90" s="895"/>
      <c r="L90" s="895"/>
    </row>
    <row r="91" spans="1:175" ht="16.5" customHeight="1">
      <c r="B91" s="892"/>
      <c r="C91" s="892"/>
      <c r="D91" s="893"/>
      <c r="E91" s="894"/>
      <c r="F91" s="895"/>
      <c r="G91" s="896"/>
      <c r="H91" s="895"/>
      <c r="I91" s="896"/>
      <c r="J91" s="895"/>
      <c r="K91" s="895"/>
      <c r="L91" s="895"/>
    </row>
    <row r="92" spans="1:175" ht="16.5" customHeight="1">
      <c r="B92" s="897"/>
      <c r="C92" s="897"/>
      <c r="D92" s="898"/>
    </row>
    <row r="93" spans="1:175" ht="15.75" customHeight="1">
      <c r="B93" s="897"/>
      <c r="C93" s="897"/>
      <c r="D93" s="898"/>
    </row>
    <row r="94" spans="1:175" ht="15.75" customHeight="1">
      <c r="B94" s="852"/>
      <c r="C94" s="852"/>
      <c r="D94" s="893"/>
    </row>
    <row r="95" spans="1:175" ht="15.75" customHeight="1">
      <c r="D95" s="898"/>
      <c r="F95" s="899"/>
      <c r="G95" s="899"/>
      <c r="H95" s="899"/>
      <c r="I95" s="899"/>
      <c r="J95" s="899"/>
      <c r="K95" s="899"/>
      <c r="L95" s="899"/>
    </row>
    <row r="96" spans="1:175" ht="23.25" customHeight="1"/>
    <row r="97" ht="23.25" customHeight="1"/>
  </sheetData>
  <printOptions horizontalCentered="1"/>
  <pageMargins left="0.55118110236220474" right="0.55118110236220474" top="0.55118110236220474" bottom="0.55118110236220474" header="0.39370078740157483" footer="0.39370078740157483"/>
  <pageSetup paperSize="9" scale="6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7DDF0-9296-4AA5-BA9D-B39C635ECA4A}">
  <sheetPr codeName="Sheet54">
    <pageSetUpPr fitToPage="1"/>
  </sheetPr>
  <dimension ref="A1:O29"/>
  <sheetViews>
    <sheetView view="pageBreakPreview" zoomScaleNormal="100" zoomScaleSheetLayoutView="100" workbookViewId="0">
      <selection activeCell="D60" sqref="D60"/>
    </sheetView>
  </sheetViews>
  <sheetFormatPr baseColWidth="10" defaultColWidth="9.1640625" defaultRowHeight="15"/>
  <cols>
    <col min="1" max="1" width="1.6640625" customWidth="1"/>
    <col min="2" max="2" width="12.33203125" customWidth="1"/>
    <col min="3" max="3" width="15.6640625" customWidth="1"/>
    <col min="4" max="4" width="3.5" customWidth="1"/>
    <col min="5" max="5" width="9.1640625" customWidth="1"/>
    <col min="8" max="8" width="4.6640625" customWidth="1"/>
    <col min="12" max="12" width="4.33203125" customWidth="1"/>
  </cols>
  <sheetData>
    <row r="1" spans="1:15" s="275" customFormat="1" ht="16.5" customHeight="1">
      <c r="B1" s="2" t="s">
        <v>863</v>
      </c>
      <c r="C1" s="900" t="s">
        <v>864</v>
      </c>
      <c r="D1" s="900"/>
      <c r="E1" s="3"/>
      <c r="F1" s="3"/>
      <c r="G1" s="3"/>
      <c r="H1" s="3"/>
      <c r="I1" s="3"/>
      <c r="M1" s="276"/>
    </row>
    <row r="2" spans="1:15" s="727" customFormat="1" ht="14">
      <c r="B2" s="728" t="s">
        <v>865</v>
      </c>
      <c r="C2" s="901" t="s">
        <v>866</v>
      </c>
      <c r="D2" s="901"/>
      <c r="E2" s="729"/>
      <c r="F2" s="724"/>
      <c r="G2" s="725"/>
      <c r="H2" s="725"/>
      <c r="I2" s="651"/>
      <c r="J2" s="729"/>
      <c r="K2" s="730"/>
      <c r="L2" s="728"/>
      <c r="M2" s="730"/>
      <c r="N2" s="731"/>
    </row>
    <row r="3" spans="1:15" s="906" customFormat="1" thickBot="1">
      <c r="A3" s="902"/>
      <c r="B3" s="1369"/>
      <c r="C3" s="1369"/>
      <c r="D3" s="903"/>
      <c r="E3" s="904"/>
      <c r="F3" s="904"/>
      <c r="G3" s="904"/>
      <c r="H3" s="904"/>
      <c r="I3" s="905"/>
      <c r="J3" s="905"/>
      <c r="K3" s="904"/>
      <c r="L3" s="904"/>
      <c r="M3" s="905"/>
      <c r="N3" s="905"/>
      <c r="O3" s="904"/>
    </row>
    <row r="4" spans="1:15" s="907" customFormat="1" ht="31.5" customHeight="1" thickBot="1">
      <c r="B4" s="1370" t="s">
        <v>867</v>
      </c>
      <c r="C4" s="1370"/>
      <c r="D4" s="908"/>
      <c r="E4" s="1373">
        <v>2022</v>
      </c>
      <c r="F4" s="1374"/>
      <c r="G4" s="1374"/>
      <c r="H4" s="909"/>
      <c r="I4" s="1373">
        <v>2023</v>
      </c>
      <c r="J4" s="1374"/>
      <c r="K4" s="1374"/>
      <c r="L4" s="909"/>
      <c r="M4" s="1373">
        <v>2024</v>
      </c>
      <c r="N4" s="1374"/>
      <c r="O4" s="1374"/>
    </row>
    <row r="5" spans="1:15" s="907" customFormat="1" ht="15.25" customHeight="1">
      <c r="B5" s="1371"/>
      <c r="C5" s="1371"/>
      <c r="D5" s="910"/>
      <c r="E5" s="1366" t="s">
        <v>868</v>
      </c>
      <c r="F5" s="1366" t="s">
        <v>869</v>
      </c>
      <c r="G5" s="1366" t="s">
        <v>870</v>
      </c>
      <c r="H5" s="909"/>
      <c r="I5" s="1366" t="s">
        <v>868</v>
      </c>
      <c r="J5" s="1366" t="s">
        <v>869</v>
      </c>
      <c r="K5" s="1366" t="s">
        <v>870</v>
      </c>
      <c r="L5" s="909"/>
      <c r="M5" s="1366" t="s">
        <v>868</v>
      </c>
      <c r="N5" s="1366" t="s">
        <v>869</v>
      </c>
      <c r="O5" s="1366" t="s">
        <v>870</v>
      </c>
    </row>
    <row r="6" spans="1:15" s="907" customFormat="1" ht="15.25" customHeight="1">
      <c r="B6" s="1371"/>
      <c r="C6" s="1371"/>
      <c r="D6" s="910"/>
      <c r="E6" s="1367"/>
      <c r="F6" s="1367"/>
      <c r="G6" s="1367"/>
      <c r="H6" s="911"/>
      <c r="I6" s="1367"/>
      <c r="J6" s="1367"/>
      <c r="K6" s="1367"/>
      <c r="L6" s="911"/>
      <c r="M6" s="1367"/>
      <c r="N6" s="1367"/>
      <c r="O6" s="1367"/>
    </row>
    <row r="7" spans="1:15" s="907" customFormat="1" ht="29.25" customHeight="1" thickBot="1">
      <c r="A7" s="912"/>
      <c r="B7" s="1372"/>
      <c r="C7" s="1372"/>
      <c r="D7" s="913"/>
      <c r="E7" s="1368"/>
      <c r="F7" s="1368"/>
      <c r="G7" s="1368"/>
      <c r="H7" s="914"/>
      <c r="I7" s="1368"/>
      <c r="J7" s="1368"/>
      <c r="K7" s="1368"/>
      <c r="L7" s="914"/>
      <c r="M7" s="1368"/>
      <c r="N7" s="1368"/>
      <c r="O7" s="1368"/>
    </row>
    <row r="8" spans="1:15" s="907" customFormat="1" ht="13">
      <c r="B8" s="915"/>
      <c r="C8" s="915"/>
      <c r="D8" s="915"/>
      <c r="E8" s="916"/>
      <c r="F8" s="916"/>
      <c r="G8" s="916"/>
      <c r="H8" s="916"/>
      <c r="L8" s="916"/>
    </row>
    <row r="9" spans="1:15" s="907" customFormat="1" ht="15.25" customHeight="1" thickBot="1">
      <c r="B9" s="1364" t="s">
        <v>871</v>
      </c>
      <c r="C9" s="1364"/>
      <c r="D9" s="917"/>
      <c r="E9" s="918">
        <v>98.2</v>
      </c>
      <c r="F9" s="918">
        <v>98.768876469721491</v>
      </c>
      <c r="G9" s="918">
        <v>96.183160328189516</v>
      </c>
      <c r="H9" s="919"/>
      <c r="I9" s="918">
        <v>98.565300438638445</v>
      </c>
      <c r="J9" s="918">
        <v>98.986187697453147</v>
      </c>
      <c r="K9" s="918">
        <v>96.788124916419747</v>
      </c>
      <c r="L9" s="919"/>
      <c r="M9" s="918">
        <v>99.6</v>
      </c>
      <c r="N9" s="918">
        <v>99.6</v>
      </c>
      <c r="O9" s="918">
        <v>99.2</v>
      </c>
    </row>
    <row r="10" spans="1:15" s="907" customFormat="1" ht="15.25" customHeight="1" thickTop="1" thickBot="1">
      <c r="B10" s="1365" t="s">
        <v>872</v>
      </c>
      <c r="C10" s="1365"/>
      <c r="D10" s="920"/>
      <c r="E10" s="918"/>
      <c r="F10" s="918"/>
      <c r="G10" s="918"/>
      <c r="H10" s="919"/>
      <c r="I10" s="918"/>
      <c r="J10" s="918"/>
      <c r="K10" s="918"/>
      <c r="L10" s="919"/>
      <c r="M10" s="918"/>
      <c r="N10" s="918"/>
      <c r="O10" s="918"/>
    </row>
    <row r="11" spans="1:15" s="907" customFormat="1" ht="15.25" customHeight="1" thickTop="1" thickBot="1">
      <c r="B11" s="910"/>
      <c r="C11" s="910"/>
      <c r="D11" s="910"/>
      <c r="E11" s="918"/>
      <c r="F11" s="918"/>
      <c r="G11" s="918"/>
      <c r="H11" s="919"/>
      <c r="I11" s="918"/>
      <c r="J11" s="918"/>
      <c r="K11" s="918"/>
      <c r="L11" s="919"/>
      <c r="M11" s="918"/>
      <c r="N11" s="918"/>
      <c r="O11" s="918"/>
    </row>
    <row r="12" spans="1:15" s="907" customFormat="1" ht="15.25" customHeight="1" thickTop="1" thickBot="1">
      <c r="B12" s="917" t="s">
        <v>873</v>
      </c>
      <c r="C12" s="917"/>
      <c r="D12" s="917"/>
      <c r="E12" s="918">
        <v>90.087204506204714</v>
      </c>
      <c r="F12" s="918">
        <v>92.234331639019402</v>
      </c>
      <c r="G12" s="918">
        <v>81.472463899719443</v>
      </c>
      <c r="H12" s="919"/>
      <c r="I12" s="918">
        <v>91.706177877771424</v>
      </c>
      <c r="J12" s="918">
        <v>93.549477900249229</v>
      </c>
      <c r="K12" s="918">
        <v>83.922907166243618</v>
      </c>
      <c r="L12" s="919"/>
      <c r="M12" s="918">
        <v>95.5</v>
      </c>
      <c r="N12" s="918">
        <v>96.9</v>
      </c>
      <c r="O12" s="918">
        <v>89.2</v>
      </c>
    </row>
    <row r="13" spans="1:15" s="907" customFormat="1" ht="15.25" customHeight="1" thickTop="1" thickBot="1">
      <c r="B13" s="917"/>
      <c r="C13" s="917"/>
      <c r="D13" s="917"/>
      <c r="E13" s="918"/>
      <c r="F13" s="918"/>
      <c r="G13" s="918"/>
      <c r="H13" s="919"/>
      <c r="I13" s="918"/>
      <c r="J13" s="918"/>
      <c r="K13" s="918"/>
      <c r="L13" s="919"/>
      <c r="M13" s="918"/>
      <c r="N13" s="918"/>
      <c r="O13" s="918"/>
    </row>
    <row r="14" spans="1:15" s="907" customFormat="1" ht="15.25" customHeight="1" thickTop="1" thickBot="1">
      <c r="B14" s="917" t="s">
        <v>874</v>
      </c>
      <c r="C14" s="917"/>
      <c r="D14" s="917"/>
      <c r="E14" s="918">
        <v>71.291095942553724</v>
      </c>
      <c r="F14" s="918">
        <v>76.565665414083099</v>
      </c>
      <c r="G14" s="918">
        <v>50.132117031815667</v>
      </c>
      <c r="H14" s="919"/>
      <c r="I14" s="918">
        <v>77.550706933704006</v>
      </c>
      <c r="J14" s="918">
        <v>82.776652920877623</v>
      </c>
      <c r="K14" s="918">
        <v>55.484330420527897</v>
      </c>
      <c r="L14" s="919"/>
      <c r="M14" s="918">
        <v>88.3</v>
      </c>
      <c r="N14" s="918">
        <v>91</v>
      </c>
      <c r="O14" s="918">
        <v>76.3</v>
      </c>
    </row>
    <row r="15" spans="1:15" s="907" customFormat="1" ht="15.25" customHeight="1" thickTop="1" thickBot="1">
      <c r="B15" s="920" t="s">
        <v>875</v>
      </c>
      <c r="C15" s="920"/>
      <c r="D15" s="920"/>
      <c r="E15" s="918"/>
      <c r="F15" s="918"/>
      <c r="G15" s="918"/>
      <c r="H15" s="919"/>
      <c r="I15" s="918"/>
      <c r="J15" s="918"/>
      <c r="K15" s="918"/>
      <c r="L15" s="919"/>
      <c r="M15" s="918"/>
      <c r="N15" s="918"/>
      <c r="O15" s="918"/>
    </row>
    <row r="16" spans="1:15" s="907" customFormat="1" ht="15.25" customHeight="1" thickTop="1" thickBot="1">
      <c r="B16" s="910"/>
      <c r="C16" s="910"/>
      <c r="D16" s="910"/>
      <c r="E16" s="918"/>
      <c r="F16" s="918"/>
      <c r="G16" s="918"/>
      <c r="H16" s="919"/>
      <c r="I16" s="918"/>
      <c r="J16" s="918"/>
      <c r="K16" s="918"/>
      <c r="L16" s="919"/>
      <c r="M16" s="918"/>
      <c r="N16" s="918"/>
      <c r="O16" s="918"/>
    </row>
    <row r="17" spans="1:15" s="907" customFormat="1" ht="15.25" customHeight="1" thickTop="1" thickBot="1">
      <c r="B17" s="1364" t="s">
        <v>876</v>
      </c>
      <c r="C17" s="1364"/>
      <c r="D17" s="917"/>
      <c r="E17" s="918">
        <v>75.795368744956477</v>
      </c>
      <c r="F17" s="918">
        <v>78.956365685112289</v>
      </c>
      <c r="G17" s="918">
        <v>62.9843024711327</v>
      </c>
      <c r="H17" s="919"/>
      <c r="I17" s="918">
        <v>78.948084896631215</v>
      </c>
      <c r="J17" s="918">
        <v>81.897013747385188</v>
      </c>
      <c r="K17" s="918">
        <v>66.496341024103742</v>
      </c>
      <c r="L17" s="919"/>
      <c r="M17" s="918">
        <v>83.2</v>
      </c>
      <c r="N17" s="918">
        <v>85.8</v>
      </c>
      <c r="O17" s="918">
        <v>71.900000000000006</v>
      </c>
    </row>
    <row r="18" spans="1:15" s="907" customFormat="1" ht="15.25" customHeight="1" thickTop="1" thickBot="1">
      <c r="B18" s="1365" t="s">
        <v>877</v>
      </c>
      <c r="C18" s="1365"/>
      <c r="D18" s="920"/>
      <c r="E18" s="918"/>
      <c r="F18" s="918"/>
      <c r="G18" s="918"/>
      <c r="H18" s="919"/>
      <c r="I18" s="918"/>
      <c r="J18" s="918"/>
      <c r="K18" s="918"/>
      <c r="L18" s="919"/>
      <c r="M18" s="918"/>
      <c r="N18" s="918"/>
      <c r="O18" s="918"/>
    </row>
    <row r="19" spans="1:15" s="907" customFormat="1" ht="15.25" customHeight="1" thickTop="1" thickBot="1">
      <c r="B19" s="910"/>
      <c r="C19" s="910"/>
      <c r="D19" s="910"/>
      <c r="E19" s="918"/>
      <c r="F19" s="918"/>
      <c r="G19" s="918"/>
      <c r="H19" s="919"/>
      <c r="I19" s="918"/>
      <c r="J19" s="918"/>
      <c r="K19" s="918"/>
      <c r="L19" s="919"/>
      <c r="M19" s="918"/>
      <c r="N19" s="918"/>
      <c r="O19" s="918"/>
    </row>
    <row r="20" spans="1:15" s="907" customFormat="1" ht="15.25" customHeight="1" thickTop="1" thickBot="1">
      <c r="B20" s="917" t="s">
        <v>878</v>
      </c>
      <c r="C20" s="917"/>
      <c r="D20" s="917"/>
      <c r="E20" s="918">
        <v>97.618415295377105</v>
      </c>
      <c r="F20" s="918">
        <v>98.168310076438658</v>
      </c>
      <c r="G20" s="918">
        <v>95.389770783161211</v>
      </c>
      <c r="H20" s="919"/>
      <c r="I20" s="918">
        <v>98.497987522563932</v>
      </c>
      <c r="J20" s="918">
        <v>99.018212983378902</v>
      </c>
      <c r="K20" s="918">
        <v>96.301333472364007</v>
      </c>
      <c r="L20" s="919"/>
      <c r="M20" s="918">
        <v>99</v>
      </c>
      <c r="N20" s="918">
        <v>99.2</v>
      </c>
      <c r="O20" s="918">
        <v>98</v>
      </c>
    </row>
    <row r="21" spans="1:15" s="907" customFormat="1" ht="15.25" customHeight="1" thickTop="1" thickBot="1">
      <c r="B21" s="920" t="s">
        <v>879</v>
      </c>
      <c r="C21" s="920"/>
      <c r="D21" s="920"/>
      <c r="E21" s="918"/>
      <c r="F21" s="918"/>
      <c r="G21" s="918"/>
      <c r="H21" s="919"/>
      <c r="I21" s="918"/>
      <c r="J21" s="918"/>
      <c r="K21" s="918"/>
      <c r="L21" s="919"/>
      <c r="M21" s="918"/>
      <c r="N21" s="918"/>
      <c r="O21" s="918"/>
    </row>
    <row r="22" spans="1:15" s="907" customFormat="1" ht="15.25" customHeight="1" thickTop="1" thickBot="1">
      <c r="B22" s="910"/>
      <c r="C22" s="910"/>
      <c r="D22" s="910"/>
      <c r="E22" s="918"/>
      <c r="F22" s="918"/>
      <c r="G22" s="918"/>
      <c r="H22" s="919"/>
      <c r="I22" s="918"/>
      <c r="J22" s="918"/>
      <c r="K22" s="918"/>
      <c r="L22" s="919"/>
      <c r="M22" s="918"/>
      <c r="N22" s="918"/>
      <c r="O22" s="918"/>
    </row>
    <row r="23" spans="1:15" s="907" customFormat="1" ht="15.25" customHeight="1" thickTop="1" thickBot="1">
      <c r="B23" s="917" t="s">
        <v>880</v>
      </c>
      <c r="C23" s="917"/>
      <c r="D23" s="917"/>
      <c r="E23" s="918">
        <v>97.152660239762156</v>
      </c>
      <c r="F23" s="918">
        <v>98.022347344002611</v>
      </c>
      <c r="G23" s="918">
        <v>93.627943404900137</v>
      </c>
      <c r="H23" s="919"/>
      <c r="I23" s="918">
        <v>98.542755800414056</v>
      </c>
      <c r="J23" s="918">
        <v>98.910037101083333</v>
      </c>
      <c r="K23" s="918">
        <v>96.991923187420056</v>
      </c>
      <c r="L23" s="919"/>
      <c r="M23" s="918">
        <v>98.9</v>
      </c>
      <c r="N23" s="918">
        <v>99.2</v>
      </c>
      <c r="O23" s="918">
        <v>97.6</v>
      </c>
    </row>
    <row r="24" spans="1:15" s="907" customFormat="1" ht="15.25" customHeight="1" thickTop="1" thickBot="1">
      <c r="B24" s="917"/>
      <c r="C24" s="917"/>
      <c r="D24" s="917"/>
      <c r="E24" s="918"/>
      <c r="F24" s="918"/>
      <c r="G24" s="918"/>
      <c r="H24" s="919"/>
      <c r="I24" s="918"/>
      <c r="J24" s="918"/>
      <c r="K24" s="918"/>
      <c r="L24" s="919"/>
      <c r="M24" s="918"/>
      <c r="N24" s="918"/>
      <c r="O24" s="918"/>
    </row>
    <row r="25" spans="1:15" s="907" customFormat="1" ht="15.25" customHeight="1" thickTop="1" thickBot="1">
      <c r="B25" s="1364" t="s">
        <v>881</v>
      </c>
      <c r="C25" s="1364"/>
      <c r="D25" s="917"/>
      <c r="E25" s="918">
        <v>23.489867553983178</v>
      </c>
      <c r="F25" s="918">
        <v>26.308930644440792</v>
      </c>
      <c r="G25" s="918">
        <v>12.064616333426031</v>
      </c>
      <c r="H25" s="919"/>
      <c r="I25" s="918">
        <v>22.4</v>
      </c>
      <c r="J25" s="918">
        <v>25.46503491565381</v>
      </c>
      <c r="K25" s="918">
        <v>9.2118661256957566</v>
      </c>
      <c r="L25" s="919"/>
      <c r="M25" s="918">
        <v>31.3</v>
      </c>
      <c r="N25" s="918">
        <v>34.9</v>
      </c>
      <c r="O25" s="918">
        <v>15.7</v>
      </c>
    </row>
    <row r="26" spans="1:15" s="907" customFormat="1" ht="15.25" customHeight="1" thickTop="1">
      <c r="B26" s="1365" t="s">
        <v>882</v>
      </c>
      <c r="C26" s="1365"/>
      <c r="D26" s="920"/>
      <c r="E26" s="921"/>
      <c r="F26" s="921"/>
      <c r="G26" s="921"/>
      <c r="I26" s="921"/>
      <c r="J26" s="921"/>
      <c r="K26" s="921"/>
      <c r="M26" s="921"/>
      <c r="N26" s="921"/>
      <c r="O26" s="921"/>
    </row>
    <row r="27" spans="1:15" s="907" customFormat="1" ht="14" thickBot="1">
      <c r="A27" s="912"/>
      <c r="B27" s="922"/>
      <c r="C27" s="922"/>
      <c r="D27" s="922"/>
      <c r="E27" s="923"/>
      <c r="F27" s="923"/>
      <c r="G27" s="923"/>
      <c r="H27" s="912"/>
      <c r="I27" s="923"/>
      <c r="J27" s="923"/>
      <c r="K27" s="923"/>
      <c r="L27" s="912"/>
      <c r="M27" s="923"/>
      <c r="N27" s="923"/>
      <c r="O27" s="923"/>
    </row>
    <row r="28" spans="1:15" s="907" customFormat="1" ht="13">
      <c r="K28" s="924"/>
      <c r="O28" s="924" t="s">
        <v>31</v>
      </c>
    </row>
    <row r="29" spans="1:15" s="907" customFormat="1" ht="13">
      <c r="K29" s="925"/>
      <c r="O29" s="925" t="s">
        <v>32</v>
      </c>
    </row>
  </sheetData>
  <mergeCells count="20">
    <mergeCell ref="B3:C3"/>
    <mergeCell ref="B4:C7"/>
    <mergeCell ref="E4:G4"/>
    <mergeCell ref="I4:K4"/>
    <mergeCell ref="M4:O4"/>
    <mergeCell ref="E5:E7"/>
    <mergeCell ref="F5:F7"/>
    <mergeCell ref="G5:G7"/>
    <mergeCell ref="I5:I7"/>
    <mergeCell ref="J5:J7"/>
    <mergeCell ref="M5:M7"/>
    <mergeCell ref="N5:N7"/>
    <mergeCell ref="O5:O7"/>
    <mergeCell ref="B9:C9"/>
    <mergeCell ref="B10:C10"/>
    <mergeCell ref="B17:C17"/>
    <mergeCell ref="B18:C18"/>
    <mergeCell ref="B25:C25"/>
    <mergeCell ref="B26:C26"/>
    <mergeCell ref="K5:K7"/>
  </mergeCells>
  <printOptions horizontalCentered="1"/>
  <pageMargins left="0.55118110236220474" right="0.55118110236220474" top="0.55118110236220474" bottom="0.55118110236220474" header="0.31496062992125984" footer="0.31496062992125984"/>
  <pageSetup paperSize="9" scale="6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E091C-19CA-4A82-83FF-F857213E48ED}">
  <sheetPr codeName="Sheet55">
    <pageSetUpPr fitToPage="1"/>
  </sheetPr>
  <dimension ref="B1:I61"/>
  <sheetViews>
    <sheetView view="pageBreakPreview" zoomScale="90" zoomScaleNormal="100" zoomScaleSheetLayoutView="90" workbookViewId="0">
      <selection activeCell="D60" sqref="D60"/>
    </sheetView>
  </sheetViews>
  <sheetFormatPr baseColWidth="10" defaultColWidth="8.83203125" defaultRowHeight="15"/>
  <cols>
    <col min="1" max="1" width="2.1640625" customWidth="1"/>
    <col min="2" max="2" width="12.83203125" customWidth="1"/>
    <col min="3" max="3" width="15.5" customWidth="1"/>
    <col min="4" max="4" width="10.6640625" customWidth="1"/>
    <col min="5" max="5" width="9.6640625" customWidth="1"/>
    <col min="6" max="6" width="11.6640625" customWidth="1"/>
    <col min="7" max="7" width="21.1640625" customWidth="1"/>
    <col min="8" max="8" width="15" customWidth="1"/>
    <col min="9" max="9" width="14.33203125" customWidth="1"/>
  </cols>
  <sheetData>
    <row r="1" spans="2:9" s="930" customFormat="1" ht="15.25" customHeight="1">
      <c r="B1" s="926" t="s">
        <v>883</v>
      </c>
      <c r="C1" s="927" t="s">
        <v>884</v>
      </c>
      <c r="D1" s="928"/>
      <c r="E1" s="928"/>
      <c r="F1" s="928"/>
      <c r="G1" s="928"/>
      <c r="H1" s="928"/>
      <c r="I1" s="929"/>
    </row>
    <row r="2" spans="2:9" s="930" customFormat="1" ht="15.25" customHeight="1">
      <c r="B2" s="931" t="s">
        <v>885</v>
      </c>
      <c r="C2" s="932" t="s">
        <v>886</v>
      </c>
      <c r="D2" s="933"/>
      <c r="E2" s="933"/>
      <c r="F2" s="933"/>
      <c r="G2" s="933"/>
      <c r="H2" s="933"/>
      <c r="I2" s="929"/>
    </row>
    <row r="3" spans="2:9" s="938" customFormat="1" ht="15.25" customHeight="1" thickBot="1">
      <c r="B3" s="934"/>
      <c r="C3" s="934"/>
      <c r="D3" s="934"/>
      <c r="E3" s="935"/>
      <c r="F3" s="936"/>
      <c r="G3" s="936"/>
      <c r="H3" s="936"/>
      <c r="I3" s="937"/>
    </row>
    <row r="4" spans="2:9" s="938" customFormat="1" ht="22.5" customHeight="1">
      <c r="B4" s="939"/>
      <c r="C4" s="939"/>
      <c r="D4" s="939"/>
      <c r="E4" s="1375" t="s">
        <v>887</v>
      </c>
      <c r="F4" s="1376"/>
      <c r="G4" s="1375" t="s">
        <v>888</v>
      </c>
      <c r="H4" s="1375" t="s">
        <v>889</v>
      </c>
      <c r="I4" s="1375"/>
    </row>
    <row r="5" spans="2:9" s="938" customFormat="1" ht="22.5" customHeight="1" thickBot="1">
      <c r="B5" s="937"/>
      <c r="C5" s="937"/>
      <c r="D5" s="937"/>
      <c r="E5" s="1377"/>
      <c r="F5" s="1377"/>
      <c r="G5" s="1377"/>
      <c r="H5" s="1378"/>
      <c r="I5" s="1378"/>
    </row>
    <row r="6" spans="2:9" s="944" customFormat="1" ht="70">
      <c r="B6" s="940" t="s">
        <v>890</v>
      </c>
      <c r="C6" s="940"/>
      <c r="D6" s="941" t="s">
        <v>891</v>
      </c>
      <c r="E6" s="942" t="s">
        <v>892</v>
      </c>
      <c r="F6" s="942" t="s">
        <v>893</v>
      </c>
      <c r="G6" s="943" t="s">
        <v>894</v>
      </c>
      <c r="H6" s="943" t="s">
        <v>895</v>
      </c>
      <c r="I6" s="942" t="s">
        <v>896</v>
      </c>
    </row>
    <row r="7" spans="2:9" s="938" customFormat="1" ht="22.5" customHeight="1" thickBot="1">
      <c r="B7" s="945"/>
      <c r="C7" s="945"/>
      <c r="D7" s="945"/>
      <c r="E7" s="946" t="s">
        <v>897</v>
      </c>
      <c r="F7" s="946" t="s">
        <v>897</v>
      </c>
      <c r="G7" s="946" t="s">
        <v>897</v>
      </c>
      <c r="H7" s="947" t="s">
        <v>898</v>
      </c>
      <c r="I7" s="947" t="s">
        <v>898</v>
      </c>
    </row>
    <row r="8" spans="2:9" s="938" customFormat="1" ht="13">
      <c r="B8" s="948"/>
      <c r="C8" s="948"/>
      <c r="D8" s="948"/>
      <c r="E8" s="949"/>
      <c r="F8" s="949"/>
      <c r="G8" s="950"/>
      <c r="H8" s="951"/>
      <c r="I8" s="951"/>
    </row>
    <row r="9" spans="2:9" s="938" customFormat="1" ht="15.25" customHeight="1">
      <c r="B9" s="952" t="s">
        <v>776</v>
      </c>
      <c r="C9" s="952"/>
      <c r="D9" s="953">
        <v>2022</v>
      </c>
      <c r="E9" s="954">
        <v>7901</v>
      </c>
      <c r="F9" s="954">
        <v>5873</v>
      </c>
      <c r="G9" s="955">
        <v>4534</v>
      </c>
      <c r="H9" s="956">
        <v>5.6</v>
      </c>
      <c r="I9" s="956">
        <v>0.40709698</v>
      </c>
    </row>
    <row r="10" spans="2:9" s="938" customFormat="1" ht="15.25" customHeight="1">
      <c r="B10" s="952"/>
      <c r="C10" s="952"/>
      <c r="D10" s="953">
        <v>2024</v>
      </c>
      <c r="E10" s="954">
        <v>7901</v>
      </c>
      <c r="F10" s="954">
        <v>5873</v>
      </c>
      <c r="G10" s="955">
        <v>4534</v>
      </c>
      <c r="H10" s="956">
        <v>5.6</v>
      </c>
      <c r="I10" s="956">
        <v>0.40709698</v>
      </c>
    </row>
    <row r="11" spans="2:9" s="938" customFormat="1" ht="15.25" customHeight="1">
      <c r="E11" s="957"/>
      <c r="F11" s="957"/>
      <c r="G11" s="958"/>
      <c r="H11" s="959"/>
      <c r="I11" s="959"/>
    </row>
    <row r="12" spans="2:9" s="938" customFormat="1" ht="15.25" customHeight="1">
      <c r="B12" s="960" t="s">
        <v>249</v>
      </c>
      <c r="C12" s="960"/>
      <c r="D12" s="961">
        <v>2022</v>
      </c>
      <c r="E12" s="962">
        <v>8013</v>
      </c>
      <c r="F12" s="962">
        <v>6427</v>
      </c>
      <c r="G12" s="963">
        <v>4793</v>
      </c>
      <c r="H12" s="964">
        <v>3.9</v>
      </c>
      <c r="I12" s="964">
        <v>0.36648001000000002</v>
      </c>
    </row>
    <row r="13" spans="2:9" s="938" customFormat="1" ht="15.25" customHeight="1">
      <c r="B13" s="960"/>
      <c r="C13" s="960"/>
      <c r="D13" s="961">
        <v>2024</v>
      </c>
      <c r="E13" s="962">
        <v>8013</v>
      </c>
      <c r="F13" s="962">
        <v>6427</v>
      </c>
      <c r="G13" s="963">
        <v>4793</v>
      </c>
      <c r="H13" s="964">
        <v>3.9</v>
      </c>
      <c r="I13" s="964">
        <v>0.36648001000000002</v>
      </c>
    </row>
    <row r="14" spans="2:9" s="938" customFormat="1" ht="15.25" customHeight="1">
      <c r="B14" s="960"/>
      <c r="C14" s="960"/>
      <c r="D14" s="961"/>
      <c r="E14" s="962"/>
      <c r="F14" s="962"/>
      <c r="G14" s="963"/>
      <c r="H14" s="964"/>
      <c r="I14" s="964"/>
    </row>
    <row r="15" spans="2:9" s="938" customFormat="1" ht="15.25" customHeight="1">
      <c r="B15" s="960" t="s">
        <v>250</v>
      </c>
      <c r="C15" s="960"/>
      <c r="D15" s="961">
        <v>2022</v>
      </c>
      <c r="E15" s="962">
        <v>8013</v>
      </c>
      <c r="F15" s="962">
        <v>6427</v>
      </c>
      <c r="G15" s="963">
        <v>4793</v>
      </c>
      <c r="H15" s="964">
        <v>3.9</v>
      </c>
      <c r="I15" s="964">
        <v>0.36648001000000002</v>
      </c>
    </row>
    <row r="16" spans="2:9" s="938" customFormat="1" ht="15.25" customHeight="1">
      <c r="B16" s="960"/>
      <c r="C16" s="960"/>
      <c r="D16" s="961">
        <v>2024</v>
      </c>
      <c r="E16" s="962">
        <v>8013</v>
      </c>
      <c r="F16" s="962">
        <v>6427</v>
      </c>
      <c r="G16" s="963">
        <v>4793</v>
      </c>
      <c r="H16" s="964">
        <v>3.9</v>
      </c>
      <c r="I16" s="964">
        <v>0.36648001000000002</v>
      </c>
    </row>
    <row r="17" spans="2:9" s="938" customFormat="1" ht="15.25" customHeight="1">
      <c r="B17" s="960"/>
      <c r="C17" s="960"/>
      <c r="D17" s="961"/>
      <c r="E17" s="962"/>
      <c r="F17" s="962"/>
      <c r="G17" s="963"/>
      <c r="H17" s="964"/>
      <c r="I17" s="964"/>
    </row>
    <row r="18" spans="2:9" s="938" customFormat="1" ht="15.25" customHeight="1">
      <c r="B18" s="960" t="s">
        <v>251</v>
      </c>
      <c r="C18" s="960"/>
      <c r="D18" s="961">
        <v>2022</v>
      </c>
      <c r="E18" s="962">
        <v>8013</v>
      </c>
      <c r="F18" s="962">
        <v>6427</v>
      </c>
      <c r="G18" s="963">
        <v>4793</v>
      </c>
      <c r="H18" s="964">
        <v>3.9</v>
      </c>
      <c r="I18" s="964">
        <v>0.36648001000000002</v>
      </c>
    </row>
    <row r="19" spans="2:9" s="938" customFormat="1" ht="15.25" customHeight="1">
      <c r="B19" s="960"/>
      <c r="C19" s="960"/>
      <c r="D19" s="961">
        <v>2024</v>
      </c>
      <c r="E19" s="962">
        <v>8013</v>
      </c>
      <c r="F19" s="962">
        <v>6427</v>
      </c>
      <c r="G19" s="963">
        <v>4793</v>
      </c>
      <c r="H19" s="964">
        <v>3.9</v>
      </c>
      <c r="I19" s="964">
        <v>0.36648001000000002</v>
      </c>
    </row>
    <row r="20" spans="2:9" s="938" customFormat="1" ht="15.25" customHeight="1">
      <c r="B20" s="960"/>
      <c r="C20" s="960"/>
      <c r="D20" s="961"/>
      <c r="E20" s="962"/>
      <c r="F20" s="962"/>
      <c r="G20" s="963"/>
      <c r="H20" s="964"/>
      <c r="I20" s="964"/>
    </row>
    <row r="21" spans="2:9" s="938" customFormat="1" ht="15.25" customHeight="1">
      <c r="B21" s="960" t="s">
        <v>252</v>
      </c>
      <c r="C21" s="960"/>
      <c r="D21" s="961">
        <v>2022</v>
      </c>
      <c r="E21" s="962">
        <v>8013</v>
      </c>
      <c r="F21" s="962">
        <v>6427</v>
      </c>
      <c r="G21" s="963">
        <v>4793</v>
      </c>
      <c r="H21" s="964">
        <v>3.9</v>
      </c>
      <c r="I21" s="964">
        <v>0.36648001000000002</v>
      </c>
    </row>
    <row r="22" spans="2:9" s="938" customFormat="1" ht="15.25" customHeight="1">
      <c r="B22" s="960"/>
      <c r="C22" s="960"/>
      <c r="D22" s="961">
        <v>2024</v>
      </c>
      <c r="E22" s="962">
        <v>8013</v>
      </c>
      <c r="F22" s="962">
        <v>6427</v>
      </c>
      <c r="G22" s="963">
        <v>4793</v>
      </c>
      <c r="H22" s="964">
        <v>3.9</v>
      </c>
      <c r="I22" s="964">
        <v>0.36648001000000002</v>
      </c>
    </row>
    <row r="23" spans="2:9" s="938" customFormat="1" ht="15.25" customHeight="1">
      <c r="B23" s="960"/>
      <c r="C23" s="960"/>
      <c r="D23" s="961"/>
      <c r="E23" s="962"/>
      <c r="F23" s="962"/>
      <c r="G23" s="963"/>
      <c r="H23" s="964"/>
      <c r="I23" s="964"/>
    </row>
    <row r="24" spans="2:9" s="938" customFormat="1" ht="15.25" customHeight="1">
      <c r="B24" s="960" t="s">
        <v>253</v>
      </c>
      <c r="C24" s="960"/>
      <c r="D24" s="961">
        <v>2022</v>
      </c>
      <c r="E24" s="962">
        <v>8013</v>
      </c>
      <c r="F24" s="962">
        <v>6427</v>
      </c>
      <c r="G24" s="963">
        <v>4793</v>
      </c>
      <c r="H24" s="964">
        <v>3.9</v>
      </c>
      <c r="I24" s="964">
        <v>0.36648001000000002</v>
      </c>
    </row>
    <row r="25" spans="2:9" s="938" customFormat="1" ht="15.25" customHeight="1">
      <c r="B25" s="960"/>
      <c r="C25" s="960"/>
      <c r="D25" s="961">
        <v>2024</v>
      </c>
      <c r="E25" s="962">
        <v>8013</v>
      </c>
      <c r="F25" s="962">
        <v>6427</v>
      </c>
      <c r="G25" s="963">
        <v>4793</v>
      </c>
      <c r="H25" s="964">
        <v>3.9</v>
      </c>
      <c r="I25" s="964">
        <v>0.36648001000000002</v>
      </c>
    </row>
    <row r="26" spans="2:9" s="938" customFormat="1" ht="15.25" customHeight="1">
      <c r="B26" s="960"/>
      <c r="C26" s="960"/>
      <c r="D26" s="961"/>
      <c r="E26" s="962"/>
      <c r="F26" s="962"/>
      <c r="G26" s="963"/>
      <c r="H26" s="964"/>
      <c r="I26" s="964"/>
    </row>
    <row r="27" spans="2:9" s="938" customFormat="1" ht="15.25" customHeight="1">
      <c r="B27" s="960" t="s">
        <v>254</v>
      </c>
      <c r="C27" s="960"/>
      <c r="D27" s="961">
        <v>2022</v>
      </c>
      <c r="E27" s="962">
        <v>8013</v>
      </c>
      <c r="F27" s="962">
        <v>6427</v>
      </c>
      <c r="G27" s="963">
        <v>4793</v>
      </c>
      <c r="H27" s="964">
        <v>3.9</v>
      </c>
      <c r="I27" s="964">
        <v>0.36648001000000002</v>
      </c>
    </row>
    <row r="28" spans="2:9" s="938" customFormat="1" ht="15.25" customHeight="1">
      <c r="B28" s="960"/>
      <c r="C28" s="960"/>
      <c r="D28" s="961">
        <v>2024</v>
      </c>
      <c r="E28" s="962">
        <v>8013</v>
      </c>
      <c r="F28" s="962">
        <v>6427</v>
      </c>
      <c r="G28" s="963">
        <v>4793</v>
      </c>
      <c r="H28" s="964">
        <v>3.9</v>
      </c>
      <c r="I28" s="964">
        <v>0.36648001000000002</v>
      </c>
    </row>
    <row r="29" spans="2:9" s="938" customFormat="1" ht="15.25" customHeight="1">
      <c r="B29" s="960"/>
      <c r="C29" s="960"/>
      <c r="D29" s="961"/>
      <c r="E29" s="962"/>
      <c r="F29" s="962"/>
      <c r="G29" s="963"/>
      <c r="H29" s="964"/>
      <c r="I29" s="964"/>
    </row>
    <row r="30" spans="2:9" s="938" customFormat="1" ht="15.25" customHeight="1">
      <c r="B30" s="960" t="s">
        <v>255</v>
      </c>
      <c r="C30" s="960"/>
      <c r="D30" s="961">
        <v>2022</v>
      </c>
      <c r="E30" s="962">
        <v>8013</v>
      </c>
      <c r="F30" s="962">
        <v>6427</v>
      </c>
      <c r="G30" s="963">
        <v>4793</v>
      </c>
      <c r="H30" s="964">
        <v>3.9</v>
      </c>
      <c r="I30" s="964">
        <v>0.36648001000000002</v>
      </c>
    </row>
    <row r="31" spans="2:9" s="938" customFormat="1" ht="15.25" customHeight="1">
      <c r="B31" s="960"/>
      <c r="C31" s="960"/>
      <c r="D31" s="961">
        <v>2024</v>
      </c>
      <c r="E31" s="962">
        <v>8013</v>
      </c>
      <c r="F31" s="962">
        <v>6427</v>
      </c>
      <c r="G31" s="963">
        <v>4793</v>
      </c>
      <c r="H31" s="964">
        <v>3.9</v>
      </c>
      <c r="I31" s="964">
        <v>0.36648001000000002</v>
      </c>
    </row>
    <row r="32" spans="2:9" s="938" customFormat="1" ht="15.25" customHeight="1">
      <c r="B32" s="960"/>
      <c r="C32" s="960"/>
      <c r="D32" s="961"/>
      <c r="E32" s="962"/>
      <c r="F32" s="962"/>
      <c r="G32" s="963"/>
      <c r="H32" s="964"/>
      <c r="I32" s="964"/>
    </row>
    <row r="33" spans="2:9" s="938" customFormat="1" ht="15.25" customHeight="1">
      <c r="B33" s="960" t="s">
        <v>256</v>
      </c>
      <c r="C33" s="960"/>
      <c r="D33" s="961">
        <v>2022</v>
      </c>
      <c r="E33" s="962">
        <v>8013</v>
      </c>
      <c r="F33" s="962">
        <v>6427</v>
      </c>
      <c r="G33" s="963">
        <v>4793</v>
      </c>
      <c r="H33" s="964">
        <v>3.9</v>
      </c>
      <c r="I33" s="964">
        <v>0.36648001000000002</v>
      </c>
    </row>
    <row r="34" spans="2:9" s="938" customFormat="1" ht="15.25" customHeight="1">
      <c r="B34" s="960"/>
      <c r="C34" s="960"/>
      <c r="D34" s="961">
        <v>2024</v>
      </c>
      <c r="E34" s="962">
        <v>8013</v>
      </c>
      <c r="F34" s="962">
        <v>6427</v>
      </c>
      <c r="G34" s="963">
        <v>4793</v>
      </c>
      <c r="H34" s="964">
        <v>3.9</v>
      </c>
      <c r="I34" s="964">
        <v>0.36648001000000002</v>
      </c>
    </row>
    <row r="35" spans="2:9" s="938" customFormat="1" ht="15.25" customHeight="1">
      <c r="B35" s="960"/>
      <c r="C35" s="960"/>
      <c r="D35" s="961"/>
      <c r="E35" s="962"/>
      <c r="F35" s="962"/>
      <c r="G35" s="963"/>
      <c r="H35" s="964"/>
      <c r="I35" s="964"/>
    </row>
    <row r="36" spans="2:9" s="938" customFormat="1" ht="15.25" customHeight="1">
      <c r="B36" s="960" t="s">
        <v>257</v>
      </c>
      <c r="C36" s="960"/>
      <c r="D36" s="961">
        <v>2022</v>
      </c>
      <c r="E36" s="962">
        <v>8013</v>
      </c>
      <c r="F36" s="962">
        <v>6427</v>
      </c>
      <c r="G36" s="963">
        <v>4793</v>
      </c>
      <c r="H36" s="964">
        <v>3.9</v>
      </c>
      <c r="I36" s="964">
        <v>0.36648001000000002</v>
      </c>
    </row>
    <row r="37" spans="2:9" s="938" customFormat="1" ht="15.25" customHeight="1">
      <c r="B37" s="960"/>
      <c r="C37" s="960"/>
      <c r="D37" s="961">
        <v>2024</v>
      </c>
      <c r="E37" s="962">
        <v>8013</v>
      </c>
      <c r="F37" s="962">
        <v>6427</v>
      </c>
      <c r="G37" s="963">
        <v>4793</v>
      </c>
      <c r="H37" s="964">
        <v>3.9</v>
      </c>
      <c r="I37" s="964">
        <v>0.36648001000000002</v>
      </c>
    </row>
    <row r="38" spans="2:9" s="938" customFormat="1" ht="15.25" customHeight="1">
      <c r="B38" s="960"/>
      <c r="C38" s="960"/>
      <c r="D38" s="961"/>
      <c r="E38" s="962"/>
      <c r="F38" s="962"/>
      <c r="G38" s="963"/>
      <c r="H38" s="964"/>
      <c r="I38" s="964"/>
    </row>
    <row r="39" spans="2:9" s="938" customFormat="1" ht="15.25" customHeight="1">
      <c r="B39" s="960" t="s">
        <v>258</v>
      </c>
      <c r="C39" s="960"/>
      <c r="D39" s="961">
        <v>2022</v>
      </c>
      <c r="E39" s="962">
        <v>8013</v>
      </c>
      <c r="F39" s="962">
        <v>6427</v>
      </c>
      <c r="G39" s="963">
        <v>4793</v>
      </c>
      <c r="H39" s="964">
        <v>3.9</v>
      </c>
      <c r="I39" s="964">
        <v>0.36648001000000002</v>
      </c>
    </row>
    <row r="40" spans="2:9" s="938" customFormat="1" ht="15.25" customHeight="1">
      <c r="B40" s="960"/>
      <c r="C40" s="960"/>
      <c r="D40" s="961">
        <v>2024</v>
      </c>
      <c r="E40" s="962">
        <v>8013</v>
      </c>
      <c r="F40" s="962">
        <v>6427</v>
      </c>
      <c r="G40" s="963">
        <v>4793</v>
      </c>
      <c r="H40" s="964">
        <v>3.9</v>
      </c>
      <c r="I40" s="964">
        <v>0.36648001000000002</v>
      </c>
    </row>
    <row r="41" spans="2:9" s="938" customFormat="1" ht="15.25" customHeight="1">
      <c r="B41" s="960"/>
      <c r="C41" s="960"/>
      <c r="D41" s="961"/>
      <c r="E41" s="962"/>
      <c r="F41" s="962"/>
      <c r="G41" s="963"/>
      <c r="H41" s="964"/>
      <c r="I41" s="964"/>
    </row>
    <row r="42" spans="2:9" s="938" customFormat="1" ht="15.25" customHeight="1">
      <c r="B42" s="960" t="s">
        <v>259</v>
      </c>
      <c r="C42" s="960"/>
      <c r="D42" s="961">
        <v>2022</v>
      </c>
      <c r="E42" s="962">
        <v>8013</v>
      </c>
      <c r="F42" s="962">
        <v>6427</v>
      </c>
      <c r="G42" s="963">
        <v>4793</v>
      </c>
      <c r="H42" s="964">
        <v>3.9</v>
      </c>
      <c r="I42" s="964">
        <v>0.36648001000000002</v>
      </c>
    </row>
    <row r="43" spans="2:9" s="938" customFormat="1" ht="15.25" customHeight="1">
      <c r="B43" s="960"/>
      <c r="C43" s="960"/>
      <c r="D43" s="961">
        <v>2024</v>
      </c>
      <c r="E43" s="962">
        <v>8013</v>
      </c>
      <c r="F43" s="962">
        <v>6427</v>
      </c>
      <c r="G43" s="963">
        <v>4793</v>
      </c>
      <c r="H43" s="964">
        <v>3.9</v>
      </c>
      <c r="I43" s="964">
        <v>0.36648001000000002</v>
      </c>
    </row>
    <row r="44" spans="2:9" s="938" customFormat="1" ht="15.25" customHeight="1">
      <c r="B44" s="960"/>
      <c r="C44" s="960"/>
      <c r="D44" s="961"/>
      <c r="E44" s="962"/>
      <c r="F44" s="962"/>
      <c r="G44" s="963"/>
      <c r="H44" s="964"/>
      <c r="I44" s="964"/>
    </row>
    <row r="45" spans="2:9" s="938" customFormat="1" ht="15.25" customHeight="1">
      <c r="B45" s="960" t="s">
        <v>260</v>
      </c>
      <c r="C45" s="960"/>
      <c r="D45" s="961">
        <v>2022</v>
      </c>
      <c r="E45" s="962">
        <v>8013</v>
      </c>
      <c r="F45" s="962">
        <v>6427</v>
      </c>
      <c r="G45" s="963">
        <v>4793</v>
      </c>
      <c r="H45" s="964">
        <v>3.9</v>
      </c>
      <c r="I45" s="964">
        <v>0.36648001000000002</v>
      </c>
    </row>
    <row r="46" spans="2:9" s="938" customFormat="1" ht="15.25" customHeight="1">
      <c r="B46" s="960"/>
      <c r="C46" s="960"/>
      <c r="D46" s="961">
        <v>2024</v>
      </c>
      <c r="E46" s="962">
        <v>8013</v>
      </c>
      <c r="F46" s="962">
        <v>6427</v>
      </c>
      <c r="G46" s="963">
        <v>4793</v>
      </c>
      <c r="H46" s="964">
        <v>3.9</v>
      </c>
      <c r="I46" s="964">
        <v>0.36648001000000002</v>
      </c>
    </row>
    <row r="47" spans="2:9" s="938" customFormat="1" ht="15.25" customHeight="1">
      <c r="B47" s="960"/>
      <c r="C47" s="960"/>
      <c r="D47" s="961"/>
      <c r="E47" s="962"/>
      <c r="F47" s="962"/>
      <c r="G47" s="963"/>
      <c r="H47" s="964"/>
      <c r="I47" s="964"/>
    </row>
    <row r="48" spans="2:9" s="938" customFormat="1" ht="15.25" customHeight="1">
      <c r="B48" s="960" t="s">
        <v>261</v>
      </c>
      <c r="C48" s="960"/>
      <c r="D48" s="961">
        <v>2022</v>
      </c>
      <c r="E48" s="962">
        <v>8013</v>
      </c>
      <c r="F48" s="962">
        <v>6427</v>
      </c>
      <c r="G48" s="963">
        <v>4793</v>
      </c>
      <c r="H48" s="964">
        <v>3.9</v>
      </c>
      <c r="I48" s="964">
        <v>0.36648001000000002</v>
      </c>
    </row>
    <row r="49" spans="2:9" s="938" customFormat="1" ht="15.25" customHeight="1">
      <c r="B49" s="960"/>
      <c r="C49" s="960"/>
      <c r="D49" s="961">
        <v>2024</v>
      </c>
      <c r="E49" s="962">
        <v>8013</v>
      </c>
      <c r="F49" s="962">
        <v>6427</v>
      </c>
      <c r="G49" s="963">
        <v>4793</v>
      </c>
      <c r="H49" s="964">
        <v>3.9</v>
      </c>
      <c r="I49" s="964">
        <v>0.36648001000000002</v>
      </c>
    </row>
    <row r="50" spans="2:9" s="938" customFormat="1" ht="15.25" customHeight="1">
      <c r="B50" s="960"/>
      <c r="C50" s="960"/>
      <c r="D50" s="961"/>
      <c r="E50" s="962"/>
      <c r="F50" s="962"/>
      <c r="G50" s="963"/>
      <c r="H50" s="964"/>
      <c r="I50" s="964"/>
    </row>
    <row r="51" spans="2:9" s="938" customFormat="1" ht="15.25" customHeight="1">
      <c r="B51" s="960" t="s">
        <v>262</v>
      </c>
      <c r="C51" s="960"/>
      <c r="D51" s="961">
        <v>2022</v>
      </c>
      <c r="E51" s="962">
        <v>8013</v>
      </c>
      <c r="F51" s="962">
        <v>6427</v>
      </c>
      <c r="G51" s="963">
        <v>4793</v>
      </c>
      <c r="H51" s="964">
        <v>3.9</v>
      </c>
      <c r="I51" s="964">
        <v>0.36648001000000002</v>
      </c>
    </row>
    <row r="52" spans="2:9" s="938" customFormat="1" ht="15.25" customHeight="1">
      <c r="B52" s="960"/>
      <c r="C52" s="960"/>
      <c r="D52" s="961">
        <v>2024</v>
      </c>
      <c r="E52" s="962">
        <v>8013</v>
      </c>
      <c r="F52" s="962">
        <v>6427</v>
      </c>
      <c r="G52" s="963">
        <v>4793</v>
      </c>
      <c r="H52" s="964">
        <v>3.9</v>
      </c>
      <c r="I52" s="964">
        <v>0.36648001000000002</v>
      </c>
    </row>
    <row r="53" spans="2:9" s="938" customFormat="1" ht="15.25" customHeight="1">
      <c r="B53" s="960"/>
      <c r="C53" s="960"/>
      <c r="D53" s="961"/>
      <c r="E53" s="962"/>
      <c r="F53" s="962"/>
      <c r="G53" s="963"/>
      <c r="H53" s="964"/>
      <c r="I53" s="964"/>
    </row>
    <row r="54" spans="2:9" s="938" customFormat="1" ht="15.25" customHeight="1">
      <c r="B54" s="960" t="s">
        <v>263</v>
      </c>
      <c r="C54" s="960"/>
      <c r="D54" s="961">
        <v>2022</v>
      </c>
      <c r="E54" s="962">
        <v>8013</v>
      </c>
      <c r="F54" s="962">
        <v>6427</v>
      </c>
      <c r="G54" s="963">
        <v>4793</v>
      </c>
      <c r="H54" s="964">
        <v>3.9</v>
      </c>
      <c r="I54" s="964">
        <v>0.36648001000000002</v>
      </c>
    </row>
    <row r="55" spans="2:9" s="938" customFormat="1" ht="15.25" customHeight="1">
      <c r="B55" s="960"/>
      <c r="C55" s="960"/>
      <c r="D55" s="961">
        <v>2024</v>
      </c>
      <c r="E55" s="962">
        <v>8013</v>
      </c>
      <c r="F55" s="962">
        <v>6427</v>
      </c>
      <c r="G55" s="963">
        <v>4793</v>
      </c>
      <c r="H55" s="964">
        <v>3.9</v>
      </c>
      <c r="I55" s="964">
        <v>0.36648001000000002</v>
      </c>
    </row>
    <row r="56" spans="2:9" s="938" customFormat="1" ht="15.25" customHeight="1">
      <c r="B56" s="960"/>
      <c r="C56" s="960"/>
      <c r="D56" s="961"/>
      <c r="E56" s="962"/>
      <c r="F56" s="962"/>
      <c r="G56" s="963"/>
      <c r="H56" s="964"/>
      <c r="I56" s="964"/>
    </row>
    <row r="57" spans="2:9" s="938" customFormat="1" ht="15.25" customHeight="1">
      <c r="B57" s="960" t="s">
        <v>264</v>
      </c>
      <c r="C57" s="960"/>
      <c r="D57" s="961">
        <v>2022</v>
      </c>
      <c r="E57" s="962">
        <v>8013</v>
      </c>
      <c r="F57" s="962">
        <v>6427</v>
      </c>
      <c r="G57" s="963">
        <v>4793</v>
      </c>
      <c r="H57" s="964">
        <v>3.9</v>
      </c>
      <c r="I57" s="964">
        <v>0.36648001000000002</v>
      </c>
    </row>
    <row r="58" spans="2:9" s="938" customFormat="1" ht="15.25" customHeight="1">
      <c r="B58" s="960"/>
      <c r="C58" s="960"/>
      <c r="D58" s="961">
        <v>2024</v>
      </c>
      <c r="E58" s="962">
        <v>8013</v>
      </c>
      <c r="F58" s="962">
        <v>6427</v>
      </c>
      <c r="G58" s="963">
        <v>4793</v>
      </c>
      <c r="H58" s="964">
        <v>3.9</v>
      </c>
      <c r="I58" s="964">
        <v>0.36648001000000002</v>
      </c>
    </row>
    <row r="59" spans="2:9" s="938" customFormat="1" ht="14" thickBot="1">
      <c r="B59" s="965"/>
      <c r="C59" s="965"/>
      <c r="D59" s="965"/>
      <c r="E59" s="966"/>
      <c r="F59" s="966"/>
      <c r="G59" s="967"/>
      <c r="H59" s="968"/>
      <c r="I59" s="969"/>
    </row>
    <row r="60" spans="2:9" s="938" customFormat="1" ht="14">
      <c r="E60" s="970"/>
      <c r="F60" s="970"/>
      <c r="G60" s="971"/>
      <c r="I60" s="924" t="s">
        <v>31</v>
      </c>
    </row>
    <row r="61" spans="2:9" s="938" customFormat="1" ht="14">
      <c r="E61" s="970"/>
      <c r="F61" s="970"/>
      <c r="G61" s="971"/>
      <c r="I61" s="925" t="s">
        <v>32</v>
      </c>
    </row>
  </sheetData>
  <mergeCells count="3">
    <mergeCell ref="E4:F5"/>
    <mergeCell ref="G4:G5"/>
    <mergeCell ref="H4:I5"/>
  </mergeCells>
  <printOptions horizontalCentered="1"/>
  <pageMargins left="0.55118110236220474" right="0.55118110236220474" top="0.55118110236220474" bottom="0.55118110236220474" header="0.31496062992125984" footer="0.31496062992125984"/>
  <pageSetup paperSize="9" scale="76"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24E90-6E8D-4A3B-AC92-F5FF792D9C4F}">
  <sheetPr codeName="Sheet56"/>
  <dimension ref="A1:N74"/>
  <sheetViews>
    <sheetView view="pageBreakPreview" topLeftCell="A28" zoomScaleNormal="100" zoomScaleSheetLayoutView="100" workbookViewId="0">
      <selection activeCell="D60" sqref="D60"/>
    </sheetView>
  </sheetViews>
  <sheetFormatPr baseColWidth="10" defaultColWidth="8.83203125" defaultRowHeight="15"/>
  <cols>
    <col min="1" max="1" width="2.83203125" customWidth="1"/>
    <col min="2" max="2" width="14.1640625" customWidth="1"/>
    <col min="3" max="3" width="20.5" customWidth="1"/>
    <col min="4" max="4" width="28.33203125" customWidth="1"/>
    <col min="5" max="5" width="16.33203125" style="983" customWidth="1"/>
    <col min="8" max="8" width="9.1640625" customWidth="1"/>
  </cols>
  <sheetData>
    <row r="1" spans="1:13" s="404" customFormat="1" ht="7.5" customHeight="1">
      <c r="E1" s="972"/>
    </row>
    <row r="2" spans="1:13" s="404" customFormat="1" ht="7.5" customHeight="1">
      <c r="E2" s="972"/>
    </row>
    <row r="3" spans="1:13" s="404" customFormat="1" ht="15.25" customHeight="1">
      <c r="A3" s="800"/>
      <c r="B3" s="973" t="s">
        <v>899</v>
      </c>
      <c r="C3" s="652" t="s">
        <v>900</v>
      </c>
      <c r="D3" s="731"/>
      <c r="E3" s="974"/>
      <c r="F3" s="731"/>
      <c r="G3" s="731"/>
      <c r="H3" s="731"/>
      <c r="I3" s="731"/>
      <c r="J3" s="480"/>
    </row>
    <row r="4" spans="1:13" s="404" customFormat="1">
      <c r="A4" s="800"/>
      <c r="B4" s="975"/>
      <c r="C4" s="731" t="s">
        <v>901</v>
      </c>
      <c r="D4" s="731"/>
      <c r="E4" s="974"/>
      <c r="F4" s="731"/>
      <c r="G4" s="731"/>
      <c r="H4" s="731"/>
      <c r="I4" s="731"/>
      <c r="J4" s="480"/>
    </row>
    <row r="5" spans="1:13" s="404" customFormat="1" ht="15.25" customHeight="1">
      <c r="A5" s="480"/>
      <c r="B5" s="655" t="s">
        <v>902</v>
      </c>
      <c r="C5" s="730" t="s">
        <v>903</v>
      </c>
      <c r="D5" s="976"/>
      <c r="E5" s="977"/>
      <c r="F5" s="976"/>
      <c r="G5" s="976"/>
      <c r="H5" s="976"/>
      <c r="I5" s="976"/>
      <c r="J5" s="480"/>
    </row>
    <row r="6" spans="1:13" s="404" customFormat="1">
      <c r="A6" s="480"/>
      <c r="B6" s="655"/>
      <c r="C6" s="730" t="s">
        <v>904</v>
      </c>
      <c r="D6" s="976"/>
      <c r="E6" s="977"/>
      <c r="F6" s="976"/>
      <c r="G6" s="976"/>
      <c r="H6" s="976"/>
      <c r="I6" s="976"/>
      <c r="J6" s="480"/>
    </row>
    <row r="7" spans="1:13" ht="16" thickBot="1">
      <c r="A7" s="978"/>
      <c r="B7" s="978"/>
      <c r="C7" s="978"/>
      <c r="D7" s="978"/>
      <c r="E7" s="979"/>
      <c r="F7" s="978"/>
      <c r="G7" s="978"/>
      <c r="H7" s="978"/>
      <c r="I7" s="978"/>
      <c r="J7" s="377"/>
    </row>
    <row r="8" spans="1:13" ht="5.25" customHeight="1">
      <c r="A8" s="377"/>
      <c r="B8" s="377"/>
      <c r="C8" s="377"/>
      <c r="D8" s="377"/>
      <c r="E8" s="722"/>
      <c r="F8" s="377"/>
      <c r="G8" s="377"/>
      <c r="H8" s="377"/>
      <c r="I8" s="377"/>
      <c r="J8" s="377"/>
    </row>
    <row r="9" spans="1:13" ht="15.25" customHeight="1">
      <c r="A9" s="980"/>
      <c r="B9" s="1382" t="s">
        <v>905</v>
      </c>
      <c r="C9" s="1382"/>
      <c r="D9" s="981"/>
      <c r="E9" s="982" t="s">
        <v>906</v>
      </c>
      <c r="F9" s="981"/>
      <c r="G9" s="1383" t="s">
        <v>907</v>
      </c>
      <c r="H9" s="983"/>
      <c r="I9" s="1383" t="s">
        <v>908</v>
      </c>
      <c r="J9" s="984"/>
      <c r="K9" s="982"/>
    </row>
    <row r="10" spans="1:13">
      <c r="A10" s="980"/>
      <c r="B10" s="1382"/>
      <c r="C10" s="1382"/>
      <c r="D10" s="981"/>
      <c r="E10" s="985" t="s">
        <v>909</v>
      </c>
      <c r="F10" s="981"/>
      <c r="G10" s="1383"/>
      <c r="H10" s="981"/>
      <c r="I10" s="1383"/>
      <c r="J10" s="984"/>
      <c r="K10" s="982"/>
    </row>
    <row r="11" spans="1:13" ht="10.5" customHeight="1" thickBot="1">
      <c r="A11" s="986"/>
      <c r="B11" s="987"/>
      <c r="C11" s="987"/>
      <c r="D11" s="988"/>
      <c r="E11" s="988"/>
      <c r="F11" s="988"/>
      <c r="G11" s="988"/>
      <c r="H11" s="988"/>
      <c r="I11" s="988"/>
      <c r="J11" s="984"/>
      <c r="K11" s="982"/>
    </row>
    <row r="12" spans="1:13">
      <c r="B12" s="306"/>
      <c r="C12" s="982"/>
      <c r="D12" s="982"/>
      <c r="E12" s="980"/>
      <c r="F12" s="989"/>
      <c r="G12" s="989"/>
      <c r="H12" s="989"/>
      <c r="I12" s="989"/>
      <c r="K12" s="982"/>
    </row>
    <row r="13" spans="1:13">
      <c r="B13" s="990" t="s">
        <v>910</v>
      </c>
      <c r="C13" s="348"/>
      <c r="D13" s="991"/>
      <c r="E13" s="992">
        <v>12.2</v>
      </c>
      <c r="F13" s="348"/>
      <c r="G13" s="348">
        <v>108.7</v>
      </c>
      <c r="H13" s="993"/>
      <c r="I13" s="348">
        <v>1.6</v>
      </c>
      <c r="J13" s="994"/>
      <c r="K13" s="995"/>
      <c r="M13" s="983"/>
    </row>
    <row r="14" spans="1:13" ht="7.5" customHeight="1">
      <c r="B14" s="985"/>
      <c r="C14" s="348"/>
      <c r="D14" s="991"/>
      <c r="E14" s="992"/>
      <c r="F14" s="348"/>
      <c r="G14" s="348"/>
      <c r="H14" s="993"/>
      <c r="I14" s="348"/>
      <c r="J14" s="994"/>
      <c r="K14" s="995"/>
    </row>
    <row r="15" spans="1:13">
      <c r="B15" s="990" t="s">
        <v>911</v>
      </c>
      <c r="C15" s="348"/>
      <c r="D15" s="991"/>
      <c r="E15" s="992">
        <v>2.2000000000000002</v>
      </c>
      <c r="F15" s="348"/>
      <c r="G15" s="348">
        <v>16.2</v>
      </c>
      <c r="H15" s="993"/>
      <c r="I15" s="348">
        <v>92.6</v>
      </c>
      <c r="J15" s="994"/>
      <c r="K15" s="995"/>
    </row>
    <row r="16" spans="1:13" ht="7.5" customHeight="1">
      <c r="B16" s="990"/>
      <c r="C16" s="348"/>
      <c r="D16" s="991"/>
      <c r="E16" s="992"/>
      <c r="F16" s="348"/>
      <c r="G16" s="348"/>
      <c r="H16" s="993"/>
      <c r="I16" s="348"/>
      <c r="J16" s="994"/>
      <c r="K16" s="995"/>
    </row>
    <row r="17" spans="2:11">
      <c r="B17" s="985" t="s">
        <v>912</v>
      </c>
      <c r="C17" s="348"/>
      <c r="D17" s="991"/>
      <c r="E17" s="992">
        <v>23</v>
      </c>
      <c r="F17" s="348"/>
      <c r="G17" s="348">
        <v>69.599999999999994</v>
      </c>
      <c r="H17" s="993"/>
      <c r="I17" s="348">
        <v>31.8</v>
      </c>
      <c r="J17" s="994"/>
      <c r="K17" s="995"/>
    </row>
    <row r="18" spans="2:11" ht="7.5" customHeight="1">
      <c r="B18" s="985"/>
      <c r="C18" s="348"/>
      <c r="D18" s="991"/>
      <c r="E18" s="992"/>
      <c r="F18" s="348"/>
      <c r="G18" s="348"/>
      <c r="H18" s="993"/>
      <c r="I18" s="348"/>
      <c r="J18" s="994"/>
      <c r="K18" s="995"/>
    </row>
    <row r="19" spans="2:11">
      <c r="B19" s="990" t="s">
        <v>913</v>
      </c>
      <c r="C19" s="348"/>
      <c r="D19" s="991"/>
      <c r="E19" s="992">
        <v>8.4</v>
      </c>
      <c r="F19" s="348"/>
      <c r="G19" s="348">
        <v>104.3</v>
      </c>
      <c r="H19" s="993"/>
      <c r="I19" s="348">
        <v>0.3</v>
      </c>
      <c r="J19" s="994"/>
      <c r="K19" s="995"/>
    </row>
    <row r="20" spans="2:11" ht="7.5" customHeight="1">
      <c r="B20" s="990"/>
      <c r="C20" s="348"/>
      <c r="D20" s="991"/>
      <c r="E20" s="992"/>
      <c r="F20" s="348"/>
      <c r="G20" s="348"/>
      <c r="H20" s="993"/>
      <c r="I20" s="348"/>
      <c r="J20" s="994"/>
      <c r="K20" s="995"/>
    </row>
    <row r="21" spans="2:11">
      <c r="B21" s="990" t="s">
        <v>914</v>
      </c>
      <c r="C21" s="348"/>
      <c r="D21" s="991"/>
      <c r="E21" s="992">
        <v>2.6</v>
      </c>
      <c r="F21" s="348"/>
      <c r="G21" s="348">
        <v>139.5</v>
      </c>
      <c r="H21" s="993"/>
      <c r="I21" s="348">
        <v>7.5</v>
      </c>
      <c r="J21" s="994"/>
      <c r="K21" s="995"/>
    </row>
    <row r="22" spans="2:11" ht="7.5" customHeight="1">
      <c r="B22" s="985"/>
      <c r="C22" s="348"/>
      <c r="D22" s="991"/>
      <c r="E22" s="992"/>
      <c r="F22" s="348"/>
      <c r="G22" s="348"/>
      <c r="H22" s="993"/>
      <c r="I22" s="348"/>
      <c r="J22" s="994"/>
      <c r="K22" s="995"/>
    </row>
    <row r="23" spans="2:11">
      <c r="B23" s="990" t="s">
        <v>915</v>
      </c>
      <c r="C23" s="348"/>
      <c r="D23" s="991"/>
      <c r="E23" s="992">
        <v>2.2000000000000002</v>
      </c>
      <c r="F23" s="348"/>
      <c r="G23" s="348">
        <v>29.3</v>
      </c>
      <c r="H23" s="993"/>
      <c r="I23" s="348">
        <v>75.099999999999994</v>
      </c>
      <c r="J23" s="994"/>
      <c r="K23" s="995"/>
    </row>
    <row r="24" spans="2:11" ht="7.5" customHeight="1">
      <c r="B24" s="990"/>
      <c r="C24" s="348"/>
      <c r="D24" s="991"/>
      <c r="E24" s="992"/>
      <c r="F24" s="348"/>
      <c r="G24" s="348"/>
      <c r="H24" s="993"/>
      <c r="I24" s="348"/>
      <c r="J24" s="994"/>
      <c r="K24" s="995"/>
    </row>
    <row r="25" spans="2:11">
      <c r="B25" s="990" t="s">
        <v>916</v>
      </c>
      <c r="C25" s="348"/>
      <c r="D25" s="991"/>
      <c r="E25" s="992">
        <v>1.7</v>
      </c>
      <c r="F25" s="348"/>
      <c r="G25" s="348">
        <v>14.6</v>
      </c>
      <c r="H25" s="993"/>
      <c r="I25" s="348">
        <v>86.5</v>
      </c>
      <c r="J25" s="994"/>
      <c r="K25" s="995"/>
    </row>
    <row r="26" spans="2:11" ht="7.5" customHeight="1">
      <c r="B26" s="985"/>
      <c r="C26" s="348"/>
      <c r="D26" s="991"/>
      <c r="E26" s="992"/>
      <c r="F26" s="348"/>
      <c r="G26" s="348"/>
      <c r="H26" s="993"/>
      <c r="I26" s="348"/>
      <c r="J26" s="994"/>
      <c r="K26" s="995"/>
    </row>
    <row r="27" spans="2:11">
      <c r="B27" s="990" t="s">
        <v>917</v>
      </c>
      <c r="C27" s="348"/>
      <c r="D27" s="991"/>
      <c r="E27" s="992">
        <v>6.6</v>
      </c>
      <c r="F27" s="348"/>
      <c r="G27" s="348">
        <v>40.299999999999997</v>
      </c>
      <c r="H27" s="993"/>
      <c r="I27" s="348">
        <v>61.3</v>
      </c>
      <c r="J27" s="994"/>
      <c r="K27" s="995"/>
    </row>
    <row r="28" spans="2:11" ht="7.5" customHeight="1">
      <c r="B28" s="990"/>
      <c r="C28" s="348"/>
      <c r="D28" s="991"/>
      <c r="E28" s="992"/>
      <c r="F28" s="348"/>
      <c r="G28" s="348"/>
      <c r="H28" s="993"/>
      <c r="I28" s="348"/>
      <c r="J28" s="994"/>
      <c r="K28" s="995"/>
    </row>
    <row r="29" spans="2:11">
      <c r="B29" s="990" t="s">
        <v>918</v>
      </c>
      <c r="C29" s="348"/>
      <c r="D29" s="991"/>
      <c r="E29" s="992">
        <v>2.1</v>
      </c>
      <c r="F29" s="348"/>
      <c r="G29" s="348">
        <v>112</v>
      </c>
      <c r="H29" s="993"/>
      <c r="I29" s="348">
        <v>1.8</v>
      </c>
      <c r="J29" s="994"/>
      <c r="K29" s="995"/>
    </row>
    <row r="30" spans="2:11" ht="7.5" customHeight="1">
      <c r="B30" s="985"/>
      <c r="C30" s="348"/>
      <c r="D30" s="991"/>
      <c r="E30" s="992"/>
      <c r="F30" s="348"/>
      <c r="G30" s="348"/>
      <c r="H30" s="993"/>
      <c r="I30" s="348"/>
      <c r="J30" s="994"/>
      <c r="K30" s="995"/>
    </row>
    <row r="31" spans="2:11">
      <c r="B31" s="990" t="s">
        <v>919</v>
      </c>
      <c r="C31" s="348"/>
      <c r="D31" s="991"/>
      <c r="E31" s="992">
        <v>2.6</v>
      </c>
      <c r="F31" s="348"/>
      <c r="G31" s="348">
        <v>111.7</v>
      </c>
      <c r="H31" s="993"/>
      <c r="I31" s="348">
        <v>14.5</v>
      </c>
      <c r="J31" s="994"/>
      <c r="K31" s="995"/>
    </row>
    <row r="32" spans="2:11" ht="7.5" customHeight="1">
      <c r="B32" s="985"/>
      <c r="C32" s="348"/>
      <c r="D32" s="991"/>
      <c r="E32" s="992"/>
      <c r="F32" s="348"/>
      <c r="G32" s="348"/>
      <c r="H32" s="993"/>
      <c r="I32" s="348"/>
      <c r="J32" s="994"/>
      <c r="K32" s="995"/>
    </row>
    <row r="33" spans="2:11">
      <c r="B33" s="990" t="s">
        <v>920</v>
      </c>
      <c r="C33" s="348"/>
      <c r="D33" s="991"/>
      <c r="E33" s="992">
        <v>4.2</v>
      </c>
      <c r="F33" s="348"/>
      <c r="G33" s="348">
        <v>118.9</v>
      </c>
      <c r="H33" s="993"/>
      <c r="I33" s="348">
        <v>4.4000000000000004</v>
      </c>
      <c r="J33" s="994"/>
      <c r="K33" s="995"/>
    </row>
    <row r="34" spans="2:11" ht="7.5" customHeight="1">
      <c r="B34" s="985"/>
      <c r="C34" s="348"/>
      <c r="D34" s="722"/>
      <c r="E34" s="992"/>
      <c r="F34" s="348"/>
      <c r="G34" s="348"/>
      <c r="H34" s="993"/>
      <c r="I34" s="348"/>
      <c r="J34" s="994"/>
      <c r="K34" s="995"/>
    </row>
    <row r="35" spans="2:11">
      <c r="B35" s="990" t="s">
        <v>921</v>
      </c>
      <c r="C35" s="348"/>
      <c r="D35" s="996"/>
      <c r="E35" s="992">
        <v>4.7</v>
      </c>
      <c r="F35" s="348"/>
      <c r="G35" s="348">
        <v>97</v>
      </c>
      <c r="H35" s="993"/>
      <c r="I35" s="348">
        <v>7</v>
      </c>
      <c r="J35" s="994"/>
      <c r="K35" s="995"/>
    </row>
    <row r="36" spans="2:11" ht="7.5" customHeight="1">
      <c r="B36" s="985"/>
      <c r="C36" s="348"/>
      <c r="D36" s="377"/>
      <c r="E36" s="992"/>
      <c r="F36" s="348"/>
      <c r="G36" s="348"/>
      <c r="H36" s="348"/>
      <c r="I36" s="348"/>
      <c r="J36" s="994"/>
      <c r="K36" s="995"/>
    </row>
    <row r="37" spans="2:11" s="404" customFormat="1">
      <c r="B37" s="997" t="s">
        <v>922</v>
      </c>
      <c r="C37" s="399"/>
      <c r="D37" s="480"/>
      <c r="E37" s="998">
        <v>46.1</v>
      </c>
      <c r="F37" s="399"/>
      <c r="G37" s="399">
        <v>99.9</v>
      </c>
      <c r="H37" s="399"/>
      <c r="I37" s="399">
        <v>6.1</v>
      </c>
      <c r="J37" s="999"/>
      <c r="K37" s="1000"/>
    </row>
    <row r="38" spans="2:11" s="404" customFormat="1" ht="7.5" customHeight="1">
      <c r="B38" s="1001"/>
      <c r="C38" s="399"/>
      <c r="D38" s="480"/>
      <c r="E38" s="998"/>
      <c r="F38" s="399"/>
      <c r="G38" s="399"/>
      <c r="H38" s="399"/>
      <c r="I38" s="399"/>
      <c r="J38" s="999"/>
      <c r="K38" s="1000"/>
    </row>
    <row r="39" spans="2:11" s="404" customFormat="1">
      <c r="B39" s="997" t="s">
        <v>923</v>
      </c>
      <c r="C39" s="399"/>
      <c r="D39" s="480"/>
      <c r="E39" s="998">
        <v>1.6</v>
      </c>
      <c r="F39" s="399"/>
      <c r="G39" s="399">
        <v>130.6</v>
      </c>
      <c r="H39" s="399"/>
      <c r="I39" s="399">
        <v>1.9E-2</v>
      </c>
      <c r="J39" s="999"/>
      <c r="K39" s="1000"/>
    </row>
    <row r="40" spans="2:11" ht="7.5" customHeight="1">
      <c r="B40" s="990"/>
      <c r="C40" s="348"/>
      <c r="D40" s="377"/>
      <c r="E40" s="992"/>
      <c r="F40" s="348"/>
      <c r="G40" s="348"/>
      <c r="H40" s="348"/>
      <c r="I40" s="348"/>
      <c r="J40" s="994"/>
      <c r="K40" s="995"/>
    </row>
    <row r="41" spans="2:11" ht="15.25" customHeight="1">
      <c r="B41" s="990" t="s">
        <v>924</v>
      </c>
      <c r="C41" s="348"/>
      <c r="D41" s="377"/>
      <c r="E41" s="992">
        <v>20.8</v>
      </c>
      <c r="F41" s="348"/>
      <c r="G41" s="348">
        <v>114.4</v>
      </c>
      <c r="H41" s="348"/>
      <c r="I41" s="348" t="s">
        <v>437</v>
      </c>
      <c r="J41" s="994"/>
      <c r="K41" s="995"/>
    </row>
    <row r="42" spans="2:11" ht="7.25" customHeight="1">
      <c r="B42" s="990"/>
      <c r="C42" s="348"/>
      <c r="D42" s="377"/>
      <c r="E42" s="992"/>
      <c r="F42" s="348"/>
      <c r="G42" s="348"/>
      <c r="H42" s="348"/>
      <c r="I42" s="348"/>
      <c r="J42" s="994"/>
      <c r="K42" s="995"/>
    </row>
    <row r="43" spans="2:11">
      <c r="B43" s="990" t="s">
        <v>925</v>
      </c>
      <c r="C43" s="348"/>
      <c r="D43" s="377"/>
      <c r="E43" s="992">
        <v>1</v>
      </c>
      <c r="F43" s="348"/>
      <c r="G43" s="348">
        <v>10.7</v>
      </c>
      <c r="H43" s="348"/>
      <c r="I43" s="348">
        <v>89.4</v>
      </c>
      <c r="J43" s="994"/>
      <c r="K43" s="995"/>
    </row>
    <row r="44" spans="2:11" ht="7.5" customHeight="1">
      <c r="B44" s="985"/>
      <c r="C44" s="348"/>
      <c r="D44" s="377"/>
      <c r="E44" s="992"/>
      <c r="F44" s="348"/>
      <c r="G44" s="348"/>
      <c r="H44" s="348"/>
      <c r="I44" s="348"/>
      <c r="J44" s="994"/>
      <c r="K44" s="995"/>
    </row>
    <row r="45" spans="2:11">
      <c r="B45" s="990" t="s">
        <v>926</v>
      </c>
      <c r="C45" s="348"/>
      <c r="D45" s="377"/>
      <c r="E45" s="992">
        <v>5.5</v>
      </c>
      <c r="F45" s="348"/>
      <c r="G45" s="348">
        <v>18.899999999999999</v>
      </c>
      <c r="H45" s="348"/>
      <c r="I45" s="348">
        <v>81.599999999999994</v>
      </c>
      <c r="J45" s="994"/>
      <c r="K45" s="995"/>
    </row>
    <row r="46" spans="2:11" ht="7.5" customHeight="1">
      <c r="B46" s="985"/>
      <c r="C46" s="348"/>
      <c r="D46" s="377"/>
      <c r="E46" s="992"/>
      <c r="F46" s="348"/>
      <c r="G46" s="348"/>
      <c r="H46" s="348"/>
      <c r="I46" s="348"/>
      <c r="J46" s="994"/>
      <c r="K46" s="995"/>
    </row>
    <row r="47" spans="2:11">
      <c r="B47" s="990" t="s">
        <v>927</v>
      </c>
      <c r="C47" s="348"/>
      <c r="D47" s="377"/>
      <c r="E47" s="992">
        <v>17.3</v>
      </c>
      <c r="F47" s="348"/>
      <c r="G47" s="348">
        <v>93.4</v>
      </c>
      <c r="H47" s="348"/>
      <c r="I47" s="348">
        <v>7.1</v>
      </c>
      <c r="J47" s="994"/>
      <c r="K47" s="995"/>
    </row>
    <row r="48" spans="2:11" ht="7.5" customHeight="1">
      <c r="B48" s="990"/>
      <c r="C48" s="348"/>
      <c r="D48" s="377"/>
      <c r="E48" s="992"/>
      <c r="F48" s="348"/>
      <c r="G48" s="348"/>
      <c r="H48" s="348"/>
      <c r="I48" s="348"/>
      <c r="J48" s="994"/>
      <c r="K48" s="995"/>
    </row>
    <row r="49" spans="1:14">
      <c r="B49" s="990" t="s">
        <v>928</v>
      </c>
      <c r="C49" s="348"/>
      <c r="D49" s="377"/>
      <c r="E49" s="992">
        <v>2.1</v>
      </c>
      <c r="F49" s="348"/>
      <c r="G49" s="348">
        <v>56.7</v>
      </c>
      <c r="H49" s="348"/>
      <c r="I49" s="348">
        <v>62.9</v>
      </c>
      <c r="J49" s="994"/>
      <c r="K49" s="995"/>
    </row>
    <row r="50" spans="1:14" ht="7.5" customHeight="1">
      <c r="B50" s="985"/>
      <c r="C50" s="348"/>
      <c r="D50" s="377"/>
      <c r="E50" s="992"/>
      <c r="F50" s="348"/>
      <c r="G50" s="348"/>
      <c r="H50" s="348"/>
      <c r="I50" s="348"/>
      <c r="J50" s="994"/>
      <c r="K50" s="995"/>
    </row>
    <row r="51" spans="1:14" ht="15.25" customHeight="1">
      <c r="B51" s="990" t="s">
        <v>929</v>
      </c>
      <c r="C51" s="348"/>
      <c r="D51" s="377"/>
      <c r="E51" s="992">
        <v>4.5999999999999996</v>
      </c>
      <c r="F51" s="348"/>
      <c r="G51" s="348">
        <v>100.4</v>
      </c>
      <c r="H51" s="348"/>
      <c r="I51" s="348">
        <v>19.3</v>
      </c>
      <c r="J51" s="994"/>
      <c r="K51" s="995"/>
    </row>
    <row r="52" spans="1:14" ht="7.5" customHeight="1">
      <c r="B52" s="985"/>
      <c r="C52" s="348"/>
      <c r="D52" s="377"/>
      <c r="E52" s="992"/>
      <c r="F52" s="348"/>
      <c r="G52" s="348"/>
      <c r="H52" s="348"/>
      <c r="I52" s="348"/>
      <c r="J52" s="994"/>
      <c r="K52" s="995"/>
    </row>
    <row r="53" spans="1:14" ht="15.25" customHeight="1">
      <c r="B53" s="990" t="s">
        <v>930</v>
      </c>
      <c r="C53" s="348"/>
      <c r="D53" s="377"/>
      <c r="E53" s="992">
        <v>2.4</v>
      </c>
      <c r="F53" s="348"/>
      <c r="G53" s="348">
        <v>74.900000000000006</v>
      </c>
      <c r="H53" s="348"/>
      <c r="I53" s="348">
        <v>25.5</v>
      </c>
      <c r="J53" s="994"/>
      <c r="K53" s="995"/>
    </row>
    <row r="54" spans="1:14" ht="7.5" customHeight="1" thickBot="1">
      <c r="A54" s="1002"/>
      <c r="B54" s="1002"/>
      <c r="C54" s="1002"/>
      <c r="D54" s="1002"/>
      <c r="E54" s="1003"/>
      <c r="F54" s="1002"/>
      <c r="G54" s="1002"/>
      <c r="H54" s="1002"/>
      <c r="I54" s="1002"/>
      <c r="J54" s="307"/>
      <c r="K54" s="307"/>
    </row>
    <row r="55" spans="1:14" ht="13.5" customHeight="1" thickTop="1">
      <c r="A55" s="698"/>
      <c r="B55" s="698"/>
      <c r="C55" s="698"/>
      <c r="D55" s="698"/>
      <c r="E55" s="1384" t="s">
        <v>31</v>
      </c>
      <c r="F55" s="1384"/>
      <c r="G55" s="1384"/>
      <c r="H55" s="1384"/>
      <c r="I55" s="1384"/>
      <c r="J55" s="1004"/>
      <c r="K55" s="307"/>
    </row>
    <row r="56" spans="1:14" ht="13.5" customHeight="1">
      <c r="A56" s="698"/>
      <c r="B56" s="698"/>
      <c r="C56" s="698"/>
      <c r="D56" s="698"/>
      <c r="E56" s="1385" t="s">
        <v>32</v>
      </c>
      <c r="F56" s="1385"/>
      <c r="G56" s="1385"/>
      <c r="H56" s="1385"/>
      <c r="I56" s="1385"/>
      <c r="J56" s="1006"/>
      <c r="K56" s="307"/>
    </row>
    <row r="57" spans="1:14" s="1007" customFormat="1" ht="13.5" customHeight="1">
      <c r="A57" s="698"/>
      <c r="B57" s="1004" t="s">
        <v>931</v>
      </c>
      <c r="C57" s="698"/>
      <c r="D57" s="698"/>
      <c r="E57" s="717"/>
      <c r="F57" s="339"/>
      <c r="G57" s="339"/>
      <c r="H57" s="339"/>
      <c r="I57" s="339"/>
      <c r="J57" s="1005"/>
      <c r="K57" s="339"/>
    </row>
    <row r="58" spans="1:14" s="1007" customFormat="1" ht="8" customHeight="1">
      <c r="A58" s="698"/>
      <c r="B58" s="1004"/>
      <c r="C58" s="698"/>
      <c r="D58" s="698"/>
      <c r="E58" s="717"/>
      <c r="F58" s="339"/>
      <c r="G58" s="339"/>
      <c r="H58" s="339"/>
      <c r="I58" s="339"/>
      <c r="J58" s="1005"/>
      <c r="K58" s="339"/>
    </row>
    <row r="59" spans="1:14" s="1007" customFormat="1" ht="7.5" customHeight="1">
      <c r="A59" s="703"/>
      <c r="B59" s="1008"/>
      <c r="C59" s="698"/>
      <c r="D59" s="698"/>
      <c r="E59" s="717"/>
      <c r="F59" s="339"/>
      <c r="G59" s="339"/>
      <c r="H59" s="339"/>
      <c r="I59" s="339"/>
      <c r="J59" s="339"/>
      <c r="K59" s="339"/>
    </row>
    <row r="60" spans="1:14" s="1007" customFormat="1" ht="13">
      <c r="A60" s="704" t="s">
        <v>34</v>
      </c>
      <c r="B60" s="1008" t="s">
        <v>932</v>
      </c>
      <c r="C60" s="698"/>
      <c r="D60" s="698"/>
      <c r="E60" s="717"/>
      <c r="F60" s="339"/>
      <c r="G60" s="339"/>
      <c r="H60" s="339"/>
      <c r="I60" s="339"/>
      <c r="J60" s="339"/>
      <c r="K60" s="339"/>
    </row>
    <row r="61" spans="1:14" s="1007" customFormat="1" ht="12">
      <c r="A61" s="703"/>
      <c r="B61" s="1009" t="s">
        <v>933</v>
      </c>
      <c r="C61" s="698"/>
      <c r="D61" s="698"/>
      <c r="E61" s="717"/>
      <c r="F61" s="339"/>
      <c r="G61" s="339"/>
      <c r="H61" s="339"/>
      <c r="I61" s="339"/>
      <c r="J61" s="339"/>
      <c r="K61" s="339"/>
    </row>
    <row r="62" spans="1:14" s="1007" customFormat="1" ht="8" customHeight="1">
      <c r="A62" s="703"/>
      <c r="B62" s="1008"/>
      <c r="C62" s="698"/>
      <c r="D62" s="698"/>
      <c r="E62" s="717"/>
      <c r="F62" s="339"/>
      <c r="G62" s="339"/>
      <c r="H62" s="339"/>
      <c r="I62" s="339"/>
      <c r="J62" s="339"/>
      <c r="K62" s="339"/>
    </row>
    <row r="63" spans="1:14" s="698" customFormat="1" ht="12">
      <c r="A63" s="704" t="s">
        <v>37</v>
      </c>
      <c r="B63" s="1386" t="s">
        <v>934</v>
      </c>
      <c r="C63" s="1386"/>
      <c r="D63" s="1386"/>
      <c r="E63" s="1386"/>
      <c r="F63" s="1386"/>
      <c r="G63" s="1386"/>
      <c r="H63" s="1386"/>
      <c r="I63" s="1386"/>
      <c r="J63" s="339"/>
      <c r="K63" s="1010"/>
      <c r="L63" s="1010"/>
      <c r="M63" s="339"/>
      <c r="N63" s="339"/>
    </row>
    <row r="64" spans="1:14" s="698" customFormat="1" ht="12">
      <c r="A64" s="703"/>
      <c r="B64" s="1379" t="s">
        <v>935</v>
      </c>
      <c r="C64" s="1379"/>
      <c r="D64" s="1379"/>
      <c r="E64" s="1379"/>
      <c r="F64" s="1379"/>
      <c r="G64" s="1379"/>
      <c r="H64" s="1379"/>
      <c r="I64" s="1379"/>
    </row>
    <row r="65" spans="1:9" s="698" customFormat="1" ht="7.5" customHeight="1">
      <c r="A65" s="703"/>
      <c r="B65" s="1011"/>
      <c r="C65" s="1011"/>
      <c r="D65" s="1011"/>
      <c r="E65" s="1012"/>
      <c r="F65" s="1011"/>
      <c r="G65" s="1011"/>
      <c r="H65" s="1011"/>
      <c r="I65" s="1011"/>
    </row>
    <row r="66" spans="1:9" s="698" customFormat="1" ht="12">
      <c r="A66" s="704" t="s">
        <v>272</v>
      </c>
      <c r="B66" s="1380" t="s">
        <v>936</v>
      </c>
      <c r="C66" s="1380"/>
      <c r="D66" s="1380"/>
      <c r="E66" s="1380"/>
      <c r="F66" s="1380"/>
      <c r="G66" s="1380"/>
      <c r="H66" s="1380"/>
      <c r="I66" s="1380"/>
    </row>
    <row r="67" spans="1:9" s="698" customFormat="1" ht="12">
      <c r="A67" s="703"/>
      <c r="B67" s="1380"/>
      <c r="C67" s="1380"/>
      <c r="D67" s="1380"/>
      <c r="E67" s="1380"/>
      <c r="F67" s="1380"/>
      <c r="G67" s="1380"/>
      <c r="H67" s="1380"/>
      <c r="I67" s="1380"/>
    </row>
    <row r="68" spans="1:9" s="698" customFormat="1" ht="12">
      <c r="A68" s="703"/>
      <c r="B68" s="1381" t="s">
        <v>937</v>
      </c>
      <c r="C68" s="1381"/>
      <c r="D68" s="1381"/>
      <c r="E68" s="1381"/>
      <c r="F68" s="1381"/>
      <c r="G68" s="1381"/>
      <c r="H68" s="1381"/>
      <c r="I68" s="1381"/>
    </row>
    <row r="69" spans="1:9" s="698" customFormat="1" ht="12">
      <c r="A69" s="703"/>
      <c r="B69" s="1381"/>
      <c r="C69" s="1381"/>
      <c r="D69" s="1381"/>
      <c r="E69" s="1381"/>
      <c r="F69" s="1381"/>
      <c r="G69" s="1381"/>
      <c r="H69" s="1381"/>
      <c r="I69" s="1381"/>
    </row>
    <row r="70" spans="1:9" s="698" customFormat="1" ht="7.5" customHeight="1">
      <c r="A70" s="703"/>
      <c r="B70" s="1013"/>
      <c r="C70" s="1013"/>
      <c r="D70" s="1013"/>
      <c r="E70" s="1014"/>
      <c r="F70" s="1013"/>
      <c r="G70" s="1013"/>
      <c r="H70" s="1013"/>
      <c r="I70" s="1013"/>
    </row>
    <row r="71" spans="1:9" s="698" customFormat="1" ht="12">
      <c r="A71" s="704" t="s">
        <v>938</v>
      </c>
      <c r="B71" s="1380" t="s">
        <v>939</v>
      </c>
      <c r="C71" s="1380"/>
      <c r="D71" s="1380"/>
      <c r="E71" s="1380"/>
      <c r="F71" s="1380"/>
      <c r="G71" s="1380"/>
      <c r="H71" s="1380"/>
      <c r="I71" s="1380"/>
    </row>
    <row r="72" spans="1:9" s="698" customFormat="1" ht="12">
      <c r="A72" s="703"/>
      <c r="B72" s="1380"/>
      <c r="C72" s="1380"/>
      <c r="D72" s="1380"/>
      <c r="E72" s="1380"/>
      <c r="F72" s="1380"/>
      <c r="G72" s="1380"/>
      <c r="H72" s="1380"/>
      <c r="I72" s="1380"/>
    </row>
    <row r="73" spans="1:9" s="698" customFormat="1" ht="12">
      <c r="A73" s="703"/>
      <c r="B73" s="1381" t="s">
        <v>940</v>
      </c>
      <c r="C73" s="1381"/>
      <c r="D73" s="1381"/>
      <c r="E73" s="1381"/>
      <c r="F73" s="1381"/>
      <c r="G73" s="1381"/>
      <c r="H73" s="1381"/>
      <c r="I73" s="1381"/>
    </row>
    <row r="74" spans="1:9" s="698" customFormat="1" ht="12">
      <c r="A74" s="703"/>
      <c r="B74" s="1381"/>
      <c r="C74" s="1381"/>
      <c r="D74" s="1381"/>
      <c r="E74" s="1381"/>
      <c r="F74" s="1381"/>
      <c r="G74" s="1381"/>
      <c r="H74" s="1381"/>
      <c r="I74" s="1381"/>
    </row>
  </sheetData>
  <mergeCells count="11">
    <mergeCell ref="B63:I63"/>
    <mergeCell ref="B9:C10"/>
    <mergeCell ref="G9:G10"/>
    <mergeCell ref="I9:I10"/>
    <mergeCell ref="E55:I55"/>
    <mergeCell ref="E56:I56"/>
    <mergeCell ref="B64:I64"/>
    <mergeCell ref="B66:I67"/>
    <mergeCell ref="B68:I69"/>
    <mergeCell ref="B71:I72"/>
    <mergeCell ref="B73:I74"/>
  </mergeCells>
  <conditionalFormatting sqref="C13:C53">
    <cfRule type="cellIs" dxfId="3" priority="1"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76" fitToWidth="0" fitToHeight="0"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2ADB3-2886-4618-BC4A-EB38938F6E9C}">
  <sheetPr codeName="Sheet57">
    <pageSetUpPr fitToPage="1"/>
  </sheetPr>
  <dimension ref="A1:W57"/>
  <sheetViews>
    <sheetView view="pageBreakPreview" zoomScaleNormal="100" zoomScaleSheetLayoutView="100" workbookViewId="0">
      <selection activeCell="D60" sqref="D60"/>
    </sheetView>
  </sheetViews>
  <sheetFormatPr baseColWidth="10" defaultColWidth="8.83203125" defaultRowHeight="15"/>
  <cols>
    <col min="1" max="1" width="3.6640625" customWidth="1"/>
    <col min="2" max="2" width="14.33203125" customWidth="1"/>
    <col min="3" max="3" width="5.33203125" customWidth="1"/>
    <col min="5" max="5" width="2.5" customWidth="1"/>
    <col min="7" max="7" width="2.5" customWidth="1"/>
    <col min="9" max="9" width="2.5" customWidth="1"/>
    <col min="11" max="11" width="2.5" customWidth="1"/>
    <col min="12" max="12" width="16.1640625" customWidth="1"/>
    <col min="13" max="13" width="2.5" customWidth="1"/>
    <col min="15" max="15" width="2.5" customWidth="1"/>
    <col min="17" max="17" width="2.5" customWidth="1"/>
  </cols>
  <sheetData>
    <row r="1" spans="1:20" ht="7.5" customHeight="1"/>
    <row r="2" spans="1:20" ht="7.5" customHeight="1"/>
    <row r="3" spans="1:20" s="404" customFormat="1" ht="16.5" customHeight="1">
      <c r="A3" s="800"/>
      <c r="B3" s="605" t="s">
        <v>941</v>
      </c>
      <c r="C3" s="1387" t="s">
        <v>942</v>
      </c>
      <c r="D3" s="1387"/>
      <c r="E3" s="1387"/>
      <c r="F3" s="1387"/>
      <c r="G3" s="1387"/>
      <c r="H3" s="1387"/>
      <c r="I3" s="1387"/>
      <c r="J3" s="1387"/>
      <c r="K3" s="1387"/>
      <c r="L3" s="1387"/>
      <c r="M3" s="1387"/>
      <c r="N3" s="1387"/>
      <c r="O3" s="1387"/>
      <c r="P3" s="1387"/>
      <c r="Q3" s="1387"/>
      <c r="R3" s="1387"/>
      <c r="S3" s="480"/>
    </row>
    <row r="4" spans="1:20" s="404" customFormat="1" ht="3.75" customHeight="1">
      <c r="A4" s="800"/>
      <c r="B4" s="975"/>
      <c r="C4" s="1387"/>
      <c r="D4" s="1387"/>
      <c r="E4" s="1387"/>
      <c r="F4" s="1387"/>
      <c r="G4" s="1387"/>
      <c r="H4" s="1387"/>
      <c r="I4" s="1387"/>
      <c r="J4" s="1387"/>
      <c r="K4" s="1387"/>
      <c r="L4" s="1387"/>
      <c r="M4" s="1387"/>
      <c r="N4" s="1387"/>
      <c r="O4" s="1387"/>
      <c r="P4" s="1387"/>
      <c r="Q4" s="1387"/>
      <c r="R4" s="1387"/>
      <c r="S4" s="480"/>
    </row>
    <row r="5" spans="1:20" s="404" customFormat="1" ht="16.5" customHeight="1">
      <c r="A5" s="480"/>
      <c r="B5" s="655" t="s">
        <v>943</v>
      </c>
      <c r="C5" s="1355" t="s">
        <v>944</v>
      </c>
      <c r="D5" s="1355"/>
      <c r="E5" s="1355"/>
      <c r="F5" s="1355"/>
      <c r="G5" s="1355"/>
      <c r="H5" s="1355"/>
      <c r="I5" s="1355"/>
      <c r="J5" s="1355"/>
      <c r="K5" s="1355"/>
      <c r="L5" s="1355"/>
      <c r="M5" s="1355"/>
      <c r="N5" s="1355"/>
      <c r="O5" s="1355"/>
      <c r="P5" s="1355"/>
      <c r="Q5" s="1355"/>
      <c r="R5" s="1355"/>
      <c r="S5" s="480"/>
    </row>
    <row r="6" spans="1:20" s="404" customFormat="1" ht="3.25" customHeight="1">
      <c r="A6" s="480"/>
      <c r="B6" s="655"/>
      <c r="C6" s="1355"/>
      <c r="D6" s="1355"/>
      <c r="E6" s="1355"/>
      <c r="F6" s="1355"/>
      <c r="G6" s="1355"/>
      <c r="H6" s="1355"/>
      <c r="I6" s="1355"/>
      <c r="J6" s="1355"/>
      <c r="K6" s="1355"/>
      <c r="L6" s="1355"/>
      <c r="M6" s="1355"/>
      <c r="N6" s="1355"/>
      <c r="O6" s="1355"/>
      <c r="P6" s="1355"/>
      <c r="Q6" s="1355"/>
      <c r="R6" s="1355"/>
      <c r="S6" s="480"/>
    </row>
    <row r="7" spans="1:20" s="404" customFormat="1" ht="15.25" customHeight="1" thickBot="1">
      <c r="A7" s="1015"/>
      <c r="B7" s="1015"/>
      <c r="C7" s="1015"/>
      <c r="D7" s="1015"/>
      <c r="E7" s="1015"/>
      <c r="F7" s="1015"/>
      <c r="G7" s="1015"/>
      <c r="H7" s="1015"/>
      <c r="I7" s="1015"/>
      <c r="J7" s="1015"/>
      <c r="K7" s="1015"/>
      <c r="L7" s="1015"/>
      <c r="M7" s="1015"/>
      <c r="N7" s="1015"/>
      <c r="O7" s="1015"/>
      <c r="P7" s="1015"/>
      <c r="Q7" s="1015"/>
      <c r="R7" s="1015"/>
      <c r="S7" s="480"/>
    </row>
    <row r="8" spans="1:20" s="404" customFormat="1" ht="5.25" customHeight="1">
      <c r="A8" s="480"/>
      <c r="B8" s="480"/>
      <c r="C8" s="480"/>
      <c r="D8" s="480"/>
      <c r="E8" s="480"/>
      <c r="F8" s="480"/>
      <c r="G8" s="480"/>
      <c r="H8" s="480"/>
      <c r="I8" s="480"/>
      <c r="J8" s="480"/>
      <c r="K8" s="480"/>
      <c r="L8" s="480"/>
      <c r="M8" s="480"/>
      <c r="N8" s="480"/>
      <c r="O8" s="480"/>
      <c r="P8" s="480"/>
      <c r="Q8" s="480"/>
      <c r="R8" s="480"/>
      <c r="S8" s="480"/>
    </row>
    <row r="9" spans="1:20" s="404" customFormat="1" ht="30" customHeight="1">
      <c r="A9" s="1016"/>
      <c r="B9" s="1388" t="s">
        <v>945</v>
      </c>
      <c r="C9" s="1388"/>
      <c r="D9" s="1390" t="s">
        <v>946</v>
      </c>
      <c r="E9" s="1390"/>
      <c r="F9" s="1390"/>
      <c r="G9" s="1390"/>
      <c r="H9" s="1390"/>
      <c r="I9" s="1390"/>
      <c r="J9" s="1390"/>
      <c r="K9" s="1390"/>
      <c r="L9" s="1390"/>
      <c r="M9" s="1390"/>
      <c r="N9" s="1390"/>
      <c r="O9" s="1390"/>
      <c r="P9" s="1390"/>
      <c r="Q9" s="1390"/>
      <c r="R9" s="1390"/>
      <c r="S9" s="1017"/>
      <c r="T9" s="1018"/>
    </row>
    <row r="10" spans="1:20" s="404" customFormat="1" ht="5.25" customHeight="1">
      <c r="A10" s="1016"/>
      <c r="B10" s="1388"/>
      <c r="C10" s="1388"/>
      <c r="D10" s="1019"/>
      <c r="E10" s="1019"/>
      <c r="F10" s="1019"/>
      <c r="G10" s="1019"/>
      <c r="H10" s="1019"/>
      <c r="I10" s="1019"/>
      <c r="J10" s="1019"/>
      <c r="K10" s="1019"/>
      <c r="L10" s="1019"/>
      <c r="M10" s="1019"/>
      <c r="N10" s="1019"/>
      <c r="O10" s="1019"/>
      <c r="P10" s="1019"/>
      <c r="Q10" s="1019"/>
      <c r="R10" s="1019"/>
      <c r="S10" s="1017"/>
      <c r="T10" s="1018"/>
    </row>
    <row r="11" spans="1:20" s="404" customFormat="1">
      <c r="A11" s="1016"/>
      <c r="B11" s="1388"/>
      <c r="C11" s="1388"/>
      <c r="D11" s="1391" t="s">
        <v>914</v>
      </c>
      <c r="E11" s="1021"/>
      <c r="F11" s="1020" t="s">
        <v>947</v>
      </c>
      <c r="G11" s="1021"/>
      <c r="H11" s="1020" t="s">
        <v>948</v>
      </c>
      <c r="I11" s="1021"/>
      <c r="J11" s="1020" t="s">
        <v>949</v>
      </c>
      <c r="K11" s="1021"/>
      <c r="L11" s="1020" t="s">
        <v>950</v>
      </c>
      <c r="M11" s="1021"/>
      <c r="N11" s="1020" t="s">
        <v>951</v>
      </c>
      <c r="O11" s="1021"/>
      <c r="P11" s="1391" t="s">
        <v>924</v>
      </c>
      <c r="Q11" s="1021"/>
      <c r="R11" s="1020" t="s">
        <v>952</v>
      </c>
      <c r="S11" s="1017"/>
      <c r="T11" s="1018"/>
    </row>
    <row r="12" spans="1:20" s="404" customFormat="1" ht="16" thickBot="1">
      <c r="A12" s="1022"/>
      <c r="B12" s="1389"/>
      <c r="C12" s="1389"/>
      <c r="D12" s="1392"/>
      <c r="E12" s="1023"/>
      <c r="F12" s="1024" t="s">
        <v>953</v>
      </c>
      <c r="G12" s="1023"/>
      <c r="H12" s="1024" t="s">
        <v>954</v>
      </c>
      <c r="I12" s="1023"/>
      <c r="J12" s="1024" t="s">
        <v>955</v>
      </c>
      <c r="K12" s="1023"/>
      <c r="L12" s="1025" t="s">
        <v>956</v>
      </c>
      <c r="M12" s="1023"/>
      <c r="N12" s="1024" t="s">
        <v>957</v>
      </c>
      <c r="O12" s="1023"/>
      <c r="P12" s="1392"/>
      <c r="Q12" s="1023"/>
      <c r="R12" s="1024" t="s">
        <v>958</v>
      </c>
      <c r="S12" s="1017"/>
      <c r="T12" s="1018"/>
    </row>
    <row r="13" spans="1:20" s="404" customFormat="1">
      <c r="B13" s="682"/>
      <c r="C13" s="1018"/>
      <c r="D13" s="1018"/>
      <c r="E13" s="1018"/>
      <c r="F13" s="1016"/>
      <c r="G13" s="1016"/>
      <c r="H13" s="1016"/>
      <c r="I13" s="1016"/>
      <c r="J13" s="1026"/>
      <c r="K13" s="1026"/>
      <c r="L13" s="1026"/>
      <c r="M13" s="1026"/>
      <c r="N13" s="1026"/>
      <c r="O13" s="1026"/>
      <c r="P13" s="1026"/>
      <c r="Q13" s="1026"/>
      <c r="R13" s="1026"/>
      <c r="T13" s="1018"/>
    </row>
    <row r="14" spans="1:20" s="404" customFormat="1" ht="15.25" customHeight="1">
      <c r="B14" s="997" t="s">
        <v>959</v>
      </c>
      <c r="C14" s="1018"/>
      <c r="D14" s="385">
        <v>12.2</v>
      </c>
      <c r="E14" s="401"/>
      <c r="F14" s="385">
        <v>2.2000000000000002</v>
      </c>
      <c r="G14" s="385"/>
      <c r="H14" s="385">
        <v>8.4</v>
      </c>
      <c r="I14" s="385"/>
      <c r="J14" s="385">
        <v>2.2000000000000002</v>
      </c>
      <c r="K14" s="395"/>
      <c r="L14" s="385">
        <v>6.6</v>
      </c>
      <c r="M14" s="395"/>
      <c r="N14" s="385">
        <v>2.6</v>
      </c>
      <c r="O14" s="395"/>
      <c r="P14" s="385">
        <v>4.2</v>
      </c>
      <c r="Q14" s="395"/>
      <c r="R14" s="385">
        <v>4.7</v>
      </c>
      <c r="T14" s="1018"/>
    </row>
    <row r="15" spans="1:20" s="404" customFormat="1" ht="15.25" customHeight="1">
      <c r="B15" s="1027"/>
      <c r="C15" s="1018"/>
      <c r="D15" s="385"/>
      <c r="E15" s="401"/>
      <c r="F15" s="385"/>
      <c r="G15" s="385"/>
      <c r="H15" s="385"/>
      <c r="I15" s="385"/>
      <c r="J15" s="385"/>
      <c r="K15" s="395"/>
      <c r="L15" s="385"/>
      <c r="M15" s="395"/>
      <c r="N15" s="385"/>
      <c r="O15" s="395"/>
      <c r="P15" s="385"/>
      <c r="Q15" s="395"/>
      <c r="R15" s="385"/>
      <c r="T15" s="1018"/>
    </row>
    <row r="16" spans="1:20" s="404" customFormat="1" ht="15.25" customHeight="1">
      <c r="B16" s="694" t="s">
        <v>249</v>
      </c>
      <c r="C16" s="480"/>
      <c r="D16" s="399">
        <v>6</v>
      </c>
      <c r="E16" s="399"/>
      <c r="F16" s="399">
        <v>1.1000000000000001</v>
      </c>
      <c r="G16" s="399"/>
      <c r="H16" s="399">
        <v>8</v>
      </c>
      <c r="I16" s="399"/>
      <c r="J16" s="399">
        <v>3.8</v>
      </c>
      <c r="K16" s="399"/>
      <c r="L16" s="399">
        <v>4.5</v>
      </c>
      <c r="M16" s="399"/>
      <c r="N16" s="399">
        <v>2.2000000000000002</v>
      </c>
      <c r="O16" s="399"/>
      <c r="P16" s="399">
        <v>2.7</v>
      </c>
      <c r="Q16" s="399"/>
      <c r="R16" s="399">
        <v>3.6</v>
      </c>
      <c r="S16" s="344"/>
      <c r="T16" s="344"/>
    </row>
    <row r="17" spans="2:20" s="404" customFormat="1" ht="15.25" customHeight="1">
      <c r="B17" s="1028"/>
      <c r="C17" s="399"/>
      <c r="D17" s="399"/>
      <c r="E17" s="399"/>
      <c r="F17" s="399"/>
      <c r="G17" s="399"/>
      <c r="H17" s="399"/>
      <c r="I17" s="399"/>
      <c r="J17" s="399"/>
      <c r="K17" s="399"/>
      <c r="L17" s="399"/>
      <c r="M17" s="399"/>
      <c r="N17" s="399"/>
      <c r="O17" s="399"/>
      <c r="P17" s="399"/>
      <c r="Q17" s="399"/>
      <c r="R17" s="399"/>
      <c r="S17" s="999"/>
      <c r="T17" s="1000"/>
    </row>
    <row r="18" spans="2:20" s="404" customFormat="1" ht="15.25" customHeight="1">
      <c r="B18" s="798" t="s">
        <v>250</v>
      </c>
      <c r="C18" s="399"/>
      <c r="D18" s="399">
        <v>5.9</v>
      </c>
      <c r="E18" s="399"/>
      <c r="F18" s="399">
        <v>1.5</v>
      </c>
      <c r="G18" s="399"/>
      <c r="H18" s="399">
        <v>7.6</v>
      </c>
      <c r="I18" s="399"/>
      <c r="J18" s="399">
        <v>2.7</v>
      </c>
      <c r="K18" s="399"/>
      <c r="L18" s="399">
        <v>5.2</v>
      </c>
      <c r="M18" s="399"/>
      <c r="N18" s="399">
        <v>2.8</v>
      </c>
      <c r="O18" s="399"/>
      <c r="P18" s="399">
        <v>3.4</v>
      </c>
      <c r="Q18" s="399"/>
      <c r="R18" s="399">
        <v>5.6</v>
      </c>
      <c r="S18" s="999"/>
      <c r="T18" s="1000"/>
    </row>
    <row r="19" spans="2:20" s="404" customFormat="1" ht="15.25" customHeight="1">
      <c r="B19" s="1028"/>
      <c r="C19" s="399"/>
      <c r="D19" s="399"/>
      <c r="E19" s="399"/>
      <c r="F19" s="399"/>
      <c r="G19" s="399"/>
      <c r="H19" s="399"/>
      <c r="I19" s="399"/>
      <c r="J19" s="399"/>
      <c r="K19" s="399"/>
      <c r="L19" s="399"/>
      <c r="M19" s="399"/>
      <c r="N19" s="399"/>
      <c r="O19" s="399"/>
      <c r="P19" s="399"/>
      <c r="Q19" s="399"/>
      <c r="R19" s="399"/>
      <c r="S19" s="999"/>
      <c r="T19" s="1000"/>
    </row>
    <row r="20" spans="2:20" s="404" customFormat="1" ht="15.25" customHeight="1">
      <c r="B20" s="694" t="s">
        <v>251</v>
      </c>
      <c r="C20" s="399"/>
      <c r="D20" s="399">
        <v>16.399999999999999</v>
      </c>
      <c r="E20" s="399"/>
      <c r="F20" s="399">
        <v>5.6</v>
      </c>
      <c r="G20" s="399"/>
      <c r="H20" s="399">
        <v>12.5</v>
      </c>
      <c r="I20" s="399"/>
      <c r="J20" s="399">
        <v>1.3</v>
      </c>
      <c r="K20" s="399"/>
      <c r="L20" s="399">
        <v>8.4</v>
      </c>
      <c r="M20" s="399"/>
      <c r="N20" s="399">
        <v>3.5</v>
      </c>
      <c r="O20" s="399"/>
      <c r="P20" s="399">
        <v>2.4</v>
      </c>
      <c r="Q20" s="399"/>
      <c r="R20" s="399">
        <v>5.4</v>
      </c>
      <c r="S20" s="999"/>
      <c r="T20" s="1000"/>
    </row>
    <row r="21" spans="2:20" s="404" customFormat="1" ht="15.25" customHeight="1">
      <c r="B21" s="1028"/>
      <c r="C21" s="399"/>
      <c r="D21" s="399"/>
      <c r="E21" s="399"/>
      <c r="F21" s="399"/>
      <c r="G21" s="399"/>
      <c r="H21" s="399"/>
      <c r="I21" s="399"/>
      <c r="J21" s="399"/>
      <c r="K21" s="399"/>
      <c r="L21" s="399"/>
      <c r="M21" s="399"/>
      <c r="N21" s="399"/>
      <c r="O21" s="399"/>
      <c r="P21" s="399"/>
      <c r="Q21" s="399"/>
      <c r="R21" s="399"/>
      <c r="S21" s="999"/>
      <c r="T21" s="1000"/>
    </row>
    <row r="22" spans="2:20" s="404" customFormat="1" ht="15.25" customHeight="1">
      <c r="B22" s="694" t="s">
        <v>252</v>
      </c>
      <c r="C22" s="399"/>
      <c r="D22" s="399">
        <v>21</v>
      </c>
      <c r="E22" s="399"/>
      <c r="F22" s="399">
        <v>2.2000000000000002</v>
      </c>
      <c r="G22" s="399"/>
      <c r="H22" s="399">
        <v>12.1</v>
      </c>
      <c r="I22" s="399"/>
      <c r="J22" s="399">
        <v>1.6</v>
      </c>
      <c r="K22" s="399"/>
      <c r="L22" s="399">
        <v>6.7</v>
      </c>
      <c r="M22" s="399"/>
      <c r="N22" s="399">
        <v>2.6</v>
      </c>
      <c r="O22" s="399"/>
      <c r="P22" s="399">
        <v>2.6</v>
      </c>
      <c r="Q22" s="399"/>
      <c r="R22" s="399">
        <v>4</v>
      </c>
      <c r="S22" s="999"/>
      <c r="T22" s="1000"/>
    </row>
    <row r="23" spans="2:20" s="404" customFormat="1" ht="15.25" customHeight="1">
      <c r="B23" s="1028"/>
      <c r="C23" s="399"/>
      <c r="D23" s="399"/>
      <c r="E23" s="399"/>
      <c r="F23" s="399"/>
      <c r="G23" s="399"/>
      <c r="H23" s="399"/>
      <c r="I23" s="399"/>
      <c r="J23" s="399"/>
      <c r="K23" s="399"/>
      <c r="L23" s="399"/>
      <c r="M23" s="399"/>
      <c r="N23" s="399"/>
      <c r="O23" s="399"/>
      <c r="P23" s="399"/>
      <c r="Q23" s="399"/>
      <c r="R23" s="399"/>
      <c r="S23" s="999"/>
      <c r="T23" s="1000"/>
    </row>
    <row r="24" spans="2:20" s="404" customFormat="1" ht="15.25" customHeight="1">
      <c r="B24" s="694" t="s">
        <v>253</v>
      </c>
      <c r="C24" s="399"/>
      <c r="D24" s="399">
        <v>6.7</v>
      </c>
      <c r="E24" s="399"/>
      <c r="F24" s="399">
        <v>2</v>
      </c>
      <c r="G24" s="399"/>
      <c r="H24" s="399">
        <v>7.5</v>
      </c>
      <c r="I24" s="399"/>
      <c r="J24" s="399">
        <v>2.2999999999999998</v>
      </c>
      <c r="K24" s="399"/>
      <c r="L24" s="399">
        <v>4.7</v>
      </c>
      <c r="M24" s="399"/>
      <c r="N24" s="399">
        <v>2.2000000000000002</v>
      </c>
      <c r="O24" s="399"/>
      <c r="P24" s="399">
        <v>2.8</v>
      </c>
      <c r="Q24" s="399"/>
      <c r="R24" s="399">
        <v>4</v>
      </c>
      <c r="S24" s="999"/>
      <c r="T24" s="1000"/>
    </row>
    <row r="25" spans="2:20" s="404" customFormat="1" ht="15.25" customHeight="1">
      <c r="B25" s="1028"/>
      <c r="C25" s="399"/>
      <c r="D25" s="399"/>
      <c r="E25" s="399"/>
      <c r="F25" s="399"/>
      <c r="G25" s="399"/>
      <c r="H25" s="399"/>
      <c r="I25" s="399"/>
      <c r="J25" s="399"/>
      <c r="K25" s="399"/>
      <c r="L25" s="399"/>
      <c r="M25" s="399"/>
      <c r="N25" s="399"/>
      <c r="O25" s="399"/>
      <c r="P25" s="399"/>
      <c r="Q25" s="399"/>
      <c r="R25" s="399"/>
      <c r="S25" s="999"/>
      <c r="T25" s="1000"/>
    </row>
    <row r="26" spans="2:20" s="404" customFormat="1" ht="15.25" customHeight="1">
      <c r="B26" s="694" t="s">
        <v>254</v>
      </c>
      <c r="C26" s="399"/>
      <c r="D26" s="399">
        <v>5.5</v>
      </c>
      <c r="E26" s="399"/>
      <c r="F26" s="399">
        <v>4.5999999999999996</v>
      </c>
      <c r="G26" s="399"/>
      <c r="H26" s="399">
        <v>7.3</v>
      </c>
      <c r="I26" s="399"/>
      <c r="J26" s="399">
        <v>1.1000000000000001</v>
      </c>
      <c r="K26" s="399"/>
      <c r="L26" s="399">
        <v>5.4</v>
      </c>
      <c r="M26" s="399"/>
      <c r="N26" s="399">
        <v>3.8</v>
      </c>
      <c r="O26" s="399"/>
      <c r="P26" s="399">
        <v>2.4</v>
      </c>
      <c r="Q26" s="399"/>
      <c r="R26" s="399">
        <v>3.1</v>
      </c>
      <c r="S26" s="999"/>
      <c r="T26" s="1000"/>
    </row>
    <row r="27" spans="2:20" s="404" customFormat="1" ht="15.25" customHeight="1">
      <c r="B27" s="1028"/>
      <c r="C27" s="399"/>
      <c r="D27" s="399"/>
      <c r="E27" s="399"/>
      <c r="F27" s="399"/>
      <c r="G27" s="399"/>
      <c r="H27" s="399"/>
      <c r="I27" s="399"/>
      <c r="J27" s="399"/>
      <c r="K27" s="399"/>
      <c r="L27" s="399"/>
      <c r="M27" s="399"/>
      <c r="N27" s="399"/>
      <c r="O27" s="399"/>
      <c r="P27" s="399"/>
      <c r="Q27" s="399"/>
      <c r="R27" s="399"/>
      <c r="S27" s="999"/>
      <c r="T27" s="1000"/>
    </row>
    <row r="28" spans="2:20" s="404" customFormat="1" ht="15.25" customHeight="1">
      <c r="B28" s="694" t="s">
        <v>255</v>
      </c>
      <c r="C28" s="399"/>
      <c r="D28" s="399">
        <v>10.199999999999999</v>
      </c>
      <c r="E28" s="399"/>
      <c r="F28" s="399">
        <v>1</v>
      </c>
      <c r="G28" s="399"/>
      <c r="H28" s="399">
        <v>8.8000000000000007</v>
      </c>
      <c r="I28" s="399"/>
      <c r="J28" s="399">
        <v>2.2000000000000002</v>
      </c>
      <c r="K28" s="399"/>
      <c r="L28" s="399">
        <v>5</v>
      </c>
      <c r="M28" s="399"/>
      <c r="N28" s="399">
        <v>2.2000000000000002</v>
      </c>
      <c r="O28" s="399"/>
      <c r="P28" s="399">
        <v>5.5</v>
      </c>
      <c r="Q28" s="399"/>
      <c r="R28" s="399">
        <v>6</v>
      </c>
      <c r="S28" s="999"/>
      <c r="T28" s="1000"/>
    </row>
    <row r="29" spans="2:20" s="404" customFormat="1" ht="15.25" customHeight="1">
      <c r="B29" s="1028"/>
      <c r="C29" s="399"/>
      <c r="D29" s="399"/>
      <c r="E29" s="399"/>
      <c r="F29" s="399"/>
      <c r="G29" s="399"/>
      <c r="H29" s="399"/>
      <c r="I29" s="399"/>
      <c r="J29" s="399"/>
      <c r="K29" s="399"/>
      <c r="L29" s="399"/>
      <c r="M29" s="399"/>
      <c r="N29" s="399"/>
      <c r="O29" s="399"/>
      <c r="P29" s="399"/>
      <c r="Q29" s="399"/>
      <c r="R29" s="399"/>
      <c r="S29" s="999"/>
      <c r="T29" s="1000"/>
    </row>
    <row r="30" spans="2:20" s="404" customFormat="1" ht="15.25" customHeight="1">
      <c r="B30" s="694" t="s">
        <v>256</v>
      </c>
      <c r="C30" s="399"/>
      <c r="D30" s="399">
        <v>17.7</v>
      </c>
      <c r="E30" s="399"/>
      <c r="F30" s="399">
        <v>2</v>
      </c>
      <c r="G30" s="399"/>
      <c r="H30" s="399">
        <v>7.9</v>
      </c>
      <c r="I30" s="399"/>
      <c r="J30" s="399">
        <v>2.4</v>
      </c>
      <c r="K30" s="399"/>
      <c r="L30" s="399">
        <v>6.9</v>
      </c>
      <c r="M30" s="399"/>
      <c r="N30" s="399">
        <v>2.2000000000000002</v>
      </c>
      <c r="O30" s="399"/>
      <c r="P30" s="399">
        <v>3.9</v>
      </c>
      <c r="Q30" s="399"/>
      <c r="R30" s="399">
        <v>4.9000000000000004</v>
      </c>
      <c r="S30" s="999"/>
      <c r="T30" s="1000"/>
    </row>
    <row r="31" spans="2:20" s="404" customFormat="1" ht="15.25" customHeight="1">
      <c r="B31" s="1028"/>
      <c r="C31" s="399"/>
      <c r="D31" s="399"/>
      <c r="E31" s="399"/>
      <c r="F31" s="399"/>
      <c r="G31" s="399"/>
      <c r="H31" s="399"/>
      <c r="I31" s="399"/>
      <c r="J31" s="399"/>
      <c r="K31" s="399"/>
      <c r="L31" s="399"/>
      <c r="M31" s="399"/>
      <c r="N31" s="399"/>
      <c r="O31" s="399"/>
      <c r="P31" s="399"/>
      <c r="Q31" s="399"/>
      <c r="R31" s="399"/>
      <c r="S31" s="999"/>
      <c r="T31" s="1000"/>
    </row>
    <row r="32" spans="2:20" s="404" customFormat="1" ht="15.25" customHeight="1">
      <c r="B32" s="694" t="s">
        <v>257</v>
      </c>
      <c r="C32" s="399"/>
      <c r="D32" s="399">
        <v>15.3</v>
      </c>
      <c r="E32" s="399"/>
      <c r="F32" s="399">
        <v>2.4</v>
      </c>
      <c r="G32" s="399"/>
      <c r="H32" s="399">
        <v>6.9</v>
      </c>
      <c r="I32" s="399"/>
      <c r="J32" s="399">
        <v>1.5</v>
      </c>
      <c r="K32" s="399"/>
      <c r="L32" s="399">
        <v>7.8</v>
      </c>
      <c r="M32" s="399"/>
      <c r="N32" s="399">
        <v>1.7</v>
      </c>
      <c r="O32" s="399"/>
      <c r="P32" s="399">
        <v>1.5</v>
      </c>
      <c r="Q32" s="399"/>
      <c r="R32" s="399">
        <v>4</v>
      </c>
      <c r="S32" s="999"/>
      <c r="T32" s="1000"/>
    </row>
    <row r="33" spans="1:20" s="404" customFormat="1" ht="15.25" customHeight="1">
      <c r="B33" s="1028"/>
      <c r="C33" s="399"/>
      <c r="D33" s="399"/>
      <c r="E33" s="399"/>
      <c r="F33" s="399"/>
      <c r="G33" s="399"/>
      <c r="H33" s="399"/>
      <c r="I33" s="399"/>
      <c r="J33" s="399"/>
      <c r="K33" s="399"/>
      <c r="L33" s="399"/>
      <c r="M33" s="399"/>
      <c r="N33" s="399"/>
      <c r="O33" s="399"/>
      <c r="P33" s="399"/>
      <c r="Q33" s="399"/>
      <c r="R33" s="399"/>
      <c r="S33" s="999"/>
      <c r="T33" s="1000"/>
    </row>
    <row r="34" spans="1:20" s="404" customFormat="1" ht="15.25" customHeight="1">
      <c r="B34" s="694" t="s">
        <v>258</v>
      </c>
      <c r="C34" s="399"/>
      <c r="D34" s="399">
        <v>11.3</v>
      </c>
      <c r="E34" s="399"/>
      <c r="F34" s="399">
        <v>2.2999999999999998</v>
      </c>
      <c r="G34" s="399"/>
      <c r="H34" s="399">
        <v>8.1</v>
      </c>
      <c r="I34" s="399"/>
      <c r="J34" s="399">
        <v>2.7</v>
      </c>
      <c r="K34" s="399"/>
      <c r="L34" s="399">
        <v>8.1999999999999993</v>
      </c>
      <c r="M34" s="399"/>
      <c r="N34" s="399">
        <v>2.5</v>
      </c>
      <c r="O34" s="399"/>
      <c r="P34" s="399">
        <v>9.1999999999999993</v>
      </c>
      <c r="Q34" s="399"/>
      <c r="R34" s="399">
        <v>5.7</v>
      </c>
      <c r="S34" s="999"/>
      <c r="T34" s="1000"/>
    </row>
    <row r="35" spans="1:20" s="404" customFormat="1" ht="15.25" customHeight="1">
      <c r="B35" s="1029"/>
      <c r="C35" s="399"/>
      <c r="D35" s="399"/>
      <c r="E35" s="399"/>
      <c r="F35" s="399"/>
      <c r="G35" s="399"/>
      <c r="H35" s="399"/>
      <c r="I35" s="399"/>
      <c r="J35" s="399"/>
      <c r="K35" s="399"/>
      <c r="L35" s="399"/>
      <c r="M35" s="399"/>
      <c r="N35" s="399"/>
      <c r="O35" s="399"/>
      <c r="P35" s="399"/>
      <c r="Q35" s="399"/>
      <c r="R35" s="399"/>
      <c r="S35" s="999"/>
      <c r="T35" s="1000"/>
    </row>
    <row r="36" spans="1:20" s="404" customFormat="1" ht="15.25" customHeight="1">
      <c r="B36" s="694" t="s">
        <v>259</v>
      </c>
      <c r="C36" s="399"/>
      <c r="D36" s="399">
        <v>10.5</v>
      </c>
      <c r="E36" s="399"/>
      <c r="F36" s="399">
        <v>4.9000000000000004</v>
      </c>
      <c r="G36" s="399"/>
      <c r="H36" s="399">
        <v>17.8</v>
      </c>
      <c r="I36" s="399"/>
      <c r="J36" s="399">
        <v>2.4</v>
      </c>
      <c r="K36" s="399"/>
      <c r="L36" s="399">
        <v>6</v>
      </c>
      <c r="M36" s="399"/>
      <c r="N36" s="399">
        <v>4.8</v>
      </c>
      <c r="O36" s="399"/>
      <c r="P36" s="399">
        <v>3.2</v>
      </c>
      <c r="Q36" s="399"/>
      <c r="R36" s="399">
        <v>4.0999999999999996</v>
      </c>
      <c r="S36" s="999"/>
      <c r="T36" s="1000"/>
    </row>
    <row r="37" spans="1:20" s="404" customFormat="1" ht="15.25" customHeight="1">
      <c r="B37" s="694"/>
      <c r="C37" s="399"/>
      <c r="D37" s="399"/>
      <c r="E37" s="399"/>
      <c r="F37" s="399"/>
      <c r="G37" s="399"/>
      <c r="H37" s="399"/>
      <c r="I37" s="399"/>
      <c r="J37" s="399"/>
      <c r="K37" s="399"/>
      <c r="L37" s="399"/>
      <c r="M37" s="399"/>
      <c r="N37" s="399"/>
      <c r="O37" s="399"/>
      <c r="P37" s="399"/>
      <c r="Q37" s="399"/>
      <c r="R37" s="399"/>
      <c r="S37" s="999"/>
      <c r="T37" s="1000"/>
    </row>
    <row r="38" spans="1:20" s="404" customFormat="1">
      <c r="B38" s="694" t="s">
        <v>260</v>
      </c>
      <c r="C38" s="399"/>
      <c r="D38" s="399">
        <v>12.8</v>
      </c>
      <c r="E38" s="399"/>
      <c r="F38" s="399">
        <v>1</v>
      </c>
      <c r="G38" s="399"/>
      <c r="H38" s="399">
        <v>3.5</v>
      </c>
      <c r="I38" s="399"/>
      <c r="J38" s="399">
        <v>0.4</v>
      </c>
      <c r="K38" s="399"/>
      <c r="L38" s="399">
        <v>7.3</v>
      </c>
      <c r="M38" s="399"/>
      <c r="N38" s="399">
        <v>2.6</v>
      </c>
      <c r="O38" s="399"/>
      <c r="P38" s="399">
        <v>1.4</v>
      </c>
      <c r="Q38" s="399"/>
      <c r="R38" s="399">
        <v>4.8</v>
      </c>
      <c r="S38" s="999"/>
      <c r="T38" s="1000"/>
    </row>
    <row r="39" spans="1:20" s="404" customFormat="1">
      <c r="B39" s="694"/>
      <c r="C39" s="399"/>
      <c r="D39" s="399"/>
      <c r="E39" s="399"/>
      <c r="F39" s="399"/>
      <c r="G39" s="399"/>
      <c r="H39" s="399"/>
      <c r="I39" s="399"/>
      <c r="J39" s="399"/>
      <c r="K39" s="399"/>
      <c r="L39" s="399"/>
      <c r="M39" s="399"/>
      <c r="N39" s="399"/>
      <c r="O39" s="399"/>
      <c r="P39" s="399"/>
      <c r="Q39" s="399"/>
      <c r="R39" s="399"/>
      <c r="S39" s="999"/>
      <c r="T39" s="1000"/>
    </row>
    <row r="40" spans="1:20" s="404" customFormat="1">
      <c r="B40" s="694" t="s">
        <v>261</v>
      </c>
      <c r="C40" s="399"/>
      <c r="D40" s="399">
        <v>17.7</v>
      </c>
      <c r="E40" s="399"/>
      <c r="F40" s="399">
        <v>0.8</v>
      </c>
      <c r="G40" s="399"/>
      <c r="H40" s="399">
        <v>10.1</v>
      </c>
      <c r="I40" s="399"/>
      <c r="J40" s="399">
        <v>1</v>
      </c>
      <c r="K40" s="399"/>
      <c r="L40" s="399">
        <v>6</v>
      </c>
      <c r="M40" s="399"/>
      <c r="N40" s="399">
        <v>2.6</v>
      </c>
      <c r="O40" s="399"/>
      <c r="P40" s="399">
        <v>1.1000000000000001</v>
      </c>
      <c r="Q40" s="399"/>
      <c r="R40" s="399">
        <v>3.2</v>
      </c>
      <c r="S40" s="999"/>
      <c r="T40" s="1000"/>
    </row>
    <row r="41" spans="1:20" s="404" customFormat="1">
      <c r="B41" s="694"/>
      <c r="C41" s="399"/>
      <c r="D41" s="399"/>
      <c r="E41" s="399"/>
      <c r="F41" s="399"/>
      <c r="G41" s="399"/>
      <c r="H41" s="399"/>
      <c r="I41" s="399"/>
      <c r="J41" s="399"/>
      <c r="K41" s="399"/>
      <c r="L41" s="399"/>
      <c r="M41" s="399"/>
      <c r="N41" s="399"/>
      <c r="O41" s="399"/>
      <c r="P41" s="399"/>
      <c r="Q41" s="399"/>
      <c r="R41" s="399"/>
      <c r="S41" s="999"/>
      <c r="T41" s="1000"/>
    </row>
    <row r="42" spans="1:20" s="404" customFormat="1">
      <c r="B42" s="694" t="s">
        <v>262</v>
      </c>
      <c r="C42" s="399"/>
      <c r="D42" s="399">
        <v>22.6</v>
      </c>
      <c r="E42" s="399"/>
      <c r="F42" s="399">
        <v>2.9</v>
      </c>
      <c r="G42" s="399"/>
      <c r="H42" s="399">
        <v>6.8</v>
      </c>
      <c r="I42" s="399"/>
      <c r="J42" s="399">
        <v>2.2999999999999998</v>
      </c>
      <c r="K42" s="399"/>
      <c r="L42" s="399">
        <v>6.3</v>
      </c>
      <c r="M42" s="399"/>
      <c r="N42" s="399">
        <v>2</v>
      </c>
      <c r="O42" s="399"/>
      <c r="P42" s="399">
        <v>3.6</v>
      </c>
      <c r="Q42" s="399"/>
      <c r="R42" s="399">
        <v>4.4000000000000004</v>
      </c>
      <c r="S42" s="999"/>
      <c r="T42" s="1000"/>
    </row>
    <row r="43" spans="1:20" s="404" customFormat="1">
      <c r="B43" s="694"/>
      <c r="C43" s="399"/>
      <c r="D43" s="399"/>
      <c r="E43" s="399"/>
      <c r="F43" s="399"/>
      <c r="G43" s="399"/>
      <c r="H43" s="399"/>
      <c r="I43" s="399"/>
      <c r="J43" s="399"/>
      <c r="K43" s="399"/>
      <c r="L43" s="399"/>
      <c r="M43" s="399"/>
      <c r="N43" s="399"/>
      <c r="O43" s="399"/>
      <c r="P43" s="399"/>
      <c r="Q43" s="399"/>
      <c r="R43" s="399"/>
      <c r="S43" s="999"/>
      <c r="T43" s="1000"/>
    </row>
    <row r="44" spans="1:20" s="404" customFormat="1">
      <c r="B44" s="694" t="s">
        <v>263</v>
      </c>
      <c r="C44" s="399"/>
      <c r="D44" s="399">
        <v>1.2</v>
      </c>
      <c r="E44" s="399"/>
      <c r="F44" s="399">
        <v>0.3</v>
      </c>
      <c r="G44" s="399"/>
      <c r="H44" s="399">
        <v>13.5</v>
      </c>
      <c r="I44" s="399"/>
      <c r="J44" s="399">
        <v>0.2</v>
      </c>
      <c r="K44" s="399"/>
      <c r="L44" s="399">
        <v>5.2</v>
      </c>
      <c r="M44" s="399"/>
      <c r="N44" s="399">
        <v>0.8</v>
      </c>
      <c r="O44" s="399"/>
      <c r="P44" s="399">
        <v>1</v>
      </c>
      <c r="Q44" s="399"/>
      <c r="R44" s="399">
        <v>3.1</v>
      </c>
      <c r="S44" s="999"/>
      <c r="T44" s="1000"/>
    </row>
    <row r="45" spans="1:20" s="404" customFormat="1">
      <c r="B45" s="694"/>
      <c r="C45" s="399"/>
      <c r="D45" s="399"/>
      <c r="E45" s="399"/>
      <c r="F45" s="399"/>
      <c r="G45" s="399"/>
      <c r="H45" s="399"/>
      <c r="I45" s="399"/>
      <c r="J45" s="399"/>
      <c r="K45" s="399"/>
      <c r="L45" s="399"/>
      <c r="M45" s="399"/>
      <c r="N45" s="399"/>
      <c r="O45" s="399"/>
      <c r="P45" s="399"/>
      <c r="Q45" s="399"/>
      <c r="R45" s="399"/>
      <c r="S45" s="999"/>
      <c r="T45" s="1000"/>
    </row>
    <row r="46" spans="1:20" s="404" customFormat="1">
      <c r="B46" s="694" t="s">
        <v>264</v>
      </c>
      <c r="C46" s="399"/>
      <c r="D46" s="399">
        <v>6.3</v>
      </c>
      <c r="E46" s="399"/>
      <c r="F46" s="399">
        <v>1.2</v>
      </c>
      <c r="G46" s="399"/>
      <c r="H46" s="399">
        <v>10</v>
      </c>
      <c r="I46" s="399"/>
      <c r="J46" s="399">
        <v>2.4</v>
      </c>
      <c r="K46" s="399"/>
      <c r="L46" s="399">
        <v>5.7</v>
      </c>
      <c r="M46" s="399"/>
      <c r="N46" s="399">
        <v>1.1000000000000001</v>
      </c>
      <c r="O46" s="399"/>
      <c r="P46" s="399">
        <v>2</v>
      </c>
      <c r="Q46" s="399"/>
      <c r="R46" s="399">
        <v>1.7</v>
      </c>
      <c r="S46" s="999"/>
      <c r="T46" s="1000"/>
    </row>
    <row r="47" spans="1:20" s="404" customFormat="1" ht="7.5" customHeight="1" thickBot="1">
      <c r="A47" s="1030"/>
      <c r="B47" s="1030"/>
      <c r="C47" s="1030"/>
      <c r="D47" s="1030"/>
      <c r="E47" s="1030"/>
      <c r="F47" s="1030"/>
      <c r="G47" s="1030"/>
      <c r="H47" s="1030"/>
      <c r="I47" s="1030"/>
      <c r="J47" s="1030"/>
      <c r="K47" s="1030"/>
      <c r="L47" s="1030"/>
      <c r="M47" s="1030"/>
      <c r="N47" s="1030"/>
      <c r="O47" s="1030"/>
      <c r="P47" s="1030"/>
      <c r="Q47" s="1030"/>
      <c r="R47" s="1030"/>
      <c r="S47" s="344"/>
      <c r="T47" s="344"/>
    </row>
    <row r="48" spans="1:20" s="404" customFormat="1" ht="13.5" customHeight="1" thickTop="1">
      <c r="A48" s="810"/>
      <c r="B48" s="810"/>
      <c r="C48" s="810"/>
      <c r="D48" s="810"/>
      <c r="E48" s="810"/>
      <c r="F48" s="810"/>
      <c r="G48" s="810"/>
      <c r="H48" s="1031"/>
      <c r="I48" s="1031"/>
      <c r="J48" s="1031"/>
      <c r="K48" s="1031"/>
      <c r="L48" s="1031"/>
      <c r="M48" s="1032"/>
      <c r="N48" s="1032"/>
      <c r="O48" s="1032"/>
      <c r="P48" s="1032"/>
      <c r="Q48" s="1032"/>
      <c r="R48" s="1032" t="s">
        <v>31</v>
      </c>
      <c r="S48" s="1033"/>
      <c r="T48" s="344"/>
    </row>
    <row r="49" spans="1:23" s="404" customFormat="1" ht="13.5" customHeight="1">
      <c r="A49" s="810"/>
      <c r="B49" s="810"/>
      <c r="C49" s="810"/>
      <c r="D49" s="810"/>
      <c r="E49" s="810"/>
      <c r="F49" s="810"/>
      <c r="G49" s="810"/>
      <c r="H49" s="1031"/>
      <c r="I49" s="1031"/>
      <c r="J49" s="1031"/>
      <c r="K49" s="1031"/>
      <c r="L49" s="1031"/>
      <c r="M49" s="1034"/>
      <c r="N49" s="1034"/>
      <c r="O49" s="1034"/>
      <c r="P49" s="1034"/>
      <c r="Q49" s="1034"/>
      <c r="R49" s="1035" t="s">
        <v>32</v>
      </c>
      <c r="S49" s="1034"/>
      <c r="T49" s="344"/>
    </row>
    <row r="50" spans="1:23" s="404" customFormat="1" ht="15.25" customHeight="1">
      <c r="A50" s="810"/>
      <c r="B50" s="1033" t="s">
        <v>500</v>
      </c>
      <c r="C50" s="810"/>
      <c r="D50" s="810"/>
      <c r="E50" s="810"/>
      <c r="F50" s="810"/>
      <c r="G50" s="810"/>
      <c r="H50" s="1031"/>
      <c r="I50" s="1031"/>
      <c r="J50" s="1031"/>
      <c r="K50" s="1031"/>
      <c r="L50" s="1031"/>
      <c r="M50" s="1031"/>
      <c r="N50" s="1031"/>
      <c r="O50" s="1031"/>
      <c r="P50" s="1031"/>
      <c r="Q50" s="1031"/>
      <c r="R50" s="1031"/>
      <c r="S50" s="1036"/>
      <c r="T50" s="344"/>
    </row>
    <row r="51" spans="1:23" s="404" customFormat="1" ht="8" customHeight="1">
      <c r="A51" s="810"/>
      <c r="B51" s="1033"/>
      <c r="C51" s="810"/>
      <c r="D51" s="810"/>
      <c r="E51" s="810"/>
      <c r="F51" s="810"/>
      <c r="G51" s="810"/>
      <c r="H51" s="1031"/>
      <c r="I51" s="1031"/>
      <c r="J51" s="1031"/>
      <c r="K51" s="1031"/>
      <c r="L51" s="1031"/>
      <c r="M51" s="1031"/>
      <c r="N51" s="1031"/>
      <c r="O51" s="1031"/>
      <c r="P51" s="1031"/>
      <c r="Q51" s="1031"/>
      <c r="R51" s="1031"/>
      <c r="S51" s="1036"/>
      <c r="T51" s="344"/>
    </row>
    <row r="52" spans="1:23" s="404" customFormat="1" ht="15.25" customHeight="1">
      <c r="A52" s="704" t="s">
        <v>34</v>
      </c>
      <c r="B52" s="1037" t="s">
        <v>960</v>
      </c>
      <c r="C52" s="810"/>
      <c r="D52" s="810"/>
      <c r="E52" s="810"/>
      <c r="F52" s="810"/>
      <c r="G52" s="810"/>
      <c r="H52" s="1031"/>
      <c r="I52" s="1031"/>
      <c r="J52" s="1031"/>
      <c r="K52" s="1031"/>
      <c r="L52" s="1031"/>
      <c r="M52" s="1031"/>
      <c r="N52" s="1031"/>
      <c r="O52" s="1031"/>
      <c r="P52" s="1031"/>
      <c r="Q52" s="1031"/>
      <c r="R52" s="1031"/>
      <c r="S52" s="1036"/>
      <c r="T52" s="344"/>
    </row>
    <row r="53" spans="1:23" s="404" customFormat="1" ht="13.5" customHeight="1">
      <c r="A53" s="703"/>
      <c r="B53" s="1038" t="s">
        <v>961</v>
      </c>
      <c r="C53" s="810"/>
      <c r="D53" s="810"/>
      <c r="E53" s="810"/>
      <c r="F53" s="810"/>
      <c r="G53" s="810"/>
      <c r="H53" s="1031"/>
      <c r="I53" s="1031"/>
      <c r="J53" s="1031"/>
      <c r="K53" s="1031"/>
      <c r="L53" s="1031"/>
      <c r="M53" s="1031"/>
      <c r="N53" s="1031"/>
      <c r="O53" s="1031"/>
      <c r="P53" s="1031"/>
      <c r="Q53" s="1031"/>
      <c r="R53" s="1031"/>
      <c r="S53" s="1036"/>
      <c r="T53" s="344"/>
    </row>
    <row r="54" spans="1:23" s="404" customFormat="1" ht="8" customHeight="1">
      <c r="A54" s="703"/>
      <c r="C54" s="810"/>
      <c r="D54" s="810"/>
      <c r="E54" s="810"/>
      <c r="F54" s="810"/>
      <c r="G54" s="810"/>
      <c r="H54" s="1031"/>
      <c r="I54" s="1031"/>
      <c r="J54" s="1031"/>
      <c r="K54" s="1031"/>
      <c r="L54" s="1031"/>
      <c r="M54" s="1031"/>
      <c r="N54" s="1031"/>
      <c r="O54" s="1031"/>
      <c r="P54" s="1031"/>
      <c r="Q54" s="1031"/>
      <c r="R54" s="1031"/>
      <c r="S54" s="1031"/>
      <c r="T54" s="344"/>
    </row>
    <row r="55" spans="1:23" s="404" customFormat="1" ht="15.25" customHeight="1">
      <c r="A55" s="704" t="s">
        <v>37</v>
      </c>
      <c r="B55" s="1039" t="s">
        <v>962</v>
      </c>
      <c r="C55" s="1039"/>
      <c r="D55" s="1039"/>
      <c r="E55" s="1039"/>
      <c r="F55" s="1039"/>
      <c r="G55" s="1039"/>
      <c r="H55" s="1039"/>
      <c r="I55" s="1039"/>
      <c r="J55" s="1039"/>
      <c r="K55" s="1039"/>
      <c r="L55" s="1039"/>
      <c r="M55" s="1039"/>
      <c r="N55" s="1039"/>
      <c r="O55" s="1039"/>
      <c r="P55" s="1039"/>
      <c r="Q55" s="1039"/>
      <c r="R55" s="1039"/>
      <c r="S55" s="1031"/>
      <c r="T55" s="344"/>
    </row>
    <row r="56" spans="1:23" s="404" customFormat="1" ht="15.25" customHeight="1">
      <c r="A56" s="703"/>
      <c r="B56" s="1040" t="s">
        <v>963</v>
      </c>
      <c r="C56" s="1041"/>
      <c r="D56" s="1041"/>
      <c r="E56" s="1041"/>
      <c r="F56" s="1041"/>
      <c r="G56" s="1041"/>
      <c r="H56" s="1041"/>
      <c r="I56" s="1041"/>
      <c r="J56" s="1041"/>
      <c r="K56" s="1041"/>
      <c r="L56" s="1041"/>
      <c r="M56" s="1041"/>
      <c r="N56" s="1041"/>
      <c r="O56" s="1041"/>
      <c r="P56" s="1041"/>
      <c r="Q56" s="1041"/>
      <c r="R56" s="1041"/>
      <c r="S56" s="1031"/>
      <c r="T56" s="1019"/>
      <c r="U56" s="1019"/>
      <c r="V56" s="344"/>
      <c r="W56" s="344"/>
    </row>
    <row r="57" spans="1:23" s="404" customFormat="1" ht="13.5" customHeight="1">
      <c r="A57" s="704"/>
      <c r="B57" s="1041"/>
      <c r="C57" s="1041"/>
      <c r="D57" s="1041"/>
      <c r="E57" s="1041"/>
      <c r="F57" s="1041"/>
      <c r="G57" s="1041"/>
      <c r="H57" s="1041"/>
      <c r="I57" s="1041"/>
      <c r="J57" s="1041"/>
      <c r="K57" s="1041"/>
      <c r="L57" s="1041"/>
      <c r="M57" s="1041"/>
      <c r="N57" s="1041"/>
      <c r="O57" s="1041"/>
      <c r="P57" s="1041"/>
      <c r="Q57" s="1041"/>
      <c r="R57" s="1041"/>
      <c r="S57" s="1042"/>
      <c r="T57" s="1042"/>
    </row>
  </sheetData>
  <mergeCells count="6">
    <mergeCell ref="C3:R4"/>
    <mergeCell ref="C5:R6"/>
    <mergeCell ref="B9:C12"/>
    <mergeCell ref="D9:R9"/>
    <mergeCell ref="D11:D12"/>
    <mergeCell ref="P11:P12"/>
  </mergeCells>
  <conditionalFormatting sqref="C17:C46">
    <cfRule type="cellIs" dxfId="2" priority="1"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72"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74EBC-5532-4522-82E1-86D9A962F127}">
  <sheetPr codeName="Sheet58"/>
  <dimension ref="A1:K44"/>
  <sheetViews>
    <sheetView view="pageBreakPreview" zoomScaleNormal="100" zoomScaleSheetLayoutView="100" workbookViewId="0">
      <selection activeCell="D60" sqref="D60"/>
    </sheetView>
  </sheetViews>
  <sheetFormatPr baseColWidth="10" defaultColWidth="8.83203125" defaultRowHeight="15"/>
  <cols>
    <col min="1" max="1" width="2.33203125" customWidth="1"/>
    <col min="2" max="2" width="13" customWidth="1"/>
    <col min="3" max="3" width="31.33203125" customWidth="1"/>
    <col min="4" max="4" width="15.83203125" customWidth="1"/>
    <col min="5" max="5" width="17" customWidth="1"/>
    <col min="6" max="6" width="5.6640625" customWidth="1"/>
    <col min="7" max="7" width="4.6640625" customWidth="1"/>
    <col min="8" max="8" width="12.5" customWidth="1"/>
    <col min="9" max="9" width="13.33203125" customWidth="1"/>
    <col min="10" max="10" width="14.33203125" style="404" customWidth="1"/>
  </cols>
  <sheetData>
    <row r="1" spans="2:11" s="377" customFormat="1" ht="7.5" customHeight="1">
      <c r="F1" s="1043"/>
      <c r="G1" s="1043"/>
      <c r="H1" s="1043"/>
      <c r="I1" s="1043"/>
      <c r="J1" s="1044"/>
    </row>
    <row r="2" spans="2:11" s="1048" customFormat="1" ht="14">
      <c r="B2" s="40" t="s">
        <v>964</v>
      </c>
      <c r="C2" s="1045" t="s">
        <v>965</v>
      </c>
      <c r="D2" s="1046"/>
      <c r="E2" s="1046"/>
      <c r="F2" s="1046"/>
      <c r="G2" s="1046"/>
      <c r="H2" s="1046"/>
      <c r="I2" s="1046"/>
      <c r="J2" s="1047"/>
    </row>
    <row r="3" spans="2:11" s="1053" customFormat="1" ht="14">
      <c r="B3" s="1049" t="s">
        <v>966</v>
      </c>
      <c r="C3" s="1050" t="s">
        <v>967</v>
      </c>
      <c r="D3" s="1051"/>
      <c r="E3" s="1051"/>
      <c r="F3" s="1051"/>
      <c r="G3" s="1051"/>
      <c r="H3" s="1051"/>
      <c r="I3" s="1051"/>
      <c r="J3" s="1052"/>
    </row>
    <row r="4" spans="2:11" s="377" customFormat="1" ht="8" customHeight="1" thickBot="1">
      <c r="F4" s="1054"/>
      <c r="G4" s="1054"/>
      <c r="H4" s="1397"/>
      <c r="I4" s="1397"/>
      <c r="J4" s="1397"/>
    </row>
    <row r="5" spans="2:11" s="377" customFormat="1" ht="77" customHeight="1" thickBot="1">
      <c r="B5" s="1307" t="s">
        <v>968</v>
      </c>
      <c r="C5" s="1307"/>
      <c r="D5" s="1055" t="s">
        <v>969</v>
      </c>
      <c r="E5" s="1055" t="s">
        <v>970</v>
      </c>
      <c r="F5" s="1056"/>
      <c r="G5" s="1056"/>
      <c r="H5" s="1057" t="s">
        <v>971</v>
      </c>
      <c r="I5" s="1058" t="s">
        <v>972</v>
      </c>
      <c r="J5" s="1058" t="s">
        <v>973</v>
      </c>
      <c r="K5" s="306"/>
    </row>
    <row r="6" spans="2:11" s="377" customFormat="1" ht="19.5" customHeight="1">
      <c r="B6" s="18" t="s">
        <v>249</v>
      </c>
      <c r="C6" s="18"/>
      <c r="D6" s="1059"/>
      <c r="E6" s="308"/>
      <c r="F6" s="1060"/>
      <c r="G6" s="1060"/>
      <c r="H6" s="1060"/>
      <c r="I6" s="1061"/>
      <c r="J6" s="1062"/>
    </row>
    <row r="7" spans="2:11" s="377" customFormat="1" ht="27.25" customHeight="1">
      <c r="B7" s="1394" t="s">
        <v>974</v>
      </c>
      <c r="C7" s="1394"/>
      <c r="D7" s="1398" t="s">
        <v>975</v>
      </c>
      <c r="E7" s="674" t="s">
        <v>976</v>
      </c>
      <c r="F7" s="1063"/>
      <c r="G7" s="1064"/>
      <c r="H7" s="1065">
        <v>24.1</v>
      </c>
      <c r="I7" s="1065">
        <v>24.4</v>
      </c>
      <c r="J7" s="1065">
        <v>24.2</v>
      </c>
    </row>
    <row r="8" spans="2:11" s="377" customFormat="1" ht="27.25" customHeight="1">
      <c r="B8" s="1394"/>
      <c r="C8" s="1394"/>
      <c r="D8" s="1398"/>
      <c r="E8" s="1059" t="s">
        <v>977</v>
      </c>
      <c r="F8" s="1063"/>
      <c r="G8" s="1064"/>
      <c r="H8" s="1065">
        <v>32.5</v>
      </c>
      <c r="I8" s="1065">
        <v>32.4</v>
      </c>
      <c r="J8" s="1065">
        <v>32.1</v>
      </c>
    </row>
    <row r="9" spans="2:11" s="377" customFormat="1" ht="27.25" customHeight="1">
      <c r="B9" s="1394" t="s">
        <v>978</v>
      </c>
      <c r="C9" s="1394"/>
      <c r="D9" s="1394" t="s">
        <v>979</v>
      </c>
      <c r="E9" s="674" t="s">
        <v>976</v>
      </c>
      <c r="F9" s="1063"/>
      <c r="G9" s="1064"/>
      <c r="H9" s="1065">
        <v>23.9</v>
      </c>
      <c r="I9" s="1065">
        <v>24.1</v>
      </c>
      <c r="J9" s="1065">
        <v>23.8</v>
      </c>
    </row>
    <row r="10" spans="2:11" s="377" customFormat="1" ht="27.25" customHeight="1">
      <c r="B10" s="1394"/>
      <c r="C10" s="1394"/>
      <c r="D10" s="1394"/>
      <c r="E10" s="388" t="s">
        <v>980</v>
      </c>
      <c r="F10" s="1063"/>
      <c r="G10" s="1064"/>
      <c r="H10" s="1065">
        <v>32.299999999999997</v>
      </c>
      <c r="I10" s="1065">
        <v>31.9</v>
      </c>
      <c r="J10" s="1065">
        <v>31.7</v>
      </c>
    </row>
    <row r="11" spans="2:11" s="377" customFormat="1" ht="27.25" customHeight="1">
      <c r="B11" s="1394" t="s">
        <v>981</v>
      </c>
      <c r="C11" s="1394"/>
      <c r="D11" s="1394" t="s">
        <v>982</v>
      </c>
      <c r="E11" s="674" t="s">
        <v>976</v>
      </c>
      <c r="F11" s="1063"/>
      <c r="G11" s="1064"/>
      <c r="H11" s="1065">
        <v>24.1</v>
      </c>
      <c r="I11" s="1065">
        <v>24.2</v>
      </c>
      <c r="J11" s="1065">
        <v>23.9</v>
      </c>
    </row>
    <row r="12" spans="2:11" s="377" customFormat="1" ht="27.25" customHeight="1">
      <c r="B12" s="1394"/>
      <c r="C12" s="1394"/>
      <c r="D12" s="1394"/>
      <c r="E12" s="388" t="s">
        <v>980</v>
      </c>
      <c r="F12" s="1063"/>
      <c r="G12" s="1064"/>
      <c r="H12" s="1065">
        <v>32.5</v>
      </c>
      <c r="I12" s="1065">
        <v>31.6</v>
      </c>
      <c r="J12" s="1065">
        <v>31.4</v>
      </c>
    </row>
    <row r="13" spans="2:11" s="377" customFormat="1" ht="27.25" customHeight="1">
      <c r="B13" s="1394" t="s">
        <v>983</v>
      </c>
      <c r="C13" s="1394"/>
      <c r="D13" s="1394" t="s">
        <v>984</v>
      </c>
      <c r="E13" s="674" t="s">
        <v>976</v>
      </c>
      <c r="F13" s="1063"/>
      <c r="G13" s="1064"/>
      <c r="H13" s="1065">
        <v>24</v>
      </c>
      <c r="I13" s="1065">
        <v>24.2</v>
      </c>
      <c r="J13" s="1065">
        <v>23.9</v>
      </c>
    </row>
    <row r="14" spans="2:11" s="377" customFormat="1" ht="27.25" customHeight="1">
      <c r="B14" s="1394"/>
      <c r="C14" s="1394"/>
      <c r="D14" s="1394"/>
      <c r="E14" s="388" t="s">
        <v>980</v>
      </c>
      <c r="F14" s="1063"/>
      <c r="G14" s="1064"/>
      <c r="H14" s="1065">
        <v>32.700000000000003</v>
      </c>
      <c r="I14" s="1065">
        <v>32.4</v>
      </c>
      <c r="J14" s="1065">
        <v>32.1</v>
      </c>
    </row>
    <row r="15" spans="2:11" s="377" customFormat="1" ht="18.75" customHeight="1">
      <c r="B15" s="981" t="s">
        <v>250</v>
      </c>
      <c r="C15" s="1059"/>
      <c r="D15" s="1059"/>
      <c r="E15" s="388"/>
      <c r="F15" s="1066"/>
      <c r="G15" s="1067"/>
      <c r="H15" s="1068"/>
      <c r="I15" s="1068"/>
      <c r="J15" s="1068"/>
    </row>
    <row r="16" spans="2:11" s="377" customFormat="1" ht="27.25" customHeight="1">
      <c r="B16" s="1394" t="s">
        <v>985</v>
      </c>
      <c r="C16" s="1394"/>
      <c r="D16" s="1394" t="s">
        <v>986</v>
      </c>
      <c r="E16" s="674" t="s">
        <v>976</v>
      </c>
      <c r="F16" s="1063"/>
      <c r="G16" s="1064"/>
      <c r="H16" s="1065">
        <v>24.5</v>
      </c>
      <c r="I16" s="1065">
        <v>24.3</v>
      </c>
      <c r="J16" s="1065">
        <v>24</v>
      </c>
    </row>
    <row r="17" spans="2:10" s="377" customFormat="1" ht="27.25" customHeight="1">
      <c r="B17" s="1394"/>
      <c r="C17" s="1394"/>
      <c r="D17" s="1394"/>
      <c r="E17" s="388" t="s">
        <v>980</v>
      </c>
      <c r="F17" s="1063"/>
      <c r="G17" s="1064"/>
      <c r="H17" s="1065">
        <v>33.299999999999997</v>
      </c>
      <c r="I17" s="1065">
        <v>33</v>
      </c>
      <c r="J17" s="1065">
        <v>32.5</v>
      </c>
    </row>
    <row r="18" spans="2:10" s="377" customFormat="1" ht="27.25" customHeight="1">
      <c r="B18" s="1394" t="s">
        <v>987</v>
      </c>
      <c r="C18" s="1394"/>
      <c r="D18" s="1394" t="s">
        <v>988</v>
      </c>
      <c r="E18" s="674" t="s">
        <v>976</v>
      </c>
      <c r="F18" s="1063"/>
      <c r="G18" s="1064"/>
      <c r="H18" s="1065">
        <v>25.8</v>
      </c>
      <c r="I18" s="1065">
        <v>25.7</v>
      </c>
      <c r="J18" s="1065">
        <v>25.4</v>
      </c>
    </row>
    <row r="19" spans="2:10" s="377" customFormat="1" ht="27.25" customHeight="1">
      <c r="B19" s="1394"/>
      <c r="C19" s="1394"/>
      <c r="D19" s="1394"/>
      <c r="E19" s="388" t="s">
        <v>980</v>
      </c>
      <c r="F19" s="1063"/>
      <c r="G19" s="1064"/>
      <c r="H19" s="1065">
        <v>32.5</v>
      </c>
      <c r="I19" s="1065">
        <v>32.5</v>
      </c>
      <c r="J19" s="1065">
        <v>32</v>
      </c>
    </row>
    <row r="20" spans="2:10" s="377" customFormat="1" ht="21.25" customHeight="1">
      <c r="B20" s="981" t="s">
        <v>251</v>
      </c>
      <c r="C20" s="1059"/>
      <c r="D20" s="1059"/>
      <c r="E20" s="388"/>
      <c r="F20" s="1066"/>
      <c r="G20" s="1067"/>
      <c r="H20" s="1068"/>
      <c r="I20" s="1068"/>
      <c r="J20" s="1068"/>
    </row>
    <row r="21" spans="2:10" s="377" customFormat="1" ht="27.25" customHeight="1">
      <c r="B21" s="1394" t="s">
        <v>989</v>
      </c>
      <c r="C21" s="1394"/>
      <c r="D21" s="1394" t="s">
        <v>990</v>
      </c>
      <c r="E21" s="674" t="s">
        <v>976</v>
      </c>
      <c r="F21" s="1063"/>
      <c r="G21" s="1064"/>
      <c r="H21" s="1065">
        <v>24.2</v>
      </c>
      <c r="I21" s="1065">
        <v>24.2</v>
      </c>
      <c r="J21" s="1065">
        <v>23.9</v>
      </c>
    </row>
    <row r="22" spans="2:10" s="377" customFormat="1" ht="27.25" customHeight="1">
      <c r="B22" s="1394"/>
      <c r="C22" s="1394"/>
      <c r="D22" s="1394"/>
      <c r="E22" s="388" t="s">
        <v>980</v>
      </c>
      <c r="F22" s="1063"/>
      <c r="G22" s="1064"/>
      <c r="H22" s="1065">
        <v>32</v>
      </c>
      <c r="I22" s="1065">
        <v>31.5</v>
      </c>
      <c r="J22" s="1065">
        <v>31.3</v>
      </c>
    </row>
    <row r="23" spans="2:10" s="377" customFormat="1" ht="27.25" customHeight="1">
      <c r="B23" s="1394" t="s">
        <v>991</v>
      </c>
      <c r="C23" s="1394"/>
      <c r="D23" s="1394" t="s">
        <v>992</v>
      </c>
      <c r="E23" s="674" t="s">
        <v>976</v>
      </c>
      <c r="F23" s="1063"/>
      <c r="G23" s="1064"/>
      <c r="H23" s="1065">
        <v>24.5</v>
      </c>
      <c r="I23" s="1065">
        <v>24.6</v>
      </c>
      <c r="J23" s="1065">
        <v>24.3</v>
      </c>
    </row>
    <row r="24" spans="2:10" s="377" customFormat="1" ht="27.25" customHeight="1">
      <c r="B24" s="1394"/>
      <c r="C24" s="1394"/>
      <c r="D24" s="1394"/>
      <c r="E24" s="388" t="s">
        <v>980</v>
      </c>
      <c r="F24" s="1063"/>
      <c r="G24" s="1064"/>
      <c r="H24" s="1065">
        <v>31.9</v>
      </c>
      <c r="I24" s="1065">
        <v>31.6</v>
      </c>
      <c r="J24" s="1065">
        <v>31.2</v>
      </c>
    </row>
    <row r="25" spans="2:10" s="377" customFormat="1" ht="27.25" customHeight="1">
      <c r="B25" s="1394" t="s">
        <v>993</v>
      </c>
      <c r="C25" s="1394"/>
      <c r="D25" s="1394" t="s">
        <v>994</v>
      </c>
      <c r="E25" s="674" t="s">
        <v>976</v>
      </c>
      <c r="F25" s="1063"/>
      <c r="G25" s="1064"/>
      <c r="H25" s="1065">
        <v>23.2</v>
      </c>
      <c r="I25" s="1065">
        <v>23.5</v>
      </c>
      <c r="J25" s="1065">
        <v>23.1</v>
      </c>
    </row>
    <row r="26" spans="2:10" s="377" customFormat="1" ht="27.25" customHeight="1">
      <c r="B26" s="1394"/>
      <c r="C26" s="1394"/>
      <c r="D26" s="1394"/>
      <c r="E26" s="388" t="s">
        <v>980</v>
      </c>
      <c r="F26" s="1063"/>
      <c r="G26" s="1064"/>
      <c r="H26" s="1065">
        <v>33</v>
      </c>
      <c r="I26" s="1065">
        <v>32.9</v>
      </c>
      <c r="J26" s="1065">
        <v>32.4</v>
      </c>
    </row>
    <row r="27" spans="2:10" s="377" customFormat="1" ht="19.5" customHeight="1">
      <c r="B27" s="981" t="s">
        <v>252</v>
      </c>
      <c r="C27" s="1059"/>
      <c r="D27" s="1059"/>
      <c r="E27" s="388"/>
      <c r="F27" s="1066"/>
      <c r="G27" s="1067"/>
      <c r="H27" s="1068"/>
      <c r="I27" s="1068"/>
      <c r="J27" s="1068"/>
    </row>
    <row r="28" spans="2:10" s="377" customFormat="1" ht="27.25" customHeight="1">
      <c r="B28" s="1394" t="s">
        <v>995</v>
      </c>
      <c r="C28" s="1394"/>
      <c r="D28" s="1394" t="s">
        <v>996</v>
      </c>
      <c r="E28" s="674" t="s">
        <v>976</v>
      </c>
      <c r="F28" s="1063"/>
      <c r="G28" s="1064"/>
      <c r="H28" s="1065">
        <v>24.5</v>
      </c>
      <c r="I28" s="1065">
        <v>24</v>
      </c>
      <c r="J28" s="1065">
        <v>24.1</v>
      </c>
    </row>
    <row r="29" spans="2:10" s="377" customFormat="1" ht="27.25" customHeight="1">
      <c r="B29" s="1394"/>
      <c r="C29" s="1394"/>
      <c r="D29" s="1394"/>
      <c r="E29" s="388" t="s">
        <v>980</v>
      </c>
      <c r="F29" s="1063"/>
      <c r="G29" s="1064"/>
      <c r="H29" s="1065">
        <v>32.5</v>
      </c>
      <c r="I29" s="1065">
        <v>32.299999999999997</v>
      </c>
      <c r="J29" s="1065">
        <v>31.7</v>
      </c>
    </row>
    <row r="30" spans="2:10" s="377" customFormat="1" ht="27.25" customHeight="1">
      <c r="B30" s="981" t="s">
        <v>253</v>
      </c>
      <c r="C30" s="1059"/>
      <c r="D30" s="1059"/>
      <c r="E30" s="388"/>
      <c r="F30" s="1066"/>
      <c r="G30" s="1067"/>
      <c r="H30" s="1068"/>
      <c r="I30" s="1068"/>
      <c r="J30" s="1068"/>
    </row>
    <row r="31" spans="2:10" s="377" customFormat="1" ht="27.25" customHeight="1">
      <c r="B31" s="1394" t="s">
        <v>997</v>
      </c>
      <c r="C31" s="1394"/>
      <c r="D31" s="1394" t="s">
        <v>998</v>
      </c>
      <c r="E31" s="674" t="s">
        <v>976</v>
      </c>
      <c r="F31" s="1063"/>
      <c r="G31" s="1064"/>
      <c r="H31" s="1065">
        <v>23.1</v>
      </c>
      <c r="I31" s="1065">
        <v>25.1</v>
      </c>
      <c r="J31" s="1065">
        <v>23.2</v>
      </c>
    </row>
    <row r="32" spans="2:10" s="377" customFormat="1" ht="27.25" customHeight="1">
      <c r="B32" s="1394"/>
      <c r="C32" s="1394"/>
      <c r="D32" s="1394"/>
      <c r="E32" s="388" t="s">
        <v>980</v>
      </c>
      <c r="F32" s="1063"/>
      <c r="G32" s="1064"/>
      <c r="H32" s="1065">
        <v>32.200000000000003</v>
      </c>
      <c r="I32" s="1065">
        <v>31.9</v>
      </c>
      <c r="J32" s="1065">
        <v>32</v>
      </c>
    </row>
    <row r="33" spans="1:11" s="377" customFormat="1" ht="19.5" customHeight="1">
      <c r="B33" s="981" t="s">
        <v>254</v>
      </c>
      <c r="C33" s="1059"/>
      <c r="D33" s="1059"/>
      <c r="E33" s="388"/>
      <c r="F33" s="1066"/>
      <c r="G33" s="1067"/>
      <c r="H33" s="1068"/>
      <c r="I33" s="1068"/>
      <c r="J33" s="1068"/>
    </row>
    <row r="34" spans="1:11" s="377" customFormat="1" ht="28.5" customHeight="1">
      <c r="B34" s="1393" t="s">
        <v>999</v>
      </c>
      <c r="C34" s="1393"/>
      <c r="D34" s="1394" t="s">
        <v>1000</v>
      </c>
      <c r="E34" s="674" t="s">
        <v>976</v>
      </c>
      <c r="F34" s="1063"/>
      <c r="G34" s="1064"/>
      <c r="H34" s="1065">
        <v>23.4</v>
      </c>
      <c r="I34" s="1065">
        <v>23.6</v>
      </c>
      <c r="J34" s="1065">
        <v>23.6</v>
      </c>
    </row>
    <row r="35" spans="1:11" s="377" customFormat="1" ht="27.25" customHeight="1">
      <c r="B35" s="1393"/>
      <c r="C35" s="1393"/>
      <c r="D35" s="1394"/>
      <c r="E35" s="388" t="s">
        <v>980</v>
      </c>
      <c r="F35" s="1063"/>
      <c r="G35" s="1064"/>
      <c r="H35" s="1065">
        <v>33.5</v>
      </c>
      <c r="I35" s="1065">
        <v>33</v>
      </c>
      <c r="J35" s="1065">
        <v>32.6</v>
      </c>
    </row>
    <row r="36" spans="1:11" s="377" customFormat="1" ht="27.25" customHeight="1">
      <c r="B36" s="1394" t="s">
        <v>1001</v>
      </c>
      <c r="C36" s="1394"/>
      <c r="D36" s="1394" t="s">
        <v>1002</v>
      </c>
      <c r="E36" s="674" t="s">
        <v>976</v>
      </c>
      <c r="F36" s="1063"/>
      <c r="G36" s="1064"/>
      <c r="H36" s="1065">
        <v>15.7</v>
      </c>
      <c r="I36" s="1065">
        <v>15.9</v>
      </c>
      <c r="J36" s="1065">
        <v>15.7</v>
      </c>
    </row>
    <row r="37" spans="1:11" s="377" customFormat="1" ht="28" customHeight="1" thickBot="1">
      <c r="B37" s="1395"/>
      <c r="C37" s="1395"/>
      <c r="D37" s="1395"/>
      <c r="E37" s="1070" t="s">
        <v>980</v>
      </c>
      <c r="F37" s="1071"/>
      <c r="G37" s="1072"/>
      <c r="H37" s="1073">
        <v>22.6</v>
      </c>
      <c r="I37" s="1073">
        <v>22.7</v>
      </c>
      <c r="J37" s="1073">
        <v>22.3</v>
      </c>
    </row>
    <row r="38" spans="1:11">
      <c r="A38" s="377"/>
      <c r="B38" s="377"/>
      <c r="C38" s="377"/>
      <c r="D38" s="377"/>
      <c r="E38" s="377"/>
      <c r="F38" s="1043"/>
      <c r="G38" s="1043"/>
      <c r="H38" s="1043"/>
      <c r="I38" s="1043"/>
      <c r="J38" s="1074" t="s">
        <v>1003</v>
      </c>
    </row>
    <row r="39" spans="1:11">
      <c r="A39" s="377"/>
      <c r="B39" s="377"/>
      <c r="C39" s="377"/>
      <c r="D39" s="377"/>
      <c r="E39" s="377"/>
      <c r="F39" s="1043"/>
      <c r="G39" s="1043"/>
      <c r="H39" s="1043"/>
      <c r="I39" s="1043"/>
      <c r="J39" s="1075" t="s">
        <v>1004</v>
      </c>
    </row>
    <row r="40" spans="1:11">
      <c r="A40" s="377"/>
      <c r="B40" s="703" t="s">
        <v>1005</v>
      </c>
      <c r="C40" s="703"/>
      <c r="D40" s="667"/>
      <c r="E40" s="377"/>
      <c r="F40" s="1043"/>
      <c r="G40" s="1043"/>
      <c r="H40" s="1043"/>
      <c r="I40" s="1043"/>
      <c r="J40" s="1044"/>
      <c r="K40" s="377"/>
    </row>
    <row r="41" spans="1:11">
      <c r="A41" s="1076" t="s">
        <v>34</v>
      </c>
      <c r="B41" s="703" t="s">
        <v>1006</v>
      </c>
      <c r="C41" s="703"/>
      <c r="D41" s="667"/>
      <c r="E41" s="377"/>
      <c r="F41" s="1043"/>
      <c r="G41" s="1043"/>
      <c r="H41" s="1043"/>
      <c r="I41" s="1043"/>
      <c r="J41" s="1044"/>
      <c r="K41" s="377"/>
    </row>
    <row r="42" spans="1:11">
      <c r="A42" s="1076" t="s">
        <v>37</v>
      </c>
      <c r="B42" s="1004" t="s">
        <v>1007</v>
      </c>
      <c r="C42" s="1004"/>
      <c r="D42" s="667"/>
      <c r="E42" s="377"/>
      <c r="F42" s="1043"/>
      <c r="G42" s="1043"/>
      <c r="H42" s="1043"/>
      <c r="I42" s="1043"/>
      <c r="J42" s="1044"/>
      <c r="K42" s="377"/>
    </row>
    <row r="43" spans="1:11" ht="15.25" customHeight="1">
      <c r="A43" s="1077" t="s">
        <v>272</v>
      </c>
      <c r="B43" s="1396" t="s">
        <v>1008</v>
      </c>
      <c r="C43" s="1396"/>
      <c r="D43" s="1396"/>
      <c r="E43" s="1396"/>
      <c r="F43" s="1396"/>
      <c r="G43" s="1396"/>
      <c r="H43" s="1396"/>
      <c r="I43" s="1396"/>
      <c r="J43" s="1396"/>
    </row>
    <row r="44" spans="1:11">
      <c r="B44" s="1078" t="s">
        <v>1009</v>
      </c>
      <c r="C44" s="1078"/>
      <c r="D44" s="1079"/>
    </row>
  </sheetData>
  <mergeCells count="29">
    <mergeCell ref="H4:J4"/>
    <mergeCell ref="B5:C5"/>
    <mergeCell ref="B7:C8"/>
    <mergeCell ref="D7:D8"/>
    <mergeCell ref="B9:C10"/>
    <mergeCell ref="D9:D10"/>
    <mergeCell ref="B11:C12"/>
    <mergeCell ref="D11:D12"/>
    <mergeCell ref="B13:C14"/>
    <mergeCell ref="D13:D14"/>
    <mergeCell ref="B16:C17"/>
    <mergeCell ref="D16:D17"/>
    <mergeCell ref="B18:C19"/>
    <mergeCell ref="D18:D19"/>
    <mergeCell ref="B21:C22"/>
    <mergeCell ref="D21:D22"/>
    <mergeCell ref="B23:C24"/>
    <mergeCell ref="D23:D24"/>
    <mergeCell ref="B25:C26"/>
    <mergeCell ref="D25:D26"/>
    <mergeCell ref="B28:C29"/>
    <mergeCell ref="D28:D29"/>
    <mergeCell ref="B31:C32"/>
    <mergeCell ref="D31:D32"/>
    <mergeCell ref="B34:C35"/>
    <mergeCell ref="D34:D35"/>
    <mergeCell ref="B36:C37"/>
    <mergeCell ref="D36:D37"/>
    <mergeCell ref="B43:J43"/>
  </mergeCells>
  <pageMargins left="0.55118110236220474" right="0.55118110236220474" top="0.55118110236220474" bottom="0.55118110236220474" header="0.31496062992125984" footer="0.31496062992125984"/>
  <pageSetup paperSize="9" scale="70" fitToWidth="0" fitToHeight="0"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72D29-C923-4A83-AA28-F5FDFDB9E8BA}">
  <sheetPr codeName="Sheet59"/>
  <dimension ref="A1:K46"/>
  <sheetViews>
    <sheetView view="pageBreakPreview" topLeftCell="A37" zoomScale="90" zoomScaleNormal="100" zoomScaleSheetLayoutView="90" workbookViewId="0">
      <selection activeCell="D60" sqref="D60"/>
    </sheetView>
  </sheetViews>
  <sheetFormatPr baseColWidth="10" defaultColWidth="8.83203125" defaultRowHeight="15"/>
  <cols>
    <col min="1" max="1" width="2.5" customWidth="1"/>
    <col min="2" max="2" width="12.6640625" customWidth="1"/>
    <col min="3" max="3" width="33.6640625" customWidth="1"/>
    <col min="4" max="4" width="17.83203125" customWidth="1"/>
    <col min="5" max="5" width="14.1640625" customWidth="1"/>
    <col min="6" max="6" width="7.6640625" customWidth="1"/>
    <col min="7" max="7" width="12.6640625" customWidth="1"/>
    <col min="8" max="8" width="11.6640625" customWidth="1"/>
    <col min="9" max="9" width="13.6640625" style="404" customWidth="1"/>
  </cols>
  <sheetData>
    <row r="1" spans="2:9" s="377" customFormat="1" ht="9.25" customHeight="1">
      <c r="F1" s="1043"/>
      <c r="G1" s="1043"/>
      <c r="H1" s="1043"/>
      <c r="I1" s="1044"/>
    </row>
    <row r="2" spans="2:9" s="377" customFormat="1" ht="16.25" customHeight="1">
      <c r="B2" s="40" t="s">
        <v>964</v>
      </c>
      <c r="C2" s="1045" t="s">
        <v>1010</v>
      </c>
      <c r="D2" s="1080"/>
      <c r="E2" s="1080"/>
      <c r="F2" s="1080"/>
      <c r="G2" s="1080"/>
      <c r="H2" s="1080"/>
      <c r="I2" s="975"/>
    </row>
    <row r="3" spans="2:9" s="377" customFormat="1" ht="14">
      <c r="B3" s="1049" t="s">
        <v>966</v>
      </c>
      <c r="C3" s="1050" t="s">
        <v>1011</v>
      </c>
      <c r="D3" s="1051"/>
      <c r="E3" s="1051"/>
      <c r="F3" s="1051"/>
      <c r="G3" s="1051"/>
      <c r="H3" s="1051"/>
      <c r="I3" s="1052"/>
    </row>
    <row r="4" spans="2:9" s="377" customFormat="1" ht="8" customHeight="1" thickBot="1">
      <c r="F4" s="1054"/>
      <c r="G4" s="1397"/>
      <c r="H4" s="1397"/>
      <c r="I4" s="1397"/>
    </row>
    <row r="5" spans="2:9" s="377" customFormat="1" ht="77" customHeight="1" thickBot="1">
      <c r="B5" s="1307" t="s">
        <v>968</v>
      </c>
      <c r="C5" s="1307"/>
      <c r="D5" s="1081" t="s">
        <v>969</v>
      </c>
      <c r="E5" s="1055" t="s">
        <v>970</v>
      </c>
      <c r="F5" s="1056"/>
      <c r="G5" s="1057" t="s">
        <v>971</v>
      </c>
      <c r="H5" s="1058" t="s">
        <v>972</v>
      </c>
      <c r="I5" s="1058" t="s">
        <v>973</v>
      </c>
    </row>
    <row r="6" spans="2:9" s="377" customFormat="1" ht="18" customHeight="1">
      <c r="B6" s="981" t="s">
        <v>254</v>
      </c>
      <c r="C6" s="981"/>
      <c r="D6" s="1059"/>
      <c r="E6" s="308"/>
      <c r="F6" s="1060"/>
      <c r="G6" s="1060"/>
      <c r="H6" s="1060"/>
      <c r="I6" s="1062"/>
    </row>
    <row r="7" spans="2:9" s="377" customFormat="1" ht="27.25" customHeight="1">
      <c r="B7" s="1394" t="s">
        <v>1012</v>
      </c>
      <c r="C7" s="1394"/>
      <c r="D7" s="1398" t="s">
        <v>1013</v>
      </c>
      <c r="E7" s="674" t="s">
        <v>976</v>
      </c>
      <c r="F7" s="1064"/>
      <c r="G7" s="1065">
        <v>23.8</v>
      </c>
      <c r="H7" s="1065">
        <v>24.1</v>
      </c>
      <c r="I7" s="1065">
        <v>23.9</v>
      </c>
    </row>
    <row r="8" spans="2:9" s="377" customFormat="1" ht="27.25" customHeight="1">
      <c r="B8" s="1394"/>
      <c r="C8" s="1394"/>
      <c r="D8" s="1398"/>
      <c r="E8" s="1059" t="s">
        <v>977</v>
      </c>
      <c r="F8" s="1064"/>
      <c r="G8" s="1065">
        <v>32.5</v>
      </c>
      <c r="H8" s="1065">
        <v>32.299999999999997</v>
      </c>
      <c r="I8" s="1065">
        <v>31.9</v>
      </c>
    </row>
    <row r="9" spans="2:9" s="377" customFormat="1" ht="27.25" customHeight="1">
      <c r="B9" s="1394" t="s">
        <v>1014</v>
      </c>
      <c r="C9" s="1394"/>
      <c r="D9" s="1398" t="s">
        <v>1015</v>
      </c>
      <c r="E9" s="674" t="s">
        <v>976</v>
      </c>
      <c r="F9" s="1064"/>
      <c r="G9" s="1065">
        <v>23.5</v>
      </c>
      <c r="H9" s="1065">
        <v>23.7</v>
      </c>
      <c r="I9" s="1065">
        <v>23.4</v>
      </c>
    </row>
    <row r="10" spans="2:9" s="377" customFormat="1" ht="27.25" customHeight="1">
      <c r="B10" s="1394"/>
      <c r="C10" s="1394"/>
      <c r="D10" s="1398"/>
      <c r="E10" s="1059" t="s">
        <v>977</v>
      </c>
      <c r="F10" s="1064"/>
      <c r="G10" s="1065">
        <v>33</v>
      </c>
      <c r="H10" s="1065">
        <v>32.4</v>
      </c>
      <c r="I10" s="1065">
        <v>32.200000000000003</v>
      </c>
    </row>
    <row r="11" spans="2:9" s="377" customFormat="1" ht="27.25" customHeight="1">
      <c r="B11" s="1394" t="s">
        <v>1016</v>
      </c>
      <c r="C11" s="1394"/>
      <c r="D11" s="1398" t="s">
        <v>1017</v>
      </c>
      <c r="E11" s="674" t="s">
        <v>976</v>
      </c>
      <c r="F11" s="1064"/>
      <c r="G11" s="1065">
        <v>23.8</v>
      </c>
      <c r="H11" s="1065">
        <v>24</v>
      </c>
      <c r="I11" s="1065">
        <v>23.7</v>
      </c>
    </row>
    <row r="12" spans="2:9" s="377" customFormat="1" ht="27.25" customHeight="1">
      <c r="B12" s="1394"/>
      <c r="C12" s="1394"/>
      <c r="D12" s="1398"/>
      <c r="E12" s="1059" t="s">
        <v>977</v>
      </c>
      <c r="F12" s="1064"/>
      <c r="G12" s="1065">
        <v>33.9</v>
      </c>
      <c r="H12" s="1065">
        <v>33.4</v>
      </c>
      <c r="I12" s="1065">
        <v>33.200000000000003</v>
      </c>
    </row>
    <row r="13" spans="2:9" s="377" customFormat="1" ht="20.25" customHeight="1">
      <c r="B13" s="311" t="s">
        <v>255</v>
      </c>
      <c r="C13" s="1059"/>
      <c r="D13" s="1059"/>
      <c r="E13" s="388"/>
      <c r="F13" s="1067"/>
      <c r="G13" s="1068"/>
      <c r="H13" s="1068"/>
      <c r="I13" s="1068"/>
    </row>
    <row r="14" spans="2:9" s="377" customFormat="1" ht="27.25" customHeight="1">
      <c r="B14" s="1394" t="s">
        <v>1018</v>
      </c>
      <c r="C14" s="1394"/>
      <c r="D14" s="1394" t="s">
        <v>1019</v>
      </c>
      <c r="E14" s="674" t="s">
        <v>976</v>
      </c>
      <c r="F14" s="1064"/>
      <c r="G14" s="1065">
        <v>25.5</v>
      </c>
      <c r="H14" s="1065">
        <v>25.4</v>
      </c>
      <c r="I14" s="1065">
        <v>25.1</v>
      </c>
    </row>
    <row r="15" spans="2:9" s="377" customFormat="1" ht="27.25" customHeight="1">
      <c r="B15" s="1394"/>
      <c r="C15" s="1394"/>
      <c r="D15" s="1394"/>
      <c r="E15" s="1059" t="s">
        <v>977</v>
      </c>
      <c r="F15" s="1064"/>
      <c r="G15" s="1065">
        <v>32.700000000000003</v>
      </c>
      <c r="H15" s="1065">
        <v>32.200000000000003</v>
      </c>
      <c r="I15" s="1065">
        <v>32</v>
      </c>
    </row>
    <row r="16" spans="2:9" s="377" customFormat="1" ht="27.25" customHeight="1">
      <c r="B16" s="1394" t="s">
        <v>1020</v>
      </c>
      <c r="C16" s="1394"/>
      <c r="D16" s="1394" t="s">
        <v>1021</v>
      </c>
      <c r="E16" s="674" t="s">
        <v>976</v>
      </c>
      <c r="F16" s="1064"/>
      <c r="G16" s="1065">
        <v>24.7</v>
      </c>
      <c r="H16" s="1065">
        <v>24.8</v>
      </c>
      <c r="I16" s="1065">
        <v>24.5</v>
      </c>
    </row>
    <row r="17" spans="1:11" s="377" customFormat="1" ht="27.25" customHeight="1">
      <c r="B17" s="1394"/>
      <c r="C17" s="1394"/>
      <c r="D17" s="1394"/>
      <c r="E17" s="1059" t="s">
        <v>977</v>
      </c>
      <c r="F17" s="1064"/>
      <c r="G17" s="1065">
        <v>32.4</v>
      </c>
      <c r="H17" s="1065">
        <v>32.1</v>
      </c>
      <c r="I17" s="1065">
        <v>31.8</v>
      </c>
    </row>
    <row r="18" spans="1:11" s="377" customFormat="1" ht="18.75" customHeight="1">
      <c r="B18" s="981" t="s">
        <v>256</v>
      </c>
      <c r="C18" s="1059"/>
      <c r="D18" s="1059"/>
      <c r="E18" s="388"/>
      <c r="F18" s="1067"/>
      <c r="G18" s="1068"/>
      <c r="H18" s="1068"/>
      <c r="I18" s="1068"/>
    </row>
    <row r="19" spans="1:11" s="377" customFormat="1" ht="27.25" customHeight="1">
      <c r="B19" s="1394" t="s">
        <v>1022</v>
      </c>
      <c r="C19" s="1394"/>
      <c r="D19" s="1398" t="s">
        <v>1023</v>
      </c>
      <c r="E19" s="674" t="s">
        <v>976</v>
      </c>
      <c r="F19" s="1064"/>
      <c r="G19" s="1065">
        <v>24.3</v>
      </c>
      <c r="H19" s="1065">
        <v>24.3</v>
      </c>
      <c r="I19" s="1065">
        <v>23.9</v>
      </c>
    </row>
    <row r="20" spans="1:11" s="377" customFormat="1" ht="27.25" customHeight="1">
      <c r="B20" s="1394"/>
      <c r="C20" s="1394"/>
      <c r="D20" s="1398"/>
      <c r="E20" s="1059" t="s">
        <v>977</v>
      </c>
      <c r="F20" s="1064"/>
      <c r="G20" s="1065">
        <v>33.4</v>
      </c>
      <c r="H20" s="1065">
        <v>33</v>
      </c>
      <c r="I20" s="1065">
        <v>32.799999999999997</v>
      </c>
    </row>
    <row r="21" spans="1:11" s="377" customFormat="1" ht="27.25" customHeight="1">
      <c r="B21" s="1394" t="s">
        <v>1024</v>
      </c>
      <c r="C21" s="1394"/>
      <c r="D21" s="1398" t="s">
        <v>1025</v>
      </c>
      <c r="E21" s="674" t="s">
        <v>976</v>
      </c>
      <c r="F21" s="1064"/>
      <c r="G21" s="1065">
        <v>23.9</v>
      </c>
      <c r="H21" s="1065">
        <v>24</v>
      </c>
      <c r="I21" s="1065">
        <v>23.3</v>
      </c>
    </row>
    <row r="22" spans="1:11" s="377" customFormat="1" ht="27.25" customHeight="1">
      <c r="B22" s="1394"/>
      <c r="C22" s="1394"/>
      <c r="D22" s="1398"/>
      <c r="E22" s="1059" t="s">
        <v>977</v>
      </c>
      <c r="F22" s="1064"/>
      <c r="G22" s="1065">
        <v>33.6</v>
      </c>
      <c r="H22" s="1065">
        <v>33.299999999999997</v>
      </c>
      <c r="I22" s="1065">
        <v>32.799999999999997</v>
      </c>
    </row>
    <row r="23" spans="1:11" s="377" customFormat="1" ht="27.25" customHeight="1">
      <c r="B23" s="1394" t="s">
        <v>1026</v>
      </c>
      <c r="C23" s="1394"/>
      <c r="D23" s="1394" t="s">
        <v>1027</v>
      </c>
      <c r="E23" s="674" t="s">
        <v>976</v>
      </c>
      <c r="F23" s="1064"/>
      <c r="G23" s="1065">
        <v>24.4</v>
      </c>
      <c r="H23" s="1065">
        <v>24.5</v>
      </c>
      <c r="I23" s="1065">
        <v>24.1</v>
      </c>
    </row>
    <row r="24" spans="1:11" s="377" customFormat="1" ht="27.25" customHeight="1">
      <c r="B24" s="1394"/>
      <c r="C24" s="1394"/>
      <c r="D24" s="1394"/>
      <c r="E24" s="1059" t="s">
        <v>977</v>
      </c>
      <c r="F24" s="1064"/>
      <c r="G24" s="1065">
        <v>33.1</v>
      </c>
      <c r="H24" s="1065">
        <v>32.6</v>
      </c>
      <c r="I24" s="1065">
        <v>32.700000000000003</v>
      </c>
    </row>
    <row r="25" spans="1:11" s="377" customFormat="1" ht="20.25" customHeight="1">
      <c r="B25" s="981" t="s">
        <v>257</v>
      </c>
      <c r="C25" s="1059"/>
      <c r="D25" s="1059"/>
      <c r="E25" s="388"/>
      <c r="F25" s="1067"/>
      <c r="G25" s="1068"/>
      <c r="H25" s="1068"/>
      <c r="I25" s="1068"/>
    </row>
    <row r="26" spans="1:11" s="377" customFormat="1" ht="27.25" customHeight="1">
      <c r="B26" s="1394" t="s">
        <v>1028</v>
      </c>
      <c r="C26" s="1394"/>
      <c r="D26" s="1394" t="s">
        <v>1029</v>
      </c>
      <c r="E26" s="674" t="s">
        <v>976</v>
      </c>
      <c r="F26" s="1064"/>
      <c r="G26" s="1065">
        <v>24.2</v>
      </c>
      <c r="H26" s="1065">
        <v>24.3</v>
      </c>
      <c r="I26" s="1065">
        <v>24.1</v>
      </c>
    </row>
    <row r="27" spans="1:11" s="377" customFormat="1" ht="27.25" customHeight="1">
      <c r="B27" s="1394"/>
      <c r="C27" s="1394"/>
      <c r="D27" s="1394"/>
      <c r="E27" s="1059" t="s">
        <v>977</v>
      </c>
      <c r="F27" s="1064"/>
      <c r="G27" s="1065">
        <v>33.4</v>
      </c>
      <c r="H27" s="1065">
        <v>33.200000000000003</v>
      </c>
      <c r="I27" s="1065">
        <v>32.799999999999997</v>
      </c>
    </row>
    <row r="28" spans="1:11" ht="23.25" customHeight="1">
      <c r="A28" s="377"/>
      <c r="B28" s="311" t="s">
        <v>258</v>
      </c>
      <c r="C28" s="674"/>
      <c r="D28" s="1059"/>
      <c r="E28" s="388"/>
      <c r="F28" s="1066"/>
      <c r="G28" s="1067"/>
      <c r="H28" s="1068"/>
      <c r="I28" s="1068"/>
      <c r="J28" s="1082"/>
      <c r="K28" s="377"/>
    </row>
    <row r="29" spans="1:11" ht="27.25" customHeight="1">
      <c r="A29" s="377"/>
      <c r="B29" s="1394" t="s">
        <v>1030</v>
      </c>
      <c r="C29" s="1394"/>
      <c r="D29" s="1394" t="s">
        <v>1031</v>
      </c>
      <c r="E29" s="674" t="s">
        <v>976</v>
      </c>
      <c r="F29" s="1063"/>
      <c r="G29" s="1065">
        <v>25.5</v>
      </c>
      <c r="H29" s="1065">
        <v>25.5</v>
      </c>
      <c r="I29" s="1065">
        <v>25.3</v>
      </c>
      <c r="J29" s="1083"/>
      <c r="K29" s="377"/>
    </row>
    <row r="30" spans="1:11" ht="27.25" customHeight="1">
      <c r="A30" s="377"/>
      <c r="B30" s="1394"/>
      <c r="C30" s="1394"/>
      <c r="D30" s="1394"/>
      <c r="E30" s="1059" t="s">
        <v>977</v>
      </c>
      <c r="F30" s="1063"/>
      <c r="G30" s="1065">
        <v>33.5</v>
      </c>
      <c r="H30" s="1065">
        <v>33.299999999999997</v>
      </c>
      <c r="I30" s="1065">
        <v>33.1</v>
      </c>
      <c r="J30" s="1083"/>
      <c r="K30" s="377"/>
    </row>
    <row r="31" spans="1:11" ht="27.25" customHeight="1">
      <c r="A31" s="377"/>
      <c r="B31" s="1394" t="s">
        <v>1032</v>
      </c>
      <c r="C31" s="1394"/>
      <c r="D31" s="1394" t="s">
        <v>1031</v>
      </c>
      <c r="E31" s="674" t="s">
        <v>976</v>
      </c>
      <c r="F31" s="1063"/>
      <c r="G31" s="1065">
        <v>24.9</v>
      </c>
      <c r="H31" s="1065">
        <v>25.1</v>
      </c>
      <c r="I31" s="1065">
        <v>24.6</v>
      </c>
      <c r="J31" s="1083"/>
      <c r="K31" s="377"/>
    </row>
    <row r="32" spans="1:11" ht="27.25" customHeight="1">
      <c r="A32" s="377"/>
      <c r="B32" s="1394"/>
      <c r="C32" s="1394"/>
      <c r="D32" s="1394"/>
      <c r="E32" s="1059" t="s">
        <v>977</v>
      </c>
      <c r="F32" s="1063"/>
      <c r="G32" s="1065">
        <v>33.6</v>
      </c>
      <c r="H32" s="1065">
        <v>33.5</v>
      </c>
      <c r="I32" s="1065">
        <v>33.1</v>
      </c>
      <c r="J32" s="1083"/>
      <c r="K32" s="377"/>
    </row>
    <row r="33" spans="1:11" ht="27.25" customHeight="1">
      <c r="A33" s="377"/>
      <c r="B33" s="1394" t="s">
        <v>1033</v>
      </c>
      <c r="C33" s="1394"/>
      <c r="D33" s="1394" t="s">
        <v>1034</v>
      </c>
      <c r="E33" s="674" t="s">
        <v>976</v>
      </c>
      <c r="F33" s="1063"/>
      <c r="G33" s="1065">
        <v>24.9</v>
      </c>
      <c r="H33" s="1065">
        <v>25.1</v>
      </c>
      <c r="I33" s="1065">
        <v>24.6</v>
      </c>
      <c r="J33" s="1083"/>
      <c r="K33" s="377"/>
    </row>
    <row r="34" spans="1:11" ht="27.25" customHeight="1">
      <c r="A34" s="377"/>
      <c r="B34" s="1394"/>
      <c r="C34" s="1394"/>
      <c r="D34" s="1394"/>
      <c r="E34" s="1059" t="s">
        <v>977</v>
      </c>
      <c r="F34" s="1063"/>
      <c r="G34" s="1065">
        <v>33.6</v>
      </c>
      <c r="H34" s="1065">
        <v>33.5</v>
      </c>
      <c r="I34" s="1065">
        <v>33.1</v>
      </c>
      <c r="J34" s="1083"/>
      <c r="K34" s="377"/>
    </row>
    <row r="35" spans="1:11" ht="19.5" customHeight="1">
      <c r="A35" s="377"/>
      <c r="B35" s="311" t="s">
        <v>259</v>
      </c>
      <c r="C35" s="674"/>
      <c r="D35" s="1059"/>
      <c r="E35" s="388"/>
      <c r="F35" s="1066"/>
      <c r="G35" s="1068"/>
      <c r="H35" s="1068"/>
      <c r="I35" s="1068"/>
      <c r="J35" s="1082"/>
      <c r="K35" s="377"/>
    </row>
    <row r="36" spans="1:11" ht="27.25" customHeight="1">
      <c r="A36" s="377"/>
      <c r="B36" s="1394" t="s">
        <v>1035</v>
      </c>
      <c r="C36" s="1394"/>
      <c r="D36" s="1394" t="s">
        <v>1036</v>
      </c>
      <c r="E36" s="674" t="s">
        <v>976</v>
      </c>
      <c r="F36" s="1063"/>
      <c r="G36" s="1065">
        <v>23.9</v>
      </c>
      <c r="H36" s="1065">
        <v>24.1</v>
      </c>
      <c r="I36" s="1065">
        <v>23.8</v>
      </c>
      <c r="J36" s="1083"/>
      <c r="K36" s="377"/>
    </row>
    <row r="37" spans="1:11" ht="27.25" customHeight="1">
      <c r="A37" s="377"/>
      <c r="B37" s="1394"/>
      <c r="C37" s="1394"/>
      <c r="D37" s="1394"/>
      <c r="E37" s="1059" t="s">
        <v>977</v>
      </c>
      <c r="F37" s="1063"/>
      <c r="G37" s="1065">
        <v>31.4</v>
      </c>
      <c r="H37" s="1065">
        <v>31.3</v>
      </c>
      <c r="I37" s="1065">
        <v>31</v>
      </c>
      <c r="J37" s="1083"/>
      <c r="K37" s="377"/>
    </row>
    <row r="38" spans="1:11" ht="27.25" customHeight="1">
      <c r="A38" s="377"/>
      <c r="B38" s="1394" t="s">
        <v>1037</v>
      </c>
      <c r="C38" s="1394"/>
      <c r="D38" s="1394" t="s">
        <v>1038</v>
      </c>
      <c r="E38" s="674" t="s">
        <v>976</v>
      </c>
      <c r="F38" s="1063"/>
      <c r="G38" s="1065">
        <v>24.8</v>
      </c>
      <c r="H38" s="1065">
        <v>24.9</v>
      </c>
      <c r="I38" s="1065">
        <v>24.5</v>
      </c>
      <c r="J38" s="1083"/>
      <c r="K38" s="377"/>
    </row>
    <row r="39" spans="1:11" ht="28" customHeight="1" thickBot="1">
      <c r="A39" s="377"/>
      <c r="B39" s="1395"/>
      <c r="C39" s="1395"/>
      <c r="D39" s="1395"/>
      <c r="E39" s="1084" t="s">
        <v>977</v>
      </c>
      <c r="F39" s="1071"/>
      <c r="G39" s="1073">
        <v>31.9</v>
      </c>
      <c r="H39" s="1073">
        <v>31.5</v>
      </c>
      <c r="I39" s="1073">
        <v>31.3</v>
      </c>
      <c r="J39" s="1083"/>
      <c r="K39" s="377"/>
    </row>
    <row r="40" spans="1:11">
      <c r="A40" s="377"/>
      <c r="B40" s="377"/>
      <c r="C40" s="377"/>
      <c r="D40" s="377"/>
      <c r="E40" s="377"/>
      <c r="F40" s="1043"/>
      <c r="G40" s="1043"/>
      <c r="H40" s="1043"/>
      <c r="I40" s="1074" t="s">
        <v>1003</v>
      </c>
    </row>
    <row r="41" spans="1:11">
      <c r="A41" s="377"/>
      <c r="B41" s="377"/>
      <c r="C41" s="377"/>
      <c r="D41" s="377"/>
      <c r="E41" s="377"/>
      <c r="F41" s="1043"/>
      <c r="G41" s="1043"/>
      <c r="H41" s="1043"/>
      <c r="I41" s="1075" t="s">
        <v>1004</v>
      </c>
    </row>
    <row r="42" spans="1:11">
      <c r="A42" s="377"/>
      <c r="B42" s="703" t="s">
        <v>1005</v>
      </c>
      <c r="C42" s="703"/>
      <c r="D42" s="667"/>
      <c r="E42" s="377"/>
      <c r="F42" s="1043"/>
      <c r="G42" s="1043"/>
      <c r="H42" s="1043"/>
      <c r="I42" s="1044"/>
      <c r="J42" s="377"/>
    </row>
    <row r="43" spans="1:11">
      <c r="A43" s="1076" t="s">
        <v>34</v>
      </c>
      <c r="B43" s="703" t="s">
        <v>1006</v>
      </c>
      <c r="C43" s="703"/>
      <c r="D43" s="667"/>
      <c r="E43" s="377"/>
      <c r="F43" s="1043"/>
      <c r="G43" s="1043"/>
      <c r="H43" s="1043"/>
      <c r="I43" s="1044"/>
      <c r="J43" s="377"/>
    </row>
    <row r="44" spans="1:11">
      <c r="A44" s="1076" t="s">
        <v>37</v>
      </c>
      <c r="B44" s="1004" t="s">
        <v>1007</v>
      </c>
      <c r="C44" s="1004"/>
      <c r="D44" s="667"/>
      <c r="E44" s="377"/>
      <c r="F44" s="1043"/>
      <c r="G44" s="1043"/>
      <c r="H44" s="1043"/>
      <c r="I44" s="1044"/>
      <c r="J44" s="377"/>
    </row>
    <row r="45" spans="1:11" ht="14.75" customHeight="1">
      <c r="A45" s="1077" t="s">
        <v>272</v>
      </c>
      <c r="B45" s="1396" t="s">
        <v>1008</v>
      </c>
      <c r="C45" s="1396"/>
      <c r="D45" s="1396"/>
      <c r="E45" s="1396"/>
      <c r="F45" s="1396"/>
      <c r="G45" s="1396"/>
      <c r="H45" s="1396"/>
      <c r="I45" s="1396"/>
    </row>
    <row r="46" spans="1:11">
      <c r="B46" s="1078" t="s">
        <v>1009</v>
      </c>
      <c r="C46" s="1078"/>
      <c r="D46" s="1079"/>
    </row>
  </sheetData>
  <mergeCells count="31">
    <mergeCell ref="G4:I4"/>
    <mergeCell ref="B5:C5"/>
    <mergeCell ref="B7:C8"/>
    <mergeCell ref="D7:D8"/>
    <mergeCell ref="B9:C10"/>
    <mergeCell ref="D9:D10"/>
    <mergeCell ref="B11:C12"/>
    <mergeCell ref="D11:D12"/>
    <mergeCell ref="B14:C15"/>
    <mergeCell ref="D14:D15"/>
    <mergeCell ref="B16:C17"/>
    <mergeCell ref="D16:D17"/>
    <mergeCell ref="B19:C20"/>
    <mergeCell ref="D19:D20"/>
    <mergeCell ref="B21:C22"/>
    <mergeCell ref="D21:D22"/>
    <mergeCell ref="B23:C24"/>
    <mergeCell ref="D23:D24"/>
    <mergeCell ref="B26:C27"/>
    <mergeCell ref="D26:D27"/>
    <mergeCell ref="B29:C30"/>
    <mergeCell ref="D29:D30"/>
    <mergeCell ref="B31:C32"/>
    <mergeCell ref="D31:D32"/>
    <mergeCell ref="B45:I45"/>
    <mergeCell ref="B33:C34"/>
    <mergeCell ref="D33:D34"/>
    <mergeCell ref="B36:C37"/>
    <mergeCell ref="D36:D37"/>
    <mergeCell ref="B38:C39"/>
    <mergeCell ref="D38:D39"/>
  </mergeCells>
  <pageMargins left="0.55118110236220474" right="0.55118110236220474" top="0.55118110236220474" bottom="0.55118110236220474" header="0.31496062992125984" footer="0.31496062992125984"/>
  <pageSetup paperSize="9" scale="70" fitToWidth="0" fitToHeight="0"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48A78-8F1A-448C-BF09-184C9BD76278}">
  <sheetPr codeName="Sheet60"/>
  <dimension ref="A1:K43"/>
  <sheetViews>
    <sheetView view="pageBreakPreview" topLeftCell="A31" zoomScale="90" zoomScaleNormal="100" zoomScaleSheetLayoutView="90" workbookViewId="0">
      <selection activeCell="D60" sqref="D60"/>
    </sheetView>
  </sheetViews>
  <sheetFormatPr baseColWidth="10" defaultColWidth="8.83203125" defaultRowHeight="15"/>
  <cols>
    <col min="1" max="1" width="2.6640625" customWidth="1"/>
    <col min="2" max="2" width="12.6640625" customWidth="1"/>
    <col min="3" max="3" width="30.1640625" customWidth="1"/>
    <col min="4" max="4" width="15.83203125" customWidth="1"/>
    <col min="5" max="5" width="14.83203125" customWidth="1"/>
    <col min="6" max="6" width="6.5" customWidth="1"/>
    <col min="7" max="7" width="8.5" customWidth="1"/>
    <col min="8" max="8" width="11.5" customWidth="1"/>
    <col min="9" max="9" width="13.1640625" customWidth="1"/>
    <col min="10" max="10" width="13.1640625" style="404" customWidth="1"/>
  </cols>
  <sheetData>
    <row r="1" spans="1:11" ht="9.25" customHeight="1">
      <c r="A1" s="377"/>
      <c r="B1" s="377"/>
      <c r="C1" s="377"/>
      <c r="D1" s="377"/>
      <c r="E1" s="377"/>
      <c r="F1" s="1043"/>
      <c r="G1" s="1043"/>
      <c r="H1" s="1043"/>
      <c r="I1" s="1043"/>
      <c r="J1" s="1044"/>
      <c r="K1" s="377"/>
    </row>
    <row r="2" spans="1:11">
      <c r="A2" s="377"/>
      <c r="B2" s="40" t="s">
        <v>964</v>
      </c>
      <c r="C2" s="1045" t="s">
        <v>1010</v>
      </c>
      <c r="D2" s="1080"/>
      <c r="E2" s="1080"/>
      <c r="F2" s="1080"/>
      <c r="G2" s="1080"/>
      <c r="H2" s="1080"/>
      <c r="I2" s="1080"/>
      <c r="J2" s="975"/>
      <c r="K2" s="377"/>
    </row>
    <row r="3" spans="1:11">
      <c r="A3" s="377"/>
      <c r="B3" s="1049" t="s">
        <v>966</v>
      </c>
      <c r="C3" s="1050" t="s">
        <v>1011</v>
      </c>
      <c r="D3" s="1051"/>
      <c r="E3" s="1051"/>
      <c r="F3" s="1051"/>
      <c r="G3" s="1051"/>
      <c r="H3" s="1051"/>
      <c r="I3" s="1051"/>
      <c r="J3" s="1052"/>
      <c r="K3" s="377"/>
    </row>
    <row r="4" spans="1:11" ht="8" customHeight="1" thickBot="1">
      <c r="A4" s="377"/>
      <c r="B4" s="377"/>
      <c r="C4" s="377"/>
      <c r="D4" s="377"/>
      <c r="E4" s="377"/>
      <c r="F4" s="1054"/>
      <c r="G4" s="1054"/>
      <c r="H4" s="1397"/>
      <c r="I4" s="1397"/>
      <c r="J4" s="1397"/>
      <c r="K4" s="377"/>
    </row>
    <row r="5" spans="1:11" s="377" customFormat="1" ht="77" customHeight="1" thickBot="1">
      <c r="B5" s="1307" t="s">
        <v>968</v>
      </c>
      <c r="C5" s="1307"/>
      <c r="D5" s="1081" t="s">
        <v>969</v>
      </c>
      <c r="E5" s="1055" t="s">
        <v>970</v>
      </c>
      <c r="F5" s="1056"/>
      <c r="G5" s="1056"/>
      <c r="H5" s="1057" t="s">
        <v>971</v>
      </c>
      <c r="I5" s="1058" t="s">
        <v>972</v>
      </c>
      <c r="J5" s="1058" t="s">
        <v>973</v>
      </c>
    </row>
    <row r="6" spans="1:11" s="377" customFormat="1" ht="19.5" customHeight="1">
      <c r="B6" s="311" t="s">
        <v>260</v>
      </c>
      <c r="C6" s="981"/>
      <c r="D6" s="1059"/>
      <c r="E6" s="308"/>
      <c r="F6" s="1060"/>
      <c r="G6" s="1060"/>
      <c r="H6" s="1060"/>
      <c r="I6" s="1060"/>
      <c r="J6" s="1062"/>
    </row>
    <row r="7" spans="1:11" s="377" customFormat="1" ht="27.25" customHeight="1">
      <c r="B7" s="1394" t="s">
        <v>1039</v>
      </c>
      <c r="C7" s="1394"/>
      <c r="D7" s="1394" t="s">
        <v>1040</v>
      </c>
      <c r="E7" s="674" t="s">
        <v>976</v>
      </c>
      <c r="F7" s="1063"/>
      <c r="G7" s="1064"/>
      <c r="H7" s="1065">
        <v>23.7</v>
      </c>
      <c r="I7" s="1065">
        <v>23.8</v>
      </c>
      <c r="J7" s="1065">
        <v>23.6</v>
      </c>
    </row>
    <row r="8" spans="1:11" s="377" customFormat="1" ht="27.25" customHeight="1">
      <c r="B8" s="1394"/>
      <c r="C8" s="1394"/>
      <c r="D8" s="1394"/>
      <c r="E8" s="1059" t="s">
        <v>977</v>
      </c>
      <c r="F8" s="1063"/>
      <c r="G8" s="1064"/>
      <c r="H8" s="1065">
        <v>32.1</v>
      </c>
      <c r="I8" s="1065">
        <v>31.8</v>
      </c>
      <c r="J8" s="1065">
        <v>31.5</v>
      </c>
    </row>
    <row r="9" spans="1:11" s="377" customFormat="1" ht="27.25" customHeight="1">
      <c r="B9" s="1394" t="s">
        <v>1041</v>
      </c>
      <c r="C9" s="1394"/>
      <c r="D9" s="1394" t="s">
        <v>1042</v>
      </c>
      <c r="E9" s="674" t="s">
        <v>976</v>
      </c>
      <c r="F9" s="1063"/>
      <c r="G9" s="1064"/>
      <c r="H9" s="1065">
        <v>23.7</v>
      </c>
      <c r="I9" s="1065">
        <v>23.8</v>
      </c>
      <c r="J9" s="1065">
        <v>23.6</v>
      </c>
    </row>
    <row r="10" spans="1:11" s="377" customFormat="1" ht="27.25" customHeight="1">
      <c r="B10" s="1394"/>
      <c r="C10" s="1394"/>
      <c r="D10" s="1394"/>
      <c r="E10" s="1059" t="s">
        <v>977</v>
      </c>
      <c r="F10" s="1063"/>
      <c r="G10" s="1064"/>
      <c r="H10" s="1065">
        <v>32.1</v>
      </c>
      <c r="I10" s="1065">
        <v>31.8</v>
      </c>
      <c r="J10" s="1065">
        <v>31.5</v>
      </c>
    </row>
    <row r="11" spans="1:11" s="377" customFormat="1" ht="27.25" customHeight="1">
      <c r="B11" s="1394" t="s">
        <v>1043</v>
      </c>
      <c r="C11" s="1394"/>
      <c r="D11" s="1394" t="s">
        <v>1044</v>
      </c>
      <c r="E11" s="674" t="s">
        <v>976</v>
      </c>
      <c r="F11" s="1063"/>
      <c r="G11" s="1064"/>
      <c r="H11" s="1065">
        <v>23.7</v>
      </c>
      <c r="I11" s="1065">
        <v>23.8</v>
      </c>
      <c r="J11" s="1065">
        <v>23.6</v>
      </c>
    </row>
    <row r="12" spans="1:11" s="377" customFormat="1" ht="27.25" customHeight="1">
      <c r="B12" s="1394"/>
      <c r="C12" s="1394"/>
      <c r="D12" s="1394"/>
      <c r="E12" s="1059" t="s">
        <v>977</v>
      </c>
      <c r="F12" s="1063"/>
      <c r="G12" s="1064"/>
      <c r="H12" s="1065">
        <v>32.1</v>
      </c>
      <c r="I12" s="1065">
        <v>31.8</v>
      </c>
      <c r="J12" s="1065">
        <v>31.5</v>
      </c>
    </row>
    <row r="13" spans="1:11" s="377" customFormat="1" ht="27.25" customHeight="1">
      <c r="B13" s="1394" t="s">
        <v>1045</v>
      </c>
      <c r="C13" s="1394"/>
      <c r="D13" s="1394" t="s">
        <v>1046</v>
      </c>
      <c r="E13" s="674" t="s">
        <v>976</v>
      </c>
      <c r="F13" s="1063"/>
      <c r="G13" s="1064"/>
      <c r="H13" s="1065">
        <v>23.7</v>
      </c>
      <c r="I13" s="1065">
        <v>23.8</v>
      </c>
      <c r="J13" s="1065">
        <v>23.6</v>
      </c>
    </row>
    <row r="14" spans="1:11" s="377" customFormat="1" ht="27.25" customHeight="1">
      <c r="B14" s="1394"/>
      <c r="C14" s="1394"/>
      <c r="D14" s="1394"/>
      <c r="E14" s="1059" t="s">
        <v>977</v>
      </c>
      <c r="F14" s="1063"/>
      <c r="G14" s="1064"/>
      <c r="H14" s="1065">
        <v>32.1</v>
      </c>
      <c r="I14" s="1065">
        <v>31.8</v>
      </c>
      <c r="J14" s="1065">
        <v>31.5</v>
      </c>
    </row>
    <row r="15" spans="1:11" s="377" customFormat="1" ht="27.25" customHeight="1">
      <c r="B15" s="1394" t="s">
        <v>1047</v>
      </c>
      <c r="C15" s="1394"/>
      <c r="D15" s="1394" t="s">
        <v>1048</v>
      </c>
      <c r="E15" s="674" t="s">
        <v>976</v>
      </c>
      <c r="F15" s="1063"/>
      <c r="G15" s="1064"/>
      <c r="H15" s="1065">
        <v>23.7</v>
      </c>
      <c r="I15" s="1065">
        <v>23.8</v>
      </c>
      <c r="J15" s="1065">
        <v>23.6</v>
      </c>
    </row>
    <row r="16" spans="1:11" s="377" customFormat="1" ht="27.25" customHeight="1">
      <c r="B16" s="1394"/>
      <c r="C16" s="1394"/>
      <c r="D16" s="1394"/>
      <c r="E16" s="1059" t="s">
        <v>977</v>
      </c>
      <c r="F16" s="1063"/>
      <c r="G16" s="1064"/>
      <c r="H16" s="1065">
        <v>32.1</v>
      </c>
      <c r="I16" s="1065">
        <v>31.8</v>
      </c>
      <c r="J16" s="1065">
        <v>31.5</v>
      </c>
    </row>
    <row r="17" spans="1:11" s="377" customFormat="1" ht="27.25" customHeight="1">
      <c r="B17" s="1394" t="s">
        <v>1049</v>
      </c>
      <c r="C17" s="1394"/>
      <c r="D17" s="1394" t="s">
        <v>1050</v>
      </c>
      <c r="E17" s="674" t="s">
        <v>976</v>
      </c>
      <c r="F17" s="1063"/>
      <c r="G17" s="1064"/>
      <c r="H17" s="1065">
        <v>23.7</v>
      </c>
      <c r="I17" s="1065">
        <v>23.8</v>
      </c>
      <c r="J17" s="1065">
        <v>23.6</v>
      </c>
    </row>
    <row r="18" spans="1:11" s="377" customFormat="1" ht="27.25" customHeight="1">
      <c r="B18" s="1394"/>
      <c r="C18" s="1394"/>
      <c r="D18" s="1394"/>
      <c r="E18" s="1059" t="s">
        <v>977</v>
      </c>
      <c r="F18" s="1063"/>
      <c r="G18" s="1064"/>
      <c r="H18" s="1065">
        <v>32.1</v>
      </c>
      <c r="I18" s="1065">
        <v>31.8</v>
      </c>
      <c r="J18" s="1065">
        <v>31.5</v>
      </c>
    </row>
    <row r="19" spans="1:11" ht="21.25" customHeight="1">
      <c r="A19" s="377"/>
      <c r="B19" s="981" t="s">
        <v>261</v>
      </c>
      <c r="C19" s="1059"/>
      <c r="D19" s="1059"/>
      <c r="E19" s="388"/>
      <c r="F19" s="1066"/>
      <c r="G19" s="1067"/>
      <c r="H19" s="1068"/>
      <c r="I19" s="1068"/>
      <c r="J19" s="1068"/>
      <c r="K19" s="377"/>
    </row>
    <row r="20" spans="1:11" ht="27.25" customHeight="1">
      <c r="A20" s="377"/>
      <c r="B20" s="1394" t="s">
        <v>1051</v>
      </c>
      <c r="C20" s="1394"/>
      <c r="D20" s="1394" t="s">
        <v>1052</v>
      </c>
      <c r="E20" s="674" t="s">
        <v>976</v>
      </c>
      <c r="F20" s="1063"/>
      <c r="G20" s="1064"/>
      <c r="H20" s="1065">
        <v>24</v>
      </c>
      <c r="I20" s="1065">
        <v>24.2</v>
      </c>
      <c r="J20" s="1065">
        <v>23.8</v>
      </c>
      <c r="K20" s="377"/>
    </row>
    <row r="21" spans="1:11" ht="27.25" customHeight="1">
      <c r="A21" s="377"/>
      <c r="B21" s="1394"/>
      <c r="C21" s="1394"/>
      <c r="D21" s="1394"/>
      <c r="E21" s="1059" t="s">
        <v>977</v>
      </c>
      <c r="F21" s="1063"/>
      <c r="G21" s="1064"/>
      <c r="H21" s="1065">
        <v>32</v>
      </c>
      <c r="I21" s="1065">
        <v>31.8</v>
      </c>
      <c r="J21" s="1065">
        <v>31.9</v>
      </c>
      <c r="K21" s="377"/>
    </row>
    <row r="22" spans="1:11" ht="27.25" customHeight="1">
      <c r="A22" s="377"/>
      <c r="B22" s="1394" t="s">
        <v>1053</v>
      </c>
      <c r="C22" s="1394"/>
      <c r="D22" s="1394" t="s">
        <v>1054</v>
      </c>
      <c r="E22" s="674" t="s">
        <v>976</v>
      </c>
      <c r="F22" s="1063"/>
      <c r="G22" s="1064"/>
      <c r="H22" s="1065">
        <v>24.2</v>
      </c>
      <c r="I22" s="1065">
        <v>24.3</v>
      </c>
      <c r="J22" s="1065">
        <v>23.9</v>
      </c>
      <c r="K22" s="377"/>
    </row>
    <row r="23" spans="1:11" ht="27.25" customHeight="1">
      <c r="A23" s="377"/>
      <c r="B23" s="1394"/>
      <c r="C23" s="1394"/>
      <c r="D23" s="1394"/>
      <c r="E23" s="1059" t="s">
        <v>977</v>
      </c>
      <c r="F23" s="1063"/>
      <c r="G23" s="1064"/>
      <c r="H23" s="1065">
        <v>33.4</v>
      </c>
      <c r="I23" s="1065">
        <v>32.9</v>
      </c>
      <c r="J23" s="1065">
        <v>32.799999999999997</v>
      </c>
      <c r="K23" s="377"/>
    </row>
    <row r="24" spans="1:11" ht="27.25" customHeight="1">
      <c r="A24" s="377"/>
      <c r="B24" s="1394" t="s">
        <v>1055</v>
      </c>
      <c r="C24" s="1394"/>
      <c r="D24" s="1394" t="s">
        <v>1056</v>
      </c>
      <c r="E24" s="674" t="s">
        <v>976</v>
      </c>
      <c r="F24" s="1063"/>
      <c r="G24" s="1064"/>
      <c r="H24" s="1065">
        <v>24.1</v>
      </c>
      <c r="I24" s="1065">
        <v>24</v>
      </c>
      <c r="J24" s="1065">
        <v>23.6</v>
      </c>
      <c r="K24" s="377"/>
    </row>
    <row r="25" spans="1:11" ht="27.25" customHeight="1">
      <c r="A25" s="377"/>
      <c r="B25" s="1394"/>
      <c r="C25" s="1394"/>
      <c r="D25" s="1394"/>
      <c r="E25" s="1059" t="s">
        <v>977</v>
      </c>
      <c r="F25" s="1063"/>
      <c r="G25" s="1064"/>
      <c r="H25" s="1065">
        <v>32.5</v>
      </c>
      <c r="I25" s="1065">
        <v>32</v>
      </c>
      <c r="J25" s="1065">
        <v>32</v>
      </c>
      <c r="K25" s="377"/>
    </row>
    <row r="26" spans="1:11" ht="27.25" customHeight="1">
      <c r="A26" s="377"/>
      <c r="B26" s="1394" t="s">
        <v>1057</v>
      </c>
      <c r="C26" s="1394"/>
      <c r="D26" s="1394" t="s">
        <v>1058</v>
      </c>
      <c r="E26" s="674" t="s">
        <v>976</v>
      </c>
      <c r="F26" s="1063"/>
      <c r="G26" s="1064"/>
      <c r="H26" s="1065">
        <v>23.7</v>
      </c>
      <c r="I26" s="1065">
        <v>23.8</v>
      </c>
      <c r="J26" s="1065">
        <v>23.6</v>
      </c>
      <c r="K26" s="377"/>
    </row>
    <row r="27" spans="1:11" ht="27.25" customHeight="1">
      <c r="A27" s="377"/>
      <c r="B27" s="1394"/>
      <c r="C27" s="1394"/>
      <c r="D27" s="1394"/>
      <c r="E27" s="1059" t="s">
        <v>977</v>
      </c>
      <c r="F27" s="1063"/>
      <c r="G27" s="1064"/>
      <c r="H27" s="1065">
        <v>33.299999999999997</v>
      </c>
      <c r="I27" s="1065">
        <v>32.9</v>
      </c>
      <c r="J27" s="1065">
        <v>32.5</v>
      </c>
      <c r="K27" s="377"/>
    </row>
    <row r="28" spans="1:11" ht="27.25" customHeight="1">
      <c r="A28" s="377"/>
      <c r="B28" s="1394" t="s">
        <v>1059</v>
      </c>
      <c r="C28" s="1394"/>
      <c r="D28" s="1394" t="s">
        <v>1060</v>
      </c>
      <c r="E28" s="674" t="s">
        <v>976</v>
      </c>
      <c r="F28" s="1063"/>
      <c r="G28" s="1064"/>
      <c r="H28" s="1065">
        <v>24</v>
      </c>
      <c r="I28" s="1065">
        <v>24.3</v>
      </c>
      <c r="J28" s="1065">
        <v>24</v>
      </c>
      <c r="K28" s="377"/>
    </row>
    <row r="29" spans="1:11" ht="27.25" customHeight="1">
      <c r="A29" s="377"/>
      <c r="B29" s="1394"/>
      <c r="C29" s="1394"/>
      <c r="D29" s="1394"/>
      <c r="E29" s="1059" t="s">
        <v>977</v>
      </c>
      <c r="F29" s="1063"/>
      <c r="G29" s="1064"/>
      <c r="H29" s="1065">
        <v>31.7</v>
      </c>
      <c r="I29" s="1065">
        <v>31.6</v>
      </c>
      <c r="J29" s="1065">
        <v>31.3</v>
      </c>
      <c r="K29" s="377"/>
    </row>
    <row r="30" spans="1:11" ht="27.25" customHeight="1">
      <c r="A30" s="377"/>
      <c r="B30" s="1394" t="s">
        <v>1061</v>
      </c>
      <c r="C30" s="1394"/>
      <c r="D30" s="1394" t="s">
        <v>1060</v>
      </c>
      <c r="E30" s="674" t="s">
        <v>976</v>
      </c>
      <c r="F30" s="1063"/>
      <c r="G30" s="1064"/>
      <c r="H30" s="1065">
        <v>23.3</v>
      </c>
      <c r="I30" s="1065">
        <v>23.5</v>
      </c>
      <c r="J30" s="1065">
        <v>23.1</v>
      </c>
      <c r="K30" s="377"/>
    </row>
    <row r="31" spans="1:11" ht="27.25" customHeight="1">
      <c r="A31" s="377"/>
      <c r="B31" s="1394"/>
      <c r="C31" s="1394"/>
      <c r="D31" s="1394"/>
      <c r="E31" s="1059" t="s">
        <v>977</v>
      </c>
      <c r="F31" s="1063"/>
      <c r="G31" s="1064"/>
      <c r="H31" s="1065">
        <v>33.5</v>
      </c>
      <c r="I31" s="1065">
        <v>32.9</v>
      </c>
      <c r="J31" s="1065">
        <v>32.9</v>
      </c>
      <c r="K31" s="377"/>
    </row>
    <row r="32" spans="1:11" ht="27.25" customHeight="1">
      <c r="A32" s="377"/>
      <c r="B32" s="1394" t="s">
        <v>1062</v>
      </c>
      <c r="C32" s="1394"/>
      <c r="D32" s="1394" t="s">
        <v>1063</v>
      </c>
      <c r="E32" s="674" t="s">
        <v>976</v>
      </c>
      <c r="F32" s="1063"/>
      <c r="G32" s="1064"/>
      <c r="H32" s="1065">
        <v>23.3</v>
      </c>
      <c r="I32" s="1065">
        <v>23.5</v>
      </c>
      <c r="J32" s="1065">
        <v>23.1</v>
      </c>
      <c r="K32" s="377"/>
    </row>
    <row r="33" spans="1:11" ht="27.25" customHeight="1">
      <c r="A33" s="377"/>
      <c r="B33" s="1394"/>
      <c r="C33" s="1394"/>
      <c r="D33" s="1394"/>
      <c r="E33" s="1059" t="s">
        <v>977</v>
      </c>
      <c r="F33" s="1063"/>
      <c r="G33" s="1064"/>
      <c r="H33" s="1065">
        <v>33.5</v>
      </c>
      <c r="I33" s="1065">
        <v>32.9</v>
      </c>
      <c r="J33" s="1065">
        <v>32.9</v>
      </c>
      <c r="K33" s="377"/>
    </row>
    <row r="34" spans="1:11" ht="27.25" customHeight="1">
      <c r="A34" s="377"/>
      <c r="B34" s="1394" t="s">
        <v>1064</v>
      </c>
      <c r="C34" s="1394"/>
      <c r="D34" s="1394" t="s">
        <v>1065</v>
      </c>
      <c r="E34" s="674" t="s">
        <v>976</v>
      </c>
      <c r="F34" s="1063"/>
      <c r="G34" s="1064"/>
      <c r="H34" s="1065">
        <v>23.4</v>
      </c>
      <c r="I34" s="1065">
        <v>23.6</v>
      </c>
      <c r="J34" s="1065">
        <v>23.2</v>
      </c>
      <c r="K34" s="377"/>
    </row>
    <row r="35" spans="1:11" ht="31.5" customHeight="1" thickBot="1">
      <c r="A35" s="377"/>
      <c r="B35" s="1395"/>
      <c r="C35" s="1395"/>
      <c r="D35" s="1395"/>
      <c r="E35" s="1084" t="s">
        <v>977</v>
      </c>
      <c r="F35" s="1071"/>
      <c r="G35" s="1072"/>
      <c r="H35" s="1073">
        <v>33.200000000000003</v>
      </c>
      <c r="I35" s="1073">
        <v>32.4</v>
      </c>
      <c r="J35" s="1073">
        <v>32.299999999999997</v>
      </c>
      <c r="K35" s="377"/>
    </row>
    <row r="36" spans="1:11">
      <c r="A36" s="377"/>
      <c r="B36" s="377"/>
      <c r="C36" s="377"/>
      <c r="D36" s="377"/>
      <c r="E36" s="377"/>
      <c r="F36" s="1043"/>
      <c r="G36" s="1043"/>
      <c r="H36" s="1043"/>
      <c r="I36" s="1043"/>
      <c r="J36" s="1074" t="s">
        <v>1003</v>
      </c>
    </row>
    <row r="37" spans="1:11">
      <c r="A37" s="377"/>
      <c r="B37" s="377"/>
      <c r="C37" s="377"/>
      <c r="D37" s="377"/>
      <c r="E37" s="377"/>
      <c r="F37" s="1043"/>
      <c r="G37" s="1043"/>
      <c r="H37" s="1043"/>
      <c r="I37" s="1043"/>
      <c r="J37" s="1075" t="s">
        <v>1004</v>
      </c>
    </row>
    <row r="38" spans="1:11" ht="7.5" customHeight="1">
      <c r="A38" s="377"/>
      <c r="B38" s="377"/>
      <c r="C38" s="377"/>
      <c r="D38" s="377"/>
      <c r="E38" s="377"/>
      <c r="F38" s="1043"/>
      <c r="G38" s="1043"/>
      <c r="H38" s="1043"/>
      <c r="I38" s="1043"/>
      <c r="J38" s="1044"/>
      <c r="K38" s="377"/>
    </row>
    <row r="39" spans="1:11">
      <c r="A39" s="377"/>
      <c r="B39" s="703" t="s">
        <v>1005</v>
      </c>
      <c r="C39" s="703"/>
      <c r="D39" s="667"/>
      <c r="E39" s="377"/>
      <c r="F39" s="1043"/>
      <c r="G39" s="1043"/>
      <c r="H39" s="1043"/>
      <c r="I39" s="1043"/>
      <c r="J39" s="1044"/>
      <c r="K39" s="377"/>
    </row>
    <row r="40" spans="1:11">
      <c r="A40" s="1076" t="s">
        <v>34</v>
      </c>
      <c r="B40" s="703" t="s">
        <v>1006</v>
      </c>
      <c r="C40" s="703"/>
      <c r="D40" s="667"/>
      <c r="E40" s="377"/>
      <c r="F40" s="1043"/>
      <c r="G40" s="1043"/>
      <c r="H40" s="1043"/>
      <c r="I40" s="1043"/>
      <c r="J40" s="1044"/>
      <c r="K40" s="377"/>
    </row>
    <row r="41" spans="1:11">
      <c r="A41" s="1076" t="s">
        <v>37</v>
      </c>
      <c r="B41" s="1004" t="s">
        <v>1007</v>
      </c>
      <c r="C41" s="1004"/>
      <c r="D41" s="667"/>
      <c r="E41" s="377"/>
      <c r="F41" s="1043"/>
      <c r="G41" s="1043"/>
      <c r="H41" s="1043"/>
      <c r="I41" s="1043"/>
      <c r="J41" s="1044"/>
      <c r="K41" s="377"/>
    </row>
    <row r="42" spans="1:11" ht="24" customHeight="1">
      <c r="A42" s="1085" t="s">
        <v>272</v>
      </c>
      <c r="B42" s="1399" t="s">
        <v>1066</v>
      </c>
      <c r="C42" s="1399"/>
      <c r="D42" s="1399"/>
      <c r="E42" s="1399"/>
      <c r="F42" s="1399"/>
      <c r="G42" s="1399"/>
      <c r="H42" s="1399"/>
      <c r="I42" s="1399"/>
      <c r="J42" s="1399"/>
    </row>
    <row r="43" spans="1:11">
      <c r="B43" s="1078"/>
      <c r="C43" s="1078"/>
      <c r="D43" s="1079"/>
    </row>
  </sheetData>
  <mergeCells count="31">
    <mergeCell ref="H4:J4"/>
    <mergeCell ref="B5:C5"/>
    <mergeCell ref="B7:C8"/>
    <mergeCell ref="D7:D8"/>
    <mergeCell ref="B9:C10"/>
    <mergeCell ref="D9:D10"/>
    <mergeCell ref="B11:C12"/>
    <mergeCell ref="D11:D12"/>
    <mergeCell ref="B13:C14"/>
    <mergeCell ref="D13:D14"/>
    <mergeCell ref="B15:C16"/>
    <mergeCell ref="D15:D16"/>
    <mergeCell ref="B17:C18"/>
    <mergeCell ref="D17:D18"/>
    <mergeCell ref="B20:C21"/>
    <mergeCell ref="D20:D21"/>
    <mergeCell ref="B22:C23"/>
    <mergeCell ref="D22:D23"/>
    <mergeCell ref="B24:C25"/>
    <mergeCell ref="D24:D25"/>
    <mergeCell ref="B26:C27"/>
    <mergeCell ref="D26:D27"/>
    <mergeCell ref="B28:C29"/>
    <mergeCell ref="D28:D29"/>
    <mergeCell ref="B42:J42"/>
    <mergeCell ref="B30:C31"/>
    <mergeCell ref="D30:D31"/>
    <mergeCell ref="B32:C33"/>
    <mergeCell ref="D32:D33"/>
    <mergeCell ref="B34:C35"/>
    <mergeCell ref="D34:D35"/>
  </mergeCells>
  <pageMargins left="0.55118110236220474" right="0.55118110236220474" top="0.55118110236220474" bottom="0.55118110236220474" header="0.31496062992125984" footer="0.31496062992125984"/>
  <pageSetup paperSize="9" scale="70" fitToWidth="0" fitToHeight="0"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7A3CB-C3E1-4A5B-9520-211F83527C24}">
  <sheetPr codeName="Sheet61">
    <pageSetUpPr fitToPage="1"/>
  </sheetPr>
  <dimension ref="A1:J17"/>
  <sheetViews>
    <sheetView view="pageBreakPreview" zoomScale="90" zoomScaleNormal="100" zoomScaleSheetLayoutView="90" workbookViewId="0">
      <selection activeCell="D60" sqref="D60"/>
    </sheetView>
  </sheetViews>
  <sheetFormatPr baseColWidth="10" defaultColWidth="8.83203125" defaultRowHeight="15"/>
  <cols>
    <col min="1" max="1" width="2.33203125" customWidth="1"/>
    <col min="2" max="2" width="12.5" customWidth="1"/>
    <col min="3" max="3" width="32.5" customWidth="1"/>
    <col min="4" max="4" width="11.83203125" customWidth="1"/>
    <col min="5" max="5" width="14" customWidth="1"/>
    <col min="6" max="6" width="19.1640625" customWidth="1"/>
    <col min="7" max="7" width="10.6640625" customWidth="1"/>
    <col min="8" max="8" width="12.5" customWidth="1"/>
    <col min="9" max="9" width="11.6640625" style="404" customWidth="1"/>
  </cols>
  <sheetData>
    <row r="1" spans="1:10">
      <c r="A1" s="377"/>
      <c r="B1" s="377"/>
      <c r="C1" s="377"/>
      <c r="D1" s="377"/>
      <c r="E1" s="377"/>
      <c r="F1" s="1043"/>
      <c r="G1" s="1043"/>
      <c r="H1" s="1043"/>
      <c r="I1" s="1044"/>
      <c r="J1" s="377"/>
    </row>
    <row r="2" spans="1:10">
      <c r="A2" s="377"/>
      <c r="B2" s="40" t="s">
        <v>964</v>
      </c>
      <c r="C2" s="1045" t="s">
        <v>1010</v>
      </c>
      <c r="D2" s="1080"/>
      <c r="E2" s="1080"/>
      <c r="F2" s="1080"/>
      <c r="G2" s="1080"/>
      <c r="H2" s="1080"/>
      <c r="I2" s="975"/>
      <c r="J2" s="377"/>
    </row>
    <row r="3" spans="1:10">
      <c r="A3" s="377"/>
      <c r="B3" s="1049" t="s">
        <v>966</v>
      </c>
      <c r="C3" s="1050" t="s">
        <v>1067</v>
      </c>
      <c r="D3" s="1051"/>
      <c r="E3" s="1051"/>
      <c r="F3" s="1051"/>
      <c r="G3" s="1051"/>
      <c r="H3" s="1051"/>
      <c r="I3" s="1052"/>
      <c r="J3" s="377"/>
    </row>
    <row r="4" spans="1:10" ht="8" customHeight="1" thickBot="1">
      <c r="A4" s="377"/>
      <c r="B4" s="377"/>
      <c r="C4" s="377"/>
      <c r="D4" s="377"/>
      <c r="E4" s="377"/>
      <c r="F4" s="1054"/>
      <c r="G4" s="1397"/>
      <c r="H4" s="1397"/>
      <c r="I4" s="1397"/>
      <c r="J4" s="377"/>
    </row>
    <row r="5" spans="1:10" s="377" customFormat="1" ht="77" customHeight="1" thickBot="1">
      <c r="B5" s="1307" t="s">
        <v>968</v>
      </c>
      <c r="C5" s="1307"/>
      <c r="D5" s="1081" t="s">
        <v>969</v>
      </c>
      <c r="E5" s="1055" t="s">
        <v>970</v>
      </c>
      <c r="F5" s="1056"/>
      <c r="G5" s="1057" t="s">
        <v>971</v>
      </c>
      <c r="H5" s="1058" t="s">
        <v>972</v>
      </c>
      <c r="I5" s="1058" t="s">
        <v>973</v>
      </c>
    </row>
    <row r="6" spans="1:10" ht="27.25" customHeight="1">
      <c r="A6" s="377"/>
      <c r="B6" s="311" t="s">
        <v>263</v>
      </c>
      <c r="C6" s="981"/>
      <c r="D6" s="1059"/>
      <c r="E6" s="308"/>
      <c r="F6" s="1060"/>
      <c r="G6" s="1060"/>
      <c r="H6" s="1060"/>
      <c r="I6" s="1062"/>
      <c r="J6" s="377"/>
    </row>
    <row r="7" spans="1:10" ht="27.25" customHeight="1">
      <c r="A7" s="377"/>
      <c r="B7" s="1394" t="s">
        <v>1068</v>
      </c>
      <c r="C7" s="1394"/>
      <c r="D7" s="1394" t="s">
        <v>1069</v>
      </c>
      <c r="E7" s="674" t="s">
        <v>976</v>
      </c>
      <c r="F7" s="1064"/>
      <c r="G7" s="1065">
        <v>25.2</v>
      </c>
      <c r="H7" s="1065">
        <v>25</v>
      </c>
      <c r="I7" s="1065">
        <v>24.4</v>
      </c>
      <c r="J7" s="377"/>
    </row>
    <row r="8" spans="1:10" ht="27.25" customHeight="1">
      <c r="A8" s="377"/>
      <c r="B8" s="1394"/>
      <c r="C8" s="1394"/>
      <c r="D8" s="1394"/>
      <c r="E8" s="1059" t="s">
        <v>977</v>
      </c>
      <c r="F8" s="1064"/>
      <c r="G8" s="1065">
        <v>31.7</v>
      </c>
      <c r="H8" s="1065">
        <v>31.4</v>
      </c>
      <c r="I8" s="1065">
        <v>30.9</v>
      </c>
      <c r="J8" s="377"/>
    </row>
    <row r="9" spans="1:10" ht="7.5" customHeight="1" thickBot="1">
      <c r="A9" s="377"/>
      <c r="B9" s="1086"/>
      <c r="C9" s="1086"/>
      <c r="D9" s="1086"/>
      <c r="E9" s="1086"/>
      <c r="F9" s="1087"/>
      <c r="G9" s="1087"/>
      <c r="H9" s="1087"/>
      <c r="I9" s="1088"/>
      <c r="J9" s="377"/>
    </row>
    <row r="10" spans="1:10">
      <c r="A10" s="377"/>
      <c r="B10" s="377"/>
      <c r="C10" s="377"/>
      <c r="D10" s="377"/>
      <c r="E10" s="377"/>
      <c r="F10" s="1043"/>
      <c r="G10" s="1043"/>
      <c r="H10" s="1043"/>
      <c r="I10" s="1074" t="s">
        <v>1003</v>
      </c>
    </row>
    <row r="11" spans="1:10">
      <c r="A11" s="377"/>
      <c r="B11" s="377"/>
      <c r="C11" s="377"/>
      <c r="D11" s="377"/>
      <c r="E11" s="377"/>
      <c r="F11" s="1043"/>
      <c r="G11" s="1043"/>
      <c r="H11" s="1043"/>
      <c r="I11" s="1075" t="s">
        <v>1004</v>
      </c>
    </row>
    <row r="12" spans="1:10">
      <c r="A12" s="377"/>
      <c r="B12" s="377"/>
      <c r="C12" s="377"/>
      <c r="D12" s="377"/>
      <c r="E12" s="377"/>
      <c r="F12" s="1043"/>
      <c r="G12" s="1043"/>
      <c r="H12" s="1043"/>
      <c r="I12" s="1044"/>
      <c r="J12" s="377"/>
    </row>
    <row r="13" spans="1:10">
      <c r="A13" s="377"/>
      <c r="B13" s="703" t="s">
        <v>1005</v>
      </c>
      <c r="C13" s="703"/>
      <c r="D13" s="667"/>
      <c r="E13" s="377"/>
      <c r="F13" s="1043"/>
      <c r="G13" s="1043"/>
      <c r="H13" s="1043"/>
      <c r="I13" s="1044"/>
      <c r="J13" s="377"/>
    </row>
    <row r="14" spans="1:10">
      <c r="A14" s="1076" t="s">
        <v>34</v>
      </c>
      <c r="B14" s="703" t="s">
        <v>1006</v>
      </c>
      <c r="C14" s="703"/>
      <c r="D14" s="667"/>
      <c r="E14" s="377"/>
      <c r="F14" s="1043"/>
      <c r="G14" s="1043"/>
      <c r="H14" s="1043"/>
      <c r="I14" s="1044"/>
      <c r="J14" s="377"/>
    </row>
    <row r="15" spans="1:10">
      <c r="A15" s="1076" t="s">
        <v>37</v>
      </c>
      <c r="B15" s="1004" t="s">
        <v>1007</v>
      </c>
      <c r="C15" s="1004"/>
      <c r="D15" s="667"/>
      <c r="E15" s="377"/>
      <c r="F15" s="1043"/>
      <c r="G15" s="1043"/>
      <c r="H15" s="1043"/>
      <c r="I15" s="1044"/>
      <c r="J15" s="377"/>
    </row>
    <row r="16" spans="1:10" ht="27.75" customHeight="1">
      <c r="A16" s="1085" t="s">
        <v>272</v>
      </c>
      <c r="B16" s="1399" t="s">
        <v>1066</v>
      </c>
      <c r="C16" s="1399"/>
      <c r="D16" s="1399"/>
      <c r="E16" s="1399"/>
      <c r="F16" s="1399"/>
      <c r="G16" s="1399"/>
      <c r="H16" s="1399"/>
      <c r="I16" s="1399"/>
    </row>
    <row r="17" spans="2:4">
      <c r="B17" s="1078"/>
      <c r="C17" s="1078"/>
      <c r="D17" s="1079"/>
    </row>
  </sheetData>
  <mergeCells count="5">
    <mergeCell ref="G4:I4"/>
    <mergeCell ref="B5:C5"/>
    <mergeCell ref="B7:C8"/>
    <mergeCell ref="D7:D8"/>
    <mergeCell ref="B16:I16"/>
  </mergeCells>
  <pageMargins left="0.55118110236220474" right="0.55118110236220474" top="0.55118110236220474" bottom="0.55118110236220474" header="0.31496062992125984" footer="0.31496062992125984"/>
  <pageSetup paperSize="9" scale="67"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E386E-3634-45A9-93D9-01E7FF718535}">
  <sheetPr codeName="Sheet62"/>
  <dimension ref="A1:J42"/>
  <sheetViews>
    <sheetView view="pageBreakPreview" zoomScaleNormal="100" zoomScaleSheetLayoutView="100" workbookViewId="0">
      <selection activeCell="D60" sqref="D60"/>
    </sheetView>
  </sheetViews>
  <sheetFormatPr baseColWidth="10" defaultColWidth="9.1640625" defaultRowHeight="15"/>
  <cols>
    <col min="1" max="1" width="1.83203125" customWidth="1"/>
    <col min="2" max="2" width="14.1640625" style="1089" customWidth="1"/>
    <col min="3" max="3" width="29.5" style="1089" customWidth="1"/>
    <col min="4" max="4" width="15.5" style="1089" customWidth="1"/>
    <col min="5" max="5" width="16" customWidth="1"/>
    <col min="6" max="6" width="6.6640625" style="1090" customWidth="1"/>
    <col min="7" max="7" width="4.83203125" style="1090" customWidth="1"/>
    <col min="8" max="8" width="10.6640625" style="1090" customWidth="1"/>
    <col min="9" max="10" width="12.33203125" style="1090" customWidth="1"/>
  </cols>
  <sheetData>
    <row r="1" spans="1:10" ht="9.25" customHeight="1"/>
    <row r="2" spans="1:10">
      <c r="B2" s="1091" t="s">
        <v>1070</v>
      </c>
      <c r="C2" s="1080" t="s">
        <v>1071</v>
      </c>
      <c r="D2" s="1080"/>
      <c r="E2" s="1080"/>
      <c r="F2" s="1080"/>
      <c r="G2" s="1080"/>
      <c r="H2" s="1080"/>
      <c r="I2" s="1080"/>
      <c r="J2" s="1080"/>
    </row>
    <row r="3" spans="1:10">
      <c r="B3" s="1092" t="s">
        <v>1072</v>
      </c>
      <c r="C3" s="1051" t="s">
        <v>1073</v>
      </c>
      <c r="D3" s="1051"/>
      <c r="E3" s="1051"/>
      <c r="F3" s="1051"/>
      <c r="G3" s="1051"/>
      <c r="H3" s="1051"/>
      <c r="I3" s="1051"/>
      <c r="J3" s="1051"/>
    </row>
    <row r="4" spans="1:10" ht="7.5" customHeight="1" thickBot="1">
      <c r="E4" s="983"/>
      <c r="F4" s="1093"/>
      <c r="G4" s="1093"/>
      <c r="H4" s="1405"/>
      <c r="I4" s="1405"/>
      <c r="J4"/>
    </row>
    <row r="5" spans="1:10" ht="77.25" customHeight="1" thickBot="1">
      <c r="B5" s="1307" t="s">
        <v>968</v>
      </c>
      <c r="C5" s="1307"/>
      <c r="D5" s="1055" t="s">
        <v>969</v>
      </c>
      <c r="E5" s="1081"/>
      <c r="F5" s="1094"/>
      <c r="G5" s="1094"/>
      <c r="H5" s="1095">
        <v>2021</v>
      </c>
      <c r="I5" s="1095">
        <v>2022</v>
      </c>
      <c r="J5" s="1058">
        <v>2023</v>
      </c>
    </row>
    <row r="6" spans="1:10" s="377" customFormat="1" ht="18.75" customHeight="1">
      <c r="B6" s="18" t="s">
        <v>249</v>
      </c>
      <c r="C6" s="18"/>
      <c r="D6" s="990"/>
      <c r="E6" s="981"/>
      <c r="F6" s="1096"/>
      <c r="G6" s="1096"/>
      <c r="H6" s="1096"/>
      <c r="I6" s="1097"/>
      <c r="J6" s="1097"/>
    </row>
    <row r="7" spans="1:10" s="377" customFormat="1" ht="27.25" customHeight="1">
      <c r="A7" s="1406"/>
      <c r="B7" s="1401" t="s">
        <v>974</v>
      </c>
      <c r="C7" s="1401"/>
      <c r="D7" s="1407" t="s">
        <v>975</v>
      </c>
      <c r="E7" s="1099" t="s">
        <v>1074</v>
      </c>
      <c r="F7" s="1100"/>
      <c r="G7" s="1100"/>
      <c r="H7" s="1101">
        <v>1980.1</v>
      </c>
      <c r="I7" s="1101">
        <v>2089.6</v>
      </c>
      <c r="J7" s="1101">
        <v>2668.4</v>
      </c>
    </row>
    <row r="8" spans="1:10" s="377" customFormat="1" ht="27.25" customHeight="1">
      <c r="A8" s="1406"/>
      <c r="B8" s="1401"/>
      <c r="C8" s="1401"/>
      <c r="D8" s="1407"/>
      <c r="E8" s="1098" t="s">
        <v>1075</v>
      </c>
      <c r="F8" s="1102"/>
      <c r="G8" s="1102"/>
      <c r="H8" s="1101">
        <v>144</v>
      </c>
      <c r="I8" s="1101">
        <v>197</v>
      </c>
      <c r="J8" s="1101">
        <v>193</v>
      </c>
    </row>
    <row r="9" spans="1:10" s="377" customFormat="1" ht="27.25" customHeight="1">
      <c r="A9" s="1400"/>
      <c r="B9" s="1401" t="s">
        <v>1076</v>
      </c>
      <c r="C9" s="1401"/>
      <c r="D9" s="1401" t="s">
        <v>979</v>
      </c>
      <c r="E9" s="1099" t="s">
        <v>1074</v>
      </c>
      <c r="F9" s="1100"/>
      <c r="G9" s="1100"/>
      <c r="H9" s="1101">
        <v>2130.1999999999998</v>
      </c>
      <c r="I9" s="1101">
        <v>2574.8000000000002</v>
      </c>
      <c r="J9" s="1101">
        <v>2682.1</v>
      </c>
    </row>
    <row r="10" spans="1:10" s="377" customFormat="1" ht="27.25" customHeight="1">
      <c r="A10" s="1400"/>
      <c r="B10" s="1401"/>
      <c r="C10" s="1401"/>
      <c r="D10" s="1401"/>
      <c r="E10" s="1098" t="s">
        <v>1075</v>
      </c>
      <c r="F10" s="1102"/>
      <c r="G10" s="1102"/>
      <c r="H10" s="1101">
        <v>167</v>
      </c>
      <c r="I10" s="1101">
        <v>196</v>
      </c>
      <c r="J10" s="1101">
        <v>185</v>
      </c>
    </row>
    <row r="11" spans="1:10" s="377" customFormat="1" ht="27.25" customHeight="1">
      <c r="A11" s="1400"/>
      <c r="B11" s="1401" t="s">
        <v>981</v>
      </c>
      <c r="C11" s="1401"/>
      <c r="D11" s="1401" t="s">
        <v>982</v>
      </c>
      <c r="E11" s="1099" t="s">
        <v>1074</v>
      </c>
      <c r="F11" s="1100"/>
      <c r="G11" s="1100"/>
      <c r="H11" s="1101">
        <v>2254.8000000000002</v>
      </c>
      <c r="I11" s="1101">
        <v>2392.8000000000002</v>
      </c>
      <c r="J11" s="1101">
        <v>2317.6999999999998</v>
      </c>
    </row>
    <row r="12" spans="1:10" s="377" customFormat="1" ht="27.25" customHeight="1">
      <c r="A12" s="1400"/>
      <c r="B12" s="1401"/>
      <c r="C12" s="1401"/>
      <c r="D12" s="1401"/>
      <c r="E12" s="1098" t="s">
        <v>1075</v>
      </c>
      <c r="F12" s="1102"/>
      <c r="G12" s="1102"/>
      <c r="H12" s="1101">
        <v>160</v>
      </c>
      <c r="I12" s="1101">
        <v>177</v>
      </c>
      <c r="J12" s="1101">
        <v>172</v>
      </c>
    </row>
    <row r="13" spans="1:10" s="377" customFormat="1" ht="27.25" customHeight="1">
      <c r="A13" s="1404"/>
      <c r="B13" s="1401" t="s">
        <v>1077</v>
      </c>
      <c r="C13" s="1401"/>
      <c r="D13" s="1401" t="s">
        <v>984</v>
      </c>
      <c r="E13" s="1099" t="s">
        <v>1074</v>
      </c>
      <c r="F13" s="1100"/>
      <c r="G13" s="1100"/>
      <c r="H13" s="1101">
        <v>2333</v>
      </c>
      <c r="I13" s="1101">
        <v>2778</v>
      </c>
      <c r="J13" s="1101">
        <v>2872.6</v>
      </c>
    </row>
    <row r="14" spans="1:10" s="377" customFormat="1" ht="27.25" customHeight="1">
      <c r="A14" s="1404"/>
      <c r="B14" s="1401"/>
      <c r="C14" s="1401"/>
      <c r="D14" s="1401"/>
      <c r="E14" s="1098" t="s">
        <v>1075</v>
      </c>
      <c r="F14" s="1102"/>
      <c r="G14" s="1102"/>
      <c r="H14" s="1101">
        <v>161</v>
      </c>
      <c r="I14" s="1101">
        <v>208</v>
      </c>
      <c r="J14" s="1101">
        <v>202</v>
      </c>
    </row>
    <row r="15" spans="1:10" s="377" customFormat="1" ht="16.5" customHeight="1">
      <c r="A15" s="325"/>
      <c r="B15" s="990" t="s">
        <v>250</v>
      </c>
      <c r="C15" s="1103"/>
      <c r="D15" s="1099"/>
      <c r="E15" s="1099"/>
      <c r="F15" s="1104"/>
      <c r="G15" s="1104"/>
      <c r="H15" s="1105"/>
      <c r="I15" s="1105"/>
      <c r="J15" s="1105"/>
    </row>
    <row r="16" spans="1:10" s="377" customFormat="1" ht="27.25" customHeight="1">
      <c r="A16" s="1400"/>
      <c r="B16" s="1401" t="s">
        <v>985</v>
      </c>
      <c r="C16" s="1401"/>
      <c r="D16" s="1401" t="s">
        <v>986</v>
      </c>
      <c r="E16" s="1099" t="s">
        <v>1074</v>
      </c>
      <c r="F16" s="1100"/>
      <c r="G16" s="1100"/>
      <c r="H16" s="1101">
        <v>2181.6</v>
      </c>
      <c r="I16" s="1101">
        <v>2408.4</v>
      </c>
      <c r="J16" s="1101">
        <v>2272</v>
      </c>
    </row>
    <row r="17" spans="1:10" s="377" customFormat="1" ht="27.25" customHeight="1">
      <c r="A17" s="1400"/>
      <c r="B17" s="1401"/>
      <c r="C17" s="1401"/>
      <c r="D17" s="1401"/>
      <c r="E17" s="1098" t="s">
        <v>1075</v>
      </c>
      <c r="F17" s="1102"/>
      <c r="G17" s="1102"/>
      <c r="H17" s="1101">
        <v>160</v>
      </c>
      <c r="I17" s="1101">
        <v>195</v>
      </c>
      <c r="J17" s="1101">
        <v>168</v>
      </c>
    </row>
    <row r="18" spans="1:10" s="377" customFormat="1" ht="27.25" customHeight="1">
      <c r="A18" s="1400"/>
      <c r="B18" s="1401" t="s">
        <v>987</v>
      </c>
      <c r="C18" s="1401"/>
      <c r="D18" s="1401" t="s">
        <v>988</v>
      </c>
      <c r="E18" s="1099" t="s">
        <v>1074</v>
      </c>
      <c r="F18" s="1100"/>
      <c r="G18" s="1100"/>
      <c r="H18" s="1101">
        <v>2412.3000000000002</v>
      </c>
      <c r="I18" s="1101">
        <v>2731.6</v>
      </c>
      <c r="J18" s="1101">
        <v>2819.6</v>
      </c>
    </row>
    <row r="19" spans="1:10" s="377" customFormat="1" ht="27.25" customHeight="1">
      <c r="A19" s="1400"/>
      <c r="B19" s="1401"/>
      <c r="C19" s="1401"/>
      <c r="D19" s="1401"/>
      <c r="E19" s="1098" t="s">
        <v>1075</v>
      </c>
      <c r="F19" s="1102"/>
      <c r="G19" s="1102"/>
      <c r="H19" s="1101">
        <v>155</v>
      </c>
      <c r="I19" s="1101">
        <v>189</v>
      </c>
      <c r="J19" s="1101">
        <v>178</v>
      </c>
    </row>
    <row r="20" spans="1:10" s="377" customFormat="1" ht="16.5" customHeight="1">
      <c r="A20" s="325"/>
      <c r="B20" s="18" t="s">
        <v>251</v>
      </c>
      <c r="C20" s="1099"/>
      <c r="D20" s="1099"/>
      <c r="E20" s="1099"/>
      <c r="F20" s="1104"/>
      <c r="G20" s="1104"/>
      <c r="H20" s="1105"/>
      <c r="I20" s="1105"/>
      <c r="J20" s="1105"/>
    </row>
    <row r="21" spans="1:10" s="377" customFormat="1" ht="27.25" customHeight="1">
      <c r="A21" s="1400"/>
      <c r="B21" s="1401" t="s">
        <v>989</v>
      </c>
      <c r="C21" s="1401"/>
      <c r="D21" s="1401" t="s">
        <v>990</v>
      </c>
      <c r="E21" s="1099" t="s">
        <v>1074</v>
      </c>
      <c r="F21" s="1100"/>
      <c r="G21" s="1100"/>
      <c r="H21" s="1101">
        <v>1803.2</v>
      </c>
      <c r="I21" s="1101">
        <v>2984.8</v>
      </c>
      <c r="J21" s="1101">
        <v>2527.6</v>
      </c>
    </row>
    <row r="22" spans="1:10" s="377" customFormat="1" ht="27.25" customHeight="1">
      <c r="A22" s="1400"/>
      <c r="B22" s="1401"/>
      <c r="C22" s="1401"/>
      <c r="D22" s="1401"/>
      <c r="E22" s="1098" t="s">
        <v>1075</v>
      </c>
      <c r="F22" s="1102"/>
      <c r="G22" s="1102"/>
      <c r="H22" s="1101">
        <v>149</v>
      </c>
      <c r="I22" s="1101">
        <v>165</v>
      </c>
      <c r="J22" s="1101">
        <v>168</v>
      </c>
    </row>
    <row r="23" spans="1:10" s="377" customFormat="1" ht="27.25" customHeight="1">
      <c r="A23" s="1400"/>
      <c r="B23" s="1401" t="s">
        <v>991</v>
      </c>
      <c r="C23" s="1401"/>
      <c r="D23" s="1401" t="s">
        <v>992</v>
      </c>
      <c r="E23" s="1099" t="s">
        <v>1074</v>
      </c>
      <c r="F23" s="1100"/>
      <c r="G23" s="1100"/>
      <c r="H23" s="1101">
        <v>2313.6</v>
      </c>
      <c r="I23" s="1101">
        <v>2776.4</v>
      </c>
      <c r="J23" s="1101" t="s">
        <v>1078</v>
      </c>
    </row>
    <row r="24" spans="1:10" s="377" customFormat="1" ht="27.25" customHeight="1">
      <c r="A24" s="1400"/>
      <c r="B24" s="1401"/>
      <c r="C24" s="1401"/>
      <c r="D24" s="1401"/>
      <c r="E24" s="1098" t="s">
        <v>1075</v>
      </c>
      <c r="F24" s="1102"/>
      <c r="G24" s="1102"/>
      <c r="H24" s="1101">
        <v>180</v>
      </c>
      <c r="I24" s="1101">
        <v>190</v>
      </c>
      <c r="J24" s="1101" t="s">
        <v>1078</v>
      </c>
    </row>
    <row r="25" spans="1:10" s="377" customFormat="1" ht="27.25" customHeight="1">
      <c r="A25" s="1400"/>
      <c r="B25" s="1401" t="s">
        <v>993</v>
      </c>
      <c r="C25" s="1401"/>
      <c r="D25" s="1401" t="s">
        <v>994</v>
      </c>
      <c r="E25" s="1099" t="s">
        <v>1074</v>
      </c>
      <c r="F25" s="1100"/>
      <c r="G25" s="1100"/>
      <c r="H25" s="1101">
        <v>2313.6</v>
      </c>
      <c r="I25" s="1101">
        <v>2776.4</v>
      </c>
      <c r="J25" s="1101" t="s">
        <v>1078</v>
      </c>
    </row>
    <row r="26" spans="1:10" s="377" customFormat="1" ht="27.25" customHeight="1">
      <c r="A26" s="1400"/>
      <c r="B26" s="1401"/>
      <c r="C26" s="1401"/>
      <c r="D26" s="1401"/>
      <c r="E26" s="1098" t="s">
        <v>1075</v>
      </c>
      <c r="F26" s="1102"/>
      <c r="G26" s="1102"/>
      <c r="H26" s="1101">
        <v>180</v>
      </c>
      <c r="I26" s="1101">
        <v>190</v>
      </c>
      <c r="J26" s="1101" t="s">
        <v>1078</v>
      </c>
    </row>
    <row r="27" spans="1:10" s="377" customFormat="1" ht="17.25" customHeight="1">
      <c r="A27" s="325"/>
      <c r="B27" s="18" t="s">
        <v>1079</v>
      </c>
      <c r="C27" s="1099"/>
      <c r="D27" s="1099"/>
      <c r="E27" s="1099"/>
      <c r="F27" s="1104"/>
      <c r="G27" s="1104"/>
      <c r="H27" s="1105"/>
      <c r="I27" s="1105"/>
      <c r="J27" s="1105"/>
    </row>
    <row r="28" spans="1:10" s="377" customFormat="1" ht="27.25" customHeight="1">
      <c r="A28" s="1400"/>
      <c r="B28" s="1401" t="s">
        <v>1080</v>
      </c>
      <c r="C28" s="1401"/>
      <c r="D28" s="1401" t="s">
        <v>996</v>
      </c>
      <c r="E28" s="1099" t="s">
        <v>1074</v>
      </c>
      <c r="F28" s="1100"/>
      <c r="G28" s="1100"/>
      <c r="H28" s="1101">
        <v>1616.8</v>
      </c>
      <c r="I28" s="1101">
        <v>1712.2</v>
      </c>
      <c r="J28" s="1101">
        <v>2506</v>
      </c>
    </row>
    <row r="29" spans="1:10" s="377" customFormat="1" ht="27.25" customHeight="1">
      <c r="A29" s="1400"/>
      <c r="B29" s="1401"/>
      <c r="C29" s="1401"/>
      <c r="D29" s="1401"/>
      <c r="E29" s="1098" t="s">
        <v>1075</v>
      </c>
      <c r="F29" s="1102"/>
      <c r="G29" s="1102"/>
      <c r="H29" s="1101">
        <v>129</v>
      </c>
      <c r="I29" s="1101">
        <v>160</v>
      </c>
      <c r="J29" s="1101">
        <v>175</v>
      </c>
    </row>
    <row r="30" spans="1:10" s="377" customFormat="1" ht="18" customHeight="1">
      <c r="A30" s="325"/>
      <c r="B30" s="990" t="s">
        <v>253</v>
      </c>
      <c r="C30" s="1099"/>
      <c r="D30" s="1099"/>
      <c r="E30" s="1099"/>
      <c r="F30" s="1104"/>
      <c r="G30" s="1104"/>
      <c r="H30" s="1105"/>
      <c r="I30" s="1105"/>
      <c r="J30" s="1105"/>
    </row>
    <row r="31" spans="1:10" s="377" customFormat="1" ht="27.25" customHeight="1">
      <c r="A31" s="1400"/>
      <c r="B31" s="1401" t="s">
        <v>997</v>
      </c>
      <c r="C31" s="1401"/>
      <c r="D31" s="1401" t="s">
        <v>998</v>
      </c>
      <c r="E31" s="1099" t="s">
        <v>1074</v>
      </c>
      <c r="F31" s="1106"/>
      <c r="G31" s="1106"/>
      <c r="H31" s="1101">
        <v>607</v>
      </c>
      <c r="I31" s="1101">
        <v>25.1</v>
      </c>
      <c r="J31" s="1101">
        <v>1819.2</v>
      </c>
    </row>
    <row r="32" spans="1:10" s="377" customFormat="1" ht="27.25" customHeight="1">
      <c r="A32" s="1400"/>
      <c r="B32" s="1401"/>
      <c r="C32" s="1401"/>
      <c r="D32" s="1401"/>
      <c r="E32" s="1098" t="s">
        <v>1075</v>
      </c>
      <c r="F32" s="1106"/>
      <c r="G32" s="1106"/>
      <c r="H32" s="1101">
        <v>137</v>
      </c>
      <c r="I32" s="1101">
        <v>177</v>
      </c>
      <c r="J32" s="1101">
        <v>163</v>
      </c>
    </row>
    <row r="33" spans="1:10" s="377" customFormat="1" ht="18.75" customHeight="1">
      <c r="A33" s="325"/>
      <c r="B33" s="18" t="s">
        <v>254</v>
      </c>
      <c r="C33" s="1099"/>
      <c r="D33" s="1099"/>
      <c r="E33" s="1099"/>
      <c r="F33" s="1104"/>
      <c r="G33" s="1104"/>
      <c r="H33" s="1105"/>
      <c r="I33" s="1105"/>
      <c r="J33" s="1105"/>
    </row>
    <row r="34" spans="1:10" s="1109" customFormat="1" ht="27.25" customHeight="1">
      <c r="A34" s="839"/>
      <c r="B34" s="1393" t="s">
        <v>999</v>
      </c>
      <c r="C34" s="1393"/>
      <c r="D34" s="1393" t="s">
        <v>1000</v>
      </c>
      <c r="E34" s="1107" t="s">
        <v>1074</v>
      </c>
      <c r="F34" s="1100"/>
      <c r="G34" s="1108"/>
      <c r="H34" s="1101">
        <v>2032.7</v>
      </c>
      <c r="I34" s="1101">
        <v>2875</v>
      </c>
      <c r="J34" s="1101">
        <v>3263.6</v>
      </c>
    </row>
    <row r="35" spans="1:10" s="1109" customFormat="1" ht="29.25" customHeight="1" thickBot="1">
      <c r="A35" s="839"/>
      <c r="B35" s="1402"/>
      <c r="C35" s="1402"/>
      <c r="D35" s="1402"/>
      <c r="E35" s="1110" t="s">
        <v>1075</v>
      </c>
      <c r="F35" s="1111"/>
      <c r="G35" s="1112"/>
      <c r="H35" s="1113">
        <v>224</v>
      </c>
      <c r="I35" s="1113">
        <v>257</v>
      </c>
      <c r="J35" s="1113">
        <v>243</v>
      </c>
    </row>
    <row r="36" spans="1:10" s="1109" customFormat="1">
      <c r="B36" s="1114"/>
      <c r="C36" s="1114"/>
      <c r="D36" s="1114"/>
      <c r="F36" s="1090"/>
      <c r="G36" s="1090"/>
      <c r="H36" s="1090"/>
      <c r="J36" s="1115" t="s">
        <v>1003</v>
      </c>
    </row>
    <row r="37" spans="1:10" s="1109" customFormat="1">
      <c r="B37" s="1114"/>
      <c r="C37" s="1114"/>
      <c r="D37" s="1114"/>
      <c r="F37" s="1090"/>
      <c r="G37" s="1090"/>
      <c r="H37" s="1090"/>
      <c r="J37" s="1116" t="s">
        <v>1004</v>
      </c>
    </row>
    <row r="38" spans="1:10" s="1109" customFormat="1">
      <c r="B38" s="1117" t="s">
        <v>1005</v>
      </c>
      <c r="C38" s="1118"/>
      <c r="D38" s="1114"/>
      <c r="F38" s="1090"/>
      <c r="G38" s="1090"/>
      <c r="H38" s="1090"/>
      <c r="I38" s="1090"/>
      <c r="J38" s="1090"/>
    </row>
    <row r="39" spans="1:10" s="1109" customFormat="1">
      <c r="A39" s="1076" t="s">
        <v>34</v>
      </c>
      <c r="B39" s="1117" t="s">
        <v>1006</v>
      </c>
      <c r="C39" s="1118"/>
      <c r="D39" s="1114"/>
      <c r="F39" s="1090"/>
      <c r="G39" s="1090"/>
      <c r="H39" s="1090"/>
      <c r="I39" s="1090"/>
      <c r="J39" s="1090"/>
    </row>
    <row r="40" spans="1:10" s="1109" customFormat="1">
      <c r="A40" s="1076" t="s">
        <v>37</v>
      </c>
      <c r="B40" s="1119" t="s">
        <v>1007</v>
      </c>
      <c r="C40" s="1120"/>
      <c r="D40" s="1114"/>
      <c r="F40" s="1090"/>
      <c r="G40" s="1090"/>
      <c r="H40" s="1090"/>
      <c r="I40" s="1090"/>
      <c r="J40" s="1090"/>
    </row>
    <row r="41" spans="1:10" s="1109" customFormat="1" ht="25.5" customHeight="1">
      <c r="A41" s="1085" t="s">
        <v>272</v>
      </c>
      <c r="B41" s="1403" t="s">
        <v>1066</v>
      </c>
      <c r="C41" s="1403"/>
      <c r="D41" s="1403"/>
      <c r="E41" s="1403"/>
      <c r="F41" s="1403"/>
      <c r="G41" s="1403"/>
      <c r="H41" s="1403"/>
      <c r="I41" s="1403"/>
      <c r="J41" s="1403"/>
    </row>
    <row r="42" spans="1:10" s="1109" customFormat="1">
      <c r="B42" s="1121"/>
      <c r="C42" s="1121"/>
      <c r="D42" s="1122"/>
    </row>
  </sheetData>
  <mergeCells count="38">
    <mergeCell ref="A9:A10"/>
    <mergeCell ref="B9:C10"/>
    <mergeCell ref="D9:D10"/>
    <mergeCell ref="H4:I4"/>
    <mergeCell ref="B5:C5"/>
    <mergeCell ref="A7:A8"/>
    <mergeCell ref="B7:C8"/>
    <mergeCell ref="D7:D8"/>
    <mergeCell ref="A11:A12"/>
    <mergeCell ref="B11:C12"/>
    <mergeCell ref="D11:D12"/>
    <mergeCell ref="A13:A14"/>
    <mergeCell ref="B13:C14"/>
    <mergeCell ref="D13:D14"/>
    <mergeCell ref="A16:A17"/>
    <mergeCell ref="B16:C17"/>
    <mergeCell ref="D16:D17"/>
    <mergeCell ref="A18:A19"/>
    <mergeCell ref="B18:C19"/>
    <mergeCell ref="D18:D19"/>
    <mergeCell ref="A21:A22"/>
    <mergeCell ref="B21:C22"/>
    <mergeCell ref="D21:D22"/>
    <mergeCell ref="A23:A24"/>
    <mergeCell ref="B23:C24"/>
    <mergeCell ref="D23:D24"/>
    <mergeCell ref="B41:J41"/>
    <mergeCell ref="A25:A26"/>
    <mergeCell ref="B25:C26"/>
    <mergeCell ref="D25:D26"/>
    <mergeCell ref="A28:A29"/>
    <mergeCell ref="B28:C29"/>
    <mergeCell ref="D28:D29"/>
    <mergeCell ref="A31:A32"/>
    <mergeCell ref="B31:C32"/>
    <mergeCell ref="D31:D32"/>
    <mergeCell ref="B34:C35"/>
    <mergeCell ref="D34:D35"/>
  </mergeCells>
  <pageMargins left="0.55118110236220474" right="0.55118110236220474" top="0.55118110236220474" bottom="0.55118110236220474" header="0.55118110236220474" footer="0.55118110236220474"/>
  <pageSetup paperSize="9" scale="73" fitToWidth="0" fitToHeight="0"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5B4C4-8DDE-4927-81C0-8B1B0AAF0E18}">
  <sheetPr codeName="Sheet63"/>
  <dimension ref="A1:I43"/>
  <sheetViews>
    <sheetView view="pageBreakPreview" topLeftCell="A28" zoomScale="90" zoomScaleNormal="100" zoomScaleSheetLayoutView="90" workbookViewId="0">
      <selection activeCell="D60" sqref="D60"/>
    </sheetView>
  </sheetViews>
  <sheetFormatPr baseColWidth="10" defaultColWidth="8.6640625" defaultRowHeight="15"/>
  <cols>
    <col min="1" max="1" width="1.83203125" style="1109" customWidth="1"/>
    <col min="2" max="2" width="14.1640625" style="1109" customWidth="1"/>
    <col min="3" max="3" width="28" style="1109" customWidth="1"/>
    <col min="4" max="4" width="15.5" style="1109" customWidth="1"/>
    <col min="5" max="5" width="16" style="1109" customWidth="1"/>
    <col min="6" max="6" width="9.5" style="1109" customWidth="1"/>
    <col min="7" max="7" width="10.6640625" style="1109" customWidth="1"/>
    <col min="8" max="9" width="12.33203125" style="1109" customWidth="1"/>
    <col min="10" max="16384" width="8.6640625" style="1109"/>
  </cols>
  <sheetData>
    <row r="1" spans="1:9" ht="6" customHeight="1">
      <c r="B1" s="1114"/>
      <c r="C1" s="1114"/>
      <c r="D1" s="1114"/>
      <c r="F1" s="1090"/>
      <c r="G1" s="1090"/>
      <c r="H1" s="1090"/>
      <c r="I1" s="1090"/>
    </row>
    <row r="2" spans="1:9">
      <c r="B2" s="1123" t="s">
        <v>1070</v>
      </c>
      <c r="C2" s="1124" t="s">
        <v>1081</v>
      </c>
      <c r="D2" s="1124"/>
      <c r="E2" s="1124"/>
      <c r="F2" s="1124"/>
      <c r="G2" s="1124"/>
      <c r="H2" s="1124"/>
      <c r="I2" s="1124"/>
    </row>
    <row r="3" spans="1:9">
      <c r="B3" s="1125" t="s">
        <v>1072</v>
      </c>
      <c r="C3" s="1126" t="s">
        <v>1082</v>
      </c>
      <c r="D3" s="1126"/>
      <c r="E3" s="1126"/>
      <c r="F3" s="1126"/>
      <c r="G3" s="1126"/>
      <c r="H3" s="1126"/>
      <c r="I3" s="1126"/>
    </row>
    <row r="4" spans="1:9" ht="7.5" customHeight="1" thickBot="1">
      <c r="B4" s="1114"/>
      <c r="C4" s="1114"/>
      <c r="D4" s="1114"/>
      <c r="E4" s="1127"/>
      <c r="F4" s="1093"/>
      <c r="G4" s="1405"/>
      <c r="H4" s="1405"/>
    </row>
    <row r="5" spans="1:9" ht="77.25" customHeight="1" thickBot="1">
      <c r="B5" s="1412" t="s">
        <v>968</v>
      </c>
      <c r="C5" s="1412"/>
      <c r="D5" s="1128" t="s">
        <v>969</v>
      </c>
      <c r="E5" s="1129"/>
      <c r="F5" s="1094"/>
      <c r="G5" s="1095">
        <v>2021</v>
      </c>
      <c r="H5" s="1095">
        <v>2022</v>
      </c>
      <c r="I5" s="1058">
        <v>2023</v>
      </c>
    </row>
    <row r="6" spans="1:9" ht="15.75" customHeight="1">
      <c r="A6" s="1130"/>
      <c r="B6" s="1131" t="s">
        <v>254</v>
      </c>
      <c r="C6" s="1131"/>
      <c r="D6" s="1131"/>
      <c r="E6" s="1107"/>
      <c r="F6" s="1097"/>
      <c r="G6" s="1097"/>
      <c r="H6" s="1097"/>
      <c r="I6" s="1097"/>
    </row>
    <row r="7" spans="1:9" ht="27.25" customHeight="1">
      <c r="A7" s="839"/>
      <c r="B7" s="1393" t="s">
        <v>1001</v>
      </c>
      <c r="C7" s="1393"/>
      <c r="D7" s="1393" t="s">
        <v>1002</v>
      </c>
      <c r="E7" s="1107" t="s">
        <v>1074</v>
      </c>
      <c r="F7" s="1100"/>
      <c r="G7" s="1101">
        <v>2032.7</v>
      </c>
      <c r="H7" s="1101">
        <v>2875</v>
      </c>
      <c r="I7" s="1101">
        <v>3263.6</v>
      </c>
    </row>
    <row r="8" spans="1:9" ht="27.25" customHeight="1">
      <c r="A8" s="839"/>
      <c r="B8" s="1393"/>
      <c r="C8" s="1393"/>
      <c r="D8" s="1393"/>
      <c r="E8" s="1069" t="s">
        <v>1075</v>
      </c>
      <c r="F8" s="1102"/>
      <c r="G8" s="1101">
        <v>224</v>
      </c>
      <c r="H8" s="1101">
        <v>257</v>
      </c>
      <c r="I8" s="1101">
        <v>243</v>
      </c>
    </row>
    <row r="9" spans="1:9" ht="27.25" customHeight="1">
      <c r="A9" s="1411"/>
      <c r="B9" s="1393" t="s">
        <v>1012</v>
      </c>
      <c r="C9" s="1393"/>
      <c r="D9" s="1410" t="s">
        <v>1013</v>
      </c>
      <c r="E9" s="1107" t="s">
        <v>1074</v>
      </c>
      <c r="F9" s="1100"/>
      <c r="G9" s="1101">
        <v>1970.4</v>
      </c>
      <c r="H9" s="1101">
        <v>2409.1999999999998</v>
      </c>
      <c r="I9" s="1101" t="s">
        <v>1078</v>
      </c>
    </row>
    <row r="10" spans="1:9" ht="27.25" customHeight="1">
      <c r="A10" s="1411"/>
      <c r="B10" s="1393"/>
      <c r="C10" s="1393"/>
      <c r="D10" s="1410"/>
      <c r="E10" s="1069" t="s">
        <v>1075</v>
      </c>
      <c r="F10" s="1102"/>
      <c r="G10" s="1101">
        <v>155</v>
      </c>
      <c r="H10" s="1101">
        <v>180</v>
      </c>
      <c r="I10" s="1101" t="s">
        <v>1078</v>
      </c>
    </row>
    <row r="11" spans="1:9" ht="27.25" customHeight="1">
      <c r="A11" s="1411"/>
      <c r="B11" s="1393" t="s">
        <v>1014</v>
      </c>
      <c r="C11" s="1393"/>
      <c r="D11" s="1410" t="s">
        <v>1015</v>
      </c>
      <c r="E11" s="1107" t="s">
        <v>1074</v>
      </c>
      <c r="F11" s="1100"/>
      <c r="G11" s="1101">
        <v>1843.8</v>
      </c>
      <c r="H11" s="1101">
        <v>1995</v>
      </c>
      <c r="I11" s="1101">
        <v>2466.6</v>
      </c>
    </row>
    <row r="12" spans="1:9" ht="27.25" customHeight="1">
      <c r="A12" s="1411"/>
      <c r="B12" s="1393"/>
      <c r="C12" s="1393"/>
      <c r="D12" s="1410"/>
      <c r="E12" s="1069" t="s">
        <v>1075</v>
      </c>
      <c r="F12" s="1102"/>
      <c r="G12" s="1101">
        <v>156</v>
      </c>
      <c r="H12" s="1101">
        <v>171</v>
      </c>
      <c r="I12" s="1101">
        <v>175</v>
      </c>
    </row>
    <row r="13" spans="1:9" ht="27.25" customHeight="1">
      <c r="A13" s="1411"/>
      <c r="B13" s="1393" t="s">
        <v>1016</v>
      </c>
      <c r="C13" s="1393"/>
      <c r="D13" s="1410" t="s">
        <v>1017</v>
      </c>
      <c r="E13" s="1107" t="s">
        <v>1074</v>
      </c>
      <c r="F13" s="1100"/>
      <c r="G13" s="1101">
        <v>1440.2</v>
      </c>
      <c r="H13" s="1101">
        <v>2034.4</v>
      </c>
      <c r="I13" s="1101">
        <v>2167.9</v>
      </c>
    </row>
    <row r="14" spans="1:9" ht="27.25" customHeight="1">
      <c r="A14" s="1411"/>
      <c r="B14" s="1393"/>
      <c r="C14" s="1393"/>
      <c r="D14" s="1410"/>
      <c r="E14" s="1069" t="s">
        <v>1075</v>
      </c>
      <c r="F14" s="1102"/>
      <c r="G14" s="1101">
        <v>139</v>
      </c>
      <c r="H14" s="1101">
        <v>172</v>
      </c>
      <c r="I14" s="1101">
        <v>170</v>
      </c>
    </row>
    <row r="15" spans="1:9" ht="17.25" customHeight="1">
      <c r="A15" s="1132"/>
      <c r="B15" s="1131" t="s">
        <v>255</v>
      </c>
      <c r="C15" s="1107"/>
      <c r="D15" s="1107"/>
      <c r="E15" s="1107"/>
      <c r="F15" s="1104"/>
      <c r="G15" s="1105"/>
      <c r="H15" s="1105"/>
      <c r="I15" s="1105"/>
    </row>
    <row r="16" spans="1:9" ht="27.25" customHeight="1">
      <c r="A16" s="1408"/>
      <c r="B16" s="1393" t="s">
        <v>1018</v>
      </c>
      <c r="C16" s="1393"/>
      <c r="D16" s="1393" t="s">
        <v>1019</v>
      </c>
      <c r="E16" s="1107" t="s">
        <v>1074</v>
      </c>
      <c r="F16" s="1100"/>
      <c r="G16" s="1101">
        <v>1740.2</v>
      </c>
      <c r="H16" s="1101">
        <v>1831.2</v>
      </c>
      <c r="I16" s="1101">
        <v>2232.8000000000002</v>
      </c>
    </row>
    <row r="17" spans="1:9" ht="27.25" customHeight="1">
      <c r="A17" s="1408"/>
      <c r="B17" s="1393"/>
      <c r="C17" s="1393"/>
      <c r="D17" s="1393"/>
      <c r="E17" s="1069" t="s">
        <v>1075</v>
      </c>
      <c r="F17" s="1102"/>
      <c r="G17" s="1101">
        <v>153</v>
      </c>
      <c r="H17" s="1101">
        <v>167</v>
      </c>
      <c r="I17" s="1101">
        <v>168</v>
      </c>
    </row>
    <row r="18" spans="1:9" ht="27.25" customHeight="1">
      <c r="A18" s="1408"/>
      <c r="B18" s="1393" t="s">
        <v>1020</v>
      </c>
      <c r="C18" s="1393"/>
      <c r="D18" s="1393" t="s">
        <v>1021</v>
      </c>
      <c r="E18" s="1107" t="s">
        <v>1074</v>
      </c>
      <c r="F18" s="1100"/>
      <c r="G18" s="1101">
        <v>2158.9</v>
      </c>
      <c r="H18" s="1101">
        <v>2160.8000000000002</v>
      </c>
      <c r="I18" s="1101">
        <v>1982.2</v>
      </c>
    </row>
    <row r="19" spans="1:9" ht="27.25" customHeight="1">
      <c r="A19" s="1408"/>
      <c r="B19" s="1393"/>
      <c r="C19" s="1393"/>
      <c r="D19" s="1393"/>
      <c r="E19" s="1069" t="s">
        <v>1075</v>
      </c>
      <c r="F19" s="1102"/>
      <c r="G19" s="1101">
        <v>158</v>
      </c>
      <c r="H19" s="1101">
        <v>187</v>
      </c>
      <c r="I19" s="1101">
        <v>177</v>
      </c>
    </row>
    <row r="20" spans="1:9" ht="14.25" customHeight="1">
      <c r="A20" s="839"/>
      <c r="B20" s="1131" t="s">
        <v>256</v>
      </c>
      <c r="C20" s="1107"/>
      <c r="D20" s="1133"/>
      <c r="E20" s="1107"/>
      <c r="F20" s="1104"/>
      <c r="G20" s="1105"/>
      <c r="H20" s="1105"/>
      <c r="I20" s="1105"/>
    </row>
    <row r="21" spans="1:9" ht="27.25" customHeight="1">
      <c r="A21" s="1409"/>
      <c r="B21" s="1393" t="s">
        <v>1022</v>
      </c>
      <c r="C21" s="1393"/>
      <c r="D21" s="1410" t="s">
        <v>1023</v>
      </c>
      <c r="E21" s="1107" t="s">
        <v>1074</v>
      </c>
      <c r="F21" s="1100"/>
      <c r="G21" s="1101">
        <v>2806.4</v>
      </c>
      <c r="H21" s="1101">
        <v>3269.4</v>
      </c>
      <c r="I21" s="1101">
        <v>2965.4</v>
      </c>
    </row>
    <row r="22" spans="1:9" ht="27.25" customHeight="1">
      <c r="A22" s="1409"/>
      <c r="B22" s="1393"/>
      <c r="C22" s="1393"/>
      <c r="D22" s="1410"/>
      <c r="E22" s="1069" t="s">
        <v>1075</v>
      </c>
      <c r="F22" s="1102"/>
      <c r="G22" s="1101">
        <v>197</v>
      </c>
      <c r="H22" s="1101">
        <v>210</v>
      </c>
      <c r="I22" s="1101">
        <v>213</v>
      </c>
    </row>
    <row r="23" spans="1:9" ht="27.25" customHeight="1">
      <c r="A23" s="1411"/>
      <c r="B23" s="1393" t="s">
        <v>1024</v>
      </c>
      <c r="C23" s="1393"/>
      <c r="D23" s="1410" t="s">
        <v>1025</v>
      </c>
      <c r="E23" s="1107" t="s">
        <v>1074</v>
      </c>
      <c r="F23" s="1100"/>
      <c r="G23" s="1101">
        <v>1525.1</v>
      </c>
      <c r="H23" s="1101">
        <v>2053.1</v>
      </c>
      <c r="I23" s="1101">
        <v>1988.2</v>
      </c>
    </row>
    <row r="24" spans="1:9" ht="27.25" customHeight="1">
      <c r="A24" s="1411"/>
      <c r="B24" s="1393"/>
      <c r="C24" s="1393"/>
      <c r="D24" s="1410"/>
      <c r="E24" s="1069" t="s">
        <v>1075</v>
      </c>
      <c r="F24" s="1102"/>
      <c r="G24" s="1101">
        <v>177</v>
      </c>
      <c r="H24" s="1101">
        <v>213</v>
      </c>
      <c r="I24" s="1101">
        <v>174</v>
      </c>
    </row>
    <row r="25" spans="1:9" ht="27.25" customHeight="1">
      <c r="A25" s="1408"/>
      <c r="B25" s="1393" t="s">
        <v>1026</v>
      </c>
      <c r="C25" s="1393"/>
      <c r="D25" s="1393" t="s">
        <v>1027</v>
      </c>
      <c r="E25" s="1107" t="s">
        <v>1074</v>
      </c>
      <c r="F25" s="1100"/>
      <c r="G25" s="1101">
        <v>1920</v>
      </c>
      <c r="H25" s="1101">
        <v>2115</v>
      </c>
      <c r="I25" s="1101">
        <v>2057</v>
      </c>
    </row>
    <row r="26" spans="1:9" ht="27.25" customHeight="1">
      <c r="A26" s="1408"/>
      <c r="B26" s="1393"/>
      <c r="C26" s="1393"/>
      <c r="D26" s="1393"/>
      <c r="E26" s="1069" t="s">
        <v>1075</v>
      </c>
      <c r="F26" s="1102"/>
      <c r="G26" s="1101">
        <v>161</v>
      </c>
      <c r="H26" s="1101">
        <v>186</v>
      </c>
      <c r="I26" s="1101">
        <v>167</v>
      </c>
    </row>
    <row r="27" spans="1:9" ht="15.75" customHeight="1">
      <c r="A27" s="1130"/>
      <c r="B27" s="1131" t="s">
        <v>257</v>
      </c>
      <c r="C27" s="1107"/>
      <c r="D27" s="1107"/>
      <c r="E27" s="1107"/>
      <c r="F27" s="1104"/>
      <c r="G27" s="1105"/>
      <c r="H27" s="1105"/>
      <c r="I27" s="1105"/>
    </row>
    <row r="28" spans="1:9" ht="27.25" customHeight="1">
      <c r="A28" s="1408"/>
      <c r="B28" s="1393" t="s">
        <v>1083</v>
      </c>
      <c r="C28" s="1393"/>
      <c r="D28" s="1393" t="s">
        <v>1029</v>
      </c>
      <c r="E28" s="1107" t="s">
        <v>1074</v>
      </c>
      <c r="F28" s="1100"/>
      <c r="G28" s="1101">
        <v>1553.8</v>
      </c>
      <c r="H28" s="1101">
        <v>2195</v>
      </c>
      <c r="I28" s="1101">
        <v>2081</v>
      </c>
    </row>
    <row r="29" spans="1:9" ht="27.25" customHeight="1">
      <c r="A29" s="1408"/>
      <c r="B29" s="1393"/>
      <c r="C29" s="1393"/>
      <c r="D29" s="1393"/>
      <c r="E29" s="1069" t="s">
        <v>1075</v>
      </c>
      <c r="F29" s="1102"/>
      <c r="G29" s="1101">
        <v>151</v>
      </c>
      <c r="H29" s="1101">
        <v>172</v>
      </c>
      <c r="I29" s="1101">
        <v>168</v>
      </c>
    </row>
    <row r="30" spans="1:9" ht="17.25" customHeight="1">
      <c r="A30" s="1132"/>
      <c r="B30" s="1131" t="s">
        <v>258</v>
      </c>
      <c r="C30" s="1107"/>
      <c r="D30" s="1107"/>
      <c r="E30" s="1107"/>
      <c r="F30" s="1104"/>
      <c r="G30" s="1105"/>
      <c r="H30" s="1105"/>
      <c r="I30" s="1105"/>
    </row>
    <row r="31" spans="1:9" ht="27.25" customHeight="1">
      <c r="A31" s="1408"/>
      <c r="B31" s="1393" t="s">
        <v>1030</v>
      </c>
      <c r="C31" s="1393"/>
      <c r="D31" s="1393" t="s">
        <v>1031</v>
      </c>
      <c r="E31" s="1107" t="s">
        <v>1074</v>
      </c>
      <c r="F31" s="1100"/>
      <c r="G31" s="1101">
        <v>3673.2</v>
      </c>
      <c r="H31" s="1101">
        <v>3817</v>
      </c>
      <c r="I31" s="1101" t="s">
        <v>1078</v>
      </c>
    </row>
    <row r="32" spans="1:9" ht="27.25" customHeight="1">
      <c r="A32" s="1408"/>
      <c r="B32" s="1393"/>
      <c r="C32" s="1393"/>
      <c r="D32" s="1393"/>
      <c r="E32" s="1069" t="s">
        <v>1075</v>
      </c>
      <c r="F32" s="1102"/>
      <c r="G32" s="1101">
        <v>214</v>
      </c>
      <c r="H32" s="1101">
        <v>212</v>
      </c>
      <c r="I32" s="1101" t="s">
        <v>1078</v>
      </c>
    </row>
    <row r="33" spans="1:9" ht="27.25" customHeight="1">
      <c r="A33" s="1408"/>
      <c r="B33" s="1393" t="s">
        <v>1032</v>
      </c>
      <c r="C33" s="1393"/>
      <c r="D33" s="1393" t="s">
        <v>1031</v>
      </c>
      <c r="E33" s="1107" t="s">
        <v>1074</v>
      </c>
      <c r="F33" s="1100"/>
      <c r="G33" s="1101">
        <v>3138.6</v>
      </c>
      <c r="H33" s="1101">
        <v>3236</v>
      </c>
      <c r="I33" s="1101">
        <v>3564.8</v>
      </c>
    </row>
    <row r="34" spans="1:9" ht="27.25" customHeight="1">
      <c r="A34" s="1408"/>
      <c r="B34" s="1393"/>
      <c r="C34" s="1393"/>
      <c r="D34" s="1393"/>
      <c r="E34" s="1069" t="s">
        <v>1075</v>
      </c>
      <c r="F34" s="1102"/>
      <c r="G34" s="1101">
        <v>200</v>
      </c>
      <c r="H34" s="1101">
        <v>206</v>
      </c>
      <c r="I34" s="1101">
        <v>188</v>
      </c>
    </row>
    <row r="35" spans="1:9" ht="27.25" customHeight="1">
      <c r="A35" s="1408"/>
      <c r="B35" s="1393" t="s">
        <v>1033</v>
      </c>
      <c r="C35" s="1393"/>
      <c r="D35" s="1393" t="s">
        <v>1034</v>
      </c>
      <c r="E35" s="1107" t="s">
        <v>1074</v>
      </c>
      <c r="F35" s="1100"/>
      <c r="G35" s="1101">
        <v>3138.6</v>
      </c>
      <c r="H35" s="1101">
        <v>3236</v>
      </c>
      <c r="I35" s="1101">
        <v>3564.8</v>
      </c>
    </row>
    <row r="36" spans="1:9" ht="29.25" customHeight="1" thickBot="1">
      <c r="A36" s="1408"/>
      <c r="B36" s="1402"/>
      <c r="C36" s="1402"/>
      <c r="D36" s="1402"/>
      <c r="E36" s="1110" t="s">
        <v>1075</v>
      </c>
      <c r="F36" s="1111"/>
      <c r="G36" s="1113">
        <v>200</v>
      </c>
      <c r="H36" s="1113">
        <v>206</v>
      </c>
      <c r="I36" s="1113">
        <v>188</v>
      </c>
    </row>
    <row r="37" spans="1:9">
      <c r="B37" s="1114"/>
      <c r="C37" s="1114"/>
      <c r="D37" s="1114"/>
      <c r="F37" s="1090"/>
      <c r="G37" s="1090"/>
      <c r="I37" s="1115" t="s">
        <v>1003</v>
      </c>
    </row>
    <row r="38" spans="1:9">
      <c r="B38" s="1114"/>
      <c r="C38" s="1114"/>
      <c r="D38" s="1114"/>
      <c r="F38" s="1090"/>
      <c r="G38" s="1090"/>
      <c r="I38" s="1116" t="s">
        <v>1004</v>
      </c>
    </row>
    <row r="39" spans="1:9">
      <c r="B39" s="1117" t="s">
        <v>1005</v>
      </c>
      <c r="C39" s="1118"/>
      <c r="D39" s="1114"/>
      <c r="F39" s="1090"/>
      <c r="G39" s="1090"/>
      <c r="H39" s="1090"/>
      <c r="I39" s="1090"/>
    </row>
    <row r="40" spans="1:9">
      <c r="A40" s="1076" t="s">
        <v>34</v>
      </c>
      <c r="B40" s="1117" t="s">
        <v>1006</v>
      </c>
      <c r="C40" s="1118"/>
      <c r="D40" s="1114"/>
      <c r="F40" s="1090"/>
      <c r="G40" s="1090"/>
      <c r="H40" s="1090"/>
      <c r="I40" s="1090"/>
    </row>
    <row r="41" spans="1:9">
      <c r="A41" s="1076" t="s">
        <v>37</v>
      </c>
      <c r="B41" s="1119" t="s">
        <v>1007</v>
      </c>
      <c r="C41" s="1120"/>
      <c r="D41" s="1114"/>
      <c r="F41" s="1090"/>
      <c r="G41" s="1090"/>
      <c r="H41" s="1090"/>
      <c r="I41" s="1090"/>
    </row>
    <row r="42" spans="1:9" ht="25.5" customHeight="1">
      <c r="A42" s="1085" t="s">
        <v>272</v>
      </c>
      <c r="B42" s="1403" t="s">
        <v>1066</v>
      </c>
      <c r="C42" s="1403"/>
      <c r="D42" s="1403"/>
      <c r="E42" s="1403"/>
      <c r="F42" s="1403"/>
      <c r="G42" s="1403"/>
      <c r="H42" s="1403"/>
      <c r="I42" s="1403"/>
    </row>
    <row r="43" spans="1:9">
      <c r="B43" s="1121"/>
      <c r="C43" s="1121"/>
      <c r="D43" s="1122"/>
    </row>
  </sheetData>
  <mergeCells count="41">
    <mergeCell ref="G4:H4"/>
    <mergeCell ref="B5:C5"/>
    <mergeCell ref="B7:C8"/>
    <mergeCell ref="D7:D8"/>
    <mergeCell ref="A9:A10"/>
    <mergeCell ref="B9:C10"/>
    <mergeCell ref="D9:D10"/>
    <mergeCell ref="A11:A12"/>
    <mergeCell ref="B11:C12"/>
    <mergeCell ref="D11:D12"/>
    <mergeCell ref="A13:A14"/>
    <mergeCell ref="B13:C14"/>
    <mergeCell ref="D13:D14"/>
    <mergeCell ref="A16:A17"/>
    <mergeCell ref="B16:C17"/>
    <mergeCell ref="D16:D17"/>
    <mergeCell ref="A18:A19"/>
    <mergeCell ref="B18:C19"/>
    <mergeCell ref="D18:D19"/>
    <mergeCell ref="A21:A22"/>
    <mergeCell ref="B21:C22"/>
    <mergeCell ref="D21:D22"/>
    <mergeCell ref="A23:A24"/>
    <mergeCell ref="B23:C24"/>
    <mergeCell ref="D23:D24"/>
    <mergeCell ref="A25:A26"/>
    <mergeCell ref="B25:C26"/>
    <mergeCell ref="D25:D26"/>
    <mergeCell ref="A28:A29"/>
    <mergeCell ref="B28:C29"/>
    <mergeCell ref="D28:D29"/>
    <mergeCell ref="A35:A36"/>
    <mergeCell ref="B35:C36"/>
    <mergeCell ref="D35:D36"/>
    <mergeCell ref="B42:I42"/>
    <mergeCell ref="A31:A32"/>
    <mergeCell ref="B31:C32"/>
    <mergeCell ref="D31:D32"/>
    <mergeCell ref="A33:A34"/>
    <mergeCell ref="B33:C34"/>
    <mergeCell ref="D33:D34"/>
  </mergeCells>
  <pageMargins left="0.55118110236220474" right="0.55118110236220474" top="0.55118110236220474" bottom="0.55118110236220474" header="0.55118110236220474" footer="0.55118110236220474"/>
  <pageSetup paperSize="9" scale="73" fitToWidth="0" fitToHeight="0"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FA9CC-59B0-4E48-B658-D3315B71CDBA}">
  <sheetPr codeName="Sheet64"/>
  <dimension ref="A1:I43"/>
  <sheetViews>
    <sheetView view="pageBreakPreview" topLeftCell="A37" zoomScaleNormal="100" zoomScaleSheetLayoutView="100" workbookViewId="0">
      <selection activeCell="D60" sqref="D60"/>
    </sheetView>
  </sheetViews>
  <sheetFormatPr baseColWidth="10" defaultColWidth="8.6640625" defaultRowHeight="15"/>
  <cols>
    <col min="1" max="1" width="1.83203125" style="1109" customWidth="1"/>
    <col min="2" max="2" width="14.1640625" style="1109" customWidth="1"/>
    <col min="3" max="3" width="29.5" style="1109" customWidth="1"/>
    <col min="4" max="4" width="15.5" style="1109" customWidth="1"/>
    <col min="5" max="5" width="16" style="1109" customWidth="1"/>
    <col min="6" max="6" width="11.5" style="1109" customWidth="1"/>
    <col min="7" max="7" width="10.6640625" style="1109" customWidth="1"/>
    <col min="8" max="9" width="12.33203125" style="1109" customWidth="1"/>
    <col min="10" max="16384" width="8.6640625" style="1109"/>
  </cols>
  <sheetData>
    <row r="1" spans="1:9" ht="7.5" customHeight="1">
      <c r="B1" s="1114"/>
      <c r="C1" s="1114"/>
      <c r="D1" s="1114"/>
      <c r="F1" s="1090"/>
      <c r="G1" s="1090"/>
      <c r="H1" s="1090"/>
      <c r="I1" s="1090"/>
    </row>
    <row r="2" spans="1:9">
      <c r="B2" s="1123" t="s">
        <v>1070</v>
      </c>
      <c r="C2" s="1124" t="s">
        <v>1081</v>
      </c>
      <c r="D2" s="1124"/>
      <c r="E2" s="1124"/>
      <c r="F2" s="1124"/>
      <c r="G2" s="1124"/>
      <c r="H2" s="1124"/>
      <c r="I2" s="1124"/>
    </row>
    <row r="3" spans="1:9">
      <c r="B3" s="1125" t="s">
        <v>1072</v>
      </c>
      <c r="C3" s="1126" t="s">
        <v>1082</v>
      </c>
      <c r="D3" s="1126"/>
      <c r="E3" s="1126"/>
      <c r="F3" s="1126"/>
      <c r="G3" s="1126"/>
      <c r="H3" s="1126"/>
      <c r="I3" s="1126"/>
    </row>
    <row r="4" spans="1:9" ht="9.75" customHeight="1" thickBot="1">
      <c r="B4" s="1114"/>
      <c r="C4" s="1114"/>
      <c r="D4" s="1114"/>
      <c r="E4" s="1127"/>
      <c r="F4" s="1093"/>
      <c r="G4" s="1405"/>
      <c r="H4" s="1405"/>
    </row>
    <row r="5" spans="1:9" ht="77.25" customHeight="1" thickBot="1">
      <c r="B5" s="1412" t="s">
        <v>968</v>
      </c>
      <c r="C5" s="1412"/>
      <c r="D5" s="1128" t="s">
        <v>969</v>
      </c>
      <c r="E5" s="1129"/>
      <c r="F5" s="1094"/>
      <c r="G5" s="1095">
        <v>2021</v>
      </c>
      <c r="H5" s="1095">
        <v>2022</v>
      </c>
      <c r="I5" s="1058">
        <v>2023</v>
      </c>
    </row>
    <row r="6" spans="1:9" ht="17.25" customHeight="1">
      <c r="A6" s="1132"/>
      <c r="B6" s="1131" t="s">
        <v>259</v>
      </c>
      <c r="C6" s="1131"/>
      <c r="D6" s="1131"/>
      <c r="E6" s="1107"/>
      <c r="F6" s="1097"/>
      <c r="G6" s="1097"/>
      <c r="H6" s="1097"/>
      <c r="I6" s="1097"/>
    </row>
    <row r="7" spans="1:9" ht="27.25" customHeight="1">
      <c r="A7" s="1415"/>
      <c r="B7" s="1393" t="s">
        <v>1035</v>
      </c>
      <c r="C7" s="1393"/>
      <c r="D7" s="1393" t="s">
        <v>1036</v>
      </c>
      <c r="E7" s="1107" t="s">
        <v>1074</v>
      </c>
      <c r="F7" s="1106"/>
      <c r="G7" s="1101">
        <v>1148</v>
      </c>
      <c r="H7" s="1101">
        <v>3531</v>
      </c>
      <c r="I7" s="1101">
        <v>2751.6</v>
      </c>
    </row>
    <row r="8" spans="1:9" ht="27.25" customHeight="1">
      <c r="A8" s="1415"/>
      <c r="B8" s="1393"/>
      <c r="C8" s="1393"/>
      <c r="D8" s="1393"/>
      <c r="E8" s="1069" t="s">
        <v>1075</v>
      </c>
      <c r="F8" s="1106"/>
      <c r="G8" s="1101">
        <v>75</v>
      </c>
      <c r="H8" s="1101">
        <v>184</v>
      </c>
      <c r="I8" s="1101">
        <v>197</v>
      </c>
    </row>
    <row r="9" spans="1:9" ht="27.25" customHeight="1">
      <c r="A9" s="1408"/>
      <c r="B9" s="1393" t="s">
        <v>1037</v>
      </c>
      <c r="C9" s="1393"/>
      <c r="D9" s="1393" t="s">
        <v>1038</v>
      </c>
      <c r="E9" s="1107" t="s">
        <v>1074</v>
      </c>
      <c r="F9" s="1100"/>
      <c r="G9" s="1101">
        <v>2059</v>
      </c>
      <c r="H9" s="1101">
        <v>2946.6</v>
      </c>
      <c r="I9" s="1101">
        <v>2285.1999999999998</v>
      </c>
    </row>
    <row r="10" spans="1:9" ht="27.25" customHeight="1">
      <c r="A10" s="1408"/>
      <c r="B10" s="1393"/>
      <c r="C10" s="1393"/>
      <c r="D10" s="1393"/>
      <c r="E10" s="1069" t="s">
        <v>1075</v>
      </c>
      <c r="F10" s="1102"/>
      <c r="G10" s="1101">
        <v>148</v>
      </c>
      <c r="H10" s="1101">
        <v>171</v>
      </c>
      <c r="I10" s="1101">
        <v>172</v>
      </c>
    </row>
    <row r="11" spans="1:9" ht="17.25" customHeight="1">
      <c r="A11" s="1130"/>
      <c r="B11" s="1131" t="s">
        <v>260</v>
      </c>
      <c r="C11" s="1069"/>
      <c r="D11" s="1069"/>
      <c r="E11" s="1069"/>
      <c r="F11" s="1102"/>
      <c r="G11" s="1101"/>
      <c r="H11" s="1101"/>
      <c r="I11" s="1101"/>
    </row>
    <row r="12" spans="1:9" ht="27.25" customHeight="1">
      <c r="A12" s="1408"/>
      <c r="B12" s="1393" t="s">
        <v>1039</v>
      </c>
      <c r="C12" s="1393"/>
      <c r="D12" s="1393" t="s">
        <v>1040</v>
      </c>
      <c r="E12" s="1107" t="s">
        <v>1074</v>
      </c>
      <c r="F12" s="1106"/>
      <c r="G12" s="1101">
        <v>870.6</v>
      </c>
      <c r="H12" s="1101">
        <v>2521.4</v>
      </c>
      <c r="I12" s="1101">
        <v>2926</v>
      </c>
    </row>
    <row r="13" spans="1:9" ht="27.25" customHeight="1">
      <c r="A13" s="1408"/>
      <c r="B13" s="1393"/>
      <c r="C13" s="1393"/>
      <c r="D13" s="1393"/>
      <c r="E13" s="1069" t="s">
        <v>1075</v>
      </c>
      <c r="F13" s="1106"/>
      <c r="G13" s="1101">
        <v>203</v>
      </c>
      <c r="H13" s="1101">
        <v>227</v>
      </c>
      <c r="I13" s="1101">
        <v>242</v>
      </c>
    </row>
    <row r="14" spans="1:9" ht="27.25" customHeight="1">
      <c r="A14" s="1408"/>
      <c r="B14" s="1393" t="s">
        <v>1041</v>
      </c>
      <c r="C14" s="1393"/>
      <c r="D14" s="1393" t="s">
        <v>1042</v>
      </c>
      <c r="E14" s="1107" t="s">
        <v>1074</v>
      </c>
      <c r="F14" s="1106"/>
      <c r="G14" s="1101">
        <v>870.6</v>
      </c>
      <c r="H14" s="1101">
        <v>2521.4</v>
      </c>
      <c r="I14" s="1101">
        <v>2926</v>
      </c>
    </row>
    <row r="15" spans="1:9" ht="27.25" customHeight="1">
      <c r="A15" s="1408"/>
      <c r="B15" s="1393"/>
      <c r="C15" s="1393"/>
      <c r="D15" s="1393"/>
      <c r="E15" s="1069" t="s">
        <v>1075</v>
      </c>
      <c r="F15" s="1106"/>
      <c r="G15" s="1101">
        <v>203</v>
      </c>
      <c r="H15" s="1101">
        <v>227</v>
      </c>
      <c r="I15" s="1101">
        <v>242</v>
      </c>
    </row>
    <row r="16" spans="1:9" ht="27.25" customHeight="1">
      <c r="A16" s="1408"/>
      <c r="B16" s="1393" t="s">
        <v>1043</v>
      </c>
      <c r="C16" s="1393"/>
      <c r="D16" s="1393" t="s">
        <v>1044</v>
      </c>
      <c r="E16" s="1107" t="s">
        <v>1074</v>
      </c>
      <c r="F16" s="1106"/>
      <c r="G16" s="1101">
        <v>870.6</v>
      </c>
      <c r="H16" s="1101">
        <v>2521.4</v>
      </c>
      <c r="I16" s="1101">
        <v>2926</v>
      </c>
    </row>
    <row r="17" spans="1:9" ht="27.25" customHeight="1">
      <c r="A17" s="1408"/>
      <c r="B17" s="1393"/>
      <c r="C17" s="1393"/>
      <c r="D17" s="1393"/>
      <c r="E17" s="1069" t="s">
        <v>1075</v>
      </c>
      <c r="F17" s="1106"/>
      <c r="G17" s="1101">
        <v>203</v>
      </c>
      <c r="H17" s="1101">
        <v>227</v>
      </c>
      <c r="I17" s="1101">
        <v>242</v>
      </c>
    </row>
    <row r="18" spans="1:9" ht="27.25" customHeight="1">
      <c r="A18" s="1408"/>
      <c r="B18" s="1393" t="s">
        <v>1045</v>
      </c>
      <c r="C18" s="1393"/>
      <c r="D18" s="1393" t="s">
        <v>1046</v>
      </c>
      <c r="E18" s="1107" t="s">
        <v>1074</v>
      </c>
      <c r="F18" s="1106"/>
      <c r="G18" s="1101">
        <v>870.6</v>
      </c>
      <c r="H18" s="1101">
        <v>2521.4</v>
      </c>
      <c r="I18" s="1101">
        <v>2926</v>
      </c>
    </row>
    <row r="19" spans="1:9" ht="27.25" customHeight="1">
      <c r="A19" s="1408"/>
      <c r="B19" s="1393"/>
      <c r="C19" s="1393"/>
      <c r="D19" s="1393"/>
      <c r="E19" s="1069" t="s">
        <v>1075</v>
      </c>
      <c r="F19" s="1106"/>
      <c r="G19" s="1101">
        <v>203</v>
      </c>
      <c r="H19" s="1101">
        <v>227</v>
      </c>
      <c r="I19" s="1101">
        <v>242</v>
      </c>
    </row>
    <row r="20" spans="1:9" ht="27.25" customHeight="1">
      <c r="A20" s="1414"/>
      <c r="B20" s="1393" t="s">
        <v>1047</v>
      </c>
      <c r="C20" s="1393"/>
      <c r="D20" s="1393" t="s">
        <v>1048</v>
      </c>
      <c r="E20" s="1107" t="s">
        <v>1074</v>
      </c>
      <c r="F20" s="1100"/>
      <c r="G20" s="1101">
        <v>2912.7</v>
      </c>
      <c r="H20" s="1101">
        <v>2380.3000000000002</v>
      </c>
      <c r="I20" s="1101">
        <v>3394</v>
      </c>
    </row>
    <row r="21" spans="1:9" ht="27.25" customHeight="1">
      <c r="A21" s="1414"/>
      <c r="B21" s="1393"/>
      <c r="C21" s="1393"/>
      <c r="D21" s="1393"/>
      <c r="E21" s="1069" t="s">
        <v>1075</v>
      </c>
      <c r="F21" s="1102"/>
      <c r="G21" s="1101">
        <v>163</v>
      </c>
      <c r="H21" s="1101">
        <v>168</v>
      </c>
      <c r="I21" s="1101">
        <v>212</v>
      </c>
    </row>
    <row r="22" spans="1:9" ht="27.25" customHeight="1">
      <c r="A22" s="1408"/>
      <c r="B22" s="1393" t="s">
        <v>1049</v>
      </c>
      <c r="C22" s="1393"/>
      <c r="D22" s="1393" t="s">
        <v>1050</v>
      </c>
      <c r="E22" s="1107" t="s">
        <v>1074</v>
      </c>
      <c r="F22" s="1100"/>
      <c r="G22" s="1101">
        <v>1590.4</v>
      </c>
      <c r="H22" s="1101">
        <v>1947.8</v>
      </c>
      <c r="I22" s="1101">
        <v>1974.4</v>
      </c>
    </row>
    <row r="23" spans="1:9" ht="27.25" customHeight="1">
      <c r="A23" s="1408"/>
      <c r="B23" s="1393"/>
      <c r="C23" s="1393"/>
      <c r="D23" s="1393"/>
      <c r="E23" s="1069" t="s">
        <v>1075</v>
      </c>
      <c r="F23" s="1102"/>
      <c r="G23" s="1101">
        <v>148</v>
      </c>
      <c r="H23" s="1101">
        <v>185</v>
      </c>
      <c r="I23" s="1101">
        <v>192</v>
      </c>
    </row>
    <row r="24" spans="1:9" ht="17.25" customHeight="1">
      <c r="A24" s="1132"/>
      <c r="B24" s="1131" t="s">
        <v>261</v>
      </c>
      <c r="C24" s="1107"/>
      <c r="D24" s="1107"/>
      <c r="E24" s="1107"/>
      <c r="F24" s="1104"/>
      <c r="G24" s="1105"/>
      <c r="H24" s="1105"/>
      <c r="I24" s="1105"/>
    </row>
    <row r="25" spans="1:9" ht="27.25" customHeight="1">
      <c r="A25" s="1408"/>
      <c r="B25" s="1393" t="s">
        <v>1051</v>
      </c>
      <c r="C25" s="1393"/>
      <c r="D25" s="1413" t="s">
        <v>1052</v>
      </c>
      <c r="E25" s="1107" t="s">
        <v>1074</v>
      </c>
      <c r="F25" s="1100"/>
      <c r="G25" s="1101">
        <v>3316.6</v>
      </c>
      <c r="H25" s="1101">
        <v>4248</v>
      </c>
      <c r="I25" s="1101">
        <v>4021.2</v>
      </c>
    </row>
    <row r="26" spans="1:9" ht="27.25" customHeight="1">
      <c r="A26" s="1408"/>
      <c r="B26" s="1393"/>
      <c r="C26" s="1393"/>
      <c r="D26" s="1413"/>
      <c r="E26" s="1069" t="s">
        <v>1075</v>
      </c>
      <c r="F26" s="1102"/>
      <c r="G26" s="1101">
        <v>197</v>
      </c>
      <c r="H26" s="1101">
        <v>242</v>
      </c>
      <c r="I26" s="1101">
        <v>227</v>
      </c>
    </row>
    <row r="27" spans="1:9" ht="27.25" customHeight="1">
      <c r="A27" s="1408"/>
      <c r="B27" s="1393" t="s">
        <v>1053</v>
      </c>
      <c r="C27" s="1393"/>
      <c r="D27" s="1413" t="s">
        <v>1054</v>
      </c>
      <c r="E27" s="1107" t="s">
        <v>1074</v>
      </c>
      <c r="F27" s="1100"/>
      <c r="G27" s="1101">
        <v>1104</v>
      </c>
      <c r="H27" s="1101">
        <v>4751.6000000000004</v>
      </c>
      <c r="I27" s="1101">
        <v>4346.2</v>
      </c>
    </row>
    <row r="28" spans="1:9" ht="27.25" customHeight="1">
      <c r="A28" s="1408"/>
      <c r="B28" s="1393"/>
      <c r="C28" s="1393"/>
      <c r="D28" s="1413"/>
      <c r="E28" s="1069" t="s">
        <v>1075</v>
      </c>
      <c r="F28" s="1102"/>
      <c r="G28" s="1101">
        <v>220</v>
      </c>
      <c r="H28" s="1101">
        <v>292</v>
      </c>
      <c r="I28" s="1101">
        <v>252</v>
      </c>
    </row>
    <row r="29" spans="1:9" ht="27.25" customHeight="1">
      <c r="A29" s="1408"/>
      <c r="B29" s="1393" t="s">
        <v>1055</v>
      </c>
      <c r="C29" s="1393"/>
      <c r="D29" s="1393" t="s">
        <v>1056</v>
      </c>
      <c r="E29" s="1107" t="s">
        <v>1074</v>
      </c>
      <c r="F29" s="1100"/>
      <c r="G29" s="1101">
        <v>3307.5</v>
      </c>
      <c r="H29" s="1101">
        <v>4079.6</v>
      </c>
      <c r="I29" s="1101">
        <v>4436.6000000000004</v>
      </c>
    </row>
    <row r="30" spans="1:9" ht="27.25" customHeight="1">
      <c r="A30" s="1408"/>
      <c r="B30" s="1393"/>
      <c r="C30" s="1393"/>
      <c r="D30" s="1393"/>
      <c r="E30" s="1069" t="s">
        <v>1075</v>
      </c>
      <c r="F30" s="1102"/>
      <c r="G30" s="1101">
        <v>235</v>
      </c>
      <c r="H30" s="1101">
        <v>258</v>
      </c>
      <c r="I30" s="1101">
        <v>236</v>
      </c>
    </row>
    <row r="31" spans="1:9" ht="27.25" customHeight="1">
      <c r="A31" s="1408"/>
      <c r="B31" s="1393" t="s">
        <v>1057</v>
      </c>
      <c r="C31" s="1393"/>
      <c r="D31" s="1393" t="s">
        <v>1058</v>
      </c>
      <c r="E31" s="1107" t="s">
        <v>1074</v>
      </c>
      <c r="F31" s="1106"/>
      <c r="G31" s="1101">
        <v>1121</v>
      </c>
      <c r="H31" s="1101">
        <v>3328</v>
      </c>
      <c r="I31" s="1101">
        <v>4118.6000000000004</v>
      </c>
    </row>
    <row r="32" spans="1:9" ht="27.25" customHeight="1">
      <c r="A32" s="1408"/>
      <c r="B32" s="1393"/>
      <c r="C32" s="1393"/>
      <c r="D32" s="1393"/>
      <c r="E32" s="1069" t="s">
        <v>1075</v>
      </c>
      <c r="F32" s="1106"/>
      <c r="G32" s="1101">
        <v>188</v>
      </c>
      <c r="H32" s="1101">
        <v>226</v>
      </c>
      <c r="I32" s="1101">
        <v>230</v>
      </c>
    </row>
    <row r="33" spans="1:9" ht="27.25" customHeight="1">
      <c r="A33" s="1408"/>
      <c r="B33" s="1393" t="s">
        <v>1059</v>
      </c>
      <c r="C33" s="1393"/>
      <c r="D33" s="1393" t="s">
        <v>1060</v>
      </c>
      <c r="E33" s="1107" t="s">
        <v>1074</v>
      </c>
      <c r="F33" s="1100"/>
      <c r="G33" s="1101">
        <v>2288.6</v>
      </c>
      <c r="H33" s="1101">
        <v>3344.2</v>
      </c>
      <c r="I33" s="1101">
        <v>2877.6</v>
      </c>
    </row>
    <row r="34" spans="1:9" ht="27.25" customHeight="1">
      <c r="A34" s="1408"/>
      <c r="B34" s="1393"/>
      <c r="C34" s="1393"/>
      <c r="D34" s="1393"/>
      <c r="E34" s="1069" t="s">
        <v>1075</v>
      </c>
      <c r="F34" s="1102"/>
      <c r="G34" s="1101">
        <v>160</v>
      </c>
      <c r="H34" s="1101">
        <v>209</v>
      </c>
      <c r="I34" s="1101">
        <v>211</v>
      </c>
    </row>
    <row r="35" spans="1:9" ht="27.25" customHeight="1">
      <c r="A35" s="1408"/>
      <c r="B35" s="1393" t="s">
        <v>1061</v>
      </c>
      <c r="C35" s="1393"/>
      <c r="D35" s="1393" t="s">
        <v>1060</v>
      </c>
      <c r="E35" s="1107" t="s">
        <v>1074</v>
      </c>
      <c r="F35" s="1100"/>
      <c r="G35" s="1101">
        <v>3012.8</v>
      </c>
      <c r="H35" s="1101">
        <v>3275.4</v>
      </c>
      <c r="I35" s="1101">
        <v>3251.4</v>
      </c>
    </row>
    <row r="36" spans="1:9" ht="29.25" customHeight="1" thickBot="1">
      <c r="A36" s="1408"/>
      <c r="B36" s="1402"/>
      <c r="C36" s="1402"/>
      <c r="D36" s="1402"/>
      <c r="E36" s="1110" t="s">
        <v>1075</v>
      </c>
      <c r="F36" s="1111"/>
      <c r="G36" s="1113">
        <v>213</v>
      </c>
      <c r="H36" s="1113">
        <v>258</v>
      </c>
      <c r="I36" s="1113">
        <v>235</v>
      </c>
    </row>
    <row r="37" spans="1:9">
      <c r="B37" s="1114"/>
      <c r="C37" s="1114"/>
      <c r="D37" s="1114"/>
      <c r="F37" s="1090"/>
      <c r="G37" s="1090"/>
      <c r="I37" s="1115" t="s">
        <v>1003</v>
      </c>
    </row>
    <row r="38" spans="1:9">
      <c r="B38" s="1114"/>
      <c r="C38" s="1114"/>
      <c r="D38" s="1114"/>
      <c r="F38" s="1090"/>
      <c r="G38" s="1090"/>
      <c r="I38" s="1116" t="s">
        <v>1004</v>
      </c>
    </row>
    <row r="39" spans="1:9">
      <c r="B39" s="1117" t="s">
        <v>1005</v>
      </c>
      <c r="C39" s="1118"/>
      <c r="D39" s="1114"/>
      <c r="F39" s="1090"/>
      <c r="G39" s="1090"/>
      <c r="H39" s="1090"/>
      <c r="I39" s="1090"/>
    </row>
    <row r="40" spans="1:9">
      <c r="A40" s="1076" t="s">
        <v>34</v>
      </c>
      <c r="B40" s="1117" t="s">
        <v>1006</v>
      </c>
      <c r="C40" s="1118"/>
      <c r="D40" s="1114"/>
      <c r="F40" s="1090"/>
      <c r="G40" s="1090"/>
      <c r="H40" s="1090"/>
      <c r="I40" s="1090"/>
    </row>
    <row r="41" spans="1:9">
      <c r="A41" s="1076" t="s">
        <v>37</v>
      </c>
      <c r="B41" s="1119" t="s">
        <v>1007</v>
      </c>
      <c r="C41" s="1120"/>
      <c r="D41" s="1114"/>
      <c r="F41" s="1090"/>
      <c r="G41" s="1090"/>
      <c r="H41" s="1090"/>
      <c r="I41" s="1090"/>
    </row>
    <row r="42" spans="1:9" ht="25.5" customHeight="1">
      <c r="A42" s="1085" t="s">
        <v>272</v>
      </c>
      <c r="B42" s="1403" t="s">
        <v>1066</v>
      </c>
      <c r="C42" s="1403"/>
      <c r="D42" s="1403"/>
      <c r="E42" s="1403"/>
      <c r="F42" s="1403"/>
      <c r="G42" s="1403"/>
      <c r="H42" s="1403"/>
      <c r="I42" s="1403"/>
    </row>
    <row r="43" spans="1:9">
      <c r="B43" s="1121"/>
      <c r="C43" s="1121"/>
      <c r="D43" s="1122"/>
    </row>
  </sheetData>
  <mergeCells count="45">
    <mergeCell ref="A9:A10"/>
    <mergeCell ref="B9:C10"/>
    <mergeCell ref="D9:D10"/>
    <mergeCell ref="G4:H4"/>
    <mergeCell ref="B5:C5"/>
    <mergeCell ref="A7:A8"/>
    <mergeCell ref="B7:C8"/>
    <mergeCell ref="D7:D8"/>
    <mergeCell ref="A12:A13"/>
    <mergeCell ref="B12:C13"/>
    <mergeCell ref="D12:D13"/>
    <mergeCell ref="A14:A15"/>
    <mergeCell ref="B14:C15"/>
    <mergeCell ref="D14:D15"/>
    <mergeCell ref="A16:A17"/>
    <mergeCell ref="B16:C17"/>
    <mergeCell ref="D16:D17"/>
    <mergeCell ref="A18:A19"/>
    <mergeCell ref="B18:C19"/>
    <mergeCell ref="D18:D19"/>
    <mergeCell ref="A20:A21"/>
    <mergeCell ref="B20:C21"/>
    <mergeCell ref="D20:D21"/>
    <mergeCell ref="A22:A23"/>
    <mergeCell ref="B22:C23"/>
    <mergeCell ref="D22:D23"/>
    <mergeCell ref="A25:A26"/>
    <mergeCell ref="B25:C26"/>
    <mergeCell ref="D25:D26"/>
    <mergeCell ref="A27:A28"/>
    <mergeCell ref="B27:C28"/>
    <mergeCell ref="D27:D28"/>
    <mergeCell ref="A29:A30"/>
    <mergeCell ref="B29:C30"/>
    <mergeCell ref="D29:D30"/>
    <mergeCell ref="A31:A32"/>
    <mergeCell ref="B31:C32"/>
    <mergeCell ref="D31:D32"/>
    <mergeCell ref="B42:I42"/>
    <mergeCell ref="A33:A34"/>
    <mergeCell ref="B33:C34"/>
    <mergeCell ref="D33:D34"/>
    <mergeCell ref="A35:A36"/>
    <mergeCell ref="B35:C36"/>
    <mergeCell ref="D35:D36"/>
  </mergeCells>
  <pageMargins left="0.55118110236220474" right="0.55118110236220474" top="0.55118110236220474" bottom="0.55118110236220474" header="0.55118110236220474" footer="0.55118110236220474"/>
  <pageSetup paperSize="9" scale="73" fitToWidth="0" fitToHeight="0"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F303D-8A37-405F-83E8-3B4465CF9BCC}">
  <sheetPr codeName="Sheet65">
    <pageSetUpPr fitToPage="1"/>
  </sheetPr>
  <dimension ref="A1:I21"/>
  <sheetViews>
    <sheetView view="pageBreakPreview" topLeftCell="A13" zoomScaleNormal="100" zoomScaleSheetLayoutView="100" workbookViewId="0">
      <selection activeCell="D60" sqref="D60"/>
    </sheetView>
  </sheetViews>
  <sheetFormatPr baseColWidth="10" defaultColWidth="8.6640625" defaultRowHeight="15"/>
  <cols>
    <col min="1" max="1" width="3" style="1109" customWidth="1"/>
    <col min="2" max="2" width="14.1640625" style="1109" customWidth="1"/>
    <col min="3" max="3" width="29.1640625" style="1109" customWidth="1"/>
    <col min="4" max="4" width="15.5" style="1109" customWidth="1"/>
    <col min="5" max="5" width="16" style="1109" customWidth="1"/>
    <col min="6" max="6" width="12.1640625" style="1109" customWidth="1"/>
    <col min="7" max="7" width="10.6640625" style="1109" customWidth="1"/>
    <col min="8" max="9" width="12.33203125" style="1109" customWidth="1"/>
    <col min="10" max="16384" width="8.6640625" style="1109"/>
  </cols>
  <sheetData>
    <row r="1" spans="1:9">
      <c r="B1" s="1114"/>
      <c r="C1" s="1114"/>
      <c r="D1" s="1114"/>
      <c r="F1" s="1090"/>
      <c r="G1" s="1090"/>
      <c r="H1" s="1090"/>
      <c r="I1" s="1090"/>
    </row>
    <row r="2" spans="1:9">
      <c r="B2" s="1123" t="s">
        <v>1070</v>
      </c>
      <c r="C2" s="1124" t="s">
        <v>1081</v>
      </c>
      <c r="D2" s="1124"/>
      <c r="E2" s="1124"/>
      <c r="F2" s="1124"/>
      <c r="G2" s="1124"/>
      <c r="H2" s="1124"/>
      <c r="I2" s="1124"/>
    </row>
    <row r="3" spans="1:9">
      <c r="B3" s="1125" t="s">
        <v>1072</v>
      </c>
      <c r="C3" s="1126" t="s">
        <v>1082</v>
      </c>
      <c r="D3" s="1126"/>
      <c r="E3" s="1126"/>
      <c r="F3" s="1126"/>
      <c r="G3" s="1126"/>
      <c r="H3" s="1126"/>
      <c r="I3" s="1126"/>
    </row>
    <row r="4" spans="1:9" ht="16" thickBot="1">
      <c r="B4" s="1114"/>
      <c r="C4" s="1114"/>
      <c r="D4" s="1114"/>
      <c r="E4" s="1127"/>
      <c r="F4" s="1093"/>
      <c r="G4" s="1405"/>
      <c r="H4" s="1405"/>
    </row>
    <row r="5" spans="1:9" ht="77.25" customHeight="1" thickBot="1">
      <c r="B5" s="1412" t="s">
        <v>968</v>
      </c>
      <c r="C5" s="1412"/>
      <c r="D5" s="1128" t="s">
        <v>969</v>
      </c>
      <c r="E5" s="1129"/>
      <c r="F5" s="1094"/>
      <c r="G5" s="1095">
        <v>2021</v>
      </c>
      <c r="H5" s="1095">
        <v>2022</v>
      </c>
      <c r="I5" s="1058">
        <v>2023</v>
      </c>
    </row>
    <row r="6" spans="1:9" ht="17.25" customHeight="1">
      <c r="A6" s="1132"/>
      <c r="B6" s="1131" t="s">
        <v>261</v>
      </c>
      <c r="C6" s="1131"/>
      <c r="D6" s="1131"/>
      <c r="E6" s="1107"/>
      <c r="F6" s="1097"/>
      <c r="G6" s="1097"/>
      <c r="H6" s="1097"/>
      <c r="I6" s="1097"/>
    </row>
    <row r="7" spans="1:9" ht="27.25" customHeight="1">
      <c r="A7" s="1408"/>
      <c r="B7" s="1393" t="s">
        <v>1062</v>
      </c>
      <c r="C7" s="1393"/>
      <c r="D7" s="1393" t="s">
        <v>1063</v>
      </c>
      <c r="E7" s="1107" t="s">
        <v>1074</v>
      </c>
      <c r="F7" s="1106"/>
      <c r="G7" s="1101">
        <v>1121</v>
      </c>
      <c r="H7" s="1101">
        <v>3328</v>
      </c>
      <c r="I7" s="1101">
        <v>4118.6000000000004</v>
      </c>
    </row>
    <row r="8" spans="1:9" ht="27.25" customHeight="1">
      <c r="A8" s="1408"/>
      <c r="B8" s="1393"/>
      <c r="C8" s="1393"/>
      <c r="D8" s="1393"/>
      <c r="E8" s="1069" t="s">
        <v>1075</v>
      </c>
      <c r="F8" s="1106"/>
      <c r="G8" s="1101">
        <v>188</v>
      </c>
      <c r="H8" s="1101">
        <v>226</v>
      </c>
      <c r="I8" s="1101">
        <v>230</v>
      </c>
    </row>
    <row r="9" spans="1:9" ht="27.25" customHeight="1">
      <c r="A9" s="1408"/>
      <c r="B9" s="1393" t="s">
        <v>1064</v>
      </c>
      <c r="C9" s="1393"/>
      <c r="D9" s="1393" t="s">
        <v>1065</v>
      </c>
      <c r="E9" s="1107" t="s">
        <v>1074</v>
      </c>
      <c r="F9" s="1100"/>
      <c r="G9" s="1101">
        <v>2288.6</v>
      </c>
      <c r="H9" s="1101">
        <v>3344.2</v>
      </c>
      <c r="I9" s="1101">
        <v>2877.6</v>
      </c>
    </row>
    <row r="10" spans="1:9" ht="27.25" customHeight="1">
      <c r="A10" s="1408"/>
      <c r="B10" s="1393"/>
      <c r="C10" s="1393"/>
      <c r="D10" s="1393"/>
      <c r="E10" s="1069" t="s">
        <v>1075</v>
      </c>
      <c r="F10" s="1102"/>
      <c r="G10" s="1101">
        <v>160</v>
      </c>
      <c r="H10" s="1101">
        <v>209</v>
      </c>
      <c r="I10" s="1101">
        <v>211</v>
      </c>
    </row>
    <row r="11" spans="1:9" ht="17.25" customHeight="1">
      <c r="A11" s="1132"/>
      <c r="B11" s="1131" t="s">
        <v>263</v>
      </c>
      <c r="C11" s="1107"/>
      <c r="D11" s="1107"/>
      <c r="E11" s="1107"/>
      <c r="F11" s="1104"/>
      <c r="G11" s="1105"/>
      <c r="H11" s="1105"/>
      <c r="I11" s="1105"/>
    </row>
    <row r="12" spans="1:9" ht="27.25" customHeight="1">
      <c r="A12" s="1408"/>
      <c r="B12" s="1393" t="s">
        <v>1084</v>
      </c>
      <c r="C12" s="1393"/>
      <c r="D12" s="1393" t="s">
        <v>1069</v>
      </c>
      <c r="E12" s="1107" t="s">
        <v>1074</v>
      </c>
      <c r="F12" s="1100"/>
      <c r="G12" s="1101">
        <v>3433.6</v>
      </c>
      <c r="H12" s="1101">
        <v>4301.3</v>
      </c>
      <c r="I12" s="1101">
        <v>4127.5</v>
      </c>
    </row>
    <row r="13" spans="1:9" ht="27.25" customHeight="1">
      <c r="A13" s="1408"/>
      <c r="B13" s="1393"/>
      <c r="C13" s="1393"/>
      <c r="D13" s="1393"/>
      <c r="E13" s="1069" t="s">
        <v>1075</v>
      </c>
      <c r="F13" s="1102"/>
      <c r="G13" s="1101">
        <v>180</v>
      </c>
      <c r="H13" s="1101">
        <v>203</v>
      </c>
      <c r="I13" s="1101">
        <v>225</v>
      </c>
    </row>
    <row r="14" spans="1:9" ht="16" thickBot="1">
      <c r="B14" s="1135"/>
      <c r="C14" s="1135"/>
      <c r="D14" s="1136"/>
      <c r="E14" s="1110"/>
      <c r="F14" s="1137"/>
      <c r="G14" s="1137"/>
      <c r="H14" s="1137"/>
      <c r="I14" s="1137"/>
    </row>
    <row r="15" spans="1:9">
      <c r="B15" s="1114"/>
      <c r="C15" s="1114"/>
      <c r="D15" s="1114"/>
      <c r="F15" s="1090"/>
      <c r="G15" s="1090"/>
      <c r="I15" s="1115" t="s">
        <v>1003</v>
      </c>
    </row>
    <row r="16" spans="1:9">
      <c r="B16" s="1114"/>
      <c r="C16" s="1114"/>
      <c r="D16" s="1114"/>
      <c r="F16" s="1090"/>
      <c r="G16" s="1090"/>
      <c r="I16" s="1116" t="s">
        <v>1004</v>
      </c>
    </row>
    <row r="17" spans="1:9">
      <c r="B17" s="1117" t="s">
        <v>1005</v>
      </c>
      <c r="C17" s="1118"/>
      <c r="D17" s="1114"/>
      <c r="F17" s="1090"/>
      <c r="G17" s="1090"/>
      <c r="H17" s="1090"/>
      <c r="I17" s="1090"/>
    </row>
    <row r="18" spans="1:9">
      <c r="A18" s="1076" t="s">
        <v>34</v>
      </c>
      <c r="B18" s="1117" t="s">
        <v>1006</v>
      </c>
      <c r="C18" s="1118"/>
      <c r="D18" s="1114"/>
      <c r="F18" s="1090"/>
      <c r="G18" s="1090"/>
      <c r="H18" s="1090"/>
      <c r="I18" s="1090"/>
    </row>
    <row r="19" spans="1:9">
      <c r="A19" s="1076" t="s">
        <v>37</v>
      </c>
      <c r="B19" s="1119" t="s">
        <v>1007</v>
      </c>
      <c r="C19" s="1120"/>
      <c r="D19" s="1114"/>
      <c r="F19" s="1090"/>
      <c r="G19" s="1090"/>
      <c r="H19" s="1090"/>
      <c r="I19" s="1090"/>
    </row>
    <row r="20" spans="1:9" ht="25.5" customHeight="1">
      <c r="A20" s="1085" t="s">
        <v>272</v>
      </c>
      <c r="B20" s="1403" t="s">
        <v>1066</v>
      </c>
      <c r="C20" s="1403"/>
      <c r="D20" s="1403"/>
      <c r="E20" s="1403"/>
      <c r="F20" s="1403"/>
      <c r="G20" s="1403"/>
      <c r="H20" s="1403"/>
      <c r="I20" s="1403"/>
    </row>
    <row r="21" spans="1:9">
      <c r="B21" s="1121"/>
      <c r="C21" s="1121"/>
      <c r="D21" s="1122"/>
    </row>
  </sheetData>
  <mergeCells count="12">
    <mergeCell ref="A12:A13"/>
    <mergeCell ref="B12:C13"/>
    <mergeCell ref="D12:D13"/>
    <mergeCell ref="B20:I20"/>
    <mergeCell ref="G4:H4"/>
    <mergeCell ref="B5:C5"/>
    <mergeCell ref="A7:A8"/>
    <mergeCell ref="B7:C8"/>
    <mergeCell ref="D7:D8"/>
    <mergeCell ref="A9:A10"/>
    <mergeCell ref="B9:C10"/>
    <mergeCell ref="D9:D10"/>
  </mergeCells>
  <pageMargins left="0.55118110236220474" right="0.55118110236220474" top="0.55118110236220474" bottom="0.55118110236220474" header="0.55118110236220474" footer="0.55118110236220474"/>
  <pageSetup paperSize="9" scale="68"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1DE2B-2E16-4CC5-9BC4-30CDE43EDA23}">
  <sheetPr codeName="Sheet66"/>
  <dimension ref="A1:H49"/>
  <sheetViews>
    <sheetView view="pageBreakPreview" zoomScale="90" zoomScaleNormal="100" zoomScaleSheetLayoutView="90" workbookViewId="0">
      <selection activeCell="D60" sqref="D60"/>
    </sheetView>
  </sheetViews>
  <sheetFormatPr baseColWidth="10" defaultColWidth="9.1640625" defaultRowHeight="13"/>
  <cols>
    <col min="1" max="1" width="2.1640625" style="1138" customWidth="1"/>
    <col min="2" max="2" width="14" style="839" customWidth="1"/>
    <col min="3" max="3" width="33.6640625" style="839" customWidth="1"/>
    <col min="4" max="4" width="17.83203125" style="839" customWidth="1"/>
    <col min="5" max="5" width="23.33203125" style="839" customWidth="1"/>
    <col min="6" max="8" width="10.6640625" style="1139" customWidth="1"/>
    <col min="9" max="16384" width="9.1640625" style="839"/>
  </cols>
  <sheetData>
    <row r="1" spans="1:8" ht="8.25" customHeight="1"/>
    <row r="2" spans="1:8" ht="14">
      <c r="B2" s="1123" t="s">
        <v>1085</v>
      </c>
      <c r="C2" s="1140" t="s">
        <v>1086</v>
      </c>
      <c r="D2" s="1140"/>
      <c r="E2" s="1140"/>
      <c r="F2" s="1140"/>
      <c r="G2" s="1140"/>
      <c r="H2" s="1140"/>
    </row>
    <row r="3" spans="1:8" ht="14">
      <c r="B3" s="1125" t="s">
        <v>1087</v>
      </c>
      <c r="C3" s="1141" t="s">
        <v>1088</v>
      </c>
      <c r="D3" s="1141"/>
      <c r="E3" s="1141"/>
      <c r="F3" s="1141"/>
      <c r="G3" s="1141"/>
      <c r="H3" s="1141"/>
    </row>
    <row r="4" spans="1:8" ht="12.5" customHeight="1" thickBot="1">
      <c r="F4" s="1142"/>
      <c r="G4" s="1417"/>
      <c r="H4" s="1417"/>
    </row>
    <row r="5" spans="1:8" ht="27.25" customHeight="1">
      <c r="B5" s="1418" t="s">
        <v>968</v>
      </c>
      <c r="C5" s="1418"/>
      <c r="D5" s="1420" t="s">
        <v>1089</v>
      </c>
      <c r="E5" s="1144"/>
      <c r="F5" s="1422"/>
      <c r="G5" s="1422"/>
      <c r="H5" s="1422"/>
    </row>
    <row r="6" spans="1:8" ht="46.5" customHeight="1" thickBot="1">
      <c r="B6" s="1419"/>
      <c r="C6" s="1419"/>
      <c r="D6" s="1421"/>
      <c r="E6" s="1145"/>
      <c r="F6" s="1146" t="s">
        <v>1090</v>
      </c>
      <c r="G6" s="1146" t="s">
        <v>1091</v>
      </c>
      <c r="H6" s="1146" t="s">
        <v>1092</v>
      </c>
    </row>
    <row r="7" spans="1:8" ht="20.25" customHeight="1">
      <c r="B7" s="1147" t="s">
        <v>249</v>
      </c>
      <c r="C7" s="1147"/>
      <c r="D7" s="1148"/>
      <c r="E7" s="1148"/>
      <c r="F7" s="1149"/>
      <c r="G7" s="1150"/>
      <c r="H7" s="1150"/>
    </row>
    <row r="8" spans="1:8" ht="27.25" customHeight="1">
      <c r="B8" s="1393" t="s">
        <v>974</v>
      </c>
      <c r="C8" s="1393"/>
      <c r="D8" s="1134" t="s">
        <v>975</v>
      </c>
      <c r="E8" s="1134"/>
      <c r="F8" s="1151">
        <v>80.2</v>
      </c>
      <c r="G8" s="1151">
        <v>82.3</v>
      </c>
      <c r="H8" s="1151">
        <v>82.5</v>
      </c>
    </row>
    <row r="9" spans="1:8" ht="27.25" customHeight="1">
      <c r="A9" s="1152"/>
      <c r="B9" s="1393" t="s">
        <v>1076</v>
      </c>
      <c r="C9" s="1393"/>
      <c r="D9" s="1134" t="s">
        <v>979</v>
      </c>
      <c r="E9" s="1134"/>
      <c r="F9" s="1151">
        <v>79.900000000000006</v>
      </c>
      <c r="G9" s="1151">
        <v>82.8</v>
      </c>
      <c r="H9" s="1151">
        <v>82.6</v>
      </c>
    </row>
    <row r="10" spans="1:8" ht="27.25" customHeight="1">
      <c r="A10" s="1152"/>
      <c r="B10" s="1393" t="s">
        <v>981</v>
      </c>
      <c r="C10" s="1393"/>
      <c r="D10" s="1134" t="s">
        <v>982</v>
      </c>
      <c r="E10" s="1134"/>
      <c r="F10" s="1151" t="s">
        <v>1078</v>
      </c>
      <c r="G10" s="1151">
        <v>78.3</v>
      </c>
      <c r="H10" s="1151">
        <v>84.2</v>
      </c>
    </row>
    <row r="11" spans="1:8" ht="27.25" customHeight="1">
      <c r="A11" s="1152"/>
      <c r="B11" s="1393" t="s">
        <v>1077</v>
      </c>
      <c r="C11" s="1393"/>
      <c r="D11" s="1134" t="s">
        <v>984</v>
      </c>
      <c r="E11" s="1134"/>
      <c r="F11" s="1151">
        <v>84.9</v>
      </c>
      <c r="G11" s="1151">
        <v>84</v>
      </c>
      <c r="H11" s="1151">
        <v>83.7</v>
      </c>
    </row>
    <row r="12" spans="1:8" ht="19.5" customHeight="1">
      <c r="B12" s="1147" t="s">
        <v>250</v>
      </c>
      <c r="C12" s="1148"/>
      <c r="D12" s="1134"/>
      <c r="E12" s="1134"/>
      <c r="F12" s="1153"/>
      <c r="G12" s="1153"/>
      <c r="H12" s="1153"/>
    </row>
    <row r="13" spans="1:8" ht="27.25" customHeight="1">
      <c r="A13" s="1152"/>
      <c r="B13" s="1393" t="s">
        <v>985</v>
      </c>
      <c r="C13" s="1393"/>
      <c r="D13" s="1134" t="s">
        <v>986</v>
      </c>
      <c r="E13" s="1134"/>
      <c r="F13" s="1151">
        <v>82.4</v>
      </c>
      <c r="G13" s="1151">
        <v>83.6</v>
      </c>
      <c r="H13" s="1151">
        <v>82.2</v>
      </c>
    </row>
    <row r="14" spans="1:8" ht="27.25" customHeight="1">
      <c r="A14" s="1152"/>
      <c r="B14" s="1393" t="s">
        <v>987</v>
      </c>
      <c r="C14" s="1393"/>
      <c r="D14" s="1134" t="s">
        <v>988</v>
      </c>
      <c r="E14" s="1134"/>
      <c r="F14" s="1151">
        <v>78.7</v>
      </c>
      <c r="G14" s="1151">
        <v>80.900000000000006</v>
      </c>
      <c r="H14" s="1151">
        <v>85.4</v>
      </c>
    </row>
    <row r="15" spans="1:8" ht="20.25" customHeight="1">
      <c r="B15" s="1147" t="s">
        <v>251</v>
      </c>
      <c r="C15" s="1148"/>
      <c r="D15" s="1134"/>
      <c r="E15" s="1134"/>
      <c r="F15" s="1153"/>
      <c r="G15" s="1153"/>
      <c r="H15" s="1153"/>
    </row>
    <row r="16" spans="1:8" ht="27.25" customHeight="1">
      <c r="A16" s="1152"/>
      <c r="B16" s="1393" t="s">
        <v>989</v>
      </c>
      <c r="C16" s="1393"/>
      <c r="D16" s="1134" t="s">
        <v>990</v>
      </c>
      <c r="E16" s="1134"/>
      <c r="F16" s="1151">
        <v>79.7</v>
      </c>
      <c r="G16" s="1151">
        <v>81.099999999999994</v>
      </c>
      <c r="H16" s="1151">
        <v>81.7</v>
      </c>
    </row>
    <row r="17" spans="1:8" ht="27.25" customHeight="1">
      <c r="A17" s="1152"/>
      <c r="B17" s="1393" t="s">
        <v>991</v>
      </c>
      <c r="C17" s="1393"/>
      <c r="D17" s="1134" t="s">
        <v>992</v>
      </c>
      <c r="E17" s="1134"/>
      <c r="F17" s="1151" t="s">
        <v>1093</v>
      </c>
      <c r="G17" s="1151">
        <v>83.4</v>
      </c>
      <c r="H17" s="1151">
        <v>85.4</v>
      </c>
    </row>
    <row r="18" spans="1:8" ht="27.25" customHeight="1">
      <c r="A18" s="1152"/>
      <c r="B18" s="1393" t="s">
        <v>993</v>
      </c>
      <c r="C18" s="1393"/>
      <c r="D18" s="1134" t="s">
        <v>994</v>
      </c>
      <c r="E18" s="1134"/>
      <c r="F18" s="1151" t="s">
        <v>1093</v>
      </c>
      <c r="G18" s="1151">
        <v>83.4</v>
      </c>
      <c r="H18" s="1151">
        <v>85.4</v>
      </c>
    </row>
    <row r="19" spans="1:8" ht="20.25" customHeight="1">
      <c r="B19" s="1147" t="s">
        <v>1079</v>
      </c>
      <c r="C19" s="1148"/>
      <c r="D19" s="1134"/>
      <c r="E19" s="1134"/>
      <c r="F19" s="1153"/>
      <c r="G19" s="1153"/>
      <c r="H19" s="1153"/>
    </row>
    <row r="20" spans="1:8" ht="27.25" customHeight="1">
      <c r="A20" s="1152"/>
      <c r="B20" s="1393" t="s">
        <v>1080</v>
      </c>
      <c r="C20" s="1393"/>
      <c r="D20" s="1134" t="s">
        <v>996</v>
      </c>
      <c r="E20" s="1134"/>
      <c r="F20" s="1151">
        <v>76.599999999999994</v>
      </c>
      <c r="G20" s="1151">
        <v>79.3</v>
      </c>
      <c r="H20" s="1151">
        <v>80.5</v>
      </c>
    </row>
    <row r="21" spans="1:8" ht="20.25" customHeight="1">
      <c r="B21" s="1416" t="s">
        <v>253</v>
      </c>
      <c r="C21" s="1416"/>
      <c r="D21" s="1134"/>
      <c r="E21" s="1134"/>
      <c r="F21" s="1153"/>
      <c r="G21" s="1153"/>
      <c r="H21" s="1153"/>
    </row>
    <row r="22" spans="1:8" ht="27.25" customHeight="1">
      <c r="A22" s="1152"/>
      <c r="B22" s="1393" t="s">
        <v>997</v>
      </c>
      <c r="C22" s="1393"/>
      <c r="D22" s="1134" t="s">
        <v>998</v>
      </c>
      <c r="E22" s="1134"/>
      <c r="F22" s="1151">
        <v>80.900000000000006</v>
      </c>
      <c r="G22" s="1151">
        <v>81.3</v>
      </c>
      <c r="H22" s="1151">
        <v>83.4</v>
      </c>
    </row>
    <row r="23" spans="1:8" ht="21.25" customHeight="1">
      <c r="B23" s="1147" t="s">
        <v>254</v>
      </c>
      <c r="C23" s="1148"/>
      <c r="D23" s="1134"/>
      <c r="E23" s="1134"/>
      <c r="F23" s="1153"/>
      <c r="G23" s="1153"/>
      <c r="H23" s="1153"/>
    </row>
    <row r="24" spans="1:8" ht="27.25" customHeight="1">
      <c r="B24" s="1393" t="s">
        <v>999</v>
      </c>
      <c r="C24" s="1393"/>
      <c r="D24" s="1134" t="s">
        <v>1000</v>
      </c>
      <c r="E24" s="1134"/>
      <c r="F24" s="1151">
        <v>87.4</v>
      </c>
      <c r="G24" s="1151">
        <v>89.4</v>
      </c>
      <c r="H24" s="1151">
        <v>88.7</v>
      </c>
    </row>
    <row r="25" spans="1:8" ht="27.25" customHeight="1">
      <c r="B25" s="1393" t="s">
        <v>1001</v>
      </c>
      <c r="C25" s="1393"/>
      <c r="D25" s="1134" t="s">
        <v>1002</v>
      </c>
      <c r="E25" s="1134"/>
      <c r="F25" s="1151">
        <v>87.4</v>
      </c>
      <c r="G25" s="1151">
        <v>89.4</v>
      </c>
      <c r="H25" s="1151">
        <v>88.7</v>
      </c>
    </row>
    <row r="26" spans="1:8" ht="27.25" customHeight="1">
      <c r="B26" s="1393" t="s">
        <v>1012</v>
      </c>
      <c r="C26" s="1393"/>
      <c r="D26" s="1134" t="s">
        <v>1013</v>
      </c>
      <c r="E26" s="1134"/>
      <c r="F26" s="1151">
        <v>82.4</v>
      </c>
      <c r="G26" s="1151">
        <v>75.5</v>
      </c>
      <c r="H26" s="1151">
        <v>81.900000000000006</v>
      </c>
    </row>
    <row r="27" spans="1:8" ht="27.25" customHeight="1">
      <c r="B27" s="1393" t="s">
        <v>1014</v>
      </c>
      <c r="C27" s="1393"/>
      <c r="D27" s="1134" t="s">
        <v>1015</v>
      </c>
      <c r="E27" s="1134"/>
      <c r="F27" s="1151">
        <v>80.7</v>
      </c>
      <c r="G27" s="1151">
        <v>80.5</v>
      </c>
      <c r="H27" s="1151">
        <v>80.2</v>
      </c>
    </row>
    <row r="28" spans="1:8" ht="27.25" customHeight="1">
      <c r="B28" s="1393" t="s">
        <v>1016</v>
      </c>
      <c r="C28" s="1393"/>
      <c r="D28" s="1134" t="s">
        <v>1017</v>
      </c>
      <c r="E28" s="1134"/>
      <c r="F28" s="1151">
        <v>81.8</v>
      </c>
      <c r="G28" s="1151">
        <v>82.6</v>
      </c>
      <c r="H28" s="1151">
        <v>83.2</v>
      </c>
    </row>
    <row r="29" spans="1:8" ht="20.25" customHeight="1">
      <c r="B29" s="1147" t="s">
        <v>255</v>
      </c>
      <c r="C29" s="1148"/>
      <c r="D29" s="1134"/>
      <c r="E29" s="1134"/>
      <c r="F29" s="1153"/>
      <c r="G29" s="1153"/>
      <c r="H29" s="1153"/>
    </row>
    <row r="30" spans="1:8" ht="27.25" customHeight="1">
      <c r="A30" s="1154"/>
      <c r="B30" s="1393" t="s">
        <v>1018</v>
      </c>
      <c r="C30" s="1393"/>
      <c r="D30" s="1134" t="s">
        <v>1019</v>
      </c>
      <c r="E30" s="1134"/>
      <c r="F30" s="1151">
        <v>76.2</v>
      </c>
      <c r="G30" s="1151">
        <v>77.8</v>
      </c>
      <c r="H30" s="1151">
        <v>77.7</v>
      </c>
    </row>
    <row r="31" spans="1:8" ht="27.25" customHeight="1">
      <c r="A31" s="1154"/>
      <c r="B31" s="1393" t="s">
        <v>1020</v>
      </c>
      <c r="C31" s="1393"/>
      <c r="D31" s="1134" t="s">
        <v>1021</v>
      </c>
      <c r="E31" s="1134"/>
      <c r="F31" s="1151">
        <v>78.599999999999994</v>
      </c>
      <c r="G31" s="1151">
        <v>79.2</v>
      </c>
      <c r="H31" s="1151">
        <v>78.2</v>
      </c>
    </row>
    <row r="32" spans="1:8" ht="20.25" customHeight="1">
      <c r="B32" s="1147" t="s">
        <v>256</v>
      </c>
      <c r="C32" s="1148"/>
      <c r="D32" s="1134"/>
      <c r="E32" s="1134"/>
      <c r="F32" s="1153"/>
      <c r="G32" s="1153"/>
      <c r="H32" s="1153"/>
    </row>
    <row r="33" spans="1:8" ht="27.25" customHeight="1">
      <c r="B33" s="1393" t="s">
        <v>1022</v>
      </c>
      <c r="C33" s="1393"/>
      <c r="D33" s="1134" t="s">
        <v>1023</v>
      </c>
      <c r="E33" s="1134"/>
      <c r="F33" s="1151">
        <v>78.3</v>
      </c>
      <c r="G33" s="1151">
        <v>79.900000000000006</v>
      </c>
      <c r="H33" s="1151">
        <v>79.2</v>
      </c>
    </row>
    <row r="34" spans="1:8" ht="27.25" customHeight="1">
      <c r="B34" s="1393" t="s">
        <v>1024</v>
      </c>
      <c r="C34" s="1393"/>
      <c r="D34" s="1134" t="s">
        <v>1025</v>
      </c>
      <c r="E34" s="1134"/>
      <c r="F34" s="1151">
        <v>80.7</v>
      </c>
      <c r="G34" s="1151">
        <v>82.1</v>
      </c>
      <c r="H34" s="1151">
        <v>25.1</v>
      </c>
    </row>
    <row r="35" spans="1:8" ht="27.25" customHeight="1">
      <c r="A35" s="1152"/>
      <c r="B35" s="1393" t="s">
        <v>1026</v>
      </c>
      <c r="C35" s="1393"/>
      <c r="D35" s="1134" t="s">
        <v>1027</v>
      </c>
      <c r="E35" s="1134"/>
      <c r="F35" s="1151">
        <v>81.599999999999994</v>
      </c>
      <c r="G35" s="1151">
        <v>83.9</v>
      </c>
      <c r="H35" s="1151">
        <v>81.599999999999994</v>
      </c>
    </row>
    <row r="36" spans="1:8" ht="20.25" customHeight="1">
      <c r="B36" s="1147" t="s">
        <v>257</v>
      </c>
      <c r="C36" s="1148"/>
      <c r="D36" s="1134"/>
      <c r="E36" s="1134"/>
      <c r="F36" s="1153"/>
      <c r="G36" s="1153"/>
      <c r="H36" s="1153"/>
    </row>
    <row r="37" spans="1:8" ht="27.25" customHeight="1">
      <c r="A37" s="1154"/>
      <c r="B37" s="1393" t="s">
        <v>1083</v>
      </c>
      <c r="C37" s="1393"/>
      <c r="D37" s="1134" t="s">
        <v>1029</v>
      </c>
      <c r="E37" s="1134"/>
      <c r="F37" s="1151">
        <v>81.400000000000006</v>
      </c>
      <c r="G37" s="1151">
        <v>82.8</v>
      </c>
      <c r="H37" s="1151">
        <v>83.6</v>
      </c>
    </row>
    <row r="38" spans="1:8" s="1109" customFormat="1" ht="20.25" customHeight="1">
      <c r="A38" s="1138"/>
      <c r="B38" s="1147" t="s">
        <v>258</v>
      </c>
      <c r="C38" s="1147"/>
      <c r="D38" s="1132"/>
      <c r="E38" s="1132"/>
      <c r="F38" s="1155"/>
      <c r="G38" s="1100"/>
      <c r="H38" s="1100"/>
    </row>
    <row r="39" spans="1:8" s="1109" customFormat="1" ht="27.25" customHeight="1">
      <c r="A39" s="1154"/>
      <c r="B39" s="1393" t="s">
        <v>1030</v>
      </c>
      <c r="C39" s="1393"/>
      <c r="D39" s="1134" t="s">
        <v>1031</v>
      </c>
      <c r="E39" s="1134"/>
      <c r="F39" s="1151">
        <v>71.8</v>
      </c>
      <c r="G39" s="1151">
        <v>72.5</v>
      </c>
      <c r="H39" s="1151">
        <v>72.900000000000006</v>
      </c>
    </row>
    <row r="40" spans="1:8" s="1109" customFormat="1" ht="27.25" customHeight="1">
      <c r="A40" s="1154"/>
      <c r="B40" s="1393" t="s">
        <v>1032</v>
      </c>
      <c r="C40" s="1393"/>
      <c r="D40" s="1134" t="s">
        <v>1031</v>
      </c>
      <c r="E40" s="1134"/>
      <c r="F40" s="1151">
        <v>79.099999999999994</v>
      </c>
      <c r="G40" s="1151">
        <v>78.5</v>
      </c>
      <c r="H40" s="1151">
        <v>75.2</v>
      </c>
    </row>
    <row r="41" spans="1:8" s="1109" customFormat="1" ht="29.25" customHeight="1" thickBot="1">
      <c r="A41" s="1154"/>
      <c r="B41" s="1402" t="s">
        <v>1033</v>
      </c>
      <c r="C41" s="1402"/>
      <c r="D41" s="1156" t="s">
        <v>1034</v>
      </c>
      <c r="E41" s="1156"/>
      <c r="F41" s="1157">
        <v>79.099999999999994</v>
      </c>
      <c r="G41" s="1157">
        <v>78.5</v>
      </c>
      <c r="H41" s="1157">
        <v>75.2</v>
      </c>
    </row>
    <row r="42" spans="1:8" s="1109" customFormat="1" ht="15">
      <c r="A42" s="1138"/>
      <c r="B42" s="839"/>
      <c r="C42" s="839"/>
      <c r="D42" s="839"/>
      <c r="E42" s="839"/>
      <c r="F42" s="1139"/>
      <c r="G42" s="1139"/>
      <c r="H42" s="1158" t="s">
        <v>1003</v>
      </c>
    </row>
    <row r="43" spans="1:8" s="1109" customFormat="1" ht="15">
      <c r="A43" s="1138"/>
      <c r="B43" s="839"/>
      <c r="C43" s="839"/>
      <c r="D43" s="839"/>
      <c r="E43" s="839"/>
      <c r="F43" s="1139"/>
      <c r="G43" s="1139"/>
      <c r="H43" s="1159" t="s">
        <v>1004</v>
      </c>
    </row>
    <row r="44" spans="1:8" s="1109" customFormat="1" ht="15">
      <c r="A44" s="1138"/>
      <c r="B44" s="839"/>
      <c r="C44" s="839"/>
      <c r="D44" s="839"/>
      <c r="E44" s="839"/>
      <c r="F44" s="1139"/>
      <c r="G44" s="1139"/>
      <c r="H44" s="1139"/>
    </row>
    <row r="45" spans="1:8" s="1109" customFormat="1" ht="15">
      <c r="A45" s="1138"/>
      <c r="B45" s="1117" t="s">
        <v>1005</v>
      </c>
      <c r="C45" s="1117"/>
      <c r="D45" s="1117"/>
      <c r="E45" s="1117"/>
      <c r="F45" s="1160"/>
      <c r="G45" s="1160"/>
      <c r="H45" s="1160"/>
    </row>
    <row r="46" spans="1:8" s="1109" customFormat="1" ht="15">
      <c r="A46" s="1076" t="s">
        <v>34</v>
      </c>
      <c r="B46" s="1117" t="s">
        <v>1006</v>
      </c>
      <c r="C46" s="1117"/>
      <c r="D46" s="1117"/>
      <c r="E46" s="1117"/>
      <c r="F46" s="1160"/>
      <c r="G46" s="1160"/>
      <c r="H46" s="1160"/>
    </row>
    <row r="47" spans="1:8" s="1109" customFormat="1" ht="15">
      <c r="A47" s="1076" t="s">
        <v>37</v>
      </c>
      <c r="B47" s="1119" t="s">
        <v>1007</v>
      </c>
      <c r="C47" s="1119"/>
      <c r="D47" s="1122"/>
      <c r="E47" s="1122"/>
      <c r="F47" s="1160"/>
      <c r="G47" s="1160"/>
      <c r="H47" s="1160"/>
    </row>
    <row r="48" spans="1:8" s="1109" customFormat="1" ht="29.25" customHeight="1">
      <c r="A48" s="1085" t="s">
        <v>272</v>
      </c>
      <c r="B48" s="1403" t="s">
        <v>1066</v>
      </c>
      <c r="C48" s="1403"/>
      <c r="D48" s="1403"/>
      <c r="E48" s="1403"/>
      <c r="F48" s="1403"/>
      <c r="G48" s="1403"/>
      <c r="H48" s="1403"/>
    </row>
    <row r="49" spans="1:8" s="1109" customFormat="1" ht="15">
      <c r="A49" s="1138"/>
      <c r="B49" s="1122"/>
      <c r="C49" s="1122"/>
      <c r="D49" s="1117"/>
      <c r="E49" s="1117"/>
      <c r="F49" s="1160"/>
      <c r="G49" s="1160"/>
      <c r="H49" s="1160"/>
    </row>
  </sheetData>
  <mergeCells count="31">
    <mergeCell ref="B17:C17"/>
    <mergeCell ref="G4:H4"/>
    <mergeCell ref="B5:C6"/>
    <mergeCell ref="D5:D6"/>
    <mergeCell ref="F5:H5"/>
    <mergeCell ref="B8:C8"/>
    <mergeCell ref="B9:C9"/>
    <mergeCell ref="B10:C10"/>
    <mergeCell ref="B11:C11"/>
    <mergeCell ref="B13:C13"/>
    <mergeCell ref="B14:C14"/>
    <mergeCell ref="B16:C16"/>
    <mergeCell ref="B33:C33"/>
    <mergeCell ref="B18:C18"/>
    <mergeCell ref="B20:C20"/>
    <mergeCell ref="B21:C21"/>
    <mergeCell ref="B22:C22"/>
    <mergeCell ref="B24:C24"/>
    <mergeCell ref="B25:C25"/>
    <mergeCell ref="B26:C26"/>
    <mergeCell ref="B27:C27"/>
    <mergeCell ref="B28:C28"/>
    <mergeCell ref="B30:C30"/>
    <mergeCell ref="B31:C31"/>
    <mergeCell ref="B48:H48"/>
    <mergeCell ref="B34:C34"/>
    <mergeCell ref="B35:C35"/>
    <mergeCell ref="B37:C37"/>
    <mergeCell ref="B39:C39"/>
    <mergeCell ref="B40:C40"/>
    <mergeCell ref="B41:C41"/>
  </mergeCells>
  <pageMargins left="0.55118110236220474" right="0.55118110236220474" top="0.55118110236220474" bottom="0.55118110236220474" header="0.55118110236220474" footer="0.55118110236220474"/>
  <pageSetup paperSize="9" scale="67" fitToWidth="0" fitToHeight="0"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E1EB5-8ADF-43A1-B8AC-A66288658EBC}">
  <sheetPr codeName="Sheet67">
    <pageSetUpPr fitToPage="1"/>
  </sheetPr>
  <dimension ref="A1:H36"/>
  <sheetViews>
    <sheetView view="pageBreakPreview" topLeftCell="A28" zoomScaleNormal="100" zoomScaleSheetLayoutView="100" workbookViewId="0">
      <selection activeCell="D60" sqref="D60"/>
    </sheetView>
  </sheetViews>
  <sheetFormatPr baseColWidth="10" defaultColWidth="8.6640625" defaultRowHeight="15"/>
  <cols>
    <col min="1" max="1" width="2.1640625" style="1109" customWidth="1"/>
    <col min="2" max="2" width="14.33203125" style="1109" customWidth="1"/>
    <col min="3" max="3" width="32" style="1109" customWidth="1"/>
    <col min="4" max="4" width="23.5" style="1109" customWidth="1"/>
    <col min="5" max="5" width="17.1640625" style="1109" customWidth="1"/>
    <col min="6" max="8" width="10.6640625" style="1109" customWidth="1"/>
    <col min="9" max="16384" width="8.6640625" style="1109"/>
  </cols>
  <sheetData>
    <row r="1" spans="1:8">
      <c r="A1" s="1138"/>
      <c r="B1" s="839"/>
      <c r="C1" s="839"/>
      <c r="D1" s="839"/>
      <c r="E1" s="839"/>
      <c r="F1" s="1139"/>
      <c r="G1" s="1139"/>
      <c r="H1" s="1139"/>
    </row>
    <row r="2" spans="1:8">
      <c r="A2" s="1138"/>
      <c r="B2" s="1123" t="s">
        <v>1085</v>
      </c>
      <c r="C2" s="1140" t="s">
        <v>1094</v>
      </c>
      <c r="D2" s="1140"/>
      <c r="E2" s="1140"/>
      <c r="F2" s="1140"/>
      <c r="G2" s="1140"/>
      <c r="H2" s="1140"/>
    </row>
    <row r="3" spans="1:8">
      <c r="A3" s="1138"/>
      <c r="B3" s="1125" t="s">
        <v>1087</v>
      </c>
      <c r="C3" s="1141" t="s">
        <v>1095</v>
      </c>
      <c r="D3" s="1141"/>
      <c r="E3" s="1141"/>
      <c r="F3" s="1141"/>
      <c r="G3" s="1141"/>
      <c r="H3" s="1141"/>
    </row>
    <row r="4" spans="1:8" ht="16" thickBot="1">
      <c r="A4" s="1138"/>
      <c r="B4" s="839"/>
      <c r="C4" s="839"/>
      <c r="D4" s="839"/>
      <c r="E4" s="839"/>
      <c r="F4" s="1142"/>
      <c r="H4" s="1143"/>
    </row>
    <row r="5" spans="1:8" ht="27.25" customHeight="1">
      <c r="A5" s="1138"/>
      <c r="B5" s="1418" t="s">
        <v>968</v>
      </c>
      <c r="C5" s="1418"/>
      <c r="D5" s="1420" t="s">
        <v>1089</v>
      </c>
      <c r="E5" s="1144"/>
      <c r="F5" s="1422"/>
      <c r="G5" s="1422"/>
      <c r="H5" s="1422"/>
    </row>
    <row r="6" spans="1:8" ht="46.5" customHeight="1" thickBot="1">
      <c r="A6" s="1138"/>
      <c r="B6" s="1419"/>
      <c r="C6" s="1419"/>
      <c r="D6" s="1421"/>
      <c r="E6" s="1145"/>
      <c r="F6" s="1146" t="s">
        <v>1090</v>
      </c>
      <c r="G6" s="1146" t="s">
        <v>1091</v>
      </c>
      <c r="H6" s="1146" t="s">
        <v>1092</v>
      </c>
    </row>
    <row r="7" spans="1:8" ht="27.25" customHeight="1">
      <c r="A7" s="1138"/>
      <c r="B7" s="1147" t="s">
        <v>259</v>
      </c>
      <c r="C7" s="1148"/>
      <c r="D7" s="1134"/>
      <c r="E7" s="1134"/>
      <c r="F7" s="1161"/>
      <c r="G7" s="1161"/>
      <c r="H7" s="1161"/>
    </row>
    <row r="8" spans="1:8" ht="27.25" customHeight="1">
      <c r="A8" s="1154"/>
      <c r="B8" s="1393" t="s">
        <v>1035</v>
      </c>
      <c r="C8" s="1393"/>
      <c r="D8" s="1134" t="s">
        <v>1036</v>
      </c>
      <c r="E8" s="1134"/>
      <c r="F8" s="1151">
        <v>85.5</v>
      </c>
      <c r="G8" s="1151">
        <v>85.8</v>
      </c>
      <c r="H8" s="1151">
        <v>85.3</v>
      </c>
    </row>
    <row r="9" spans="1:8" ht="27.25" customHeight="1">
      <c r="A9" s="1154"/>
      <c r="B9" s="1393" t="s">
        <v>1037</v>
      </c>
      <c r="C9" s="1393"/>
      <c r="D9" s="1134" t="s">
        <v>1038</v>
      </c>
      <c r="E9" s="1134"/>
      <c r="F9" s="1151">
        <v>81.099999999999994</v>
      </c>
      <c r="G9" s="1151">
        <v>82.4</v>
      </c>
      <c r="H9" s="1151">
        <v>82.2</v>
      </c>
    </row>
    <row r="10" spans="1:8" ht="27.25" customHeight="1">
      <c r="A10" s="1154"/>
      <c r="B10" s="1416" t="s">
        <v>260</v>
      </c>
      <c r="C10" s="1416"/>
      <c r="D10" s="1134"/>
      <c r="E10" s="1134"/>
      <c r="F10" s="1151"/>
      <c r="G10" s="1151"/>
      <c r="H10" s="1151"/>
    </row>
    <row r="11" spans="1:8" ht="27.25" customHeight="1">
      <c r="A11" s="1152"/>
      <c r="B11" s="1393" t="s">
        <v>1039</v>
      </c>
      <c r="C11" s="1393"/>
      <c r="D11" s="1134" t="s">
        <v>1040</v>
      </c>
      <c r="E11" s="1134"/>
      <c r="F11" s="1151">
        <v>80.2</v>
      </c>
      <c r="G11" s="1151">
        <v>81.7</v>
      </c>
      <c r="H11" s="1151">
        <v>82.3</v>
      </c>
    </row>
    <row r="12" spans="1:8" ht="27.25" customHeight="1">
      <c r="A12" s="1152"/>
      <c r="B12" s="1393" t="s">
        <v>1041</v>
      </c>
      <c r="C12" s="1393"/>
      <c r="D12" s="1134" t="s">
        <v>1042</v>
      </c>
      <c r="E12" s="1134"/>
      <c r="F12" s="1151">
        <v>78.7</v>
      </c>
      <c r="G12" s="1151">
        <v>82.4</v>
      </c>
      <c r="H12" s="1151">
        <v>82.7</v>
      </c>
    </row>
    <row r="13" spans="1:8" ht="27.25" customHeight="1">
      <c r="A13" s="1154"/>
      <c r="B13" s="1393" t="s">
        <v>1043</v>
      </c>
      <c r="C13" s="1393"/>
      <c r="D13" s="1134" t="s">
        <v>1044</v>
      </c>
      <c r="E13" s="1134"/>
      <c r="F13" s="1151">
        <v>81.2</v>
      </c>
      <c r="G13" s="1151">
        <v>82.9</v>
      </c>
      <c r="H13" s="1151">
        <v>84.5</v>
      </c>
    </row>
    <row r="14" spans="1:8" ht="27.25" customHeight="1">
      <c r="A14" s="1154"/>
      <c r="B14" s="1393" t="s">
        <v>1045</v>
      </c>
      <c r="C14" s="1393"/>
      <c r="D14" s="1134" t="s">
        <v>1046</v>
      </c>
      <c r="E14" s="1134"/>
      <c r="F14" s="1151">
        <v>80.3</v>
      </c>
      <c r="G14" s="1151">
        <v>82.3</v>
      </c>
      <c r="H14" s="1151">
        <v>82.7</v>
      </c>
    </row>
    <row r="15" spans="1:8" ht="27.25" customHeight="1">
      <c r="A15" s="1154"/>
      <c r="B15" s="1393" t="s">
        <v>1047</v>
      </c>
      <c r="C15" s="1393"/>
      <c r="D15" s="1134" t="s">
        <v>1048</v>
      </c>
      <c r="E15" s="1134"/>
      <c r="F15" s="1151">
        <v>80.900000000000006</v>
      </c>
      <c r="G15" s="1151">
        <v>82.3</v>
      </c>
      <c r="H15" s="1151">
        <v>83.7</v>
      </c>
    </row>
    <row r="16" spans="1:8" ht="27.25" customHeight="1">
      <c r="A16" s="1154"/>
      <c r="B16" s="1393" t="s">
        <v>1049</v>
      </c>
      <c r="C16" s="1393"/>
      <c r="D16" s="1134" t="s">
        <v>1050</v>
      </c>
      <c r="E16" s="1134"/>
      <c r="F16" s="1151">
        <v>82</v>
      </c>
      <c r="G16" s="1151">
        <v>85</v>
      </c>
      <c r="H16" s="1151">
        <v>86</v>
      </c>
    </row>
    <row r="17" spans="1:8" ht="27.25" customHeight="1">
      <c r="A17" s="1138"/>
      <c r="B17" s="1147" t="s">
        <v>261</v>
      </c>
      <c r="C17" s="1148"/>
      <c r="D17" s="1134"/>
      <c r="E17" s="1134"/>
      <c r="F17" s="1153"/>
      <c r="G17" s="1153"/>
      <c r="H17" s="1153"/>
    </row>
    <row r="18" spans="1:8" ht="27.25" customHeight="1">
      <c r="A18" s="1154"/>
      <c r="B18" s="1393" t="s">
        <v>1051</v>
      </c>
      <c r="C18" s="1393"/>
      <c r="D18" s="1134" t="s">
        <v>1052</v>
      </c>
      <c r="E18" s="1134"/>
      <c r="F18" s="1151">
        <v>86</v>
      </c>
      <c r="G18" s="1151">
        <v>87.4</v>
      </c>
      <c r="H18" s="1151">
        <v>85.6</v>
      </c>
    </row>
    <row r="19" spans="1:8" ht="27.25" customHeight="1">
      <c r="A19" s="1154"/>
      <c r="B19" s="1393" t="s">
        <v>1053</v>
      </c>
      <c r="C19" s="1393"/>
      <c r="D19" s="1134" t="s">
        <v>1054</v>
      </c>
      <c r="E19" s="1134"/>
      <c r="F19" s="1151">
        <v>86.1</v>
      </c>
      <c r="G19" s="1151">
        <v>86.6</v>
      </c>
      <c r="H19" s="1151">
        <v>86</v>
      </c>
    </row>
    <row r="20" spans="1:8" ht="27.25" customHeight="1">
      <c r="A20" s="1154"/>
      <c r="B20" s="1393" t="s">
        <v>1055</v>
      </c>
      <c r="C20" s="1393"/>
      <c r="D20" s="1134" t="s">
        <v>1056</v>
      </c>
      <c r="E20" s="1134"/>
      <c r="F20" s="1151">
        <v>84</v>
      </c>
      <c r="G20" s="1151">
        <v>86.8</v>
      </c>
      <c r="H20" s="1151">
        <v>85.2</v>
      </c>
    </row>
    <row r="21" spans="1:8" ht="27.25" customHeight="1">
      <c r="A21" s="1154"/>
      <c r="B21" s="1393" t="s">
        <v>1057</v>
      </c>
      <c r="C21" s="1393"/>
      <c r="D21" s="1134" t="s">
        <v>1058</v>
      </c>
      <c r="E21" s="1134"/>
      <c r="F21" s="1151">
        <v>84</v>
      </c>
      <c r="G21" s="1151">
        <v>84</v>
      </c>
      <c r="H21" s="1151">
        <v>85.3</v>
      </c>
    </row>
    <row r="22" spans="1:8" ht="27.25" customHeight="1">
      <c r="A22" s="1154"/>
      <c r="B22" s="1393" t="s">
        <v>1059</v>
      </c>
      <c r="C22" s="1393"/>
      <c r="D22" s="1134" t="s">
        <v>1060</v>
      </c>
      <c r="E22" s="1134"/>
      <c r="F22" s="1151">
        <v>84.4</v>
      </c>
      <c r="G22" s="1151">
        <v>86.1</v>
      </c>
      <c r="H22" s="1151">
        <v>85.4</v>
      </c>
    </row>
    <row r="23" spans="1:8" ht="27.25" customHeight="1">
      <c r="A23" s="1154"/>
      <c r="B23" s="1393" t="s">
        <v>1061</v>
      </c>
      <c r="C23" s="1393"/>
      <c r="D23" s="1134" t="s">
        <v>1060</v>
      </c>
      <c r="E23" s="1134"/>
      <c r="F23" s="1151">
        <v>85.1</v>
      </c>
      <c r="G23" s="1151">
        <v>87.7</v>
      </c>
      <c r="H23" s="1151">
        <v>86</v>
      </c>
    </row>
    <row r="24" spans="1:8" ht="27.25" customHeight="1">
      <c r="A24" s="1154"/>
      <c r="B24" s="1393" t="s">
        <v>1062</v>
      </c>
      <c r="C24" s="1393"/>
      <c r="D24" s="1134" t="s">
        <v>1063</v>
      </c>
      <c r="E24" s="1134"/>
      <c r="F24" s="1151">
        <v>85.1</v>
      </c>
      <c r="G24" s="1151">
        <v>87.7</v>
      </c>
      <c r="H24" s="1151">
        <v>86</v>
      </c>
    </row>
    <row r="25" spans="1:8" ht="27.25" customHeight="1">
      <c r="A25" s="1154"/>
      <c r="B25" s="1393" t="s">
        <v>1064</v>
      </c>
      <c r="C25" s="1393"/>
      <c r="D25" s="1134" t="s">
        <v>1065</v>
      </c>
      <c r="E25" s="1134"/>
      <c r="F25" s="1151">
        <v>85.2</v>
      </c>
      <c r="G25" s="1151">
        <v>87.7</v>
      </c>
      <c r="H25" s="1151">
        <v>86.8</v>
      </c>
    </row>
    <row r="26" spans="1:8" ht="27.25" customHeight="1">
      <c r="A26" s="1138"/>
      <c r="B26" s="1147" t="s">
        <v>263</v>
      </c>
      <c r="C26" s="1148"/>
      <c r="D26" s="1134"/>
      <c r="E26" s="1134"/>
      <c r="F26" s="1153"/>
      <c r="G26" s="1153"/>
      <c r="H26" s="1153"/>
    </row>
    <row r="27" spans="1:8" ht="27.25" customHeight="1">
      <c r="A27" s="1154"/>
      <c r="B27" s="1393" t="s">
        <v>1068</v>
      </c>
      <c r="C27" s="1393"/>
      <c r="D27" s="1134" t="s">
        <v>1069</v>
      </c>
      <c r="E27" s="1134"/>
      <c r="F27" s="1151">
        <v>79.7</v>
      </c>
      <c r="G27" s="1151">
        <v>83.1</v>
      </c>
      <c r="H27" s="1151">
        <v>25.1</v>
      </c>
    </row>
    <row r="28" spans="1:8" ht="16" thickBot="1">
      <c r="A28" s="1154"/>
      <c r="B28" s="1162"/>
      <c r="C28" s="1162"/>
      <c r="D28" s="1145"/>
      <c r="E28" s="1145"/>
      <c r="F28" s="1163"/>
      <c r="G28" s="1163"/>
      <c r="H28" s="1163"/>
    </row>
    <row r="29" spans="1:8">
      <c r="A29" s="1138"/>
      <c r="B29" s="839"/>
      <c r="C29" s="839"/>
      <c r="D29" s="839"/>
      <c r="E29" s="839"/>
      <c r="F29" s="1139"/>
      <c r="G29" s="1139"/>
      <c r="H29" s="1158" t="s">
        <v>1003</v>
      </c>
    </row>
    <row r="30" spans="1:8">
      <c r="A30" s="1138"/>
      <c r="B30" s="839"/>
      <c r="C30" s="839"/>
      <c r="D30" s="839"/>
      <c r="E30" s="839"/>
      <c r="F30" s="1139"/>
      <c r="G30" s="1139"/>
      <c r="H30" s="1159" t="s">
        <v>1004</v>
      </c>
    </row>
    <row r="31" spans="1:8">
      <c r="A31" s="1138"/>
      <c r="B31" s="839"/>
      <c r="C31" s="839"/>
      <c r="D31" s="839"/>
      <c r="E31" s="839"/>
      <c r="F31" s="1139"/>
      <c r="G31" s="1139"/>
      <c r="H31" s="1139"/>
    </row>
    <row r="32" spans="1:8">
      <c r="A32" s="1138"/>
      <c r="B32" s="1117" t="s">
        <v>1005</v>
      </c>
      <c r="C32" s="1117"/>
      <c r="D32" s="1117"/>
      <c r="E32" s="1117"/>
      <c r="F32" s="1160"/>
      <c r="G32" s="1160"/>
      <c r="H32" s="1160"/>
    </row>
    <row r="33" spans="1:8">
      <c r="A33" s="1076" t="s">
        <v>34</v>
      </c>
      <c r="B33" s="1117" t="s">
        <v>1006</v>
      </c>
      <c r="C33" s="1117"/>
      <c r="D33" s="1117"/>
      <c r="E33" s="1117"/>
      <c r="F33" s="1160"/>
      <c r="G33" s="1160"/>
      <c r="H33" s="1160"/>
    </row>
    <row r="34" spans="1:8">
      <c r="A34" s="1076" t="s">
        <v>37</v>
      </c>
      <c r="B34" s="1119" t="s">
        <v>1007</v>
      </c>
      <c r="C34" s="1119"/>
      <c r="D34" s="1122"/>
      <c r="E34" s="1122"/>
      <c r="F34" s="1160"/>
      <c r="G34" s="1160"/>
      <c r="H34" s="1160"/>
    </row>
    <row r="35" spans="1:8" ht="29.25" customHeight="1">
      <c r="A35" s="1085" t="s">
        <v>272</v>
      </c>
      <c r="B35" s="1403" t="s">
        <v>1066</v>
      </c>
      <c r="C35" s="1403"/>
      <c r="D35" s="1403"/>
      <c r="E35" s="1403"/>
      <c r="F35" s="1403"/>
      <c r="G35" s="1403"/>
      <c r="H35" s="1403"/>
    </row>
    <row r="36" spans="1:8">
      <c r="A36" s="1138"/>
      <c r="B36" s="1122"/>
      <c r="C36" s="1122"/>
      <c r="D36" s="1117"/>
      <c r="E36" s="1117"/>
      <c r="F36" s="1160"/>
      <c r="G36" s="1160"/>
      <c r="H36" s="1160"/>
    </row>
  </sheetData>
  <mergeCells count="22">
    <mergeCell ref="B16:C16"/>
    <mergeCell ref="B5:C6"/>
    <mergeCell ref="D5:D6"/>
    <mergeCell ref="F5:H5"/>
    <mergeCell ref="B8:C8"/>
    <mergeCell ref="B9:C9"/>
    <mergeCell ref="B10:C10"/>
    <mergeCell ref="B11:C11"/>
    <mergeCell ref="B12:C12"/>
    <mergeCell ref="B13:C13"/>
    <mergeCell ref="B14:C14"/>
    <mergeCell ref="B15:C15"/>
    <mergeCell ref="B24:C24"/>
    <mergeCell ref="B25:C25"/>
    <mergeCell ref="B27:C27"/>
    <mergeCell ref="B35:H35"/>
    <mergeCell ref="B18:C18"/>
    <mergeCell ref="B19:C19"/>
    <mergeCell ref="B20:C20"/>
    <mergeCell ref="B21:C21"/>
    <mergeCell ref="B22:C22"/>
    <mergeCell ref="B23:C23"/>
  </mergeCells>
  <pageMargins left="0.55118110236220474" right="0.55118110236220474" top="0.55118110236220474" bottom="0.55118110236220474" header="0.55118110236220474" footer="0.55118110236220474"/>
  <pageSetup paperSize="9" scale="70"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49410-20F5-4910-A881-83CC2A3C2CDC}">
  <sheetPr codeName="Sheet68"/>
  <dimension ref="A1:R78"/>
  <sheetViews>
    <sheetView view="pageBreakPreview" zoomScaleNormal="100" zoomScaleSheetLayoutView="100" workbookViewId="0">
      <selection activeCell="D60" sqref="D60"/>
    </sheetView>
  </sheetViews>
  <sheetFormatPr baseColWidth="10" defaultColWidth="8.83203125" defaultRowHeight="15"/>
  <cols>
    <col min="1" max="1" width="3.83203125" customWidth="1"/>
    <col min="3" max="3" width="20.83203125" customWidth="1"/>
    <col min="4" max="4" width="13.5" customWidth="1"/>
    <col min="5" max="5" width="37.1640625" customWidth="1"/>
    <col min="6" max="6" width="35.6640625" customWidth="1"/>
  </cols>
  <sheetData>
    <row r="1" spans="1:18" s="1164" customFormat="1" ht="8.25" customHeight="1">
      <c r="E1" s="1165"/>
      <c r="F1" s="1165"/>
      <c r="G1" s="1166"/>
    </row>
    <row r="2" spans="1:18" s="1164" customFormat="1" ht="8.25" customHeight="1">
      <c r="E2" s="1165"/>
      <c r="F2" s="1165"/>
      <c r="G2" s="1166"/>
    </row>
    <row r="3" spans="1:18" s="1168" customFormat="1" ht="16.5" customHeight="1">
      <c r="A3" s="816"/>
      <c r="B3" s="816" t="s">
        <v>1096</v>
      </c>
      <c r="C3" s="817" t="s">
        <v>1097</v>
      </c>
      <c r="D3" s="817"/>
      <c r="E3" s="1167"/>
      <c r="F3" s="1167"/>
      <c r="G3" s="816"/>
      <c r="H3" s="817"/>
      <c r="I3" s="817"/>
      <c r="J3" s="817"/>
      <c r="K3" s="817"/>
      <c r="L3" s="817"/>
      <c r="M3" s="817"/>
      <c r="N3" s="817"/>
      <c r="O3" s="817"/>
      <c r="P3" s="817"/>
      <c r="Q3" s="817"/>
      <c r="R3" s="817"/>
    </row>
    <row r="4" spans="1:18" s="1173" customFormat="1" ht="16.5" customHeight="1">
      <c r="A4" s="1169"/>
      <c r="B4" s="1169" t="s">
        <v>1098</v>
      </c>
      <c r="C4" s="1170" t="s">
        <v>1099</v>
      </c>
      <c r="D4" s="821"/>
      <c r="E4" s="1171"/>
      <c r="F4" s="1171"/>
      <c r="G4" s="1172"/>
      <c r="H4" s="821"/>
      <c r="I4" s="821"/>
      <c r="J4" s="821"/>
      <c r="K4" s="821"/>
      <c r="L4" s="821"/>
      <c r="M4" s="821"/>
      <c r="N4" s="821"/>
      <c r="O4" s="821"/>
      <c r="P4" s="821"/>
      <c r="Q4" s="821"/>
      <c r="R4" s="821"/>
    </row>
    <row r="5" spans="1:18" s="1164" customFormat="1" ht="12" customHeight="1" thickBot="1">
      <c r="E5" s="1165"/>
      <c r="F5" s="1165"/>
      <c r="G5" s="1166"/>
      <c r="J5" s="1174"/>
      <c r="L5" s="1174"/>
    </row>
    <row r="6" spans="1:18" s="1164" customFormat="1" ht="21.25" customHeight="1">
      <c r="A6" s="1175"/>
      <c r="B6" s="1176" t="s">
        <v>818</v>
      </c>
      <c r="C6" s="1177"/>
      <c r="D6" s="1423" t="s">
        <v>1100</v>
      </c>
      <c r="E6" s="1178" t="s">
        <v>1101</v>
      </c>
      <c r="F6" s="1178" t="s">
        <v>1102</v>
      </c>
      <c r="G6" s="1179"/>
    </row>
    <row r="7" spans="1:18" s="1164" customFormat="1" ht="21.25" customHeight="1" thickBot="1">
      <c r="A7" s="1180"/>
      <c r="B7" s="1180" t="s">
        <v>821</v>
      </c>
      <c r="C7" s="1181"/>
      <c r="D7" s="1424"/>
      <c r="E7" s="1182" t="s">
        <v>1103</v>
      </c>
      <c r="F7" s="1182" t="s">
        <v>1104</v>
      </c>
      <c r="G7" s="1183"/>
    </row>
    <row r="8" spans="1:18" s="1164" customFormat="1" ht="8.25" customHeight="1">
      <c r="A8" s="1184"/>
      <c r="B8" s="1184"/>
      <c r="C8" s="1184"/>
      <c r="D8" s="1184"/>
      <c r="E8" s="1185"/>
      <c r="F8" s="1185"/>
      <c r="G8" s="1183"/>
    </row>
    <row r="9" spans="1:18" s="1164" customFormat="1" ht="14.25" customHeight="1">
      <c r="A9" s="1186"/>
      <c r="B9" s="1186" t="s">
        <v>776</v>
      </c>
      <c r="C9" s="1186"/>
      <c r="D9" s="1187">
        <v>2021</v>
      </c>
      <c r="E9" s="1188">
        <v>2645076</v>
      </c>
      <c r="F9" s="1188">
        <v>31016</v>
      </c>
      <c r="G9" s="1174"/>
    </row>
    <row r="10" spans="1:18" s="1164" customFormat="1" ht="14.25" customHeight="1">
      <c r="A10" s="1186"/>
      <c r="B10" s="1186"/>
      <c r="C10" s="1186"/>
      <c r="D10" s="1187">
        <v>2022</v>
      </c>
      <c r="E10" s="1188">
        <v>2645076</v>
      </c>
      <c r="F10" s="1188">
        <v>31016</v>
      </c>
      <c r="G10" s="1189"/>
    </row>
    <row r="11" spans="1:18" s="1164" customFormat="1" ht="15.75" customHeight="1">
      <c r="A11" s="1184"/>
      <c r="B11" s="1184"/>
      <c r="C11" s="1184"/>
      <c r="D11" s="1187">
        <v>2023</v>
      </c>
      <c r="E11" s="1188">
        <v>2645076</v>
      </c>
      <c r="F11" s="1188">
        <v>31016</v>
      </c>
      <c r="G11" s="1183"/>
    </row>
    <row r="12" spans="1:18" s="1164" customFormat="1" ht="15.75" customHeight="1">
      <c r="A12" s="1184"/>
      <c r="B12" s="1184"/>
      <c r="C12" s="1184"/>
      <c r="D12" s="1187"/>
      <c r="E12" s="1190"/>
      <c r="F12" s="1190"/>
      <c r="G12" s="1183"/>
    </row>
    <row r="13" spans="1:18" s="1164" customFormat="1" ht="14.25" customHeight="1">
      <c r="A13" s="1191"/>
      <c r="B13" s="1191" t="s">
        <v>249</v>
      </c>
      <c r="C13" s="1192"/>
      <c r="D13" s="1192">
        <v>2021</v>
      </c>
      <c r="E13" s="1193">
        <v>239206</v>
      </c>
      <c r="F13" s="1193">
        <v>3824</v>
      </c>
      <c r="G13" s="1189"/>
      <c r="K13" s="1194"/>
    </row>
    <row r="14" spans="1:18" s="1164" customFormat="1" ht="14.25" customHeight="1">
      <c r="A14" s="1191"/>
      <c r="B14" s="1191"/>
      <c r="C14" s="1192"/>
      <c r="D14" s="1192">
        <v>2022</v>
      </c>
      <c r="E14" s="1193">
        <v>239206</v>
      </c>
      <c r="F14" s="1193">
        <v>3824</v>
      </c>
      <c r="G14" s="1189"/>
      <c r="K14" s="1194"/>
    </row>
    <row r="15" spans="1:18" s="1164" customFormat="1" ht="14.25" customHeight="1">
      <c r="A15" s="1191"/>
      <c r="B15" s="1191"/>
      <c r="C15" s="1192"/>
      <c r="D15" s="1192">
        <v>2023</v>
      </c>
      <c r="E15" s="1193">
        <v>239206</v>
      </c>
      <c r="F15" s="1193">
        <v>3824</v>
      </c>
      <c r="G15" s="1195"/>
      <c r="K15" s="1194"/>
    </row>
    <row r="16" spans="1:18" s="1164" customFormat="1" ht="8.25" customHeight="1">
      <c r="A16" s="1184"/>
      <c r="B16" s="1196"/>
      <c r="C16" s="1184"/>
      <c r="D16" s="1184"/>
      <c r="E16" s="1190"/>
      <c r="F16" s="1190"/>
      <c r="G16" s="1183"/>
    </row>
    <row r="17" spans="1:11" s="1164" customFormat="1" ht="14.25" customHeight="1">
      <c r="A17" s="1197"/>
      <c r="B17" s="1197" t="s">
        <v>250</v>
      </c>
      <c r="C17" s="1198"/>
      <c r="D17" s="1192">
        <v>2021</v>
      </c>
      <c r="E17" s="1193">
        <v>165362</v>
      </c>
      <c r="F17" s="1193">
        <v>2147</v>
      </c>
      <c r="G17" s="1195"/>
      <c r="K17" s="1194"/>
    </row>
    <row r="18" spans="1:11" s="1164" customFormat="1" ht="14.25" customHeight="1">
      <c r="A18" s="1197"/>
      <c r="B18" s="1197"/>
      <c r="C18" s="1198"/>
      <c r="D18" s="1192">
        <v>2022</v>
      </c>
      <c r="E18" s="1193">
        <v>239206</v>
      </c>
      <c r="F18" s="1193">
        <v>3824</v>
      </c>
      <c r="G18" s="1195"/>
      <c r="K18" s="1194"/>
    </row>
    <row r="19" spans="1:11" s="1164" customFormat="1" ht="14.25" customHeight="1">
      <c r="A19" s="1197"/>
      <c r="B19" s="1197"/>
      <c r="C19" s="1198"/>
      <c r="D19" s="1192">
        <v>2023</v>
      </c>
      <c r="E19" s="1193">
        <v>239206</v>
      </c>
      <c r="F19" s="1193">
        <v>3824</v>
      </c>
      <c r="G19" s="1166"/>
      <c r="K19" s="1194"/>
    </row>
    <row r="20" spans="1:11" s="1164" customFormat="1" ht="8.25" customHeight="1">
      <c r="A20" s="1184"/>
      <c r="B20" s="1196"/>
      <c r="C20" s="1184"/>
      <c r="D20" s="1184"/>
      <c r="E20" s="1190"/>
      <c r="F20" s="1190"/>
      <c r="G20" s="1183"/>
    </row>
    <row r="21" spans="1:11" s="1164" customFormat="1" ht="14.25" customHeight="1">
      <c r="A21" s="1197"/>
      <c r="B21" s="1197" t="s">
        <v>251</v>
      </c>
      <c r="C21" s="1198"/>
      <c r="D21" s="1192">
        <v>2021</v>
      </c>
      <c r="E21" s="1193">
        <v>168285</v>
      </c>
      <c r="F21" s="1193">
        <v>1237</v>
      </c>
      <c r="G21" s="1166"/>
      <c r="K21" s="1194"/>
    </row>
    <row r="22" spans="1:11" s="1164" customFormat="1" ht="14.25" customHeight="1">
      <c r="A22" s="1197"/>
      <c r="B22" s="1197"/>
      <c r="C22" s="1198"/>
      <c r="D22" s="1192">
        <v>2022</v>
      </c>
      <c r="E22" s="1193">
        <v>239206</v>
      </c>
      <c r="F22" s="1193">
        <v>3824</v>
      </c>
      <c r="G22" s="1166"/>
      <c r="K22" s="1194"/>
    </row>
    <row r="23" spans="1:11" s="1164" customFormat="1" ht="14.25" customHeight="1">
      <c r="A23" s="1197"/>
      <c r="B23" s="1197"/>
      <c r="C23" s="1198"/>
      <c r="D23" s="1192">
        <v>2023</v>
      </c>
      <c r="E23" s="1193">
        <v>239206</v>
      </c>
      <c r="F23" s="1193">
        <v>3824</v>
      </c>
      <c r="G23" s="1166"/>
      <c r="K23" s="1194"/>
    </row>
    <row r="24" spans="1:11" s="1164" customFormat="1" ht="8.25" customHeight="1">
      <c r="A24" s="1184"/>
      <c r="B24" s="1196"/>
      <c r="C24" s="1184"/>
      <c r="D24" s="1184"/>
      <c r="E24" s="1190"/>
      <c r="F24" s="1190"/>
      <c r="G24" s="1183"/>
    </row>
    <row r="25" spans="1:11" s="1164" customFormat="1" ht="14.25" customHeight="1">
      <c r="A25" s="1197"/>
      <c r="B25" s="1197" t="s">
        <v>252</v>
      </c>
      <c r="C25" s="1198"/>
      <c r="D25" s="1192">
        <v>2021</v>
      </c>
      <c r="E25" s="1193">
        <v>75065</v>
      </c>
      <c r="F25" s="1193">
        <v>947</v>
      </c>
      <c r="G25" s="1166"/>
      <c r="K25" s="1194"/>
    </row>
    <row r="26" spans="1:11" s="1164" customFormat="1" ht="14.25" customHeight="1">
      <c r="A26" s="1197"/>
      <c r="B26" s="1197"/>
      <c r="C26" s="1198"/>
      <c r="D26" s="1192">
        <v>2022</v>
      </c>
      <c r="E26" s="1193">
        <v>239206</v>
      </c>
      <c r="F26" s="1193">
        <v>3824</v>
      </c>
      <c r="G26" s="1166"/>
      <c r="K26" s="1194"/>
    </row>
    <row r="27" spans="1:11" s="1164" customFormat="1" ht="14.25" customHeight="1">
      <c r="A27" s="1197"/>
      <c r="B27" s="1197"/>
      <c r="C27" s="1198"/>
      <c r="D27" s="1192">
        <v>2023</v>
      </c>
      <c r="E27" s="1193">
        <v>239206</v>
      </c>
      <c r="F27" s="1193">
        <v>3824</v>
      </c>
      <c r="G27" s="1166"/>
      <c r="K27" s="1194"/>
    </row>
    <row r="28" spans="1:11" s="1164" customFormat="1" ht="8.25" customHeight="1">
      <c r="A28" s="1184"/>
      <c r="B28" s="1196"/>
      <c r="C28" s="1184"/>
      <c r="D28" s="1184"/>
      <c r="E28" s="1190"/>
      <c r="F28" s="1190"/>
      <c r="G28" s="1183"/>
    </row>
    <row r="29" spans="1:11" s="1164" customFormat="1" ht="14.25" customHeight="1">
      <c r="A29" s="1197"/>
      <c r="B29" s="1197" t="s">
        <v>253</v>
      </c>
      <c r="C29" s="1198"/>
      <c r="D29" s="1192">
        <v>2021</v>
      </c>
      <c r="E29" s="1199">
        <v>105736</v>
      </c>
      <c r="F29" s="1199">
        <v>1306</v>
      </c>
      <c r="G29" s="1166"/>
      <c r="K29" s="1194"/>
    </row>
    <row r="30" spans="1:11" s="1164" customFormat="1" ht="14.25" customHeight="1">
      <c r="A30" s="1197"/>
      <c r="B30" s="1197"/>
      <c r="C30" s="1198"/>
      <c r="D30" s="1192">
        <v>2022</v>
      </c>
      <c r="E30" s="1193">
        <v>239206</v>
      </c>
      <c r="F30" s="1193">
        <v>3824</v>
      </c>
      <c r="G30" s="1166"/>
      <c r="K30" s="1194"/>
    </row>
    <row r="31" spans="1:11" s="1164" customFormat="1" ht="14.25" customHeight="1">
      <c r="A31" s="1197"/>
      <c r="B31" s="1197"/>
      <c r="C31" s="1198"/>
      <c r="D31" s="1192">
        <v>2023</v>
      </c>
      <c r="E31" s="1193">
        <v>239206</v>
      </c>
      <c r="F31" s="1193">
        <v>3824</v>
      </c>
      <c r="G31" s="1166"/>
      <c r="K31" s="1200"/>
    </row>
    <row r="32" spans="1:11" s="1164" customFormat="1" ht="8.25" customHeight="1">
      <c r="A32" s="1184"/>
      <c r="B32" s="1196"/>
      <c r="C32" s="1184"/>
      <c r="D32" s="1184"/>
      <c r="E32" s="1190"/>
      <c r="F32" s="1190"/>
      <c r="G32" s="1183"/>
    </row>
    <row r="33" spans="1:7" s="1164" customFormat="1" ht="14.25" customHeight="1">
      <c r="A33" s="1197"/>
      <c r="B33" s="1197" t="s">
        <v>254</v>
      </c>
      <c r="C33" s="1198"/>
      <c r="D33" s="1192">
        <v>2021</v>
      </c>
      <c r="E33" s="1193">
        <v>93981</v>
      </c>
      <c r="F33" s="1193">
        <v>761</v>
      </c>
      <c r="G33" s="1166"/>
    </row>
    <row r="34" spans="1:7" s="1164" customFormat="1" ht="14.25" customHeight="1">
      <c r="A34" s="1197"/>
      <c r="B34" s="1197"/>
      <c r="C34" s="1198"/>
      <c r="D34" s="1192">
        <v>2022</v>
      </c>
      <c r="E34" s="1193">
        <v>239206</v>
      </c>
      <c r="F34" s="1193">
        <v>3824</v>
      </c>
      <c r="G34" s="1166"/>
    </row>
    <row r="35" spans="1:7" s="1164" customFormat="1" ht="14.25" customHeight="1">
      <c r="A35" s="1197"/>
      <c r="B35" s="1197"/>
      <c r="C35" s="1198"/>
      <c r="D35" s="1192">
        <v>2023</v>
      </c>
      <c r="E35" s="1193">
        <v>239206</v>
      </c>
      <c r="F35" s="1193">
        <v>3824</v>
      </c>
      <c r="G35" s="1166"/>
    </row>
    <row r="36" spans="1:7" s="1164" customFormat="1" ht="8.25" customHeight="1">
      <c r="A36" s="1184"/>
      <c r="B36" s="1196"/>
      <c r="C36" s="1184"/>
      <c r="D36" s="1184"/>
      <c r="E36" s="1190"/>
      <c r="F36" s="1190"/>
      <c r="G36" s="1183"/>
    </row>
    <row r="37" spans="1:7" s="1164" customFormat="1" ht="14.25" customHeight="1">
      <c r="A37" s="1197"/>
      <c r="B37" s="1197" t="s">
        <v>255</v>
      </c>
      <c r="C37" s="1198"/>
      <c r="D37" s="1192">
        <v>2021</v>
      </c>
      <c r="E37" s="1193">
        <v>157616</v>
      </c>
      <c r="F37" s="1193">
        <v>1736</v>
      </c>
      <c r="G37" s="1166"/>
    </row>
    <row r="38" spans="1:7" s="1164" customFormat="1" ht="14.25" customHeight="1">
      <c r="A38" s="1197"/>
      <c r="B38" s="1197"/>
      <c r="C38" s="1198"/>
      <c r="D38" s="1192">
        <v>2022</v>
      </c>
      <c r="E38" s="1193">
        <v>239206</v>
      </c>
      <c r="F38" s="1193">
        <v>3824</v>
      </c>
      <c r="G38" s="1166"/>
    </row>
    <row r="39" spans="1:7" s="1164" customFormat="1" ht="14.25" customHeight="1">
      <c r="A39" s="1197"/>
      <c r="B39" s="1197"/>
      <c r="C39" s="1198"/>
      <c r="D39" s="1192">
        <v>2023</v>
      </c>
      <c r="E39" s="1193">
        <v>239206</v>
      </c>
      <c r="F39" s="1193">
        <v>3824</v>
      </c>
      <c r="G39" s="1166"/>
    </row>
    <row r="40" spans="1:7" s="1164" customFormat="1" ht="8.25" customHeight="1">
      <c r="A40" s="1184"/>
      <c r="B40" s="1196"/>
      <c r="C40" s="1184"/>
      <c r="D40" s="1184"/>
      <c r="E40" s="1190"/>
      <c r="F40" s="1190"/>
      <c r="G40" s="1183"/>
    </row>
    <row r="41" spans="1:7" s="1164" customFormat="1" ht="14.25" customHeight="1">
      <c r="A41" s="1197"/>
      <c r="B41" s="1197" t="s">
        <v>256</v>
      </c>
      <c r="C41" s="1198"/>
      <c r="D41" s="1192">
        <v>2021</v>
      </c>
      <c r="E41" s="1193">
        <v>125844</v>
      </c>
      <c r="F41" s="1193">
        <v>1380</v>
      </c>
      <c r="G41" s="1166"/>
    </row>
    <row r="42" spans="1:7" s="1164" customFormat="1" ht="14.25" customHeight="1">
      <c r="A42" s="1197"/>
      <c r="B42" s="1197"/>
      <c r="C42" s="1198"/>
      <c r="D42" s="1192">
        <v>2022</v>
      </c>
      <c r="E42" s="1193">
        <v>239206</v>
      </c>
      <c r="F42" s="1193">
        <v>3824</v>
      </c>
      <c r="G42" s="1166"/>
    </row>
    <row r="43" spans="1:7" s="1164" customFormat="1" ht="14.25" customHeight="1">
      <c r="A43" s="1197"/>
      <c r="B43" s="1197"/>
      <c r="C43" s="1198"/>
      <c r="D43" s="1192">
        <v>2023</v>
      </c>
      <c r="E43" s="1193">
        <v>239206</v>
      </c>
      <c r="F43" s="1193">
        <v>3824</v>
      </c>
      <c r="G43" s="1166"/>
    </row>
    <row r="44" spans="1:7" s="1164" customFormat="1" ht="8.25" customHeight="1">
      <c r="A44" s="1184"/>
      <c r="B44" s="1196"/>
      <c r="C44" s="1184"/>
      <c r="D44" s="1184"/>
      <c r="E44" s="1190"/>
      <c r="F44" s="1190"/>
      <c r="G44" s="1183"/>
    </row>
    <row r="45" spans="1:7" s="1164" customFormat="1" ht="14.25" customHeight="1">
      <c r="A45" s="1201"/>
      <c r="B45" s="1201" t="s">
        <v>257</v>
      </c>
      <c r="C45" s="1198"/>
      <c r="D45" s="1192">
        <v>2021</v>
      </c>
      <c r="E45" s="1193">
        <v>7123</v>
      </c>
      <c r="F45" s="1193">
        <v>133</v>
      </c>
      <c r="G45" s="1166"/>
    </row>
    <row r="46" spans="1:7" s="1164" customFormat="1" ht="14.25" customHeight="1">
      <c r="A46" s="1201"/>
      <c r="B46" s="1201"/>
      <c r="C46" s="1198"/>
      <c r="D46" s="1192">
        <v>2022</v>
      </c>
      <c r="E46" s="1193">
        <v>239206</v>
      </c>
      <c r="F46" s="1193">
        <v>3824</v>
      </c>
      <c r="G46" s="1166"/>
    </row>
    <row r="47" spans="1:7" s="1164" customFormat="1" ht="14.25" customHeight="1">
      <c r="A47" s="1201"/>
      <c r="B47" s="1201"/>
      <c r="C47" s="1198"/>
      <c r="D47" s="1192">
        <v>2023</v>
      </c>
      <c r="E47" s="1193">
        <v>239206</v>
      </c>
      <c r="F47" s="1193">
        <v>3824</v>
      </c>
      <c r="G47" s="1166"/>
    </row>
    <row r="48" spans="1:7" s="1164" customFormat="1" ht="8.25" customHeight="1">
      <c r="A48" s="1184"/>
      <c r="B48" s="1196"/>
      <c r="C48" s="1184"/>
      <c r="D48" s="1184"/>
      <c r="E48" s="1190"/>
      <c r="F48" s="1190"/>
      <c r="G48" s="1183"/>
    </row>
    <row r="49" spans="1:7" s="1164" customFormat="1" ht="14.25" customHeight="1">
      <c r="A49" s="1197"/>
      <c r="B49" s="1197" t="s">
        <v>258</v>
      </c>
      <c r="C49" s="1198"/>
      <c r="D49" s="1192">
        <v>2021</v>
      </c>
      <c r="E49" s="1193">
        <v>754235</v>
      </c>
      <c r="F49" s="1193">
        <v>9912</v>
      </c>
      <c r="G49" s="1166"/>
    </row>
    <row r="50" spans="1:7" s="1164" customFormat="1" ht="14.25" customHeight="1">
      <c r="A50" s="1197"/>
      <c r="B50" s="1197"/>
      <c r="C50" s="1198"/>
      <c r="D50" s="1192">
        <v>2022</v>
      </c>
      <c r="E50" s="1193">
        <v>239206</v>
      </c>
      <c r="F50" s="1193">
        <v>3824</v>
      </c>
      <c r="G50" s="1166"/>
    </row>
    <row r="51" spans="1:7" s="1164" customFormat="1" ht="14.25" customHeight="1">
      <c r="A51" s="1197"/>
      <c r="B51" s="1197"/>
      <c r="C51" s="1198"/>
      <c r="D51" s="1192">
        <v>2023</v>
      </c>
      <c r="E51" s="1193">
        <v>239206</v>
      </c>
      <c r="F51" s="1193">
        <v>3824</v>
      </c>
      <c r="G51" s="1166"/>
    </row>
    <row r="52" spans="1:7" s="1164" customFormat="1" ht="8.25" customHeight="1">
      <c r="A52" s="1184"/>
      <c r="B52" s="1196"/>
      <c r="C52" s="1184"/>
      <c r="D52" s="1184"/>
      <c r="E52" s="1190"/>
      <c r="F52" s="1190"/>
      <c r="G52" s="1183"/>
    </row>
    <row r="53" spans="1:7" s="1164" customFormat="1" ht="14.25" customHeight="1">
      <c r="A53" s="1197"/>
      <c r="B53" s="1197" t="s">
        <v>259</v>
      </c>
      <c r="C53" s="1198"/>
      <c r="D53" s="1192">
        <v>2021</v>
      </c>
      <c r="E53" s="1199">
        <v>82355</v>
      </c>
      <c r="F53" s="1199">
        <v>707</v>
      </c>
      <c r="G53" s="1166"/>
    </row>
    <row r="54" spans="1:7" s="1164" customFormat="1" ht="14.25" customHeight="1">
      <c r="A54" s="1197"/>
      <c r="B54" s="1197"/>
      <c r="C54" s="1198"/>
      <c r="D54" s="1192">
        <v>2022</v>
      </c>
      <c r="E54" s="1193">
        <v>239206</v>
      </c>
      <c r="F54" s="1193">
        <v>3824</v>
      </c>
      <c r="G54" s="1166"/>
    </row>
    <row r="55" spans="1:7" s="1164" customFormat="1" ht="14.25" customHeight="1">
      <c r="A55" s="1197"/>
      <c r="B55" s="1197"/>
      <c r="C55" s="1198"/>
      <c r="D55" s="1192">
        <v>2023</v>
      </c>
      <c r="E55" s="1193">
        <v>239206</v>
      </c>
      <c r="F55" s="1193">
        <v>3824</v>
      </c>
      <c r="G55" s="1166"/>
    </row>
    <row r="56" spans="1:7" s="1164" customFormat="1" ht="8.25" customHeight="1">
      <c r="A56" s="1184"/>
      <c r="B56" s="1196"/>
      <c r="C56" s="1184"/>
      <c r="D56" s="1184"/>
      <c r="E56" s="1190"/>
      <c r="F56" s="1190"/>
      <c r="G56" s="1183"/>
    </row>
    <row r="57" spans="1:7" s="1164" customFormat="1" ht="14.25" customHeight="1">
      <c r="A57" s="1197"/>
      <c r="B57" s="1197" t="s">
        <v>260</v>
      </c>
      <c r="C57" s="1198"/>
      <c r="D57" s="1192">
        <v>2021</v>
      </c>
      <c r="E57" s="1202">
        <v>203492</v>
      </c>
      <c r="F57" s="1202">
        <v>2518</v>
      </c>
      <c r="G57" s="1166"/>
    </row>
    <row r="58" spans="1:7" s="1164" customFormat="1" ht="14.25" customHeight="1">
      <c r="A58" s="1197"/>
      <c r="B58" s="1197"/>
      <c r="C58" s="1198"/>
      <c r="D58" s="1192">
        <v>2022</v>
      </c>
      <c r="E58" s="1193">
        <v>239206</v>
      </c>
      <c r="F58" s="1193">
        <v>3824</v>
      </c>
      <c r="G58" s="1166"/>
    </row>
    <row r="59" spans="1:7" s="1164" customFormat="1" ht="14.25" customHeight="1">
      <c r="A59" s="1197"/>
      <c r="B59" s="1197"/>
      <c r="C59" s="1198"/>
      <c r="D59" s="1192">
        <v>2023</v>
      </c>
      <c r="E59" s="1193">
        <v>239206</v>
      </c>
      <c r="F59" s="1193">
        <v>3824</v>
      </c>
      <c r="G59" s="1166"/>
    </row>
    <row r="60" spans="1:7" s="1164" customFormat="1" ht="8.25" customHeight="1">
      <c r="A60" s="1184"/>
      <c r="B60" s="1196"/>
      <c r="C60" s="1184"/>
      <c r="D60" s="1184"/>
      <c r="E60" s="1190"/>
      <c r="F60" s="1190"/>
      <c r="G60" s="1183"/>
    </row>
    <row r="61" spans="1:7" s="1164" customFormat="1" ht="14.25" customHeight="1">
      <c r="A61" s="1197"/>
      <c r="B61" s="1197" t="s">
        <v>261</v>
      </c>
      <c r="C61" s="1198"/>
      <c r="D61" s="1192">
        <v>2021</v>
      </c>
      <c r="E61" s="1202">
        <v>251183</v>
      </c>
      <c r="F61" s="1202">
        <v>1596</v>
      </c>
      <c r="G61" s="1166"/>
    </row>
    <row r="62" spans="1:7" s="1164" customFormat="1" ht="14.25" customHeight="1">
      <c r="A62" s="1197"/>
      <c r="B62" s="1197"/>
      <c r="C62" s="1198"/>
      <c r="D62" s="1192">
        <v>2022</v>
      </c>
      <c r="E62" s="1193">
        <v>239206</v>
      </c>
      <c r="F62" s="1193">
        <v>3824</v>
      </c>
      <c r="G62" s="1166"/>
    </row>
    <row r="63" spans="1:7" s="1164" customFormat="1" ht="14.25" customHeight="1">
      <c r="A63" s="1197"/>
      <c r="B63" s="1197"/>
      <c r="C63" s="1198"/>
      <c r="D63" s="1192">
        <v>2023</v>
      </c>
      <c r="E63" s="1193">
        <v>239206</v>
      </c>
      <c r="F63" s="1193">
        <v>3824</v>
      </c>
      <c r="G63" s="1166"/>
    </row>
    <row r="64" spans="1:7" s="1164" customFormat="1" ht="8.25" customHeight="1">
      <c r="A64" s="1184"/>
      <c r="B64" s="1196"/>
      <c r="C64" s="1184"/>
      <c r="D64" s="1184"/>
      <c r="E64" s="1190"/>
      <c r="F64" s="1190"/>
      <c r="G64" s="1183"/>
    </row>
    <row r="65" spans="1:10" s="1164" customFormat="1" ht="14.25" customHeight="1">
      <c r="A65" s="1201"/>
      <c r="B65" s="1201" t="s">
        <v>262</v>
      </c>
      <c r="C65" s="1198"/>
      <c r="D65" s="1192">
        <v>2021</v>
      </c>
      <c r="E65" s="1199">
        <v>197363</v>
      </c>
      <c r="F65" s="1199">
        <v>2650</v>
      </c>
      <c r="G65" s="1203"/>
      <c r="H65" s="1204"/>
      <c r="I65" s="1204"/>
      <c r="J65" s="1204"/>
    </row>
    <row r="66" spans="1:10" s="1164" customFormat="1" ht="14.25" customHeight="1">
      <c r="A66" s="1201"/>
      <c r="B66" s="1201"/>
      <c r="C66" s="1198"/>
      <c r="D66" s="1192">
        <v>2022</v>
      </c>
      <c r="E66" s="1193">
        <v>239206</v>
      </c>
      <c r="F66" s="1193">
        <v>3824</v>
      </c>
      <c r="G66" s="1203"/>
      <c r="H66" s="1204"/>
      <c r="I66" s="1204"/>
      <c r="J66" s="1204"/>
    </row>
    <row r="67" spans="1:10" s="1164" customFormat="1" ht="14.25" customHeight="1">
      <c r="A67" s="1201"/>
      <c r="B67" s="1201"/>
      <c r="C67" s="1198"/>
      <c r="D67" s="1192">
        <v>2023</v>
      </c>
      <c r="E67" s="1193">
        <v>239206</v>
      </c>
      <c r="F67" s="1193">
        <v>3824</v>
      </c>
      <c r="G67" s="1203"/>
    </row>
    <row r="68" spans="1:10" s="1164" customFormat="1" ht="8.25" customHeight="1">
      <c r="A68" s="1184"/>
      <c r="B68" s="1196"/>
      <c r="C68" s="1184"/>
      <c r="D68" s="1184"/>
      <c r="E68" s="1190"/>
      <c r="F68" s="1190"/>
      <c r="G68" s="1183"/>
    </row>
    <row r="69" spans="1:10" s="1164" customFormat="1" ht="14.25" customHeight="1">
      <c r="A69" s="1201"/>
      <c r="B69" s="1201" t="s">
        <v>263</v>
      </c>
      <c r="C69" s="1198"/>
      <c r="D69" s="1192">
        <v>2021</v>
      </c>
      <c r="E69" s="1202">
        <v>9123</v>
      </c>
      <c r="F69" s="1202">
        <v>143</v>
      </c>
      <c r="G69" s="1166"/>
    </row>
    <row r="70" spans="1:10" s="1164" customFormat="1" ht="14.25" customHeight="1">
      <c r="A70" s="1201"/>
      <c r="B70" s="1201"/>
      <c r="C70" s="1198"/>
      <c r="D70" s="1192">
        <v>2022</v>
      </c>
      <c r="E70" s="1193">
        <v>239206</v>
      </c>
      <c r="F70" s="1193">
        <v>3824</v>
      </c>
      <c r="G70" s="1166"/>
    </row>
    <row r="71" spans="1:10" s="1164" customFormat="1" ht="14.25" customHeight="1">
      <c r="A71" s="1201"/>
      <c r="B71" s="1201"/>
      <c r="C71" s="1198"/>
      <c r="D71" s="1192">
        <v>2023</v>
      </c>
      <c r="E71" s="1193">
        <v>239206</v>
      </c>
      <c r="F71" s="1193">
        <v>3824</v>
      </c>
      <c r="G71" s="1166"/>
    </row>
    <row r="72" spans="1:10" s="1164" customFormat="1" ht="8.25" customHeight="1">
      <c r="A72" s="1184"/>
      <c r="B72" s="1196"/>
      <c r="C72" s="1184"/>
      <c r="D72" s="1184"/>
      <c r="E72" s="1190"/>
      <c r="F72" s="1190"/>
      <c r="G72" s="1183"/>
    </row>
    <row r="73" spans="1:10" s="1164" customFormat="1" ht="14.25" customHeight="1">
      <c r="A73" s="1201"/>
      <c r="B73" s="1201" t="s">
        <v>264</v>
      </c>
      <c r="C73" s="1198"/>
      <c r="D73" s="1192">
        <v>2021</v>
      </c>
      <c r="E73" s="1202">
        <v>9107</v>
      </c>
      <c r="F73" s="1202">
        <v>19</v>
      </c>
      <c r="G73" s="1166"/>
    </row>
    <row r="74" spans="1:10" s="1164" customFormat="1" ht="14.25" customHeight="1">
      <c r="A74" s="1201"/>
      <c r="B74" s="1201"/>
      <c r="C74" s="1198"/>
      <c r="D74" s="1192">
        <v>2022</v>
      </c>
      <c r="E74" s="1193">
        <v>239206</v>
      </c>
      <c r="F74" s="1193">
        <v>3824</v>
      </c>
      <c r="G74" s="1166"/>
    </row>
    <row r="75" spans="1:10" s="1164" customFormat="1" ht="14.25" customHeight="1">
      <c r="A75" s="1201"/>
      <c r="B75" s="1205"/>
      <c r="C75" s="1198"/>
      <c r="D75" s="1192">
        <v>2023</v>
      </c>
      <c r="E75" s="1193">
        <v>239206</v>
      </c>
      <c r="F75" s="1193">
        <v>3824</v>
      </c>
      <c r="G75" s="1166"/>
    </row>
    <row r="76" spans="1:10" s="1164" customFormat="1" ht="13.25" customHeight="1" thickBot="1">
      <c r="A76" s="1206"/>
      <c r="B76" s="1206"/>
      <c r="C76" s="1206"/>
      <c r="D76" s="1206"/>
      <c r="E76" s="1207"/>
      <c r="F76" s="1207"/>
      <c r="G76" s="1166"/>
    </row>
    <row r="77" spans="1:10" s="1208" customFormat="1" ht="15" customHeight="1">
      <c r="E77" s="1425" t="s">
        <v>1105</v>
      </c>
      <c r="F77" s="1425"/>
      <c r="G77" s="1209"/>
    </row>
    <row r="78" spans="1:10" s="1211" customFormat="1" ht="15" customHeight="1">
      <c r="A78" s="1210"/>
      <c r="E78" s="1426" t="s">
        <v>1106</v>
      </c>
      <c r="F78" s="1426"/>
      <c r="G78" s="1212"/>
      <c r="H78" s="1208"/>
      <c r="I78" s="1208"/>
      <c r="J78" s="1208"/>
    </row>
  </sheetData>
  <mergeCells count="3">
    <mergeCell ref="D6:D7"/>
    <mergeCell ref="E77:F77"/>
    <mergeCell ref="E78:F78"/>
  </mergeCells>
  <pageMargins left="0.55118110236220474" right="0.55118110236220474" top="0.55118110236220474" bottom="0.55118110236220474" header="0.31496062992125984" footer="0.31496062992125984"/>
  <pageSetup paperSize="9" scale="74" fitToWidth="0" fitToHeight="0"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10A26-09C0-4D74-B7D4-CC5F99AF45F0}">
  <sheetPr codeName="Sheet69">
    <pageSetUpPr fitToPage="1"/>
  </sheetPr>
  <dimension ref="A1:S50"/>
  <sheetViews>
    <sheetView view="pageBreakPreview" zoomScale="90" zoomScaleNormal="100" zoomScaleSheetLayoutView="90" workbookViewId="0">
      <selection activeCell="D60" sqref="D60"/>
    </sheetView>
  </sheetViews>
  <sheetFormatPr baseColWidth="10" defaultColWidth="8.83203125" defaultRowHeight="15"/>
  <cols>
    <col min="1" max="1" width="1.5" customWidth="1"/>
    <col min="2" max="2" width="12" customWidth="1"/>
    <col min="3" max="3" width="9.33203125" customWidth="1"/>
    <col min="4" max="5" width="8.6640625" customWidth="1"/>
    <col min="6" max="7" width="12.83203125" customWidth="1"/>
    <col min="8" max="8" width="2" customWidth="1"/>
    <col min="9" max="10" width="8.6640625" customWidth="1"/>
    <col min="11" max="12" width="12.83203125" customWidth="1"/>
    <col min="13" max="13" width="2" customWidth="1"/>
    <col min="14" max="15" width="8.6640625" customWidth="1"/>
    <col min="16" max="17" width="12.83203125" customWidth="1"/>
  </cols>
  <sheetData>
    <row r="1" spans="1:18" s="480" customFormat="1" ht="11.25" customHeight="1">
      <c r="B1" s="798"/>
      <c r="C1" s="798"/>
      <c r="D1" s="1213"/>
      <c r="E1" s="1213"/>
      <c r="F1" s="282"/>
      <c r="G1" s="282"/>
      <c r="H1" s="282"/>
      <c r="I1" s="1214"/>
      <c r="J1" s="1214"/>
      <c r="K1" s="1214"/>
      <c r="L1" s="1214"/>
      <c r="M1" s="1214"/>
      <c r="N1" s="1214"/>
      <c r="O1" s="1214"/>
      <c r="P1" s="1214"/>
      <c r="Q1" s="1214"/>
    </row>
    <row r="2" spans="1:18" s="463" customFormat="1" ht="16.5" customHeight="1">
      <c r="B2" s="973" t="s">
        <v>1107</v>
      </c>
      <c r="C2" s="975" t="s">
        <v>1108</v>
      </c>
      <c r="D2" s="1215"/>
      <c r="E2" s="1215"/>
      <c r="F2" s="1216"/>
      <c r="G2" s="1216"/>
      <c r="H2" s="1216"/>
      <c r="I2" s="1091"/>
      <c r="J2" s="1091"/>
      <c r="K2" s="1091"/>
      <c r="L2" s="1091"/>
      <c r="M2" s="1091"/>
      <c r="N2" s="1091"/>
      <c r="O2" s="1091"/>
      <c r="P2" s="1091"/>
      <c r="Q2" s="1091"/>
      <c r="R2" s="1217"/>
    </row>
    <row r="3" spans="1:18" s="497" customFormat="1" ht="16.5" customHeight="1">
      <c r="B3" s="728" t="s">
        <v>1109</v>
      </c>
      <c r="C3" s="1052" t="s">
        <v>1110</v>
      </c>
      <c r="D3" s="1218"/>
      <c r="E3" s="1218"/>
    </row>
    <row r="4" spans="1:18" s="480" customFormat="1" ht="8" customHeight="1">
      <c r="B4" s="798"/>
      <c r="C4" s="798"/>
      <c r="D4" s="1213"/>
      <c r="E4" s="1213"/>
      <c r="F4" s="1219"/>
      <c r="G4" s="1219"/>
      <c r="H4" s="1219"/>
      <c r="I4" s="1220"/>
      <c r="J4" s="1220"/>
      <c r="K4" s="1220"/>
      <c r="L4" s="1220"/>
      <c r="M4" s="1220"/>
      <c r="N4" s="1220"/>
      <c r="O4" s="1220"/>
      <c r="P4" s="1220"/>
      <c r="Q4" s="1220"/>
    </row>
    <row r="5" spans="1:18" s="480" customFormat="1" ht="8" customHeight="1" thickBot="1">
      <c r="A5" s="482"/>
      <c r="B5" s="804"/>
      <c r="C5" s="804"/>
      <c r="D5" s="1221"/>
      <c r="E5" s="1221"/>
      <c r="F5" s="1222"/>
      <c r="G5" s="1222"/>
      <c r="H5" s="1222"/>
      <c r="I5" s="1223"/>
      <c r="J5" s="1223"/>
      <c r="K5" s="1223"/>
      <c r="L5" s="1223"/>
      <c r="M5" s="1223"/>
      <c r="N5" s="1223"/>
      <c r="O5" s="1223"/>
      <c r="P5" s="1223"/>
      <c r="Q5" s="1223"/>
    </row>
    <row r="6" spans="1:18" s="344" customFormat="1" ht="8" customHeight="1">
      <c r="D6" s="682"/>
      <c r="E6" s="682"/>
      <c r="F6" s="496"/>
      <c r="G6" s="496"/>
      <c r="H6" s="496"/>
      <c r="I6" s="1036"/>
      <c r="J6" s="1036"/>
      <c r="K6" s="1036"/>
      <c r="L6" s="1036"/>
      <c r="M6" s="1036"/>
      <c r="N6" s="1036"/>
      <c r="O6" s="1036"/>
      <c r="P6" s="1036"/>
      <c r="Q6" s="1036"/>
    </row>
    <row r="7" spans="1:18" s="344" customFormat="1" ht="34.25" customHeight="1" thickBot="1">
      <c r="B7" s="485" t="s">
        <v>1111</v>
      </c>
      <c r="C7" s="796"/>
      <c r="D7" s="1427" t="s">
        <v>1112</v>
      </c>
      <c r="E7" s="1427"/>
      <c r="F7" s="1427"/>
      <c r="G7" s="1427"/>
      <c r="H7" s="309"/>
      <c r="I7" s="1428" t="s">
        <v>1113</v>
      </c>
      <c r="J7" s="1428"/>
      <c r="K7" s="1428"/>
      <c r="L7" s="1428"/>
      <c r="M7" s="309"/>
      <c r="N7" s="1428" t="s">
        <v>1114</v>
      </c>
      <c r="O7" s="1428"/>
      <c r="P7" s="1428"/>
      <c r="Q7" s="1428"/>
    </row>
    <row r="8" spans="1:18" s="344" customFormat="1" ht="43.5" customHeight="1" thickBot="1">
      <c r="A8" s="1224"/>
      <c r="B8" s="1225"/>
      <c r="C8" s="1226"/>
      <c r="D8" s="1227" t="s">
        <v>1115</v>
      </c>
      <c r="E8" s="1227" t="s">
        <v>1116</v>
      </c>
      <c r="F8" s="1227" t="s">
        <v>1117</v>
      </c>
      <c r="G8" s="1227" t="s">
        <v>1118</v>
      </c>
      <c r="H8" s="1228"/>
      <c r="I8" s="1229" t="s">
        <v>1115</v>
      </c>
      <c r="J8" s="1229" t="s">
        <v>1116</v>
      </c>
      <c r="K8" s="1227" t="s">
        <v>1117</v>
      </c>
      <c r="L8" s="1227" t="s">
        <v>1118</v>
      </c>
      <c r="M8" s="1228"/>
      <c r="N8" s="1229" t="s">
        <v>1115</v>
      </c>
      <c r="O8" s="1229" t="s">
        <v>1116</v>
      </c>
      <c r="P8" s="1227" t="s">
        <v>1117</v>
      </c>
      <c r="Q8" s="1227" t="s">
        <v>1118</v>
      </c>
    </row>
    <row r="9" spans="1:18" s="480" customFormat="1" ht="15.25" customHeight="1">
      <c r="B9" s="1230"/>
      <c r="C9" s="1230"/>
      <c r="D9" s="783"/>
      <c r="E9" s="783"/>
      <c r="F9" s="797"/>
      <c r="G9" s="797"/>
      <c r="H9" s="797"/>
      <c r="I9" s="797"/>
      <c r="J9" s="797"/>
      <c r="K9" s="797"/>
      <c r="L9" s="797"/>
      <c r="M9" s="797"/>
      <c r="N9" s="797"/>
      <c r="O9" s="797"/>
      <c r="P9" s="797"/>
      <c r="Q9" s="797"/>
    </row>
    <row r="10" spans="1:18" s="1231" customFormat="1" ht="13" customHeight="1">
      <c r="B10" s="1186" t="s">
        <v>776</v>
      </c>
      <c r="C10" s="1232"/>
      <c r="D10" s="1233">
        <v>28309</v>
      </c>
      <c r="E10" s="1233">
        <v>28309</v>
      </c>
      <c r="F10" s="1233">
        <v>28309</v>
      </c>
      <c r="G10" s="1233">
        <v>28309</v>
      </c>
      <c r="H10" s="1233"/>
      <c r="I10" s="1233">
        <v>28309</v>
      </c>
      <c r="J10" s="1233">
        <v>28309</v>
      </c>
      <c r="K10" s="1233">
        <v>28309</v>
      </c>
      <c r="L10" s="1233">
        <v>28309</v>
      </c>
      <c r="M10" s="1233"/>
      <c r="N10" s="1233">
        <v>28309</v>
      </c>
      <c r="O10" s="1233">
        <v>28309</v>
      </c>
      <c r="P10" s="1233">
        <v>28309</v>
      </c>
      <c r="Q10" s="1233">
        <v>28309</v>
      </c>
    </row>
    <row r="11" spans="1:18" s="1231" customFormat="1" ht="12" customHeight="1">
      <c r="B11" s="1186"/>
      <c r="C11" s="1232"/>
      <c r="D11" s="1233"/>
      <c r="E11" s="1233"/>
      <c r="F11" s="1233"/>
      <c r="G11" s="1234"/>
      <c r="H11" s="1233"/>
      <c r="I11" s="1233"/>
      <c r="J11" s="1233"/>
      <c r="K11" s="1233"/>
      <c r="L11" s="1233"/>
      <c r="M11" s="1233"/>
      <c r="N11" s="1233"/>
      <c r="O11" s="1233"/>
      <c r="P11" s="1233"/>
      <c r="Q11" s="1233"/>
    </row>
    <row r="12" spans="1:18" s="1235" customFormat="1" ht="13" customHeight="1">
      <c r="B12" s="1184"/>
      <c r="C12" s="1236"/>
      <c r="D12" s="349"/>
      <c r="E12" s="349"/>
      <c r="F12" s="1237"/>
      <c r="G12" s="1234"/>
      <c r="H12" s="1237"/>
      <c r="I12" s="1237"/>
      <c r="J12" s="1237"/>
      <c r="K12" s="1237"/>
      <c r="L12" s="349"/>
      <c r="M12" s="1237"/>
      <c r="N12" s="349"/>
      <c r="O12" s="1237"/>
      <c r="P12" s="1237"/>
      <c r="Q12" s="1237"/>
    </row>
    <row r="13" spans="1:18" s="1235" customFormat="1" ht="13" customHeight="1">
      <c r="B13" s="1191" t="s">
        <v>249</v>
      </c>
      <c r="C13" s="1236"/>
      <c r="D13" s="349">
        <v>123</v>
      </c>
      <c r="E13" s="349">
        <v>123</v>
      </c>
      <c r="F13" s="349">
        <v>123</v>
      </c>
      <c r="G13" s="349">
        <v>123</v>
      </c>
      <c r="H13" s="1237"/>
      <c r="I13" s="349">
        <v>123</v>
      </c>
      <c r="J13" s="349">
        <v>123</v>
      </c>
      <c r="K13" s="349">
        <v>123</v>
      </c>
      <c r="L13" s="349">
        <v>123</v>
      </c>
      <c r="M13" s="1237"/>
      <c r="N13" s="349">
        <v>123</v>
      </c>
      <c r="O13" s="349">
        <v>123</v>
      </c>
      <c r="P13" s="349">
        <v>123</v>
      </c>
      <c r="Q13" s="349">
        <v>123</v>
      </c>
    </row>
    <row r="14" spans="1:18" s="1235" customFormat="1" ht="13" customHeight="1">
      <c r="B14" s="1191"/>
      <c r="C14" s="1236"/>
      <c r="D14" s="349"/>
      <c r="E14" s="349"/>
      <c r="F14" s="1237"/>
      <c r="G14" s="1234"/>
      <c r="H14" s="1237"/>
      <c r="I14" s="1237"/>
      <c r="J14" s="1237"/>
      <c r="K14" s="1237"/>
      <c r="L14" s="349"/>
      <c r="M14" s="1237"/>
      <c r="N14" s="349"/>
      <c r="O14" s="1237"/>
      <c r="P14" s="1237"/>
      <c r="Q14" s="1237"/>
    </row>
    <row r="15" spans="1:18" s="1235" customFormat="1" ht="13" customHeight="1">
      <c r="B15" s="1197" t="s">
        <v>250</v>
      </c>
      <c r="C15" s="1236"/>
      <c r="D15" s="349">
        <v>123</v>
      </c>
      <c r="E15" s="349">
        <v>123</v>
      </c>
      <c r="F15" s="349">
        <v>123</v>
      </c>
      <c r="G15" s="349">
        <v>123</v>
      </c>
      <c r="H15" s="1237"/>
      <c r="I15" s="349">
        <v>123</v>
      </c>
      <c r="J15" s="349">
        <v>123</v>
      </c>
      <c r="K15" s="349">
        <v>123</v>
      </c>
      <c r="L15" s="349">
        <v>123</v>
      </c>
      <c r="M15" s="1237"/>
      <c r="N15" s="349">
        <v>123</v>
      </c>
      <c r="O15" s="349">
        <v>123</v>
      </c>
      <c r="P15" s="349">
        <v>123</v>
      </c>
      <c r="Q15" s="349">
        <v>123</v>
      </c>
    </row>
    <row r="16" spans="1:18" s="1235" customFormat="1" ht="13" customHeight="1">
      <c r="B16" s="1238"/>
      <c r="C16" s="1236"/>
      <c r="D16" s="349"/>
      <c r="E16" s="349"/>
      <c r="F16" s="1237"/>
      <c r="G16" s="1234"/>
      <c r="H16" s="1237"/>
      <c r="I16" s="1237"/>
      <c r="J16" s="1237"/>
      <c r="K16" s="1237"/>
      <c r="L16" s="349"/>
      <c r="M16" s="1237"/>
      <c r="N16" s="349"/>
      <c r="O16" s="1237"/>
      <c r="P16" s="1237"/>
      <c r="Q16" s="1237"/>
    </row>
    <row r="17" spans="2:17" s="1235" customFormat="1" ht="13" customHeight="1">
      <c r="B17" s="1197" t="s">
        <v>251</v>
      </c>
      <c r="C17" s="1236"/>
      <c r="D17" s="349">
        <v>123</v>
      </c>
      <c r="E17" s="349">
        <v>123</v>
      </c>
      <c r="F17" s="349">
        <v>123</v>
      </c>
      <c r="G17" s="349">
        <v>123</v>
      </c>
      <c r="H17" s="1237"/>
      <c r="I17" s="349">
        <v>123</v>
      </c>
      <c r="J17" s="349">
        <v>123</v>
      </c>
      <c r="K17" s="349">
        <v>123</v>
      </c>
      <c r="L17" s="349">
        <v>123</v>
      </c>
      <c r="M17" s="1237"/>
      <c r="N17" s="349">
        <v>123</v>
      </c>
      <c r="O17" s="349">
        <v>123</v>
      </c>
      <c r="P17" s="349">
        <v>123</v>
      </c>
      <c r="Q17" s="349">
        <v>123</v>
      </c>
    </row>
    <row r="18" spans="2:17" s="1235" customFormat="1" ht="13" customHeight="1">
      <c r="B18" s="1197"/>
      <c r="C18" s="1236"/>
      <c r="D18" s="349"/>
      <c r="E18" s="349"/>
      <c r="F18" s="1237"/>
      <c r="G18" s="1234"/>
      <c r="H18" s="1237"/>
      <c r="I18" s="1237"/>
      <c r="J18" s="1237"/>
      <c r="K18" s="1237"/>
      <c r="L18" s="349"/>
      <c r="M18" s="1237"/>
      <c r="N18" s="349"/>
      <c r="O18" s="1237"/>
      <c r="P18" s="1237"/>
      <c r="Q18" s="1237"/>
    </row>
    <row r="19" spans="2:17" s="1235" customFormat="1" ht="13" customHeight="1">
      <c r="B19" s="1197" t="s">
        <v>252</v>
      </c>
      <c r="C19" s="1236"/>
      <c r="D19" s="349">
        <v>123</v>
      </c>
      <c r="E19" s="349">
        <v>123</v>
      </c>
      <c r="F19" s="349">
        <v>123</v>
      </c>
      <c r="G19" s="349">
        <v>123</v>
      </c>
      <c r="H19" s="1237"/>
      <c r="I19" s="349">
        <v>123</v>
      </c>
      <c r="J19" s="349">
        <v>123</v>
      </c>
      <c r="K19" s="349">
        <v>123</v>
      </c>
      <c r="L19" s="349">
        <v>123</v>
      </c>
      <c r="M19" s="1237"/>
      <c r="N19" s="349">
        <v>123</v>
      </c>
      <c r="O19" s="349">
        <v>123</v>
      </c>
      <c r="P19" s="349">
        <v>123</v>
      </c>
      <c r="Q19" s="349">
        <v>123</v>
      </c>
    </row>
    <row r="20" spans="2:17" s="1235" customFormat="1" ht="13" customHeight="1">
      <c r="B20" s="1238"/>
      <c r="C20" s="1236"/>
      <c r="D20" s="349"/>
      <c r="E20" s="349"/>
      <c r="F20" s="1237"/>
      <c r="G20" s="1234"/>
      <c r="H20" s="1237"/>
      <c r="I20" s="1237"/>
      <c r="J20" s="1237"/>
      <c r="K20" s="1237"/>
      <c r="L20" s="349"/>
      <c r="M20" s="1237"/>
      <c r="N20" s="349"/>
      <c r="O20" s="1237"/>
      <c r="P20" s="1237"/>
      <c r="Q20" s="1237"/>
    </row>
    <row r="21" spans="2:17" s="1235" customFormat="1" ht="13" customHeight="1">
      <c r="B21" s="1197" t="s">
        <v>253</v>
      </c>
      <c r="C21" s="1236"/>
      <c r="D21" s="349">
        <v>123</v>
      </c>
      <c r="E21" s="349">
        <v>123</v>
      </c>
      <c r="F21" s="349">
        <v>123</v>
      </c>
      <c r="G21" s="349">
        <v>123</v>
      </c>
      <c r="H21" s="1237"/>
      <c r="I21" s="349">
        <v>123</v>
      </c>
      <c r="J21" s="349">
        <v>123</v>
      </c>
      <c r="K21" s="349">
        <v>123</v>
      </c>
      <c r="L21" s="349">
        <v>123</v>
      </c>
      <c r="M21" s="1237"/>
      <c r="N21" s="349">
        <v>123</v>
      </c>
      <c r="O21" s="349">
        <v>123</v>
      </c>
      <c r="P21" s="349">
        <v>123</v>
      </c>
      <c r="Q21" s="349">
        <v>123</v>
      </c>
    </row>
    <row r="22" spans="2:17" s="1235" customFormat="1" ht="13" customHeight="1">
      <c r="B22" s="1238"/>
      <c r="C22" s="1236"/>
      <c r="D22" s="349"/>
      <c r="E22" s="349"/>
      <c r="F22" s="1237"/>
      <c r="G22" s="1234"/>
      <c r="H22" s="1237"/>
      <c r="I22" s="1237"/>
      <c r="J22" s="1237"/>
      <c r="K22" s="1237"/>
      <c r="L22" s="349"/>
      <c r="M22" s="1237"/>
      <c r="N22" s="349"/>
      <c r="O22" s="1237"/>
      <c r="P22" s="1237"/>
      <c r="Q22" s="1237"/>
    </row>
    <row r="23" spans="2:17" s="1235" customFormat="1" ht="13" customHeight="1">
      <c r="B23" s="1197" t="s">
        <v>254</v>
      </c>
      <c r="C23" s="1236"/>
      <c r="D23" s="349">
        <v>123</v>
      </c>
      <c r="E23" s="349">
        <v>123</v>
      </c>
      <c r="F23" s="349">
        <v>123</v>
      </c>
      <c r="G23" s="349">
        <v>123</v>
      </c>
      <c r="H23" s="1237"/>
      <c r="I23" s="349">
        <v>123</v>
      </c>
      <c r="J23" s="349">
        <v>123</v>
      </c>
      <c r="K23" s="349">
        <v>123</v>
      </c>
      <c r="L23" s="349">
        <v>123</v>
      </c>
      <c r="M23" s="1237"/>
      <c r="N23" s="349">
        <v>123</v>
      </c>
      <c r="O23" s="349">
        <v>123</v>
      </c>
      <c r="P23" s="349">
        <v>123</v>
      </c>
      <c r="Q23" s="349">
        <v>123</v>
      </c>
    </row>
    <row r="24" spans="2:17" s="1235" customFormat="1" ht="13" customHeight="1">
      <c r="B24" s="1197"/>
      <c r="C24" s="1236"/>
      <c r="D24" s="1239"/>
      <c r="E24" s="1239"/>
      <c r="F24" s="1237"/>
      <c r="G24" s="1234"/>
      <c r="H24" s="1237"/>
      <c r="I24" s="1237"/>
      <c r="J24" s="1237"/>
      <c r="K24" s="1237"/>
      <c r="L24" s="1239"/>
      <c r="M24" s="1237"/>
      <c r="N24" s="1239"/>
      <c r="O24" s="1237"/>
      <c r="P24" s="1237"/>
      <c r="Q24" s="1237"/>
    </row>
    <row r="25" spans="2:17" s="1235" customFormat="1" ht="13" customHeight="1">
      <c r="B25" s="1197" t="s">
        <v>255</v>
      </c>
      <c r="C25" s="1236"/>
      <c r="D25" s="349">
        <v>123</v>
      </c>
      <c r="E25" s="349">
        <v>123</v>
      </c>
      <c r="F25" s="349">
        <v>123</v>
      </c>
      <c r="G25" s="349">
        <v>123</v>
      </c>
      <c r="H25" s="1237"/>
      <c r="I25" s="349">
        <v>123</v>
      </c>
      <c r="J25" s="349">
        <v>123</v>
      </c>
      <c r="K25" s="349">
        <v>123</v>
      </c>
      <c r="L25" s="349">
        <v>123</v>
      </c>
      <c r="M25" s="1237"/>
      <c r="N25" s="349">
        <v>123</v>
      </c>
      <c r="O25" s="349">
        <v>123</v>
      </c>
      <c r="P25" s="349">
        <v>123</v>
      </c>
      <c r="Q25" s="349">
        <v>123</v>
      </c>
    </row>
    <row r="26" spans="2:17" s="1235" customFormat="1" ht="13" customHeight="1">
      <c r="B26" s="1197"/>
      <c r="C26" s="1236"/>
      <c r="D26" s="1239"/>
      <c r="E26" s="1239"/>
      <c r="F26" s="1237"/>
      <c r="G26" s="1234"/>
      <c r="H26" s="1237"/>
      <c r="I26" s="1237"/>
      <c r="J26" s="1237"/>
      <c r="K26" s="1237"/>
      <c r="L26" s="1239"/>
      <c r="M26" s="1237"/>
      <c r="N26" s="1239"/>
      <c r="O26" s="1237"/>
      <c r="P26" s="1237"/>
      <c r="Q26" s="1237"/>
    </row>
    <row r="27" spans="2:17" s="1235" customFormat="1" ht="13" customHeight="1">
      <c r="B27" s="1197" t="s">
        <v>256</v>
      </c>
      <c r="C27" s="1236"/>
      <c r="D27" s="349">
        <v>123</v>
      </c>
      <c r="E27" s="349">
        <v>123</v>
      </c>
      <c r="F27" s="349">
        <v>123</v>
      </c>
      <c r="G27" s="349">
        <v>123</v>
      </c>
      <c r="H27" s="1237"/>
      <c r="I27" s="349">
        <v>123</v>
      </c>
      <c r="J27" s="349">
        <v>123</v>
      </c>
      <c r="K27" s="349">
        <v>123</v>
      </c>
      <c r="L27" s="349">
        <v>123</v>
      </c>
      <c r="M27" s="1237"/>
      <c r="N27" s="349">
        <v>123</v>
      </c>
      <c r="O27" s="349">
        <v>123</v>
      </c>
      <c r="P27" s="349">
        <v>123</v>
      </c>
      <c r="Q27" s="349">
        <v>123</v>
      </c>
    </row>
    <row r="28" spans="2:17" s="1235" customFormat="1" ht="13" customHeight="1">
      <c r="B28" s="1197"/>
      <c r="C28" s="1236"/>
      <c r="D28" s="683"/>
      <c r="E28" s="683"/>
      <c r="F28" s="683"/>
      <c r="G28" s="1234"/>
      <c r="H28" s="1237"/>
      <c r="I28" s="1237"/>
      <c r="J28" s="1237"/>
      <c r="K28" s="1237"/>
      <c r="L28" s="683"/>
      <c r="M28" s="1237"/>
      <c r="N28" s="683"/>
      <c r="O28" s="1237"/>
      <c r="P28" s="1237"/>
      <c r="Q28" s="1237"/>
    </row>
    <row r="29" spans="2:17" s="1235" customFormat="1" ht="13" customHeight="1">
      <c r="B29" s="1201" t="s">
        <v>257</v>
      </c>
      <c r="C29" s="1236"/>
      <c r="D29" s="349">
        <v>123</v>
      </c>
      <c r="E29" s="349">
        <v>123</v>
      </c>
      <c r="F29" s="349">
        <v>123</v>
      </c>
      <c r="G29" s="349">
        <v>123</v>
      </c>
      <c r="H29" s="1237"/>
      <c r="I29" s="349">
        <v>123</v>
      </c>
      <c r="J29" s="349">
        <v>123</v>
      </c>
      <c r="K29" s="349">
        <v>123</v>
      </c>
      <c r="L29" s="349">
        <v>123</v>
      </c>
      <c r="M29" s="1237"/>
      <c r="N29" s="349">
        <v>123</v>
      </c>
      <c r="O29" s="349">
        <v>123</v>
      </c>
      <c r="P29" s="349">
        <v>123</v>
      </c>
      <c r="Q29" s="349">
        <v>123</v>
      </c>
    </row>
    <row r="30" spans="2:17" s="1235" customFormat="1" ht="13" customHeight="1">
      <c r="B30" s="1238"/>
      <c r="C30" s="1236"/>
      <c r="D30" s="349"/>
      <c r="E30" s="349"/>
      <c r="F30" s="349"/>
      <c r="G30" s="1234"/>
      <c r="H30" s="1237"/>
      <c r="I30" s="1237"/>
      <c r="J30" s="1237"/>
      <c r="K30" s="1237"/>
      <c r="L30" s="349"/>
      <c r="M30" s="1237"/>
      <c r="N30" s="349"/>
      <c r="O30" s="1237"/>
      <c r="P30" s="1237"/>
      <c r="Q30" s="1237"/>
    </row>
    <row r="31" spans="2:17" s="1235" customFormat="1" ht="13" customHeight="1">
      <c r="B31" s="1197" t="s">
        <v>258</v>
      </c>
      <c r="C31" s="1236"/>
      <c r="D31" s="349">
        <v>123</v>
      </c>
      <c r="E31" s="349">
        <v>123</v>
      </c>
      <c r="F31" s="349">
        <v>123</v>
      </c>
      <c r="G31" s="349">
        <v>123</v>
      </c>
      <c r="H31" s="1237"/>
      <c r="I31" s="349">
        <v>123</v>
      </c>
      <c r="J31" s="349">
        <v>123</v>
      </c>
      <c r="K31" s="349">
        <v>123</v>
      </c>
      <c r="L31" s="349">
        <v>123</v>
      </c>
      <c r="M31" s="1237"/>
      <c r="N31" s="349">
        <v>123</v>
      </c>
      <c r="O31" s="349">
        <v>123</v>
      </c>
      <c r="P31" s="349">
        <v>123</v>
      </c>
      <c r="Q31" s="349">
        <v>123</v>
      </c>
    </row>
    <row r="32" spans="2:17" s="1235" customFormat="1" ht="13" customHeight="1">
      <c r="B32" s="1196"/>
      <c r="C32" s="1236"/>
      <c r="D32" s="1240"/>
      <c r="E32" s="1240"/>
      <c r="F32" s="349"/>
      <c r="G32" s="1234"/>
      <c r="H32" s="1237"/>
      <c r="I32" s="1237"/>
      <c r="J32" s="1237"/>
      <c r="K32" s="1237"/>
      <c r="L32" s="1240"/>
      <c r="M32" s="1237"/>
      <c r="N32" s="1240"/>
      <c r="O32" s="1237"/>
      <c r="P32" s="1237"/>
      <c r="Q32" s="1237"/>
    </row>
    <row r="33" spans="1:19" s="1235" customFormat="1" ht="13" customHeight="1">
      <c r="B33" s="1197" t="s">
        <v>259</v>
      </c>
      <c r="C33" s="1236"/>
      <c r="D33" s="349">
        <v>123</v>
      </c>
      <c r="E33" s="349">
        <v>123</v>
      </c>
      <c r="F33" s="349">
        <v>123</v>
      </c>
      <c r="G33" s="349">
        <v>123</v>
      </c>
      <c r="H33" s="1237"/>
      <c r="I33" s="349">
        <v>123</v>
      </c>
      <c r="J33" s="349">
        <v>123</v>
      </c>
      <c r="K33" s="349">
        <v>123</v>
      </c>
      <c r="L33" s="349">
        <v>123</v>
      </c>
      <c r="M33" s="1237"/>
      <c r="N33" s="349">
        <v>123</v>
      </c>
      <c r="O33" s="349">
        <v>123</v>
      </c>
      <c r="P33" s="349">
        <v>123</v>
      </c>
      <c r="Q33" s="349">
        <v>123</v>
      </c>
    </row>
    <row r="34" spans="1:19" s="1235" customFormat="1" ht="13" customHeight="1">
      <c r="B34" s="1197"/>
      <c r="C34" s="1236"/>
      <c r="D34" s="1241"/>
      <c r="E34" s="1239"/>
      <c r="F34" s="349"/>
      <c r="G34" s="1234"/>
      <c r="H34" s="1237"/>
      <c r="I34" s="1237"/>
      <c r="J34" s="1237"/>
      <c r="K34" s="1237"/>
      <c r="L34" s="1237"/>
      <c r="M34" s="1237"/>
      <c r="N34" s="1237"/>
      <c r="O34" s="1237"/>
      <c r="P34" s="1237"/>
      <c r="Q34" s="1237"/>
    </row>
    <row r="35" spans="1:19" s="1235" customFormat="1" ht="13" customHeight="1">
      <c r="B35" s="1197" t="s">
        <v>260</v>
      </c>
      <c r="C35" s="1236"/>
      <c r="D35" s="349">
        <v>123</v>
      </c>
      <c r="E35" s="349">
        <v>123</v>
      </c>
      <c r="F35" s="349">
        <v>123</v>
      </c>
      <c r="G35" s="349">
        <v>123</v>
      </c>
      <c r="H35" s="1237"/>
      <c r="I35" s="349">
        <v>123</v>
      </c>
      <c r="J35" s="349">
        <v>123</v>
      </c>
      <c r="K35" s="349">
        <v>123</v>
      </c>
      <c r="L35" s="349">
        <v>123</v>
      </c>
      <c r="M35" s="1237"/>
      <c r="N35" s="349">
        <v>123</v>
      </c>
      <c r="O35" s="349">
        <v>123</v>
      </c>
      <c r="P35" s="349">
        <v>123</v>
      </c>
      <c r="Q35" s="349">
        <v>123</v>
      </c>
    </row>
    <row r="36" spans="1:19" s="1235" customFormat="1" ht="13" customHeight="1">
      <c r="B36" s="1238"/>
      <c r="C36" s="1236"/>
      <c r="D36" s="1242"/>
      <c r="E36" s="1240"/>
      <c r="F36" s="1240"/>
      <c r="G36" s="1234"/>
      <c r="H36" s="1237"/>
      <c r="I36" s="1237"/>
      <c r="J36" s="1237"/>
      <c r="K36" s="1237"/>
      <c r="L36" s="1239"/>
      <c r="M36" s="1237"/>
      <c r="N36" s="1239"/>
      <c r="O36" s="1237"/>
      <c r="P36" s="1237"/>
      <c r="Q36" s="1237"/>
    </row>
    <row r="37" spans="1:19" s="1235" customFormat="1" ht="13" customHeight="1">
      <c r="B37" s="1197" t="s">
        <v>261</v>
      </c>
      <c r="C37" s="1236"/>
      <c r="D37" s="349">
        <v>123</v>
      </c>
      <c r="E37" s="349">
        <v>123</v>
      </c>
      <c r="F37" s="349">
        <v>123</v>
      </c>
      <c r="G37" s="349">
        <v>123</v>
      </c>
      <c r="H37" s="1237"/>
      <c r="I37" s="349">
        <v>123</v>
      </c>
      <c r="J37" s="349">
        <v>123</v>
      </c>
      <c r="K37" s="349">
        <v>123</v>
      </c>
      <c r="L37" s="349">
        <v>123</v>
      </c>
      <c r="M37" s="1237"/>
      <c r="N37" s="349">
        <v>123</v>
      </c>
      <c r="O37" s="349">
        <v>123</v>
      </c>
      <c r="P37" s="349">
        <v>123</v>
      </c>
      <c r="Q37" s="349">
        <v>123</v>
      </c>
    </row>
    <row r="38" spans="1:19" s="1235" customFormat="1" ht="13" customHeight="1">
      <c r="B38" s="1197"/>
      <c r="C38" s="1236"/>
      <c r="D38" s="1242"/>
      <c r="E38" s="1239"/>
      <c r="F38" s="1240"/>
      <c r="G38" s="1237"/>
      <c r="H38" s="1237"/>
      <c r="I38" s="1237"/>
      <c r="J38" s="1237"/>
      <c r="K38" s="1237"/>
      <c r="L38" s="683"/>
      <c r="M38" s="1237"/>
      <c r="N38" s="683"/>
      <c r="O38" s="1237"/>
      <c r="P38" s="1237"/>
      <c r="Q38" s="1237"/>
    </row>
    <row r="39" spans="1:19" s="1235" customFormat="1" ht="13" customHeight="1">
      <c r="B39" s="1201" t="s">
        <v>262</v>
      </c>
      <c r="C39" s="1236"/>
      <c r="D39" s="349">
        <v>123</v>
      </c>
      <c r="E39" s="349">
        <v>123</v>
      </c>
      <c r="F39" s="349">
        <v>123</v>
      </c>
      <c r="G39" s="349">
        <v>123</v>
      </c>
      <c r="H39" s="1237"/>
      <c r="I39" s="349">
        <v>123</v>
      </c>
      <c r="J39" s="349">
        <v>123</v>
      </c>
      <c r="K39" s="349">
        <v>123</v>
      </c>
      <c r="L39" s="349">
        <v>123</v>
      </c>
      <c r="M39" s="1237"/>
      <c r="N39" s="349">
        <v>123</v>
      </c>
      <c r="O39" s="349">
        <v>123</v>
      </c>
      <c r="P39" s="349">
        <v>123</v>
      </c>
      <c r="Q39" s="349">
        <v>123</v>
      </c>
    </row>
    <row r="40" spans="1:19" s="480" customFormat="1" ht="15.25" customHeight="1">
      <c r="B40" s="1201"/>
      <c r="C40" s="1243"/>
      <c r="D40" s="1244"/>
      <c r="E40" s="1245"/>
      <c r="F40" s="1246"/>
      <c r="G40" s="1247"/>
      <c r="H40" s="1247"/>
      <c r="I40" s="1246"/>
      <c r="J40" s="1246"/>
      <c r="K40" s="1246"/>
      <c r="L40" s="349"/>
      <c r="M40" s="1246"/>
      <c r="N40" s="349"/>
      <c r="O40" s="1237"/>
      <c r="P40" s="1237"/>
      <c r="Q40" s="1237"/>
      <c r="R40" s="1248"/>
      <c r="S40" s="377"/>
    </row>
    <row r="41" spans="1:19" s="480" customFormat="1" ht="15.25" customHeight="1">
      <c r="B41" s="1201" t="s">
        <v>263</v>
      </c>
      <c r="C41" s="1243"/>
      <c r="D41" s="349">
        <v>123</v>
      </c>
      <c r="E41" s="349">
        <v>123</v>
      </c>
      <c r="F41" s="349">
        <v>123</v>
      </c>
      <c r="G41" s="349">
        <v>123</v>
      </c>
      <c r="H41" s="1247"/>
      <c r="I41" s="349">
        <v>123</v>
      </c>
      <c r="J41" s="349">
        <v>123</v>
      </c>
      <c r="K41" s="349">
        <v>123</v>
      </c>
      <c r="L41" s="349">
        <v>123</v>
      </c>
      <c r="M41" s="1246"/>
      <c r="N41" s="349">
        <v>123</v>
      </c>
      <c r="O41" s="349">
        <v>123</v>
      </c>
      <c r="P41" s="349">
        <v>123</v>
      </c>
      <c r="Q41" s="349">
        <v>123</v>
      </c>
      <c r="R41" s="1248"/>
      <c r="S41" s="377"/>
    </row>
    <row r="42" spans="1:19" s="480" customFormat="1" ht="15.25" customHeight="1">
      <c r="B42" s="1201"/>
      <c r="C42" s="1243"/>
      <c r="D42" s="1244"/>
      <c r="E42" s="1245"/>
      <c r="F42" s="1246"/>
      <c r="G42" s="1247"/>
      <c r="H42" s="1247"/>
      <c r="I42" s="1246"/>
      <c r="J42" s="1246"/>
      <c r="K42" s="1246"/>
      <c r="L42" s="1240"/>
      <c r="M42" s="1246"/>
      <c r="N42" s="1240"/>
      <c r="O42" s="1237"/>
      <c r="P42" s="1237"/>
      <c r="Q42" s="1237"/>
      <c r="R42" s="1248"/>
      <c r="S42" s="377"/>
    </row>
    <row r="43" spans="1:19" s="480" customFormat="1" ht="15.25" customHeight="1">
      <c r="B43" s="1201" t="s">
        <v>264</v>
      </c>
      <c r="C43" s="1243"/>
      <c r="D43" s="349">
        <v>123</v>
      </c>
      <c r="E43" s="349">
        <v>123</v>
      </c>
      <c r="F43" s="349">
        <v>123</v>
      </c>
      <c r="G43" s="349">
        <v>123</v>
      </c>
      <c r="H43" s="1247"/>
      <c r="I43" s="349">
        <v>123</v>
      </c>
      <c r="J43" s="349">
        <v>123</v>
      </c>
      <c r="K43" s="349">
        <v>123</v>
      </c>
      <c r="L43" s="349">
        <v>123</v>
      </c>
      <c r="M43" s="1246"/>
      <c r="N43" s="349">
        <v>123</v>
      </c>
      <c r="O43" s="349">
        <v>123</v>
      </c>
      <c r="P43" s="349">
        <v>123</v>
      </c>
      <c r="Q43" s="349">
        <v>123</v>
      </c>
      <c r="R43" s="1248"/>
      <c r="S43" s="377"/>
    </row>
    <row r="44" spans="1:19" s="810" customFormat="1" ht="7.5" customHeight="1" thickBot="1">
      <c r="A44" s="1249"/>
      <c r="B44" s="1181"/>
      <c r="C44" s="803"/>
      <c r="D44" s="482"/>
      <c r="E44" s="482"/>
      <c r="F44" s="1250"/>
      <c r="G44" s="1251"/>
      <c r="H44" s="1251"/>
      <c r="I44" s="1250"/>
      <c r="J44" s="805"/>
      <c r="K44" s="805"/>
      <c r="L44" s="805"/>
      <c r="M44" s="805"/>
      <c r="N44" s="805"/>
      <c r="O44" s="805"/>
      <c r="P44" s="805"/>
      <c r="Q44" s="805"/>
    </row>
    <row r="45" spans="1:19" s="938" customFormat="1" ht="15.25" customHeight="1">
      <c r="D45" s="970"/>
      <c r="E45" s="1330" t="s">
        <v>1105</v>
      </c>
      <c r="F45" s="1330"/>
      <c r="G45" s="1330"/>
      <c r="H45" s="1330"/>
      <c r="I45" s="1330"/>
      <c r="J45" s="1330"/>
      <c r="K45" s="1330"/>
      <c r="L45" s="1330"/>
      <c r="M45" s="1330"/>
      <c r="N45" s="1330"/>
      <c r="O45" s="1330"/>
      <c r="P45" s="1330"/>
      <c r="Q45" s="1330"/>
    </row>
    <row r="46" spans="1:19" s="938" customFormat="1" ht="15.25" customHeight="1">
      <c r="B46" s="1205"/>
      <c r="D46" s="970"/>
      <c r="E46" s="1332" t="s">
        <v>1106</v>
      </c>
      <c r="F46" s="1332"/>
      <c r="G46" s="1332"/>
      <c r="H46" s="1332"/>
      <c r="I46" s="1332"/>
      <c r="J46" s="1332"/>
      <c r="K46" s="1332"/>
      <c r="L46" s="1332"/>
      <c r="M46" s="1332"/>
      <c r="N46" s="1332"/>
      <c r="O46" s="1332"/>
      <c r="P46" s="1332"/>
      <c r="Q46" s="1332"/>
    </row>
    <row r="47" spans="1:19" s="698" customFormat="1" ht="13">
      <c r="A47" s="810"/>
      <c r="B47" s="1184"/>
      <c r="C47" s="807"/>
      <c r="D47" s="811"/>
      <c r="E47" s="811"/>
      <c r="F47" s="683"/>
      <c r="G47" s="377"/>
      <c r="H47" s="377"/>
      <c r="I47" s="683"/>
      <c r="J47" s="377"/>
      <c r="K47" s="377"/>
      <c r="L47" s="377"/>
      <c r="M47" s="377"/>
      <c r="N47" s="377"/>
      <c r="O47" s="377"/>
      <c r="P47" s="377"/>
      <c r="Q47" s="377"/>
    </row>
    <row r="48" spans="1:19" s="698" customFormat="1" ht="13">
      <c r="C48" s="705"/>
      <c r="D48" s="706"/>
      <c r="E48" s="706"/>
      <c r="F48" s="800"/>
      <c r="G48" s="800"/>
      <c r="H48" s="800"/>
      <c r="I48" s="800"/>
      <c r="J48" s="800"/>
      <c r="K48" s="800"/>
      <c r="L48" s="800"/>
      <c r="M48" s="800"/>
      <c r="N48" s="800"/>
      <c r="O48" s="800"/>
      <c r="P48" s="800"/>
      <c r="Q48" s="800"/>
    </row>
    <row r="49" spans="1:19" s="377" customFormat="1" ht="13">
      <c r="A49" s="698"/>
      <c r="B49" s="1078"/>
      <c r="C49" s="708"/>
      <c r="D49" s="709"/>
      <c r="E49" s="709"/>
      <c r="F49" s="808"/>
      <c r="G49" s="808"/>
      <c r="H49" s="808"/>
      <c r="I49" s="808"/>
      <c r="J49" s="808"/>
      <c r="K49" s="808"/>
      <c r="L49" s="808"/>
      <c r="M49" s="808"/>
      <c r="N49" s="808"/>
      <c r="O49" s="808"/>
      <c r="P49" s="808"/>
      <c r="Q49" s="808"/>
    </row>
    <row r="50" spans="1:19" s="480" customFormat="1" ht="13">
      <c r="A50" s="698"/>
      <c r="B50" s="712"/>
      <c r="C50" s="708"/>
      <c r="D50" s="709"/>
      <c r="E50" s="709"/>
      <c r="F50" s="698"/>
      <c r="G50" s="698"/>
      <c r="H50" s="698"/>
      <c r="I50" s="717"/>
      <c r="J50" s="717"/>
      <c r="K50" s="717"/>
      <c r="L50" s="717"/>
      <c r="M50" s="717"/>
      <c r="N50" s="717"/>
      <c r="O50" s="717"/>
      <c r="P50" s="717"/>
      <c r="Q50" s="717"/>
      <c r="R50" s="377"/>
      <c r="S50" s="377"/>
    </row>
  </sheetData>
  <mergeCells count="5">
    <mergeCell ref="D7:G7"/>
    <mergeCell ref="I7:L7"/>
    <mergeCell ref="N7:Q7"/>
    <mergeCell ref="E45:Q45"/>
    <mergeCell ref="E46:Q46"/>
  </mergeCells>
  <printOptions horizontalCentered="1"/>
  <pageMargins left="0.55118110236220474" right="0.55118110236220474" top="0.55118110236220474" bottom="0.55118110236220474" header="0.31496062992125984" footer="0.31496062992125984"/>
  <pageSetup paperSize="9" scale="55" fitToHeight="0"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E9BA6-1A33-4B00-8EC1-B33146550E7C}">
  <sheetPr codeName="Sheet70">
    <pageSetUpPr fitToPage="1"/>
  </sheetPr>
  <dimension ref="A1:J52"/>
  <sheetViews>
    <sheetView view="pageBreakPreview" zoomScaleNormal="100" zoomScaleSheetLayoutView="100" workbookViewId="0">
      <selection activeCell="D60" sqref="D60"/>
    </sheetView>
  </sheetViews>
  <sheetFormatPr baseColWidth="10" defaultColWidth="8.83203125" defaultRowHeight="15"/>
  <cols>
    <col min="1" max="1" width="3.33203125" customWidth="1"/>
    <col min="4" max="4" width="33.83203125" customWidth="1"/>
    <col min="5" max="5" width="10.1640625" customWidth="1"/>
    <col min="6" max="6" width="15.5" customWidth="1"/>
    <col min="7" max="7" width="18.83203125" customWidth="1"/>
    <col min="8" max="8" width="17.6640625" customWidth="1"/>
  </cols>
  <sheetData>
    <row r="1" spans="1:9" s="545" customFormat="1" ht="8.25" customHeight="1"/>
    <row r="2" spans="1:9" s="545" customFormat="1" ht="8.25" customHeight="1"/>
    <row r="3" spans="1:9" s="545" customFormat="1" ht="16.5" customHeight="1">
      <c r="B3" s="546" t="s">
        <v>1119</v>
      </c>
      <c r="C3" s="3" t="s">
        <v>1120</v>
      </c>
      <c r="E3" s="547"/>
    </row>
    <row r="4" spans="1:9" s="545" customFormat="1" ht="16.5" customHeight="1">
      <c r="B4" s="548" t="s">
        <v>1121</v>
      </c>
      <c r="C4" s="6" t="s">
        <v>1122</v>
      </c>
      <c r="D4" s="549"/>
      <c r="E4" s="547"/>
    </row>
    <row r="5" spans="1:9" s="545" customFormat="1" ht="13.25" customHeight="1" thickBot="1">
      <c r="A5" s="550"/>
      <c r="B5" s="550"/>
      <c r="C5" s="550"/>
      <c r="D5" s="550"/>
      <c r="E5" s="351"/>
    </row>
    <row r="6" spans="1:9" s="551" customFormat="1" ht="43.25" customHeight="1" thickBot="1">
      <c r="A6" s="10"/>
      <c r="B6" s="1273" t="s">
        <v>1123</v>
      </c>
      <c r="C6" s="1293"/>
      <c r="D6" s="10"/>
      <c r="E6" s="11"/>
      <c r="F6" s="11">
        <v>2022</v>
      </c>
      <c r="G6" s="11">
        <v>2023</v>
      </c>
      <c r="H6" s="11">
        <v>2024</v>
      </c>
      <c r="I6" s="14"/>
    </row>
    <row r="7" spans="1:9" s="551" customFormat="1" ht="16.5" customHeight="1">
      <c r="B7" s="552"/>
      <c r="C7" s="553"/>
      <c r="D7" s="258"/>
      <c r="E7" s="258"/>
      <c r="F7" s="587"/>
      <c r="G7" s="554"/>
      <c r="H7" s="554"/>
      <c r="I7" s="554"/>
    </row>
    <row r="8" spans="1:9" s="551" customFormat="1" ht="16.5" customHeight="1">
      <c r="A8" s="1252"/>
      <c r="B8" s="1252" t="s">
        <v>1124</v>
      </c>
      <c r="C8" s="553"/>
      <c r="D8" s="258"/>
      <c r="E8" s="258"/>
      <c r="F8" s="587"/>
      <c r="G8" s="554"/>
      <c r="H8" s="554"/>
      <c r="I8" s="554"/>
    </row>
    <row r="9" spans="1:9" s="551" customFormat="1" ht="16.5" customHeight="1">
      <c r="A9" s="1253"/>
      <c r="B9" s="1253" t="s">
        <v>1125</v>
      </c>
      <c r="C9" s="553"/>
      <c r="D9" s="258"/>
      <c r="E9" s="258"/>
      <c r="F9" s="587"/>
      <c r="G9" s="554"/>
      <c r="H9" s="554"/>
      <c r="I9" s="554"/>
    </row>
    <row r="10" spans="1:9" s="551" customFormat="1" ht="16.5" customHeight="1">
      <c r="B10" s="552"/>
      <c r="C10" s="553"/>
      <c r="D10" s="258"/>
      <c r="E10" s="258"/>
      <c r="F10" s="587"/>
      <c r="G10" s="554"/>
      <c r="H10" s="554"/>
      <c r="I10" s="554"/>
    </row>
    <row r="11" spans="1:9" s="551" customFormat="1" ht="16.5" customHeight="1">
      <c r="B11" s="562" t="s">
        <v>776</v>
      </c>
      <c r="C11" s="553"/>
      <c r="D11" s="258"/>
      <c r="E11" s="214"/>
      <c r="F11" s="214">
        <f t="shared" ref="F11:H11" si="0">SUM(F12:F25)</f>
        <v>3366279615.2399998</v>
      </c>
      <c r="G11" s="214">
        <f t="shared" si="0"/>
        <v>3366279615.2399998</v>
      </c>
      <c r="H11" s="214">
        <f t="shared" si="0"/>
        <v>3535358194.0499992</v>
      </c>
      <c r="I11" s="554"/>
    </row>
    <row r="12" spans="1:9" s="551" customFormat="1" ht="15.25" customHeight="1">
      <c r="B12" s="1254" t="s">
        <v>249</v>
      </c>
      <c r="C12" s="553"/>
      <c r="D12" s="258"/>
      <c r="E12" s="1255"/>
      <c r="F12" s="1256">
        <v>311727367.23000002</v>
      </c>
      <c r="G12" s="1256">
        <v>311727367.23000002</v>
      </c>
      <c r="H12" s="1256">
        <v>300855626.50999999</v>
      </c>
      <c r="I12" s="554"/>
    </row>
    <row r="13" spans="1:9" s="551" customFormat="1" ht="15.25" customHeight="1">
      <c r="B13" s="1254" t="s">
        <v>250</v>
      </c>
      <c r="C13" s="553"/>
      <c r="D13" s="557"/>
      <c r="E13" s="1255"/>
      <c r="F13" s="1256">
        <v>206055559.61000001</v>
      </c>
      <c r="G13" s="1256">
        <v>206055559.61000001</v>
      </c>
      <c r="H13" s="1256">
        <v>217913020.81999999</v>
      </c>
      <c r="I13" s="554"/>
    </row>
    <row r="14" spans="1:9" s="551" customFormat="1" ht="15.25" customHeight="1">
      <c r="B14" s="1254" t="s">
        <v>251</v>
      </c>
      <c r="C14" s="553"/>
      <c r="D14" s="557"/>
      <c r="E14" s="1255"/>
      <c r="F14" s="1256">
        <v>195138060</v>
      </c>
      <c r="G14" s="1256">
        <v>195138060</v>
      </c>
      <c r="H14" s="1256">
        <v>202654987</v>
      </c>
      <c r="I14" s="554"/>
    </row>
    <row r="15" spans="1:9" s="551" customFormat="1" ht="16.5" customHeight="1">
      <c r="B15" s="1254" t="s">
        <v>252</v>
      </c>
      <c r="C15" s="553"/>
      <c r="D15" s="559"/>
      <c r="E15" s="1257"/>
      <c r="F15" s="1256">
        <v>98838098.549999997</v>
      </c>
      <c r="G15" s="1256">
        <v>98838098.549999997</v>
      </c>
      <c r="H15" s="1256">
        <v>100720991.88</v>
      </c>
      <c r="I15" s="554"/>
    </row>
    <row r="16" spans="1:9" s="551" customFormat="1" ht="15.25" customHeight="1">
      <c r="B16" s="1254" t="s">
        <v>253</v>
      </c>
      <c r="C16" s="553"/>
      <c r="D16" s="258"/>
      <c r="E16" s="1255"/>
      <c r="F16" s="1256">
        <v>141521193.34999999</v>
      </c>
      <c r="G16" s="1256">
        <v>141521193.34999999</v>
      </c>
      <c r="H16" s="1256">
        <v>157160528.43000001</v>
      </c>
      <c r="I16" s="554"/>
    </row>
    <row r="17" spans="2:10" s="551" customFormat="1" ht="15.25" customHeight="1">
      <c r="B17" s="1254" t="s">
        <v>254</v>
      </c>
      <c r="C17" s="553"/>
      <c r="D17" s="557"/>
      <c r="E17" s="1255"/>
      <c r="F17" s="1256">
        <v>167220290.72</v>
      </c>
      <c r="G17" s="1256">
        <v>167220290.72</v>
      </c>
      <c r="H17" s="1256">
        <v>165260316.30000001</v>
      </c>
      <c r="I17" s="554"/>
    </row>
    <row r="18" spans="2:10" s="551" customFormat="1" ht="15.25" customHeight="1">
      <c r="B18" s="1254" t="s">
        <v>255</v>
      </c>
      <c r="C18" s="553"/>
      <c r="D18" s="557"/>
      <c r="E18" s="1255"/>
      <c r="F18" s="1256">
        <v>121432704.20999999</v>
      </c>
      <c r="G18" s="1256">
        <v>121432704.20999999</v>
      </c>
      <c r="H18" s="1256">
        <v>130875632.56999999</v>
      </c>
      <c r="I18" s="554"/>
    </row>
    <row r="19" spans="2:10" s="551" customFormat="1" ht="16.5" customHeight="1">
      <c r="B19" s="1254" t="s">
        <v>256</v>
      </c>
      <c r="C19" s="553"/>
      <c r="D19" s="559"/>
      <c r="E19" s="1257"/>
      <c r="F19" s="1256">
        <v>207187053.49000001</v>
      </c>
      <c r="G19" s="1256">
        <v>207187053.49000001</v>
      </c>
      <c r="H19" s="1256">
        <v>191633580.59</v>
      </c>
      <c r="I19" s="554"/>
    </row>
    <row r="20" spans="2:10" s="551" customFormat="1" ht="15.25" customHeight="1">
      <c r="B20" s="1254" t="s">
        <v>257</v>
      </c>
      <c r="C20" s="553"/>
      <c r="D20" s="258"/>
      <c r="E20" s="1257"/>
      <c r="F20" s="1256" t="s">
        <v>28</v>
      </c>
      <c r="G20" s="1256" t="s">
        <v>28</v>
      </c>
      <c r="H20" s="1256" t="s">
        <v>28</v>
      </c>
      <c r="I20" s="554"/>
    </row>
    <row r="21" spans="2:10" s="551" customFormat="1" ht="15.25" customHeight="1">
      <c r="B21" s="1254" t="s">
        <v>258</v>
      </c>
      <c r="C21" s="553"/>
      <c r="D21" s="557"/>
      <c r="E21" s="1255"/>
      <c r="F21" s="1256">
        <v>855137860</v>
      </c>
      <c r="G21" s="1256">
        <v>855137860</v>
      </c>
      <c r="H21" s="1256">
        <v>912956543</v>
      </c>
      <c r="I21" s="554"/>
    </row>
    <row r="22" spans="2:10" s="551" customFormat="1" ht="15.25" customHeight="1">
      <c r="B22" s="1254" t="s">
        <v>259</v>
      </c>
      <c r="C22" s="553"/>
      <c r="D22" s="557"/>
      <c r="E22" s="1255"/>
      <c r="F22" s="1256">
        <v>178654905.66999999</v>
      </c>
      <c r="G22" s="1256">
        <v>178654905.66999999</v>
      </c>
      <c r="H22" s="1256">
        <v>185104612.28999999</v>
      </c>
      <c r="I22" s="554"/>
    </row>
    <row r="23" spans="2:10" s="551" customFormat="1" ht="16.5" customHeight="1">
      <c r="B23" s="1254" t="s">
        <v>856</v>
      </c>
      <c r="C23" s="553"/>
      <c r="D23" s="559"/>
      <c r="E23" s="1257"/>
      <c r="F23" s="1256">
        <v>88997519.920000002</v>
      </c>
      <c r="G23" s="1256">
        <v>88997519.920000002</v>
      </c>
      <c r="H23" s="1256">
        <v>101788328.22</v>
      </c>
      <c r="I23" s="554"/>
    </row>
    <row r="24" spans="2:10" s="551" customFormat="1" ht="15.25" customHeight="1">
      <c r="B24" s="1254" t="s">
        <v>261</v>
      </c>
      <c r="C24" s="553"/>
      <c r="D24" s="258"/>
      <c r="E24" s="1255"/>
      <c r="F24" s="1256">
        <v>105963561.48999999</v>
      </c>
      <c r="G24" s="1256">
        <v>105963561.48999999</v>
      </c>
      <c r="H24" s="1256">
        <v>110374938.58</v>
      </c>
      <c r="I24" s="554"/>
    </row>
    <row r="25" spans="2:10" s="551" customFormat="1" ht="15.25" customHeight="1">
      <c r="B25" s="1254" t="s">
        <v>1126</v>
      </c>
      <c r="C25" s="553"/>
      <c r="D25" s="557"/>
      <c r="E25" s="1257"/>
      <c r="F25" s="1256">
        <v>688405441</v>
      </c>
      <c r="G25" s="1256">
        <v>688405441</v>
      </c>
      <c r="H25" s="1256">
        <v>758059087.86000001</v>
      </c>
      <c r="I25" s="554"/>
    </row>
    <row r="26" spans="2:10" s="351" customFormat="1" ht="15.25" customHeight="1">
      <c r="B26" s="555"/>
      <c r="C26" s="560"/>
      <c r="D26" s="239"/>
      <c r="F26" s="239"/>
      <c r="G26" s="239"/>
      <c r="H26" s="239"/>
      <c r="I26" s="554"/>
      <c r="J26" s="551"/>
    </row>
    <row r="27" spans="2:10" s="549" customFormat="1" ht="15.25" customHeight="1">
      <c r="B27" s="1252" t="s">
        <v>1127</v>
      </c>
      <c r="F27" s="582"/>
      <c r="G27" s="582"/>
      <c r="H27" s="582"/>
    </row>
    <row r="28" spans="2:10" s="549" customFormat="1" ht="15.25" customHeight="1">
      <c r="B28" s="1253" t="s">
        <v>1128</v>
      </c>
      <c r="F28" s="582"/>
      <c r="G28" s="582"/>
      <c r="H28" s="582"/>
    </row>
    <row r="29" spans="2:10" s="551" customFormat="1" ht="16.5" customHeight="1">
      <c r="B29" s="552"/>
      <c r="C29" s="553"/>
      <c r="D29" s="258"/>
      <c r="E29" s="258"/>
      <c r="F29" s="239"/>
      <c r="G29" s="239"/>
      <c r="H29" s="239"/>
      <c r="I29" s="554"/>
    </row>
    <row r="30" spans="2:10" s="551" customFormat="1" ht="16.5" customHeight="1">
      <c r="B30" s="562" t="s">
        <v>776</v>
      </c>
      <c r="C30" s="553"/>
      <c r="D30" s="258"/>
      <c r="E30" s="214"/>
      <c r="F30" s="214">
        <f t="shared" ref="F30:H30" si="1">SUM(F31:F44)</f>
        <v>3001086230.4700003</v>
      </c>
      <c r="G30" s="214">
        <f t="shared" si="1"/>
        <v>3001086230.4700003</v>
      </c>
      <c r="H30" s="214">
        <f t="shared" si="1"/>
        <v>3027041449.9799995</v>
      </c>
      <c r="I30" s="554"/>
    </row>
    <row r="31" spans="2:10" s="551" customFormat="1" ht="15.25" customHeight="1">
      <c r="B31" s="1254" t="s">
        <v>249</v>
      </c>
      <c r="C31" s="553"/>
      <c r="D31" s="258"/>
      <c r="E31" s="1257"/>
      <c r="F31" s="1256">
        <v>299809512.74000001</v>
      </c>
      <c r="G31" s="1256">
        <v>299809512.74000001</v>
      </c>
      <c r="H31" s="1256">
        <v>299837853.39999998</v>
      </c>
      <c r="I31" s="554"/>
    </row>
    <row r="32" spans="2:10" s="551" customFormat="1" ht="15.25" customHeight="1">
      <c r="B32" s="1254" t="s">
        <v>250</v>
      </c>
      <c r="C32" s="553"/>
      <c r="D32" s="557"/>
      <c r="E32" s="1255"/>
      <c r="F32" s="1256">
        <v>192622521.12</v>
      </c>
      <c r="G32" s="1256">
        <v>192622521.12</v>
      </c>
      <c r="H32" s="1256">
        <v>195698217.47</v>
      </c>
      <c r="I32" s="554"/>
    </row>
    <row r="33" spans="1:10" s="551" customFormat="1" ht="15.25" customHeight="1">
      <c r="B33" s="1254" t="s">
        <v>251</v>
      </c>
      <c r="C33" s="553"/>
      <c r="D33" s="557"/>
      <c r="E33" s="1255"/>
      <c r="F33" s="1256">
        <v>189017291</v>
      </c>
      <c r="G33" s="1256">
        <v>189017291</v>
      </c>
      <c r="H33" s="1256">
        <v>185584047.38999999</v>
      </c>
      <c r="I33" s="554"/>
    </row>
    <row r="34" spans="1:10" s="551" customFormat="1" ht="16.5" customHeight="1">
      <c r="B34" s="1254" t="s">
        <v>252</v>
      </c>
      <c r="C34" s="553"/>
      <c r="D34" s="559"/>
      <c r="E34" s="1257"/>
      <c r="F34" s="1256">
        <v>96620295.079999998</v>
      </c>
      <c r="G34" s="1256">
        <v>96620295.079999998</v>
      </c>
      <c r="H34" s="1256">
        <v>80269854</v>
      </c>
      <c r="I34" s="554"/>
    </row>
    <row r="35" spans="1:10" s="551" customFormat="1" ht="15.25" customHeight="1">
      <c r="B35" s="1254" t="s">
        <v>253</v>
      </c>
      <c r="C35" s="553"/>
      <c r="D35" s="258"/>
      <c r="E35" s="1257"/>
      <c r="F35" s="1256">
        <v>123406206.16</v>
      </c>
      <c r="G35" s="1256">
        <v>123406206.16</v>
      </c>
      <c r="H35" s="1256">
        <v>114037224.28</v>
      </c>
      <c r="I35" s="554"/>
    </row>
    <row r="36" spans="1:10" s="551" customFormat="1" ht="15.25" customHeight="1">
      <c r="B36" s="1254" t="s">
        <v>254</v>
      </c>
      <c r="C36" s="553"/>
      <c r="D36" s="557"/>
      <c r="E36" s="1257"/>
      <c r="F36" s="1256">
        <v>146767912.16999999</v>
      </c>
      <c r="G36" s="1256">
        <v>146767912.16999999</v>
      </c>
      <c r="H36" s="1256">
        <v>134991563.56</v>
      </c>
      <c r="I36" s="554"/>
    </row>
    <row r="37" spans="1:10" s="551" customFormat="1" ht="15.25" customHeight="1">
      <c r="B37" s="1254" t="s">
        <v>255</v>
      </c>
      <c r="C37" s="553"/>
      <c r="D37" s="557"/>
      <c r="E37" s="1255"/>
      <c r="F37" s="1256">
        <v>111384871.79000001</v>
      </c>
      <c r="G37" s="1256">
        <v>111384871.79000001</v>
      </c>
      <c r="H37" s="1256">
        <v>126581574.20999999</v>
      </c>
      <c r="I37" s="554"/>
    </row>
    <row r="38" spans="1:10" s="551" customFormat="1" ht="16.5" customHeight="1">
      <c r="B38" s="1254" t="s">
        <v>256</v>
      </c>
      <c r="C38" s="553"/>
      <c r="D38" s="559"/>
      <c r="E38" s="1255"/>
      <c r="F38" s="1256">
        <v>196836278.44</v>
      </c>
      <c r="G38" s="1256">
        <v>196836278.44</v>
      </c>
      <c r="H38" s="1256">
        <v>165047590.88</v>
      </c>
      <c r="I38" s="554"/>
    </row>
    <row r="39" spans="1:10" s="551" customFormat="1" ht="15.25" customHeight="1">
      <c r="B39" s="1254" t="s">
        <v>257</v>
      </c>
      <c r="C39" s="553"/>
      <c r="D39" s="258"/>
      <c r="E39" s="1257"/>
      <c r="F39" s="1256" t="s">
        <v>28</v>
      </c>
      <c r="G39" s="1256" t="s">
        <v>28</v>
      </c>
      <c r="H39" s="1256" t="s">
        <v>28</v>
      </c>
      <c r="I39" s="554"/>
    </row>
    <row r="40" spans="1:10" s="551" customFormat="1" ht="15.25" customHeight="1">
      <c r="B40" s="1254" t="s">
        <v>258</v>
      </c>
      <c r="C40" s="553"/>
      <c r="D40" s="557"/>
      <c r="E40" s="1255"/>
      <c r="F40" s="1256">
        <v>868263524</v>
      </c>
      <c r="G40" s="1256">
        <v>868263524</v>
      </c>
      <c r="H40" s="1256">
        <v>867227310</v>
      </c>
      <c r="I40" s="554"/>
    </row>
    <row r="41" spans="1:10" s="551" customFormat="1" ht="15.25" customHeight="1">
      <c r="B41" s="1254" t="s">
        <v>259</v>
      </c>
      <c r="C41" s="553"/>
      <c r="D41" s="557"/>
      <c r="E41" s="1255"/>
      <c r="F41" s="1256">
        <v>191240463.33000001</v>
      </c>
      <c r="G41" s="1256">
        <v>191240463.33000001</v>
      </c>
      <c r="H41" s="1256">
        <v>171122295.83000001</v>
      </c>
      <c r="I41" s="554"/>
    </row>
    <row r="42" spans="1:10" s="551" customFormat="1" ht="16.5" customHeight="1">
      <c r="B42" s="1254" t="s">
        <v>856</v>
      </c>
      <c r="C42" s="553"/>
      <c r="D42" s="559"/>
      <c r="E42" s="1255"/>
      <c r="F42" s="1256">
        <v>71621952.819999993</v>
      </c>
      <c r="G42" s="1256">
        <v>71621952.819999993</v>
      </c>
      <c r="H42" s="1256">
        <v>88575346.450000003</v>
      </c>
      <c r="I42" s="554"/>
    </row>
    <row r="43" spans="1:10" s="551" customFormat="1" ht="15.25" customHeight="1">
      <c r="B43" s="1254" t="s">
        <v>261</v>
      </c>
      <c r="C43" s="553"/>
      <c r="D43" s="258"/>
      <c r="E43" s="1257"/>
      <c r="F43" s="1256">
        <v>68143055.819999993</v>
      </c>
      <c r="G43" s="1256">
        <v>68143055.819999993</v>
      </c>
      <c r="H43" s="1256">
        <v>71597655.810000002</v>
      </c>
      <c r="I43" s="554"/>
    </row>
    <row r="44" spans="1:10" s="551" customFormat="1" ht="15.25" customHeight="1">
      <c r="B44" s="1254" t="s">
        <v>1126</v>
      </c>
      <c r="C44" s="553"/>
      <c r="D44" s="557"/>
      <c r="E44" s="1255"/>
      <c r="F44" s="1256">
        <v>445352346</v>
      </c>
      <c r="G44" s="1256">
        <v>445352346</v>
      </c>
      <c r="H44" s="1256">
        <v>526470916.69999999</v>
      </c>
      <c r="I44" s="554"/>
    </row>
    <row r="45" spans="1:10" s="351" customFormat="1" ht="15.25" customHeight="1">
      <c r="B45" s="555"/>
      <c r="C45" s="560"/>
      <c r="D45" s="239"/>
      <c r="E45" s="1257"/>
      <c r="F45" s="1256"/>
      <c r="G45" s="1256"/>
      <c r="H45" s="1256"/>
      <c r="I45" s="554"/>
      <c r="J45" s="551"/>
    </row>
    <row r="46" spans="1:10" s="549" customFormat="1" ht="8.25" customHeight="1">
      <c r="B46" s="562"/>
      <c r="C46" s="555"/>
      <c r="D46" s="563"/>
      <c r="E46" s="564"/>
      <c r="F46" s="565"/>
      <c r="G46" s="564"/>
      <c r="H46" s="564"/>
      <c r="I46" s="564"/>
    </row>
    <row r="47" spans="1:10" s="549" customFormat="1" ht="8.25" customHeight="1" thickBot="1">
      <c r="A47" s="566"/>
      <c r="B47" s="566"/>
      <c r="C47" s="566"/>
      <c r="D47" s="567"/>
      <c r="E47" s="567"/>
      <c r="F47" s="567"/>
      <c r="G47" s="567"/>
      <c r="H47" s="567"/>
      <c r="I47" s="564"/>
    </row>
    <row r="48" spans="1:10" s="549" customFormat="1" ht="15.25" customHeight="1" thickTop="1">
      <c r="E48" s="1429" t="s">
        <v>1129</v>
      </c>
      <c r="F48" s="1429"/>
      <c r="G48" s="1429"/>
      <c r="H48" s="1429"/>
      <c r="I48" s="570"/>
    </row>
    <row r="49" spans="1:9" s="545" customFormat="1" ht="14">
      <c r="E49" s="1332" t="s">
        <v>1130</v>
      </c>
      <c r="F49" s="1332"/>
      <c r="G49" s="1332"/>
      <c r="H49" s="1332"/>
      <c r="I49" s="1258"/>
    </row>
    <row r="50" spans="1:9" s="545" customFormat="1" ht="14">
      <c r="A50" s="1259"/>
      <c r="B50" s="299" t="s">
        <v>134</v>
      </c>
      <c r="C50" s="549"/>
      <c r="D50" s="568"/>
      <c r="E50" s="564"/>
      <c r="F50" s="568"/>
      <c r="G50" s="568"/>
      <c r="H50" s="568"/>
    </row>
    <row r="51" spans="1:9" s="545" customFormat="1" ht="14">
      <c r="A51" s="1259"/>
      <c r="B51" s="570" t="s">
        <v>1131</v>
      </c>
      <c r="C51" s="299"/>
      <c r="D51" s="299"/>
      <c r="E51" s="549"/>
      <c r="F51" s="299"/>
      <c r="G51" s="299"/>
      <c r="H51" s="299"/>
    </row>
    <row r="52" spans="1:9" s="545" customFormat="1" ht="14">
      <c r="B52" s="1258" t="s">
        <v>1132</v>
      </c>
      <c r="C52" s="299"/>
      <c r="D52" s="299"/>
      <c r="E52" s="549"/>
      <c r="F52" s="299"/>
      <c r="G52" s="299"/>
      <c r="H52" s="299"/>
      <c r="I52" s="193"/>
    </row>
  </sheetData>
  <mergeCells count="3">
    <mergeCell ref="B6:C6"/>
    <mergeCell ref="E48:H48"/>
    <mergeCell ref="E49:H49"/>
  </mergeCells>
  <conditionalFormatting sqref="C26">
    <cfRule type="cellIs" dxfId="1" priority="2" stopIfTrue="1" operator="lessThan">
      <formula>0</formula>
    </cfRule>
  </conditionalFormatting>
  <conditionalFormatting sqref="C45">
    <cfRule type="cellIs" dxfId="0" priority="1"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73"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44</vt:i4>
      </vt:variant>
      <vt:variant>
        <vt:lpstr>Named Ranges</vt:lpstr>
      </vt:variant>
      <vt:variant>
        <vt:i4>31</vt:i4>
      </vt:variant>
    </vt:vector>
  </HeadingPairs>
  <TitlesOfParts>
    <vt:vector size="75" baseType="lpstr">
      <vt:lpstr>14.0_KDNK</vt:lpstr>
      <vt:lpstr>14.0_KDNK_samb</vt:lpstr>
      <vt:lpstr>14.0_KDNK_sambg1</vt:lpstr>
      <vt:lpstr>15.0_Pasaran_Kewagn</vt:lpstr>
      <vt:lpstr>16.0_Akaun_ SP</vt:lpstr>
      <vt:lpstr>17.0_Akaun_ STMK</vt:lpstr>
      <vt:lpstr>18.0_Stok_Modal</vt:lpstr>
      <vt:lpstr>19.0_Imbagn_Pembayaran</vt:lpstr>
      <vt:lpstr>20.0_Eksport_Import</vt:lpstr>
      <vt:lpstr>21.0_Pelancongn_Domestik</vt:lpstr>
      <vt:lpstr>22.0_Pasaran_Buruh</vt:lpstr>
      <vt:lpstr>22.0_Pasaran_Buruh_sambg</vt:lpstr>
      <vt:lpstr>23.0_IHP</vt:lpstr>
      <vt:lpstr>23.1_Harga_Item_Terpilih</vt:lpstr>
      <vt:lpstr>23.1_Harga_Item_Terpilih_sambg)</vt:lpstr>
      <vt:lpstr>24.0_IHPR</vt:lpstr>
      <vt:lpstr>25.0_Kemalangan_Pekerja</vt:lpstr>
      <vt:lpstr>25.0_Kemalangan_Pekerja(samb)</vt:lpstr>
      <vt:lpstr>26.0_Peratusan_Ahli_Parlimen</vt:lpstr>
      <vt:lpstr>27.0_Bilangan_Hakim</vt:lpstr>
      <vt:lpstr>28.0_Bilangan_Hakim_Syariah</vt:lpstr>
      <vt:lpstr>29.0_Bil_KSU</vt:lpstr>
      <vt:lpstr>30.0_Bil_Murid</vt:lpstr>
      <vt:lpstr>31.0_Jenayah_violent</vt:lpstr>
      <vt:lpstr>31.1_Jenayah_harta</vt:lpstr>
      <vt:lpstr>32.0_Kemalangan_Jalan_Raya</vt:lpstr>
      <vt:lpstr>33.0 Oku kumulatif</vt:lpstr>
      <vt:lpstr>34.0_Capaian_ICT_Isi_Rumh</vt:lpstr>
      <vt:lpstr>35.0_Pendpatn_Perbelanjaan</vt:lpstr>
      <vt:lpstr>36.0_Penggunaan_Perkapita_PCC</vt:lpstr>
      <vt:lpstr>36.1_Perkapita_Pertanian</vt:lpstr>
      <vt:lpstr>37.0_Purata_Suhu</vt:lpstr>
      <vt:lpstr>37.0_Purata_Suhu_sambg</vt:lpstr>
      <vt:lpstr>37.0_Purata_Suhu_sambg1</vt:lpstr>
      <vt:lpstr>37.0_Purata_Suhu_sambg2</vt:lpstr>
      <vt:lpstr>Jad38_hujan</vt:lpstr>
      <vt:lpstr>Jad38_hujan(samb)</vt:lpstr>
      <vt:lpstr>Jad38_hujan(samb1)</vt:lpstr>
      <vt:lpstr>Jad38_hujan(samb2)</vt:lpstr>
      <vt:lpstr>Jad39 Kelembapan</vt:lpstr>
      <vt:lpstr>Jad39 Kelembapan(samb)</vt:lpstr>
      <vt:lpstr>40.0_Kes_COVID 19</vt:lpstr>
      <vt:lpstr>40.1_Penerima_Vaksin malaysia</vt:lpstr>
      <vt:lpstr>41.0_Agihan_Zakat</vt:lpstr>
      <vt:lpstr>'14.0_KDNK_samb'!Print_Area</vt:lpstr>
      <vt:lpstr>'14.0_KDNK_sambg1'!Print_Area</vt:lpstr>
      <vt:lpstr>'16.0_Akaun_ SP'!Print_Area</vt:lpstr>
      <vt:lpstr>'18.0_Stok_Modal'!Print_Area</vt:lpstr>
      <vt:lpstr>'19.0_Imbagn_Pembayaran'!Print_Area</vt:lpstr>
      <vt:lpstr>'20.0_Eksport_Import'!Print_Area</vt:lpstr>
      <vt:lpstr>'22.0_Pasaran_Buruh'!Print_Area</vt:lpstr>
      <vt:lpstr>'23.1_Harga_Item_Terpilih'!Print_Area</vt:lpstr>
      <vt:lpstr>'23.1_Harga_Item_Terpilih_sambg)'!Print_Area</vt:lpstr>
      <vt:lpstr>'24.0_IHPR'!Print_Area</vt:lpstr>
      <vt:lpstr>'25.0_Kemalangan_Pekerja'!Print_Area</vt:lpstr>
      <vt:lpstr>'26.0_Peratusan_Ahli_Parlimen'!Print_Area</vt:lpstr>
      <vt:lpstr>'27.0_Bilangan_Hakim'!Print_Area</vt:lpstr>
      <vt:lpstr>'28.0_Bilangan_Hakim_Syariah'!Print_Area</vt:lpstr>
      <vt:lpstr>'29.0_Bil_KSU'!Print_Area</vt:lpstr>
      <vt:lpstr>'31.0_Jenayah_violent'!Print_Area</vt:lpstr>
      <vt:lpstr>'31.1_Jenayah_harta'!Print_Area</vt:lpstr>
      <vt:lpstr>'33.0 Oku kumulatif'!Print_Area</vt:lpstr>
      <vt:lpstr>'34.0_Capaian_ICT_Isi_Rumh'!Print_Area</vt:lpstr>
      <vt:lpstr>'35.0_Pendpatn_Perbelanjaan'!Print_Area</vt:lpstr>
      <vt:lpstr>'36.0_Penggunaan_Perkapita_PCC'!Print_Area</vt:lpstr>
      <vt:lpstr>'36.1_Perkapita_Pertanian'!Print_Area</vt:lpstr>
      <vt:lpstr>'37.0_Purata_Suhu'!Print_Area</vt:lpstr>
      <vt:lpstr>'37.0_Purata_Suhu_sambg'!Print_Area</vt:lpstr>
      <vt:lpstr>'37.0_Purata_Suhu_sambg1'!Print_Area</vt:lpstr>
      <vt:lpstr>'40.0_Kes_COVID 19'!Print_Area</vt:lpstr>
      <vt:lpstr>'41.0_Agihan_Zakat'!Print_Area</vt:lpstr>
      <vt:lpstr>Jad38_hujan!Print_Area</vt:lpstr>
      <vt:lpstr>'Jad38_hujan(samb)'!Print_Area</vt:lpstr>
      <vt:lpstr>'Jad39 Kelembapan(samb)'!Print_Area</vt:lpstr>
      <vt:lpstr>'23.1_Harga_Item_Terpilih_sambg)'!Print_Titles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Siti Nurzulaika Sukarno</dc:creator>
  <cp:lastModifiedBy>MUHAMMAD AKMAL HAKIM BIN AHMAD ASMAWI</cp:lastModifiedBy>
  <dcterms:created xsi:type="dcterms:W3CDTF">2025-10-22T03:04:54Z</dcterms:created>
  <dcterms:modified xsi:type="dcterms:W3CDTF">2026-08-06T03:06:39Z</dcterms:modified>
</cp:coreProperties>
</file>
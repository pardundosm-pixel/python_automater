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codeName="ThisWorkbook" defaultThemeVersion="166925"/>
  <mc:AlternateContent xmlns:mc="http://schemas.openxmlformats.org/markup-compatibility/2006">
    <mc:Choice Requires="x15">
      <x15ac:absPath xmlns:x15ac="http://schemas.microsoft.com/office/spreadsheetml/2010/11/ac" url="D:\PARLIMEN DAN DUN 2026\"/>
    </mc:Choice>
  </mc:AlternateContent>
  <xr:revisionPtr revIDLastSave="0" documentId="13_ncr:1_{1504CC5A-606B-401C-BAEB-F0280A226B3B}" xr6:coauthVersionLast="47" xr6:coauthVersionMax="47" xr10:uidLastSave="{00000000-0000-0000-0000-000000000000}"/>
  <bookViews>
    <workbookView xWindow="-120" yWindow="-120" windowWidth="20730" windowHeight="11040" tabRatio="881" firstSheet="70" activeTab="78" xr2:uid="{00000000-000D-0000-FFFF-FFFF00000000}"/>
  </bookViews>
  <sheets>
    <sheet name="1.0_Maklumat_Asas" sheetId="69" r:id="rId1"/>
    <sheet name="2.0_Penduduk_Malaysia" sheetId="70" r:id="rId2"/>
    <sheet name="2.1_Penduduk_Negeri" sheetId="71" r:id="rId3"/>
    <sheet name="2.2_Penduduk_Parlimen" sheetId="72" r:id="rId4"/>
    <sheet name="2.3_Penduduk" sheetId="73" r:id="rId5"/>
    <sheet name="3.0_Perumahan" sheetId="74" r:id="rId6"/>
    <sheet name="4.0_Guna_Tenaga" sheetId="75" r:id="rId7"/>
    <sheet name="5.0_Pendapatan" sheetId="76" r:id="rId8"/>
    <sheet name="6.0_Pendidikan_SK" sheetId="123" r:id="rId9"/>
    <sheet name="6.1_Pendidikan_Swasta" sheetId="78" r:id="rId10"/>
    <sheet name="7.0_Kesihatan" sheetId="79" r:id="rId11"/>
    <sheet name="8.0_Jantina" sheetId="80" r:id="rId12"/>
    <sheet name="8.1_Etnik" sheetId="81" r:id="rId13"/>
    <sheet name="8.2_Agama" sheetId="82" r:id="rId14"/>
    <sheet name="8.3_Umur" sheetId="83" r:id="rId15"/>
    <sheet name="9.0_Keselamatan_Awam" sheetId="84" r:id="rId16"/>
    <sheet name="10.0_IMS" sheetId="85" r:id="rId17"/>
    <sheet name="11.0_Air_Elektrik_Sampah" sheetId="86" r:id="rId18"/>
    <sheet name="12.0_Pertubuhan" sheetId="87" r:id="rId19"/>
    <sheet name="12.1_Prtubuhn_Perkhdmtn" sheetId="88" r:id="rId20"/>
    <sheet name="12.1_Prtubuhn_Perkhdmtn_1" sheetId="89" r:id="rId21"/>
    <sheet name="12.2_Kemudahan_Asas" sheetId="90" r:id="rId22"/>
    <sheet name="13.0_Fasiliti_awam" sheetId="91" r:id="rId23"/>
    <sheet name="13.0_Fasiliti_awam_1" sheetId="92" r:id="rId24"/>
    <sheet name="13.1_Statistik_Perkhidmtn_lain" sheetId="93" r:id="rId25"/>
    <sheet name="13.2_Koperasi" sheetId="94" r:id="rId26"/>
    <sheet name="14.0_KDNK" sheetId="24" r:id="rId27"/>
    <sheet name="14.0_KDNK_1" sheetId="25" r:id="rId28"/>
    <sheet name="14.0_KDNK_2" sheetId="26" r:id="rId29"/>
    <sheet name="15.0_Pasaran_Kewagn" sheetId="27" r:id="rId30"/>
    <sheet name="16.0_Akaun_ SP" sheetId="28" r:id="rId31"/>
    <sheet name="17.0_Akaun_ STMK" sheetId="29" r:id="rId32"/>
    <sheet name="18.0_Stok_Modal" sheetId="30" r:id="rId33"/>
    <sheet name="19.0_Imbagn_Pembayaran" sheetId="31" r:id="rId34"/>
    <sheet name="20.0_Eksport_Import" sheetId="120" r:id="rId35"/>
    <sheet name="21.0_Pelancongn_Domestik" sheetId="33" r:id="rId36"/>
    <sheet name="22.0_Pasaran_Buruh" sheetId="34" r:id="rId37"/>
    <sheet name="22.0_Pasaran_Buruh_1" sheetId="35" r:id="rId38"/>
    <sheet name="23.0_IHP" sheetId="36" r:id="rId39"/>
    <sheet name="23.1_Harga_Item_Terpilih" sheetId="128" r:id="rId40"/>
    <sheet name="23.1_Harga_Item_Terpilih_1" sheetId="129" r:id="rId41"/>
    <sheet name="24.0_IHPR" sheetId="39" r:id="rId42"/>
    <sheet name="25.0_Kecederaan_Pekerja" sheetId="40" r:id="rId43"/>
    <sheet name="25.0_Kecederaan_Pekerja_1" sheetId="41" r:id="rId44"/>
    <sheet name="26.0_Peratusan_Ahli_Parlimen" sheetId="42" r:id="rId45"/>
    <sheet name="27.0_Bilangan_Hakim" sheetId="43" r:id="rId46"/>
    <sheet name="28.0_Bilangan_Hakim_Syariah" sheetId="44" r:id="rId47"/>
    <sheet name="29.0_Bil_KSU" sheetId="45" r:id="rId48"/>
    <sheet name="30.0_Bil_Murid" sheetId="46" r:id="rId49"/>
    <sheet name="31.0_Jenayah_kekerasan" sheetId="47" r:id="rId50"/>
    <sheet name="31.1_Jenayah_harta_benda" sheetId="48" r:id="rId51"/>
    <sheet name="32.0_Kemalangan_Jalan_Raya" sheetId="49" r:id="rId52"/>
    <sheet name="33.0 Oku_kumulatif" sheetId="50" r:id="rId53"/>
    <sheet name="34.0_Capaian_ICT_Isi_Rumh" sheetId="52" r:id="rId54"/>
    <sheet name="35.0_Pendpatn_Perbelanjaan" sheetId="53" r:id="rId55"/>
    <sheet name="36.0_Penggunaan_Perkapita_PCC" sheetId="130" r:id="rId56"/>
    <sheet name="36.1_Perkapita_Pertanian" sheetId="131" r:id="rId57"/>
    <sheet name="37.0_Purata_Suhu" sheetId="132" r:id="rId58"/>
    <sheet name="37.0_Purata_Suhu_1" sheetId="133" r:id="rId59"/>
    <sheet name="37.0_Purata_Suhu_2" sheetId="134" r:id="rId60"/>
    <sheet name="37.0_Purata_Suhu_3" sheetId="135" r:id="rId61"/>
    <sheet name="38.0_hujan" sheetId="136" r:id="rId62"/>
    <sheet name="38.0_hujan_1" sheetId="137" r:id="rId63"/>
    <sheet name="38.0_hujan_2" sheetId="138" r:id="rId64"/>
    <sheet name="38.0_hujan_3" sheetId="139" r:id="rId65"/>
    <sheet name="39.0_Kelembapan" sheetId="140" r:id="rId66"/>
    <sheet name="39_0_Kelembapan_1" sheetId="141" r:id="rId67"/>
    <sheet name="40.0_Kes_COVID 19" sheetId="142" r:id="rId68"/>
    <sheet name="40.1_Penerima_Vaksin_Malaysia" sheetId="143" r:id="rId69"/>
    <sheet name="41.0_Agihan_Zakat" sheetId="144" r:id="rId70"/>
    <sheet name="42.0_KDNK " sheetId="145" r:id="rId71"/>
    <sheet name="42.1_KDNK_DP" sheetId="146" r:id="rId72"/>
    <sheet name="43.0_Dagangan" sheetId="147" r:id="rId73"/>
    <sheet name="44.0_Pelancongan" sheetId="148" r:id="rId74"/>
    <sheet name="45.0_Buruh" sheetId="149" r:id="rId75"/>
    <sheet name="45.0_Buruh_1" sheetId="150" r:id="rId76"/>
    <sheet name="45.1_Buruh_DP " sheetId="151" r:id="rId77"/>
    <sheet name="46.0_Harga" sheetId="152" r:id="rId78"/>
    <sheet name="46.1_AUP" sheetId="153" r:id="rId79"/>
    <sheet name="46.1_AUP_1" sheetId="154" r:id="rId80"/>
    <sheet name="47.0_Kemalangan_Pekerjaan" sheetId="155" r:id="rId81"/>
    <sheet name="47.0_Kemalangan_Pekerjaan_1" sheetId="156" r:id="rId82"/>
    <sheet name="48.0_Bil_Murid_negeri" sheetId="157" r:id="rId83"/>
    <sheet name="49.0_Taman_Asuhan " sheetId="158" r:id="rId84"/>
    <sheet name="49.0_Asuhan_bil_kanak" sheetId="159" r:id="rId85"/>
    <sheet name="50.0_Jenayah" sheetId="160" r:id="rId86"/>
    <sheet name="50.1_Jenayah " sheetId="161" r:id="rId87"/>
    <sheet name="51.0_Kemalangan_Jalan_Raya " sheetId="162" r:id="rId88"/>
    <sheet name="52.0_ICT" sheetId="163" r:id="rId89"/>
    <sheet name="53.0_Pendapatan" sheetId="164" r:id="rId90"/>
    <sheet name="54.0_Pertanian " sheetId="165" r:id="rId91"/>
    <sheet name="55.0_Penerima_Vaksin_state " sheetId="166" r:id="rId92"/>
  </sheets>
  <externalReferences>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s>
  <definedNames>
    <definedName name="__123Graph_A" localSheetId="0" hidden="1">#REF!</definedName>
    <definedName name="__123Graph_A" localSheetId="16" hidden="1">#REF!</definedName>
    <definedName name="__123Graph_A" localSheetId="17" hidden="1">#REF!</definedName>
    <definedName name="__123Graph_A" localSheetId="18" hidden="1">'[1]4.9'!#REF!</definedName>
    <definedName name="__123Graph_A" localSheetId="19" hidden="1">'[1]4.9'!#REF!</definedName>
    <definedName name="__123Graph_A" localSheetId="21" hidden="1">'[1]4.9'!#REF!</definedName>
    <definedName name="__123Graph_A" localSheetId="22">#REF!</definedName>
    <definedName name="__123Graph_A" localSheetId="1" hidden="1">'[1]4.9'!#REF!</definedName>
    <definedName name="__123Graph_A" localSheetId="2" hidden="1">'[1]4.9'!#REF!</definedName>
    <definedName name="__123Graph_A" localSheetId="4" hidden="1">'[2]4.9'!#REF!</definedName>
    <definedName name="__123Graph_A" localSheetId="48" hidden="1">'[1]4.9'!#REF!</definedName>
    <definedName name="__123Graph_A" localSheetId="52" hidden="1">'[3]4.9'!#REF!</definedName>
    <definedName name="__123Graph_A" localSheetId="6" hidden="1">#REF!</definedName>
    <definedName name="__123Graph_A" localSheetId="68" hidden="1">'[1]4.9'!#REF!</definedName>
    <definedName name="__123Graph_A" localSheetId="71" hidden="1">'[1]4.9'!#REF!</definedName>
    <definedName name="__123Graph_A" localSheetId="82" hidden="1">'[1]4.9'!#REF!</definedName>
    <definedName name="__123Graph_A" localSheetId="7" hidden="1">#REF!</definedName>
    <definedName name="__123Graph_A" localSheetId="87" hidden="1">'[1]4.9'!#REF!</definedName>
    <definedName name="__123Graph_A" localSheetId="8" hidden="1">'[1]4.9'!#REF!</definedName>
    <definedName name="__123Graph_A" localSheetId="9" hidden="1">'[1]4.9'!#REF!</definedName>
    <definedName name="__123Graph_A" localSheetId="10" hidden="1">'[1]4.9'!#REF!</definedName>
    <definedName name="__123Graph_A" hidden="1">'[1]4.9'!#REF!</definedName>
    <definedName name="__123Graph_A_4" localSheetId="0">#REF!</definedName>
    <definedName name="__123Graph_A_4" localSheetId="16">#REF!</definedName>
    <definedName name="__123Graph_A_4" localSheetId="17">#REF!</definedName>
    <definedName name="__123Graph_A_4" localSheetId="18">#REF!</definedName>
    <definedName name="__123Graph_A_4" localSheetId="19">#REF!</definedName>
    <definedName name="__123Graph_A_4" localSheetId="21">#REF!</definedName>
    <definedName name="__123Graph_A_4" localSheetId="22">#REF!</definedName>
    <definedName name="__123Graph_A_4" localSheetId="1">#REF!</definedName>
    <definedName name="__123Graph_A_4" localSheetId="2">#REF!</definedName>
    <definedName name="__123Graph_A_4" localSheetId="4">#REF!</definedName>
    <definedName name="__123Graph_A_4" localSheetId="48">#REF!</definedName>
    <definedName name="__123Graph_A_4" localSheetId="52">#REF!</definedName>
    <definedName name="__123Graph_A_4" localSheetId="6">#REF!</definedName>
    <definedName name="__123Graph_A_4" localSheetId="68">#REF!</definedName>
    <definedName name="__123Graph_A_4" localSheetId="71">#REF!</definedName>
    <definedName name="__123Graph_A_4" localSheetId="76">#REF!</definedName>
    <definedName name="__123Graph_A_4" localSheetId="78">#REF!</definedName>
    <definedName name="__123Graph_A_4" localSheetId="79">#REF!</definedName>
    <definedName name="__123Graph_A_4" localSheetId="82">#REF!</definedName>
    <definedName name="__123Graph_A_4" localSheetId="85">#REF!</definedName>
    <definedName name="__123Graph_A_4" localSheetId="86">#REF!</definedName>
    <definedName name="__123Graph_A_4" localSheetId="87">#REF!</definedName>
    <definedName name="__123Graph_A_4" localSheetId="8">#REF!</definedName>
    <definedName name="__123Graph_A_4" localSheetId="9">#REF!</definedName>
    <definedName name="__123Graph_A_4">#REF!</definedName>
    <definedName name="__123Graph_ACurrent" localSheetId="0" hidden="1">#REF!</definedName>
    <definedName name="__123Graph_ACurrent" localSheetId="16" hidden="1">#REF!</definedName>
    <definedName name="__123Graph_ACurrent" localSheetId="18" hidden="1">#REF!</definedName>
    <definedName name="__123Graph_ACurrent" localSheetId="19" hidden="1">#REF!</definedName>
    <definedName name="__123Graph_ACurrent" localSheetId="21" hidden="1">#REF!</definedName>
    <definedName name="__123Graph_ACurrent" localSheetId="22">#REF!</definedName>
    <definedName name="__123Graph_ACurrent" localSheetId="1" hidden="1">#REF!</definedName>
    <definedName name="__123Graph_ACurrent" localSheetId="2" hidden="1">#REF!</definedName>
    <definedName name="__123Graph_ACurrent" localSheetId="4" hidden="1">#REF!</definedName>
    <definedName name="__123Graph_ACurrent" localSheetId="48" hidden="1">#REF!</definedName>
    <definedName name="__123Graph_ACurrent" localSheetId="52" hidden="1">#REF!</definedName>
    <definedName name="__123Graph_ACurrent" localSheetId="6" hidden="1">#REF!</definedName>
    <definedName name="__123Graph_ACurrent" localSheetId="68" hidden="1">#REF!</definedName>
    <definedName name="__123Graph_ACurrent" localSheetId="71" hidden="1">#REF!</definedName>
    <definedName name="__123Graph_ACurrent" localSheetId="76" hidden="1">#REF!</definedName>
    <definedName name="__123Graph_ACurrent" localSheetId="78" hidden="1">#REF!</definedName>
    <definedName name="__123Graph_ACurrent" localSheetId="79" hidden="1">#REF!</definedName>
    <definedName name="__123Graph_ACurrent" localSheetId="82" hidden="1">#REF!</definedName>
    <definedName name="__123Graph_ACurrent" localSheetId="85" hidden="1">#REF!</definedName>
    <definedName name="__123Graph_ACurrent" localSheetId="86" hidden="1">#REF!</definedName>
    <definedName name="__123Graph_ACurrent" localSheetId="87" hidden="1">#REF!</definedName>
    <definedName name="__123Graph_ACurrent" localSheetId="8" hidden="1">#REF!</definedName>
    <definedName name="__123Graph_ACurrent" localSheetId="9" hidden="1">#REF!</definedName>
    <definedName name="__123Graph_ACurrent" hidden="1">#REF!</definedName>
    <definedName name="__123Graph_B" localSheetId="0" hidden="1">#REF!</definedName>
    <definedName name="__123Graph_B" localSheetId="16" hidden="1">#REF!</definedName>
    <definedName name="__123Graph_B" localSheetId="17" hidden="1">#REF!</definedName>
    <definedName name="__123Graph_B" localSheetId="4" hidden="1">'[4]5.11'!$E$15:$J$15</definedName>
    <definedName name="__123Graph_B" localSheetId="52" hidden="1">'[5]5.16'!$E$36:$K$36</definedName>
    <definedName name="__123Graph_B" localSheetId="6" hidden="1">#REF!</definedName>
    <definedName name="__123Graph_B" localSheetId="7" hidden="1">#REF!</definedName>
    <definedName name="__123Graph_B" hidden="1">'[6]5.11'!$E$15:$J$15</definedName>
    <definedName name="__123Graph_BCurrent" localSheetId="0" hidden="1">#REF!</definedName>
    <definedName name="__123Graph_BCurrent" localSheetId="16" hidden="1">#REF!</definedName>
    <definedName name="__123Graph_BCurrent" localSheetId="18" hidden="1">#REF!</definedName>
    <definedName name="__123Graph_BCurrent" localSheetId="19" hidden="1">#REF!</definedName>
    <definedName name="__123Graph_BCurrent" localSheetId="21" hidden="1">#REF!</definedName>
    <definedName name="__123Graph_BCurrent" localSheetId="22">#REF!</definedName>
    <definedName name="__123Graph_BCurrent" localSheetId="1" hidden="1">#REF!</definedName>
    <definedName name="__123Graph_BCurrent" localSheetId="2" hidden="1">#REF!</definedName>
    <definedName name="__123Graph_BCurrent" localSheetId="4" hidden="1">#REF!</definedName>
    <definedName name="__123Graph_BCurrent" localSheetId="48" hidden="1">#REF!</definedName>
    <definedName name="__123Graph_BCurrent" localSheetId="52" hidden="1">#REF!</definedName>
    <definedName name="__123Graph_BCurrent" localSheetId="68" hidden="1">#REF!</definedName>
    <definedName name="__123Graph_BCurrent" localSheetId="71" hidden="1">#REF!</definedName>
    <definedName name="__123Graph_BCurrent" localSheetId="76" hidden="1">#REF!</definedName>
    <definedName name="__123Graph_BCurrent" localSheetId="78" hidden="1">#REF!</definedName>
    <definedName name="__123Graph_BCurrent" localSheetId="79" hidden="1">#REF!</definedName>
    <definedName name="__123Graph_BCurrent" localSheetId="82" hidden="1">#REF!</definedName>
    <definedName name="__123Graph_BCurrent" localSheetId="85" hidden="1">#REF!</definedName>
    <definedName name="__123Graph_BCurrent" localSheetId="86" hidden="1">#REF!</definedName>
    <definedName name="__123Graph_BCurrent" localSheetId="87" hidden="1">#REF!</definedName>
    <definedName name="__123Graph_BCurrent" localSheetId="8" hidden="1">#REF!</definedName>
    <definedName name="__123Graph_BCurrent" localSheetId="9" hidden="1">#REF!</definedName>
    <definedName name="__123Graph_BCurrent" hidden="1">#REF!</definedName>
    <definedName name="__123Graph_C" localSheetId="0" hidden="1">#REF!</definedName>
    <definedName name="__123Graph_C" localSheetId="16" hidden="1">#REF!</definedName>
    <definedName name="__123Graph_C" localSheetId="17" hidden="1">#REF!</definedName>
    <definedName name="__123Graph_C" localSheetId="18" hidden="1">#REF!</definedName>
    <definedName name="__123Graph_C" localSheetId="19" hidden="1">#REF!</definedName>
    <definedName name="__123Graph_C" localSheetId="21" hidden="1">#REF!</definedName>
    <definedName name="__123Graph_C" localSheetId="22">#REF!</definedName>
    <definedName name="__123Graph_C" localSheetId="1" hidden="1">#REF!</definedName>
    <definedName name="__123Graph_C" localSheetId="2" hidden="1">#REF!</definedName>
    <definedName name="__123Graph_C" localSheetId="4" hidden="1">#REF!</definedName>
    <definedName name="__123Graph_C" localSheetId="48" hidden="1">#REF!</definedName>
    <definedName name="__123Graph_C" localSheetId="52" hidden="1">#REF!</definedName>
    <definedName name="__123Graph_C" localSheetId="68" hidden="1">#REF!</definedName>
    <definedName name="__123Graph_C" localSheetId="71" hidden="1">#REF!</definedName>
    <definedName name="__123Graph_C" localSheetId="76" hidden="1">#REF!</definedName>
    <definedName name="__123Graph_C" localSheetId="78" hidden="1">#REF!</definedName>
    <definedName name="__123Graph_C" localSheetId="79" hidden="1">#REF!</definedName>
    <definedName name="__123Graph_C" localSheetId="82" hidden="1">#REF!</definedName>
    <definedName name="__123Graph_C" localSheetId="85" hidden="1">#REF!</definedName>
    <definedName name="__123Graph_C" localSheetId="86" hidden="1">#REF!</definedName>
    <definedName name="__123Graph_C" localSheetId="87" hidden="1">#REF!</definedName>
    <definedName name="__123Graph_C" localSheetId="8" hidden="1">#REF!</definedName>
    <definedName name="__123Graph_C" localSheetId="9" hidden="1">#REF!</definedName>
    <definedName name="__123Graph_C" hidden="1">#REF!</definedName>
    <definedName name="__123Graph_C1" localSheetId="18" hidden="1">#REF!</definedName>
    <definedName name="__123Graph_C1" localSheetId="19" hidden="1">#REF!</definedName>
    <definedName name="__123Graph_C1" localSheetId="21" hidden="1">#REF!</definedName>
    <definedName name="__123Graph_C1" localSheetId="22">#REF!</definedName>
    <definedName name="__123Graph_C1" localSheetId="1" hidden="1">#REF!</definedName>
    <definedName name="__123Graph_C1" localSheetId="2" hidden="1">#REF!</definedName>
    <definedName name="__123Graph_C1" localSheetId="4" hidden="1">#REF!</definedName>
    <definedName name="__123Graph_C1" localSheetId="48" hidden="1">#REF!</definedName>
    <definedName name="__123Graph_C1" localSheetId="68" hidden="1">#REF!</definedName>
    <definedName name="__123Graph_C1" localSheetId="71" hidden="1">#REF!</definedName>
    <definedName name="__123Graph_C1" localSheetId="76" hidden="1">#REF!</definedName>
    <definedName name="__123Graph_C1" localSheetId="78" hidden="1">#REF!</definedName>
    <definedName name="__123Graph_C1" localSheetId="79" hidden="1">#REF!</definedName>
    <definedName name="__123Graph_C1" localSheetId="82" hidden="1">#REF!</definedName>
    <definedName name="__123Graph_C1" localSheetId="85" hidden="1">#REF!</definedName>
    <definedName name="__123Graph_C1" localSheetId="86" hidden="1">#REF!</definedName>
    <definedName name="__123Graph_C1" localSheetId="87" hidden="1">#REF!</definedName>
    <definedName name="__123Graph_C1" localSheetId="8" hidden="1">#REF!</definedName>
    <definedName name="__123Graph_C1" localSheetId="9" hidden="1">#REF!</definedName>
    <definedName name="__123Graph_C1" hidden="1">#REF!</definedName>
    <definedName name="__123Graph_D" localSheetId="0" hidden="1">#REF!</definedName>
    <definedName name="__123Graph_D" localSheetId="16" hidden="1">#REF!</definedName>
    <definedName name="__123Graph_D" localSheetId="17" hidden="1">#REF!</definedName>
    <definedName name="__123Graph_D" localSheetId="18" hidden="1">'[1]4.3'!#REF!</definedName>
    <definedName name="__123Graph_D" localSheetId="19" hidden="1">'[1]4.3'!#REF!</definedName>
    <definedName name="__123Graph_D" localSheetId="21" hidden="1">'[1]4.3'!#REF!</definedName>
    <definedName name="__123Graph_D" localSheetId="22">#REF!</definedName>
    <definedName name="__123Graph_D" localSheetId="1" hidden="1">'[1]4.3'!#REF!</definedName>
    <definedName name="__123Graph_D" localSheetId="2" hidden="1">'[1]4.3'!#REF!</definedName>
    <definedName name="__123Graph_D" localSheetId="4" hidden="1">'[2]4.3'!#REF!</definedName>
    <definedName name="__123Graph_D" localSheetId="48" hidden="1">'[1]4.3'!#REF!</definedName>
    <definedName name="__123Graph_D" localSheetId="52" hidden="1">'[3]4.3'!#REF!</definedName>
    <definedName name="__123Graph_D" localSheetId="6" hidden="1">#REF!</definedName>
    <definedName name="__123Graph_D" localSheetId="68" hidden="1">'[1]4.3'!#REF!</definedName>
    <definedName name="__123Graph_D" localSheetId="71" hidden="1">'[1]4.3'!#REF!</definedName>
    <definedName name="__123Graph_D" localSheetId="76" hidden="1">'[1]4.3'!#REF!</definedName>
    <definedName name="__123Graph_D" localSheetId="82" hidden="1">'[1]4.3'!#REF!</definedName>
    <definedName name="__123Graph_D" localSheetId="7" hidden="1">#REF!</definedName>
    <definedName name="__123Graph_D" localSheetId="85" hidden="1">'[1]4.3'!#REF!</definedName>
    <definedName name="__123Graph_D" localSheetId="86" hidden="1">'[1]4.3'!#REF!</definedName>
    <definedName name="__123Graph_D" localSheetId="87" hidden="1">'[1]4.3'!#REF!</definedName>
    <definedName name="__123Graph_D" localSheetId="8" hidden="1">'[1]4.3'!#REF!</definedName>
    <definedName name="__123Graph_D" localSheetId="9" hidden="1">'[1]4.3'!#REF!</definedName>
    <definedName name="__123Graph_D" localSheetId="10" hidden="1">'[1]4.3'!#REF!</definedName>
    <definedName name="__123Graph_D" hidden="1">'[1]4.3'!#REF!</definedName>
    <definedName name="__123Graph_E" localSheetId="0" hidden="1">'[7]4.13'!$E$38:$M$38</definedName>
    <definedName name="__123Graph_E" localSheetId="16" hidden="1">'[8]4.13'!$E$38:$M$38</definedName>
    <definedName name="__123Graph_E" localSheetId="17" hidden="1">'[9]4.13'!$E$38:$M$38</definedName>
    <definedName name="__123Graph_E" localSheetId="18" hidden="1">#REF!</definedName>
    <definedName name="__123Graph_E" localSheetId="19" hidden="1">#REF!</definedName>
    <definedName name="__123Graph_E" localSheetId="21" hidden="1">#REF!</definedName>
    <definedName name="__123Graph_E" localSheetId="22">#REF!</definedName>
    <definedName name="__123Graph_E" localSheetId="1" hidden="1">#REF!</definedName>
    <definedName name="__123Graph_E" localSheetId="2" hidden="1">#REF!</definedName>
    <definedName name="__123Graph_E" localSheetId="4" hidden="1">#REF!</definedName>
    <definedName name="__123Graph_E" localSheetId="48" hidden="1">#REF!</definedName>
    <definedName name="__123Graph_E" localSheetId="52" hidden="1">#REF!</definedName>
    <definedName name="__123Graph_E" localSheetId="6" hidden="1">'[9]4.13'!$E$38:$M$38</definedName>
    <definedName name="__123Graph_E" localSheetId="68" hidden="1">#REF!</definedName>
    <definedName name="__123Graph_E" localSheetId="71" hidden="1">#REF!</definedName>
    <definedName name="__123Graph_E" localSheetId="76" hidden="1">#REF!</definedName>
    <definedName name="__123Graph_E" localSheetId="78" hidden="1">#REF!</definedName>
    <definedName name="__123Graph_E" localSheetId="79" hidden="1">#REF!</definedName>
    <definedName name="__123Graph_E" localSheetId="82" hidden="1">#REF!</definedName>
    <definedName name="__123Graph_E" localSheetId="7" hidden="1">'[9]4.13'!$E$38:$M$38</definedName>
    <definedName name="__123Graph_E" localSheetId="85" hidden="1">#REF!</definedName>
    <definedName name="__123Graph_E" localSheetId="86" hidden="1">#REF!</definedName>
    <definedName name="__123Graph_E" localSheetId="87" hidden="1">#REF!</definedName>
    <definedName name="__123Graph_E" localSheetId="8" hidden="1">#REF!</definedName>
    <definedName name="__123Graph_E" localSheetId="9" hidden="1">#REF!</definedName>
    <definedName name="__123Graph_E" hidden="1">#REF!</definedName>
    <definedName name="__123Graph_F" localSheetId="0" hidden="1">#REF!</definedName>
    <definedName name="__123Graph_F" localSheetId="16" hidden="1">#REF!</definedName>
    <definedName name="__123Graph_F" localSheetId="17" hidden="1">#REF!</definedName>
    <definedName name="__123Graph_F" localSheetId="18" hidden="1">#REF!</definedName>
    <definedName name="__123Graph_F" localSheetId="19" hidden="1">#REF!</definedName>
    <definedName name="__123Graph_F" localSheetId="21" hidden="1">#REF!</definedName>
    <definedName name="__123Graph_F" localSheetId="22">#REF!</definedName>
    <definedName name="__123Graph_F" localSheetId="1" hidden="1">#REF!</definedName>
    <definedName name="__123Graph_F" localSheetId="2" hidden="1">#REF!</definedName>
    <definedName name="__123Graph_F" localSheetId="4" hidden="1">#REF!</definedName>
    <definedName name="__123Graph_F" localSheetId="48" hidden="1">#REF!</definedName>
    <definedName name="__123Graph_F" localSheetId="52" hidden="1">#REF!</definedName>
    <definedName name="__123Graph_F" localSheetId="6" hidden="1">#REF!</definedName>
    <definedName name="__123Graph_F" localSheetId="68" hidden="1">#REF!</definedName>
    <definedName name="__123Graph_F" localSheetId="71" hidden="1">#REF!</definedName>
    <definedName name="__123Graph_F" localSheetId="76" hidden="1">#REF!</definedName>
    <definedName name="__123Graph_F" localSheetId="78" hidden="1">#REF!</definedName>
    <definedName name="__123Graph_F" localSheetId="79" hidden="1">#REF!</definedName>
    <definedName name="__123Graph_F" localSheetId="82" hidden="1">#REF!</definedName>
    <definedName name="__123Graph_F" localSheetId="7" hidden="1">#REF!</definedName>
    <definedName name="__123Graph_F" localSheetId="85" hidden="1">#REF!</definedName>
    <definedName name="__123Graph_F" localSheetId="86" hidden="1">#REF!</definedName>
    <definedName name="__123Graph_F" localSheetId="87" hidden="1">#REF!</definedName>
    <definedName name="__123Graph_F" localSheetId="8" hidden="1">#REF!</definedName>
    <definedName name="__123Graph_F" localSheetId="9" hidden="1">#REF!</definedName>
    <definedName name="__123Graph_F" hidden="1">#REF!</definedName>
    <definedName name="__123GRaph_G" localSheetId="19" hidden="1">#REF!</definedName>
    <definedName name="__123GRaph_G" localSheetId="48" hidden="1">#REF!</definedName>
    <definedName name="__123GRaph_G" localSheetId="68" hidden="1">#REF!</definedName>
    <definedName name="__123GRaph_G" localSheetId="71" hidden="1">#REF!</definedName>
    <definedName name="__123GRaph_G" localSheetId="76" hidden="1">#REF!</definedName>
    <definedName name="__123GRaph_G" localSheetId="78" hidden="1">#REF!</definedName>
    <definedName name="__123GRaph_G" localSheetId="79" hidden="1">#REF!</definedName>
    <definedName name="__123GRaph_G" localSheetId="82" hidden="1">#REF!</definedName>
    <definedName name="__123GRaph_G" localSheetId="85" hidden="1">#REF!</definedName>
    <definedName name="__123GRaph_G" localSheetId="86" hidden="1">#REF!</definedName>
    <definedName name="__123GRaph_G" localSheetId="87" hidden="1">#REF!</definedName>
    <definedName name="__123GRaph_G" localSheetId="8" hidden="1">#REF!</definedName>
    <definedName name="__123GRaph_G" localSheetId="9" hidden="1">#REF!</definedName>
    <definedName name="__123GRaph_G" hidden="1">#REF!</definedName>
    <definedName name="__123Graph_LBL_A" localSheetId="0" hidden="1">#REF!</definedName>
    <definedName name="__123Graph_LBL_A" localSheetId="16" hidden="1">#REF!</definedName>
    <definedName name="__123Graph_LBL_A" localSheetId="18" hidden="1">#REF!</definedName>
    <definedName name="__123Graph_LBL_A" localSheetId="19" hidden="1">#REF!</definedName>
    <definedName name="__123Graph_LBL_A" localSheetId="21" hidden="1">#REF!</definedName>
    <definedName name="__123Graph_LBL_A" localSheetId="22">#REF!</definedName>
    <definedName name="__123Graph_LBL_A" localSheetId="1" hidden="1">#REF!</definedName>
    <definedName name="__123Graph_LBL_A" localSheetId="2" hidden="1">#REF!</definedName>
    <definedName name="__123Graph_LBL_A" localSheetId="4" hidden="1">#REF!</definedName>
    <definedName name="__123Graph_LBL_A" localSheetId="48" hidden="1">#REF!</definedName>
    <definedName name="__123Graph_LBL_A" localSheetId="52" hidden="1">#REF!</definedName>
    <definedName name="__123Graph_LBL_A" localSheetId="6" hidden="1">#REF!</definedName>
    <definedName name="__123Graph_LBL_A" localSheetId="68" hidden="1">#REF!</definedName>
    <definedName name="__123Graph_LBL_A" localSheetId="71" hidden="1">#REF!</definedName>
    <definedName name="__123Graph_LBL_A" localSheetId="76" hidden="1">#REF!</definedName>
    <definedName name="__123Graph_LBL_A" localSheetId="78" hidden="1">#REF!</definedName>
    <definedName name="__123Graph_LBL_A" localSheetId="79" hidden="1">#REF!</definedName>
    <definedName name="__123Graph_LBL_A" localSheetId="82" hidden="1">#REF!</definedName>
    <definedName name="__123Graph_LBL_A" localSheetId="85" hidden="1">#REF!</definedName>
    <definedName name="__123Graph_LBL_A" localSheetId="86" hidden="1">#REF!</definedName>
    <definedName name="__123Graph_LBL_A" localSheetId="87" hidden="1">#REF!</definedName>
    <definedName name="__123Graph_LBL_A" localSheetId="8" hidden="1">#REF!</definedName>
    <definedName name="__123Graph_LBL_A" localSheetId="9" hidden="1">#REF!</definedName>
    <definedName name="__123Graph_LBL_A" hidden="1">#REF!</definedName>
    <definedName name="__123Graph_X" localSheetId="0" hidden="1">'[10]4.8'!#REF!</definedName>
    <definedName name="__123Graph_X" localSheetId="16" hidden="1">'[11]4.8'!#REF!</definedName>
    <definedName name="__123Graph_X" localSheetId="17" hidden="1">'[12]4.8'!#REF!</definedName>
    <definedName name="__123Graph_X" localSheetId="18" hidden="1">'[1]4.9'!#REF!</definedName>
    <definedName name="__123Graph_X" localSheetId="19" hidden="1">'[1]4.9'!#REF!</definedName>
    <definedName name="__123Graph_X" localSheetId="21" hidden="1">'[1]4.9'!#REF!</definedName>
    <definedName name="__123Graph_X" localSheetId="22">#REF!</definedName>
    <definedName name="__123Graph_X" localSheetId="1" hidden="1">'[1]4.9'!#REF!</definedName>
    <definedName name="__123Graph_X" localSheetId="2" hidden="1">'[1]4.9'!#REF!</definedName>
    <definedName name="__123Graph_X" localSheetId="4" hidden="1">'[2]4.9'!#REF!</definedName>
    <definedName name="__123Graph_X" localSheetId="48" hidden="1">'[1]4.9'!#REF!</definedName>
    <definedName name="__123Graph_X" localSheetId="52" hidden="1">'[3]4.9'!#REF!</definedName>
    <definedName name="__123Graph_X" localSheetId="6" hidden="1">'[12]4.8'!#REF!</definedName>
    <definedName name="__123Graph_X" localSheetId="68" hidden="1">'[1]4.9'!#REF!</definedName>
    <definedName name="__123Graph_X" localSheetId="71" hidden="1">'[1]4.9'!#REF!</definedName>
    <definedName name="__123Graph_X" localSheetId="76" hidden="1">'[1]4.9'!#REF!</definedName>
    <definedName name="__123Graph_X" localSheetId="82" hidden="1">'[1]4.9'!#REF!</definedName>
    <definedName name="__123Graph_X" localSheetId="7" hidden="1">'[12]4.8'!#REF!</definedName>
    <definedName name="__123Graph_X" localSheetId="85" hidden="1">'[1]4.9'!#REF!</definedName>
    <definedName name="__123Graph_X" localSheetId="86" hidden="1">'[1]4.9'!#REF!</definedName>
    <definedName name="__123Graph_X" localSheetId="87" hidden="1">'[1]4.9'!#REF!</definedName>
    <definedName name="__123Graph_X" localSheetId="8" hidden="1">'[1]4.9'!#REF!</definedName>
    <definedName name="__123Graph_X" localSheetId="9" hidden="1">'[1]4.9'!#REF!</definedName>
    <definedName name="__123Graph_X" hidden="1">'[1]4.9'!#REF!</definedName>
    <definedName name="__123Graph_X_1" localSheetId="0">#REF!</definedName>
    <definedName name="__123Graph_X_1" localSheetId="16">#REF!</definedName>
    <definedName name="__123Graph_X_1" localSheetId="17">#REF!</definedName>
    <definedName name="__123Graph_X_1" localSheetId="18">#REF!</definedName>
    <definedName name="__123Graph_X_1" localSheetId="19">#REF!</definedName>
    <definedName name="__123Graph_X_1" localSheetId="21">#REF!</definedName>
    <definedName name="__123Graph_X_1" localSheetId="22">#REF!</definedName>
    <definedName name="__123Graph_X_1" localSheetId="1">#REF!</definedName>
    <definedName name="__123Graph_X_1" localSheetId="2">#REF!</definedName>
    <definedName name="__123Graph_X_1" localSheetId="4">#REF!</definedName>
    <definedName name="__123Graph_X_1" localSheetId="48">#REF!</definedName>
    <definedName name="__123Graph_X_1" localSheetId="52">#REF!</definedName>
    <definedName name="__123Graph_X_1" localSheetId="6">#REF!</definedName>
    <definedName name="__123Graph_X_1" localSheetId="68">#REF!</definedName>
    <definedName name="__123Graph_X_1" localSheetId="71">#REF!</definedName>
    <definedName name="__123Graph_X_1" localSheetId="76">#REF!</definedName>
    <definedName name="__123Graph_X_1" localSheetId="78">#REF!</definedName>
    <definedName name="__123Graph_X_1" localSheetId="79">#REF!</definedName>
    <definedName name="__123Graph_X_1" localSheetId="82">#REF!</definedName>
    <definedName name="__123Graph_X_1" localSheetId="7">#REF!</definedName>
    <definedName name="__123Graph_X_1" localSheetId="85">#REF!</definedName>
    <definedName name="__123Graph_X_1" localSheetId="86">#REF!</definedName>
    <definedName name="__123Graph_X_1" localSheetId="87">#REF!</definedName>
    <definedName name="__123Graph_X_1" localSheetId="8">#REF!</definedName>
    <definedName name="__123Graph_X_1" localSheetId="9">#REF!</definedName>
    <definedName name="__123Graph_X_1">#REF!</definedName>
    <definedName name="__123Graph_XCurrent" localSheetId="0" hidden="1">#REF!</definedName>
    <definedName name="__123Graph_XCurrent" localSheetId="16" hidden="1">#REF!</definedName>
    <definedName name="__123Graph_XCurrent" localSheetId="18" hidden="1">#REF!</definedName>
    <definedName name="__123Graph_XCurrent" localSheetId="19" hidden="1">#REF!</definedName>
    <definedName name="__123Graph_XCurrent" localSheetId="21" hidden="1">#REF!</definedName>
    <definedName name="__123Graph_XCurrent" localSheetId="22">#REF!</definedName>
    <definedName name="__123Graph_XCurrent" localSheetId="1" hidden="1">#REF!</definedName>
    <definedName name="__123Graph_XCurrent" localSheetId="2" hidden="1">#REF!</definedName>
    <definedName name="__123Graph_XCurrent" localSheetId="4" hidden="1">#REF!</definedName>
    <definedName name="__123Graph_XCurrent" localSheetId="48" hidden="1">#REF!</definedName>
    <definedName name="__123Graph_XCurrent" localSheetId="52" hidden="1">#REF!</definedName>
    <definedName name="__123Graph_XCurrent" localSheetId="6" hidden="1">#REF!</definedName>
    <definedName name="__123Graph_XCurrent" localSheetId="68" hidden="1">#REF!</definedName>
    <definedName name="__123Graph_XCurrent" localSheetId="71" hidden="1">#REF!</definedName>
    <definedName name="__123Graph_XCurrent" localSheetId="76" hidden="1">#REF!</definedName>
    <definedName name="__123Graph_XCurrent" localSheetId="78" hidden="1">#REF!</definedName>
    <definedName name="__123Graph_XCurrent" localSheetId="79" hidden="1">#REF!</definedName>
    <definedName name="__123Graph_XCurrent" localSheetId="82" hidden="1">#REF!</definedName>
    <definedName name="__123Graph_XCurrent" localSheetId="85" hidden="1">#REF!</definedName>
    <definedName name="__123Graph_XCurrent" localSheetId="86" hidden="1">#REF!</definedName>
    <definedName name="__123Graph_XCurrent" localSheetId="87" hidden="1">#REF!</definedName>
    <definedName name="__123Graph_XCurrent" localSheetId="8" hidden="1">#REF!</definedName>
    <definedName name="__123Graph_XCurrent" localSheetId="9" hidden="1">#REF!</definedName>
    <definedName name="__123Graph_XCurrent" hidden="1">#REF!</definedName>
    <definedName name="_123_g" localSheetId="19" hidden="1">#REF!</definedName>
    <definedName name="_123_g" localSheetId="48" hidden="1">#REF!</definedName>
    <definedName name="_123_g" localSheetId="68" hidden="1">#REF!</definedName>
    <definedName name="_123_g" localSheetId="71" hidden="1">#REF!</definedName>
    <definedName name="_123_g" localSheetId="76" hidden="1">#REF!</definedName>
    <definedName name="_123_g" localSheetId="78" hidden="1">#REF!</definedName>
    <definedName name="_123_g" localSheetId="79" hidden="1">#REF!</definedName>
    <definedName name="_123_g" localSheetId="82" hidden="1">#REF!</definedName>
    <definedName name="_123_g" localSheetId="85" hidden="1">#REF!</definedName>
    <definedName name="_123_g" localSheetId="86" hidden="1">#REF!</definedName>
    <definedName name="_123_g" localSheetId="87" hidden="1">#REF!</definedName>
    <definedName name="_123_g" localSheetId="8" hidden="1">#REF!</definedName>
    <definedName name="_123_g" localSheetId="9" hidden="1">#REF!</definedName>
    <definedName name="_123_g" hidden="1">#REF!</definedName>
    <definedName name="_123g" localSheetId="78" hidden="1">#REF!</definedName>
    <definedName name="_123g" localSheetId="79" hidden="1">#REF!</definedName>
    <definedName name="_123g" hidden="1">#REF!</definedName>
    <definedName name="_123grakjf_44445" localSheetId="0" hidden="1">#REF!</definedName>
    <definedName name="_123grakjf_44445" localSheetId="18" hidden="1">#REF!</definedName>
    <definedName name="_123grakjf_44445" localSheetId="19" hidden="1">#REF!</definedName>
    <definedName name="_123grakjf_44445" localSheetId="21" hidden="1">#REF!</definedName>
    <definedName name="_123grakjf_44445" localSheetId="22">#REF!</definedName>
    <definedName name="_123grakjf_44445" localSheetId="1" hidden="1">#REF!</definedName>
    <definedName name="_123grakjf_44445" localSheetId="2" hidden="1">#REF!</definedName>
    <definedName name="_123grakjf_44445" localSheetId="4" hidden="1">#REF!</definedName>
    <definedName name="_123grakjf_44445" localSheetId="48" hidden="1">#REF!</definedName>
    <definedName name="_123grakjf_44445" localSheetId="6" hidden="1">#REF!</definedName>
    <definedName name="_123grakjf_44445" localSheetId="68" hidden="1">#REF!</definedName>
    <definedName name="_123grakjf_44445" localSheetId="71" hidden="1">#REF!</definedName>
    <definedName name="_123grakjf_44445" localSheetId="76" hidden="1">#REF!</definedName>
    <definedName name="_123grakjf_44445" localSheetId="78" hidden="1">#REF!</definedName>
    <definedName name="_123grakjf_44445" localSheetId="79" hidden="1">#REF!</definedName>
    <definedName name="_123grakjf_44445" localSheetId="82" hidden="1">#REF!</definedName>
    <definedName name="_123grakjf_44445" localSheetId="85" hidden="1">#REF!</definedName>
    <definedName name="_123grakjf_44445" localSheetId="86" hidden="1">#REF!</definedName>
    <definedName name="_123grakjf_44445" localSheetId="87" hidden="1">#REF!</definedName>
    <definedName name="_123grakjf_44445" localSheetId="8" hidden="1">#REF!</definedName>
    <definedName name="_123grakjf_44445" localSheetId="9" hidden="1">#REF!</definedName>
    <definedName name="_123grakjf_44445" hidden="1">#REF!</definedName>
    <definedName name="_123Graph_ACurrenrt" localSheetId="0" hidden="1">#REF!</definedName>
    <definedName name="_123Graph_ACurrenrt" localSheetId="16" hidden="1">#REF!</definedName>
    <definedName name="_123Graph_ACurrenrt" localSheetId="18" hidden="1">#REF!</definedName>
    <definedName name="_123Graph_ACurrenrt" localSheetId="19" hidden="1">#REF!</definedName>
    <definedName name="_123Graph_ACurrenrt" localSheetId="21" hidden="1">#REF!</definedName>
    <definedName name="_123Graph_ACurrenrt" localSheetId="22">#REF!</definedName>
    <definedName name="_123Graph_ACurrenrt" localSheetId="1" hidden="1">#REF!</definedName>
    <definedName name="_123Graph_ACurrenrt" localSheetId="2" hidden="1">#REF!</definedName>
    <definedName name="_123Graph_ACurrenrt" localSheetId="4" hidden="1">#REF!</definedName>
    <definedName name="_123Graph_ACurrenrt" localSheetId="48" hidden="1">#REF!</definedName>
    <definedName name="_123Graph_ACurrenrt" localSheetId="52" hidden="1">#REF!</definedName>
    <definedName name="_123Graph_ACurrenrt" localSheetId="68" hidden="1">#REF!</definedName>
    <definedName name="_123Graph_ACurrenrt" localSheetId="71" hidden="1">#REF!</definedName>
    <definedName name="_123Graph_ACurrenrt" localSheetId="76" hidden="1">#REF!</definedName>
    <definedName name="_123Graph_ACurrenrt" localSheetId="78" hidden="1">#REF!</definedName>
    <definedName name="_123Graph_ACurrenrt" localSheetId="79" hidden="1">#REF!</definedName>
    <definedName name="_123Graph_ACurrenrt" localSheetId="82" hidden="1">#REF!</definedName>
    <definedName name="_123Graph_ACurrenrt" localSheetId="85" hidden="1">#REF!</definedName>
    <definedName name="_123Graph_ACurrenrt" localSheetId="86" hidden="1">#REF!</definedName>
    <definedName name="_123Graph_ACurrenrt" localSheetId="87" hidden="1">#REF!</definedName>
    <definedName name="_123Graph_ACurrenrt" localSheetId="8" hidden="1">#REF!</definedName>
    <definedName name="_123Graph_ACurrenrt" localSheetId="9" hidden="1">#REF!</definedName>
    <definedName name="_123Graph_ACurrenrt" hidden="1">#REF!</definedName>
    <definedName name="_123jfhqweufh" localSheetId="0">#REF!</definedName>
    <definedName name="_123jfhqweufh" localSheetId="18">#REF!</definedName>
    <definedName name="_123jfhqweufh" localSheetId="19">#REF!</definedName>
    <definedName name="_123jfhqweufh" localSheetId="21">#REF!</definedName>
    <definedName name="_123jfhqweufh" localSheetId="22">#REF!</definedName>
    <definedName name="_123jfhqweufh" localSheetId="1">#REF!</definedName>
    <definedName name="_123jfhqweufh" localSheetId="2">#REF!</definedName>
    <definedName name="_123jfhqweufh" localSheetId="4">#REF!</definedName>
    <definedName name="_123jfhqweufh" localSheetId="48">#REF!</definedName>
    <definedName name="_123jfhqweufh" localSheetId="68">#REF!</definedName>
    <definedName name="_123jfhqweufh" localSheetId="71">#REF!</definedName>
    <definedName name="_123jfhqweufh" localSheetId="76">#REF!</definedName>
    <definedName name="_123jfhqweufh" localSheetId="78">#REF!</definedName>
    <definedName name="_123jfhqweufh" localSheetId="79">#REF!</definedName>
    <definedName name="_123jfhqweufh" localSheetId="82">#REF!</definedName>
    <definedName name="_123jfhqweufh" localSheetId="85">#REF!</definedName>
    <definedName name="_123jfhqweufh" localSheetId="86">#REF!</definedName>
    <definedName name="_123jfhqweufh" localSheetId="87">#REF!</definedName>
    <definedName name="_123jfhqweufh" localSheetId="8">#REF!</definedName>
    <definedName name="_123jfhqweufh" localSheetId="9">#REF!</definedName>
    <definedName name="_123jfhqweufh">#REF!</definedName>
    <definedName name="_123re" localSheetId="78" hidden="1">#REF!</definedName>
    <definedName name="_123re" localSheetId="79" hidden="1">#REF!</definedName>
    <definedName name="_123re" hidden="1">#REF!</definedName>
    <definedName name="_15.9" localSheetId="0" hidden="1">'[13]4.3'!#REF!</definedName>
    <definedName name="_15.9" localSheetId="18" hidden="1">'[13]4.3'!#REF!</definedName>
    <definedName name="_15.9" localSheetId="19" hidden="1">'[13]4.3'!#REF!</definedName>
    <definedName name="_15.9" localSheetId="21" hidden="1">'[13]4.3'!#REF!</definedName>
    <definedName name="_15.9" localSheetId="22">#REF!</definedName>
    <definedName name="_15.9" localSheetId="1" hidden="1">'[13]4.3'!#REF!</definedName>
    <definedName name="_15.9" localSheetId="2" hidden="1">'[13]4.3'!#REF!</definedName>
    <definedName name="_15.9" localSheetId="4" hidden="1">'[14]4.3'!#REF!</definedName>
    <definedName name="_15.9" localSheetId="48" hidden="1">'[13]4.3'!#REF!</definedName>
    <definedName name="_15.9" localSheetId="6" hidden="1">'[13]4.3'!#REF!</definedName>
    <definedName name="_15.9" localSheetId="68" hidden="1">'[13]4.3'!#REF!</definedName>
    <definedName name="_15.9" localSheetId="71" hidden="1">'[13]4.3'!#REF!</definedName>
    <definedName name="_15.9" localSheetId="76" hidden="1">'[13]4.3'!#REF!</definedName>
    <definedName name="_15.9" localSheetId="82" hidden="1">'[13]4.3'!#REF!</definedName>
    <definedName name="_15.9" localSheetId="85" hidden="1">'[13]4.3'!#REF!</definedName>
    <definedName name="_15.9" localSheetId="86" hidden="1">'[13]4.3'!#REF!</definedName>
    <definedName name="_15.9" localSheetId="87" hidden="1">'[13]4.3'!#REF!</definedName>
    <definedName name="_15.9" localSheetId="8" hidden="1">'[13]4.3'!#REF!</definedName>
    <definedName name="_15.9" localSheetId="9" hidden="1">'[13]4.3'!#REF!</definedName>
    <definedName name="_15.9" hidden="1">'[13]4.3'!#REF!</definedName>
    <definedName name="_6.1" hidden="1">'[1]4.9'!#REF!</definedName>
    <definedName name="_7.4a" localSheetId="0" hidden="1">'[15]4.9'!#REF!</definedName>
    <definedName name="_7.4a" localSheetId="18" hidden="1">'[15]4.9'!#REF!</definedName>
    <definedName name="_7.4a" localSheetId="19" hidden="1">'[15]4.9'!#REF!</definedName>
    <definedName name="_7.4a" localSheetId="21" hidden="1">'[15]4.9'!#REF!</definedName>
    <definedName name="_7.4a" localSheetId="22">#REF!</definedName>
    <definedName name="_7.4a" localSheetId="1" hidden="1">'[15]4.9'!#REF!</definedName>
    <definedName name="_7.4a" localSheetId="2" hidden="1">'[15]4.9'!#REF!</definedName>
    <definedName name="_7.4a" localSheetId="4" hidden="1">'[13]4.9'!#REF!</definedName>
    <definedName name="_7.4a" localSheetId="48" hidden="1">'[15]4.9'!#REF!</definedName>
    <definedName name="_7.4a" localSheetId="6" hidden="1">'[16]4.9'!#REF!</definedName>
    <definedName name="_7.4a" localSheetId="68" hidden="1">'[15]4.9'!#REF!</definedName>
    <definedName name="_7.4a" localSheetId="71" hidden="1">'[15]4.9'!#REF!</definedName>
    <definedName name="_7.4a" localSheetId="76" hidden="1">'[15]4.9'!#REF!</definedName>
    <definedName name="_7.4a" localSheetId="82" hidden="1">'[15]4.9'!#REF!</definedName>
    <definedName name="_7.4a" localSheetId="7" hidden="1">'[16]4.9'!#REF!</definedName>
    <definedName name="_7.4a" localSheetId="85" hidden="1">'[15]4.9'!#REF!</definedName>
    <definedName name="_7.4a" localSheetId="86" hidden="1">'[15]4.9'!#REF!</definedName>
    <definedName name="_7.4a" localSheetId="87" hidden="1">'[15]4.9'!#REF!</definedName>
    <definedName name="_7.4a" localSheetId="8" hidden="1">'[15]4.9'!#REF!</definedName>
    <definedName name="_7.4a" localSheetId="9" hidden="1">'[15]4.9'!#REF!</definedName>
    <definedName name="_7.4a" hidden="1">'[15]4.9'!#REF!</definedName>
    <definedName name="_xlnm._FilterDatabase" localSheetId="22" hidden="1">'13.0_Fasiliti_awam'!$B$15:$J$37</definedName>
    <definedName name="_xlnm._FilterDatabase" localSheetId="40" hidden="1">'23.1_Harga_Item_Terpilih_1'!#REF!</definedName>
    <definedName name="_Parse_Out" localSheetId="0" hidden="1">#REF!</definedName>
    <definedName name="_Parse_Out" localSheetId="16" hidden="1">#REF!</definedName>
    <definedName name="_Parse_Out" localSheetId="17" hidden="1">#REF!</definedName>
    <definedName name="_Parse_Out" localSheetId="18" hidden="1">#REF!</definedName>
    <definedName name="_Parse_Out" localSheetId="19" hidden="1">#REF!</definedName>
    <definedName name="_Parse_Out" localSheetId="21" hidden="1">#REF!</definedName>
    <definedName name="_Parse_Out" localSheetId="22">#REF!</definedName>
    <definedName name="_Parse_Out" localSheetId="1" hidden="1">#REF!</definedName>
    <definedName name="_Parse_Out" localSheetId="2" hidden="1">#REF!</definedName>
    <definedName name="_Parse_Out" localSheetId="4" hidden="1">#REF!</definedName>
    <definedName name="_Parse_Out" localSheetId="48" hidden="1">#REF!</definedName>
    <definedName name="_Parse_Out" localSheetId="52" hidden="1">#REF!</definedName>
    <definedName name="_Parse_Out" localSheetId="6" hidden="1">#REF!</definedName>
    <definedName name="_Parse_Out" localSheetId="68" hidden="1">#REF!</definedName>
    <definedName name="_Parse_Out" localSheetId="71" hidden="1">#REF!</definedName>
    <definedName name="_Parse_Out" localSheetId="76" hidden="1">#REF!</definedName>
    <definedName name="_Parse_Out" localSheetId="78" hidden="1">#REF!</definedName>
    <definedName name="_Parse_Out" localSheetId="79" hidden="1">#REF!</definedName>
    <definedName name="_Parse_Out" localSheetId="82" hidden="1">#REF!</definedName>
    <definedName name="_Parse_Out" localSheetId="7" hidden="1">#REF!</definedName>
    <definedName name="_Parse_Out" localSheetId="85" hidden="1">#REF!</definedName>
    <definedName name="_Parse_Out" localSheetId="86" hidden="1">#REF!</definedName>
    <definedName name="_Parse_Out" localSheetId="87" hidden="1">#REF!</definedName>
    <definedName name="_Parse_Out" localSheetId="8" hidden="1">#REF!</definedName>
    <definedName name="_Parse_Out" localSheetId="9" hidden="1">#REF!</definedName>
    <definedName name="_Parse_Out" hidden="1">#REF!</definedName>
    <definedName name="_Sort" localSheetId="0" hidden="1">#REF!</definedName>
    <definedName name="_Sort" localSheetId="16" hidden="1">#REF!</definedName>
    <definedName name="_Sort" localSheetId="18" hidden="1">#REF!</definedName>
    <definedName name="_Sort" localSheetId="19" hidden="1">#REF!</definedName>
    <definedName name="_Sort" localSheetId="21" hidden="1">#REF!</definedName>
    <definedName name="_Sort" localSheetId="22">#REF!</definedName>
    <definedName name="_Sort" localSheetId="1" hidden="1">#REF!</definedName>
    <definedName name="_Sort" localSheetId="2" hidden="1">#REF!</definedName>
    <definedName name="_Sort" localSheetId="4" hidden="1">#REF!</definedName>
    <definedName name="_Sort" localSheetId="48" hidden="1">#REF!</definedName>
    <definedName name="_Sort" localSheetId="52" hidden="1">#REF!</definedName>
    <definedName name="_Sort" localSheetId="6" hidden="1">#REF!</definedName>
    <definedName name="_Sort" localSheetId="68" hidden="1">#REF!</definedName>
    <definedName name="_Sort" localSheetId="71" hidden="1">#REF!</definedName>
    <definedName name="_Sort" localSheetId="76" hidden="1">#REF!</definedName>
    <definedName name="_Sort" localSheetId="78" hidden="1">#REF!</definedName>
    <definedName name="_Sort" localSheetId="79" hidden="1">#REF!</definedName>
    <definedName name="_Sort" localSheetId="82" hidden="1">#REF!</definedName>
    <definedName name="_Sort" localSheetId="85" hidden="1">#REF!</definedName>
    <definedName name="_Sort" localSheetId="86" hidden="1">#REF!</definedName>
    <definedName name="_Sort" localSheetId="87" hidden="1">#REF!</definedName>
    <definedName name="_Sort" localSheetId="8" hidden="1">#REF!</definedName>
    <definedName name="_Sort" localSheetId="9" hidden="1">#REF!</definedName>
    <definedName name="_Sort" hidden="1">#REF!</definedName>
    <definedName name="a" localSheetId="0" hidden="1">#REF!</definedName>
    <definedName name="a" localSheetId="16" hidden="1">#REF!</definedName>
    <definedName name="a" localSheetId="17" hidden="1">#REF!</definedName>
    <definedName name="a" localSheetId="18" hidden="1">#REF!</definedName>
    <definedName name="a" localSheetId="19" hidden="1">#REF!</definedName>
    <definedName name="a" localSheetId="21" hidden="1">#REF!</definedName>
    <definedName name="a" localSheetId="22">#REF!</definedName>
    <definedName name="a" localSheetId="1" hidden="1">#REF!</definedName>
    <definedName name="a" localSheetId="2" hidden="1">#REF!</definedName>
    <definedName name="a" localSheetId="4" hidden="1">#REF!</definedName>
    <definedName name="a" localSheetId="48" hidden="1">#REF!</definedName>
    <definedName name="a" localSheetId="52" hidden="1">#REF!</definedName>
    <definedName name="a" localSheetId="6" hidden="1">#REF!</definedName>
    <definedName name="a" localSheetId="68" hidden="1">#REF!</definedName>
    <definedName name="a" localSheetId="71" hidden="1">#REF!</definedName>
    <definedName name="a" localSheetId="76" hidden="1">#REF!</definedName>
    <definedName name="a" localSheetId="78" hidden="1">#REF!</definedName>
    <definedName name="a" localSheetId="79" hidden="1">#REF!</definedName>
    <definedName name="a" localSheetId="82" hidden="1">#REF!</definedName>
    <definedName name="a" localSheetId="7" hidden="1">#REF!</definedName>
    <definedName name="a" localSheetId="85" hidden="1">#REF!</definedName>
    <definedName name="a" localSheetId="86" hidden="1">#REF!</definedName>
    <definedName name="a" localSheetId="87" hidden="1">#REF!</definedName>
    <definedName name="a" localSheetId="8" hidden="1">#REF!</definedName>
    <definedName name="a" localSheetId="9" hidden="1">#REF!</definedName>
    <definedName name="a" hidden="1">#REF!</definedName>
    <definedName name="aa" localSheetId="0" hidden="1">#REF!</definedName>
    <definedName name="aa" localSheetId="18" hidden="1">#REF!</definedName>
    <definedName name="aa" localSheetId="19" hidden="1">#REF!</definedName>
    <definedName name="aa" localSheetId="21" hidden="1">#REF!</definedName>
    <definedName name="aa" localSheetId="22">#REF!</definedName>
    <definedName name="aa" localSheetId="1" hidden="1">#REF!</definedName>
    <definedName name="aa" localSheetId="2" hidden="1">#REF!</definedName>
    <definedName name="aa" localSheetId="4" hidden="1">#REF!</definedName>
    <definedName name="aa" localSheetId="48" hidden="1">#REF!</definedName>
    <definedName name="aa" localSheetId="68" hidden="1">#REF!</definedName>
    <definedName name="aa" localSheetId="71" hidden="1">#REF!</definedName>
    <definedName name="aa" localSheetId="76" hidden="1">#REF!</definedName>
    <definedName name="aa" localSheetId="78" hidden="1">#REF!</definedName>
    <definedName name="aa" localSheetId="79" hidden="1">#REF!</definedName>
    <definedName name="aa" localSheetId="82" hidden="1">#REF!</definedName>
    <definedName name="aa" localSheetId="85" hidden="1">#REF!</definedName>
    <definedName name="aa" localSheetId="86" hidden="1">#REF!</definedName>
    <definedName name="aa" localSheetId="87" hidden="1">#REF!</definedName>
    <definedName name="aa" localSheetId="8" hidden="1">#REF!</definedName>
    <definedName name="aa" localSheetId="9" hidden="1">#REF!</definedName>
    <definedName name="aa" hidden="1">#REF!</definedName>
    <definedName name="aaa" localSheetId="0">#REF!</definedName>
    <definedName name="aaa" localSheetId="16">#REF!</definedName>
    <definedName name="aaa" localSheetId="17">#REF!</definedName>
    <definedName name="aaa" localSheetId="18">#REF!</definedName>
    <definedName name="aaa" localSheetId="19">#REF!</definedName>
    <definedName name="aaa" localSheetId="21">#REF!</definedName>
    <definedName name="aaa" localSheetId="22">#REF!</definedName>
    <definedName name="aaa" localSheetId="1">#REF!</definedName>
    <definedName name="aaa" localSheetId="2">#REF!</definedName>
    <definedName name="aaa" localSheetId="4">#REF!</definedName>
    <definedName name="aaa" localSheetId="48">#REF!</definedName>
    <definedName name="aaa" localSheetId="52">#REF!</definedName>
    <definedName name="aaa" localSheetId="68">#REF!</definedName>
    <definedName name="aaa" localSheetId="71">#REF!</definedName>
    <definedName name="aaa" localSheetId="76">#REF!</definedName>
    <definedName name="aaa" localSheetId="78">#REF!</definedName>
    <definedName name="aaa" localSheetId="79">#REF!</definedName>
    <definedName name="aaa" localSheetId="82">#REF!</definedName>
    <definedName name="aaa" localSheetId="85">#REF!</definedName>
    <definedName name="aaa" localSheetId="86">#REF!</definedName>
    <definedName name="aaa" localSheetId="87">#REF!</definedName>
    <definedName name="aaa" localSheetId="8">#REF!</definedName>
    <definedName name="aaa" localSheetId="9">#REF!</definedName>
    <definedName name="aaa">#REF!</definedName>
    <definedName name="aaab" localSheetId="0">#REF!</definedName>
    <definedName name="aaab" localSheetId="16">#REF!</definedName>
    <definedName name="aaab" localSheetId="17">#REF!</definedName>
    <definedName name="aaab" localSheetId="18">#REF!</definedName>
    <definedName name="aaab" localSheetId="19">#REF!</definedName>
    <definedName name="aaab" localSheetId="21">#REF!</definedName>
    <definedName name="aaab" localSheetId="22">#REF!</definedName>
    <definedName name="aaab" localSheetId="1">#REF!</definedName>
    <definedName name="aaab" localSheetId="2">#REF!</definedName>
    <definedName name="aaab" localSheetId="4">#REF!</definedName>
    <definedName name="aaab" localSheetId="48">#REF!</definedName>
    <definedName name="aaab" localSheetId="52">#REF!</definedName>
    <definedName name="aaab" localSheetId="68">#REF!</definedName>
    <definedName name="aaab" localSheetId="71">#REF!</definedName>
    <definedName name="aaab" localSheetId="76">#REF!</definedName>
    <definedName name="aaab" localSheetId="78">#REF!</definedName>
    <definedName name="aaab" localSheetId="79">#REF!</definedName>
    <definedName name="aaab" localSheetId="82">#REF!</definedName>
    <definedName name="aaab" localSheetId="85">#REF!</definedName>
    <definedName name="aaab" localSheetId="86">#REF!</definedName>
    <definedName name="aaab" localSheetId="87">#REF!</definedName>
    <definedName name="aaab" localSheetId="8">#REF!</definedName>
    <definedName name="aaab" localSheetId="9">#REF!</definedName>
    <definedName name="aaab">#REF!</definedName>
    <definedName name="aaad" localSheetId="0">#REF!</definedName>
    <definedName name="aaad" localSheetId="18">#REF!</definedName>
    <definedName name="aaad" localSheetId="19">#REF!</definedName>
    <definedName name="aaad" localSheetId="21">#REF!</definedName>
    <definedName name="aaad" localSheetId="22">#REF!</definedName>
    <definedName name="aaad" localSheetId="1">#REF!</definedName>
    <definedName name="aaad" localSheetId="2">#REF!</definedName>
    <definedName name="aaad" localSheetId="4">#REF!</definedName>
    <definedName name="aaad" localSheetId="48">#REF!</definedName>
    <definedName name="aaad" localSheetId="68">#REF!</definedName>
    <definedName name="aaad" localSheetId="71">#REF!</definedName>
    <definedName name="aaad" localSheetId="76">#REF!</definedName>
    <definedName name="aaad" localSheetId="78">#REF!</definedName>
    <definedName name="aaad" localSheetId="79">#REF!</definedName>
    <definedName name="aaad" localSheetId="82">#REF!</definedName>
    <definedName name="aaad" localSheetId="85">#REF!</definedName>
    <definedName name="aaad" localSheetId="86">#REF!</definedName>
    <definedName name="aaad" localSheetId="87">#REF!</definedName>
    <definedName name="aaad" localSheetId="8">#REF!</definedName>
    <definedName name="aaad" localSheetId="9">#REF!</definedName>
    <definedName name="aaad">#REF!</definedName>
    <definedName name="aaart" localSheetId="0">#REF!</definedName>
    <definedName name="aaart" localSheetId="18">#REF!</definedName>
    <definedName name="aaart" localSheetId="19">#REF!</definedName>
    <definedName name="aaart" localSheetId="21">#REF!</definedName>
    <definedName name="aaart" localSheetId="22">#REF!</definedName>
    <definedName name="aaart" localSheetId="1">#REF!</definedName>
    <definedName name="aaart" localSheetId="2">#REF!</definedName>
    <definedName name="aaart" localSheetId="4">#REF!</definedName>
    <definedName name="aaart" localSheetId="48">#REF!</definedName>
    <definedName name="aaart" localSheetId="68">#REF!</definedName>
    <definedName name="aaart" localSheetId="71">#REF!</definedName>
    <definedName name="aaart" localSheetId="76">#REF!</definedName>
    <definedName name="aaart" localSheetId="78">#REF!</definedName>
    <definedName name="aaart" localSheetId="79">#REF!</definedName>
    <definedName name="aaart" localSheetId="82">#REF!</definedName>
    <definedName name="aaart" localSheetId="85">#REF!</definedName>
    <definedName name="aaart" localSheetId="86">#REF!</definedName>
    <definedName name="aaart" localSheetId="87">#REF!</definedName>
    <definedName name="aaart" localSheetId="8">#REF!</definedName>
    <definedName name="aaart" localSheetId="9">#REF!</definedName>
    <definedName name="aaart">#REF!</definedName>
    <definedName name="aaatr" localSheetId="0">#REF!</definedName>
    <definedName name="aaatr" localSheetId="18">#REF!</definedName>
    <definedName name="aaatr" localSheetId="19">#REF!</definedName>
    <definedName name="aaatr" localSheetId="21">#REF!</definedName>
    <definedName name="aaatr" localSheetId="22">#REF!</definedName>
    <definedName name="aaatr" localSheetId="1">#REF!</definedName>
    <definedName name="aaatr" localSheetId="2">#REF!</definedName>
    <definedName name="aaatr" localSheetId="4">#REF!</definedName>
    <definedName name="aaatr" localSheetId="48">#REF!</definedName>
    <definedName name="aaatr" localSheetId="68">#REF!</definedName>
    <definedName name="aaatr" localSheetId="71">#REF!</definedName>
    <definedName name="aaatr" localSheetId="76">#REF!</definedName>
    <definedName name="aaatr" localSheetId="78">#REF!</definedName>
    <definedName name="aaatr" localSheetId="79">#REF!</definedName>
    <definedName name="aaatr" localSheetId="82">#REF!</definedName>
    <definedName name="aaatr" localSheetId="85">#REF!</definedName>
    <definedName name="aaatr" localSheetId="86">#REF!</definedName>
    <definedName name="aaatr" localSheetId="87">#REF!</definedName>
    <definedName name="aaatr" localSheetId="8">#REF!</definedName>
    <definedName name="aaatr" localSheetId="9">#REF!</definedName>
    <definedName name="aaatr">#REF!</definedName>
    <definedName name="aab" localSheetId="78" hidden="1">#REF!</definedName>
    <definedName name="aab" localSheetId="79" hidden="1">#REF!</definedName>
    <definedName name="aab" hidden="1">#REF!</definedName>
    <definedName name="ABC" localSheetId="0" hidden="1">#REF!</definedName>
    <definedName name="ABC" localSheetId="16" hidden="1">#REF!</definedName>
    <definedName name="ABC" localSheetId="18" hidden="1">#REF!</definedName>
    <definedName name="ABC" localSheetId="19" hidden="1">#REF!</definedName>
    <definedName name="ABC" localSheetId="21" hidden="1">#REF!</definedName>
    <definedName name="ABC" localSheetId="22">#REF!</definedName>
    <definedName name="ABC" localSheetId="1" hidden="1">#REF!</definedName>
    <definedName name="ABC" localSheetId="2" hidden="1">#REF!</definedName>
    <definedName name="ABC" localSheetId="4" hidden="1">#REF!</definedName>
    <definedName name="ABC" localSheetId="48" hidden="1">#REF!</definedName>
    <definedName name="ABC" localSheetId="52" hidden="1">#REF!</definedName>
    <definedName name="ABC" localSheetId="68" hidden="1">#REF!</definedName>
    <definedName name="ABC" localSheetId="71" hidden="1">#REF!</definedName>
    <definedName name="ABC" localSheetId="76" hidden="1">#REF!</definedName>
    <definedName name="ABC" localSheetId="78" hidden="1">#REF!</definedName>
    <definedName name="ABC" localSheetId="79" hidden="1">#REF!</definedName>
    <definedName name="ABC" localSheetId="82" hidden="1">#REF!</definedName>
    <definedName name="ABC" localSheetId="85" hidden="1">#REF!</definedName>
    <definedName name="ABC" localSheetId="86" hidden="1">#REF!</definedName>
    <definedName name="ABC" localSheetId="87" hidden="1">#REF!</definedName>
    <definedName name="ABC" localSheetId="8" hidden="1">#REF!</definedName>
    <definedName name="ABC" localSheetId="9" hidden="1">#REF!</definedName>
    <definedName name="ABC" hidden="1">#REF!</definedName>
    <definedName name="abggg" localSheetId="0" hidden="1">'[1]4.9'!#REF!</definedName>
    <definedName name="abggg" localSheetId="16" hidden="1">'[17]4.9'!#REF!</definedName>
    <definedName name="abggg" localSheetId="17" hidden="1">'[16]4.9'!#REF!</definedName>
    <definedName name="abggg" localSheetId="18" hidden="1">'[1]4.9'!#REF!</definedName>
    <definedName name="abggg" localSheetId="19" hidden="1">'[1]4.9'!#REF!</definedName>
    <definedName name="abggg" localSheetId="21" hidden="1">'[1]4.9'!#REF!</definedName>
    <definedName name="abggg" localSheetId="22">#REF!</definedName>
    <definedName name="abggg" localSheetId="1" hidden="1">'[1]4.9'!#REF!</definedName>
    <definedName name="abggg" localSheetId="2" hidden="1">'[1]4.9'!#REF!</definedName>
    <definedName name="abggg" localSheetId="4" hidden="1">'[2]4.9'!#REF!</definedName>
    <definedName name="abggg" localSheetId="48" hidden="1">'[1]4.9'!#REF!</definedName>
    <definedName name="abggg" localSheetId="52" hidden="1">'[3]4.9'!#REF!</definedName>
    <definedName name="abggg" localSheetId="6" hidden="1">'[16]4.9'!#REF!</definedName>
    <definedName name="abggg" localSheetId="68" hidden="1">'[1]4.9'!#REF!</definedName>
    <definedName name="abggg" localSheetId="71" hidden="1">'[1]4.9'!#REF!</definedName>
    <definedName name="abggg" localSheetId="76" hidden="1">'[1]4.9'!#REF!</definedName>
    <definedName name="abggg" localSheetId="82" hidden="1">'[1]4.9'!#REF!</definedName>
    <definedName name="abggg" localSheetId="7" hidden="1">'[16]4.9'!#REF!</definedName>
    <definedName name="abggg" localSheetId="85" hidden="1">'[1]4.9'!#REF!</definedName>
    <definedName name="abggg" localSheetId="86" hidden="1">'[1]4.9'!#REF!</definedName>
    <definedName name="abggg" localSheetId="87" hidden="1">'[1]4.9'!#REF!</definedName>
    <definedName name="abggg" localSheetId="8" hidden="1">'[1]4.9'!#REF!</definedName>
    <definedName name="abggg" localSheetId="9" hidden="1">'[1]4.9'!#REF!</definedName>
    <definedName name="abggg" hidden="1">'[1]4.9'!#REF!</definedName>
    <definedName name="afaf" localSheetId="0" hidden="1">'[18]4.9'!#REF!</definedName>
    <definedName name="afaf" localSheetId="18" hidden="1">'[18]4.9'!#REF!</definedName>
    <definedName name="afaf" localSheetId="19" hidden="1">'[18]4.9'!#REF!</definedName>
    <definedName name="afaf" localSheetId="21" hidden="1">'[18]4.9'!#REF!</definedName>
    <definedName name="afaf" localSheetId="22">#REF!</definedName>
    <definedName name="afaf" localSheetId="1" hidden="1">'[18]4.9'!#REF!</definedName>
    <definedName name="afaf" localSheetId="2" hidden="1">'[18]4.9'!#REF!</definedName>
    <definedName name="afaf" localSheetId="4" hidden="1">'[19]4.9'!#REF!</definedName>
    <definedName name="afaf" localSheetId="48" hidden="1">'[18]4.9'!#REF!</definedName>
    <definedName name="afaf" localSheetId="6" hidden="1">'[16]4.9'!#REF!</definedName>
    <definedName name="afaf" localSheetId="68" hidden="1">'[18]4.9'!#REF!</definedName>
    <definedName name="afaf" localSheetId="71" hidden="1">'[18]4.9'!#REF!</definedName>
    <definedName name="afaf" localSheetId="76" hidden="1">'[18]4.9'!#REF!</definedName>
    <definedName name="afaf" localSheetId="82" hidden="1">'[18]4.9'!#REF!</definedName>
    <definedName name="afaf" localSheetId="7" hidden="1">'[16]4.9'!#REF!</definedName>
    <definedName name="afaf" localSheetId="85" hidden="1">'[18]4.9'!#REF!</definedName>
    <definedName name="afaf" localSheetId="86" hidden="1">'[18]4.9'!#REF!</definedName>
    <definedName name="afaf" localSheetId="87" hidden="1">'[18]4.9'!#REF!</definedName>
    <definedName name="afaf" localSheetId="8" hidden="1">'[18]4.9'!#REF!</definedName>
    <definedName name="afaf" localSheetId="9" hidden="1">'[18]4.9'!#REF!</definedName>
    <definedName name="afaf" hidden="1">'[18]4.9'!#REF!</definedName>
    <definedName name="alia" localSheetId="18" hidden="1">#REF!</definedName>
    <definedName name="alia" localSheetId="19" hidden="1">#REF!</definedName>
    <definedName name="alia" localSheetId="21" hidden="1">#REF!</definedName>
    <definedName name="alia" localSheetId="22">#REF!</definedName>
    <definedName name="alia" localSheetId="1" hidden="1">#REF!</definedName>
    <definedName name="alia" localSheetId="2" hidden="1">#REF!</definedName>
    <definedName name="alia" localSheetId="4" hidden="1">#REF!</definedName>
    <definedName name="alia" localSheetId="48" hidden="1">#REF!</definedName>
    <definedName name="alia" localSheetId="68" hidden="1">#REF!</definedName>
    <definedName name="alia" localSheetId="71" hidden="1">#REF!</definedName>
    <definedName name="alia" localSheetId="76" hidden="1">#REF!</definedName>
    <definedName name="alia" localSheetId="78" hidden="1">#REF!</definedName>
    <definedName name="alia" localSheetId="79" hidden="1">#REF!</definedName>
    <definedName name="alia" localSheetId="82" hidden="1">#REF!</definedName>
    <definedName name="alia" localSheetId="85" hidden="1">#REF!</definedName>
    <definedName name="alia" localSheetId="86" hidden="1">#REF!</definedName>
    <definedName name="alia" localSheetId="87" hidden="1">#REF!</definedName>
    <definedName name="alia" localSheetId="8" hidden="1">#REF!</definedName>
    <definedName name="alia" localSheetId="9" hidden="1">#REF!</definedName>
    <definedName name="alia" hidden="1">#REF!</definedName>
    <definedName name="apa" localSheetId="0" hidden="1">'[20]4.9'!#REF!</definedName>
    <definedName name="apa" localSheetId="18" hidden="1">'[20]4.9'!#REF!</definedName>
    <definedName name="apa" localSheetId="19" hidden="1">'[20]4.9'!#REF!</definedName>
    <definedName name="apa" localSheetId="21" hidden="1">'[20]4.9'!#REF!</definedName>
    <definedName name="apa" localSheetId="22">#REF!</definedName>
    <definedName name="apa" localSheetId="1" hidden="1">'[20]4.9'!#REF!</definedName>
    <definedName name="apa" localSheetId="2" hidden="1">'[20]4.9'!#REF!</definedName>
    <definedName name="apa" localSheetId="4" hidden="1">'[21]4.9'!#REF!</definedName>
    <definedName name="apa" localSheetId="48" hidden="1">'[20]4.9'!#REF!</definedName>
    <definedName name="apa" localSheetId="6" hidden="1">'[20]4.9'!#REF!</definedName>
    <definedName name="apa" localSheetId="68" hidden="1">'[20]4.9'!#REF!</definedName>
    <definedName name="apa" localSheetId="71" hidden="1">'[20]4.9'!#REF!</definedName>
    <definedName name="apa" localSheetId="76" hidden="1">'[20]4.9'!#REF!</definedName>
    <definedName name="apa" localSheetId="82" hidden="1">'[20]4.9'!#REF!</definedName>
    <definedName name="apa" localSheetId="85" hidden="1">'[20]4.9'!#REF!</definedName>
    <definedName name="apa" localSheetId="86" hidden="1">'[20]4.9'!#REF!</definedName>
    <definedName name="apa" localSheetId="87" hidden="1">'[20]4.9'!#REF!</definedName>
    <definedName name="apa" localSheetId="8" hidden="1">'[20]4.9'!#REF!</definedName>
    <definedName name="apa" localSheetId="9" hidden="1">'[20]4.9'!#REF!</definedName>
    <definedName name="apa" hidden="1">'[20]4.9'!#REF!</definedName>
    <definedName name="apara" localSheetId="0">#REF!</definedName>
    <definedName name="apara" localSheetId="18">#REF!</definedName>
    <definedName name="apara" localSheetId="19">#REF!</definedName>
    <definedName name="apara" localSheetId="21">#REF!</definedName>
    <definedName name="apara" localSheetId="22">#REF!</definedName>
    <definedName name="apara" localSheetId="1">#REF!</definedName>
    <definedName name="apara" localSheetId="2">#REF!</definedName>
    <definedName name="apara" localSheetId="4">#REF!</definedName>
    <definedName name="apara" localSheetId="48">#REF!</definedName>
    <definedName name="apara" localSheetId="6">#REF!</definedName>
    <definedName name="apara" localSheetId="68">#REF!</definedName>
    <definedName name="apara" localSheetId="71">#REF!</definedName>
    <definedName name="apara" localSheetId="76">#REF!</definedName>
    <definedName name="apara" localSheetId="78">#REF!</definedName>
    <definedName name="apara" localSheetId="79">#REF!</definedName>
    <definedName name="apara" localSheetId="82">#REF!</definedName>
    <definedName name="apara" localSheetId="85">#REF!</definedName>
    <definedName name="apara" localSheetId="86">#REF!</definedName>
    <definedName name="apara" localSheetId="87">#REF!</definedName>
    <definedName name="apara" localSheetId="8">#REF!</definedName>
    <definedName name="apara" localSheetId="9">#REF!</definedName>
    <definedName name="apara">#REF!</definedName>
    <definedName name="as" localSheetId="0" hidden="1">#REF!</definedName>
    <definedName name="as" localSheetId="16" hidden="1">#REF!</definedName>
    <definedName name="as" localSheetId="17" hidden="1">#REF!</definedName>
    <definedName name="as" localSheetId="18" hidden="1">#REF!</definedName>
    <definedName name="as" localSheetId="19" hidden="1">#REF!</definedName>
    <definedName name="as" localSheetId="21" hidden="1">#REF!</definedName>
    <definedName name="as" localSheetId="22">#REF!</definedName>
    <definedName name="as" localSheetId="1" hidden="1">#REF!</definedName>
    <definedName name="as" localSheetId="2" hidden="1">#REF!</definedName>
    <definedName name="as" localSheetId="4" hidden="1">#REF!</definedName>
    <definedName name="as" localSheetId="48" hidden="1">#REF!</definedName>
    <definedName name="as" localSheetId="52" hidden="1">#REF!</definedName>
    <definedName name="as" localSheetId="6" hidden="1">#REF!</definedName>
    <definedName name="as" localSheetId="68" hidden="1">#REF!</definedName>
    <definedName name="as" localSheetId="71" hidden="1">#REF!</definedName>
    <definedName name="as" localSheetId="76" hidden="1">#REF!</definedName>
    <definedName name="as" localSheetId="78" hidden="1">#REF!</definedName>
    <definedName name="as" localSheetId="79" hidden="1">#REF!</definedName>
    <definedName name="as" localSheetId="82" hidden="1">#REF!</definedName>
    <definedName name="as" localSheetId="7" hidden="1">#REF!</definedName>
    <definedName name="as" localSheetId="85" hidden="1">#REF!</definedName>
    <definedName name="as" localSheetId="86" hidden="1">#REF!</definedName>
    <definedName name="as" localSheetId="87" hidden="1">#REF!</definedName>
    <definedName name="as" localSheetId="8" hidden="1">#REF!</definedName>
    <definedName name="as" localSheetId="9" hidden="1">#REF!</definedName>
    <definedName name="as" hidden="1">#REF!</definedName>
    <definedName name="asas" localSheetId="0">#REF!</definedName>
    <definedName name="asas" localSheetId="18">#REF!</definedName>
    <definedName name="asas" localSheetId="19">#REF!</definedName>
    <definedName name="asas" localSheetId="21">#REF!</definedName>
    <definedName name="asas" localSheetId="22">#REF!</definedName>
    <definedName name="asas" localSheetId="1">#REF!</definedName>
    <definedName name="asas" localSheetId="2">#REF!</definedName>
    <definedName name="asas" localSheetId="4">#REF!</definedName>
    <definedName name="asas" localSheetId="48">#REF!</definedName>
    <definedName name="asas" localSheetId="6">#REF!</definedName>
    <definedName name="asas" localSheetId="68">#REF!</definedName>
    <definedName name="asas" localSheetId="71">#REF!</definedName>
    <definedName name="asas" localSheetId="76">#REF!</definedName>
    <definedName name="asas" localSheetId="78">#REF!</definedName>
    <definedName name="asas" localSheetId="79">#REF!</definedName>
    <definedName name="asas" localSheetId="82">#REF!</definedName>
    <definedName name="asas" localSheetId="85">#REF!</definedName>
    <definedName name="asas" localSheetId="86">#REF!</definedName>
    <definedName name="asas" localSheetId="87">#REF!</definedName>
    <definedName name="asas" localSheetId="8">#REF!</definedName>
    <definedName name="asas" localSheetId="9">#REF!</definedName>
    <definedName name="asas">#REF!</definedName>
    <definedName name="ass" localSheetId="0" hidden="1">'[10]4.8'!#REF!</definedName>
    <definedName name="ass" localSheetId="16" hidden="1">'[11]4.8'!#REF!</definedName>
    <definedName name="ass" localSheetId="17" hidden="1">'[12]4.8'!#REF!</definedName>
    <definedName name="ass" localSheetId="18" hidden="1">'[22]4.8'!#REF!</definedName>
    <definedName name="ass" localSheetId="19" hidden="1">'[22]4.8'!#REF!</definedName>
    <definedName name="ass" localSheetId="21" hidden="1">'[22]4.8'!#REF!</definedName>
    <definedName name="ass" localSheetId="22">#REF!</definedName>
    <definedName name="ass" localSheetId="1" hidden="1">'[22]4.8'!#REF!</definedName>
    <definedName name="ass" localSheetId="2" hidden="1">'[22]4.8'!#REF!</definedName>
    <definedName name="ass" localSheetId="4" hidden="1">'[23]4.8'!#REF!</definedName>
    <definedName name="ass" localSheetId="48" hidden="1">'[22]4.8'!#REF!</definedName>
    <definedName name="ass" localSheetId="52" hidden="1">'[23]4.8'!#REF!</definedName>
    <definedName name="ass" localSheetId="6" hidden="1">'[12]4.8'!#REF!</definedName>
    <definedName name="ass" localSheetId="68" hidden="1">'[22]4.8'!#REF!</definedName>
    <definedName name="ass" localSheetId="71" hidden="1">'[22]4.8'!#REF!</definedName>
    <definedName name="ass" localSheetId="76" hidden="1">'[22]4.8'!#REF!</definedName>
    <definedName name="ass" localSheetId="82" hidden="1">'[22]4.8'!#REF!</definedName>
    <definedName name="ass" localSheetId="7" hidden="1">'[12]4.8'!#REF!</definedName>
    <definedName name="ass" localSheetId="85" hidden="1">'[22]4.8'!#REF!</definedName>
    <definedName name="ass" localSheetId="86" hidden="1">'[22]4.8'!#REF!</definedName>
    <definedName name="ass" localSheetId="87" hidden="1">'[22]4.8'!#REF!</definedName>
    <definedName name="ass" localSheetId="8" hidden="1">'[22]4.8'!#REF!</definedName>
    <definedName name="ass" localSheetId="9" hidden="1">'[22]4.8'!#REF!</definedName>
    <definedName name="ass" hidden="1">'[22]4.8'!#REF!</definedName>
    <definedName name="Asset91" localSheetId="0">#REF!</definedName>
    <definedName name="Asset91" localSheetId="16">#REF!</definedName>
    <definedName name="Asset91" localSheetId="17">#REF!</definedName>
    <definedName name="Asset91" localSheetId="18">#REF!</definedName>
    <definedName name="Asset91" localSheetId="19">#REF!</definedName>
    <definedName name="Asset91" localSheetId="21">#REF!</definedName>
    <definedName name="Asset91" localSheetId="22">#REF!</definedName>
    <definedName name="Asset91" localSheetId="1">#REF!</definedName>
    <definedName name="Asset91" localSheetId="2">#REF!</definedName>
    <definedName name="Asset91" localSheetId="4">#REF!</definedName>
    <definedName name="Asset91" localSheetId="48">#REF!</definedName>
    <definedName name="Asset91" localSheetId="52">#REF!</definedName>
    <definedName name="Asset91" localSheetId="6">#REF!</definedName>
    <definedName name="Asset91" localSheetId="68">#REF!</definedName>
    <definedName name="Asset91" localSheetId="71">#REF!</definedName>
    <definedName name="Asset91" localSheetId="76">#REF!</definedName>
    <definedName name="Asset91" localSheetId="78">#REF!</definedName>
    <definedName name="Asset91" localSheetId="79">#REF!</definedName>
    <definedName name="Asset91" localSheetId="82">#REF!</definedName>
    <definedName name="Asset91" localSheetId="7">#REF!</definedName>
    <definedName name="Asset91" localSheetId="85">#REF!</definedName>
    <definedName name="Asset91" localSheetId="86">#REF!</definedName>
    <definedName name="Asset91" localSheetId="87">#REF!</definedName>
    <definedName name="Asset91" localSheetId="8">#REF!</definedName>
    <definedName name="Asset91" localSheetId="9">#REF!</definedName>
    <definedName name="Asset91">#REF!</definedName>
    <definedName name="Asset92" localSheetId="0">#REF!</definedName>
    <definedName name="Asset92" localSheetId="16">#REF!</definedName>
    <definedName name="Asset92" localSheetId="17">#REF!</definedName>
    <definedName name="Asset92" localSheetId="18">#REF!</definedName>
    <definedName name="Asset92" localSheetId="19">#REF!</definedName>
    <definedName name="Asset92" localSheetId="21">#REF!</definedName>
    <definedName name="Asset92" localSheetId="22">#REF!</definedName>
    <definedName name="Asset92" localSheetId="1">#REF!</definedName>
    <definedName name="Asset92" localSheetId="2">#REF!</definedName>
    <definedName name="Asset92" localSheetId="4">#REF!</definedName>
    <definedName name="Asset92" localSheetId="48">#REF!</definedName>
    <definedName name="Asset92" localSheetId="52">#REF!</definedName>
    <definedName name="Asset92" localSheetId="6">#REF!</definedName>
    <definedName name="Asset92" localSheetId="68">#REF!</definedName>
    <definedName name="Asset92" localSheetId="71">#REF!</definedName>
    <definedName name="Asset92" localSheetId="76">#REF!</definedName>
    <definedName name="Asset92" localSheetId="78">#REF!</definedName>
    <definedName name="Asset92" localSheetId="79">#REF!</definedName>
    <definedName name="Asset92" localSheetId="82">#REF!</definedName>
    <definedName name="Asset92" localSheetId="7">#REF!</definedName>
    <definedName name="Asset92" localSheetId="85">#REF!</definedName>
    <definedName name="Asset92" localSheetId="86">#REF!</definedName>
    <definedName name="Asset92" localSheetId="87">#REF!</definedName>
    <definedName name="Asset92" localSheetId="8">#REF!</definedName>
    <definedName name="Asset92" localSheetId="9">#REF!</definedName>
    <definedName name="Asset92">#REF!</definedName>
    <definedName name="ax" localSheetId="0">#REF!</definedName>
    <definedName name="ax" localSheetId="18">#REF!</definedName>
    <definedName name="ax" localSheetId="19">#REF!</definedName>
    <definedName name="ax" localSheetId="21">#REF!</definedName>
    <definedName name="ax" localSheetId="22">#REF!</definedName>
    <definedName name="ax" localSheetId="1">#REF!</definedName>
    <definedName name="ax" localSheetId="2">#REF!</definedName>
    <definedName name="ax" localSheetId="4">#REF!</definedName>
    <definedName name="ax" localSheetId="48">#REF!</definedName>
    <definedName name="ax" localSheetId="6">#REF!</definedName>
    <definedName name="ax" localSheetId="68">#REF!</definedName>
    <definedName name="ax" localSheetId="71">#REF!</definedName>
    <definedName name="ax" localSheetId="76">#REF!</definedName>
    <definedName name="ax" localSheetId="78">#REF!</definedName>
    <definedName name="ax" localSheetId="79">#REF!</definedName>
    <definedName name="ax" localSheetId="82">#REF!</definedName>
    <definedName name="ax" localSheetId="85">#REF!</definedName>
    <definedName name="ax" localSheetId="86">#REF!</definedName>
    <definedName name="ax" localSheetId="87">#REF!</definedName>
    <definedName name="ax" localSheetId="8">#REF!</definedName>
    <definedName name="ax" localSheetId="9">#REF!</definedName>
    <definedName name="ax">#REF!</definedName>
    <definedName name="b" localSheetId="0" hidden="1">#REF!</definedName>
    <definedName name="b" localSheetId="16" hidden="1">#REF!</definedName>
    <definedName name="b" localSheetId="17" hidden="1">#REF!</definedName>
    <definedName name="b" localSheetId="18" hidden="1">#REF!</definedName>
    <definedName name="b" localSheetId="19" hidden="1">#REF!</definedName>
    <definedName name="b" localSheetId="21" hidden="1">#REF!</definedName>
    <definedName name="b" localSheetId="22">#REF!</definedName>
    <definedName name="b" localSheetId="1" hidden="1">#REF!</definedName>
    <definedName name="b" localSheetId="2" hidden="1">#REF!</definedName>
    <definedName name="b" localSheetId="4" hidden="1">#REF!</definedName>
    <definedName name="b" localSheetId="48" hidden="1">#REF!</definedName>
    <definedName name="b" localSheetId="52" hidden="1">#REF!</definedName>
    <definedName name="b" localSheetId="68" hidden="1">#REF!</definedName>
    <definedName name="b" localSheetId="71" hidden="1">#REF!</definedName>
    <definedName name="b" localSheetId="76" hidden="1">#REF!</definedName>
    <definedName name="b" localSheetId="78" hidden="1">#REF!</definedName>
    <definedName name="b" localSheetId="79" hidden="1">#REF!</definedName>
    <definedName name="b" localSheetId="82" hidden="1">#REF!</definedName>
    <definedName name="b" localSheetId="85" hidden="1">#REF!</definedName>
    <definedName name="b" localSheetId="86" hidden="1">#REF!</definedName>
    <definedName name="b" localSheetId="87" hidden="1">#REF!</definedName>
    <definedName name="b" localSheetId="8" hidden="1">#REF!</definedName>
    <definedName name="b" localSheetId="9" hidden="1">#REF!</definedName>
    <definedName name="b" hidden="1">#REF!</definedName>
    <definedName name="bbbg" localSheetId="0">#REF!</definedName>
    <definedName name="bbbg" localSheetId="18">#REF!</definedName>
    <definedName name="bbbg" localSheetId="19">#REF!</definedName>
    <definedName name="bbbg" localSheetId="21">#REF!</definedName>
    <definedName name="bbbg" localSheetId="22">#REF!</definedName>
    <definedName name="bbbg" localSheetId="1">#REF!</definedName>
    <definedName name="bbbg" localSheetId="2">#REF!</definedName>
    <definedName name="bbbg" localSheetId="4">#REF!</definedName>
    <definedName name="bbbg" localSheetId="48">#REF!</definedName>
    <definedName name="bbbg" localSheetId="68">#REF!</definedName>
    <definedName name="bbbg" localSheetId="71">#REF!</definedName>
    <definedName name="bbbg" localSheetId="76">#REF!</definedName>
    <definedName name="bbbg" localSheetId="78">#REF!</definedName>
    <definedName name="bbbg" localSheetId="79">#REF!</definedName>
    <definedName name="bbbg" localSheetId="82">#REF!</definedName>
    <definedName name="bbbg" localSheetId="85">#REF!</definedName>
    <definedName name="bbbg" localSheetId="86">#REF!</definedName>
    <definedName name="bbbg" localSheetId="87">#REF!</definedName>
    <definedName name="bbbg" localSheetId="8">#REF!</definedName>
    <definedName name="bbbg" localSheetId="9">#REF!</definedName>
    <definedName name="bbbg">#REF!</definedName>
    <definedName name="bbbgt" localSheetId="0">#REF!</definedName>
    <definedName name="bbbgt" localSheetId="18">#REF!</definedName>
    <definedName name="bbbgt" localSheetId="19">#REF!</definedName>
    <definedName name="bbbgt" localSheetId="21">#REF!</definedName>
    <definedName name="bbbgt" localSheetId="22">#REF!</definedName>
    <definedName name="bbbgt" localSheetId="1">#REF!</definedName>
    <definedName name="bbbgt" localSheetId="2">#REF!</definedName>
    <definedName name="bbbgt" localSheetId="4">#REF!</definedName>
    <definedName name="bbbgt" localSheetId="48">#REF!</definedName>
    <definedName name="bbbgt" localSheetId="68">#REF!</definedName>
    <definedName name="bbbgt" localSheetId="71">#REF!</definedName>
    <definedName name="bbbgt" localSheetId="76">#REF!</definedName>
    <definedName name="bbbgt" localSheetId="78">#REF!</definedName>
    <definedName name="bbbgt" localSheetId="79">#REF!</definedName>
    <definedName name="bbbgt" localSheetId="82">#REF!</definedName>
    <definedName name="bbbgt" localSheetId="85">#REF!</definedName>
    <definedName name="bbbgt" localSheetId="86">#REF!</definedName>
    <definedName name="bbbgt" localSheetId="87">#REF!</definedName>
    <definedName name="bbbgt" localSheetId="8">#REF!</definedName>
    <definedName name="bbbgt" localSheetId="9">#REF!</definedName>
    <definedName name="bbbgt">#REF!</definedName>
    <definedName name="bbbh" localSheetId="0">#REF!</definedName>
    <definedName name="bbbh" localSheetId="18">#REF!</definedName>
    <definedName name="bbbh" localSheetId="19">#REF!</definedName>
    <definedName name="bbbh" localSheetId="21">#REF!</definedName>
    <definedName name="bbbh" localSheetId="22">#REF!</definedName>
    <definedName name="bbbh" localSheetId="1">#REF!</definedName>
    <definedName name="bbbh" localSheetId="2">#REF!</definedName>
    <definedName name="bbbh" localSheetId="4">#REF!</definedName>
    <definedName name="bbbh" localSheetId="48">#REF!</definedName>
    <definedName name="bbbh" localSheetId="68">#REF!</definedName>
    <definedName name="bbbh" localSheetId="71">#REF!</definedName>
    <definedName name="bbbh" localSheetId="76">#REF!</definedName>
    <definedName name="bbbh" localSheetId="78">#REF!</definedName>
    <definedName name="bbbh" localSheetId="79">#REF!</definedName>
    <definedName name="bbbh" localSheetId="82">#REF!</definedName>
    <definedName name="bbbh" localSheetId="85">#REF!</definedName>
    <definedName name="bbbh" localSheetId="86">#REF!</definedName>
    <definedName name="bbbh" localSheetId="87">#REF!</definedName>
    <definedName name="bbbh" localSheetId="8">#REF!</definedName>
    <definedName name="bbbh" localSheetId="9">#REF!</definedName>
    <definedName name="bbbh">#REF!</definedName>
    <definedName name="bcvb" localSheetId="0">#REF!</definedName>
    <definedName name="bcvb" localSheetId="18">#REF!</definedName>
    <definedName name="bcvb" localSheetId="19">#REF!</definedName>
    <definedName name="bcvb" localSheetId="21">#REF!</definedName>
    <definedName name="bcvb" localSheetId="22">#REF!</definedName>
    <definedName name="bcvb" localSheetId="1">#REF!</definedName>
    <definedName name="bcvb" localSheetId="2">#REF!</definedName>
    <definedName name="bcvb" localSheetId="4">#REF!</definedName>
    <definedName name="bcvb" localSheetId="48">#REF!</definedName>
    <definedName name="bcvb" localSheetId="68">#REF!</definedName>
    <definedName name="bcvb" localSheetId="71">#REF!</definedName>
    <definedName name="bcvb" localSheetId="76">#REF!</definedName>
    <definedName name="bcvb" localSheetId="78">#REF!</definedName>
    <definedName name="bcvb" localSheetId="79">#REF!</definedName>
    <definedName name="bcvb" localSheetId="82">#REF!</definedName>
    <definedName name="bcvb" localSheetId="85">#REF!</definedName>
    <definedName name="bcvb" localSheetId="86">#REF!</definedName>
    <definedName name="bcvb" localSheetId="87">#REF!</definedName>
    <definedName name="bcvb" localSheetId="8">#REF!</definedName>
    <definedName name="bcvb" localSheetId="9">#REF!</definedName>
    <definedName name="bcvb">#REF!</definedName>
    <definedName name="bf" localSheetId="0" hidden="1">'[24]7.6'!#REF!</definedName>
    <definedName name="bf" localSheetId="18" hidden="1">'[25]7.6'!#REF!</definedName>
    <definedName name="bf" localSheetId="19" hidden="1">'[24]7.6'!#REF!</definedName>
    <definedName name="bf" localSheetId="21" hidden="1">'[25]7.6'!#REF!</definedName>
    <definedName name="bf" localSheetId="22">#REF!</definedName>
    <definedName name="bf" localSheetId="1" hidden="1">'[24]7.6'!#REF!</definedName>
    <definedName name="bf" localSheetId="2" hidden="1">'[24]7.6'!#REF!</definedName>
    <definedName name="bf" localSheetId="4" hidden="1">'[26]7.6'!#REF!</definedName>
    <definedName name="bf" localSheetId="39" hidden="1">'[24]7.6'!#REF!</definedName>
    <definedName name="bf" localSheetId="40" hidden="1">'[24]7.6'!#REF!</definedName>
    <definedName name="bf" localSheetId="48" hidden="1">'[24]7.6'!#REF!</definedName>
    <definedName name="bf" localSheetId="6" hidden="1">'[27]7.6'!#REF!</definedName>
    <definedName name="bf" localSheetId="68" hidden="1">'[24]7.6'!#REF!</definedName>
    <definedName name="bf" localSheetId="71" hidden="1">'[24]7.6'!#REF!</definedName>
    <definedName name="bf" localSheetId="76" hidden="1">'[24]7.6'!#REF!</definedName>
    <definedName name="bf" localSheetId="78" hidden="1">'[24]7.6'!#REF!</definedName>
    <definedName name="bf" localSheetId="79" hidden="1">'[24]7.6'!#REF!</definedName>
    <definedName name="bf" localSheetId="82" hidden="1">'[24]7.6'!#REF!</definedName>
    <definedName name="bf" localSheetId="7" hidden="1">'[27]7.6'!#REF!</definedName>
    <definedName name="bf" localSheetId="85" hidden="1">'[24]7.6'!#REF!</definedName>
    <definedName name="bf" localSheetId="86" hidden="1">'[24]7.6'!#REF!</definedName>
    <definedName name="bf" localSheetId="87" hidden="1">'[24]7.6'!#REF!</definedName>
    <definedName name="bf" localSheetId="8" hidden="1">'[24]7.6'!#REF!</definedName>
    <definedName name="bf" localSheetId="9" hidden="1">'[24]7.6'!#REF!</definedName>
    <definedName name="bf" hidden="1">'[24]7.6'!#REF!</definedName>
    <definedName name="bfeh" localSheetId="0">#REF!</definedName>
    <definedName name="bfeh" localSheetId="18">#REF!</definedName>
    <definedName name="bfeh" localSheetId="19">#REF!</definedName>
    <definedName name="bfeh" localSheetId="21">#REF!</definedName>
    <definedName name="bfeh" localSheetId="22">#REF!</definedName>
    <definedName name="bfeh" localSheetId="1">#REF!</definedName>
    <definedName name="bfeh" localSheetId="2">#REF!</definedName>
    <definedName name="bfeh" localSheetId="4">#REF!</definedName>
    <definedName name="bfeh" localSheetId="48">#REF!</definedName>
    <definedName name="bfeh" localSheetId="6">#REF!</definedName>
    <definedName name="bfeh" localSheetId="68">#REF!</definedName>
    <definedName name="bfeh" localSheetId="71">#REF!</definedName>
    <definedName name="bfeh" localSheetId="76">#REF!</definedName>
    <definedName name="bfeh" localSheetId="78">#REF!</definedName>
    <definedName name="bfeh" localSheetId="79">#REF!</definedName>
    <definedName name="bfeh" localSheetId="82">#REF!</definedName>
    <definedName name="bfeh" localSheetId="85">#REF!</definedName>
    <definedName name="bfeh" localSheetId="86">#REF!</definedName>
    <definedName name="bfeh" localSheetId="87">#REF!</definedName>
    <definedName name="bfeh" localSheetId="8">#REF!</definedName>
    <definedName name="bfeh" localSheetId="9">#REF!</definedName>
    <definedName name="bfeh">#REF!</definedName>
    <definedName name="BH" localSheetId="0">#REF!</definedName>
    <definedName name="BH" localSheetId="18">#REF!</definedName>
    <definedName name="BH" localSheetId="19">#REF!</definedName>
    <definedName name="BH" localSheetId="21">#REF!</definedName>
    <definedName name="BH" localSheetId="22">#REF!</definedName>
    <definedName name="BH" localSheetId="1">#REF!</definedName>
    <definedName name="BH" localSheetId="2">#REF!</definedName>
    <definedName name="BH" localSheetId="4">#REF!</definedName>
    <definedName name="BH" localSheetId="48">#REF!</definedName>
    <definedName name="BH" localSheetId="6">#REF!</definedName>
    <definedName name="BH" localSheetId="68">#REF!</definedName>
    <definedName name="BH" localSheetId="71">#REF!</definedName>
    <definedName name="BH" localSheetId="76">#REF!</definedName>
    <definedName name="BH" localSheetId="78">#REF!</definedName>
    <definedName name="BH" localSheetId="79">#REF!</definedName>
    <definedName name="BH" localSheetId="82">#REF!</definedName>
    <definedName name="BH" localSheetId="85">#REF!</definedName>
    <definedName name="BH" localSheetId="86">#REF!</definedName>
    <definedName name="BH" localSheetId="87">#REF!</definedName>
    <definedName name="BH" localSheetId="8">#REF!</definedName>
    <definedName name="BH" localSheetId="9">#REF!</definedName>
    <definedName name="BH">#REF!</definedName>
    <definedName name="bnb" localSheetId="0" hidden="1">'[24]7.6'!#REF!</definedName>
    <definedName name="bnb" localSheetId="18" hidden="1">'[25]7.6'!#REF!</definedName>
    <definedName name="bnb" localSheetId="19" hidden="1">'[24]7.6'!#REF!</definedName>
    <definedName name="bnb" localSheetId="21" hidden="1">'[25]7.6'!#REF!</definedName>
    <definedName name="bnb" localSheetId="22">#REF!</definedName>
    <definedName name="bnb" localSheetId="1" hidden="1">'[24]7.6'!#REF!</definedName>
    <definedName name="bnb" localSheetId="2" hidden="1">'[24]7.6'!#REF!</definedName>
    <definedName name="bnb" localSheetId="4" hidden="1">'[26]7.6'!#REF!</definedName>
    <definedName name="bnb" localSheetId="39" hidden="1">'[24]7.6'!#REF!</definedName>
    <definedName name="bnb" localSheetId="40" hidden="1">'[24]7.6'!#REF!</definedName>
    <definedName name="bnb" localSheetId="48" hidden="1">'[24]7.6'!#REF!</definedName>
    <definedName name="bnb" localSheetId="6" hidden="1">'[27]7.6'!#REF!</definedName>
    <definedName name="bnb" localSheetId="68" hidden="1">'[24]7.6'!#REF!</definedName>
    <definedName name="bnb" localSheetId="71" hidden="1">'[24]7.6'!#REF!</definedName>
    <definedName name="bnb" localSheetId="76" hidden="1">'[24]7.6'!#REF!</definedName>
    <definedName name="bnb" localSheetId="78" hidden="1">'[24]7.6'!#REF!</definedName>
    <definedName name="bnb" localSheetId="79" hidden="1">'[24]7.6'!#REF!</definedName>
    <definedName name="bnb" localSheetId="82" hidden="1">'[24]7.6'!#REF!</definedName>
    <definedName name="bnb" localSheetId="7" hidden="1">'[27]7.6'!#REF!</definedName>
    <definedName name="bnb" localSheetId="85" hidden="1">'[24]7.6'!#REF!</definedName>
    <definedName name="bnb" localSheetId="86" hidden="1">'[24]7.6'!#REF!</definedName>
    <definedName name="bnb" localSheetId="87" hidden="1">'[24]7.6'!#REF!</definedName>
    <definedName name="bnb" localSheetId="8" hidden="1">'[24]7.6'!#REF!</definedName>
    <definedName name="bnb" localSheetId="9" hidden="1">'[24]7.6'!#REF!</definedName>
    <definedName name="bnb" hidden="1">'[24]7.6'!#REF!</definedName>
    <definedName name="bnbbbbb" localSheetId="18" hidden="1">'[26]7.6'!#REF!</definedName>
    <definedName name="bnbbbbb" localSheetId="19" hidden="1">'[26]7.6'!#REF!</definedName>
    <definedName name="bnbbbbb" localSheetId="21" hidden="1">'[26]7.6'!#REF!</definedName>
    <definedName name="bnbbbbb" localSheetId="22">#REF!</definedName>
    <definedName name="bnbbbbb" localSheetId="1" hidden="1">'[26]7.6'!#REF!</definedName>
    <definedName name="bnbbbbb" localSheetId="2" hidden="1">'[26]7.6'!#REF!</definedName>
    <definedName name="bnbbbbb" localSheetId="4" hidden="1">'[26]7.6'!#REF!</definedName>
    <definedName name="bnbbbbb" localSheetId="48" hidden="1">'[26]7.6'!#REF!</definedName>
    <definedName name="bnbbbbb" localSheetId="68" hidden="1">'[26]7.6'!#REF!</definedName>
    <definedName name="bnbbbbb" localSheetId="71" hidden="1">'[26]7.6'!#REF!</definedName>
    <definedName name="bnbbbbb" localSheetId="76" hidden="1">'[26]7.6'!#REF!</definedName>
    <definedName name="bnbbbbb" localSheetId="82" hidden="1">'[26]7.6'!#REF!</definedName>
    <definedName name="bnbbbbb" localSheetId="85" hidden="1">'[26]7.6'!#REF!</definedName>
    <definedName name="bnbbbbb" localSheetId="86" hidden="1">'[26]7.6'!#REF!</definedName>
    <definedName name="bnbbbbb" localSheetId="87" hidden="1">'[26]7.6'!#REF!</definedName>
    <definedName name="bnbbbbb" localSheetId="8" hidden="1">'[26]7.6'!#REF!</definedName>
    <definedName name="bnbbbbb" localSheetId="9" hidden="1">'[26]7.6'!#REF!</definedName>
    <definedName name="bnbbbbb" hidden="1">'[26]7.6'!#REF!</definedName>
    <definedName name="BudgetYear" localSheetId="0">#REF!</definedName>
    <definedName name="BudgetYear" localSheetId="18">#REF!</definedName>
    <definedName name="BudgetYear" localSheetId="19">#REF!</definedName>
    <definedName name="BudgetYear" localSheetId="21">#REF!</definedName>
    <definedName name="BudgetYear" localSheetId="22">#REF!</definedName>
    <definedName name="BudgetYear" localSheetId="1">#REF!</definedName>
    <definedName name="BudgetYear" localSheetId="2">#REF!</definedName>
    <definedName name="BudgetYear" localSheetId="4">#REF!</definedName>
    <definedName name="BudgetYear" localSheetId="48">#REF!</definedName>
    <definedName name="BudgetYear" localSheetId="6">#REF!</definedName>
    <definedName name="BudgetYear" localSheetId="68">#REF!</definedName>
    <definedName name="BudgetYear" localSheetId="71">#REF!</definedName>
    <definedName name="BudgetYear" localSheetId="76">#REF!</definedName>
    <definedName name="BudgetYear" localSheetId="78">#REF!</definedName>
    <definedName name="BudgetYear" localSheetId="79">#REF!</definedName>
    <definedName name="BudgetYear" localSheetId="82">#REF!</definedName>
    <definedName name="BudgetYear" localSheetId="85">#REF!</definedName>
    <definedName name="BudgetYear" localSheetId="86">#REF!</definedName>
    <definedName name="BudgetYear" localSheetId="87">#REF!</definedName>
    <definedName name="BudgetYear" localSheetId="8">#REF!</definedName>
    <definedName name="BudgetYear" localSheetId="9">#REF!</definedName>
    <definedName name="BudgetYear">#REF!</definedName>
    <definedName name="bv" localSheetId="0">#REF!</definedName>
    <definedName name="bv" localSheetId="18">#REF!</definedName>
    <definedName name="bv" localSheetId="19">#REF!</definedName>
    <definedName name="bv" localSheetId="21">#REF!</definedName>
    <definedName name="bv" localSheetId="22">#REF!</definedName>
    <definedName name="bv" localSheetId="1">#REF!</definedName>
    <definedName name="bv" localSheetId="2">#REF!</definedName>
    <definedName name="bv" localSheetId="4">#REF!</definedName>
    <definedName name="bv" localSheetId="48">#REF!</definedName>
    <definedName name="bv" localSheetId="6">#REF!</definedName>
    <definedName name="bv" localSheetId="68">#REF!</definedName>
    <definedName name="bv" localSheetId="71">#REF!</definedName>
    <definedName name="bv" localSheetId="76">#REF!</definedName>
    <definedName name="bv" localSheetId="78">#REF!</definedName>
    <definedName name="bv" localSheetId="79">#REF!</definedName>
    <definedName name="bv" localSheetId="82">#REF!</definedName>
    <definedName name="bv" localSheetId="85">#REF!</definedName>
    <definedName name="bv" localSheetId="86">#REF!</definedName>
    <definedName name="bv" localSheetId="87">#REF!</definedName>
    <definedName name="bv" localSheetId="8">#REF!</definedName>
    <definedName name="bv" localSheetId="9">#REF!</definedName>
    <definedName name="bv">#REF!</definedName>
    <definedName name="CalcsDishMatch" localSheetId="22">#REF!</definedName>
    <definedName name="CalcsDishMatch">#N/A</definedName>
    <definedName name="cc" localSheetId="0">#REF!</definedName>
    <definedName name="cc" localSheetId="16">#REF!</definedName>
    <definedName name="cc" localSheetId="17">#REF!</definedName>
    <definedName name="cc" localSheetId="18">#REF!</definedName>
    <definedName name="cc" localSheetId="19">#REF!</definedName>
    <definedName name="cc" localSheetId="21">#REF!</definedName>
    <definedName name="cc" localSheetId="22">#REF!</definedName>
    <definedName name="cc" localSheetId="1">#REF!</definedName>
    <definedName name="cc" localSheetId="2">#REF!</definedName>
    <definedName name="cc" localSheetId="4">#REF!</definedName>
    <definedName name="cc" localSheetId="48">#REF!</definedName>
    <definedName name="cc" localSheetId="52">#REF!</definedName>
    <definedName name="cc" localSheetId="6">#REF!</definedName>
    <definedName name="cc" localSheetId="68">#REF!</definedName>
    <definedName name="cc" localSheetId="71">#REF!</definedName>
    <definedName name="cc" localSheetId="76">#REF!</definedName>
    <definedName name="cc" localSheetId="78">#REF!</definedName>
    <definedName name="cc" localSheetId="79">#REF!</definedName>
    <definedName name="cc" localSheetId="82">#REF!</definedName>
    <definedName name="cc" localSheetId="7">#REF!</definedName>
    <definedName name="cc" localSheetId="85">#REF!</definedName>
    <definedName name="cc" localSheetId="86">#REF!</definedName>
    <definedName name="cc" localSheetId="87">#REF!</definedName>
    <definedName name="cc" localSheetId="8">#REF!</definedName>
    <definedName name="cc" localSheetId="9">#REF!</definedName>
    <definedName name="cc">#REF!</definedName>
    <definedName name="con_05" localSheetId="0">#REF!</definedName>
    <definedName name="con_05" localSheetId="16">#REF!</definedName>
    <definedName name="con_05" localSheetId="17">#REF!</definedName>
    <definedName name="con_05" localSheetId="18">#REF!</definedName>
    <definedName name="con_05" localSheetId="19">#REF!</definedName>
    <definedName name="con_05" localSheetId="21">#REF!</definedName>
    <definedName name="con_05" localSheetId="22">#REF!</definedName>
    <definedName name="con_05" localSheetId="1">#REF!</definedName>
    <definedName name="con_05" localSheetId="2">#REF!</definedName>
    <definedName name="con_05" localSheetId="4">#REF!</definedName>
    <definedName name="con_05" localSheetId="48">#REF!</definedName>
    <definedName name="con_05" localSheetId="52">#REF!</definedName>
    <definedName name="con_05" localSheetId="6">#REF!</definedName>
    <definedName name="con_05" localSheetId="68">#REF!</definedName>
    <definedName name="con_05" localSheetId="71">#REF!</definedName>
    <definedName name="con_05" localSheetId="76">#REF!</definedName>
    <definedName name="con_05" localSheetId="78">#REF!</definedName>
    <definedName name="con_05" localSheetId="79">#REF!</definedName>
    <definedName name="con_05" localSheetId="82">#REF!</definedName>
    <definedName name="con_05" localSheetId="85">#REF!</definedName>
    <definedName name="con_05" localSheetId="86">#REF!</definedName>
    <definedName name="con_05" localSheetId="87">#REF!</definedName>
    <definedName name="con_05" localSheetId="8">#REF!</definedName>
    <definedName name="con_05" localSheetId="9">#REF!</definedName>
    <definedName name="con_05">#REF!</definedName>
    <definedName name="con_06" localSheetId="0">#REF!</definedName>
    <definedName name="con_06" localSheetId="16">#REF!</definedName>
    <definedName name="con_06" localSheetId="17">#REF!</definedName>
    <definedName name="con_06" localSheetId="18">#REF!</definedName>
    <definedName name="con_06" localSheetId="19">#REF!</definedName>
    <definedName name="con_06" localSheetId="21">#REF!</definedName>
    <definedName name="con_06" localSheetId="22">#REF!</definedName>
    <definedName name="con_06" localSheetId="1">#REF!</definedName>
    <definedName name="con_06" localSheetId="2">#REF!</definedName>
    <definedName name="con_06" localSheetId="4">#REF!</definedName>
    <definedName name="con_06" localSheetId="48">#REF!</definedName>
    <definedName name="con_06" localSheetId="52">#REF!</definedName>
    <definedName name="con_06" localSheetId="6">#REF!</definedName>
    <definedName name="con_06" localSheetId="68">#REF!</definedName>
    <definedName name="con_06" localSheetId="71">#REF!</definedName>
    <definedName name="con_06" localSheetId="76">#REF!</definedName>
    <definedName name="con_06" localSheetId="78">#REF!</definedName>
    <definedName name="con_06" localSheetId="79">#REF!</definedName>
    <definedName name="con_06" localSheetId="82">#REF!</definedName>
    <definedName name="con_06" localSheetId="85">#REF!</definedName>
    <definedName name="con_06" localSheetId="86">#REF!</definedName>
    <definedName name="con_06" localSheetId="87">#REF!</definedName>
    <definedName name="con_06" localSheetId="8">#REF!</definedName>
    <definedName name="con_06" localSheetId="9">#REF!</definedName>
    <definedName name="con_06">#REF!</definedName>
    <definedName name="con_07" localSheetId="0">#REF!</definedName>
    <definedName name="con_07" localSheetId="16">#REF!</definedName>
    <definedName name="con_07" localSheetId="17">#REF!</definedName>
    <definedName name="con_07" localSheetId="18">#REF!</definedName>
    <definedName name="con_07" localSheetId="19">#REF!</definedName>
    <definedName name="con_07" localSheetId="21">#REF!</definedName>
    <definedName name="con_07" localSheetId="22">#REF!</definedName>
    <definedName name="con_07" localSheetId="1">#REF!</definedName>
    <definedName name="con_07" localSheetId="2">#REF!</definedName>
    <definedName name="con_07" localSheetId="4">#REF!</definedName>
    <definedName name="con_07" localSheetId="48">#REF!</definedName>
    <definedName name="con_07" localSheetId="52">#REF!</definedName>
    <definedName name="con_07" localSheetId="68">#REF!</definedName>
    <definedName name="con_07" localSheetId="71">#REF!</definedName>
    <definedName name="con_07" localSheetId="76">#REF!</definedName>
    <definedName name="con_07" localSheetId="78">#REF!</definedName>
    <definedName name="con_07" localSheetId="79">#REF!</definedName>
    <definedName name="con_07" localSheetId="82">#REF!</definedName>
    <definedName name="con_07" localSheetId="85">#REF!</definedName>
    <definedName name="con_07" localSheetId="86">#REF!</definedName>
    <definedName name="con_07" localSheetId="87">#REF!</definedName>
    <definedName name="con_07" localSheetId="8">#REF!</definedName>
    <definedName name="con_07" localSheetId="9">#REF!</definedName>
    <definedName name="con_07">#REF!</definedName>
    <definedName name="con_08" localSheetId="0">#REF!</definedName>
    <definedName name="con_08" localSheetId="16">#REF!</definedName>
    <definedName name="con_08" localSheetId="17">#REF!</definedName>
    <definedName name="con_08" localSheetId="18">#REF!</definedName>
    <definedName name="con_08" localSheetId="19">#REF!</definedName>
    <definedName name="con_08" localSheetId="21">#REF!</definedName>
    <definedName name="con_08" localSheetId="22">#REF!</definedName>
    <definedName name="con_08" localSheetId="1">#REF!</definedName>
    <definedName name="con_08" localSheetId="2">#REF!</definedName>
    <definedName name="con_08" localSheetId="4">#REF!</definedName>
    <definedName name="con_08" localSheetId="48">#REF!</definedName>
    <definedName name="con_08" localSheetId="52">#REF!</definedName>
    <definedName name="con_08" localSheetId="68">#REF!</definedName>
    <definedName name="con_08" localSheetId="71">#REF!</definedName>
    <definedName name="con_08" localSheetId="76">#REF!</definedName>
    <definedName name="con_08" localSheetId="78">#REF!</definedName>
    <definedName name="con_08" localSheetId="79">#REF!</definedName>
    <definedName name="con_08" localSheetId="82">#REF!</definedName>
    <definedName name="con_08" localSheetId="85">#REF!</definedName>
    <definedName name="con_08" localSheetId="86">#REF!</definedName>
    <definedName name="con_08" localSheetId="87">#REF!</definedName>
    <definedName name="con_08" localSheetId="8">#REF!</definedName>
    <definedName name="con_08" localSheetId="9">#REF!</definedName>
    <definedName name="con_08">#REF!</definedName>
    <definedName name="con_09" localSheetId="0">#REF!</definedName>
    <definedName name="con_09" localSheetId="16">#REF!</definedName>
    <definedName name="con_09" localSheetId="17">#REF!</definedName>
    <definedName name="con_09" localSheetId="18">#REF!</definedName>
    <definedName name="con_09" localSheetId="19">#REF!</definedName>
    <definedName name="con_09" localSheetId="21">#REF!</definedName>
    <definedName name="con_09" localSheetId="22">#REF!</definedName>
    <definedName name="con_09" localSheetId="1">#REF!</definedName>
    <definedName name="con_09" localSheetId="2">#REF!</definedName>
    <definedName name="con_09" localSheetId="4">#REF!</definedName>
    <definedName name="con_09" localSheetId="48">#REF!</definedName>
    <definedName name="con_09" localSheetId="52">#REF!</definedName>
    <definedName name="con_09" localSheetId="68">#REF!</definedName>
    <definedName name="con_09" localSheetId="71">#REF!</definedName>
    <definedName name="con_09" localSheetId="76">#REF!</definedName>
    <definedName name="con_09" localSheetId="78">#REF!</definedName>
    <definedName name="con_09" localSheetId="79">#REF!</definedName>
    <definedName name="con_09" localSheetId="82">#REF!</definedName>
    <definedName name="con_09" localSheetId="85">#REF!</definedName>
    <definedName name="con_09" localSheetId="86">#REF!</definedName>
    <definedName name="con_09" localSheetId="87">#REF!</definedName>
    <definedName name="con_09" localSheetId="8">#REF!</definedName>
    <definedName name="con_09" localSheetId="9">#REF!</definedName>
    <definedName name="con_09">#REF!</definedName>
    <definedName name="con_10" localSheetId="0">#REF!</definedName>
    <definedName name="con_10" localSheetId="16">#REF!</definedName>
    <definedName name="con_10" localSheetId="17">#REF!</definedName>
    <definedName name="con_10" localSheetId="18">#REF!</definedName>
    <definedName name="con_10" localSheetId="19">#REF!</definedName>
    <definedName name="con_10" localSheetId="21">#REF!</definedName>
    <definedName name="con_10" localSheetId="22">#REF!</definedName>
    <definedName name="con_10" localSheetId="1">#REF!</definedName>
    <definedName name="con_10" localSheetId="2">#REF!</definedName>
    <definedName name="con_10" localSheetId="4">#REF!</definedName>
    <definedName name="con_10" localSheetId="48">#REF!</definedName>
    <definedName name="con_10" localSheetId="52">#REF!</definedName>
    <definedName name="con_10" localSheetId="68">#REF!</definedName>
    <definedName name="con_10" localSheetId="71">#REF!</definedName>
    <definedName name="con_10" localSheetId="76">#REF!</definedName>
    <definedName name="con_10" localSheetId="78">#REF!</definedName>
    <definedName name="con_10" localSheetId="79">#REF!</definedName>
    <definedName name="con_10" localSheetId="82">#REF!</definedName>
    <definedName name="con_10" localSheetId="85">#REF!</definedName>
    <definedName name="con_10" localSheetId="86">#REF!</definedName>
    <definedName name="con_10" localSheetId="87">#REF!</definedName>
    <definedName name="con_10" localSheetId="8">#REF!</definedName>
    <definedName name="con_10" localSheetId="9">#REF!</definedName>
    <definedName name="con_10">#REF!</definedName>
    <definedName name="con_11" localSheetId="0">#REF!</definedName>
    <definedName name="con_11" localSheetId="16">#REF!</definedName>
    <definedName name="con_11" localSheetId="17">#REF!</definedName>
    <definedName name="con_11" localSheetId="18">#REF!</definedName>
    <definedName name="con_11" localSheetId="19">#REF!</definedName>
    <definedName name="con_11" localSheetId="21">#REF!</definedName>
    <definedName name="con_11" localSheetId="22">#REF!</definedName>
    <definedName name="con_11" localSheetId="1">#REF!</definedName>
    <definedName name="con_11" localSheetId="2">#REF!</definedName>
    <definedName name="con_11" localSheetId="4">#REF!</definedName>
    <definedName name="con_11" localSheetId="48">#REF!</definedName>
    <definedName name="con_11" localSheetId="52">#REF!</definedName>
    <definedName name="con_11" localSheetId="68">#REF!</definedName>
    <definedName name="con_11" localSheetId="71">#REF!</definedName>
    <definedName name="con_11" localSheetId="76">#REF!</definedName>
    <definedName name="con_11" localSheetId="78">#REF!</definedName>
    <definedName name="con_11" localSheetId="79">#REF!</definedName>
    <definedName name="con_11" localSheetId="82">#REF!</definedName>
    <definedName name="con_11" localSheetId="85">#REF!</definedName>
    <definedName name="con_11" localSheetId="86">#REF!</definedName>
    <definedName name="con_11" localSheetId="87">#REF!</definedName>
    <definedName name="con_11" localSheetId="8">#REF!</definedName>
    <definedName name="con_11" localSheetId="9">#REF!</definedName>
    <definedName name="con_11">#REF!</definedName>
    <definedName name="con_13p" localSheetId="0">#REF!</definedName>
    <definedName name="con_13p" localSheetId="18">#REF!</definedName>
    <definedName name="con_13p" localSheetId="19">#REF!</definedName>
    <definedName name="con_13p" localSheetId="21">#REF!</definedName>
    <definedName name="con_13p" localSheetId="22">#REF!</definedName>
    <definedName name="con_13p" localSheetId="1">#REF!</definedName>
    <definedName name="con_13p" localSheetId="2">#REF!</definedName>
    <definedName name="con_13p" localSheetId="4">#REF!</definedName>
    <definedName name="con_13p" localSheetId="48">#REF!</definedName>
    <definedName name="con_13p" localSheetId="68">#REF!</definedName>
    <definedName name="con_13p" localSheetId="71">#REF!</definedName>
    <definedName name="con_13p" localSheetId="76">#REF!</definedName>
    <definedName name="con_13p" localSheetId="78">#REF!</definedName>
    <definedName name="con_13p" localSheetId="79">#REF!</definedName>
    <definedName name="con_13p" localSheetId="82">#REF!</definedName>
    <definedName name="con_13p" localSheetId="85">#REF!</definedName>
    <definedName name="con_13p" localSheetId="86">#REF!</definedName>
    <definedName name="con_13p" localSheetId="87">#REF!</definedName>
    <definedName name="con_13p" localSheetId="8">#REF!</definedName>
    <definedName name="con_13p" localSheetId="9">#REF!</definedName>
    <definedName name="con_13p">#REF!</definedName>
    <definedName name="con_14p" localSheetId="0">#REF!</definedName>
    <definedName name="con_14p" localSheetId="18">#REF!</definedName>
    <definedName name="con_14p" localSheetId="19">#REF!</definedName>
    <definedName name="con_14p" localSheetId="21">#REF!</definedName>
    <definedName name="con_14p" localSheetId="22">#REF!</definedName>
    <definedName name="con_14p" localSheetId="1">#REF!</definedName>
    <definedName name="con_14p" localSheetId="2">#REF!</definedName>
    <definedName name="con_14p" localSheetId="4">#REF!</definedName>
    <definedName name="con_14p" localSheetId="48">#REF!</definedName>
    <definedName name="con_14p" localSheetId="68">#REF!</definedName>
    <definedName name="con_14p" localSheetId="71">#REF!</definedName>
    <definedName name="con_14p" localSheetId="76">#REF!</definedName>
    <definedName name="con_14p" localSheetId="78">#REF!</definedName>
    <definedName name="con_14p" localSheetId="79">#REF!</definedName>
    <definedName name="con_14p" localSheetId="82">#REF!</definedName>
    <definedName name="con_14p" localSheetId="85">#REF!</definedName>
    <definedName name="con_14p" localSheetId="86">#REF!</definedName>
    <definedName name="con_14p" localSheetId="87">#REF!</definedName>
    <definedName name="con_14p" localSheetId="8">#REF!</definedName>
    <definedName name="con_14p" localSheetId="9">#REF!</definedName>
    <definedName name="con_14p">#REF!</definedName>
    <definedName name="cons_12p" localSheetId="0">#REF!</definedName>
    <definedName name="cons_12p" localSheetId="16">#REF!</definedName>
    <definedName name="cons_12p" localSheetId="17">#REF!</definedName>
    <definedName name="cons_12p" localSheetId="18">#REF!</definedName>
    <definedName name="cons_12p" localSheetId="19">#REF!</definedName>
    <definedName name="cons_12p" localSheetId="21">#REF!</definedName>
    <definedName name="cons_12p" localSheetId="22">#REF!</definedName>
    <definedName name="cons_12p" localSheetId="1">#REF!</definedName>
    <definedName name="cons_12p" localSheetId="2">#REF!</definedName>
    <definedName name="cons_12p" localSheetId="4">#REF!</definedName>
    <definedName name="cons_12p" localSheetId="48">#REF!</definedName>
    <definedName name="cons_12p" localSheetId="52">#REF!</definedName>
    <definedName name="cons_12p" localSheetId="68">#REF!</definedName>
    <definedName name="cons_12p" localSheetId="71">#REF!</definedName>
    <definedName name="cons_12p" localSheetId="76">#REF!</definedName>
    <definedName name="cons_12p" localSheetId="78">#REF!</definedName>
    <definedName name="cons_12p" localSheetId="79">#REF!</definedName>
    <definedName name="cons_12p" localSheetId="82">#REF!</definedName>
    <definedName name="cons_12p" localSheetId="85">#REF!</definedName>
    <definedName name="cons_12p" localSheetId="86">#REF!</definedName>
    <definedName name="cons_12p" localSheetId="87">#REF!</definedName>
    <definedName name="cons_12p" localSheetId="8">#REF!</definedName>
    <definedName name="cons_12p" localSheetId="9">#REF!</definedName>
    <definedName name="cons_12p">#REF!</definedName>
    <definedName name="cons_2005" localSheetId="0">[28]VA_CONSTANT!$A$3:$Z$21</definedName>
    <definedName name="cons_2005" localSheetId="16">[29]VA_CONSTANT!$A$3:$Z$21</definedName>
    <definedName name="cons_2005" localSheetId="17">[29]VA_CONSTANT!$A$3:$Z$21</definedName>
    <definedName name="cons_2005" localSheetId="4">[30]VA_CONSTANT!$A$3:$Z$21</definedName>
    <definedName name="cons_2005" localSheetId="39">[28]VA_CONSTANT!$A$3:$Z$21</definedName>
    <definedName name="cons_2005" localSheetId="40">[28]VA_CONSTANT!$A$3:$Z$21</definedName>
    <definedName name="cons_2005" localSheetId="52">[24]VA_CONSTANT!$A$3:$Z$21</definedName>
    <definedName name="cons_2005" localSheetId="6">[29]VA_CONSTANT!$A$3:$Z$21</definedName>
    <definedName name="cons_2005" localSheetId="78">[28]VA_CONSTANT!$A$3:$Z$21</definedName>
    <definedName name="cons_2005" localSheetId="79">[28]VA_CONSTANT!$A$3:$Z$21</definedName>
    <definedName name="cons_2005" localSheetId="7">[29]VA_CONSTANT!$A$3:$Z$21</definedName>
    <definedName name="cons_2005" localSheetId="8">[28]VA_CONSTANT!$A$3:$Z$21</definedName>
    <definedName name="cons_2005">[28]VA_CONSTANT!$A$3:$Z$21</definedName>
    <definedName name="cons_2006" localSheetId="0">[28]VA_CONSTANT!$A$25:$Z$43</definedName>
    <definedName name="cons_2006" localSheetId="16">[29]VA_CONSTANT!$A$25:$Z$43</definedName>
    <definedName name="cons_2006" localSheetId="17">[29]VA_CONSTANT!$A$25:$Z$43</definedName>
    <definedName name="cons_2006" localSheetId="4">[30]VA_CONSTANT!$A$25:$Z$43</definedName>
    <definedName name="cons_2006" localSheetId="39">[28]VA_CONSTANT!$A$25:$Z$43</definedName>
    <definedName name="cons_2006" localSheetId="40">[28]VA_CONSTANT!$A$25:$Z$43</definedName>
    <definedName name="cons_2006" localSheetId="52">[24]VA_CONSTANT!$A$25:$Z$43</definedName>
    <definedName name="cons_2006" localSheetId="6">[29]VA_CONSTANT!$A$25:$Z$43</definedName>
    <definedName name="cons_2006" localSheetId="78">[28]VA_CONSTANT!$A$25:$Z$43</definedName>
    <definedName name="cons_2006" localSheetId="79">[28]VA_CONSTANT!$A$25:$Z$43</definedName>
    <definedName name="cons_2006" localSheetId="7">[29]VA_CONSTANT!$A$25:$Z$43</definedName>
    <definedName name="cons_2006" localSheetId="8">[28]VA_CONSTANT!$A$25:$Z$43</definedName>
    <definedName name="cons_2006">[28]VA_CONSTANT!$A$25:$Z$43</definedName>
    <definedName name="cons_2007" localSheetId="0">[28]VA_CONSTANT!$A$47:$Z$65</definedName>
    <definedName name="cons_2007" localSheetId="16">[29]VA_CONSTANT!$A$47:$Z$65</definedName>
    <definedName name="cons_2007" localSheetId="17">[29]VA_CONSTANT!$A$47:$Z$65</definedName>
    <definedName name="cons_2007" localSheetId="4">[30]VA_CONSTANT!$A$47:$Z$65</definedName>
    <definedName name="cons_2007" localSheetId="39">[28]VA_CONSTANT!$A$47:$Z$65</definedName>
    <definedName name="cons_2007" localSheetId="40">[28]VA_CONSTANT!$A$47:$Z$65</definedName>
    <definedName name="cons_2007" localSheetId="52">[24]VA_CONSTANT!$A$47:$Z$65</definedName>
    <definedName name="cons_2007" localSheetId="6">[29]VA_CONSTANT!$A$47:$Z$65</definedName>
    <definedName name="cons_2007" localSheetId="78">[28]VA_CONSTANT!$A$47:$Z$65</definedName>
    <definedName name="cons_2007" localSheetId="79">[28]VA_CONSTANT!$A$47:$Z$65</definedName>
    <definedName name="cons_2007" localSheetId="7">[29]VA_CONSTANT!$A$47:$Z$65</definedName>
    <definedName name="cons_2007" localSheetId="8">[28]VA_CONSTANT!$A$47:$Z$65</definedName>
    <definedName name="cons_2007">[28]VA_CONSTANT!$A$47:$Z$65</definedName>
    <definedName name="cons_2008" localSheetId="0">[28]VA_CONSTANT!$A$69:$Z$87</definedName>
    <definedName name="cons_2008" localSheetId="16">[29]VA_CONSTANT!$A$69:$Z$87</definedName>
    <definedName name="cons_2008" localSheetId="17">[29]VA_CONSTANT!$A$69:$Z$87</definedName>
    <definedName name="cons_2008" localSheetId="4">[30]VA_CONSTANT!$A$69:$Z$87</definedName>
    <definedName name="cons_2008" localSheetId="39">[28]VA_CONSTANT!$A$69:$Z$87</definedName>
    <definedName name="cons_2008" localSheetId="40">[28]VA_CONSTANT!$A$69:$Z$87</definedName>
    <definedName name="cons_2008" localSheetId="52">[24]VA_CONSTANT!$A$69:$Z$87</definedName>
    <definedName name="cons_2008" localSheetId="6">[29]VA_CONSTANT!$A$69:$Z$87</definedName>
    <definedName name="cons_2008" localSheetId="78">[28]VA_CONSTANT!$A$69:$Z$87</definedName>
    <definedName name="cons_2008" localSheetId="79">[28]VA_CONSTANT!$A$69:$Z$87</definedName>
    <definedName name="cons_2008" localSheetId="7">[29]VA_CONSTANT!$A$69:$Z$87</definedName>
    <definedName name="cons_2008" localSheetId="8">[28]VA_CONSTANT!$A$69:$Z$87</definedName>
    <definedName name="cons_2008">[28]VA_CONSTANT!$A$69:$Z$87</definedName>
    <definedName name="cons_2009" localSheetId="0">[28]VA_CONSTANT!$A$91:$Z$109</definedName>
    <definedName name="cons_2009" localSheetId="16">[29]VA_CONSTANT!$A$91:$Z$109</definedName>
    <definedName name="cons_2009" localSheetId="17">[29]VA_CONSTANT!$A$91:$Z$109</definedName>
    <definedName name="cons_2009" localSheetId="4">[30]VA_CONSTANT!$A$91:$Z$109</definedName>
    <definedName name="cons_2009" localSheetId="39">[28]VA_CONSTANT!$A$91:$Z$109</definedName>
    <definedName name="cons_2009" localSheetId="40">[28]VA_CONSTANT!$A$91:$Z$109</definedName>
    <definedName name="cons_2009" localSheetId="52">[24]VA_CONSTANT!$A$91:$Z$109</definedName>
    <definedName name="cons_2009" localSheetId="6">[29]VA_CONSTANT!$A$91:$Z$109</definedName>
    <definedName name="cons_2009" localSheetId="78">[28]VA_CONSTANT!$A$91:$Z$109</definedName>
    <definedName name="cons_2009" localSheetId="79">[28]VA_CONSTANT!$A$91:$Z$109</definedName>
    <definedName name="cons_2009" localSheetId="7">[29]VA_CONSTANT!$A$91:$Z$109</definedName>
    <definedName name="cons_2009" localSheetId="8">[28]VA_CONSTANT!$A$91:$Z$109</definedName>
    <definedName name="cons_2009">[28]VA_CONSTANT!$A$91:$Z$109</definedName>
    <definedName name="cons_2010" localSheetId="0">[28]VA_CONSTANT!$A$113:$Z$131</definedName>
    <definedName name="cons_2010" localSheetId="16">[29]VA_CONSTANT!$A$113:$Z$131</definedName>
    <definedName name="cons_2010" localSheetId="17">[29]VA_CONSTANT!$A$113:$Z$131</definedName>
    <definedName name="cons_2010" localSheetId="4">[30]VA_CONSTANT!$A$113:$Z$131</definedName>
    <definedName name="cons_2010" localSheetId="39">[28]VA_CONSTANT!$A$113:$Z$131</definedName>
    <definedName name="cons_2010" localSheetId="40">[28]VA_CONSTANT!$A$113:$Z$131</definedName>
    <definedName name="cons_2010" localSheetId="52">[24]VA_CONSTANT!$A$113:$Z$131</definedName>
    <definedName name="cons_2010" localSheetId="6">[29]VA_CONSTANT!$A$113:$Z$131</definedName>
    <definedName name="cons_2010" localSheetId="78">[28]VA_CONSTANT!$A$113:$Z$131</definedName>
    <definedName name="cons_2010" localSheetId="79">[28]VA_CONSTANT!$A$113:$Z$131</definedName>
    <definedName name="cons_2010" localSheetId="7">[29]VA_CONSTANT!$A$113:$Z$131</definedName>
    <definedName name="cons_2010" localSheetId="8">[28]VA_CONSTANT!$A$113:$Z$131</definedName>
    <definedName name="cons_2010">[28]VA_CONSTANT!$A$113:$Z$131</definedName>
    <definedName name="cons_2011" localSheetId="0">[28]VA_CONSTANT!$A$135:$Z$153</definedName>
    <definedName name="cons_2011" localSheetId="16">[29]VA_CONSTANT!$A$135:$Z$153</definedName>
    <definedName name="cons_2011" localSheetId="17">[29]VA_CONSTANT!$A$135:$Z$153</definedName>
    <definedName name="cons_2011" localSheetId="4">[30]VA_CONSTANT!$A$135:$Z$153</definedName>
    <definedName name="cons_2011" localSheetId="39">[28]VA_CONSTANT!$A$135:$Z$153</definedName>
    <definedName name="cons_2011" localSheetId="40">[28]VA_CONSTANT!$A$135:$Z$153</definedName>
    <definedName name="cons_2011" localSheetId="52">[24]VA_CONSTANT!$A$135:$Z$153</definedName>
    <definedName name="cons_2011" localSheetId="6">[29]VA_CONSTANT!$A$135:$Z$153</definedName>
    <definedName name="cons_2011" localSheetId="78">[28]VA_CONSTANT!$A$135:$Z$153</definedName>
    <definedName name="cons_2011" localSheetId="79">[28]VA_CONSTANT!$A$135:$Z$153</definedName>
    <definedName name="cons_2011" localSheetId="7">[29]VA_CONSTANT!$A$135:$Z$153</definedName>
    <definedName name="cons_2011" localSheetId="8">[28]VA_CONSTANT!$A$135:$Z$153</definedName>
    <definedName name="cons_2011">[28]VA_CONSTANT!$A$135:$Z$153</definedName>
    <definedName name="cons_2012" localSheetId="0">[28]VA_CONSTANT!$A$157:$Z$175</definedName>
    <definedName name="cons_2012" localSheetId="16">[29]VA_CONSTANT!$A$157:$Z$175</definedName>
    <definedName name="cons_2012" localSheetId="17">[29]VA_CONSTANT!$A$157:$Z$175</definedName>
    <definedName name="cons_2012" localSheetId="4">[30]VA_CONSTANT!$A$157:$Z$175</definedName>
    <definedName name="cons_2012" localSheetId="39">[28]VA_CONSTANT!$A$157:$Z$175</definedName>
    <definedName name="cons_2012" localSheetId="40">[28]VA_CONSTANT!$A$157:$Z$175</definedName>
    <definedName name="cons_2012" localSheetId="52">[24]VA_CONSTANT!$A$157:$Z$175</definedName>
    <definedName name="cons_2012" localSheetId="6">[29]VA_CONSTANT!$A$157:$Z$175</definedName>
    <definedName name="cons_2012" localSheetId="78">[28]VA_CONSTANT!$A$157:$Z$175</definedName>
    <definedName name="cons_2012" localSheetId="79">[28]VA_CONSTANT!$A$157:$Z$175</definedName>
    <definedName name="cons_2012" localSheetId="7">[29]VA_CONSTANT!$A$157:$Z$175</definedName>
    <definedName name="cons_2012" localSheetId="8">[28]VA_CONSTANT!$A$157:$Z$175</definedName>
    <definedName name="cons_2012">[28]VA_CONSTANT!$A$157:$Z$175</definedName>
    <definedName name="cons_2013" localSheetId="0">[28]VA_CONSTANT!$A$179:$Z$197</definedName>
    <definedName name="cons_2013" localSheetId="16">[29]VA_CONSTANT!$A$179:$Z$197</definedName>
    <definedName name="cons_2013" localSheetId="17">[29]VA_CONSTANT!$A$179:$Z$197</definedName>
    <definedName name="cons_2013" localSheetId="4">[30]VA_CONSTANT!$A$179:$Z$197</definedName>
    <definedName name="cons_2013" localSheetId="39">[28]VA_CONSTANT!$A$179:$Z$197</definedName>
    <definedName name="cons_2013" localSheetId="40">[28]VA_CONSTANT!$A$179:$Z$197</definedName>
    <definedName name="cons_2013" localSheetId="52">[24]VA_CONSTANT!$A$179:$Z$197</definedName>
    <definedName name="cons_2013" localSheetId="6">[29]VA_CONSTANT!$A$179:$Z$197</definedName>
    <definedName name="cons_2013" localSheetId="78">[28]VA_CONSTANT!$A$179:$Z$197</definedName>
    <definedName name="cons_2013" localSheetId="79">[28]VA_CONSTANT!$A$179:$Z$197</definedName>
    <definedName name="cons_2013" localSheetId="7">[29]VA_CONSTANT!$A$179:$Z$197</definedName>
    <definedName name="cons_2013" localSheetId="8">[28]VA_CONSTANT!$A$179:$Z$197</definedName>
    <definedName name="cons_2013">[28]VA_CONSTANT!$A$179:$Z$197</definedName>
    <definedName name="cons_2013p" localSheetId="0">#REF!</definedName>
    <definedName name="cons_2013p" localSheetId="16">#REF!</definedName>
    <definedName name="cons_2013p" localSheetId="17">#REF!</definedName>
    <definedName name="cons_2013p" localSheetId="18">#REF!</definedName>
    <definedName name="cons_2013p" localSheetId="19">#REF!</definedName>
    <definedName name="cons_2013p" localSheetId="21">#REF!</definedName>
    <definedName name="cons_2013p" localSheetId="22">#REF!</definedName>
    <definedName name="cons_2013p" localSheetId="1">#REF!</definedName>
    <definedName name="cons_2013p" localSheetId="2">#REF!</definedName>
    <definedName name="cons_2013p" localSheetId="4">#REF!</definedName>
    <definedName name="cons_2013p" localSheetId="48">#REF!</definedName>
    <definedName name="cons_2013p" localSheetId="52">#REF!</definedName>
    <definedName name="cons_2013p" localSheetId="6">#REF!</definedName>
    <definedName name="cons_2013p" localSheetId="68">#REF!</definedName>
    <definedName name="cons_2013p" localSheetId="71">#REF!</definedName>
    <definedName name="cons_2013p" localSheetId="76">#REF!</definedName>
    <definedName name="cons_2013p" localSheetId="78">#REF!</definedName>
    <definedName name="cons_2013p" localSheetId="79">#REF!</definedName>
    <definedName name="cons_2013p" localSheetId="82">#REF!</definedName>
    <definedName name="cons_2013p" localSheetId="7">#REF!</definedName>
    <definedName name="cons_2013p" localSheetId="85">#REF!</definedName>
    <definedName name="cons_2013p" localSheetId="86">#REF!</definedName>
    <definedName name="cons_2013p" localSheetId="87">#REF!</definedName>
    <definedName name="cons_2013p" localSheetId="8">#REF!</definedName>
    <definedName name="cons_2013p" localSheetId="9">#REF!</definedName>
    <definedName name="cons_2013p">#REF!</definedName>
    <definedName name="cons_2013po" localSheetId="0">#REF!</definedName>
    <definedName name="cons_2013po" localSheetId="18">#REF!</definedName>
    <definedName name="cons_2013po" localSheetId="19">#REF!</definedName>
    <definedName name="cons_2013po" localSheetId="21">#REF!</definedName>
    <definedName name="cons_2013po" localSheetId="22">#REF!</definedName>
    <definedName name="cons_2013po" localSheetId="1">#REF!</definedName>
    <definedName name="cons_2013po" localSheetId="2">#REF!</definedName>
    <definedName name="cons_2013po" localSheetId="4">#REF!</definedName>
    <definedName name="cons_2013po" localSheetId="48">#REF!</definedName>
    <definedName name="cons_2013po" localSheetId="6">#REF!</definedName>
    <definedName name="cons_2013po" localSheetId="68">#REF!</definedName>
    <definedName name="cons_2013po" localSheetId="71">#REF!</definedName>
    <definedName name="cons_2013po" localSheetId="76">#REF!</definedName>
    <definedName name="cons_2013po" localSheetId="78">#REF!</definedName>
    <definedName name="cons_2013po" localSheetId="79">#REF!</definedName>
    <definedName name="cons_2013po" localSheetId="82">#REF!</definedName>
    <definedName name="cons_2013po" localSheetId="85">#REF!</definedName>
    <definedName name="cons_2013po" localSheetId="86">#REF!</definedName>
    <definedName name="cons_2013po" localSheetId="87">#REF!</definedName>
    <definedName name="cons_2013po" localSheetId="8">#REF!</definedName>
    <definedName name="cons_2013po" localSheetId="9">#REF!</definedName>
    <definedName name="cons_2013po">#REF!</definedName>
    <definedName name="cons_22445" localSheetId="0">#REF!</definedName>
    <definedName name="cons_22445" localSheetId="18">#REF!</definedName>
    <definedName name="cons_22445" localSheetId="19">#REF!</definedName>
    <definedName name="cons_22445" localSheetId="21">#REF!</definedName>
    <definedName name="cons_22445" localSheetId="22">#REF!</definedName>
    <definedName name="cons_22445" localSheetId="1">#REF!</definedName>
    <definedName name="cons_22445" localSheetId="2">#REF!</definedName>
    <definedName name="cons_22445" localSheetId="4">#REF!</definedName>
    <definedName name="cons_22445" localSheetId="48">#REF!</definedName>
    <definedName name="cons_22445" localSheetId="6">#REF!</definedName>
    <definedName name="cons_22445" localSheetId="68">#REF!</definedName>
    <definedName name="cons_22445" localSheetId="71">#REF!</definedName>
    <definedName name="cons_22445" localSheetId="76">#REF!</definedName>
    <definedName name="cons_22445" localSheetId="78">#REF!</definedName>
    <definedName name="cons_22445" localSheetId="79">#REF!</definedName>
    <definedName name="cons_22445" localSheetId="82">#REF!</definedName>
    <definedName name="cons_22445" localSheetId="85">#REF!</definedName>
    <definedName name="cons_22445" localSheetId="86">#REF!</definedName>
    <definedName name="cons_22445" localSheetId="87">#REF!</definedName>
    <definedName name="cons_22445" localSheetId="8">#REF!</definedName>
    <definedName name="cons_22445" localSheetId="9">#REF!</definedName>
    <definedName name="cons_22445">#REF!</definedName>
    <definedName name="cons_data" localSheetId="0">[28]VA_CONSTANT!$A$1:$Z$197</definedName>
    <definedName name="cons_data" localSheetId="16">[29]VA_CONSTANT!$A$1:$Z$197</definedName>
    <definedName name="cons_data" localSheetId="17">[29]VA_CONSTANT!$A$1:$Z$197</definedName>
    <definedName name="cons_data" localSheetId="4">[30]VA_CONSTANT!$A$1:$Z$197</definedName>
    <definedName name="cons_data" localSheetId="39">[28]VA_CONSTANT!$A$1:$Z$197</definedName>
    <definedName name="cons_data" localSheetId="40">[28]VA_CONSTANT!$A$1:$Z$197</definedName>
    <definedName name="cons_data" localSheetId="52">[24]VA_CONSTANT!$A$1:$Z$197</definedName>
    <definedName name="cons_data" localSheetId="6">[29]VA_CONSTANT!$A$1:$Z$197</definedName>
    <definedName name="cons_data" localSheetId="78">[28]VA_CONSTANT!$A$1:$Z$197</definedName>
    <definedName name="cons_data" localSheetId="79">[28]VA_CONSTANT!$A$1:$Z$197</definedName>
    <definedName name="cons_data" localSheetId="7">[29]VA_CONSTANT!$A$1:$Z$197</definedName>
    <definedName name="cons_data" localSheetId="8">[28]VA_CONSTANT!$A$1:$Z$197</definedName>
    <definedName name="cons_data">[28]VA_CONSTANT!$A$1:$Z$197</definedName>
    <definedName name="_xlnm.Criteria" localSheetId="0">#REF!</definedName>
    <definedName name="_xlnm.Criteria" localSheetId="18">#REF!</definedName>
    <definedName name="_xlnm.Criteria" localSheetId="19">#REF!</definedName>
    <definedName name="_xlnm.Criteria" localSheetId="21">#REF!</definedName>
    <definedName name="_xlnm.Criteria" localSheetId="1">#REF!</definedName>
    <definedName name="_xlnm.Criteria" localSheetId="2">#REF!</definedName>
    <definedName name="_xlnm.Criteria" localSheetId="4">#REF!</definedName>
    <definedName name="_xlnm.Criteria" localSheetId="48">#REF!</definedName>
    <definedName name="_xlnm.Criteria" localSheetId="6">#REF!</definedName>
    <definedName name="_xlnm.Criteria" localSheetId="68">#REF!</definedName>
    <definedName name="_xlnm.Criteria" localSheetId="71">#REF!</definedName>
    <definedName name="_xlnm.Criteria" localSheetId="76">#REF!</definedName>
    <definedName name="_xlnm.Criteria" localSheetId="78">#REF!</definedName>
    <definedName name="_xlnm.Criteria" localSheetId="79">#REF!</definedName>
    <definedName name="_xlnm.Criteria" localSheetId="82">#REF!</definedName>
    <definedName name="_xlnm.Criteria" localSheetId="85">#REF!</definedName>
    <definedName name="_xlnm.Criteria" localSheetId="86">#REF!</definedName>
    <definedName name="_xlnm.Criteria" localSheetId="87">#REF!</definedName>
    <definedName name="_xlnm.Criteria" localSheetId="8">#REF!</definedName>
    <definedName name="_xlnm.Criteria" localSheetId="9">#REF!</definedName>
    <definedName name="_xlnm.Criteria">#REF!</definedName>
    <definedName name="cur_0" localSheetId="0">#REF!</definedName>
    <definedName name="cur_0" localSheetId="16">#REF!</definedName>
    <definedName name="cur_0" localSheetId="17">#REF!</definedName>
    <definedName name="cur_0" localSheetId="18">#REF!</definedName>
    <definedName name="cur_0" localSheetId="19">#REF!</definedName>
    <definedName name="cur_0" localSheetId="21">#REF!</definedName>
    <definedName name="cur_0" localSheetId="22">#REF!</definedName>
    <definedName name="cur_0" localSheetId="1">#REF!</definedName>
    <definedName name="cur_0" localSheetId="2">#REF!</definedName>
    <definedName name="cur_0" localSheetId="4">#REF!</definedName>
    <definedName name="cur_0" localSheetId="48">#REF!</definedName>
    <definedName name="cur_0" localSheetId="52">#REF!</definedName>
    <definedName name="cur_0" localSheetId="6">#REF!</definedName>
    <definedName name="cur_0" localSheetId="68">#REF!</definedName>
    <definedName name="cur_0" localSheetId="71">#REF!</definedName>
    <definedName name="cur_0" localSheetId="76">#REF!</definedName>
    <definedName name="cur_0" localSheetId="78">#REF!</definedName>
    <definedName name="cur_0" localSheetId="79">#REF!</definedName>
    <definedName name="cur_0" localSheetId="82">#REF!</definedName>
    <definedName name="cur_0" localSheetId="85">#REF!</definedName>
    <definedName name="cur_0" localSheetId="86">#REF!</definedName>
    <definedName name="cur_0" localSheetId="87">#REF!</definedName>
    <definedName name="cur_0" localSheetId="8">#REF!</definedName>
    <definedName name="cur_0" localSheetId="9">#REF!</definedName>
    <definedName name="cur_0">#REF!</definedName>
    <definedName name="cur_05" localSheetId="0">#REF!</definedName>
    <definedName name="cur_05" localSheetId="16">#REF!</definedName>
    <definedName name="cur_05" localSheetId="17">#REF!</definedName>
    <definedName name="cur_05" localSheetId="18">#REF!</definedName>
    <definedName name="cur_05" localSheetId="19">#REF!</definedName>
    <definedName name="cur_05" localSheetId="21">#REF!</definedName>
    <definedName name="cur_05" localSheetId="22">#REF!</definedName>
    <definedName name="cur_05" localSheetId="1">#REF!</definedName>
    <definedName name="cur_05" localSheetId="2">#REF!</definedName>
    <definedName name="cur_05" localSheetId="4">#REF!</definedName>
    <definedName name="cur_05" localSheetId="48">#REF!</definedName>
    <definedName name="cur_05" localSheetId="52">#REF!</definedName>
    <definedName name="cur_05" localSheetId="6">#REF!</definedName>
    <definedName name="cur_05" localSheetId="68">#REF!</definedName>
    <definedName name="cur_05" localSheetId="71">#REF!</definedName>
    <definedName name="cur_05" localSheetId="76">#REF!</definedName>
    <definedName name="cur_05" localSheetId="78">#REF!</definedName>
    <definedName name="cur_05" localSheetId="79">#REF!</definedName>
    <definedName name="cur_05" localSheetId="82">#REF!</definedName>
    <definedName name="cur_05" localSheetId="7">#REF!</definedName>
    <definedName name="cur_05" localSheetId="85">#REF!</definedName>
    <definedName name="cur_05" localSheetId="86">#REF!</definedName>
    <definedName name="cur_05" localSheetId="87">#REF!</definedName>
    <definedName name="cur_05" localSheetId="8">#REF!</definedName>
    <definedName name="cur_05" localSheetId="9">#REF!</definedName>
    <definedName name="cur_05">#REF!</definedName>
    <definedName name="cur_06" localSheetId="0">#REF!</definedName>
    <definedName name="cur_06" localSheetId="16">#REF!</definedName>
    <definedName name="cur_06" localSheetId="17">#REF!</definedName>
    <definedName name="cur_06" localSheetId="18">#REF!</definedName>
    <definedName name="cur_06" localSheetId="19">#REF!</definedName>
    <definedName name="cur_06" localSheetId="21">#REF!</definedName>
    <definedName name="cur_06" localSheetId="22">#REF!</definedName>
    <definedName name="cur_06" localSheetId="1">#REF!</definedName>
    <definedName name="cur_06" localSheetId="2">#REF!</definedName>
    <definedName name="cur_06" localSheetId="4">#REF!</definedName>
    <definedName name="cur_06" localSheetId="48">#REF!</definedName>
    <definedName name="cur_06" localSheetId="52">#REF!</definedName>
    <definedName name="cur_06" localSheetId="6">#REF!</definedName>
    <definedName name="cur_06" localSheetId="68">#REF!</definedName>
    <definedName name="cur_06" localSheetId="71">#REF!</definedName>
    <definedName name="cur_06" localSheetId="76">#REF!</definedName>
    <definedName name="cur_06" localSheetId="78">#REF!</definedName>
    <definedName name="cur_06" localSheetId="79">#REF!</definedName>
    <definedName name="cur_06" localSheetId="82">#REF!</definedName>
    <definedName name="cur_06" localSheetId="85">#REF!</definedName>
    <definedName name="cur_06" localSheetId="86">#REF!</definedName>
    <definedName name="cur_06" localSheetId="87">#REF!</definedName>
    <definedName name="cur_06" localSheetId="8">#REF!</definedName>
    <definedName name="cur_06" localSheetId="9">#REF!</definedName>
    <definedName name="cur_06">#REF!</definedName>
    <definedName name="cur_07" localSheetId="0">#REF!</definedName>
    <definedName name="cur_07" localSheetId="16">#REF!</definedName>
    <definedName name="cur_07" localSheetId="17">#REF!</definedName>
    <definedName name="cur_07" localSheetId="18">#REF!</definedName>
    <definedName name="cur_07" localSheetId="19">#REF!</definedName>
    <definedName name="cur_07" localSheetId="21">#REF!</definedName>
    <definedName name="cur_07" localSheetId="22">#REF!</definedName>
    <definedName name="cur_07" localSheetId="1">#REF!</definedName>
    <definedName name="cur_07" localSheetId="2">#REF!</definedName>
    <definedName name="cur_07" localSheetId="4">#REF!</definedName>
    <definedName name="cur_07" localSheetId="48">#REF!</definedName>
    <definedName name="cur_07" localSheetId="52">#REF!</definedName>
    <definedName name="cur_07" localSheetId="68">#REF!</definedName>
    <definedName name="cur_07" localSheetId="71">#REF!</definedName>
    <definedName name="cur_07" localSheetId="76">#REF!</definedName>
    <definedName name="cur_07" localSheetId="78">#REF!</definedName>
    <definedName name="cur_07" localSheetId="79">#REF!</definedName>
    <definedName name="cur_07" localSheetId="82">#REF!</definedName>
    <definedName name="cur_07" localSheetId="85">#REF!</definedName>
    <definedName name="cur_07" localSheetId="86">#REF!</definedName>
    <definedName name="cur_07" localSheetId="87">#REF!</definedName>
    <definedName name="cur_07" localSheetId="8">#REF!</definedName>
    <definedName name="cur_07" localSheetId="9">#REF!</definedName>
    <definedName name="cur_07">#REF!</definedName>
    <definedName name="cur_070" localSheetId="18">#REF!</definedName>
    <definedName name="cur_070" localSheetId="19">#REF!</definedName>
    <definedName name="cur_070" localSheetId="21">#REF!</definedName>
    <definedName name="cur_070" localSheetId="22">#REF!</definedName>
    <definedName name="cur_070" localSheetId="1">#REF!</definedName>
    <definedName name="cur_070" localSheetId="2">#REF!</definedName>
    <definedName name="cur_070" localSheetId="4">#REF!</definedName>
    <definedName name="cur_070" localSheetId="48">#REF!</definedName>
    <definedName name="cur_070" localSheetId="68">#REF!</definedName>
    <definedName name="cur_070" localSheetId="71">#REF!</definedName>
    <definedName name="cur_070" localSheetId="76">#REF!</definedName>
    <definedName name="cur_070" localSheetId="78">#REF!</definedName>
    <definedName name="cur_070" localSheetId="79">#REF!</definedName>
    <definedName name="cur_070" localSheetId="82">#REF!</definedName>
    <definedName name="cur_070" localSheetId="85">#REF!</definedName>
    <definedName name="cur_070" localSheetId="86">#REF!</definedName>
    <definedName name="cur_070" localSheetId="87">#REF!</definedName>
    <definedName name="cur_070" localSheetId="8">#REF!</definedName>
    <definedName name="cur_070" localSheetId="9">#REF!</definedName>
    <definedName name="cur_070">#REF!</definedName>
    <definedName name="cur_08" localSheetId="0">#REF!</definedName>
    <definedName name="cur_08" localSheetId="16">#REF!</definedName>
    <definedName name="cur_08" localSheetId="17">#REF!</definedName>
    <definedName name="cur_08" localSheetId="18">#REF!</definedName>
    <definedName name="cur_08" localSheetId="19">#REF!</definedName>
    <definedName name="cur_08" localSheetId="21">#REF!</definedName>
    <definedName name="cur_08" localSheetId="22">#REF!</definedName>
    <definedName name="cur_08" localSheetId="1">#REF!</definedName>
    <definedName name="cur_08" localSheetId="2">#REF!</definedName>
    <definedName name="cur_08" localSheetId="4">#REF!</definedName>
    <definedName name="cur_08" localSheetId="48">#REF!</definedName>
    <definedName name="cur_08" localSheetId="52">#REF!</definedName>
    <definedName name="cur_08" localSheetId="68">#REF!</definedName>
    <definedName name="cur_08" localSheetId="71">#REF!</definedName>
    <definedName name="cur_08" localSheetId="76">#REF!</definedName>
    <definedName name="cur_08" localSheetId="78">#REF!</definedName>
    <definedName name="cur_08" localSheetId="79">#REF!</definedName>
    <definedName name="cur_08" localSheetId="82">#REF!</definedName>
    <definedName name="cur_08" localSheetId="85">#REF!</definedName>
    <definedName name="cur_08" localSheetId="86">#REF!</definedName>
    <definedName name="cur_08" localSheetId="87">#REF!</definedName>
    <definedName name="cur_08" localSheetId="8">#REF!</definedName>
    <definedName name="cur_08" localSheetId="9">#REF!</definedName>
    <definedName name="cur_08">#REF!</definedName>
    <definedName name="cur_09" localSheetId="0">#REF!</definedName>
    <definedName name="cur_09" localSheetId="16">#REF!</definedName>
    <definedName name="cur_09" localSheetId="17">#REF!</definedName>
    <definedName name="cur_09" localSheetId="18">#REF!</definedName>
    <definedName name="cur_09" localSheetId="19">#REF!</definedName>
    <definedName name="cur_09" localSheetId="21">#REF!</definedName>
    <definedName name="cur_09" localSheetId="22">#REF!</definedName>
    <definedName name="cur_09" localSheetId="1">#REF!</definedName>
    <definedName name="cur_09" localSheetId="2">#REF!</definedName>
    <definedName name="cur_09" localSheetId="4">#REF!</definedName>
    <definedName name="cur_09" localSheetId="48">#REF!</definedName>
    <definedName name="cur_09" localSheetId="52">#REF!</definedName>
    <definedName name="cur_09" localSheetId="68">#REF!</definedName>
    <definedName name="cur_09" localSheetId="71">#REF!</definedName>
    <definedName name="cur_09" localSheetId="76">#REF!</definedName>
    <definedName name="cur_09" localSheetId="78">#REF!</definedName>
    <definedName name="cur_09" localSheetId="79">#REF!</definedName>
    <definedName name="cur_09" localSheetId="82">#REF!</definedName>
    <definedName name="cur_09" localSheetId="85">#REF!</definedName>
    <definedName name="cur_09" localSheetId="86">#REF!</definedName>
    <definedName name="cur_09" localSheetId="87">#REF!</definedName>
    <definedName name="cur_09" localSheetId="8">#REF!</definedName>
    <definedName name="cur_09" localSheetId="9">#REF!</definedName>
    <definedName name="cur_09">#REF!</definedName>
    <definedName name="cur_10" localSheetId="0">#REF!</definedName>
    <definedName name="cur_10" localSheetId="16">#REF!</definedName>
    <definedName name="cur_10" localSheetId="17">#REF!</definedName>
    <definedName name="cur_10" localSheetId="18">#REF!</definedName>
    <definedName name="cur_10" localSheetId="19">#REF!</definedName>
    <definedName name="cur_10" localSheetId="21">#REF!</definedName>
    <definedName name="cur_10" localSheetId="22">#REF!</definedName>
    <definedName name="cur_10" localSheetId="1">#REF!</definedName>
    <definedName name="cur_10" localSheetId="2">#REF!</definedName>
    <definedName name="cur_10" localSheetId="4">#REF!</definedName>
    <definedName name="cur_10" localSheetId="48">#REF!</definedName>
    <definedName name="cur_10" localSheetId="52">#REF!</definedName>
    <definedName name="cur_10" localSheetId="68">#REF!</definedName>
    <definedName name="cur_10" localSheetId="71">#REF!</definedName>
    <definedName name="cur_10" localSheetId="76">#REF!</definedName>
    <definedName name="cur_10" localSheetId="78">#REF!</definedName>
    <definedName name="cur_10" localSheetId="79">#REF!</definedName>
    <definedName name="cur_10" localSheetId="82">#REF!</definedName>
    <definedName name="cur_10" localSheetId="85">#REF!</definedName>
    <definedName name="cur_10" localSheetId="86">#REF!</definedName>
    <definedName name="cur_10" localSheetId="87">#REF!</definedName>
    <definedName name="cur_10" localSheetId="8">#REF!</definedName>
    <definedName name="cur_10" localSheetId="9">#REF!</definedName>
    <definedName name="cur_10">#REF!</definedName>
    <definedName name="cur_11" localSheetId="0">#REF!</definedName>
    <definedName name="cur_11" localSheetId="16">#REF!</definedName>
    <definedName name="cur_11" localSheetId="17">#REF!</definedName>
    <definedName name="cur_11" localSheetId="18">#REF!</definedName>
    <definedName name="cur_11" localSheetId="19">#REF!</definedName>
    <definedName name="cur_11" localSheetId="21">#REF!</definedName>
    <definedName name="cur_11" localSheetId="22">#REF!</definedName>
    <definedName name="cur_11" localSheetId="1">#REF!</definedName>
    <definedName name="cur_11" localSheetId="2">#REF!</definedName>
    <definedName name="cur_11" localSheetId="4">#REF!</definedName>
    <definedName name="cur_11" localSheetId="48">#REF!</definedName>
    <definedName name="cur_11" localSheetId="52">#REF!</definedName>
    <definedName name="cur_11" localSheetId="68">#REF!</definedName>
    <definedName name="cur_11" localSheetId="71">#REF!</definedName>
    <definedName name="cur_11" localSheetId="76">#REF!</definedName>
    <definedName name="cur_11" localSheetId="78">#REF!</definedName>
    <definedName name="cur_11" localSheetId="79">#REF!</definedName>
    <definedName name="cur_11" localSheetId="82">#REF!</definedName>
    <definedName name="cur_11" localSheetId="85">#REF!</definedName>
    <definedName name="cur_11" localSheetId="86">#REF!</definedName>
    <definedName name="cur_11" localSheetId="87">#REF!</definedName>
    <definedName name="cur_11" localSheetId="8">#REF!</definedName>
    <definedName name="cur_11" localSheetId="9">#REF!</definedName>
    <definedName name="cur_11">#REF!</definedName>
    <definedName name="cur_12p" localSheetId="0">#REF!</definedName>
    <definedName name="cur_12p" localSheetId="16">#REF!</definedName>
    <definedName name="cur_12p" localSheetId="17">#REF!</definedName>
    <definedName name="cur_12p" localSheetId="18">#REF!</definedName>
    <definedName name="cur_12p" localSheetId="19">#REF!</definedName>
    <definedName name="cur_12p" localSheetId="21">#REF!</definedName>
    <definedName name="cur_12p" localSheetId="22">#REF!</definedName>
    <definedName name="cur_12p" localSheetId="1">#REF!</definedName>
    <definedName name="cur_12p" localSheetId="2">#REF!</definedName>
    <definedName name="cur_12p" localSheetId="4">#REF!</definedName>
    <definedName name="cur_12p" localSheetId="48">#REF!</definedName>
    <definedName name="cur_12p" localSheetId="52">#REF!</definedName>
    <definedName name="cur_12p" localSheetId="68">#REF!</definedName>
    <definedName name="cur_12p" localSheetId="71">#REF!</definedName>
    <definedName name="cur_12p" localSheetId="76">#REF!</definedName>
    <definedName name="cur_12p" localSheetId="78">#REF!</definedName>
    <definedName name="cur_12p" localSheetId="79">#REF!</definedName>
    <definedName name="cur_12p" localSheetId="82">#REF!</definedName>
    <definedName name="cur_12p" localSheetId="85">#REF!</definedName>
    <definedName name="cur_12p" localSheetId="86">#REF!</definedName>
    <definedName name="cur_12p" localSheetId="87">#REF!</definedName>
    <definedName name="cur_12p" localSheetId="8">#REF!</definedName>
    <definedName name="cur_12p" localSheetId="9">#REF!</definedName>
    <definedName name="cur_12p">#REF!</definedName>
    <definedName name="cur_13p" localSheetId="0">#REF!</definedName>
    <definedName name="cur_13p" localSheetId="18">#REF!</definedName>
    <definedName name="cur_13p" localSheetId="19">#REF!</definedName>
    <definedName name="cur_13p" localSheetId="21">#REF!</definedName>
    <definedName name="cur_13p" localSheetId="22">#REF!</definedName>
    <definedName name="cur_13p" localSheetId="1">#REF!</definedName>
    <definedName name="cur_13p" localSheetId="2">#REF!</definedName>
    <definedName name="cur_13p" localSheetId="4">#REF!</definedName>
    <definedName name="cur_13p" localSheetId="48">#REF!</definedName>
    <definedName name="cur_13p" localSheetId="68">#REF!</definedName>
    <definedName name="cur_13p" localSheetId="71">#REF!</definedName>
    <definedName name="cur_13p" localSheetId="76">#REF!</definedName>
    <definedName name="cur_13p" localSheetId="78">#REF!</definedName>
    <definedName name="cur_13p" localSheetId="79">#REF!</definedName>
    <definedName name="cur_13p" localSheetId="82">#REF!</definedName>
    <definedName name="cur_13p" localSheetId="85">#REF!</definedName>
    <definedName name="cur_13p" localSheetId="86">#REF!</definedName>
    <definedName name="cur_13p" localSheetId="87">#REF!</definedName>
    <definedName name="cur_13p" localSheetId="8">#REF!</definedName>
    <definedName name="cur_13p" localSheetId="9">#REF!</definedName>
    <definedName name="cur_13p">#REF!</definedName>
    <definedName name="cur_14p" localSheetId="0">#REF!</definedName>
    <definedName name="cur_14p" localSheetId="18">#REF!</definedName>
    <definedName name="cur_14p" localSheetId="19">#REF!</definedName>
    <definedName name="cur_14p" localSheetId="21">#REF!</definedName>
    <definedName name="cur_14p" localSheetId="22">#REF!</definedName>
    <definedName name="cur_14p" localSheetId="1">#REF!</definedName>
    <definedName name="cur_14p" localSheetId="2">#REF!</definedName>
    <definedName name="cur_14p" localSheetId="4">#REF!</definedName>
    <definedName name="cur_14p" localSheetId="48">#REF!</definedName>
    <definedName name="cur_14p" localSheetId="68">#REF!</definedName>
    <definedName name="cur_14p" localSheetId="71">#REF!</definedName>
    <definedName name="cur_14p" localSheetId="76">#REF!</definedName>
    <definedName name="cur_14p" localSheetId="78">#REF!</definedName>
    <definedName name="cur_14p" localSheetId="79">#REF!</definedName>
    <definedName name="cur_14p" localSheetId="82">#REF!</definedName>
    <definedName name="cur_14p" localSheetId="85">#REF!</definedName>
    <definedName name="cur_14p" localSheetId="86">#REF!</definedName>
    <definedName name="cur_14p" localSheetId="87">#REF!</definedName>
    <definedName name="cur_14p" localSheetId="8">#REF!</definedName>
    <definedName name="cur_14p" localSheetId="9">#REF!</definedName>
    <definedName name="cur_14p">#REF!</definedName>
    <definedName name="cur_2013p" localSheetId="0">#REF!</definedName>
    <definedName name="cur_2013p" localSheetId="16">#REF!</definedName>
    <definedName name="cur_2013p" localSheetId="17">#REF!</definedName>
    <definedName name="cur_2013p" localSheetId="18">#REF!</definedName>
    <definedName name="cur_2013p" localSheetId="19">#REF!</definedName>
    <definedName name="cur_2013p" localSheetId="21">#REF!</definedName>
    <definedName name="cur_2013p" localSheetId="22">#REF!</definedName>
    <definedName name="cur_2013p" localSheetId="1">#REF!</definedName>
    <definedName name="cur_2013p" localSheetId="2">#REF!</definedName>
    <definedName name="cur_2013p" localSheetId="4">#REF!</definedName>
    <definedName name="cur_2013p" localSheetId="48">#REF!</definedName>
    <definedName name="cur_2013p" localSheetId="52">#REF!</definedName>
    <definedName name="cur_2013p" localSheetId="68">#REF!</definedName>
    <definedName name="cur_2013p" localSheetId="71">#REF!</definedName>
    <definedName name="cur_2013p" localSheetId="76">#REF!</definedName>
    <definedName name="cur_2013p" localSheetId="78">#REF!</definedName>
    <definedName name="cur_2013p" localSheetId="79">#REF!</definedName>
    <definedName name="cur_2013p" localSheetId="82">#REF!</definedName>
    <definedName name="cur_2013p" localSheetId="85">#REF!</definedName>
    <definedName name="cur_2013p" localSheetId="86">#REF!</definedName>
    <definedName name="cur_2013p" localSheetId="87">#REF!</definedName>
    <definedName name="cur_2013p" localSheetId="8">#REF!</definedName>
    <definedName name="cur_2013p" localSheetId="9">#REF!</definedName>
    <definedName name="cur_2013p">#REF!</definedName>
    <definedName name="cur_45" localSheetId="0">#REF!</definedName>
    <definedName name="cur_45" localSheetId="16">#REF!</definedName>
    <definedName name="cur_45" localSheetId="17">#REF!</definedName>
    <definedName name="cur_45" localSheetId="18">#REF!</definedName>
    <definedName name="cur_45" localSheetId="19">#REF!</definedName>
    <definedName name="cur_45" localSheetId="21">#REF!</definedName>
    <definedName name="cur_45" localSheetId="22">#REF!</definedName>
    <definedName name="cur_45" localSheetId="1">#REF!</definedName>
    <definedName name="cur_45" localSheetId="2">#REF!</definedName>
    <definedName name="cur_45" localSheetId="4">#REF!</definedName>
    <definedName name="cur_45" localSheetId="48">#REF!</definedName>
    <definedName name="cur_45" localSheetId="52">#REF!</definedName>
    <definedName name="cur_45" localSheetId="68">#REF!</definedName>
    <definedName name="cur_45" localSheetId="71">#REF!</definedName>
    <definedName name="cur_45" localSheetId="76">#REF!</definedName>
    <definedName name="cur_45" localSheetId="78">#REF!</definedName>
    <definedName name="cur_45" localSheetId="79">#REF!</definedName>
    <definedName name="cur_45" localSheetId="82">#REF!</definedName>
    <definedName name="cur_45" localSheetId="85">#REF!</definedName>
    <definedName name="cur_45" localSheetId="86">#REF!</definedName>
    <definedName name="cur_45" localSheetId="87">#REF!</definedName>
    <definedName name="cur_45" localSheetId="8">#REF!</definedName>
    <definedName name="cur_45" localSheetId="9">#REF!</definedName>
    <definedName name="cur_45">#REF!</definedName>
    <definedName name="cur_52369" localSheetId="0">#REF!</definedName>
    <definedName name="cur_52369" localSheetId="16">#REF!</definedName>
    <definedName name="cur_52369" localSheetId="17">#REF!</definedName>
    <definedName name="cur_52369" localSheetId="18">#REF!</definedName>
    <definedName name="cur_52369" localSheetId="19">#REF!</definedName>
    <definedName name="cur_52369" localSheetId="21">#REF!</definedName>
    <definedName name="cur_52369" localSheetId="22">#REF!</definedName>
    <definedName name="cur_52369" localSheetId="1">#REF!</definedName>
    <definedName name="cur_52369" localSheetId="2">#REF!</definedName>
    <definedName name="cur_52369" localSheetId="4">#REF!</definedName>
    <definedName name="cur_52369" localSheetId="48">#REF!</definedName>
    <definedName name="cur_52369" localSheetId="52">#REF!</definedName>
    <definedName name="cur_52369" localSheetId="68">#REF!</definedName>
    <definedName name="cur_52369" localSheetId="71">#REF!</definedName>
    <definedName name="cur_52369" localSheetId="76">#REF!</definedName>
    <definedName name="cur_52369" localSheetId="78">#REF!</definedName>
    <definedName name="cur_52369" localSheetId="79">#REF!</definedName>
    <definedName name="cur_52369" localSheetId="82">#REF!</definedName>
    <definedName name="cur_52369" localSheetId="85">#REF!</definedName>
    <definedName name="cur_52369" localSheetId="86">#REF!</definedName>
    <definedName name="cur_52369" localSheetId="87">#REF!</definedName>
    <definedName name="cur_52369" localSheetId="8">#REF!</definedName>
    <definedName name="cur_52369" localSheetId="9">#REF!</definedName>
    <definedName name="cur_52369">#REF!</definedName>
    <definedName name="curr13" localSheetId="0">#REF!</definedName>
    <definedName name="curr13" localSheetId="18">#REF!</definedName>
    <definedName name="curr13" localSheetId="19">#REF!</definedName>
    <definedName name="curr13" localSheetId="21">#REF!</definedName>
    <definedName name="curr13" localSheetId="22">#REF!</definedName>
    <definedName name="curr13" localSheetId="1">#REF!</definedName>
    <definedName name="curr13" localSheetId="2">#REF!</definedName>
    <definedName name="curr13" localSheetId="4">#REF!</definedName>
    <definedName name="curr13" localSheetId="48">#REF!</definedName>
    <definedName name="curr13" localSheetId="68">#REF!</definedName>
    <definedName name="curr13" localSheetId="71">#REF!</definedName>
    <definedName name="curr13" localSheetId="76">#REF!</definedName>
    <definedName name="curr13" localSheetId="78">#REF!</definedName>
    <definedName name="curr13" localSheetId="79">#REF!</definedName>
    <definedName name="curr13" localSheetId="82">#REF!</definedName>
    <definedName name="curr13" localSheetId="85">#REF!</definedName>
    <definedName name="curr13" localSheetId="86">#REF!</definedName>
    <definedName name="curr13" localSheetId="87">#REF!</definedName>
    <definedName name="curr13" localSheetId="8">#REF!</definedName>
    <definedName name="curr13" localSheetId="9">#REF!</definedName>
    <definedName name="curr13">#REF!</definedName>
    <definedName name="cvxc" localSheetId="0" hidden="1">#REF!</definedName>
    <definedName name="cvxc" localSheetId="18" hidden="1">#REF!</definedName>
    <definedName name="cvxc" localSheetId="19" hidden="1">#REF!</definedName>
    <definedName name="cvxc" localSheetId="21" hidden="1">#REF!</definedName>
    <definedName name="cvxc" localSheetId="22">#REF!</definedName>
    <definedName name="cvxc" localSheetId="1" hidden="1">#REF!</definedName>
    <definedName name="cvxc" localSheetId="2" hidden="1">#REF!</definedName>
    <definedName name="cvxc" localSheetId="4" hidden="1">#REF!</definedName>
    <definedName name="cvxc" localSheetId="48" hidden="1">#REF!</definedName>
    <definedName name="cvxc" localSheetId="68" hidden="1">#REF!</definedName>
    <definedName name="cvxc" localSheetId="71" hidden="1">#REF!</definedName>
    <definedName name="cvxc" localSheetId="76" hidden="1">#REF!</definedName>
    <definedName name="cvxc" localSheetId="78" hidden="1">#REF!</definedName>
    <definedName name="cvxc" localSheetId="79" hidden="1">#REF!</definedName>
    <definedName name="cvxc" localSheetId="82" hidden="1">#REF!</definedName>
    <definedName name="cvxc" localSheetId="85" hidden="1">#REF!</definedName>
    <definedName name="cvxc" localSheetId="86" hidden="1">#REF!</definedName>
    <definedName name="cvxc" localSheetId="87" hidden="1">#REF!</definedName>
    <definedName name="cvxc" localSheetId="8" hidden="1">#REF!</definedName>
    <definedName name="cvxc" localSheetId="9" hidden="1">#REF!</definedName>
    <definedName name="cvxc" hidden="1">#REF!</definedName>
    <definedName name="cx" localSheetId="0">#REF!</definedName>
    <definedName name="cx" localSheetId="18">#REF!</definedName>
    <definedName name="cx" localSheetId="19">#REF!</definedName>
    <definedName name="cx" localSheetId="21">#REF!</definedName>
    <definedName name="cx" localSheetId="22">#REF!</definedName>
    <definedName name="cx" localSheetId="1">#REF!</definedName>
    <definedName name="cx" localSheetId="2">#REF!</definedName>
    <definedName name="cx" localSheetId="4">#REF!</definedName>
    <definedName name="cx" localSheetId="48">#REF!</definedName>
    <definedName name="cx" localSheetId="68">#REF!</definedName>
    <definedName name="cx" localSheetId="71">#REF!</definedName>
    <definedName name="cx" localSheetId="76">#REF!</definedName>
    <definedName name="cx" localSheetId="78">#REF!</definedName>
    <definedName name="cx" localSheetId="79">#REF!</definedName>
    <definedName name="cx" localSheetId="82">#REF!</definedName>
    <definedName name="cx" localSheetId="85">#REF!</definedName>
    <definedName name="cx" localSheetId="86">#REF!</definedName>
    <definedName name="cx" localSheetId="87">#REF!</definedName>
    <definedName name="cx" localSheetId="8">#REF!</definedName>
    <definedName name="cx" localSheetId="9">#REF!</definedName>
    <definedName name="cx">#REF!</definedName>
    <definedName name="CY_1225" localSheetId="0">#REF!</definedName>
    <definedName name="CY_1225" localSheetId="18">#REF!</definedName>
    <definedName name="CY_1225" localSheetId="19">#REF!</definedName>
    <definedName name="CY_1225" localSheetId="21">#REF!</definedName>
    <definedName name="CY_1225" localSheetId="22">#REF!</definedName>
    <definedName name="CY_1225" localSheetId="1">#REF!</definedName>
    <definedName name="CY_1225" localSheetId="2">#REF!</definedName>
    <definedName name="CY_1225" localSheetId="4">#REF!</definedName>
    <definedName name="CY_1225" localSheetId="48">#REF!</definedName>
    <definedName name="CY_1225" localSheetId="68">#REF!</definedName>
    <definedName name="CY_1225" localSheetId="71">#REF!</definedName>
    <definedName name="CY_1225" localSheetId="76">#REF!</definedName>
    <definedName name="CY_1225" localSheetId="78">#REF!</definedName>
    <definedName name="CY_1225" localSheetId="79">#REF!</definedName>
    <definedName name="CY_1225" localSheetId="82">#REF!</definedName>
    <definedName name="CY_1225" localSheetId="85">#REF!</definedName>
    <definedName name="CY_1225" localSheetId="86">#REF!</definedName>
    <definedName name="CY_1225" localSheetId="87">#REF!</definedName>
    <definedName name="CY_1225" localSheetId="8">#REF!</definedName>
    <definedName name="CY_1225" localSheetId="9">#REF!</definedName>
    <definedName name="CY_1225">#REF!</definedName>
    <definedName name="d" localSheetId="0">#REF!</definedName>
    <definedName name="d" localSheetId="16">#REF!</definedName>
    <definedName name="d" localSheetId="17">#REF!</definedName>
    <definedName name="d" localSheetId="18">#REF!</definedName>
    <definedName name="d" localSheetId="19">#REF!</definedName>
    <definedName name="d" localSheetId="21">#REF!</definedName>
    <definedName name="d" localSheetId="22">#REF!</definedName>
    <definedName name="d" localSheetId="1">#REF!</definedName>
    <definedName name="d" localSheetId="2">#REF!</definedName>
    <definedName name="d" localSheetId="4">#REF!</definedName>
    <definedName name="d" localSheetId="48">#REF!</definedName>
    <definedName name="d" localSheetId="52">#REF!</definedName>
    <definedName name="d" localSheetId="68">#REF!</definedName>
    <definedName name="d" localSheetId="71">#REF!</definedName>
    <definedName name="d" localSheetId="76">#REF!</definedName>
    <definedName name="d" localSheetId="78">#REF!</definedName>
    <definedName name="d" localSheetId="79">#REF!</definedName>
    <definedName name="d" localSheetId="82">#REF!</definedName>
    <definedName name="d" localSheetId="85">#REF!</definedName>
    <definedName name="d" localSheetId="86">#REF!</definedName>
    <definedName name="d" localSheetId="87">#REF!</definedName>
    <definedName name="d" localSheetId="8">#REF!</definedName>
    <definedName name="d" localSheetId="9">#REF!</definedName>
    <definedName name="d">#REF!</definedName>
    <definedName name="dasdasd" localSheetId="0">#REF!</definedName>
    <definedName name="dasdasd" localSheetId="16">#REF!</definedName>
    <definedName name="dasdasd" localSheetId="17">#REF!</definedName>
    <definedName name="dasdasd" localSheetId="18">#REF!</definedName>
    <definedName name="dasdasd" localSheetId="19">#REF!</definedName>
    <definedName name="dasdasd" localSheetId="21">#REF!</definedName>
    <definedName name="dasdasd" localSheetId="22">#REF!</definedName>
    <definedName name="dasdasd" localSheetId="1">#REF!</definedName>
    <definedName name="dasdasd" localSheetId="2">#REF!</definedName>
    <definedName name="dasdasd" localSheetId="4">#REF!</definedName>
    <definedName name="dasdasd" localSheetId="48">#REF!</definedName>
    <definedName name="dasdasd" localSheetId="52">#REF!</definedName>
    <definedName name="dasdasd" localSheetId="68">#REF!</definedName>
    <definedName name="dasdasd" localSheetId="71">#REF!</definedName>
    <definedName name="dasdasd" localSheetId="76">#REF!</definedName>
    <definedName name="dasdasd" localSheetId="78">#REF!</definedName>
    <definedName name="dasdasd" localSheetId="79">#REF!</definedName>
    <definedName name="dasdasd" localSheetId="82">#REF!</definedName>
    <definedName name="dasdasd" localSheetId="85">#REF!</definedName>
    <definedName name="dasdasd" localSheetId="86">#REF!</definedName>
    <definedName name="dasdasd" localSheetId="87">#REF!</definedName>
    <definedName name="dasdasd" localSheetId="8">#REF!</definedName>
    <definedName name="dasdasd" localSheetId="9">#REF!</definedName>
    <definedName name="dasdasd">#REF!</definedName>
    <definedName name="db" hidden="1">'[12]4.8'!#REF!</definedName>
    <definedName name="dccv" localSheetId="18">#REF!</definedName>
    <definedName name="dccv" localSheetId="19">#REF!</definedName>
    <definedName name="dccv" localSheetId="21">#REF!</definedName>
    <definedName name="dccv" localSheetId="22">#REF!</definedName>
    <definedName name="dccv" localSheetId="1">#REF!</definedName>
    <definedName name="dccv" localSheetId="2">#REF!</definedName>
    <definedName name="dccv" localSheetId="4">#REF!</definedName>
    <definedName name="dccv" localSheetId="48">#REF!</definedName>
    <definedName name="dccv" localSheetId="68">#REF!</definedName>
    <definedName name="dccv" localSheetId="71">#REF!</definedName>
    <definedName name="dccv" localSheetId="76">#REF!</definedName>
    <definedName name="dccv" localSheetId="78">#REF!</definedName>
    <definedName name="dccv" localSheetId="79">#REF!</definedName>
    <definedName name="dccv" localSheetId="82">#REF!</definedName>
    <definedName name="dccv" localSheetId="85">#REF!</definedName>
    <definedName name="dccv" localSheetId="86">#REF!</definedName>
    <definedName name="dccv" localSheetId="87">#REF!</definedName>
    <definedName name="dccv" localSheetId="8">#REF!</definedName>
    <definedName name="dccv" localSheetId="9">#REF!</definedName>
    <definedName name="dccv">#REF!</definedName>
    <definedName name="dd" localSheetId="0" hidden="1">#REF!</definedName>
    <definedName name="dd" localSheetId="18" hidden="1">#REF!</definedName>
    <definedName name="dd" localSheetId="19" hidden="1">#REF!</definedName>
    <definedName name="dd" localSheetId="21" hidden="1">#REF!</definedName>
    <definedName name="dd" localSheetId="22">#REF!</definedName>
    <definedName name="dd" localSheetId="1" hidden="1">#REF!</definedName>
    <definedName name="dd" localSheetId="2" hidden="1">#REF!</definedName>
    <definedName name="dd" localSheetId="4" hidden="1">#REF!</definedName>
    <definedName name="dd" localSheetId="48" hidden="1">#REF!</definedName>
    <definedName name="dd" localSheetId="68" hidden="1">#REF!</definedName>
    <definedName name="dd" localSheetId="71" hidden="1">#REF!</definedName>
    <definedName name="dd" localSheetId="76" hidden="1">#REF!</definedName>
    <definedName name="dd" localSheetId="78" hidden="1">#REF!</definedName>
    <definedName name="dd" localSheetId="79" hidden="1">#REF!</definedName>
    <definedName name="dd" localSheetId="82" hidden="1">#REF!</definedName>
    <definedName name="dd" localSheetId="85" hidden="1">#REF!</definedName>
    <definedName name="dd" localSheetId="86" hidden="1">#REF!</definedName>
    <definedName name="dd" localSheetId="87" hidden="1">#REF!</definedName>
    <definedName name="dd" localSheetId="8" hidden="1">#REF!</definedName>
    <definedName name="dd" localSheetId="9" hidden="1">#REF!</definedName>
    <definedName name="dd" hidden="1">#REF!</definedName>
    <definedName name="ddd" localSheetId="0">#REF!</definedName>
    <definedName name="ddd" localSheetId="16">#REF!</definedName>
    <definedName name="ddd" localSheetId="17">#REF!</definedName>
    <definedName name="ddd" localSheetId="18">#REF!</definedName>
    <definedName name="ddd" localSheetId="19">#REF!</definedName>
    <definedName name="ddd" localSheetId="21">#REF!</definedName>
    <definedName name="ddd" localSheetId="22">#REF!</definedName>
    <definedName name="ddd" localSheetId="1">#REF!</definedName>
    <definedName name="ddd" localSheetId="2">#REF!</definedName>
    <definedName name="ddd" localSheetId="4">#REF!</definedName>
    <definedName name="ddd" localSheetId="48">#REF!</definedName>
    <definedName name="ddd" localSheetId="52">#REF!</definedName>
    <definedName name="ddd" localSheetId="68">#REF!</definedName>
    <definedName name="ddd" localSheetId="71">#REF!</definedName>
    <definedName name="ddd" localSheetId="76">#REF!</definedName>
    <definedName name="ddd" localSheetId="78">#REF!</definedName>
    <definedName name="ddd" localSheetId="79">#REF!</definedName>
    <definedName name="ddd" localSheetId="82">#REF!</definedName>
    <definedName name="ddd" localSheetId="85">#REF!</definedName>
    <definedName name="ddd" localSheetId="86">#REF!</definedName>
    <definedName name="ddd" localSheetId="87">#REF!</definedName>
    <definedName name="ddd" localSheetId="8">#REF!</definedName>
    <definedName name="ddd" localSheetId="9">#REF!</definedName>
    <definedName name="ddd">#REF!</definedName>
    <definedName name="dddfrt" localSheetId="0">#REF!</definedName>
    <definedName name="dddfrt" localSheetId="18">#REF!</definedName>
    <definedName name="dddfrt" localSheetId="19">#REF!</definedName>
    <definedName name="dddfrt" localSheetId="21">#REF!</definedName>
    <definedName name="dddfrt" localSheetId="22">#REF!</definedName>
    <definedName name="dddfrt" localSheetId="1">#REF!</definedName>
    <definedName name="dddfrt" localSheetId="2">#REF!</definedName>
    <definedName name="dddfrt" localSheetId="4">#REF!</definedName>
    <definedName name="dddfrt" localSheetId="48">#REF!</definedName>
    <definedName name="dddfrt" localSheetId="68">#REF!</definedName>
    <definedName name="dddfrt" localSheetId="71">#REF!</definedName>
    <definedName name="dddfrt" localSheetId="76">#REF!</definedName>
    <definedName name="dddfrt" localSheetId="78">#REF!</definedName>
    <definedName name="dddfrt" localSheetId="79">#REF!</definedName>
    <definedName name="dddfrt" localSheetId="82">#REF!</definedName>
    <definedName name="dddfrt" localSheetId="85">#REF!</definedName>
    <definedName name="dddfrt" localSheetId="86">#REF!</definedName>
    <definedName name="dddfrt" localSheetId="87">#REF!</definedName>
    <definedName name="dddfrt" localSheetId="8">#REF!</definedName>
    <definedName name="dddfrt" localSheetId="9">#REF!</definedName>
    <definedName name="dddfrt">#REF!</definedName>
    <definedName name="ddds" localSheetId="0">#REF!</definedName>
    <definedName name="ddds" localSheetId="18">#REF!</definedName>
    <definedName name="ddds" localSheetId="19">#REF!</definedName>
    <definedName name="ddds" localSheetId="21">#REF!</definedName>
    <definedName name="ddds" localSheetId="22">#REF!</definedName>
    <definedName name="ddds" localSheetId="1">#REF!</definedName>
    <definedName name="ddds" localSheetId="2">#REF!</definedName>
    <definedName name="ddds" localSheetId="4">#REF!</definedName>
    <definedName name="ddds" localSheetId="48">#REF!</definedName>
    <definedName name="ddds" localSheetId="68">#REF!</definedName>
    <definedName name="ddds" localSheetId="71">#REF!</definedName>
    <definedName name="ddds" localSheetId="76">#REF!</definedName>
    <definedName name="ddds" localSheetId="78">#REF!</definedName>
    <definedName name="ddds" localSheetId="79">#REF!</definedName>
    <definedName name="ddds" localSheetId="82">#REF!</definedName>
    <definedName name="ddds" localSheetId="85">#REF!</definedName>
    <definedName name="ddds" localSheetId="86">#REF!</definedName>
    <definedName name="ddds" localSheetId="87">#REF!</definedName>
    <definedName name="ddds" localSheetId="8">#REF!</definedName>
    <definedName name="ddds" localSheetId="9">#REF!</definedName>
    <definedName name="ddds">#REF!</definedName>
    <definedName name="dfcsz" localSheetId="0" hidden="1">'[18]4.9'!#REF!</definedName>
    <definedName name="dfcsz" localSheetId="18" hidden="1">'[18]4.9'!#REF!</definedName>
    <definedName name="dfcsz" localSheetId="19" hidden="1">'[18]4.9'!#REF!</definedName>
    <definedName name="dfcsz" localSheetId="21" hidden="1">'[18]4.9'!#REF!</definedName>
    <definedName name="dfcsz" localSheetId="22">#REF!</definedName>
    <definedName name="dfcsz" localSheetId="1" hidden="1">'[18]4.9'!#REF!</definedName>
    <definedName name="dfcsz" localSheetId="2" hidden="1">'[18]4.9'!#REF!</definedName>
    <definedName name="dfcsz" localSheetId="4" hidden="1">'[19]4.9'!#REF!</definedName>
    <definedName name="dfcsz" localSheetId="48" hidden="1">'[18]4.9'!#REF!</definedName>
    <definedName name="dfcsz" localSheetId="6" hidden="1">'[16]4.9'!#REF!</definedName>
    <definedName name="dfcsz" localSheetId="68" hidden="1">'[18]4.9'!#REF!</definedName>
    <definedName name="dfcsz" localSheetId="71" hidden="1">'[18]4.9'!#REF!</definedName>
    <definedName name="dfcsz" localSheetId="76" hidden="1">'[18]4.9'!#REF!</definedName>
    <definedName name="dfcsz" localSheetId="82" hidden="1">'[18]4.9'!#REF!</definedName>
    <definedName name="dfcsz" localSheetId="7" hidden="1">'[16]4.9'!#REF!</definedName>
    <definedName name="dfcsz" localSheetId="85" hidden="1">'[18]4.9'!#REF!</definedName>
    <definedName name="dfcsz" localSheetId="86" hidden="1">'[18]4.9'!#REF!</definedName>
    <definedName name="dfcsz" localSheetId="87" hidden="1">'[18]4.9'!#REF!</definedName>
    <definedName name="dfcsz" localSheetId="8" hidden="1">'[18]4.9'!#REF!</definedName>
    <definedName name="dfcsz" localSheetId="9" hidden="1">'[18]4.9'!#REF!</definedName>
    <definedName name="dfcsz" hidden="1">'[18]4.9'!#REF!</definedName>
    <definedName name="dfd" localSheetId="0" hidden="1">'[18]4.9'!#REF!</definedName>
    <definedName name="dfd" localSheetId="18" hidden="1">'[18]4.9'!#REF!</definedName>
    <definedName name="dfd" localSheetId="19" hidden="1">'[18]4.9'!#REF!</definedName>
    <definedName name="dfd" localSheetId="21" hidden="1">'[18]4.9'!#REF!</definedName>
    <definedName name="dfd" localSheetId="22">#REF!</definedName>
    <definedName name="dfd" localSheetId="1" hidden="1">'[18]4.9'!#REF!</definedName>
    <definedName name="dfd" localSheetId="2" hidden="1">'[18]4.9'!#REF!</definedName>
    <definedName name="dfd" localSheetId="4" hidden="1">'[19]4.9'!#REF!</definedName>
    <definedName name="dfd" localSheetId="48" hidden="1">'[18]4.9'!#REF!</definedName>
    <definedName name="dfd" localSheetId="6" hidden="1">'[16]4.9'!#REF!</definedName>
    <definedName name="dfd" localSheetId="68" hidden="1">'[18]4.9'!#REF!</definedName>
    <definedName name="dfd" localSheetId="71" hidden="1">'[18]4.9'!#REF!</definedName>
    <definedName name="dfd" localSheetId="76" hidden="1">'[18]4.9'!#REF!</definedName>
    <definedName name="dfd" localSheetId="82" hidden="1">'[18]4.9'!#REF!</definedName>
    <definedName name="dfd" localSheetId="7" hidden="1">'[16]4.9'!#REF!</definedName>
    <definedName name="dfd" localSheetId="85" hidden="1">'[18]4.9'!#REF!</definedName>
    <definedName name="dfd" localSheetId="86" hidden="1">'[18]4.9'!#REF!</definedName>
    <definedName name="dfd" localSheetId="87" hidden="1">'[18]4.9'!#REF!</definedName>
    <definedName name="dfd" localSheetId="8" hidden="1">'[18]4.9'!#REF!</definedName>
    <definedName name="dfd" localSheetId="9" hidden="1">'[18]4.9'!#REF!</definedName>
    <definedName name="dfd" hidden="1">'[18]4.9'!#REF!</definedName>
    <definedName name="dfdfvz" localSheetId="0">#REF!</definedName>
    <definedName name="dfdfvz" localSheetId="18">#REF!</definedName>
    <definedName name="dfdfvz" localSheetId="19">#REF!</definedName>
    <definedName name="dfdfvz" localSheetId="21">#REF!</definedName>
    <definedName name="dfdfvz" localSheetId="22">#REF!</definedName>
    <definedName name="dfdfvz" localSheetId="1">#REF!</definedName>
    <definedName name="dfdfvz" localSheetId="2">#REF!</definedName>
    <definedName name="dfdfvz" localSheetId="4">#REF!</definedName>
    <definedName name="dfdfvz" localSheetId="48">#REF!</definedName>
    <definedName name="dfdfvz" localSheetId="6">#REF!</definedName>
    <definedName name="dfdfvz" localSheetId="68">#REF!</definedName>
    <definedName name="dfdfvz" localSheetId="71">#REF!</definedName>
    <definedName name="dfdfvz" localSheetId="76">#REF!</definedName>
    <definedName name="dfdfvz" localSheetId="78">#REF!</definedName>
    <definedName name="dfdfvz" localSheetId="79">#REF!</definedName>
    <definedName name="dfdfvz" localSheetId="82">#REF!</definedName>
    <definedName name="dfdfvz" localSheetId="85">#REF!</definedName>
    <definedName name="dfdfvz" localSheetId="86">#REF!</definedName>
    <definedName name="dfdfvz" localSheetId="87">#REF!</definedName>
    <definedName name="dfdfvz" localSheetId="8">#REF!</definedName>
    <definedName name="dfdfvz" localSheetId="9">#REF!</definedName>
    <definedName name="dfdfvz">#REF!</definedName>
    <definedName name="dfdxv" localSheetId="0">#REF!</definedName>
    <definedName name="dfdxv" localSheetId="18">#REF!</definedName>
    <definedName name="dfdxv" localSheetId="19">#REF!</definedName>
    <definedName name="dfdxv" localSheetId="21">#REF!</definedName>
    <definedName name="dfdxv" localSheetId="22">#REF!</definedName>
    <definedName name="dfdxv" localSheetId="1">#REF!</definedName>
    <definedName name="dfdxv" localSheetId="2">#REF!</definedName>
    <definedName name="dfdxv" localSheetId="4">#REF!</definedName>
    <definedName name="dfdxv" localSheetId="48">#REF!</definedName>
    <definedName name="dfdxv" localSheetId="6">#REF!</definedName>
    <definedName name="dfdxv" localSheetId="68">#REF!</definedName>
    <definedName name="dfdxv" localSheetId="71">#REF!</definedName>
    <definedName name="dfdxv" localSheetId="76">#REF!</definedName>
    <definedName name="dfdxv" localSheetId="78">#REF!</definedName>
    <definedName name="dfdxv" localSheetId="79">#REF!</definedName>
    <definedName name="dfdxv" localSheetId="82">#REF!</definedName>
    <definedName name="dfdxv" localSheetId="85">#REF!</definedName>
    <definedName name="dfdxv" localSheetId="86">#REF!</definedName>
    <definedName name="dfdxv" localSheetId="87">#REF!</definedName>
    <definedName name="dfdxv" localSheetId="8">#REF!</definedName>
    <definedName name="dfdxv" localSheetId="9">#REF!</definedName>
    <definedName name="dfdxv">#REF!</definedName>
    <definedName name="dfg" localSheetId="0">#REF!</definedName>
    <definedName name="dfg" localSheetId="18">#REF!</definedName>
    <definedName name="dfg" localSheetId="19">#REF!</definedName>
    <definedName name="dfg" localSheetId="21">#REF!</definedName>
    <definedName name="dfg" localSheetId="22">#REF!</definedName>
    <definedName name="dfg" localSheetId="1">#REF!</definedName>
    <definedName name="dfg" localSheetId="2">#REF!</definedName>
    <definedName name="dfg" localSheetId="4">#REF!</definedName>
    <definedName name="dfg" localSheetId="48">#REF!</definedName>
    <definedName name="dfg" localSheetId="6">#REF!</definedName>
    <definedName name="dfg" localSheetId="68">#REF!</definedName>
    <definedName name="dfg" localSheetId="71">#REF!</definedName>
    <definedName name="dfg" localSheetId="76">#REF!</definedName>
    <definedName name="dfg" localSheetId="78">#REF!</definedName>
    <definedName name="dfg" localSheetId="79">#REF!</definedName>
    <definedName name="dfg" localSheetId="82">#REF!</definedName>
    <definedName name="dfg" localSheetId="85">#REF!</definedName>
    <definedName name="dfg" localSheetId="86">#REF!</definedName>
    <definedName name="dfg" localSheetId="87">#REF!</definedName>
    <definedName name="dfg" localSheetId="8">#REF!</definedName>
    <definedName name="dfg" localSheetId="9">#REF!</definedName>
    <definedName name="dfg">#REF!</definedName>
    <definedName name="dfhf" localSheetId="0">#REF!</definedName>
    <definedName name="dfhf" localSheetId="18">#REF!</definedName>
    <definedName name="dfhf" localSheetId="19">#REF!</definedName>
    <definedName name="dfhf" localSheetId="21">#REF!</definedName>
    <definedName name="dfhf" localSheetId="22">#REF!</definedName>
    <definedName name="dfhf" localSheetId="1">#REF!</definedName>
    <definedName name="dfhf" localSheetId="2">#REF!</definedName>
    <definedName name="dfhf" localSheetId="4">#REF!</definedName>
    <definedName name="dfhf" localSheetId="48">#REF!</definedName>
    <definedName name="dfhf" localSheetId="68">#REF!</definedName>
    <definedName name="dfhf" localSheetId="71">#REF!</definedName>
    <definedName name="dfhf" localSheetId="76">#REF!</definedName>
    <definedName name="dfhf" localSheetId="78">#REF!</definedName>
    <definedName name="dfhf" localSheetId="79">#REF!</definedName>
    <definedName name="dfhf" localSheetId="82">#REF!</definedName>
    <definedName name="dfhf" localSheetId="85">#REF!</definedName>
    <definedName name="dfhf" localSheetId="86">#REF!</definedName>
    <definedName name="dfhf" localSheetId="87">#REF!</definedName>
    <definedName name="dfhf" localSheetId="8">#REF!</definedName>
    <definedName name="dfhf" localSheetId="9">#REF!</definedName>
    <definedName name="dfhf">#REF!</definedName>
    <definedName name="DFRG" localSheetId="0">#REF!</definedName>
    <definedName name="DFRG" localSheetId="18">#REF!</definedName>
    <definedName name="DFRG" localSheetId="19">#REF!</definedName>
    <definedName name="DFRG" localSheetId="21">#REF!</definedName>
    <definedName name="DFRG" localSheetId="22">#REF!</definedName>
    <definedName name="DFRG" localSheetId="1">#REF!</definedName>
    <definedName name="DFRG" localSheetId="2">#REF!</definedName>
    <definedName name="DFRG" localSheetId="4">#REF!</definedName>
    <definedName name="DFRG" localSheetId="48">#REF!</definedName>
    <definedName name="DFRG" localSheetId="68">#REF!</definedName>
    <definedName name="DFRG" localSheetId="71">#REF!</definedName>
    <definedName name="DFRG" localSheetId="76">#REF!</definedName>
    <definedName name="DFRG" localSheetId="78">#REF!</definedName>
    <definedName name="DFRG" localSheetId="79">#REF!</definedName>
    <definedName name="DFRG" localSheetId="82">#REF!</definedName>
    <definedName name="DFRG" localSheetId="85">#REF!</definedName>
    <definedName name="DFRG" localSheetId="86">#REF!</definedName>
    <definedName name="DFRG" localSheetId="87">#REF!</definedName>
    <definedName name="DFRG" localSheetId="8">#REF!</definedName>
    <definedName name="DFRG" localSheetId="9">#REF!</definedName>
    <definedName name="DFRG">#REF!</definedName>
    <definedName name="dfs" localSheetId="0">#REF!</definedName>
    <definedName name="dfs" localSheetId="18">#REF!</definedName>
    <definedName name="dfs" localSheetId="19">#REF!</definedName>
    <definedName name="dfs" localSheetId="21">#REF!</definedName>
    <definedName name="dfs" localSheetId="22">#REF!</definedName>
    <definedName name="dfs" localSheetId="1">#REF!</definedName>
    <definedName name="dfs" localSheetId="2">#REF!</definedName>
    <definedName name="dfs" localSheetId="4">#REF!</definedName>
    <definedName name="dfs" localSheetId="48">#REF!</definedName>
    <definedName name="dfs" localSheetId="68">#REF!</definedName>
    <definedName name="dfs" localSheetId="71">#REF!</definedName>
    <definedName name="dfs" localSheetId="76">#REF!</definedName>
    <definedName name="dfs" localSheetId="78">#REF!</definedName>
    <definedName name="dfs" localSheetId="79">#REF!</definedName>
    <definedName name="dfs" localSheetId="82">#REF!</definedName>
    <definedName name="dfs" localSheetId="85">#REF!</definedName>
    <definedName name="dfs" localSheetId="86">#REF!</definedName>
    <definedName name="dfs" localSheetId="87">#REF!</definedName>
    <definedName name="dfs" localSheetId="8">#REF!</definedName>
    <definedName name="dfs" localSheetId="9">#REF!</definedName>
    <definedName name="dfs">#REF!</definedName>
    <definedName name="dfsd" localSheetId="0" hidden="1">#REF!</definedName>
    <definedName name="dfsd" localSheetId="18" hidden="1">#REF!</definedName>
    <definedName name="dfsd" localSheetId="19" hidden="1">#REF!</definedName>
    <definedName name="dfsd" localSheetId="21" hidden="1">#REF!</definedName>
    <definedName name="dfsd" localSheetId="22">#REF!</definedName>
    <definedName name="dfsd" localSheetId="1" hidden="1">#REF!</definedName>
    <definedName name="dfsd" localSheetId="2" hidden="1">#REF!</definedName>
    <definedName name="dfsd" localSheetId="4" hidden="1">#REF!</definedName>
    <definedName name="dfsd" localSheetId="48" hidden="1">#REF!</definedName>
    <definedName name="dfsd" localSheetId="68" hidden="1">#REF!</definedName>
    <definedName name="dfsd" localSheetId="71" hidden="1">#REF!</definedName>
    <definedName name="dfsd" localSheetId="76" hidden="1">#REF!</definedName>
    <definedName name="dfsd" localSheetId="78" hidden="1">#REF!</definedName>
    <definedName name="dfsd" localSheetId="79" hidden="1">#REF!</definedName>
    <definedName name="dfsd" localSheetId="82" hidden="1">#REF!</definedName>
    <definedName name="dfsd" localSheetId="85" hidden="1">#REF!</definedName>
    <definedName name="dfsd" localSheetId="86" hidden="1">#REF!</definedName>
    <definedName name="dfsd" localSheetId="87" hidden="1">#REF!</definedName>
    <definedName name="dfsd" localSheetId="8" hidden="1">#REF!</definedName>
    <definedName name="dfsd" localSheetId="9" hidden="1">#REF!</definedName>
    <definedName name="dfsd" hidden="1">#REF!</definedName>
    <definedName name="dfvd" localSheetId="0" hidden="1">'[18]4.9'!#REF!</definedName>
    <definedName name="dfvd" localSheetId="18" hidden="1">'[18]4.9'!#REF!</definedName>
    <definedName name="dfvd" localSheetId="19" hidden="1">'[18]4.9'!#REF!</definedName>
    <definedName name="dfvd" localSheetId="21" hidden="1">'[18]4.9'!#REF!</definedName>
    <definedName name="dfvd" localSheetId="22">#REF!</definedName>
    <definedName name="dfvd" localSheetId="1" hidden="1">'[18]4.9'!#REF!</definedName>
    <definedName name="dfvd" localSheetId="2" hidden="1">'[18]4.9'!#REF!</definedName>
    <definedName name="dfvd" localSheetId="4" hidden="1">'[19]4.9'!#REF!</definedName>
    <definedName name="dfvd" localSheetId="48" hidden="1">'[18]4.9'!#REF!</definedName>
    <definedName name="dfvd" localSheetId="6" hidden="1">'[16]4.9'!#REF!</definedName>
    <definedName name="dfvd" localSheetId="68" hidden="1">'[18]4.9'!#REF!</definedName>
    <definedName name="dfvd" localSheetId="71" hidden="1">'[18]4.9'!#REF!</definedName>
    <definedName name="dfvd" localSheetId="76" hidden="1">'[18]4.9'!#REF!</definedName>
    <definedName name="dfvd" localSheetId="82" hidden="1">'[18]4.9'!#REF!</definedName>
    <definedName name="dfvd" localSheetId="7" hidden="1">'[16]4.9'!#REF!</definedName>
    <definedName name="dfvd" localSheetId="85" hidden="1">'[18]4.9'!#REF!</definedName>
    <definedName name="dfvd" localSheetId="86" hidden="1">'[18]4.9'!#REF!</definedName>
    <definedName name="dfvd" localSheetId="87" hidden="1">'[18]4.9'!#REF!</definedName>
    <definedName name="dfvd" localSheetId="8" hidden="1">'[18]4.9'!#REF!</definedName>
    <definedName name="dfvd" localSheetId="9" hidden="1">'[18]4.9'!#REF!</definedName>
    <definedName name="dfvd" hidden="1">'[18]4.9'!#REF!</definedName>
    <definedName name="DishSelection" localSheetId="0">#REF!</definedName>
    <definedName name="DishSelection" localSheetId="18">#REF!</definedName>
    <definedName name="DishSelection" localSheetId="19">#REF!</definedName>
    <definedName name="DishSelection" localSheetId="21">#REF!</definedName>
    <definedName name="DishSelection" localSheetId="22">#REF!</definedName>
    <definedName name="DishSelection" localSheetId="1">#REF!</definedName>
    <definedName name="DishSelection" localSheetId="2">#REF!</definedName>
    <definedName name="DishSelection" localSheetId="4">#REF!</definedName>
    <definedName name="DishSelection" localSheetId="48">#REF!</definedName>
    <definedName name="DishSelection" localSheetId="6">#REF!</definedName>
    <definedName name="DishSelection" localSheetId="68">#REF!</definedName>
    <definedName name="DishSelection" localSheetId="71">#REF!</definedName>
    <definedName name="DishSelection" localSheetId="76">#REF!</definedName>
    <definedName name="DishSelection" localSheetId="78">#REF!</definedName>
    <definedName name="DishSelection" localSheetId="79">#REF!</definedName>
    <definedName name="DishSelection" localSheetId="82">#REF!</definedName>
    <definedName name="DishSelection" localSheetId="85">#REF!</definedName>
    <definedName name="DishSelection" localSheetId="86">#REF!</definedName>
    <definedName name="DishSelection" localSheetId="87">#REF!</definedName>
    <definedName name="DishSelection" localSheetId="8">#REF!</definedName>
    <definedName name="DishSelection" localSheetId="9">#REF!</definedName>
    <definedName name="DishSelection">#REF!</definedName>
    <definedName name="ds" localSheetId="0" hidden="1">'[10]4.8'!#REF!</definedName>
    <definedName name="ds" localSheetId="16" hidden="1">'[11]4.8'!#REF!</definedName>
    <definedName name="ds" localSheetId="17" hidden="1">'[12]4.8'!#REF!</definedName>
    <definedName name="ds" localSheetId="18" hidden="1">'[22]4.8'!#REF!</definedName>
    <definedName name="ds" localSheetId="19" hidden="1">'[22]4.8'!#REF!</definedName>
    <definedName name="ds" localSheetId="21" hidden="1">'[22]4.8'!#REF!</definedName>
    <definedName name="ds" localSheetId="22">#REF!</definedName>
    <definedName name="ds" localSheetId="1" hidden="1">'[22]4.8'!#REF!</definedName>
    <definedName name="ds" localSheetId="2" hidden="1">'[22]4.8'!#REF!</definedName>
    <definedName name="ds" localSheetId="4" hidden="1">'[23]4.8'!#REF!</definedName>
    <definedName name="ds" localSheetId="48" hidden="1">'[22]4.8'!#REF!</definedName>
    <definedName name="ds" localSheetId="52" hidden="1">'[23]4.8'!#REF!</definedName>
    <definedName name="ds" localSheetId="6" hidden="1">'[12]4.8'!#REF!</definedName>
    <definedName name="ds" localSheetId="68" hidden="1">'[22]4.8'!#REF!</definedName>
    <definedName name="ds" localSheetId="71" hidden="1">'[22]4.8'!#REF!</definedName>
    <definedName name="ds" localSheetId="76" hidden="1">'[22]4.8'!#REF!</definedName>
    <definedName name="ds" localSheetId="82" hidden="1">'[22]4.8'!#REF!</definedName>
    <definedName name="ds" localSheetId="7" hidden="1">'[12]4.8'!#REF!</definedName>
    <definedName name="ds" localSheetId="85" hidden="1">'[22]4.8'!#REF!</definedName>
    <definedName name="ds" localSheetId="86" hidden="1">'[22]4.8'!#REF!</definedName>
    <definedName name="ds" localSheetId="87" hidden="1">'[22]4.8'!#REF!</definedName>
    <definedName name="ds" localSheetId="8" hidden="1">'[22]4.8'!#REF!</definedName>
    <definedName name="ds" localSheetId="9" hidden="1">'[22]4.8'!#REF!</definedName>
    <definedName name="ds" hidden="1">'[22]4.8'!#REF!</definedName>
    <definedName name="dvcx" localSheetId="0">#REF!</definedName>
    <definedName name="dvcx" localSheetId="18">#REF!</definedName>
    <definedName name="dvcx" localSheetId="19">#REF!</definedName>
    <definedName name="dvcx" localSheetId="21">#REF!</definedName>
    <definedName name="dvcx" localSheetId="22">#REF!</definedName>
    <definedName name="dvcx" localSheetId="1">#REF!</definedName>
    <definedName name="dvcx" localSheetId="2">#REF!</definedName>
    <definedName name="dvcx" localSheetId="4">#REF!</definedName>
    <definedName name="dvcx" localSheetId="48">#REF!</definedName>
    <definedName name="dvcx" localSheetId="6">#REF!</definedName>
    <definedName name="dvcx" localSheetId="68">#REF!</definedName>
    <definedName name="dvcx" localSheetId="71">#REF!</definedName>
    <definedName name="dvcx" localSheetId="76">#REF!</definedName>
    <definedName name="dvcx" localSheetId="78">#REF!</definedName>
    <definedName name="dvcx" localSheetId="79">#REF!</definedName>
    <definedName name="dvcx" localSheetId="82">#REF!</definedName>
    <definedName name="dvcx" localSheetId="85">#REF!</definedName>
    <definedName name="dvcx" localSheetId="86">#REF!</definedName>
    <definedName name="dvcx" localSheetId="87">#REF!</definedName>
    <definedName name="dvcx" localSheetId="8">#REF!</definedName>
    <definedName name="dvcx" localSheetId="9">#REF!</definedName>
    <definedName name="dvcx">#REF!</definedName>
    <definedName name="dvvc" localSheetId="0">#REF!</definedName>
    <definedName name="dvvc" localSheetId="18">#REF!</definedName>
    <definedName name="dvvc" localSheetId="19">#REF!</definedName>
    <definedName name="dvvc" localSheetId="21">#REF!</definedName>
    <definedName name="dvvc" localSheetId="22">#REF!</definedName>
    <definedName name="dvvc" localSheetId="1">#REF!</definedName>
    <definedName name="dvvc" localSheetId="2">#REF!</definedName>
    <definedName name="dvvc" localSheetId="4">#REF!</definedName>
    <definedName name="dvvc" localSheetId="48">#REF!</definedName>
    <definedName name="dvvc" localSheetId="6">#REF!</definedName>
    <definedName name="dvvc" localSheetId="68">#REF!</definedName>
    <definedName name="dvvc" localSheetId="71">#REF!</definedName>
    <definedName name="dvvc" localSheetId="76">#REF!</definedName>
    <definedName name="dvvc" localSheetId="78">#REF!</definedName>
    <definedName name="dvvc" localSheetId="79">#REF!</definedName>
    <definedName name="dvvc" localSheetId="82">#REF!</definedName>
    <definedName name="dvvc" localSheetId="85">#REF!</definedName>
    <definedName name="dvvc" localSheetId="86">#REF!</definedName>
    <definedName name="dvvc" localSheetId="87">#REF!</definedName>
    <definedName name="dvvc" localSheetId="8">#REF!</definedName>
    <definedName name="dvvc" localSheetId="9">#REF!</definedName>
    <definedName name="dvvc">#REF!</definedName>
    <definedName name="dxcx" localSheetId="0">#REF!</definedName>
    <definedName name="dxcx" localSheetId="18">#REF!</definedName>
    <definedName name="dxcx" localSheetId="19">#REF!</definedName>
    <definedName name="dxcx" localSheetId="21">#REF!</definedName>
    <definedName name="dxcx" localSheetId="22">#REF!</definedName>
    <definedName name="dxcx" localSheetId="1">#REF!</definedName>
    <definedName name="dxcx" localSheetId="2">#REF!</definedName>
    <definedName name="dxcx" localSheetId="4">#REF!</definedName>
    <definedName name="dxcx" localSheetId="48">#REF!</definedName>
    <definedName name="dxcx" localSheetId="6">#REF!</definedName>
    <definedName name="dxcx" localSheetId="68">#REF!</definedName>
    <definedName name="dxcx" localSheetId="71">#REF!</definedName>
    <definedName name="dxcx" localSheetId="76">#REF!</definedName>
    <definedName name="dxcx" localSheetId="78">#REF!</definedName>
    <definedName name="dxcx" localSheetId="79">#REF!</definedName>
    <definedName name="dxcx" localSheetId="82">#REF!</definedName>
    <definedName name="dxcx" localSheetId="85">#REF!</definedName>
    <definedName name="dxcx" localSheetId="86">#REF!</definedName>
    <definedName name="dxcx" localSheetId="87">#REF!</definedName>
    <definedName name="dxcx" localSheetId="8">#REF!</definedName>
    <definedName name="dxcx" localSheetId="9">#REF!</definedName>
    <definedName name="dxcx">#REF!</definedName>
    <definedName name="e" localSheetId="0">#REF!</definedName>
    <definedName name="e" localSheetId="16">#REF!</definedName>
    <definedName name="e" localSheetId="17">#REF!</definedName>
    <definedName name="e" localSheetId="18">#REF!</definedName>
    <definedName name="e" localSheetId="19">#REF!</definedName>
    <definedName name="e" localSheetId="21">#REF!</definedName>
    <definedName name="e" localSheetId="22">#REF!</definedName>
    <definedName name="e" localSheetId="1">#REF!</definedName>
    <definedName name="e" localSheetId="2">#REF!</definedName>
    <definedName name="e" localSheetId="4">#REF!</definedName>
    <definedName name="e" localSheetId="48">#REF!</definedName>
    <definedName name="e" localSheetId="52">#REF!</definedName>
    <definedName name="e" localSheetId="68">#REF!</definedName>
    <definedName name="e" localSheetId="71">#REF!</definedName>
    <definedName name="e" localSheetId="76">#REF!</definedName>
    <definedName name="e" localSheetId="78">#REF!</definedName>
    <definedName name="e" localSheetId="79">#REF!</definedName>
    <definedName name="e" localSheetId="82">#REF!</definedName>
    <definedName name="e" localSheetId="85">#REF!</definedName>
    <definedName name="e" localSheetId="86">#REF!</definedName>
    <definedName name="e" localSheetId="87">#REF!</definedName>
    <definedName name="e" localSheetId="8">#REF!</definedName>
    <definedName name="e" localSheetId="9">#REF!</definedName>
    <definedName name="e">#REF!</definedName>
    <definedName name="ER" localSheetId="0" hidden="1">'[12]4.8'!#REF!</definedName>
    <definedName name="ER" localSheetId="18" hidden="1">'[12]4.8'!#REF!</definedName>
    <definedName name="ER" localSheetId="19" hidden="1">'[12]4.8'!#REF!</definedName>
    <definedName name="ER" localSheetId="21" hidden="1">'[12]4.8'!#REF!</definedName>
    <definedName name="ER" localSheetId="22">#REF!</definedName>
    <definedName name="ER" localSheetId="1" hidden="1">'[12]4.8'!#REF!</definedName>
    <definedName name="ER" localSheetId="2" hidden="1">'[12]4.8'!#REF!</definedName>
    <definedName name="ER" localSheetId="4" hidden="1">'[12]4.8'!#REF!</definedName>
    <definedName name="ER" localSheetId="48" hidden="1">'[12]4.8'!#REF!</definedName>
    <definedName name="ER" localSheetId="52" hidden="1">'[31]4.8'!#REF!</definedName>
    <definedName name="ER" localSheetId="6" hidden="1">'[12]4.8'!#REF!</definedName>
    <definedName name="ER" localSheetId="68" hidden="1">'[12]4.8'!#REF!</definedName>
    <definedName name="ER" localSheetId="71" hidden="1">'[12]4.8'!#REF!</definedName>
    <definedName name="ER" localSheetId="76" hidden="1">'[12]4.8'!#REF!</definedName>
    <definedName name="ER" localSheetId="82" hidden="1">'[12]4.8'!#REF!</definedName>
    <definedName name="ER" localSheetId="85" hidden="1">'[12]4.8'!#REF!</definedName>
    <definedName name="ER" localSheetId="86" hidden="1">'[12]4.8'!#REF!</definedName>
    <definedName name="ER" localSheetId="87" hidden="1">'[12]4.8'!#REF!</definedName>
    <definedName name="ER" localSheetId="8" hidden="1">'[12]4.8'!#REF!</definedName>
    <definedName name="ER" localSheetId="9" hidden="1">'[12]4.8'!#REF!</definedName>
    <definedName name="ER" hidden="1">'[12]4.8'!#REF!</definedName>
    <definedName name="EST" localSheetId="0" hidden="1">'[1]4.9'!#REF!</definedName>
    <definedName name="EST" localSheetId="16" hidden="1">'[17]4.9'!#REF!</definedName>
    <definedName name="EST" localSheetId="17" hidden="1">'[16]4.9'!#REF!</definedName>
    <definedName name="EST" localSheetId="18" hidden="1">'[1]4.9'!#REF!</definedName>
    <definedName name="EST" localSheetId="19" hidden="1">'[1]4.9'!#REF!</definedName>
    <definedName name="EST" localSheetId="21" hidden="1">'[1]4.9'!#REF!</definedName>
    <definedName name="EST" localSheetId="22">#REF!</definedName>
    <definedName name="EST" localSheetId="1" hidden="1">'[1]4.9'!#REF!</definedName>
    <definedName name="EST" localSheetId="2" hidden="1">'[1]4.9'!#REF!</definedName>
    <definedName name="EST" localSheetId="4" hidden="1">'[2]4.9'!#REF!</definedName>
    <definedName name="EST" localSheetId="48" hidden="1">'[1]4.9'!#REF!</definedName>
    <definedName name="EST" localSheetId="52" hidden="1">'[3]4.9'!#REF!</definedName>
    <definedName name="EST" localSheetId="6" hidden="1">'[16]4.9'!#REF!</definedName>
    <definedName name="EST" localSheetId="68" hidden="1">'[1]4.9'!#REF!</definedName>
    <definedName name="EST" localSheetId="71" hidden="1">'[1]4.9'!#REF!</definedName>
    <definedName name="EST" localSheetId="76" hidden="1">'[1]4.9'!#REF!</definedName>
    <definedName name="EST" localSheetId="82" hidden="1">'[1]4.9'!#REF!</definedName>
    <definedName name="EST" localSheetId="7" hidden="1">'[16]4.9'!#REF!</definedName>
    <definedName name="EST" localSheetId="85" hidden="1">'[1]4.9'!#REF!</definedName>
    <definedName name="EST" localSheetId="86" hidden="1">'[1]4.9'!#REF!</definedName>
    <definedName name="EST" localSheetId="87" hidden="1">'[1]4.9'!#REF!</definedName>
    <definedName name="EST" localSheetId="8" hidden="1">'[1]4.9'!#REF!</definedName>
    <definedName name="EST" localSheetId="9" hidden="1">'[1]4.9'!#REF!</definedName>
    <definedName name="EST" hidden="1">'[1]4.9'!#REF!</definedName>
    <definedName name="f" localSheetId="0">#REF!</definedName>
    <definedName name="f" localSheetId="16">#REF!</definedName>
    <definedName name="f" localSheetId="17">#REF!</definedName>
    <definedName name="f" localSheetId="18">#REF!</definedName>
    <definedName name="f" localSheetId="19">#REF!</definedName>
    <definedName name="f" localSheetId="21">#REF!</definedName>
    <definedName name="f" localSheetId="22">#REF!</definedName>
    <definedName name="f" localSheetId="1">#REF!</definedName>
    <definedName name="f" localSheetId="2">#REF!</definedName>
    <definedName name="f" localSheetId="4">#REF!</definedName>
    <definedName name="f" localSheetId="48">#REF!</definedName>
    <definedName name="f" localSheetId="52">#REF!</definedName>
    <definedName name="f" localSheetId="6">#REF!</definedName>
    <definedName name="f" localSheetId="68">#REF!</definedName>
    <definedName name="f" localSheetId="71">#REF!</definedName>
    <definedName name="f" localSheetId="76">#REF!</definedName>
    <definedName name="f" localSheetId="78">#REF!</definedName>
    <definedName name="f" localSheetId="79">#REF!</definedName>
    <definedName name="f" localSheetId="82">#REF!</definedName>
    <definedName name="f" localSheetId="7">#REF!</definedName>
    <definedName name="f" localSheetId="85">#REF!</definedName>
    <definedName name="f" localSheetId="86">#REF!</definedName>
    <definedName name="f" localSheetId="87">#REF!</definedName>
    <definedName name="f" localSheetId="8">#REF!</definedName>
    <definedName name="f" localSheetId="9">#REF!</definedName>
    <definedName name="f">#REF!</definedName>
    <definedName name="fbxd" localSheetId="0">#REF!</definedName>
    <definedName name="fbxd" localSheetId="18">#REF!</definedName>
    <definedName name="fbxd" localSheetId="19">#REF!</definedName>
    <definedName name="fbxd" localSheetId="21">#REF!</definedName>
    <definedName name="fbxd" localSheetId="22">#REF!</definedName>
    <definedName name="fbxd" localSheetId="1">#REF!</definedName>
    <definedName name="fbxd" localSheetId="2">#REF!</definedName>
    <definedName name="fbxd" localSheetId="4">#REF!</definedName>
    <definedName name="fbxd" localSheetId="48">#REF!</definedName>
    <definedName name="fbxd" localSheetId="6">#REF!</definedName>
    <definedName name="fbxd" localSheetId="68">#REF!</definedName>
    <definedName name="fbxd" localSheetId="71">#REF!</definedName>
    <definedName name="fbxd" localSheetId="76">#REF!</definedName>
    <definedName name="fbxd" localSheetId="78">#REF!</definedName>
    <definedName name="fbxd" localSheetId="79">#REF!</definedName>
    <definedName name="fbxd" localSheetId="82">#REF!</definedName>
    <definedName name="fbxd" localSheetId="85">#REF!</definedName>
    <definedName name="fbxd" localSheetId="86">#REF!</definedName>
    <definedName name="fbxd" localSheetId="87">#REF!</definedName>
    <definedName name="fbxd" localSheetId="8">#REF!</definedName>
    <definedName name="fbxd" localSheetId="9">#REF!</definedName>
    <definedName name="fbxd">#REF!</definedName>
    <definedName name="fdf" localSheetId="0">#REF!</definedName>
    <definedName name="fdf" localSheetId="18">#REF!</definedName>
    <definedName name="fdf" localSheetId="19">#REF!</definedName>
    <definedName name="fdf" localSheetId="21">#REF!</definedName>
    <definedName name="fdf" localSheetId="22">#REF!</definedName>
    <definedName name="fdf" localSheetId="1">#REF!</definedName>
    <definedName name="fdf" localSheetId="2">#REF!</definedName>
    <definedName name="fdf" localSheetId="4">#REF!</definedName>
    <definedName name="fdf" localSheetId="48">#REF!</definedName>
    <definedName name="fdf" localSheetId="6">#REF!</definedName>
    <definedName name="fdf" localSheetId="68">#REF!</definedName>
    <definedName name="fdf" localSheetId="71">#REF!</definedName>
    <definedName name="fdf" localSheetId="76">#REF!</definedName>
    <definedName name="fdf" localSheetId="78">#REF!</definedName>
    <definedName name="fdf" localSheetId="79">#REF!</definedName>
    <definedName name="fdf" localSheetId="82">#REF!</definedName>
    <definedName name="fdf" localSheetId="85">#REF!</definedName>
    <definedName name="fdf" localSheetId="86">#REF!</definedName>
    <definedName name="fdf" localSheetId="87">#REF!</definedName>
    <definedName name="fdf" localSheetId="8">#REF!</definedName>
    <definedName name="fdf" localSheetId="9">#REF!</definedName>
    <definedName name="fdf">#REF!</definedName>
    <definedName name="fdfa" localSheetId="0">#REF!</definedName>
    <definedName name="fdfa" localSheetId="18">#REF!</definedName>
    <definedName name="fdfa" localSheetId="19">#REF!</definedName>
    <definedName name="fdfa" localSheetId="21">#REF!</definedName>
    <definedName name="fdfa" localSheetId="22">#REF!</definedName>
    <definedName name="fdfa" localSheetId="1">#REF!</definedName>
    <definedName name="fdfa" localSheetId="2">#REF!</definedName>
    <definedName name="fdfa" localSheetId="4">#REF!</definedName>
    <definedName name="fdfa" localSheetId="48">#REF!</definedName>
    <definedName name="fdfa" localSheetId="68">#REF!</definedName>
    <definedName name="fdfa" localSheetId="71">#REF!</definedName>
    <definedName name="fdfa" localSheetId="76">#REF!</definedName>
    <definedName name="fdfa" localSheetId="78">#REF!</definedName>
    <definedName name="fdfa" localSheetId="79">#REF!</definedName>
    <definedName name="fdfa" localSheetId="82">#REF!</definedName>
    <definedName name="fdfa" localSheetId="85">#REF!</definedName>
    <definedName name="fdfa" localSheetId="86">#REF!</definedName>
    <definedName name="fdfa" localSheetId="87">#REF!</definedName>
    <definedName name="fdfa" localSheetId="8">#REF!</definedName>
    <definedName name="fdfa" localSheetId="9">#REF!</definedName>
    <definedName name="fdfa">#REF!</definedName>
    <definedName name="fdgdf" localSheetId="0">#REF!</definedName>
    <definedName name="fdgdf" localSheetId="18">#REF!</definedName>
    <definedName name="fdgdf" localSheetId="19">#REF!</definedName>
    <definedName name="fdgdf" localSheetId="21">#REF!</definedName>
    <definedName name="fdgdf" localSheetId="22">#REF!</definedName>
    <definedName name="fdgdf" localSheetId="1">#REF!</definedName>
    <definedName name="fdgdf" localSheetId="2">#REF!</definedName>
    <definedName name="fdgdf" localSheetId="4">#REF!</definedName>
    <definedName name="fdgdf" localSheetId="48">#REF!</definedName>
    <definedName name="fdgdf" localSheetId="68">#REF!</definedName>
    <definedName name="fdgdf" localSheetId="71">#REF!</definedName>
    <definedName name="fdgdf" localSheetId="76">#REF!</definedName>
    <definedName name="fdgdf" localSheetId="78">#REF!</definedName>
    <definedName name="fdgdf" localSheetId="79">#REF!</definedName>
    <definedName name="fdgdf" localSheetId="82">#REF!</definedName>
    <definedName name="fdgdf" localSheetId="85">#REF!</definedName>
    <definedName name="fdgdf" localSheetId="86">#REF!</definedName>
    <definedName name="fdgdf" localSheetId="87">#REF!</definedName>
    <definedName name="fdgdf" localSheetId="8">#REF!</definedName>
    <definedName name="fdgdf" localSheetId="9">#REF!</definedName>
    <definedName name="fdgdf">#REF!</definedName>
    <definedName name="fdgf" localSheetId="0">#REF!</definedName>
    <definedName name="fdgf" localSheetId="18">#REF!</definedName>
    <definedName name="fdgf" localSheetId="19">#REF!</definedName>
    <definedName name="fdgf" localSheetId="21">#REF!</definedName>
    <definedName name="fdgf" localSheetId="22">#REF!</definedName>
    <definedName name="fdgf" localSheetId="1">#REF!</definedName>
    <definedName name="fdgf" localSheetId="2">#REF!</definedName>
    <definedName name="fdgf" localSheetId="4">#REF!</definedName>
    <definedName name="fdgf" localSheetId="48">#REF!</definedName>
    <definedName name="fdgf" localSheetId="68">#REF!</definedName>
    <definedName name="fdgf" localSheetId="71">#REF!</definedName>
    <definedName name="fdgf" localSheetId="76">#REF!</definedName>
    <definedName name="fdgf" localSheetId="78">#REF!</definedName>
    <definedName name="fdgf" localSheetId="79">#REF!</definedName>
    <definedName name="fdgf" localSheetId="82">#REF!</definedName>
    <definedName name="fdgf" localSheetId="85">#REF!</definedName>
    <definedName name="fdgf" localSheetId="86">#REF!</definedName>
    <definedName name="fdgf" localSheetId="87">#REF!</definedName>
    <definedName name="fdgf" localSheetId="8">#REF!</definedName>
    <definedName name="fdgf" localSheetId="9">#REF!</definedName>
    <definedName name="fdgf">#REF!</definedName>
    <definedName name="female" localSheetId="0" hidden="1">'[12]4.8'!#REF!</definedName>
    <definedName name="female" localSheetId="18" hidden="1">'[12]4.8'!#REF!</definedName>
    <definedName name="female" localSheetId="19" hidden="1">'[12]4.8'!#REF!</definedName>
    <definedName name="female" localSheetId="21" hidden="1">'[12]4.8'!#REF!</definedName>
    <definedName name="female" localSheetId="22">#REF!</definedName>
    <definedName name="female" localSheetId="1" hidden="1">'[12]4.8'!#REF!</definedName>
    <definedName name="female" localSheetId="2" hidden="1">'[12]4.8'!#REF!</definedName>
    <definedName name="female" localSheetId="4" hidden="1">'[12]4.8'!#REF!</definedName>
    <definedName name="female" localSheetId="48" hidden="1">'[12]4.8'!#REF!</definedName>
    <definedName name="female" localSheetId="52" hidden="1">'[31]4.8'!#REF!</definedName>
    <definedName name="female" localSheetId="6" hidden="1">'[12]4.8'!#REF!</definedName>
    <definedName name="female" localSheetId="68" hidden="1">'[12]4.8'!#REF!</definedName>
    <definedName name="female" localSheetId="71" hidden="1">'[12]4.8'!#REF!</definedName>
    <definedName name="female" localSheetId="76" hidden="1">'[12]4.8'!#REF!</definedName>
    <definedName name="female" localSheetId="82" hidden="1">'[12]4.8'!#REF!</definedName>
    <definedName name="female" localSheetId="85" hidden="1">'[12]4.8'!#REF!</definedName>
    <definedName name="female" localSheetId="86" hidden="1">'[12]4.8'!#REF!</definedName>
    <definedName name="female" localSheetId="87" hidden="1">'[12]4.8'!#REF!</definedName>
    <definedName name="female" localSheetId="8" hidden="1">'[12]4.8'!#REF!</definedName>
    <definedName name="female" localSheetId="9" hidden="1">'[12]4.8'!#REF!</definedName>
    <definedName name="female" hidden="1">'[12]4.8'!#REF!</definedName>
    <definedName name="ff" localSheetId="0">#REF!</definedName>
    <definedName name="ff" localSheetId="16">#REF!</definedName>
    <definedName name="ff" localSheetId="17">#REF!</definedName>
    <definedName name="ff" localSheetId="18">#REF!</definedName>
    <definedName name="ff" localSheetId="19">#REF!</definedName>
    <definedName name="ff" localSheetId="21">#REF!</definedName>
    <definedName name="ff" localSheetId="22">#REF!</definedName>
    <definedName name="ff" localSheetId="1">#REF!</definedName>
    <definedName name="ff" localSheetId="2">#REF!</definedName>
    <definedName name="ff" localSheetId="4">#REF!</definedName>
    <definedName name="ff" localSheetId="48">#REF!</definedName>
    <definedName name="ff" localSheetId="52">#REF!</definedName>
    <definedName name="ff" localSheetId="6">#REF!</definedName>
    <definedName name="ff" localSheetId="68">#REF!</definedName>
    <definedName name="ff" localSheetId="71">#REF!</definedName>
    <definedName name="ff" localSheetId="76">#REF!</definedName>
    <definedName name="ff" localSheetId="78">#REF!</definedName>
    <definedName name="ff" localSheetId="79">#REF!</definedName>
    <definedName name="ff" localSheetId="82">#REF!</definedName>
    <definedName name="ff" localSheetId="85">#REF!</definedName>
    <definedName name="ff" localSheetId="86">#REF!</definedName>
    <definedName name="ff" localSheetId="87">#REF!</definedName>
    <definedName name="ff" localSheetId="8">#REF!</definedName>
    <definedName name="ff" localSheetId="9">#REF!</definedName>
    <definedName name="ff">#REF!</definedName>
    <definedName name="fffh" localSheetId="0">#REF!</definedName>
    <definedName name="fffh" localSheetId="18">#REF!</definedName>
    <definedName name="fffh" localSheetId="19">#REF!</definedName>
    <definedName name="fffh" localSheetId="21">#REF!</definedName>
    <definedName name="fffh" localSheetId="22">#REF!</definedName>
    <definedName name="fffh" localSheetId="1">#REF!</definedName>
    <definedName name="fffh" localSheetId="2">#REF!</definedName>
    <definedName name="fffh" localSheetId="4">#REF!</definedName>
    <definedName name="fffh" localSheetId="48">#REF!</definedName>
    <definedName name="fffh" localSheetId="6">#REF!</definedName>
    <definedName name="fffh" localSheetId="68">#REF!</definedName>
    <definedName name="fffh" localSheetId="71">#REF!</definedName>
    <definedName name="fffh" localSheetId="76">#REF!</definedName>
    <definedName name="fffh" localSheetId="78">#REF!</definedName>
    <definedName name="fffh" localSheetId="79">#REF!</definedName>
    <definedName name="fffh" localSheetId="82">#REF!</definedName>
    <definedName name="fffh" localSheetId="85">#REF!</definedName>
    <definedName name="fffh" localSheetId="86">#REF!</definedName>
    <definedName name="fffh" localSheetId="87">#REF!</definedName>
    <definedName name="fffh" localSheetId="8">#REF!</definedName>
    <definedName name="fffh" localSheetId="9">#REF!</definedName>
    <definedName name="fffh">#REF!</definedName>
    <definedName name="fffrt" localSheetId="0">#REF!</definedName>
    <definedName name="fffrt" localSheetId="18">#REF!</definedName>
    <definedName name="fffrt" localSheetId="19">#REF!</definedName>
    <definedName name="fffrt" localSheetId="21">#REF!</definedName>
    <definedName name="fffrt" localSheetId="22">#REF!</definedName>
    <definedName name="fffrt" localSheetId="1">#REF!</definedName>
    <definedName name="fffrt" localSheetId="2">#REF!</definedName>
    <definedName name="fffrt" localSheetId="4">#REF!</definedName>
    <definedName name="fffrt" localSheetId="48">#REF!</definedName>
    <definedName name="fffrt" localSheetId="6">#REF!</definedName>
    <definedName name="fffrt" localSheetId="68">#REF!</definedName>
    <definedName name="fffrt" localSheetId="71">#REF!</definedName>
    <definedName name="fffrt" localSheetId="76">#REF!</definedName>
    <definedName name="fffrt" localSheetId="78">#REF!</definedName>
    <definedName name="fffrt" localSheetId="79">#REF!</definedName>
    <definedName name="fffrt" localSheetId="82">#REF!</definedName>
    <definedName name="fffrt" localSheetId="85">#REF!</definedName>
    <definedName name="fffrt" localSheetId="86">#REF!</definedName>
    <definedName name="fffrt" localSheetId="87">#REF!</definedName>
    <definedName name="fffrt" localSheetId="8">#REF!</definedName>
    <definedName name="fffrt" localSheetId="9">#REF!</definedName>
    <definedName name="fffrt">#REF!</definedName>
    <definedName name="ffft" localSheetId="0">#REF!</definedName>
    <definedName name="ffft" localSheetId="18">#REF!</definedName>
    <definedName name="ffft" localSheetId="19">#REF!</definedName>
    <definedName name="ffft" localSheetId="21">#REF!</definedName>
    <definedName name="ffft" localSheetId="22">#REF!</definedName>
    <definedName name="ffft" localSheetId="1">#REF!</definedName>
    <definedName name="ffft" localSheetId="2">#REF!</definedName>
    <definedName name="ffft" localSheetId="4">#REF!</definedName>
    <definedName name="ffft" localSheetId="48">#REF!</definedName>
    <definedName name="ffft" localSheetId="68">#REF!</definedName>
    <definedName name="ffft" localSheetId="71">#REF!</definedName>
    <definedName name="ffft" localSheetId="76">#REF!</definedName>
    <definedName name="ffft" localSheetId="78">#REF!</definedName>
    <definedName name="ffft" localSheetId="79">#REF!</definedName>
    <definedName name="ffft" localSheetId="82">#REF!</definedName>
    <definedName name="ffft" localSheetId="85">#REF!</definedName>
    <definedName name="ffft" localSheetId="86">#REF!</definedName>
    <definedName name="ffft" localSheetId="87">#REF!</definedName>
    <definedName name="ffft" localSheetId="8">#REF!</definedName>
    <definedName name="ffft" localSheetId="9">#REF!</definedName>
    <definedName name="ffft">#REF!</definedName>
    <definedName name="fgd" localSheetId="0">#REF!</definedName>
    <definedName name="fgd" localSheetId="18">#REF!</definedName>
    <definedName name="fgd" localSheetId="19">#REF!</definedName>
    <definedName name="fgd" localSheetId="21">#REF!</definedName>
    <definedName name="fgd" localSheetId="22">#REF!</definedName>
    <definedName name="fgd" localSheetId="1">#REF!</definedName>
    <definedName name="fgd" localSheetId="2">#REF!</definedName>
    <definedName name="fgd" localSheetId="4">#REF!</definedName>
    <definedName name="fgd" localSheetId="48">#REF!</definedName>
    <definedName name="fgd" localSheetId="68">#REF!</definedName>
    <definedName name="fgd" localSheetId="71">#REF!</definedName>
    <definedName name="fgd" localSheetId="76">#REF!</definedName>
    <definedName name="fgd" localSheetId="78">#REF!</definedName>
    <definedName name="fgd" localSheetId="79">#REF!</definedName>
    <definedName name="fgd" localSheetId="82">#REF!</definedName>
    <definedName name="fgd" localSheetId="85">#REF!</definedName>
    <definedName name="fgd" localSheetId="86">#REF!</definedName>
    <definedName name="fgd" localSheetId="87">#REF!</definedName>
    <definedName name="fgd" localSheetId="8">#REF!</definedName>
    <definedName name="fgd" localSheetId="9">#REF!</definedName>
    <definedName name="fgd">#REF!</definedName>
    <definedName name="fgdf" localSheetId="0">#REF!</definedName>
    <definedName name="fgdf" localSheetId="18">#REF!</definedName>
    <definedName name="fgdf" localSheetId="19">#REF!</definedName>
    <definedName name="fgdf" localSheetId="21">#REF!</definedName>
    <definedName name="fgdf" localSheetId="22">#REF!</definedName>
    <definedName name="fgdf" localSheetId="1">#REF!</definedName>
    <definedName name="fgdf" localSheetId="2">#REF!</definedName>
    <definedName name="fgdf" localSheetId="4">#REF!</definedName>
    <definedName name="fgdf" localSheetId="48">#REF!</definedName>
    <definedName name="fgdf" localSheetId="68">#REF!</definedName>
    <definedName name="fgdf" localSheetId="71">#REF!</definedName>
    <definedName name="fgdf" localSheetId="76">#REF!</definedName>
    <definedName name="fgdf" localSheetId="78">#REF!</definedName>
    <definedName name="fgdf" localSheetId="79">#REF!</definedName>
    <definedName name="fgdf" localSheetId="82">#REF!</definedName>
    <definedName name="fgdf" localSheetId="85">#REF!</definedName>
    <definedName name="fgdf" localSheetId="86">#REF!</definedName>
    <definedName name="fgdf" localSheetId="87">#REF!</definedName>
    <definedName name="fgdf" localSheetId="8">#REF!</definedName>
    <definedName name="fgdf" localSheetId="9">#REF!</definedName>
    <definedName name="fgdf">#REF!</definedName>
    <definedName name="fgfg" localSheetId="0">#REF!</definedName>
    <definedName name="fgfg" localSheetId="18">#REF!</definedName>
    <definedName name="fgfg" localSheetId="19">#REF!</definedName>
    <definedName name="fgfg" localSheetId="21">#REF!</definedName>
    <definedName name="fgfg" localSheetId="22">#REF!</definedName>
    <definedName name="fgfg" localSheetId="1">#REF!</definedName>
    <definedName name="fgfg" localSheetId="2">#REF!</definedName>
    <definedName name="fgfg" localSheetId="4">#REF!</definedName>
    <definedName name="fgfg" localSheetId="48">#REF!</definedName>
    <definedName name="fgfg" localSheetId="68">#REF!</definedName>
    <definedName name="fgfg" localSheetId="71">#REF!</definedName>
    <definedName name="fgfg" localSheetId="76">#REF!</definedName>
    <definedName name="fgfg" localSheetId="78">#REF!</definedName>
    <definedName name="fgfg" localSheetId="79">#REF!</definedName>
    <definedName name="fgfg" localSheetId="82">#REF!</definedName>
    <definedName name="fgfg" localSheetId="85">#REF!</definedName>
    <definedName name="fgfg" localSheetId="86">#REF!</definedName>
    <definedName name="fgfg" localSheetId="87">#REF!</definedName>
    <definedName name="fgfg" localSheetId="8">#REF!</definedName>
    <definedName name="fgfg" localSheetId="9">#REF!</definedName>
    <definedName name="fgfg">#REF!</definedName>
    <definedName name="fghf" localSheetId="0">#REF!</definedName>
    <definedName name="fghf" localSheetId="18">#REF!</definedName>
    <definedName name="fghf" localSheetId="19">#REF!</definedName>
    <definedName name="fghf" localSheetId="21">#REF!</definedName>
    <definedName name="fghf" localSheetId="22">#REF!</definedName>
    <definedName name="fghf" localSheetId="1">#REF!</definedName>
    <definedName name="fghf" localSheetId="2">#REF!</definedName>
    <definedName name="fghf" localSheetId="4">#REF!</definedName>
    <definedName name="fghf" localSheetId="48">#REF!</definedName>
    <definedName name="fghf" localSheetId="68">#REF!</definedName>
    <definedName name="fghf" localSheetId="71">#REF!</definedName>
    <definedName name="fghf" localSheetId="76">#REF!</definedName>
    <definedName name="fghf" localSheetId="78">#REF!</definedName>
    <definedName name="fghf" localSheetId="79">#REF!</definedName>
    <definedName name="fghf" localSheetId="82">#REF!</definedName>
    <definedName name="fghf" localSheetId="85">#REF!</definedName>
    <definedName name="fghf" localSheetId="86">#REF!</definedName>
    <definedName name="fghf" localSheetId="87">#REF!</definedName>
    <definedName name="fghf" localSheetId="8">#REF!</definedName>
    <definedName name="fghf" localSheetId="9">#REF!</definedName>
    <definedName name="fghf">#REF!</definedName>
    <definedName name="fghfg" localSheetId="0">#REF!</definedName>
    <definedName name="fghfg" localSheetId="18">#REF!</definedName>
    <definedName name="fghfg" localSheetId="19">#REF!</definedName>
    <definedName name="fghfg" localSheetId="21">#REF!</definedName>
    <definedName name="fghfg" localSheetId="22">#REF!</definedName>
    <definedName name="fghfg" localSheetId="1">#REF!</definedName>
    <definedName name="fghfg" localSheetId="2">#REF!</definedName>
    <definedName name="fghfg" localSheetId="4">#REF!</definedName>
    <definedName name="fghfg" localSheetId="48">#REF!</definedName>
    <definedName name="fghfg" localSheetId="68">#REF!</definedName>
    <definedName name="fghfg" localSheetId="71">#REF!</definedName>
    <definedName name="fghfg" localSheetId="76">#REF!</definedName>
    <definedName name="fghfg" localSheetId="78">#REF!</definedName>
    <definedName name="fghfg" localSheetId="79">#REF!</definedName>
    <definedName name="fghfg" localSheetId="82">#REF!</definedName>
    <definedName name="fghfg" localSheetId="85">#REF!</definedName>
    <definedName name="fghfg" localSheetId="86">#REF!</definedName>
    <definedName name="fghfg" localSheetId="87">#REF!</definedName>
    <definedName name="fghfg" localSheetId="8">#REF!</definedName>
    <definedName name="fghfg" localSheetId="9">#REF!</definedName>
    <definedName name="fghfg">#REF!</definedName>
    <definedName name="fret" localSheetId="0">#REF!</definedName>
    <definedName name="fret" localSheetId="18">#REF!</definedName>
    <definedName name="fret" localSheetId="19">#REF!</definedName>
    <definedName name="fret" localSheetId="21">#REF!</definedName>
    <definedName name="fret" localSheetId="22">#REF!</definedName>
    <definedName name="fret" localSheetId="1">#REF!</definedName>
    <definedName name="fret" localSheetId="2">#REF!</definedName>
    <definedName name="fret" localSheetId="4">#REF!</definedName>
    <definedName name="fret" localSheetId="48">#REF!</definedName>
    <definedName name="fret" localSheetId="68">#REF!</definedName>
    <definedName name="fret" localSheetId="71">#REF!</definedName>
    <definedName name="fret" localSheetId="76">#REF!</definedName>
    <definedName name="fret" localSheetId="78">#REF!</definedName>
    <definedName name="fret" localSheetId="79">#REF!</definedName>
    <definedName name="fret" localSheetId="82">#REF!</definedName>
    <definedName name="fret" localSheetId="85">#REF!</definedName>
    <definedName name="fret" localSheetId="86">#REF!</definedName>
    <definedName name="fret" localSheetId="87">#REF!</definedName>
    <definedName name="fret" localSheetId="8">#REF!</definedName>
    <definedName name="fret" localSheetId="9">#REF!</definedName>
    <definedName name="fret">#REF!</definedName>
    <definedName name="fsd" localSheetId="0">#REF!</definedName>
    <definedName name="fsd" localSheetId="18">#REF!</definedName>
    <definedName name="fsd" localSheetId="19">#REF!</definedName>
    <definedName name="fsd" localSheetId="21">#REF!</definedName>
    <definedName name="fsd" localSheetId="22">#REF!</definedName>
    <definedName name="fsd" localSheetId="1">#REF!</definedName>
    <definedName name="fsd" localSheetId="2">#REF!</definedName>
    <definedName name="fsd" localSheetId="4">#REF!</definedName>
    <definedName name="fsd" localSheetId="48">#REF!</definedName>
    <definedName name="fsd" localSheetId="68">#REF!</definedName>
    <definedName name="fsd" localSheetId="71">#REF!</definedName>
    <definedName name="fsd" localSheetId="76">#REF!</definedName>
    <definedName name="fsd" localSheetId="78">#REF!</definedName>
    <definedName name="fsd" localSheetId="79">#REF!</definedName>
    <definedName name="fsd" localSheetId="82">#REF!</definedName>
    <definedName name="fsd" localSheetId="85">#REF!</definedName>
    <definedName name="fsd" localSheetId="86">#REF!</definedName>
    <definedName name="fsd" localSheetId="87">#REF!</definedName>
    <definedName name="fsd" localSheetId="8">#REF!</definedName>
    <definedName name="fsd" localSheetId="9">#REF!</definedName>
    <definedName name="fsd">#REF!</definedName>
    <definedName name="g" localSheetId="0">#REF!</definedName>
    <definedName name="g" localSheetId="16">#REF!</definedName>
    <definedName name="g" localSheetId="17">#REF!</definedName>
    <definedName name="g" localSheetId="18">#REF!</definedName>
    <definedName name="g" localSheetId="19">#REF!</definedName>
    <definedName name="g" localSheetId="21">#REF!</definedName>
    <definedName name="g" localSheetId="22">#REF!</definedName>
    <definedName name="g" localSheetId="1">#REF!</definedName>
    <definedName name="g" localSheetId="2">#REF!</definedName>
    <definedName name="g" localSheetId="4">#REF!</definedName>
    <definedName name="g" localSheetId="48">#REF!</definedName>
    <definedName name="g" localSheetId="52">#REF!</definedName>
    <definedName name="g" localSheetId="68">#REF!</definedName>
    <definedName name="g" localSheetId="71">#REF!</definedName>
    <definedName name="g" localSheetId="76">#REF!</definedName>
    <definedName name="g" localSheetId="78">#REF!</definedName>
    <definedName name="g" localSheetId="79">#REF!</definedName>
    <definedName name="g" localSheetId="82">#REF!</definedName>
    <definedName name="g" localSheetId="85">#REF!</definedName>
    <definedName name="g" localSheetId="86">#REF!</definedName>
    <definedName name="g" localSheetId="87">#REF!</definedName>
    <definedName name="g" localSheetId="8">#REF!</definedName>
    <definedName name="g" localSheetId="9">#REF!</definedName>
    <definedName name="g">#REF!</definedName>
    <definedName name="gd" localSheetId="0" hidden="1">'[12]4.8'!#REF!</definedName>
    <definedName name="gd" localSheetId="18" hidden="1">'[12]4.8'!#REF!</definedName>
    <definedName name="gd" localSheetId="19" hidden="1">'[12]4.8'!#REF!</definedName>
    <definedName name="gd" localSheetId="21" hidden="1">'[12]4.8'!#REF!</definedName>
    <definedName name="gd" localSheetId="22">#REF!</definedName>
    <definedName name="gd" localSheetId="1" hidden="1">'[12]4.8'!#REF!</definedName>
    <definedName name="gd" localSheetId="2" hidden="1">'[12]4.8'!#REF!</definedName>
    <definedName name="gd" localSheetId="4" hidden="1">'[12]4.8'!#REF!</definedName>
    <definedName name="gd" localSheetId="48" hidden="1">'[12]4.8'!#REF!</definedName>
    <definedName name="gd" localSheetId="52" hidden="1">'[31]4.8'!#REF!</definedName>
    <definedName name="gd" localSheetId="6" hidden="1">'[12]4.8'!#REF!</definedName>
    <definedName name="gd" localSheetId="68" hidden="1">'[12]4.8'!#REF!</definedName>
    <definedName name="gd" localSheetId="71" hidden="1">'[12]4.8'!#REF!</definedName>
    <definedName name="gd" localSheetId="76" hidden="1">'[12]4.8'!#REF!</definedName>
    <definedName name="gd" localSheetId="82" hidden="1">'[12]4.8'!#REF!</definedName>
    <definedName name="gd" localSheetId="85" hidden="1">'[12]4.8'!#REF!</definedName>
    <definedName name="gd" localSheetId="86" hidden="1">'[12]4.8'!#REF!</definedName>
    <definedName name="gd" localSheetId="87" hidden="1">'[12]4.8'!#REF!</definedName>
    <definedName name="gd" localSheetId="8" hidden="1">'[12]4.8'!#REF!</definedName>
    <definedName name="gd" localSheetId="9" hidden="1">'[12]4.8'!#REF!</definedName>
    <definedName name="gd" hidden="1">'[12]4.8'!#REF!</definedName>
    <definedName name="gdfg" localSheetId="0">#REF!</definedName>
    <definedName name="gdfg" localSheetId="18">#REF!</definedName>
    <definedName name="gdfg" localSheetId="19">#REF!</definedName>
    <definedName name="gdfg" localSheetId="21">#REF!</definedName>
    <definedName name="gdfg" localSheetId="22">#REF!</definedName>
    <definedName name="gdfg" localSheetId="1">#REF!</definedName>
    <definedName name="gdfg" localSheetId="2">#REF!</definedName>
    <definedName name="gdfg" localSheetId="4">#REF!</definedName>
    <definedName name="gdfg" localSheetId="48">#REF!</definedName>
    <definedName name="gdfg" localSheetId="6">#REF!</definedName>
    <definedName name="gdfg" localSheetId="68">#REF!</definedName>
    <definedName name="gdfg" localSheetId="71">#REF!</definedName>
    <definedName name="gdfg" localSheetId="76">#REF!</definedName>
    <definedName name="gdfg" localSheetId="78">#REF!</definedName>
    <definedName name="gdfg" localSheetId="79">#REF!</definedName>
    <definedName name="gdfg" localSheetId="82">#REF!</definedName>
    <definedName name="gdfg" localSheetId="85">#REF!</definedName>
    <definedName name="gdfg" localSheetId="86">#REF!</definedName>
    <definedName name="gdfg" localSheetId="87">#REF!</definedName>
    <definedName name="gdfg" localSheetId="8">#REF!</definedName>
    <definedName name="gdfg" localSheetId="9">#REF!</definedName>
    <definedName name="gdfg">#REF!</definedName>
    <definedName name="gdgdh" localSheetId="0">#REF!</definedName>
    <definedName name="gdgdh" localSheetId="18">#REF!</definedName>
    <definedName name="gdgdh" localSheetId="19">#REF!</definedName>
    <definedName name="gdgdh" localSheetId="21">#REF!</definedName>
    <definedName name="gdgdh" localSheetId="22">#REF!</definedName>
    <definedName name="gdgdh" localSheetId="1">#REF!</definedName>
    <definedName name="gdgdh" localSheetId="2">#REF!</definedName>
    <definedName name="gdgdh" localSheetId="4">#REF!</definedName>
    <definedName name="gdgdh" localSheetId="48">#REF!</definedName>
    <definedName name="gdgdh" localSheetId="6">#REF!</definedName>
    <definedName name="gdgdh" localSheetId="68">#REF!</definedName>
    <definedName name="gdgdh" localSheetId="71">#REF!</definedName>
    <definedName name="gdgdh" localSheetId="76">#REF!</definedName>
    <definedName name="gdgdh" localSheetId="78">#REF!</definedName>
    <definedName name="gdgdh" localSheetId="79">#REF!</definedName>
    <definedName name="gdgdh" localSheetId="82">#REF!</definedName>
    <definedName name="gdgdh" localSheetId="85">#REF!</definedName>
    <definedName name="gdgdh" localSheetId="86">#REF!</definedName>
    <definedName name="gdgdh" localSheetId="87">#REF!</definedName>
    <definedName name="gdgdh" localSheetId="8">#REF!</definedName>
    <definedName name="gdgdh" localSheetId="9">#REF!</definedName>
    <definedName name="gdgdh">#REF!</definedName>
    <definedName name="gfdgf" localSheetId="0">#REF!</definedName>
    <definedName name="gfdgf" localSheetId="18">#REF!</definedName>
    <definedName name="gfdgf" localSheetId="19">#REF!</definedName>
    <definedName name="gfdgf" localSheetId="21">#REF!</definedName>
    <definedName name="gfdgf" localSheetId="22">#REF!</definedName>
    <definedName name="gfdgf" localSheetId="1">#REF!</definedName>
    <definedName name="gfdgf" localSheetId="2">#REF!</definedName>
    <definedName name="gfdgf" localSheetId="4">#REF!</definedName>
    <definedName name="gfdgf" localSheetId="48">#REF!</definedName>
    <definedName name="gfdgf" localSheetId="6">#REF!</definedName>
    <definedName name="gfdgf" localSheetId="68">#REF!</definedName>
    <definedName name="gfdgf" localSheetId="71">#REF!</definedName>
    <definedName name="gfdgf" localSheetId="76">#REF!</definedName>
    <definedName name="gfdgf" localSheetId="78">#REF!</definedName>
    <definedName name="gfdgf" localSheetId="79">#REF!</definedName>
    <definedName name="gfdgf" localSheetId="82">#REF!</definedName>
    <definedName name="gfdgf" localSheetId="85">#REF!</definedName>
    <definedName name="gfdgf" localSheetId="86">#REF!</definedName>
    <definedName name="gfdgf" localSheetId="87">#REF!</definedName>
    <definedName name="gfdgf" localSheetId="8">#REF!</definedName>
    <definedName name="gfdgf" localSheetId="9">#REF!</definedName>
    <definedName name="gfdgf">#REF!</definedName>
    <definedName name="gfgdt" localSheetId="0">#REF!</definedName>
    <definedName name="gfgdt" localSheetId="18">#REF!</definedName>
    <definedName name="gfgdt" localSheetId="19">#REF!</definedName>
    <definedName name="gfgdt" localSheetId="21">#REF!</definedName>
    <definedName name="gfgdt" localSheetId="22">#REF!</definedName>
    <definedName name="gfgdt" localSheetId="1">#REF!</definedName>
    <definedName name="gfgdt" localSheetId="2">#REF!</definedName>
    <definedName name="gfgdt" localSheetId="4">#REF!</definedName>
    <definedName name="gfgdt" localSheetId="48">#REF!</definedName>
    <definedName name="gfgdt" localSheetId="68">#REF!</definedName>
    <definedName name="gfgdt" localSheetId="71">#REF!</definedName>
    <definedName name="gfgdt" localSheetId="76">#REF!</definedName>
    <definedName name="gfgdt" localSheetId="78">#REF!</definedName>
    <definedName name="gfgdt" localSheetId="79">#REF!</definedName>
    <definedName name="gfgdt" localSheetId="82">#REF!</definedName>
    <definedName name="gfgdt" localSheetId="85">#REF!</definedName>
    <definedName name="gfgdt" localSheetId="86">#REF!</definedName>
    <definedName name="gfgdt" localSheetId="87">#REF!</definedName>
    <definedName name="gfgdt" localSheetId="8">#REF!</definedName>
    <definedName name="gfgdt" localSheetId="9">#REF!</definedName>
    <definedName name="gfgdt">#REF!</definedName>
    <definedName name="gfhf" localSheetId="0">#REF!</definedName>
    <definedName name="gfhf" localSheetId="18">#REF!</definedName>
    <definedName name="gfhf" localSheetId="19">#REF!</definedName>
    <definedName name="gfhf" localSheetId="21">#REF!</definedName>
    <definedName name="gfhf" localSheetId="22">#REF!</definedName>
    <definedName name="gfhf" localSheetId="1">#REF!</definedName>
    <definedName name="gfhf" localSheetId="2">#REF!</definedName>
    <definedName name="gfhf" localSheetId="4">#REF!</definedName>
    <definedName name="gfhf" localSheetId="48">#REF!</definedName>
    <definedName name="gfhf" localSheetId="68">#REF!</definedName>
    <definedName name="gfhf" localSheetId="71">#REF!</definedName>
    <definedName name="gfhf" localSheetId="76">#REF!</definedName>
    <definedName name="gfhf" localSheetId="78">#REF!</definedName>
    <definedName name="gfhf" localSheetId="79">#REF!</definedName>
    <definedName name="gfhf" localSheetId="82">#REF!</definedName>
    <definedName name="gfhf" localSheetId="85">#REF!</definedName>
    <definedName name="gfhf" localSheetId="86">#REF!</definedName>
    <definedName name="gfhf" localSheetId="87">#REF!</definedName>
    <definedName name="gfhf" localSheetId="8">#REF!</definedName>
    <definedName name="gfhf" localSheetId="9">#REF!</definedName>
    <definedName name="gfhf">#REF!</definedName>
    <definedName name="gfhfg" localSheetId="0">#REF!</definedName>
    <definedName name="gfhfg" localSheetId="18">#REF!</definedName>
    <definedName name="gfhfg" localSheetId="19">#REF!</definedName>
    <definedName name="gfhfg" localSheetId="21">#REF!</definedName>
    <definedName name="gfhfg" localSheetId="22">#REF!</definedName>
    <definedName name="gfhfg" localSheetId="1">#REF!</definedName>
    <definedName name="gfhfg" localSheetId="2">#REF!</definedName>
    <definedName name="gfhfg" localSheetId="4">#REF!</definedName>
    <definedName name="gfhfg" localSheetId="48">#REF!</definedName>
    <definedName name="gfhfg" localSheetId="68">#REF!</definedName>
    <definedName name="gfhfg" localSheetId="71">#REF!</definedName>
    <definedName name="gfhfg" localSheetId="76">#REF!</definedName>
    <definedName name="gfhfg" localSheetId="78">#REF!</definedName>
    <definedName name="gfhfg" localSheetId="79">#REF!</definedName>
    <definedName name="gfhfg" localSheetId="82">#REF!</definedName>
    <definedName name="gfhfg" localSheetId="85">#REF!</definedName>
    <definedName name="gfhfg" localSheetId="86">#REF!</definedName>
    <definedName name="gfhfg" localSheetId="87">#REF!</definedName>
    <definedName name="gfhfg" localSheetId="8">#REF!</definedName>
    <definedName name="gfhfg" localSheetId="9">#REF!</definedName>
    <definedName name="gfhfg">#REF!</definedName>
    <definedName name="ggdf" localSheetId="0" hidden="1">'[32]4.8'!#REF!</definedName>
    <definedName name="ggdf" localSheetId="18" hidden="1">'[32]4.8'!#REF!</definedName>
    <definedName name="ggdf" localSheetId="19" hidden="1">'[32]4.8'!#REF!</definedName>
    <definedName name="ggdf" localSheetId="21" hidden="1">'[32]4.8'!#REF!</definedName>
    <definedName name="ggdf" localSheetId="22">#REF!</definedName>
    <definedName name="ggdf" localSheetId="1" hidden="1">'[32]4.8'!#REF!</definedName>
    <definedName name="ggdf" localSheetId="2" hidden="1">'[32]4.8'!#REF!</definedName>
    <definedName name="ggdf" localSheetId="4" hidden="1">'[33]4.8'!#REF!</definedName>
    <definedName name="ggdf" localSheetId="48" hidden="1">'[32]4.8'!#REF!</definedName>
    <definedName name="ggdf" localSheetId="6" hidden="1">'[34]4.8'!#REF!</definedName>
    <definedName name="ggdf" localSheetId="68" hidden="1">'[32]4.8'!#REF!</definedName>
    <definedName name="ggdf" localSheetId="71" hidden="1">'[32]4.8'!#REF!</definedName>
    <definedName name="ggdf" localSheetId="76" hidden="1">'[32]4.8'!#REF!</definedName>
    <definedName name="ggdf" localSheetId="82" hidden="1">'[32]4.8'!#REF!</definedName>
    <definedName name="ggdf" localSheetId="7" hidden="1">'[34]4.8'!#REF!</definedName>
    <definedName name="ggdf" localSheetId="85" hidden="1">'[32]4.8'!#REF!</definedName>
    <definedName name="ggdf" localSheetId="86" hidden="1">'[32]4.8'!#REF!</definedName>
    <definedName name="ggdf" localSheetId="87" hidden="1">'[32]4.8'!#REF!</definedName>
    <definedName name="ggdf" localSheetId="8" hidden="1">'[32]4.8'!#REF!</definedName>
    <definedName name="ggdf" localSheetId="9" hidden="1">'[32]4.8'!#REF!</definedName>
    <definedName name="ggdf" hidden="1">'[32]4.8'!#REF!</definedName>
    <definedName name="gggdt" localSheetId="0">#REF!</definedName>
    <definedName name="gggdt" localSheetId="18">#REF!</definedName>
    <definedName name="gggdt" localSheetId="19">#REF!</definedName>
    <definedName name="gggdt" localSheetId="21">#REF!</definedName>
    <definedName name="gggdt" localSheetId="22">#REF!</definedName>
    <definedName name="gggdt" localSheetId="1">#REF!</definedName>
    <definedName name="gggdt" localSheetId="2">#REF!</definedName>
    <definedName name="gggdt" localSheetId="4">#REF!</definedName>
    <definedName name="gggdt" localSheetId="48">#REF!</definedName>
    <definedName name="gggdt" localSheetId="6">#REF!</definedName>
    <definedName name="gggdt" localSheetId="68">#REF!</definedName>
    <definedName name="gggdt" localSheetId="71">#REF!</definedName>
    <definedName name="gggdt" localSheetId="76">#REF!</definedName>
    <definedName name="gggdt" localSheetId="78">#REF!</definedName>
    <definedName name="gggdt" localSheetId="79">#REF!</definedName>
    <definedName name="gggdt" localSheetId="82">#REF!</definedName>
    <definedName name="gggdt" localSheetId="85">#REF!</definedName>
    <definedName name="gggdt" localSheetId="86">#REF!</definedName>
    <definedName name="gggdt" localSheetId="87">#REF!</definedName>
    <definedName name="gggdt" localSheetId="8">#REF!</definedName>
    <definedName name="gggdt" localSheetId="9">#REF!</definedName>
    <definedName name="gggdt">#REF!</definedName>
    <definedName name="gggghn" localSheetId="0">#REF!</definedName>
    <definedName name="gggghn" localSheetId="18">#REF!</definedName>
    <definedName name="gggghn" localSheetId="19">#REF!</definedName>
    <definedName name="gggghn" localSheetId="21">#REF!</definedName>
    <definedName name="gggghn" localSheetId="22">#REF!</definedName>
    <definedName name="gggghn" localSheetId="1">#REF!</definedName>
    <definedName name="gggghn" localSheetId="2">#REF!</definedName>
    <definedName name="gggghn" localSheetId="4">#REF!</definedName>
    <definedName name="gggghn" localSheetId="48">#REF!</definedName>
    <definedName name="gggghn" localSheetId="6">#REF!</definedName>
    <definedName name="gggghn" localSheetId="68">#REF!</definedName>
    <definedName name="gggghn" localSheetId="71">#REF!</definedName>
    <definedName name="gggghn" localSheetId="76">#REF!</definedName>
    <definedName name="gggghn" localSheetId="78">#REF!</definedName>
    <definedName name="gggghn" localSheetId="79">#REF!</definedName>
    <definedName name="gggghn" localSheetId="82">#REF!</definedName>
    <definedName name="gggghn" localSheetId="85">#REF!</definedName>
    <definedName name="gggghn" localSheetId="86">#REF!</definedName>
    <definedName name="gggghn" localSheetId="87">#REF!</definedName>
    <definedName name="gggghn" localSheetId="8">#REF!</definedName>
    <definedName name="gggghn" localSheetId="9">#REF!</definedName>
    <definedName name="gggghn">#REF!</definedName>
    <definedName name="ggggt" localSheetId="0">#REF!</definedName>
    <definedName name="ggggt" localSheetId="18">#REF!</definedName>
    <definedName name="ggggt" localSheetId="19">#REF!</definedName>
    <definedName name="ggggt" localSheetId="21">#REF!</definedName>
    <definedName name="ggggt" localSheetId="22">#REF!</definedName>
    <definedName name="ggggt" localSheetId="1">#REF!</definedName>
    <definedName name="ggggt" localSheetId="2">#REF!</definedName>
    <definedName name="ggggt" localSheetId="4">#REF!</definedName>
    <definedName name="ggggt" localSheetId="48">#REF!</definedName>
    <definedName name="ggggt" localSheetId="6">#REF!</definedName>
    <definedName name="ggggt" localSheetId="68">#REF!</definedName>
    <definedName name="ggggt" localSheetId="71">#REF!</definedName>
    <definedName name="ggggt" localSheetId="76">#REF!</definedName>
    <definedName name="ggggt" localSheetId="78">#REF!</definedName>
    <definedName name="ggggt" localSheetId="79">#REF!</definedName>
    <definedName name="ggggt" localSheetId="82">#REF!</definedName>
    <definedName name="ggggt" localSheetId="85">#REF!</definedName>
    <definedName name="ggggt" localSheetId="86">#REF!</definedName>
    <definedName name="ggggt" localSheetId="87">#REF!</definedName>
    <definedName name="ggggt" localSheetId="8">#REF!</definedName>
    <definedName name="ggggt" localSheetId="9">#REF!</definedName>
    <definedName name="ggggt">#REF!</definedName>
    <definedName name="gggt" localSheetId="0">#REF!</definedName>
    <definedName name="gggt" localSheetId="18">#REF!</definedName>
    <definedName name="gggt" localSheetId="19">#REF!</definedName>
    <definedName name="gggt" localSheetId="21">#REF!</definedName>
    <definedName name="gggt" localSheetId="22">#REF!</definedName>
    <definedName name="gggt" localSheetId="1">#REF!</definedName>
    <definedName name="gggt" localSheetId="2">#REF!</definedName>
    <definedName name="gggt" localSheetId="4">#REF!</definedName>
    <definedName name="gggt" localSheetId="48">#REF!</definedName>
    <definedName name="gggt" localSheetId="68">#REF!</definedName>
    <definedName name="gggt" localSheetId="71">#REF!</definedName>
    <definedName name="gggt" localSheetId="76">#REF!</definedName>
    <definedName name="gggt" localSheetId="78">#REF!</definedName>
    <definedName name="gggt" localSheetId="79">#REF!</definedName>
    <definedName name="gggt" localSheetId="82">#REF!</definedName>
    <definedName name="gggt" localSheetId="85">#REF!</definedName>
    <definedName name="gggt" localSheetId="86">#REF!</definedName>
    <definedName name="gggt" localSheetId="87">#REF!</definedName>
    <definedName name="gggt" localSheetId="8">#REF!</definedName>
    <definedName name="gggt" localSheetId="9">#REF!</definedName>
    <definedName name="gggt">#REF!</definedName>
    <definedName name="ghfjk" localSheetId="0">#REF!</definedName>
    <definedName name="ghfjk" localSheetId="16">#REF!</definedName>
    <definedName name="ghfjk" localSheetId="17">#REF!</definedName>
    <definedName name="ghfjk" localSheetId="18">#REF!</definedName>
    <definedName name="ghfjk" localSheetId="19">#REF!</definedName>
    <definedName name="ghfjk" localSheetId="21">#REF!</definedName>
    <definedName name="ghfjk" localSheetId="22">#REF!</definedName>
    <definedName name="ghfjk" localSheetId="1">#REF!</definedName>
    <definedName name="ghfjk" localSheetId="2">#REF!</definedName>
    <definedName name="ghfjk" localSheetId="4">#REF!</definedName>
    <definedName name="ghfjk" localSheetId="48">#REF!</definedName>
    <definedName name="ghfjk" localSheetId="52">#REF!</definedName>
    <definedName name="ghfjk" localSheetId="68">#REF!</definedName>
    <definedName name="ghfjk" localSheetId="71">#REF!</definedName>
    <definedName name="ghfjk" localSheetId="76">#REF!</definedName>
    <definedName name="ghfjk" localSheetId="78">#REF!</definedName>
    <definedName name="ghfjk" localSheetId="79">#REF!</definedName>
    <definedName name="ghfjk" localSheetId="82">#REF!</definedName>
    <definedName name="ghfjk" localSheetId="85">#REF!</definedName>
    <definedName name="ghfjk" localSheetId="86">#REF!</definedName>
    <definedName name="ghfjk" localSheetId="87">#REF!</definedName>
    <definedName name="ghfjk" localSheetId="8">#REF!</definedName>
    <definedName name="ghfjk" localSheetId="9">#REF!</definedName>
    <definedName name="ghfjk">#REF!</definedName>
    <definedName name="gombak" localSheetId="0">#REF!</definedName>
    <definedName name="gombak" localSheetId="18">#REF!</definedName>
    <definedName name="gombak" localSheetId="19">#REF!</definedName>
    <definedName name="gombak" localSheetId="21">#REF!</definedName>
    <definedName name="gombak" localSheetId="22">#REF!</definedName>
    <definedName name="gombak" localSheetId="1">#REF!</definedName>
    <definedName name="gombak" localSheetId="2">#REF!</definedName>
    <definedName name="gombak" localSheetId="4">#REF!</definedName>
    <definedName name="gombak" localSheetId="48">#REF!</definedName>
    <definedName name="gombak" localSheetId="68">#REF!</definedName>
    <definedName name="gombak" localSheetId="71">#REF!</definedName>
    <definedName name="gombak" localSheetId="76">#REF!</definedName>
    <definedName name="gombak" localSheetId="78">#REF!</definedName>
    <definedName name="gombak" localSheetId="79">#REF!</definedName>
    <definedName name="gombak" localSheetId="82">#REF!</definedName>
    <definedName name="gombak" localSheetId="85">#REF!</definedName>
    <definedName name="gombak" localSheetId="86">#REF!</definedName>
    <definedName name="gombak" localSheetId="87">#REF!</definedName>
    <definedName name="gombak" localSheetId="8">#REF!</definedName>
    <definedName name="gombak" localSheetId="9">#REF!</definedName>
    <definedName name="gombak">#REF!</definedName>
    <definedName name="graph" localSheetId="18" hidden="1">'[2]4.9'!#REF!</definedName>
    <definedName name="graph" localSheetId="19" hidden="1">'[2]4.9'!#REF!</definedName>
    <definedName name="graph" localSheetId="21" hidden="1">'[2]4.9'!#REF!</definedName>
    <definedName name="graph" localSheetId="22">#REF!</definedName>
    <definedName name="graph" localSheetId="1" hidden="1">'[2]4.9'!#REF!</definedName>
    <definedName name="graph" localSheetId="2" hidden="1">'[2]4.9'!#REF!</definedName>
    <definedName name="graph" localSheetId="4" hidden="1">'[2]4.9'!#REF!</definedName>
    <definedName name="graph" localSheetId="48" hidden="1">'[2]4.9'!#REF!</definedName>
    <definedName name="graph" localSheetId="68" hidden="1">'[2]4.9'!#REF!</definedName>
    <definedName name="graph" localSheetId="71" hidden="1">'[2]4.9'!#REF!</definedName>
    <definedName name="graph" localSheetId="76" hidden="1">'[2]4.9'!#REF!</definedName>
    <definedName name="graph" localSheetId="82" hidden="1">'[2]4.9'!#REF!</definedName>
    <definedName name="graph" localSheetId="85" hidden="1">'[2]4.9'!#REF!</definedName>
    <definedName name="graph" localSheetId="86" hidden="1">'[2]4.9'!#REF!</definedName>
    <definedName name="graph" localSheetId="87" hidden="1">'[2]4.9'!#REF!</definedName>
    <definedName name="graph" localSheetId="8" hidden="1">'[2]4.9'!#REF!</definedName>
    <definedName name="graph" localSheetId="9" hidden="1">'[2]4.9'!#REF!</definedName>
    <definedName name="graph" hidden="1">'[2]4.9'!#REF!</definedName>
    <definedName name="gyht" localSheetId="0">#REF!</definedName>
    <definedName name="gyht" localSheetId="18">#REF!</definedName>
    <definedName name="gyht" localSheetId="19">#REF!</definedName>
    <definedName name="gyht" localSheetId="21">#REF!</definedName>
    <definedName name="gyht" localSheetId="22">#REF!</definedName>
    <definedName name="gyht" localSheetId="1">#REF!</definedName>
    <definedName name="gyht" localSheetId="2">#REF!</definedName>
    <definedName name="gyht" localSheetId="4">#REF!</definedName>
    <definedName name="gyht" localSheetId="48">#REF!</definedName>
    <definedName name="gyht" localSheetId="68">#REF!</definedName>
    <definedName name="gyht" localSheetId="71">#REF!</definedName>
    <definedName name="gyht" localSheetId="76">#REF!</definedName>
    <definedName name="gyht" localSheetId="78">#REF!</definedName>
    <definedName name="gyht" localSheetId="79">#REF!</definedName>
    <definedName name="gyht" localSheetId="82">#REF!</definedName>
    <definedName name="gyht" localSheetId="85">#REF!</definedName>
    <definedName name="gyht" localSheetId="86">#REF!</definedName>
    <definedName name="gyht" localSheetId="87">#REF!</definedName>
    <definedName name="gyht" localSheetId="8">#REF!</definedName>
    <definedName name="gyht" localSheetId="9">#REF!</definedName>
    <definedName name="gyht">#REF!</definedName>
    <definedName name="h" localSheetId="0">#REF!</definedName>
    <definedName name="h" localSheetId="16">#REF!</definedName>
    <definedName name="h" localSheetId="17">#REF!</definedName>
    <definedName name="h" localSheetId="18">#REF!</definedName>
    <definedName name="h" localSheetId="19">#REF!</definedName>
    <definedName name="h" localSheetId="21">#REF!</definedName>
    <definedName name="h" localSheetId="22">#REF!</definedName>
    <definedName name="h" localSheetId="1">#REF!</definedName>
    <definedName name="h" localSheetId="2">#REF!</definedName>
    <definedName name="h" localSheetId="4">#REF!</definedName>
    <definedName name="h" localSheetId="48">#REF!</definedName>
    <definedName name="h" localSheetId="52">#REF!</definedName>
    <definedName name="h" localSheetId="68">#REF!</definedName>
    <definedName name="h" localSheetId="71">#REF!</definedName>
    <definedName name="h" localSheetId="76">#REF!</definedName>
    <definedName name="h" localSheetId="78">#REF!</definedName>
    <definedName name="h" localSheetId="79">#REF!</definedName>
    <definedName name="h" localSheetId="82">#REF!</definedName>
    <definedName name="h" localSheetId="85">#REF!</definedName>
    <definedName name="h" localSheetId="86">#REF!</definedName>
    <definedName name="h" localSheetId="87">#REF!</definedName>
    <definedName name="h" localSheetId="8">#REF!</definedName>
    <definedName name="h" localSheetId="9">#REF!</definedName>
    <definedName name="h">#REF!</definedName>
    <definedName name="hb" hidden="1">'[12]4.8'!#REF!</definedName>
    <definedName name="head" localSheetId="0">#REF!</definedName>
    <definedName name="head" localSheetId="16">#REF!</definedName>
    <definedName name="head" localSheetId="17">#REF!</definedName>
    <definedName name="head" localSheetId="18">#REF!</definedName>
    <definedName name="head" localSheetId="19">#REF!</definedName>
    <definedName name="head" localSheetId="21">#REF!</definedName>
    <definedName name="head" localSheetId="22">#REF!</definedName>
    <definedName name="head" localSheetId="1">#REF!</definedName>
    <definedName name="head" localSheetId="2">#REF!</definedName>
    <definedName name="head" localSheetId="4">#REF!</definedName>
    <definedName name="head" localSheetId="48">#REF!</definedName>
    <definedName name="head" localSheetId="52">#REF!</definedName>
    <definedName name="head" localSheetId="68">#REF!</definedName>
    <definedName name="head" localSheetId="71">#REF!</definedName>
    <definedName name="head" localSheetId="76">#REF!</definedName>
    <definedName name="head" localSheetId="78">#REF!</definedName>
    <definedName name="head" localSheetId="79">#REF!</definedName>
    <definedName name="head" localSheetId="82">#REF!</definedName>
    <definedName name="head" localSheetId="85">#REF!</definedName>
    <definedName name="head" localSheetId="86">#REF!</definedName>
    <definedName name="head" localSheetId="87">#REF!</definedName>
    <definedName name="head" localSheetId="8">#REF!</definedName>
    <definedName name="head" localSheetId="9">#REF!</definedName>
    <definedName name="head">#REF!</definedName>
    <definedName name="hep" localSheetId="18">#REF!</definedName>
    <definedName name="hep" localSheetId="19">#REF!</definedName>
    <definedName name="hep" localSheetId="21">#REF!</definedName>
    <definedName name="hep" localSheetId="22">#REF!</definedName>
    <definedName name="hep" localSheetId="1">#REF!</definedName>
    <definedName name="hep" localSheetId="2">#REF!</definedName>
    <definedName name="hep" localSheetId="4">#REF!</definedName>
    <definedName name="hep" localSheetId="48">#REF!</definedName>
    <definedName name="hep" localSheetId="68">#REF!</definedName>
    <definedName name="hep" localSheetId="71">#REF!</definedName>
    <definedName name="hep" localSheetId="76">#REF!</definedName>
    <definedName name="hep" localSheetId="78">#REF!</definedName>
    <definedName name="hep" localSheetId="79">#REF!</definedName>
    <definedName name="hep" localSheetId="82">#REF!</definedName>
    <definedName name="hep" localSheetId="85">#REF!</definedName>
    <definedName name="hep" localSheetId="86">#REF!</definedName>
    <definedName name="hep" localSheetId="87">#REF!</definedName>
    <definedName name="hep" localSheetId="8">#REF!</definedName>
    <definedName name="hep" localSheetId="9">#REF!</definedName>
    <definedName name="hep">#REF!</definedName>
    <definedName name="hft" localSheetId="0">#REF!</definedName>
    <definedName name="hft" localSheetId="18">#REF!</definedName>
    <definedName name="hft" localSheetId="19">#REF!</definedName>
    <definedName name="hft" localSheetId="21">#REF!</definedName>
    <definedName name="hft" localSheetId="22">#REF!</definedName>
    <definedName name="hft" localSheetId="1">#REF!</definedName>
    <definedName name="hft" localSheetId="2">#REF!</definedName>
    <definedName name="hft" localSheetId="4">#REF!</definedName>
    <definedName name="hft" localSheetId="48">#REF!</definedName>
    <definedName name="hft" localSheetId="68">#REF!</definedName>
    <definedName name="hft" localSheetId="71">#REF!</definedName>
    <definedName name="hft" localSheetId="76">#REF!</definedName>
    <definedName name="hft" localSheetId="78">#REF!</definedName>
    <definedName name="hft" localSheetId="79">#REF!</definedName>
    <definedName name="hft" localSheetId="82">#REF!</definedName>
    <definedName name="hft" localSheetId="85">#REF!</definedName>
    <definedName name="hft" localSheetId="86">#REF!</definedName>
    <definedName name="hft" localSheetId="87">#REF!</definedName>
    <definedName name="hft" localSheetId="8">#REF!</definedName>
    <definedName name="hft" localSheetId="9">#REF!</definedName>
    <definedName name="hft">#REF!</definedName>
    <definedName name="hgt" localSheetId="0" hidden="1">'[18]4.9'!#REF!</definedName>
    <definedName name="hgt" localSheetId="18" hidden="1">'[18]4.9'!#REF!</definedName>
    <definedName name="hgt" localSheetId="19" hidden="1">'[18]4.9'!#REF!</definedName>
    <definedName name="hgt" localSheetId="21" hidden="1">'[18]4.9'!#REF!</definedName>
    <definedName name="hgt" localSheetId="22">#REF!</definedName>
    <definedName name="hgt" localSheetId="1" hidden="1">'[18]4.9'!#REF!</definedName>
    <definedName name="hgt" localSheetId="2" hidden="1">'[18]4.9'!#REF!</definedName>
    <definedName name="hgt" localSheetId="4" hidden="1">'[19]4.9'!#REF!</definedName>
    <definedName name="hgt" localSheetId="48" hidden="1">'[18]4.9'!#REF!</definedName>
    <definedName name="hgt" localSheetId="6" hidden="1">'[16]4.9'!#REF!</definedName>
    <definedName name="hgt" localSheetId="68" hidden="1">'[18]4.9'!#REF!</definedName>
    <definedName name="hgt" localSheetId="71" hidden="1">'[18]4.9'!#REF!</definedName>
    <definedName name="hgt" localSheetId="76" hidden="1">'[18]4.9'!#REF!</definedName>
    <definedName name="hgt" localSheetId="82" hidden="1">'[18]4.9'!#REF!</definedName>
    <definedName name="hgt" localSheetId="7" hidden="1">'[16]4.9'!#REF!</definedName>
    <definedName name="hgt" localSheetId="85" hidden="1">'[18]4.9'!#REF!</definedName>
    <definedName name="hgt" localSheetId="86" hidden="1">'[18]4.9'!#REF!</definedName>
    <definedName name="hgt" localSheetId="87" hidden="1">'[18]4.9'!#REF!</definedName>
    <definedName name="hgt" localSheetId="8" hidden="1">'[18]4.9'!#REF!</definedName>
    <definedName name="hgt" localSheetId="9" hidden="1">'[18]4.9'!#REF!</definedName>
    <definedName name="hgt" hidden="1">'[18]4.9'!#REF!</definedName>
    <definedName name="hh" localSheetId="0">#REF!</definedName>
    <definedName name="hh" localSheetId="18">#REF!</definedName>
    <definedName name="hh" localSheetId="19">#REF!</definedName>
    <definedName name="hh" localSheetId="21">#REF!</definedName>
    <definedName name="hh" localSheetId="22">#REF!</definedName>
    <definedName name="hh" localSheetId="1">#REF!</definedName>
    <definedName name="hh" localSheetId="2">#REF!</definedName>
    <definedName name="hh" localSheetId="4">#REF!</definedName>
    <definedName name="hh" localSheetId="48">#REF!</definedName>
    <definedName name="hh" localSheetId="6">#REF!</definedName>
    <definedName name="hh" localSheetId="68">#REF!</definedName>
    <definedName name="hh" localSheetId="71">#REF!</definedName>
    <definedName name="hh" localSheetId="76">#REF!</definedName>
    <definedName name="hh" localSheetId="78">#REF!</definedName>
    <definedName name="hh" localSheetId="79">#REF!</definedName>
    <definedName name="hh" localSheetId="82">#REF!</definedName>
    <definedName name="hh" localSheetId="85">#REF!</definedName>
    <definedName name="hh" localSheetId="86">#REF!</definedName>
    <definedName name="hh" localSheetId="87">#REF!</definedName>
    <definedName name="hh" localSheetId="8">#REF!</definedName>
    <definedName name="hh" localSheetId="9">#REF!</definedName>
    <definedName name="hh">#REF!</definedName>
    <definedName name="hhft" localSheetId="0">#REF!</definedName>
    <definedName name="hhft" localSheetId="18">#REF!</definedName>
    <definedName name="hhft" localSheetId="19">#REF!</definedName>
    <definedName name="hhft" localSheetId="21">#REF!</definedName>
    <definedName name="hhft" localSheetId="22">#REF!</definedName>
    <definedName name="hhft" localSheetId="1">#REF!</definedName>
    <definedName name="hhft" localSheetId="2">#REF!</definedName>
    <definedName name="hhft" localSheetId="4">#REF!</definedName>
    <definedName name="hhft" localSheetId="48">#REF!</definedName>
    <definedName name="hhft" localSheetId="6">#REF!</definedName>
    <definedName name="hhft" localSheetId="68">#REF!</definedName>
    <definedName name="hhft" localSheetId="71">#REF!</definedName>
    <definedName name="hhft" localSheetId="76">#REF!</definedName>
    <definedName name="hhft" localSheetId="78">#REF!</definedName>
    <definedName name="hhft" localSheetId="79">#REF!</definedName>
    <definedName name="hhft" localSheetId="82">#REF!</definedName>
    <definedName name="hhft" localSheetId="85">#REF!</definedName>
    <definedName name="hhft" localSheetId="86">#REF!</definedName>
    <definedName name="hhft" localSheetId="87">#REF!</definedName>
    <definedName name="hhft" localSheetId="8">#REF!</definedName>
    <definedName name="hhft" localSheetId="9">#REF!</definedName>
    <definedName name="hhft">#REF!</definedName>
    <definedName name="hhhgt" localSheetId="0">#REF!</definedName>
    <definedName name="hhhgt" localSheetId="18">#REF!</definedName>
    <definedName name="hhhgt" localSheetId="19">#REF!</definedName>
    <definedName name="hhhgt" localSheetId="21">#REF!</definedName>
    <definedName name="hhhgt" localSheetId="22">#REF!</definedName>
    <definedName name="hhhgt" localSheetId="1">#REF!</definedName>
    <definedName name="hhhgt" localSheetId="2">#REF!</definedName>
    <definedName name="hhhgt" localSheetId="4">#REF!</definedName>
    <definedName name="hhhgt" localSheetId="48">#REF!</definedName>
    <definedName name="hhhgt" localSheetId="6">#REF!</definedName>
    <definedName name="hhhgt" localSheetId="68">#REF!</definedName>
    <definedName name="hhhgt" localSheetId="71">#REF!</definedName>
    <definedName name="hhhgt" localSheetId="76">#REF!</definedName>
    <definedName name="hhhgt" localSheetId="78">#REF!</definedName>
    <definedName name="hhhgt" localSheetId="79">#REF!</definedName>
    <definedName name="hhhgt" localSheetId="82">#REF!</definedName>
    <definedName name="hhhgt" localSheetId="85">#REF!</definedName>
    <definedName name="hhhgt" localSheetId="86">#REF!</definedName>
    <definedName name="hhhgt" localSheetId="87">#REF!</definedName>
    <definedName name="hhhgt" localSheetId="8">#REF!</definedName>
    <definedName name="hhhgt" localSheetId="9">#REF!</definedName>
    <definedName name="hhhgt">#REF!</definedName>
    <definedName name="hhhhjy" localSheetId="0">#REF!</definedName>
    <definedName name="hhhhjy" localSheetId="18">#REF!</definedName>
    <definedName name="hhhhjy" localSheetId="19">#REF!</definedName>
    <definedName name="hhhhjy" localSheetId="21">#REF!</definedName>
    <definedName name="hhhhjy" localSheetId="22">#REF!</definedName>
    <definedName name="hhhhjy" localSheetId="1">#REF!</definedName>
    <definedName name="hhhhjy" localSheetId="2">#REF!</definedName>
    <definedName name="hhhhjy" localSheetId="4">#REF!</definedName>
    <definedName name="hhhhjy" localSheetId="48">#REF!</definedName>
    <definedName name="hhhhjy" localSheetId="68">#REF!</definedName>
    <definedName name="hhhhjy" localSheetId="71">#REF!</definedName>
    <definedName name="hhhhjy" localSheetId="76">#REF!</definedName>
    <definedName name="hhhhjy" localSheetId="78">#REF!</definedName>
    <definedName name="hhhhjy" localSheetId="79">#REF!</definedName>
    <definedName name="hhhhjy" localSheetId="82">#REF!</definedName>
    <definedName name="hhhhjy" localSheetId="85">#REF!</definedName>
    <definedName name="hhhhjy" localSheetId="86">#REF!</definedName>
    <definedName name="hhhhjy" localSheetId="87">#REF!</definedName>
    <definedName name="hhhhjy" localSheetId="8">#REF!</definedName>
    <definedName name="hhhhjy" localSheetId="9">#REF!</definedName>
    <definedName name="hhhhjy">#REF!</definedName>
    <definedName name="hhhht" localSheetId="0">#REF!</definedName>
    <definedName name="hhhht" localSheetId="18">#REF!</definedName>
    <definedName name="hhhht" localSheetId="19">#REF!</definedName>
    <definedName name="hhhht" localSheetId="21">#REF!</definedName>
    <definedName name="hhhht" localSheetId="22">#REF!</definedName>
    <definedName name="hhhht" localSheetId="1">#REF!</definedName>
    <definedName name="hhhht" localSheetId="2">#REF!</definedName>
    <definedName name="hhhht" localSheetId="4">#REF!</definedName>
    <definedName name="hhhht" localSheetId="48">#REF!</definedName>
    <definedName name="hhhht" localSheetId="68">#REF!</definedName>
    <definedName name="hhhht" localSheetId="71">#REF!</definedName>
    <definedName name="hhhht" localSheetId="76">#REF!</definedName>
    <definedName name="hhhht" localSheetId="78">#REF!</definedName>
    <definedName name="hhhht" localSheetId="79">#REF!</definedName>
    <definedName name="hhhht" localSheetId="82">#REF!</definedName>
    <definedName name="hhhht" localSheetId="85">#REF!</definedName>
    <definedName name="hhhht" localSheetId="86">#REF!</definedName>
    <definedName name="hhhht" localSheetId="87">#REF!</definedName>
    <definedName name="hhhht" localSheetId="8">#REF!</definedName>
    <definedName name="hhhht" localSheetId="9">#REF!</definedName>
    <definedName name="hhhht">#REF!</definedName>
    <definedName name="hhjy" localSheetId="0">#REF!</definedName>
    <definedName name="hhjy" localSheetId="18">#REF!</definedName>
    <definedName name="hhjy" localSheetId="19">#REF!</definedName>
    <definedName name="hhjy" localSheetId="21">#REF!</definedName>
    <definedName name="hhjy" localSheetId="22">#REF!</definedName>
    <definedName name="hhjy" localSheetId="1">#REF!</definedName>
    <definedName name="hhjy" localSheetId="2">#REF!</definedName>
    <definedName name="hhjy" localSheetId="4">#REF!</definedName>
    <definedName name="hhjy" localSheetId="48">#REF!</definedName>
    <definedName name="hhjy" localSheetId="68">#REF!</definedName>
    <definedName name="hhjy" localSheetId="71">#REF!</definedName>
    <definedName name="hhjy" localSheetId="76">#REF!</definedName>
    <definedName name="hhjy" localSheetId="78">#REF!</definedName>
    <definedName name="hhjy" localSheetId="79">#REF!</definedName>
    <definedName name="hhjy" localSheetId="82">#REF!</definedName>
    <definedName name="hhjy" localSheetId="85">#REF!</definedName>
    <definedName name="hhjy" localSheetId="86">#REF!</definedName>
    <definedName name="hhjy" localSheetId="87">#REF!</definedName>
    <definedName name="hhjy" localSheetId="8">#REF!</definedName>
    <definedName name="hhjy" localSheetId="9">#REF!</definedName>
    <definedName name="hhjy">#REF!</definedName>
    <definedName name="hjg" localSheetId="0">#REF!</definedName>
    <definedName name="hjg" localSheetId="18">#REF!</definedName>
    <definedName name="hjg" localSheetId="19">#REF!</definedName>
    <definedName name="hjg" localSheetId="21">#REF!</definedName>
    <definedName name="hjg" localSheetId="22">#REF!</definedName>
    <definedName name="hjg" localSheetId="1">#REF!</definedName>
    <definedName name="hjg" localSheetId="2">#REF!</definedName>
    <definedName name="hjg" localSheetId="4">#REF!</definedName>
    <definedName name="hjg" localSheetId="48">#REF!</definedName>
    <definedName name="hjg" localSheetId="68">#REF!</definedName>
    <definedName name="hjg" localSheetId="71">#REF!</definedName>
    <definedName name="hjg" localSheetId="76">#REF!</definedName>
    <definedName name="hjg" localSheetId="78">#REF!</definedName>
    <definedName name="hjg" localSheetId="79">#REF!</definedName>
    <definedName name="hjg" localSheetId="82">#REF!</definedName>
    <definedName name="hjg" localSheetId="85">#REF!</definedName>
    <definedName name="hjg" localSheetId="86">#REF!</definedName>
    <definedName name="hjg" localSheetId="87">#REF!</definedName>
    <definedName name="hjg" localSheetId="8">#REF!</definedName>
    <definedName name="hjg" localSheetId="9">#REF!</definedName>
    <definedName name="hjg">#REF!</definedName>
    <definedName name="hjgy" localSheetId="0">#REF!</definedName>
    <definedName name="hjgy" localSheetId="18">#REF!</definedName>
    <definedName name="hjgy" localSheetId="19">#REF!</definedName>
    <definedName name="hjgy" localSheetId="21">#REF!</definedName>
    <definedName name="hjgy" localSheetId="22">#REF!</definedName>
    <definedName name="hjgy" localSheetId="1">#REF!</definedName>
    <definedName name="hjgy" localSheetId="2">#REF!</definedName>
    <definedName name="hjgy" localSheetId="4">#REF!</definedName>
    <definedName name="hjgy" localSheetId="48">#REF!</definedName>
    <definedName name="hjgy" localSheetId="68">#REF!</definedName>
    <definedName name="hjgy" localSheetId="71">#REF!</definedName>
    <definedName name="hjgy" localSheetId="76">#REF!</definedName>
    <definedName name="hjgy" localSheetId="78">#REF!</definedName>
    <definedName name="hjgy" localSheetId="79">#REF!</definedName>
    <definedName name="hjgy" localSheetId="82">#REF!</definedName>
    <definedName name="hjgy" localSheetId="85">#REF!</definedName>
    <definedName name="hjgy" localSheetId="86">#REF!</definedName>
    <definedName name="hjgy" localSheetId="87">#REF!</definedName>
    <definedName name="hjgy" localSheetId="8">#REF!</definedName>
    <definedName name="hjgy" localSheetId="9">#REF!</definedName>
    <definedName name="hjgy">#REF!</definedName>
    <definedName name="iii" localSheetId="0">#REF!</definedName>
    <definedName name="iii" localSheetId="16">#REF!</definedName>
    <definedName name="iii" localSheetId="17">#REF!</definedName>
    <definedName name="iii" localSheetId="18">#REF!</definedName>
    <definedName name="iii" localSheetId="19">#REF!</definedName>
    <definedName name="iii" localSheetId="21">#REF!</definedName>
    <definedName name="iii" localSheetId="22">#REF!</definedName>
    <definedName name="iii" localSheetId="1">#REF!</definedName>
    <definedName name="iii" localSheetId="2">#REF!</definedName>
    <definedName name="iii" localSheetId="4">#REF!</definedName>
    <definedName name="iii" localSheetId="48">#REF!</definedName>
    <definedName name="iii" localSheetId="52">#REF!</definedName>
    <definedName name="iii" localSheetId="68">#REF!</definedName>
    <definedName name="iii" localSheetId="71">#REF!</definedName>
    <definedName name="iii" localSheetId="76">#REF!</definedName>
    <definedName name="iii" localSheetId="78">#REF!</definedName>
    <definedName name="iii" localSheetId="79">#REF!</definedName>
    <definedName name="iii" localSheetId="82">#REF!</definedName>
    <definedName name="iii" localSheetId="85">#REF!</definedName>
    <definedName name="iii" localSheetId="86">#REF!</definedName>
    <definedName name="iii" localSheetId="87">#REF!</definedName>
    <definedName name="iii" localSheetId="8">#REF!</definedName>
    <definedName name="iii" localSheetId="9">#REF!</definedName>
    <definedName name="iii">#REF!</definedName>
    <definedName name="iiiii" localSheetId="0" hidden="1">#REF!</definedName>
    <definedName name="iiiii" localSheetId="18" hidden="1">#REF!</definedName>
    <definedName name="iiiii" localSheetId="19" hidden="1">#REF!</definedName>
    <definedName name="iiiii" localSheetId="21" hidden="1">#REF!</definedName>
    <definedName name="iiiii" localSheetId="22">#REF!</definedName>
    <definedName name="iiiii" localSheetId="1" hidden="1">#REF!</definedName>
    <definedName name="iiiii" localSheetId="2" hidden="1">#REF!</definedName>
    <definedName name="iiiii" localSheetId="4" hidden="1">#REF!</definedName>
    <definedName name="iiiii" localSheetId="48" hidden="1">#REF!</definedName>
    <definedName name="iiiii" localSheetId="68" hidden="1">#REF!</definedName>
    <definedName name="iiiii" localSheetId="71" hidden="1">#REF!</definedName>
    <definedName name="iiiii" localSheetId="76" hidden="1">#REF!</definedName>
    <definedName name="iiiii" localSheetId="78" hidden="1">#REF!</definedName>
    <definedName name="iiiii" localSheetId="79" hidden="1">#REF!</definedName>
    <definedName name="iiiii" localSheetId="82" hidden="1">#REF!</definedName>
    <definedName name="iiiii" localSheetId="85" hidden="1">#REF!</definedName>
    <definedName name="iiiii" localSheetId="86" hidden="1">#REF!</definedName>
    <definedName name="iiiii" localSheetId="87" hidden="1">#REF!</definedName>
    <definedName name="iiiii" localSheetId="8" hidden="1">#REF!</definedName>
    <definedName name="iiiii" localSheetId="9" hidden="1">#REF!</definedName>
    <definedName name="iiiii" hidden="1">#REF!</definedName>
    <definedName name="j" localSheetId="0">#REF!</definedName>
    <definedName name="j" localSheetId="16">#REF!</definedName>
    <definedName name="j" localSheetId="17">#REF!</definedName>
    <definedName name="j" localSheetId="18">#REF!</definedName>
    <definedName name="j" localSheetId="19">#REF!</definedName>
    <definedName name="j" localSheetId="21">#REF!</definedName>
    <definedName name="j" localSheetId="22">#REF!</definedName>
    <definedName name="j" localSheetId="1">#REF!</definedName>
    <definedName name="j" localSheetId="2">#REF!</definedName>
    <definedName name="j" localSheetId="4">#REF!</definedName>
    <definedName name="j" localSheetId="48">#REF!</definedName>
    <definedName name="j" localSheetId="52">#REF!</definedName>
    <definedName name="j" localSheetId="68">#REF!</definedName>
    <definedName name="j" localSheetId="71">#REF!</definedName>
    <definedName name="j" localSheetId="76">#REF!</definedName>
    <definedName name="j" localSheetId="78">#REF!</definedName>
    <definedName name="j" localSheetId="79">#REF!</definedName>
    <definedName name="j" localSheetId="82">#REF!</definedName>
    <definedName name="j" localSheetId="85">#REF!</definedName>
    <definedName name="j" localSheetId="86">#REF!</definedName>
    <definedName name="j" localSheetId="87">#REF!</definedName>
    <definedName name="j" localSheetId="8">#REF!</definedName>
    <definedName name="j" localSheetId="9">#REF!</definedName>
    <definedName name="j">#REF!</definedName>
    <definedName name="jb" localSheetId="0">#REF!</definedName>
    <definedName name="jb" localSheetId="18">#REF!</definedName>
    <definedName name="jb" localSheetId="19">#REF!</definedName>
    <definedName name="jb" localSheetId="21">#REF!</definedName>
    <definedName name="jb" localSheetId="22">#REF!</definedName>
    <definedName name="jb" localSheetId="1">#REF!</definedName>
    <definedName name="jb" localSheetId="2">#REF!</definedName>
    <definedName name="jb" localSheetId="4">#REF!</definedName>
    <definedName name="jb" localSheetId="48">#REF!</definedName>
    <definedName name="jb" localSheetId="68">#REF!</definedName>
    <definedName name="jb" localSheetId="71">#REF!</definedName>
    <definedName name="jb" localSheetId="76">#REF!</definedName>
    <definedName name="jb" localSheetId="78">#REF!</definedName>
    <definedName name="jb" localSheetId="79">#REF!</definedName>
    <definedName name="jb" localSheetId="82">#REF!</definedName>
    <definedName name="jb" localSheetId="85">#REF!</definedName>
    <definedName name="jb" localSheetId="86">#REF!</definedName>
    <definedName name="jb" localSheetId="87">#REF!</definedName>
    <definedName name="jb" localSheetId="8">#REF!</definedName>
    <definedName name="jb" localSheetId="9">#REF!</definedName>
    <definedName name="jb">#REF!</definedName>
    <definedName name="jjj" localSheetId="0">#REF!</definedName>
    <definedName name="jjj" localSheetId="18">#REF!</definedName>
    <definedName name="jjj" localSheetId="19">#REF!</definedName>
    <definedName name="jjj" localSheetId="21">#REF!</definedName>
    <definedName name="jjj" localSheetId="22">#REF!</definedName>
    <definedName name="jjj" localSheetId="1">#REF!</definedName>
    <definedName name="jjj" localSheetId="2">#REF!</definedName>
    <definedName name="jjj" localSheetId="4">#REF!</definedName>
    <definedName name="jjj" localSheetId="48">#REF!</definedName>
    <definedName name="jjj" localSheetId="68">#REF!</definedName>
    <definedName name="jjj" localSheetId="71">#REF!</definedName>
    <definedName name="jjj" localSheetId="76">#REF!</definedName>
    <definedName name="jjj" localSheetId="78">#REF!</definedName>
    <definedName name="jjj" localSheetId="79">#REF!</definedName>
    <definedName name="jjj" localSheetId="82">#REF!</definedName>
    <definedName name="jjj" localSheetId="85">#REF!</definedName>
    <definedName name="jjj" localSheetId="86">#REF!</definedName>
    <definedName name="jjj" localSheetId="87">#REF!</definedName>
    <definedName name="jjj" localSheetId="8">#REF!</definedName>
    <definedName name="jjj" localSheetId="9">#REF!</definedName>
    <definedName name="jjj">#REF!</definedName>
    <definedName name="jjjt" localSheetId="0">#REF!</definedName>
    <definedName name="jjjt" localSheetId="18">#REF!</definedName>
    <definedName name="jjjt" localSheetId="19">#REF!</definedName>
    <definedName name="jjjt" localSheetId="21">#REF!</definedName>
    <definedName name="jjjt" localSheetId="22">#REF!</definedName>
    <definedName name="jjjt" localSheetId="1">#REF!</definedName>
    <definedName name="jjjt" localSheetId="2">#REF!</definedName>
    <definedName name="jjjt" localSheetId="4">#REF!</definedName>
    <definedName name="jjjt" localSheetId="48">#REF!</definedName>
    <definedName name="jjjt" localSheetId="68">#REF!</definedName>
    <definedName name="jjjt" localSheetId="71">#REF!</definedName>
    <definedName name="jjjt" localSheetId="76">#REF!</definedName>
    <definedName name="jjjt" localSheetId="78">#REF!</definedName>
    <definedName name="jjjt" localSheetId="79">#REF!</definedName>
    <definedName name="jjjt" localSheetId="82">#REF!</definedName>
    <definedName name="jjjt" localSheetId="85">#REF!</definedName>
    <definedName name="jjjt" localSheetId="86">#REF!</definedName>
    <definedName name="jjjt" localSheetId="87">#REF!</definedName>
    <definedName name="jjjt" localSheetId="8">#REF!</definedName>
    <definedName name="jjjt" localSheetId="9">#REF!</definedName>
    <definedName name="jjjt">#REF!</definedName>
    <definedName name="jjjtg" localSheetId="0">#REF!</definedName>
    <definedName name="jjjtg" localSheetId="18">#REF!</definedName>
    <definedName name="jjjtg" localSheetId="19">#REF!</definedName>
    <definedName name="jjjtg" localSheetId="21">#REF!</definedName>
    <definedName name="jjjtg" localSheetId="22">#REF!</definedName>
    <definedName name="jjjtg" localSheetId="1">#REF!</definedName>
    <definedName name="jjjtg" localSheetId="2">#REF!</definedName>
    <definedName name="jjjtg" localSheetId="4">#REF!</definedName>
    <definedName name="jjjtg" localSheetId="48">#REF!</definedName>
    <definedName name="jjjtg" localSheetId="68">#REF!</definedName>
    <definedName name="jjjtg" localSheetId="71">#REF!</definedName>
    <definedName name="jjjtg" localSheetId="76">#REF!</definedName>
    <definedName name="jjjtg" localSheetId="78">#REF!</definedName>
    <definedName name="jjjtg" localSheetId="79">#REF!</definedName>
    <definedName name="jjjtg" localSheetId="82">#REF!</definedName>
    <definedName name="jjjtg" localSheetId="85">#REF!</definedName>
    <definedName name="jjjtg" localSheetId="86">#REF!</definedName>
    <definedName name="jjjtg" localSheetId="87">#REF!</definedName>
    <definedName name="jjjtg" localSheetId="8">#REF!</definedName>
    <definedName name="jjjtg" localSheetId="9">#REF!</definedName>
    <definedName name="jjjtg">#REF!</definedName>
    <definedName name="jjju" localSheetId="0">#REF!</definedName>
    <definedName name="jjju" localSheetId="18">#REF!</definedName>
    <definedName name="jjju" localSheetId="19">#REF!</definedName>
    <definedName name="jjju" localSheetId="21">#REF!</definedName>
    <definedName name="jjju" localSheetId="22">#REF!</definedName>
    <definedName name="jjju" localSheetId="1">#REF!</definedName>
    <definedName name="jjju" localSheetId="2">#REF!</definedName>
    <definedName name="jjju" localSheetId="4">#REF!</definedName>
    <definedName name="jjju" localSheetId="48">#REF!</definedName>
    <definedName name="jjju" localSheetId="68">#REF!</definedName>
    <definedName name="jjju" localSheetId="71">#REF!</definedName>
    <definedName name="jjju" localSheetId="76">#REF!</definedName>
    <definedName name="jjju" localSheetId="78">#REF!</definedName>
    <definedName name="jjju" localSheetId="79">#REF!</definedName>
    <definedName name="jjju" localSheetId="82">#REF!</definedName>
    <definedName name="jjju" localSheetId="85">#REF!</definedName>
    <definedName name="jjju" localSheetId="86">#REF!</definedName>
    <definedName name="jjju" localSheetId="87">#REF!</definedName>
    <definedName name="jjju" localSheetId="8">#REF!</definedName>
    <definedName name="jjju" localSheetId="9">#REF!</definedName>
    <definedName name="jjju">#REF!</definedName>
    <definedName name="jjjy" localSheetId="0">#REF!</definedName>
    <definedName name="jjjy" localSheetId="18">#REF!</definedName>
    <definedName name="jjjy" localSheetId="19">#REF!</definedName>
    <definedName name="jjjy" localSheetId="21">#REF!</definedName>
    <definedName name="jjjy" localSheetId="22">#REF!</definedName>
    <definedName name="jjjy" localSheetId="1">#REF!</definedName>
    <definedName name="jjjy" localSheetId="2">#REF!</definedName>
    <definedName name="jjjy" localSheetId="4">#REF!</definedName>
    <definedName name="jjjy" localSheetId="48">#REF!</definedName>
    <definedName name="jjjy" localSheetId="68">#REF!</definedName>
    <definedName name="jjjy" localSheetId="71">#REF!</definedName>
    <definedName name="jjjy" localSheetId="76">#REF!</definedName>
    <definedName name="jjjy" localSheetId="78">#REF!</definedName>
    <definedName name="jjjy" localSheetId="79">#REF!</definedName>
    <definedName name="jjjy" localSheetId="82">#REF!</definedName>
    <definedName name="jjjy" localSheetId="85">#REF!</definedName>
    <definedName name="jjjy" localSheetId="86">#REF!</definedName>
    <definedName name="jjjy" localSheetId="87">#REF!</definedName>
    <definedName name="jjjy" localSheetId="8">#REF!</definedName>
    <definedName name="jjjy" localSheetId="9">#REF!</definedName>
    <definedName name="jjjy">#REF!</definedName>
    <definedName name="johor" localSheetId="0" hidden="1">'[27]7.6'!#REF!</definedName>
    <definedName name="johor" localSheetId="16" hidden="1">'[27]7.6'!#REF!</definedName>
    <definedName name="johor" localSheetId="17" hidden="1">'[27]7.6'!#REF!</definedName>
    <definedName name="johor" localSheetId="18" hidden="1">'[27]7.6'!#REF!</definedName>
    <definedName name="johor" localSheetId="19" hidden="1">'[27]7.6'!#REF!</definedName>
    <definedName name="johor" localSheetId="21" hidden="1">'[27]7.6'!#REF!</definedName>
    <definedName name="johor" localSheetId="22">#REF!</definedName>
    <definedName name="johor" localSheetId="1" hidden="1">'[27]7.6'!#REF!</definedName>
    <definedName name="johor" localSheetId="2" hidden="1">'[27]7.6'!#REF!</definedName>
    <definedName name="johor" localSheetId="4" hidden="1">'[26]7.6'!#REF!</definedName>
    <definedName name="johor" localSheetId="48" hidden="1">'[27]7.6'!#REF!</definedName>
    <definedName name="johor" localSheetId="52" hidden="1">'[35]7.6'!#REF!</definedName>
    <definedName name="johor" localSheetId="6" hidden="1">'[27]7.6'!#REF!</definedName>
    <definedName name="johor" localSheetId="68" hidden="1">'[27]7.6'!#REF!</definedName>
    <definedName name="johor" localSheetId="71" hidden="1">'[27]7.6'!#REF!</definedName>
    <definedName name="johor" localSheetId="76" hidden="1">'[27]7.6'!#REF!</definedName>
    <definedName name="johor" localSheetId="82" hidden="1">'[27]7.6'!#REF!</definedName>
    <definedName name="johor" localSheetId="7" hidden="1">'[27]7.6'!#REF!</definedName>
    <definedName name="johor" localSheetId="85" hidden="1">'[27]7.6'!#REF!</definedName>
    <definedName name="johor" localSheetId="86" hidden="1">'[27]7.6'!#REF!</definedName>
    <definedName name="johor" localSheetId="87" hidden="1">'[27]7.6'!#REF!</definedName>
    <definedName name="johor" localSheetId="8" hidden="1">'[27]7.6'!#REF!</definedName>
    <definedName name="johor" localSheetId="9" hidden="1">'[27]7.6'!#REF!</definedName>
    <definedName name="johor" hidden="1">'[27]7.6'!#REF!</definedName>
    <definedName name="JOHOR1" localSheetId="0" hidden="1">'[36]4.9'!#REF!</definedName>
    <definedName name="JOHOR1" localSheetId="16" hidden="1">'[37]4.9'!#REF!</definedName>
    <definedName name="JOHOR1" localSheetId="17" hidden="1">'[37]4.9'!#REF!</definedName>
    <definedName name="JOHOR1" localSheetId="18" hidden="1">'[36]4.9'!#REF!</definedName>
    <definedName name="JOHOR1" localSheetId="19" hidden="1">'[36]4.9'!#REF!</definedName>
    <definedName name="JOHOR1" localSheetId="21" hidden="1">'[36]4.9'!#REF!</definedName>
    <definedName name="JOHOR1" localSheetId="22">#REF!</definedName>
    <definedName name="JOHOR1" localSheetId="1" hidden="1">'[36]4.9'!#REF!</definedName>
    <definedName name="JOHOR1" localSheetId="2" hidden="1">'[36]4.9'!#REF!</definedName>
    <definedName name="JOHOR1" localSheetId="4" hidden="1">'[38]4.9'!#REF!</definedName>
    <definedName name="JOHOR1" localSheetId="48" hidden="1">'[36]4.9'!#REF!</definedName>
    <definedName name="JOHOR1" localSheetId="52" hidden="1">'[39]4.9'!#REF!</definedName>
    <definedName name="JOHOR1" localSheetId="6" hidden="1">'[37]4.9'!#REF!</definedName>
    <definedName name="JOHOR1" localSheetId="68" hidden="1">'[36]4.9'!#REF!</definedName>
    <definedName name="JOHOR1" localSheetId="71" hidden="1">'[36]4.9'!#REF!</definedName>
    <definedName name="JOHOR1" localSheetId="76" hidden="1">'[36]4.9'!#REF!</definedName>
    <definedName name="JOHOR1" localSheetId="82" hidden="1">'[36]4.9'!#REF!</definedName>
    <definedName name="JOHOR1" localSheetId="7" hidden="1">'[37]4.9'!#REF!</definedName>
    <definedName name="JOHOR1" localSheetId="85" hidden="1">'[36]4.9'!#REF!</definedName>
    <definedName name="JOHOR1" localSheetId="86" hidden="1">'[36]4.9'!#REF!</definedName>
    <definedName name="JOHOR1" localSheetId="87" hidden="1">'[36]4.9'!#REF!</definedName>
    <definedName name="JOHOR1" localSheetId="8" hidden="1">'[36]4.9'!#REF!</definedName>
    <definedName name="JOHOR1" localSheetId="9" hidden="1">'[36]4.9'!#REF!</definedName>
    <definedName name="JOHOR1" hidden="1">'[36]4.9'!#REF!</definedName>
    <definedName name="k" localSheetId="0">#REF!</definedName>
    <definedName name="k" localSheetId="16">#REF!</definedName>
    <definedName name="k" localSheetId="17">#REF!</definedName>
    <definedName name="k" localSheetId="18">#REF!</definedName>
    <definedName name="k" localSheetId="19">#REF!</definedName>
    <definedName name="k" localSheetId="21">#REF!</definedName>
    <definedName name="k" localSheetId="22">#REF!</definedName>
    <definedName name="k" localSheetId="1">#REF!</definedName>
    <definedName name="k" localSheetId="2">#REF!</definedName>
    <definedName name="k" localSheetId="4">#REF!</definedName>
    <definedName name="k" localSheetId="48">#REF!</definedName>
    <definedName name="k" localSheetId="52">#REF!</definedName>
    <definedName name="k" localSheetId="6">#REF!</definedName>
    <definedName name="k" localSheetId="68">#REF!</definedName>
    <definedName name="k" localSheetId="71">#REF!</definedName>
    <definedName name="k" localSheetId="76">#REF!</definedName>
    <definedName name="k" localSheetId="78">#REF!</definedName>
    <definedName name="k" localSheetId="79">#REF!</definedName>
    <definedName name="k" localSheetId="82">#REF!</definedName>
    <definedName name="k" localSheetId="7">#REF!</definedName>
    <definedName name="k" localSheetId="85">#REF!</definedName>
    <definedName name="k" localSheetId="86">#REF!</definedName>
    <definedName name="k" localSheetId="87">#REF!</definedName>
    <definedName name="k" localSheetId="8">#REF!</definedName>
    <definedName name="k" localSheetId="9">#REF!</definedName>
    <definedName name="k">#REF!</definedName>
    <definedName name="kelantan" localSheetId="0" hidden="1">#REF!</definedName>
    <definedName name="kelantan" localSheetId="18" hidden="1">#REF!</definedName>
    <definedName name="kelantan" localSheetId="19" hidden="1">#REF!</definedName>
    <definedName name="kelantan" localSheetId="21" hidden="1">#REF!</definedName>
    <definedName name="kelantan" localSheetId="22">#REF!</definedName>
    <definedName name="kelantan" localSheetId="1" hidden="1">#REF!</definedName>
    <definedName name="kelantan" localSheetId="2" hidden="1">#REF!</definedName>
    <definedName name="kelantan" localSheetId="4" hidden="1">#REF!</definedName>
    <definedName name="kelantan" localSheetId="48" hidden="1">#REF!</definedName>
    <definedName name="kelantan" localSheetId="6" hidden="1">#REF!</definedName>
    <definedName name="kelantan" localSheetId="68" hidden="1">#REF!</definedName>
    <definedName name="kelantan" localSheetId="71" hidden="1">#REF!</definedName>
    <definedName name="kelantan" localSheetId="76" hidden="1">#REF!</definedName>
    <definedName name="kelantan" localSheetId="78" hidden="1">#REF!</definedName>
    <definedName name="kelantan" localSheetId="79" hidden="1">#REF!</definedName>
    <definedName name="kelantan" localSheetId="82" hidden="1">#REF!</definedName>
    <definedName name="kelantan" localSheetId="85" hidden="1">#REF!</definedName>
    <definedName name="kelantan" localSheetId="86" hidden="1">#REF!</definedName>
    <definedName name="kelantan" localSheetId="87" hidden="1">#REF!</definedName>
    <definedName name="kelantan" localSheetId="8" hidden="1">#REF!</definedName>
    <definedName name="kelantan" localSheetId="9" hidden="1">#REF!</definedName>
    <definedName name="kelantan" hidden="1">#REF!</definedName>
    <definedName name="kemudahan_internet" localSheetId="0">#REF!</definedName>
    <definedName name="kemudahan_internet" localSheetId="18">#REF!</definedName>
    <definedName name="kemudahan_internet" localSheetId="19">#REF!</definedName>
    <definedName name="kemudahan_internet" localSheetId="21">#REF!</definedName>
    <definedName name="kemudahan_internet" localSheetId="22">#REF!</definedName>
    <definedName name="kemudahan_internet" localSheetId="1">#REF!</definedName>
    <definedName name="kemudahan_internet" localSheetId="2">#REF!</definedName>
    <definedName name="kemudahan_internet" localSheetId="4">#REF!</definedName>
    <definedName name="kemudahan_internet" localSheetId="48">#REF!</definedName>
    <definedName name="kemudahan_internet" localSheetId="6">#REF!</definedName>
    <definedName name="kemudahan_internet" localSheetId="68">#REF!</definedName>
    <definedName name="kemudahan_internet" localSheetId="71">#REF!</definedName>
    <definedName name="kemudahan_internet" localSheetId="76">#REF!</definedName>
    <definedName name="kemudahan_internet" localSheetId="78">#REF!</definedName>
    <definedName name="kemudahan_internet" localSheetId="79">#REF!</definedName>
    <definedName name="kemudahan_internet" localSheetId="82">#REF!</definedName>
    <definedName name="kemudahan_internet" localSheetId="85">#REF!</definedName>
    <definedName name="kemudahan_internet" localSheetId="86">#REF!</definedName>
    <definedName name="kemudahan_internet" localSheetId="87">#REF!</definedName>
    <definedName name="kemudahan_internet" localSheetId="8">#REF!</definedName>
    <definedName name="kemudahan_internet" localSheetId="9">#REF!</definedName>
    <definedName name="kemudahan_internet">#REF!</definedName>
    <definedName name="kk" localSheetId="0">#REF!</definedName>
    <definedName name="kk" localSheetId="18">#REF!</definedName>
    <definedName name="kk" localSheetId="19">#REF!</definedName>
    <definedName name="kk" localSheetId="21">#REF!</definedName>
    <definedName name="kk" localSheetId="22">#REF!</definedName>
    <definedName name="kk" localSheetId="1">#REF!</definedName>
    <definedName name="kk" localSheetId="2">#REF!</definedName>
    <definedName name="kk" localSheetId="4">#REF!</definedName>
    <definedName name="kk" localSheetId="48">#REF!</definedName>
    <definedName name="kk" localSheetId="68">#REF!</definedName>
    <definedName name="kk" localSheetId="71">#REF!</definedName>
    <definedName name="kk" localSheetId="76">#REF!</definedName>
    <definedName name="kk" localSheetId="78">#REF!</definedName>
    <definedName name="kk" localSheetId="79">#REF!</definedName>
    <definedName name="kk" localSheetId="82">#REF!</definedName>
    <definedName name="kk" localSheetId="85">#REF!</definedName>
    <definedName name="kk" localSheetId="86">#REF!</definedName>
    <definedName name="kk" localSheetId="87">#REF!</definedName>
    <definedName name="kk" localSheetId="8">#REF!</definedName>
    <definedName name="kk" localSheetId="9">#REF!</definedName>
    <definedName name="kk">#REF!</definedName>
    <definedName name="Kod_01" localSheetId="0">#REF!</definedName>
    <definedName name="Kod_01" localSheetId="16">#REF!</definedName>
    <definedName name="Kod_01" localSheetId="17">#REF!</definedName>
    <definedName name="Kod_01" localSheetId="18">#REF!</definedName>
    <definedName name="Kod_01" localSheetId="19">#REF!</definedName>
    <definedName name="Kod_01" localSheetId="21">#REF!</definedName>
    <definedName name="Kod_01" localSheetId="22">#REF!</definedName>
    <definedName name="Kod_01" localSheetId="1">#REF!</definedName>
    <definedName name="Kod_01" localSheetId="2">#REF!</definedName>
    <definedName name="Kod_01" localSheetId="4">#REF!</definedName>
    <definedName name="Kod_01" localSheetId="48">#REF!</definedName>
    <definedName name="Kod_01" localSheetId="52">#REF!</definedName>
    <definedName name="Kod_01" localSheetId="6">#REF!</definedName>
    <definedName name="Kod_01" localSheetId="68">#REF!</definedName>
    <definedName name="Kod_01" localSheetId="71">#REF!</definedName>
    <definedName name="Kod_01" localSheetId="76">#REF!</definedName>
    <definedName name="Kod_01" localSheetId="78">#REF!</definedName>
    <definedName name="Kod_01" localSheetId="79">#REF!</definedName>
    <definedName name="Kod_01" localSheetId="82">#REF!</definedName>
    <definedName name="Kod_01" localSheetId="85">#REF!</definedName>
    <definedName name="Kod_01" localSheetId="86">#REF!</definedName>
    <definedName name="Kod_01" localSheetId="87">#REF!</definedName>
    <definedName name="Kod_01" localSheetId="8">#REF!</definedName>
    <definedName name="Kod_01" localSheetId="9">#REF!</definedName>
    <definedName name="Kod_01">#REF!</definedName>
    <definedName name="l" localSheetId="0" hidden="1">#REF!</definedName>
    <definedName name="l" localSheetId="16" hidden="1">#REF!</definedName>
    <definedName name="l" localSheetId="17" hidden="1">#REF!</definedName>
    <definedName name="l" localSheetId="18" hidden="1">#REF!</definedName>
    <definedName name="l" localSheetId="19" hidden="1">#REF!</definedName>
    <definedName name="l" localSheetId="21" hidden="1">#REF!</definedName>
    <definedName name="l" localSheetId="22">#REF!</definedName>
    <definedName name="l" localSheetId="1" hidden="1">#REF!</definedName>
    <definedName name="l" localSheetId="2" hidden="1">#REF!</definedName>
    <definedName name="l" localSheetId="4" hidden="1">#REF!</definedName>
    <definedName name="l" localSheetId="48" hidden="1">#REF!</definedName>
    <definedName name="l" localSheetId="68" hidden="1">#REF!</definedName>
    <definedName name="l" localSheetId="71" hidden="1">#REF!</definedName>
    <definedName name="l" localSheetId="76" hidden="1">#REF!</definedName>
    <definedName name="l" localSheetId="78" hidden="1">#REF!</definedName>
    <definedName name="l" localSheetId="79" hidden="1">#REF!</definedName>
    <definedName name="l" localSheetId="82" hidden="1">#REF!</definedName>
    <definedName name="l" localSheetId="85" hidden="1">#REF!</definedName>
    <definedName name="l" localSheetId="86" hidden="1">#REF!</definedName>
    <definedName name="l" localSheetId="87" hidden="1">#REF!</definedName>
    <definedName name="l" localSheetId="8" hidden="1">#REF!</definedName>
    <definedName name="l" localSheetId="9" hidden="1">#REF!</definedName>
    <definedName name="l" hidden="1">#REF!</definedName>
    <definedName name="lia" localSheetId="18">#REF!</definedName>
    <definedName name="lia" localSheetId="19">#REF!</definedName>
    <definedName name="lia" localSheetId="21">#REF!</definedName>
    <definedName name="lia" localSheetId="22">#REF!</definedName>
    <definedName name="lia" localSheetId="1">#REF!</definedName>
    <definedName name="lia" localSheetId="2">#REF!</definedName>
    <definedName name="lia" localSheetId="4">#REF!</definedName>
    <definedName name="lia" localSheetId="48">#REF!</definedName>
    <definedName name="lia" localSheetId="68">#REF!</definedName>
    <definedName name="lia" localSheetId="71">#REF!</definedName>
    <definedName name="lia" localSheetId="76">#REF!</definedName>
    <definedName name="lia" localSheetId="78">#REF!</definedName>
    <definedName name="lia" localSheetId="79">#REF!</definedName>
    <definedName name="lia" localSheetId="82">#REF!</definedName>
    <definedName name="lia" localSheetId="85">#REF!</definedName>
    <definedName name="lia" localSheetId="86">#REF!</definedName>
    <definedName name="lia" localSheetId="87">#REF!</definedName>
    <definedName name="lia" localSheetId="8">#REF!</definedName>
    <definedName name="lia" localSheetId="9">#REF!</definedName>
    <definedName name="lia">#REF!</definedName>
    <definedName name="LINK_BORONG" localSheetId="0">#REF!</definedName>
    <definedName name="LINK_BORONG" localSheetId="16">#REF!</definedName>
    <definedName name="LINK_BORONG" localSheetId="17">#REF!</definedName>
    <definedName name="LINK_BORONG" localSheetId="18">#REF!</definedName>
    <definedName name="LINK_BORONG" localSheetId="19">#REF!</definedName>
    <definedName name="LINK_BORONG" localSheetId="21">#REF!</definedName>
    <definedName name="LINK_BORONG" localSheetId="22">#REF!</definedName>
    <definedName name="LINK_BORONG" localSheetId="1">#REF!</definedName>
    <definedName name="LINK_BORONG" localSheetId="2">#REF!</definedName>
    <definedName name="LINK_BORONG" localSheetId="4">#REF!</definedName>
    <definedName name="LINK_BORONG" localSheetId="48">#REF!</definedName>
    <definedName name="LINK_BORONG" localSheetId="52">#REF!</definedName>
    <definedName name="LINK_BORONG" localSheetId="68">#REF!</definedName>
    <definedName name="LINK_BORONG" localSheetId="71">#REF!</definedName>
    <definedName name="LINK_BORONG" localSheetId="76">#REF!</definedName>
    <definedName name="LINK_BORONG" localSheetId="78">#REF!</definedName>
    <definedName name="LINK_BORONG" localSheetId="79">#REF!</definedName>
    <definedName name="LINK_BORONG" localSheetId="82">#REF!</definedName>
    <definedName name="LINK_BORONG" localSheetId="85">#REF!</definedName>
    <definedName name="LINK_BORONG" localSheetId="86">#REF!</definedName>
    <definedName name="LINK_BORONG" localSheetId="87">#REF!</definedName>
    <definedName name="LINK_BORONG" localSheetId="8">#REF!</definedName>
    <definedName name="LINK_BORONG" localSheetId="9">#REF!</definedName>
    <definedName name="LINK_BORONG">#REF!</definedName>
    <definedName name="LINK_MOTOR" localSheetId="0">#REF!</definedName>
    <definedName name="LINK_MOTOR" localSheetId="16">#REF!</definedName>
    <definedName name="LINK_MOTOR" localSheetId="17">#REF!</definedName>
    <definedName name="LINK_MOTOR" localSheetId="18">#REF!</definedName>
    <definedName name="LINK_MOTOR" localSheetId="19">#REF!</definedName>
    <definedName name="LINK_MOTOR" localSheetId="21">#REF!</definedName>
    <definedName name="LINK_MOTOR" localSheetId="22">#REF!</definedName>
    <definedName name="LINK_MOTOR" localSheetId="1">#REF!</definedName>
    <definedName name="LINK_MOTOR" localSheetId="2">#REF!</definedName>
    <definedName name="LINK_MOTOR" localSheetId="4">#REF!</definedName>
    <definedName name="LINK_MOTOR" localSheetId="48">#REF!</definedName>
    <definedName name="LINK_MOTOR" localSheetId="52">#REF!</definedName>
    <definedName name="LINK_MOTOR" localSheetId="68">#REF!</definedName>
    <definedName name="LINK_MOTOR" localSheetId="71">#REF!</definedName>
    <definedName name="LINK_MOTOR" localSheetId="76">#REF!</definedName>
    <definedName name="LINK_MOTOR" localSheetId="78">#REF!</definedName>
    <definedName name="LINK_MOTOR" localSheetId="79">#REF!</definedName>
    <definedName name="LINK_MOTOR" localSheetId="82">#REF!</definedName>
    <definedName name="LINK_MOTOR" localSheetId="85">#REF!</definedName>
    <definedName name="LINK_MOTOR" localSheetId="86">#REF!</definedName>
    <definedName name="LINK_MOTOR" localSheetId="87">#REF!</definedName>
    <definedName name="LINK_MOTOR" localSheetId="8">#REF!</definedName>
    <definedName name="LINK_MOTOR" localSheetId="9">#REF!</definedName>
    <definedName name="LINK_MOTOR">#REF!</definedName>
    <definedName name="LINK_RUNCIT" localSheetId="0">#REF!</definedName>
    <definedName name="LINK_RUNCIT" localSheetId="16">#REF!</definedName>
    <definedName name="LINK_RUNCIT" localSheetId="17">#REF!</definedName>
    <definedName name="LINK_RUNCIT" localSheetId="18">#REF!</definedName>
    <definedName name="LINK_RUNCIT" localSheetId="19">#REF!</definedName>
    <definedName name="LINK_RUNCIT" localSheetId="21">#REF!</definedName>
    <definedName name="LINK_RUNCIT" localSheetId="22">#REF!</definedName>
    <definedName name="LINK_RUNCIT" localSheetId="1">#REF!</definedName>
    <definedName name="LINK_RUNCIT" localSheetId="2">#REF!</definedName>
    <definedName name="LINK_RUNCIT" localSheetId="4">#REF!</definedName>
    <definedName name="LINK_RUNCIT" localSheetId="48">#REF!</definedName>
    <definedName name="LINK_RUNCIT" localSheetId="52">#REF!</definedName>
    <definedName name="LINK_RUNCIT" localSheetId="68">#REF!</definedName>
    <definedName name="LINK_RUNCIT" localSheetId="71">#REF!</definedName>
    <definedName name="LINK_RUNCIT" localSheetId="76">#REF!</definedName>
    <definedName name="LINK_RUNCIT" localSheetId="78">#REF!</definedName>
    <definedName name="LINK_RUNCIT" localSheetId="79">#REF!</definedName>
    <definedName name="LINK_RUNCIT" localSheetId="82">#REF!</definedName>
    <definedName name="LINK_RUNCIT" localSheetId="85">#REF!</definedName>
    <definedName name="LINK_RUNCIT" localSheetId="86">#REF!</definedName>
    <definedName name="LINK_RUNCIT" localSheetId="87">#REF!</definedName>
    <definedName name="LINK_RUNCIT" localSheetId="8">#REF!</definedName>
    <definedName name="LINK_RUNCIT" localSheetId="9">#REF!</definedName>
    <definedName name="LINK_RUNCIT">#REF!</definedName>
    <definedName name="list_sehingga_18012011" localSheetId="0">#REF!</definedName>
    <definedName name="list_sehingga_18012011" localSheetId="16">#REF!</definedName>
    <definedName name="list_sehingga_18012011" localSheetId="17">#REF!</definedName>
    <definedName name="list_sehingga_18012011" localSheetId="18">#REF!</definedName>
    <definedName name="list_sehingga_18012011" localSheetId="19">#REF!</definedName>
    <definedName name="list_sehingga_18012011" localSheetId="21">#REF!</definedName>
    <definedName name="list_sehingga_18012011" localSheetId="22">#REF!</definedName>
    <definedName name="list_sehingga_18012011" localSheetId="1">#REF!</definedName>
    <definedName name="list_sehingga_18012011" localSheetId="2">#REF!</definedName>
    <definedName name="list_sehingga_18012011" localSheetId="4">#REF!</definedName>
    <definedName name="list_sehingga_18012011" localSheetId="48">#REF!</definedName>
    <definedName name="list_sehingga_18012011" localSheetId="52">#REF!</definedName>
    <definedName name="list_sehingga_18012011" localSheetId="68">#REF!</definedName>
    <definedName name="list_sehingga_18012011" localSheetId="71">#REF!</definedName>
    <definedName name="list_sehingga_18012011" localSheetId="76">#REF!</definedName>
    <definedName name="list_sehingga_18012011" localSheetId="78">#REF!</definedName>
    <definedName name="list_sehingga_18012011" localSheetId="79">#REF!</definedName>
    <definedName name="list_sehingga_18012011" localSheetId="82">#REF!</definedName>
    <definedName name="list_sehingga_18012011" localSheetId="85">#REF!</definedName>
    <definedName name="list_sehingga_18012011" localSheetId="86">#REF!</definedName>
    <definedName name="list_sehingga_18012011" localSheetId="87">#REF!</definedName>
    <definedName name="list_sehingga_18012011" localSheetId="8">#REF!</definedName>
    <definedName name="list_sehingga_18012011" localSheetId="9">#REF!</definedName>
    <definedName name="list_sehingga_18012011">#REF!</definedName>
    <definedName name="ll" localSheetId="0">#REF!</definedName>
    <definedName name="ll" localSheetId="16">#REF!</definedName>
    <definedName name="ll" localSheetId="17">#REF!</definedName>
    <definedName name="ll" localSheetId="18">#REF!</definedName>
    <definedName name="ll" localSheetId="19">#REF!</definedName>
    <definedName name="ll" localSheetId="21">#REF!</definedName>
    <definedName name="ll" localSheetId="22">#REF!</definedName>
    <definedName name="ll" localSheetId="1">#REF!</definedName>
    <definedName name="ll" localSheetId="2">#REF!</definedName>
    <definedName name="ll" localSheetId="4">#REF!</definedName>
    <definedName name="ll" localSheetId="48">#REF!</definedName>
    <definedName name="ll" localSheetId="52">#REF!</definedName>
    <definedName name="ll" localSheetId="68">#REF!</definedName>
    <definedName name="ll" localSheetId="71">#REF!</definedName>
    <definedName name="ll" localSheetId="76">#REF!</definedName>
    <definedName name="ll" localSheetId="78">#REF!</definedName>
    <definedName name="ll" localSheetId="79">#REF!</definedName>
    <definedName name="ll" localSheetId="82">#REF!</definedName>
    <definedName name="ll" localSheetId="85">#REF!</definedName>
    <definedName name="ll" localSheetId="86">#REF!</definedName>
    <definedName name="ll" localSheetId="87">#REF!</definedName>
    <definedName name="ll" localSheetId="8">#REF!</definedName>
    <definedName name="ll" localSheetId="9">#REF!</definedName>
    <definedName name="ll">#REF!</definedName>
    <definedName name="LLL" localSheetId="0">#REF!</definedName>
    <definedName name="LLL" localSheetId="18">#REF!</definedName>
    <definedName name="LLL" localSheetId="19">#REF!</definedName>
    <definedName name="LLL" localSheetId="21">#REF!</definedName>
    <definedName name="LLL" localSheetId="22">#REF!</definedName>
    <definedName name="LLL" localSheetId="1">#REF!</definedName>
    <definedName name="LLL" localSheetId="2">#REF!</definedName>
    <definedName name="LLL" localSheetId="4">#REF!</definedName>
    <definedName name="LLL" localSheetId="48">#REF!</definedName>
    <definedName name="LLL" localSheetId="68">#REF!</definedName>
    <definedName name="LLL" localSheetId="71">#REF!</definedName>
    <definedName name="LLL" localSheetId="76">#REF!</definedName>
    <definedName name="LLL" localSheetId="78">#REF!</definedName>
    <definedName name="LLL" localSheetId="79">#REF!</definedName>
    <definedName name="LLL" localSheetId="82">#REF!</definedName>
    <definedName name="LLL" localSheetId="85">#REF!</definedName>
    <definedName name="LLL" localSheetId="86">#REF!</definedName>
    <definedName name="LLL" localSheetId="87">#REF!</definedName>
    <definedName name="LLL" localSheetId="8">#REF!</definedName>
    <definedName name="LLL" localSheetId="9">#REF!</definedName>
    <definedName name="LLL">#REF!</definedName>
    <definedName name="m" localSheetId="0" hidden="1">'[18]4.9'!#REF!</definedName>
    <definedName name="m" localSheetId="18" hidden="1">'[18]4.9'!#REF!</definedName>
    <definedName name="m" localSheetId="19" hidden="1">'[18]4.9'!#REF!</definedName>
    <definedName name="m" localSheetId="21" hidden="1">'[18]4.9'!#REF!</definedName>
    <definedName name="m" localSheetId="22">#REF!</definedName>
    <definedName name="m" localSheetId="1" hidden="1">'[18]4.9'!#REF!</definedName>
    <definedName name="m" localSheetId="2" hidden="1">'[18]4.9'!#REF!</definedName>
    <definedName name="m" localSheetId="4" hidden="1">'[19]4.9'!#REF!</definedName>
    <definedName name="m" localSheetId="48" hidden="1">'[18]4.9'!#REF!</definedName>
    <definedName name="m" localSheetId="6" hidden="1">'[16]4.9'!#REF!</definedName>
    <definedName name="m" localSheetId="68" hidden="1">'[18]4.9'!#REF!</definedName>
    <definedName name="m" localSheetId="71" hidden="1">'[18]4.9'!#REF!</definedName>
    <definedName name="m" localSheetId="76" hidden="1">'[18]4.9'!#REF!</definedName>
    <definedName name="m" localSheetId="82" hidden="1">'[18]4.9'!#REF!</definedName>
    <definedName name="m" localSheetId="7" hidden="1">'[16]4.9'!#REF!</definedName>
    <definedName name="m" localSheetId="85" hidden="1">'[18]4.9'!#REF!</definedName>
    <definedName name="m" localSheetId="86" hidden="1">'[18]4.9'!#REF!</definedName>
    <definedName name="m" localSheetId="87" hidden="1">'[18]4.9'!#REF!</definedName>
    <definedName name="m" localSheetId="8" hidden="1">'[18]4.9'!#REF!</definedName>
    <definedName name="m" localSheetId="9" hidden="1">'[18]4.9'!#REF!</definedName>
    <definedName name="m" hidden="1">'[18]4.9'!#REF!</definedName>
    <definedName name="malaysia3" localSheetId="0" hidden="1">'[27]7.6'!#REF!</definedName>
    <definedName name="malaysia3" localSheetId="16" hidden="1">'[27]7.6'!#REF!</definedName>
    <definedName name="malaysia3" localSheetId="17" hidden="1">'[27]7.6'!#REF!</definedName>
    <definedName name="malaysia3" localSheetId="18" hidden="1">'[27]7.6'!#REF!</definedName>
    <definedName name="malaysia3" localSheetId="19" hidden="1">'[27]7.6'!#REF!</definedName>
    <definedName name="malaysia3" localSheetId="21" hidden="1">'[27]7.6'!#REF!</definedName>
    <definedName name="malaysia3" localSheetId="22">#REF!</definedName>
    <definedName name="malaysia3" localSheetId="1" hidden="1">'[27]7.6'!#REF!</definedName>
    <definedName name="malaysia3" localSheetId="2" hidden="1">'[27]7.6'!#REF!</definedName>
    <definedName name="malaysia3" localSheetId="4" hidden="1">'[26]7.6'!#REF!</definedName>
    <definedName name="malaysia3" localSheetId="48" hidden="1">'[27]7.6'!#REF!</definedName>
    <definedName name="malaysia3" localSheetId="52" hidden="1">'[35]7.6'!#REF!</definedName>
    <definedName name="malaysia3" localSheetId="6" hidden="1">'[27]7.6'!#REF!</definedName>
    <definedName name="malaysia3" localSheetId="68" hidden="1">'[27]7.6'!#REF!</definedName>
    <definedName name="malaysia3" localSheetId="71" hidden="1">'[27]7.6'!#REF!</definedName>
    <definedName name="malaysia3" localSheetId="76" hidden="1">'[27]7.6'!#REF!</definedName>
    <definedName name="malaysia3" localSheetId="82" hidden="1">'[27]7.6'!#REF!</definedName>
    <definedName name="malaysia3" localSheetId="7" hidden="1">'[27]7.6'!#REF!</definedName>
    <definedName name="malaysia3" localSheetId="85" hidden="1">'[27]7.6'!#REF!</definedName>
    <definedName name="malaysia3" localSheetId="86" hidden="1">'[27]7.6'!#REF!</definedName>
    <definedName name="malaysia3" localSheetId="87" hidden="1">'[27]7.6'!#REF!</definedName>
    <definedName name="malaysia3" localSheetId="8" hidden="1">'[27]7.6'!#REF!</definedName>
    <definedName name="malaysia3" localSheetId="9" hidden="1">'[27]7.6'!#REF!</definedName>
    <definedName name="malaysia3" hidden="1">'[27]7.6'!#REF!</definedName>
    <definedName name="match_sampel_icdt" localSheetId="0">#REF!</definedName>
    <definedName name="match_sampel_icdt" localSheetId="16">#REF!</definedName>
    <definedName name="match_sampel_icdt" localSheetId="17">#REF!</definedName>
    <definedName name="match_sampel_icdt" localSheetId="18">#REF!</definedName>
    <definedName name="match_sampel_icdt" localSheetId="19">#REF!</definedName>
    <definedName name="match_sampel_icdt" localSheetId="21">#REF!</definedName>
    <definedName name="match_sampel_icdt" localSheetId="22">#REF!</definedName>
    <definedName name="match_sampel_icdt" localSheetId="1">#REF!</definedName>
    <definedName name="match_sampel_icdt" localSheetId="2">#REF!</definedName>
    <definedName name="match_sampel_icdt" localSheetId="4">#REF!</definedName>
    <definedName name="match_sampel_icdt" localSheetId="48">#REF!</definedName>
    <definedName name="match_sampel_icdt" localSheetId="52">#REF!</definedName>
    <definedName name="match_sampel_icdt" localSheetId="6">#REF!</definedName>
    <definedName name="match_sampel_icdt" localSheetId="68">#REF!</definedName>
    <definedName name="match_sampel_icdt" localSheetId="71">#REF!</definedName>
    <definedName name="match_sampel_icdt" localSheetId="76">#REF!</definedName>
    <definedName name="match_sampel_icdt" localSheetId="78">#REF!</definedName>
    <definedName name="match_sampel_icdt" localSheetId="79">#REF!</definedName>
    <definedName name="match_sampel_icdt" localSheetId="82">#REF!</definedName>
    <definedName name="match_sampel_icdt" localSheetId="7">#REF!</definedName>
    <definedName name="match_sampel_icdt" localSheetId="85">#REF!</definedName>
    <definedName name="match_sampel_icdt" localSheetId="86">#REF!</definedName>
    <definedName name="match_sampel_icdt" localSheetId="87">#REF!</definedName>
    <definedName name="match_sampel_icdt" localSheetId="8">#REF!</definedName>
    <definedName name="match_sampel_icdt" localSheetId="9">#REF!</definedName>
    <definedName name="match_sampel_icdt">#REF!</definedName>
    <definedName name="mg" localSheetId="0" hidden="1">'[40]4.9'!#REF!</definedName>
    <definedName name="mg" localSheetId="18" hidden="1">'[40]4.9'!#REF!</definedName>
    <definedName name="mg" localSheetId="19" hidden="1">'[40]4.9'!#REF!</definedName>
    <definedName name="mg" localSheetId="21" hidden="1">'[40]4.9'!#REF!</definedName>
    <definedName name="mg" localSheetId="22">#REF!</definedName>
    <definedName name="mg" localSheetId="1" hidden="1">'[40]4.9'!#REF!</definedName>
    <definedName name="mg" localSheetId="2" hidden="1">'[40]4.9'!#REF!</definedName>
    <definedName name="mg" localSheetId="4" hidden="1">'[41]4.9'!#REF!</definedName>
    <definedName name="mg" localSheetId="48" hidden="1">'[40]4.9'!#REF!</definedName>
    <definedName name="mg" localSheetId="6" hidden="1">'[37]4.9'!#REF!</definedName>
    <definedName name="mg" localSheetId="68" hidden="1">'[40]4.9'!#REF!</definedName>
    <definedName name="mg" localSheetId="71" hidden="1">'[40]4.9'!#REF!</definedName>
    <definedName name="mg" localSheetId="76" hidden="1">'[40]4.9'!#REF!</definedName>
    <definedName name="mg" localSheetId="82" hidden="1">'[40]4.9'!#REF!</definedName>
    <definedName name="mg" localSheetId="7" hidden="1">'[37]4.9'!#REF!</definedName>
    <definedName name="mg" localSheetId="85" hidden="1">'[40]4.9'!#REF!</definedName>
    <definedName name="mg" localSheetId="86" hidden="1">'[40]4.9'!#REF!</definedName>
    <definedName name="mg" localSheetId="87" hidden="1">'[40]4.9'!#REF!</definedName>
    <definedName name="mg" localSheetId="8" hidden="1">'[40]4.9'!#REF!</definedName>
    <definedName name="mg" localSheetId="9" hidden="1">'[40]4.9'!#REF!</definedName>
    <definedName name="mg" hidden="1">'[40]4.9'!#REF!</definedName>
    <definedName name="mmm" localSheetId="0">#REF!</definedName>
    <definedName name="mmm" localSheetId="18">#REF!</definedName>
    <definedName name="mmm" localSheetId="19">#REF!</definedName>
    <definedName name="mmm" localSheetId="21">#REF!</definedName>
    <definedName name="mmm" localSheetId="22">#REF!</definedName>
    <definedName name="mmm" localSheetId="1">#REF!</definedName>
    <definedName name="mmm" localSheetId="2">#REF!</definedName>
    <definedName name="mmm" localSheetId="4">#REF!</definedName>
    <definedName name="mmm" localSheetId="48">#REF!</definedName>
    <definedName name="mmm" localSheetId="6">#REF!</definedName>
    <definedName name="mmm" localSheetId="68">#REF!</definedName>
    <definedName name="mmm" localSheetId="71">#REF!</definedName>
    <definedName name="mmm" localSheetId="76">#REF!</definedName>
    <definedName name="mmm" localSheetId="78">#REF!</definedName>
    <definedName name="mmm" localSheetId="79">#REF!</definedName>
    <definedName name="mmm" localSheetId="82">#REF!</definedName>
    <definedName name="mmm" localSheetId="85">#REF!</definedName>
    <definedName name="mmm" localSheetId="86">#REF!</definedName>
    <definedName name="mmm" localSheetId="87">#REF!</definedName>
    <definedName name="mmm" localSheetId="8">#REF!</definedName>
    <definedName name="mmm" localSheetId="9">#REF!</definedName>
    <definedName name="mmm">#REF!</definedName>
    <definedName name="mmmt" localSheetId="0">#REF!</definedName>
    <definedName name="mmmt" localSheetId="18">#REF!</definedName>
    <definedName name="mmmt" localSheetId="19">#REF!</definedName>
    <definedName name="mmmt" localSheetId="21">#REF!</definedName>
    <definedName name="mmmt" localSheetId="22">#REF!</definedName>
    <definedName name="mmmt" localSheetId="1">#REF!</definedName>
    <definedName name="mmmt" localSheetId="2">#REF!</definedName>
    <definedName name="mmmt" localSheetId="4">#REF!</definedName>
    <definedName name="mmmt" localSheetId="48">#REF!</definedName>
    <definedName name="mmmt" localSheetId="6">#REF!</definedName>
    <definedName name="mmmt" localSheetId="68">#REF!</definedName>
    <definedName name="mmmt" localSheetId="71">#REF!</definedName>
    <definedName name="mmmt" localSheetId="76">#REF!</definedName>
    <definedName name="mmmt" localSheetId="78">#REF!</definedName>
    <definedName name="mmmt" localSheetId="79">#REF!</definedName>
    <definedName name="mmmt" localSheetId="82">#REF!</definedName>
    <definedName name="mmmt" localSheetId="85">#REF!</definedName>
    <definedName name="mmmt" localSheetId="86">#REF!</definedName>
    <definedName name="mmmt" localSheetId="87">#REF!</definedName>
    <definedName name="mmmt" localSheetId="8">#REF!</definedName>
    <definedName name="mmmt" localSheetId="9">#REF!</definedName>
    <definedName name="mmmt">#REF!</definedName>
    <definedName name="msic_complete" localSheetId="0">#REF!</definedName>
    <definedName name="msic_complete" localSheetId="16">#REF!</definedName>
    <definedName name="msic_complete" localSheetId="17">#REF!</definedName>
    <definedName name="msic_complete" localSheetId="18">#REF!</definedName>
    <definedName name="msic_complete" localSheetId="19">#REF!</definedName>
    <definedName name="msic_complete" localSheetId="21">#REF!</definedName>
    <definedName name="msic_complete" localSheetId="22">#REF!</definedName>
    <definedName name="msic_complete" localSheetId="1">#REF!</definedName>
    <definedName name="msic_complete" localSheetId="2">#REF!</definedName>
    <definedName name="msic_complete" localSheetId="4">#REF!</definedName>
    <definedName name="msic_complete" localSheetId="48">#REF!</definedName>
    <definedName name="msic_complete" localSheetId="52">#REF!</definedName>
    <definedName name="msic_complete" localSheetId="6">#REF!</definedName>
    <definedName name="msic_complete" localSheetId="68">#REF!</definedName>
    <definedName name="msic_complete" localSheetId="71">#REF!</definedName>
    <definedName name="msic_complete" localSheetId="76">#REF!</definedName>
    <definedName name="msic_complete" localSheetId="78">#REF!</definedName>
    <definedName name="msic_complete" localSheetId="79">#REF!</definedName>
    <definedName name="msic_complete" localSheetId="82">#REF!</definedName>
    <definedName name="msic_complete" localSheetId="85">#REF!</definedName>
    <definedName name="msic_complete" localSheetId="86">#REF!</definedName>
    <definedName name="msic_complete" localSheetId="87">#REF!</definedName>
    <definedName name="msic_complete" localSheetId="8">#REF!</definedName>
    <definedName name="msic_complete" localSheetId="9">#REF!</definedName>
    <definedName name="msic_complete">#REF!</definedName>
    <definedName name="msic_complete_new" localSheetId="0">#REF!</definedName>
    <definedName name="msic_complete_new" localSheetId="16">#REF!</definedName>
    <definedName name="msic_complete_new" localSheetId="17">#REF!</definedName>
    <definedName name="msic_complete_new" localSheetId="18">#REF!</definedName>
    <definedName name="msic_complete_new" localSheetId="19">#REF!</definedName>
    <definedName name="msic_complete_new" localSheetId="21">#REF!</definedName>
    <definedName name="msic_complete_new" localSheetId="22">#REF!</definedName>
    <definedName name="msic_complete_new" localSheetId="1">#REF!</definedName>
    <definedName name="msic_complete_new" localSheetId="2">#REF!</definedName>
    <definedName name="msic_complete_new" localSheetId="4">#REF!</definedName>
    <definedName name="msic_complete_new" localSheetId="48">#REF!</definedName>
    <definedName name="msic_complete_new" localSheetId="52">#REF!</definedName>
    <definedName name="msic_complete_new" localSheetId="68">#REF!</definedName>
    <definedName name="msic_complete_new" localSheetId="71">#REF!</definedName>
    <definedName name="msic_complete_new" localSheetId="76">#REF!</definedName>
    <definedName name="msic_complete_new" localSheetId="78">#REF!</definedName>
    <definedName name="msic_complete_new" localSheetId="79">#REF!</definedName>
    <definedName name="msic_complete_new" localSheetId="82">#REF!</definedName>
    <definedName name="msic_complete_new" localSheetId="85">#REF!</definedName>
    <definedName name="msic_complete_new" localSheetId="86">#REF!</definedName>
    <definedName name="msic_complete_new" localSheetId="87">#REF!</definedName>
    <definedName name="msic_complete_new" localSheetId="8">#REF!</definedName>
    <definedName name="msic_complete_new" localSheetId="9">#REF!</definedName>
    <definedName name="msic_complete_new">#REF!</definedName>
    <definedName name="MultiplierFormula" localSheetId="22">#REF!</definedName>
    <definedName name="MultiplierFormula">#N/A</definedName>
    <definedName name="n" localSheetId="0">#REF!</definedName>
    <definedName name="n" localSheetId="16">#REF!</definedName>
    <definedName name="n" localSheetId="17">#REF!</definedName>
    <definedName name="n" localSheetId="18">#REF!</definedName>
    <definedName name="n" localSheetId="19">#REF!</definedName>
    <definedName name="n" localSheetId="21">#REF!</definedName>
    <definedName name="n" localSheetId="22">#REF!</definedName>
    <definedName name="n" localSheetId="1">#REF!</definedName>
    <definedName name="n" localSheetId="2">#REF!</definedName>
    <definedName name="n" localSheetId="4">#REF!</definedName>
    <definedName name="n" localSheetId="48">#REF!</definedName>
    <definedName name="n" localSheetId="52" hidden="1">#REF!</definedName>
    <definedName name="n" localSheetId="6">#REF!</definedName>
    <definedName name="n" localSheetId="68">#REF!</definedName>
    <definedName name="n" localSheetId="71">#REF!</definedName>
    <definedName name="n" localSheetId="76">#REF!</definedName>
    <definedName name="n" localSheetId="78">#REF!</definedName>
    <definedName name="n" localSheetId="79">#REF!</definedName>
    <definedName name="n" localSheetId="82">#REF!</definedName>
    <definedName name="n" localSheetId="85">#REF!</definedName>
    <definedName name="n" localSheetId="86">#REF!</definedName>
    <definedName name="n" localSheetId="87">#REF!</definedName>
    <definedName name="n" localSheetId="8">#REF!</definedName>
    <definedName name="n" localSheetId="9">#REF!</definedName>
    <definedName name="n">#REF!</definedName>
    <definedName name="nama" localSheetId="0">#REF!</definedName>
    <definedName name="nama" localSheetId="16">#REF!</definedName>
    <definedName name="nama" localSheetId="17">#REF!</definedName>
    <definedName name="nama" localSheetId="18">#REF!</definedName>
    <definedName name="nama" localSheetId="19">#REF!</definedName>
    <definedName name="nama" localSheetId="21">#REF!</definedName>
    <definedName name="nama" localSheetId="22">#REF!</definedName>
    <definedName name="nama" localSheetId="1">#REF!</definedName>
    <definedName name="nama" localSheetId="2">#REF!</definedName>
    <definedName name="nama" localSheetId="4">#REF!</definedName>
    <definedName name="nama" localSheetId="48">#REF!</definedName>
    <definedName name="nama" localSheetId="52">#REF!</definedName>
    <definedName name="nama" localSheetId="6">#REF!</definedName>
    <definedName name="nama" localSheetId="68">#REF!</definedName>
    <definedName name="nama" localSheetId="71">#REF!</definedName>
    <definedName name="nama" localSheetId="76">#REF!</definedName>
    <definedName name="nama" localSheetId="78">#REF!</definedName>
    <definedName name="nama" localSheetId="79">#REF!</definedName>
    <definedName name="nama" localSheetId="82">#REF!</definedName>
    <definedName name="nama" localSheetId="85">#REF!</definedName>
    <definedName name="nama" localSheetId="86">#REF!</definedName>
    <definedName name="nama" localSheetId="87">#REF!</definedName>
    <definedName name="nama" localSheetId="8">#REF!</definedName>
    <definedName name="nama" localSheetId="9">#REF!</definedName>
    <definedName name="nama">#REF!</definedName>
    <definedName name="nbbb" localSheetId="0">#REF!</definedName>
    <definedName name="nbbb" localSheetId="18">#REF!</definedName>
    <definedName name="nbbb" localSheetId="19">#REF!</definedName>
    <definedName name="nbbb" localSheetId="21">#REF!</definedName>
    <definedName name="nbbb" localSheetId="22">#REF!</definedName>
    <definedName name="nbbb" localSheetId="1">#REF!</definedName>
    <definedName name="nbbb" localSheetId="2">#REF!</definedName>
    <definedName name="nbbb" localSheetId="4">#REF!</definedName>
    <definedName name="nbbb" localSheetId="48">#REF!</definedName>
    <definedName name="nbbb" localSheetId="6">#REF!</definedName>
    <definedName name="nbbb" localSheetId="68">#REF!</definedName>
    <definedName name="nbbb" localSheetId="71">#REF!</definedName>
    <definedName name="nbbb" localSheetId="76">#REF!</definedName>
    <definedName name="nbbb" localSheetId="78">#REF!</definedName>
    <definedName name="nbbb" localSheetId="79">#REF!</definedName>
    <definedName name="nbbb" localSheetId="82">#REF!</definedName>
    <definedName name="nbbb" localSheetId="85">#REF!</definedName>
    <definedName name="nbbb" localSheetId="86">#REF!</definedName>
    <definedName name="nbbb" localSheetId="87">#REF!</definedName>
    <definedName name="nbbb" localSheetId="8">#REF!</definedName>
    <definedName name="nbbb" localSheetId="9">#REF!</definedName>
    <definedName name="nbbb">#REF!</definedName>
    <definedName name="nbngh" localSheetId="0" hidden="1">#REF!</definedName>
    <definedName name="nbngh" localSheetId="18" hidden="1">#REF!</definedName>
    <definedName name="nbngh" localSheetId="19" hidden="1">#REF!</definedName>
    <definedName name="nbngh" localSheetId="21" hidden="1">#REF!</definedName>
    <definedName name="nbngh" localSheetId="22">#REF!</definedName>
    <definedName name="nbngh" localSheetId="1" hidden="1">#REF!</definedName>
    <definedName name="nbngh" localSheetId="2" hidden="1">#REF!</definedName>
    <definedName name="nbngh" localSheetId="4" hidden="1">#REF!</definedName>
    <definedName name="nbngh" localSheetId="48" hidden="1">#REF!</definedName>
    <definedName name="nbngh" localSheetId="68" hidden="1">#REF!</definedName>
    <definedName name="nbngh" localSheetId="71" hidden="1">#REF!</definedName>
    <definedName name="nbngh" localSheetId="76" hidden="1">#REF!</definedName>
    <definedName name="nbngh" localSheetId="78" hidden="1">#REF!</definedName>
    <definedName name="nbngh" localSheetId="79" hidden="1">#REF!</definedName>
    <definedName name="nbngh" localSheetId="82" hidden="1">#REF!</definedName>
    <definedName name="nbngh" localSheetId="85" hidden="1">#REF!</definedName>
    <definedName name="nbngh" localSheetId="86" hidden="1">#REF!</definedName>
    <definedName name="nbngh" localSheetId="87" hidden="1">#REF!</definedName>
    <definedName name="nbngh" localSheetId="8" hidden="1">#REF!</definedName>
    <definedName name="nbngh" localSheetId="9" hidden="1">#REF!</definedName>
    <definedName name="nbngh" hidden="1">#REF!</definedName>
    <definedName name="nbvn" localSheetId="0">#REF!</definedName>
    <definedName name="nbvn" localSheetId="18">#REF!</definedName>
    <definedName name="nbvn" localSheetId="19">#REF!</definedName>
    <definedName name="nbvn" localSheetId="21">#REF!</definedName>
    <definedName name="nbvn" localSheetId="22">#REF!</definedName>
    <definedName name="nbvn" localSheetId="1">#REF!</definedName>
    <definedName name="nbvn" localSheetId="2">#REF!</definedName>
    <definedName name="nbvn" localSheetId="4">#REF!</definedName>
    <definedName name="nbvn" localSheetId="48">#REF!</definedName>
    <definedName name="nbvn" localSheetId="68">#REF!</definedName>
    <definedName name="nbvn" localSheetId="71">#REF!</definedName>
    <definedName name="nbvn" localSheetId="76">#REF!</definedName>
    <definedName name="nbvn" localSheetId="78">#REF!</definedName>
    <definedName name="nbvn" localSheetId="79">#REF!</definedName>
    <definedName name="nbvn" localSheetId="82">#REF!</definedName>
    <definedName name="nbvn" localSheetId="85">#REF!</definedName>
    <definedName name="nbvn" localSheetId="86">#REF!</definedName>
    <definedName name="nbvn" localSheetId="87">#REF!</definedName>
    <definedName name="nbvn" localSheetId="8">#REF!</definedName>
    <definedName name="nbvn" localSheetId="9">#REF!</definedName>
    <definedName name="nbvn">#REF!</definedName>
    <definedName name="new" localSheetId="18">#REF!</definedName>
    <definedName name="new" localSheetId="19">#REF!</definedName>
    <definedName name="new" localSheetId="21">#REF!</definedName>
    <definedName name="new" localSheetId="22">#REF!</definedName>
    <definedName name="new" localSheetId="1">#REF!</definedName>
    <definedName name="new" localSheetId="2">#REF!</definedName>
    <definedName name="new" localSheetId="4">#REF!</definedName>
    <definedName name="new" localSheetId="48">#REF!</definedName>
    <definedName name="new" localSheetId="68">#REF!</definedName>
    <definedName name="new" localSheetId="71">#REF!</definedName>
    <definedName name="new" localSheetId="76">#REF!</definedName>
    <definedName name="new" localSheetId="78">#REF!</definedName>
    <definedName name="new" localSheetId="79">#REF!</definedName>
    <definedName name="new" localSheetId="82">#REF!</definedName>
    <definedName name="new" localSheetId="85">#REF!</definedName>
    <definedName name="new" localSheetId="86">#REF!</definedName>
    <definedName name="new" localSheetId="87">#REF!</definedName>
    <definedName name="new" localSheetId="8">#REF!</definedName>
    <definedName name="new" localSheetId="9">#REF!</definedName>
    <definedName name="new">#REF!</definedName>
    <definedName name="NGDBBP" localSheetId="0">#REF!</definedName>
    <definedName name="NGDBBP" localSheetId="16">#REF!</definedName>
    <definedName name="NGDBBP" localSheetId="17">#REF!</definedName>
    <definedName name="NGDBBP" localSheetId="18">#REF!</definedName>
    <definedName name="NGDBBP" localSheetId="19">#REF!</definedName>
    <definedName name="NGDBBP" localSheetId="21">#REF!</definedName>
    <definedName name="NGDBBP" localSheetId="22">#REF!</definedName>
    <definedName name="NGDBBP" localSheetId="1">#REF!</definedName>
    <definedName name="NGDBBP" localSheetId="2">#REF!</definedName>
    <definedName name="NGDBBP" localSheetId="4">#REF!</definedName>
    <definedName name="NGDBBP" localSheetId="48">#REF!</definedName>
    <definedName name="NGDBBP" localSheetId="52">#REF!</definedName>
    <definedName name="NGDBBP" localSheetId="68">#REF!</definedName>
    <definedName name="NGDBBP" localSheetId="71">#REF!</definedName>
    <definedName name="NGDBBP" localSheetId="76">#REF!</definedName>
    <definedName name="NGDBBP" localSheetId="78">#REF!</definedName>
    <definedName name="NGDBBP" localSheetId="79">#REF!</definedName>
    <definedName name="NGDBBP" localSheetId="82">#REF!</definedName>
    <definedName name="NGDBBP" localSheetId="85">#REF!</definedName>
    <definedName name="NGDBBP" localSheetId="86">#REF!</definedName>
    <definedName name="NGDBBP" localSheetId="87">#REF!</definedName>
    <definedName name="NGDBBP" localSheetId="8">#REF!</definedName>
    <definedName name="NGDBBP" localSheetId="9">#REF!</definedName>
    <definedName name="NGDBBP">#REF!</definedName>
    <definedName name="niira" localSheetId="0">#REF!</definedName>
    <definedName name="niira" localSheetId="18">#REF!</definedName>
    <definedName name="niira" localSheetId="19">#REF!</definedName>
    <definedName name="niira" localSheetId="21">#REF!</definedName>
    <definedName name="niira" localSheetId="22">#REF!</definedName>
    <definedName name="niira" localSheetId="1">#REF!</definedName>
    <definedName name="niira" localSheetId="2">#REF!</definedName>
    <definedName name="niira" localSheetId="4">#REF!</definedName>
    <definedName name="niira" localSheetId="48">#REF!</definedName>
    <definedName name="niira" localSheetId="68">#REF!</definedName>
    <definedName name="niira" localSheetId="71">#REF!</definedName>
    <definedName name="niira" localSheetId="76">#REF!</definedName>
    <definedName name="niira" localSheetId="78">#REF!</definedName>
    <definedName name="niira" localSheetId="79">#REF!</definedName>
    <definedName name="niira" localSheetId="82">#REF!</definedName>
    <definedName name="niira" localSheetId="85">#REF!</definedName>
    <definedName name="niira" localSheetId="86">#REF!</definedName>
    <definedName name="niira" localSheetId="87">#REF!</definedName>
    <definedName name="niira" localSheetId="8">#REF!</definedName>
    <definedName name="niira" localSheetId="9">#REF!</definedName>
    <definedName name="niira">#REF!</definedName>
    <definedName name="njy" localSheetId="0">#REF!</definedName>
    <definedName name="njy" localSheetId="18">#REF!</definedName>
    <definedName name="njy" localSheetId="19">#REF!</definedName>
    <definedName name="njy" localSheetId="21">#REF!</definedName>
    <definedName name="njy" localSheetId="22">#REF!</definedName>
    <definedName name="njy" localSheetId="1">#REF!</definedName>
    <definedName name="njy" localSheetId="2">#REF!</definedName>
    <definedName name="njy" localSheetId="4">#REF!</definedName>
    <definedName name="njy" localSheetId="48">#REF!</definedName>
    <definedName name="njy" localSheetId="68">#REF!</definedName>
    <definedName name="njy" localSheetId="71">#REF!</definedName>
    <definedName name="njy" localSheetId="76">#REF!</definedName>
    <definedName name="njy" localSheetId="78">#REF!</definedName>
    <definedName name="njy" localSheetId="79">#REF!</definedName>
    <definedName name="njy" localSheetId="82">#REF!</definedName>
    <definedName name="njy" localSheetId="85">#REF!</definedName>
    <definedName name="njy" localSheetId="86">#REF!</definedName>
    <definedName name="njy" localSheetId="87">#REF!</definedName>
    <definedName name="njy" localSheetId="8">#REF!</definedName>
    <definedName name="njy" localSheetId="9">#REF!</definedName>
    <definedName name="njy">#REF!</definedName>
    <definedName name="nnngf" localSheetId="0">#REF!</definedName>
    <definedName name="nnngf" localSheetId="18">#REF!</definedName>
    <definedName name="nnngf" localSheetId="19">#REF!</definedName>
    <definedName name="nnngf" localSheetId="21">#REF!</definedName>
    <definedName name="nnngf" localSheetId="22">#REF!</definedName>
    <definedName name="nnngf" localSheetId="1">#REF!</definedName>
    <definedName name="nnngf" localSheetId="2">#REF!</definedName>
    <definedName name="nnngf" localSheetId="4">#REF!</definedName>
    <definedName name="nnngf" localSheetId="48">#REF!</definedName>
    <definedName name="nnngf" localSheetId="68">#REF!</definedName>
    <definedName name="nnngf" localSheetId="71">#REF!</definedName>
    <definedName name="nnngf" localSheetId="76">#REF!</definedName>
    <definedName name="nnngf" localSheetId="78">#REF!</definedName>
    <definedName name="nnngf" localSheetId="79">#REF!</definedName>
    <definedName name="nnngf" localSheetId="82">#REF!</definedName>
    <definedName name="nnngf" localSheetId="85">#REF!</definedName>
    <definedName name="nnngf" localSheetId="86">#REF!</definedName>
    <definedName name="nnngf" localSheetId="87">#REF!</definedName>
    <definedName name="nnngf" localSheetId="8">#REF!</definedName>
    <definedName name="nnngf" localSheetId="9">#REF!</definedName>
    <definedName name="nnngf">#REF!</definedName>
    <definedName name="no" localSheetId="18">#REF!</definedName>
    <definedName name="no" localSheetId="19">#REF!</definedName>
    <definedName name="no" localSheetId="21">#REF!</definedName>
    <definedName name="no" localSheetId="22">#REF!</definedName>
    <definedName name="no" localSheetId="1">#REF!</definedName>
    <definedName name="no" localSheetId="2">#REF!</definedName>
    <definedName name="no" localSheetId="4">#REF!</definedName>
    <definedName name="no" localSheetId="48">#REF!</definedName>
    <definedName name="no" localSheetId="68">#REF!</definedName>
    <definedName name="no" localSheetId="71">#REF!</definedName>
    <definedName name="no" localSheetId="76">#REF!</definedName>
    <definedName name="no" localSheetId="78">#REF!</definedName>
    <definedName name="no" localSheetId="79">#REF!</definedName>
    <definedName name="no" localSheetId="82">#REF!</definedName>
    <definedName name="no" localSheetId="85">#REF!</definedName>
    <definedName name="no" localSheetId="86">#REF!</definedName>
    <definedName name="no" localSheetId="87">#REF!</definedName>
    <definedName name="no" localSheetId="8">#REF!</definedName>
    <definedName name="no" localSheetId="9">#REF!</definedName>
    <definedName name="no">#REF!</definedName>
    <definedName name="noorasiah91" localSheetId="0">#REF!</definedName>
    <definedName name="noorasiah91" localSheetId="16">#REF!</definedName>
    <definedName name="noorasiah91" localSheetId="17">#REF!</definedName>
    <definedName name="noorasiah91" localSheetId="18">#REF!</definedName>
    <definedName name="noorasiah91" localSheetId="19">#REF!</definedName>
    <definedName name="noorasiah91" localSheetId="21">#REF!</definedName>
    <definedName name="noorasiah91" localSheetId="22">#REF!</definedName>
    <definedName name="noorasiah91" localSheetId="1">#REF!</definedName>
    <definedName name="noorasiah91" localSheetId="2">#REF!</definedName>
    <definedName name="noorasiah91" localSheetId="4">#REF!</definedName>
    <definedName name="noorasiah91" localSheetId="48">#REF!</definedName>
    <definedName name="noorasiah91" localSheetId="52">#REF!</definedName>
    <definedName name="noorasiah91" localSheetId="68">#REF!</definedName>
    <definedName name="noorasiah91" localSheetId="71">#REF!</definedName>
    <definedName name="noorasiah91" localSheetId="76">#REF!</definedName>
    <definedName name="noorasiah91" localSheetId="78">#REF!</definedName>
    <definedName name="noorasiah91" localSheetId="79">#REF!</definedName>
    <definedName name="noorasiah91" localSheetId="82">#REF!</definedName>
    <definedName name="noorasiah91" localSheetId="85">#REF!</definedName>
    <definedName name="noorasiah91" localSheetId="86">#REF!</definedName>
    <definedName name="noorasiah91" localSheetId="87">#REF!</definedName>
    <definedName name="noorasiah91" localSheetId="8">#REF!</definedName>
    <definedName name="noorasiah91" localSheetId="9">#REF!</definedName>
    <definedName name="noorasiah91">#REF!</definedName>
    <definedName name="nv" localSheetId="0">#REF!</definedName>
    <definedName name="nv" localSheetId="18">#REF!</definedName>
    <definedName name="nv" localSheetId="19">#REF!</definedName>
    <definedName name="nv" localSheetId="21">#REF!</definedName>
    <definedName name="nv" localSheetId="22">#REF!</definedName>
    <definedName name="nv" localSheetId="1">#REF!</definedName>
    <definedName name="nv" localSheetId="2">#REF!</definedName>
    <definedName name="nv" localSheetId="4">#REF!</definedName>
    <definedName name="nv" localSheetId="48">#REF!</definedName>
    <definedName name="nv" localSheetId="68">#REF!</definedName>
    <definedName name="nv" localSheetId="71">#REF!</definedName>
    <definedName name="nv" localSheetId="76">#REF!</definedName>
    <definedName name="nv" localSheetId="78">#REF!</definedName>
    <definedName name="nv" localSheetId="79">#REF!</definedName>
    <definedName name="nv" localSheetId="82">#REF!</definedName>
    <definedName name="nv" localSheetId="85">#REF!</definedName>
    <definedName name="nv" localSheetId="86">#REF!</definedName>
    <definedName name="nv" localSheetId="87">#REF!</definedName>
    <definedName name="nv" localSheetId="8">#REF!</definedName>
    <definedName name="nv" localSheetId="9">#REF!</definedName>
    <definedName name="nv">#REF!</definedName>
    <definedName name="nvbnjg" localSheetId="0">#REF!</definedName>
    <definedName name="nvbnjg" localSheetId="18">#REF!</definedName>
    <definedName name="nvbnjg" localSheetId="19">#REF!</definedName>
    <definedName name="nvbnjg" localSheetId="21">#REF!</definedName>
    <definedName name="nvbnjg" localSheetId="22">#REF!</definedName>
    <definedName name="nvbnjg" localSheetId="1">#REF!</definedName>
    <definedName name="nvbnjg" localSheetId="2">#REF!</definedName>
    <definedName name="nvbnjg" localSheetId="4">#REF!</definedName>
    <definedName name="nvbnjg" localSheetId="48">#REF!</definedName>
    <definedName name="nvbnjg" localSheetId="68">#REF!</definedName>
    <definedName name="nvbnjg" localSheetId="71">#REF!</definedName>
    <definedName name="nvbnjg" localSheetId="76">#REF!</definedName>
    <definedName name="nvbnjg" localSheetId="78">#REF!</definedName>
    <definedName name="nvbnjg" localSheetId="79">#REF!</definedName>
    <definedName name="nvbnjg" localSheetId="82">#REF!</definedName>
    <definedName name="nvbnjg" localSheetId="85">#REF!</definedName>
    <definedName name="nvbnjg" localSheetId="86">#REF!</definedName>
    <definedName name="nvbnjg" localSheetId="87">#REF!</definedName>
    <definedName name="nvbnjg" localSheetId="8">#REF!</definedName>
    <definedName name="nvbnjg" localSheetId="9">#REF!</definedName>
    <definedName name="nvbnjg">#REF!</definedName>
    <definedName name="ok" localSheetId="0">#REF!</definedName>
    <definedName name="ok" localSheetId="16">#REF!</definedName>
    <definedName name="ok" localSheetId="17">#REF!</definedName>
    <definedName name="ok" localSheetId="18">#REF!</definedName>
    <definedName name="ok" localSheetId="19">#REF!</definedName>
    <definedName name="ok" localSheetId="21">#REF!</definedName>
    <definedName name="ok" localSheetId="22">#REF!</definedName>
    <definedName name="ok" localSheetId="1">#REF!</definedName>
    <definedName name="ok" localSheetId="2">#REF!</definedName>
    <definedName name="ok" localSheetId="4">#REF!</definedName>
    <definedName name="ok" localSheetId="48">#REF!</definedName>
    <definedName name="ok" localSheetId="52">#REF!</definedName>
    <definedName name="ok" localSheetId="68">#REF!</definedName>
    <definedName name="ok" localSheetId="71">#REF!</definedName>
    <definedName name="ok" localSheetId="76">#REF!</definedName>
    <definedName name="ok" localSheetId="78">#REF!</definedName>
    <definedName name="ok" localSheetId="79">#REF!</definedName>
    <definedName name="ok" localSheetId="82">#REF!</definedName>
    <definedName name="ok" localSheetId="85">#REF!</definedName>
    <definedName name="ok" localSheetId="86">#REF!</definedName>
    <definedName name="ok" localSheetId="87">#REF!</definedName>
    <definedName name="ok" localSheetId="8">#REF!</definedName>
    <definedName name="ok" localSheetId="9">#REF!</definedName>
    <definedName name="ok">#REF!</definedName>
    <definedName name="okt" localSheetId="18">#REF!</definedName>
    <definedName name="okt" localSheetId="19">#REF!</definedName>
    <definedName name="okt" localSheetId="21">#REF!</definedName>
    <definedName name="okt" localSheetId="22">#REF!</definedName>
    <definedName name="okt" localSheetId="1">#REF!</definedName>
    <definedName name="okt" localSheetId="2">#REF!</definedName>
    <definedName name="okt" localSheetId="4">#REF!</definedName>
    <definedName name="okt" localSheetId="48">#REF!</definedName>
    <definedName name="okt" localSheetId="68">#REF!</definedName>
    <definedName name="okt" localSheetId="71">#REF!</definedName>
    <definedName name="okt" localSheetId="76">#REF!</definedName>
    <definedName name="okt" localSheetId="78">#REF!</definedName>
    <definedName name="okt" localSheetId="79">#REF!</definedName>
    <definedName name="okt" localSheetId="82">#REF!</definedName>
    <definedName name="okt" localSheetId="85">#REF!</definedName>
    <definedName name="okt" localSheetId="86">#REF!</definedName>
    <definedName name="okt" localSheetId="87">#REF!</definedName>
    <definedName name="okt" localSheetId="8">#REF!</definedName>
    <definedName name="okt" localSheetId="9">#REF!</definedName>
    <definedName name="okt">#REF!</definedName>
    <definedName name="ooo" localSheetId="0">#REF!</definedName>
    <definedName name="ooo" localSheetId="18">#REF!</definedName>
    <definedName name="ooo" localSheetId="19">#REF!</definedName>
    <definedName name="ooo" localSheetId="21">#REF!</definedName>
    <definedName name="ooo" localSheetId="22">#REF!</definedName>
    <definedName name="ooo" localSheetId="1">#REF!</definedName>
    <definedName name="ooo" localSheetId="2">#REF!</definedName>
    <definedName name="ooo" localSheetId="4">#REF!</definedName>
    <definedName name="ooo" localSheetId="48">#REF!</definedName>
    <definedName name="ooo" localSheetId="68">#REF!</definedName>
    <definedName name="ooo" localSheetId="71">#REF!</definedName>
    <definedName name="ooo" localSheetId="76">#REF!</definedName>
    <definedName name="ooo" localSheetId="78">#REF!</definedName>
    <definedName name="ooo" localSheetId="79">#REF!</definedName>
    <definedName name="ooo" localSheetId="82">#REF!</definedName>
    <definedName name="ooo" localSheetId="85">#REF!</definedName>
    <definedName name="ooo" localSheetId="86">#REF!</definedName>
    <definedName name="ooo" localSheetId="87">#REF!</definedName>
    <definedName name="ooo" localSheetId="8">#REF!</definedName>
    <definedName name="ooo" localSheetId="9">#REF!</definedName>
    <definedName name="ooo">#REF!</definedName>
    <definedName name="oooo" localSheetId="0">#REF!</definedName>
    <definedName name="oooo" localSheetId="16">#REF!</definedName>
    <definedName name="oooo" localSheetId="17">#REF!</definedName>
    <definedName name="oooo" localSheetId="18">#REF!</definedName>
    <definedName name="oooo" localSheetId="19">#REF!</definedName>
    <definedName name="oooo" localSheetId="21">#REF!</definedName>
    <definedName name="oooo" localSheetId="22">#REF!</definedName>
    <definedName name="oooo" localSheetId="1">#REF!</definedName>
    <definedName name="oooo" localSheetId="2">#REF!</definedName>
    <definedName name="oooo" localSheetId="4">#REF!</definedName>
    <definedName name="oooo" localSheetId="48">#REF!</definedName>
    <definedName name="oooo" localSheetId="52">#REF!</definedName>
    <definedName name="oooo" localSheetId="68">#REF!</definedName>
    <definedName name="oooo" localSheetId="71">#REF!</definedName>
    <definedName name="oooo" localSheetId="76">#REF!</definedName>
    <definedName name="oooo" localSheetId="78">#REF!</definedName>
    <definedName name="oooo" localSheetId="79">#REF!</definedName>
    <definedName name="oooo" localSheetId="82">#REF!</definedName>
    <definedName name="oooo" localSheetId="85">#REF!</definedName>
    <definedName name="oooo" localSheetId="86">#REF!</definedName>
    <definedName name="oooo" localSheetId="87">#REF!</definedName>
    <definedName name="oooo" localSheetId="8">#REF!</definedName>
    <definedName name="oooo" localSheetId="9">#REF!</definedName>
    <definedName name="oooo">#REF!</definedName>
    <definedName name="ooooo" localSheetId="0">#REF!</definedName>
    <definedName name="ooooo" localSheetId="18">#REF!</definedName>
    <definedName name="ooooo" localSheetId="19">#REF!</definedName>
    <definedName name="ooooo" localSheetId="21">#REF!</definedName>
    <definedName name="ooooo" localSheetId="22">#REF!</definedName>
    <definedName name="ooooo" localSheetId="1">#REF!</definedName>
    <definedName name="ooooo" localSheetId="2">#REF!</definedName>
    <definedName name="ooooo" localSheetId="4">#REF!</definedName>
    <definedName name="ooooo" localSheetId="48">#REF!</definedName>
    <definedName name="ooooo" localSheetId="68">#REF!</definedName>
    <definedName name="ooooo" localSheetId="71">#REF!</definedName>
    <definedName name="ooooo" localSheetId="76">#REF!</definedName>
    <definedName name="ooooo" localSheetId="78">#REF!</definedName>
    <definedName name="ooooo" localSheetId="79">#REF!</definedName>
    <definedName name="ooooo" localSheetId="82">#REF!</definedName>
    <definedName name="ooooo" localSheetId="85">#REF!</definedName>
    <definedName name="ooooo" localSheetId="86">#REF!</definedName>
    <definedName name="ooooo" localSheetId="87">#REF!</definedName>
    <definedName name="ooooo" localSheetId="8">#REF!</definedName>
    <definedName name="ooooo" localSheetId="9">#REF!</definedName>
    <definedName name="ooooo">#REF!</definedName>
    <definedName name="oop" localSheetId="0">#REF!</definedName>
    <definedName name="oop" localSheetId="18">#REF!</definedName>
    <definedName name="oop" localSheetId="19">#REF!</definedName>
    <definedName name="oop" localSheetId="21">#REF!</definedName>
    <definedName name="oop" localSheetId="22">#REF!</definedName>
    <definedName name="oop" localSheetId="1">#REF!</definedName>
    <definedName name="oop" localSheetId="2">#REF!</definedName>
    <definedName name="oop" localSheetId="4">#REF!</definedName>
    <definedName name="oop" localSheetId="48">#REF!</definedName>
    <definedName name="oop" localSheetId="68">#REF!</definedName>
    <definedName name="oop" localSheetId="71">#REF!</definedName>
    <definedName name="oop" localSheetId="76">#REF!</definedName>
    <definedName name="oop" localSheetId="78">#REF!</definedName>
    <definedName name="oop" localSheetId="79">#REF!</definedName>
    <definedName name="oop" localSheetId="82">#REF!</definedName>
    <definedName name="oop" localSheetId="85">#REF!</definedName>
    <definedName name="oop" localSheetId="86">#REF!</definedName>
    <definedName name="oop" localSheetId="87">#REF!</definedName>
    <definedName name="oop" localSheetId="8">#REF!</definedName>
    <definedName name="oop" localSheetId="9">#REF!</definedName>
    <definedName name="oop">#REF!</definedName>
    <definedName name="p" localSheetId="0">#REF!</definedName>
    <definedName name="p" localSheetId="16">#REF!</definedName>
    <definedName name="p" localSheetId="18">#REF!</definedName>
    <definedName name="p" localSheetId="19">#REF!</definedName>
    <definedName name="p" localSheetId="21">#REF!</definedName>
    <definedName name="p" localSheetId="22">#REF!</definedName>
    <definedName name="p" localSheetId="1">#REF!</definedName>
    <definedName name="p" localSheetId="2">#REF!</definedName>
    <definedName name="p" localSheetId="4">#REF!</definedName>
    <definedName name="p" localSheetId="48">#REF!</definedName>
    <definedName name="p" localSheetId="68">#REF!</definedName>
    <definedName name="p" localSheetId="71">#REF!</definedName>
    <definedName name="p" localSheetId="76">#REF!</definedName>
    <definedName name="p" localSheetId="78">#REF!</definedName>
    <definedName name="p" localSheetId="79">#REF!</definedName>
    <definedName name="p" localSheetId="82">#REF!</definedName>
    <definedName name="p" localSheetId="85">#REF!</definedName>
    <definedName name="p" localSheetId="86">#REF!</definedName>
    <definedName name="p" localSheetId="87">#REF!</definedName>
    <definedName name="p" localSheetId="8">#REF!</definedName>
    <definedName name="p" localSheetId="9">#REF!</definedName>
    <definedName name="p">#REF!</definedName>
    <definedName name="pendidikan" localSheetId="0">#REF!</definedName>
    <definedName name="pendidikan" localSheetId="16">#REF!</definedName>
    <definedName name="pendidikan" localSheetId="17">#REF!</definedName>
    <definedName name="pendidikan" localSheetId="18">#REF!</definedName>
    <definedName name="pendidikan" localSheetId="19">#REF!</definedName>
    <definedName name="pendidikan" localSheetId="21">#REF!</definedName>
    <definedName name="pendidikan" localSheetId="22">#REF!</definedName>
    <definedName name="pendidikan" localSheetId="1">#REF!</definedName>
    <definedName name="pendidikan" localSheetId="2">#REF!</definedName>
    <definedName name="pendidikan" localSheetId="4">#REF!</definedName>
    <definedName name="pendidikan" localSheetId="48">#REF!</definedName>
    <definedName name="pendidikan" localSheetId="52">#REF!</definedName>
    <definedName name="pendidikan" localSheetId="68">#REF!</definedName>
    <definedName name="pendidikan" localSheetId="71">#REF!</definedName>
    <definedName name="pendidikan" localSheetId="76">#REF!</definedName>
    <definedName name="pendidikan" localSheetId="78">#REF!</definedName>
    <definedName name="pendidikan" localSheetId="79">#REF!</definedName>
    <definedName name="pendidikan" localSheetId="82">#REF!</definedName>
    <definedName name="pendidikan" localSheetId="85">#REF!</definedName>
    <definedName name="pendidikan" localSheetId="86">#REF!</definedName>
    <definedName name="pendidikan" localSheetId="87">#REF!</definedName>
    <definedName name="pendidikan" localSheetId="8">#REF!</definedName>
    <definedName name="pendidikan" localSheetId="9">#REF!</definedName>
    <definedName name="pendidikan">#REF!</definedName>
    <definedName name="Perak" localSheetId="0">#REF!</definedName>
    <definedName name="Perak" localSheetId="16">#REF!</definedName>
    <definedName name="Perak" localSheetId="17">#REF!</definedName>
    <definedName name="Perak" localSheetId="18">#REF!</definedName>
    <definedName name="Perak" localSheetId="19">#REF!</definedName>
    <definedName name="Perak" localSheetId="21">#REF!</definedName>
    <definedName name="Perak" localSheetId="22">#REF!</definedName>
    <definedName name="Perak" localSheetId="1">#REF!</definedName>
    <definedName name="Perak" localSheetId="2">#REF!</definedName>
    <definedName name="Perak" localSheetId="4">#REF!</definedName>
    <definedName name="Perak" localSheetId="48">#REF!</definedName>
    <definedName name="Perak" localSheetId="52">#REF!</definedName>
    <definedName name="Perak" localSheetId="68">#REF!</definedName>
    <definedName name="Perak" localSheetId="71">#REF!</definedName>
    <definedName name="Perak" localSheetId="76">#REF!</definedName>
    <definedName name="Perak" localSheetId="78">#REF!</definedName>
    <definedName name="Perak" localSheetId="79">#REF!</definedName>
    <definedName name="Perak" localSheetId="82">#REF!</definedName>
    <definedName name="Perak" localSheetId="85">#REF!</definedName>
    <definedName name="Perak" localSheetId="86">#REF!</definedName>
    <definedName name="Perak" localSheetId="87">#REF!</definedName>
    <definedName name="Perak" localSheetId="8">#REF!</definedName>
    <definedName name="Perak" localSheetId="9">#REF!</definedName>
    <definedName name="Perak">#REF!</definedName>
    <definedName name="perhubungan" localSheetId="18">#REF!</definedName>
    <definedName name="perhubungan" localSheetId="19">#REF!</definedName>
    <definedName name="perhubungan" localSheetId="21">#REF!</definedName>
    <definedName name="perhubungan" localSheetId="22">#REF!</definedName>
    <definedName name="perhubungan" localSheetId="1">#REF!</definedName>
    <definedName name="perhubungan" localSheetId="2">#REF!</definedName>
    <definedName name="perhubungan" localSheetId="4">#REF!</definedName>
    <definedName name="perhubungan" localSheetId="48">#REF!</definedName>
    <definedName name="perhubungan" localSheetId="68">#REF!</definedName>
    <definedName name="perhubungan" localSheetId="71">#REF!</definedName>
    <definedName name="perhubungan" localSheetId="76">#REF!</definedName>
    <definedName name="perhubungan" localSheetId="78">#REF!</definedName>
    <definedName name="perhubungan" localSheetId="79">#REF!</definedName>
    <definedName name="perhubungan" localSheetId="82">#REF!</definedName>
    <definedName name="perhubungan" localSheetId="85">#REF!</definedName>
    <definedName name="perhubungan" localSheetId="86">#REF!</definedName>
    <definedName name="perhubungan" localSheetId="87">#REF!</definedName>
    <definedName name="perhubungan" localSheetId="8">#REF!</definedName>
    <definedName name="perhubungan" localSheetId="9">#REF!</definedName>
    <definedName name="perhubungan">#REF!</definedName>
    <definedName name="PERLIS" localSheetId="0">#REF!</definedName>
    <definedName name="PERLIS" localSheetId="16">#REF!</definedName>
    <definedName name="PERLIS" localSheetId="17">#REF!</definedName>
    <definedName name="PERLIS" localSheetId="18">#REF!</definedName>
    <definedName name="PERLIS" localSheetId="19">#REF!</definedName>
    <definedName name="PERLIS" localSheetId="21">#REF!</definedName>
    <definedName name="PERLIS" localSheetId="22">#REF!</definedName>
    <definedName name="PERLIS" localSheetId="1">#REF!</definedName>
    <definedName name="PERLIS" localSheetId="2">#REF!</definedName>
    <definedName name="PERLIS" localSheetId="4">#REF!</definedName>
    <definedName name="PERLIS" localSheetId="48">#REF!</definedName>
    <definedName name="PERLIS" localSheetId="52">#REF!</definedName>
    <definedName name="PERLIS" localSheetId="68">#REF!</definedName>
    <definedName name="PERLIS" localSheetId="71">#REF!</definedName>
    <definedName name="PERLIS" localSheetId="76">#REF!</definedName>
    <definedName name="PERLIS" localSheetId="78">#REF!</definedName>
    <definedName name="PERLIS" localSheetId="79">#REF!</definedName>
    <definedName name="PERLIS" localSheetId="82">#REF!</definedName>
    <definedName name="PERLIS" localSheetId="85">#REF!</definedName>
    <definedName name="PERLIS" localSheetId="86">#REF!</definedName>
    <definedName name="PERLIS" localSheetId="87">#REF!</definedName>
    <definedName name="PERLIS" localSheetId="8">#REF!</definedName>
    <definedName name="PERLIS" localSheetId="9">#REF!</definedName>
    <definedName name="PERLIS">#REF!</definedName>
    <definedName name="PERMINTAAN_DATA" localSheetId="0">#REF!</definedName>
    <definedName name="PERMINTAAN_DATA" localSheetId="16">#REF!</definedName>
    <definedName name="PERMINTAAN_DATA" localSheetId="17">#REF!</definedName>
    <definedName name="PERMINTAAN_DATA" localSheetId="18">#REF!</definedName>
    <definedName name="PERMINTAAN_DATA" localSheetId="19">#REF!</definedName>
    <definedName name="PERMINTAAN_DATA" localSheetId="21">#REF!</definedName>
    <definedName name="PERMINTAAN_DATA" localSheetId="22">#REF!</definedName>
    <definedName name="PERMINTAAN_DATA" localSheetId="1">#REF!</definedName>
    <definedName name="PERMINTAAN_DATA" localSheetId="2">#REF!</definedName>
    <definedName name="PERMINTAAN_DATA" localSheetId="4">#REF!</definedName>
    <definedName name="PERMINTAAN_DATA" localSheetId="48">#REF!</definedName>
    <definedName name="PERMINTAAN_DATA" localSheetId="52">#REF!</definedName>
    <definedName name="PERMINTAAN_DATA" localSheetId="68">#REF!</definedName>
    <definedName name="PERMINTAAN_DATA" localSheetId="71">#REF!</definedName>
    <definedName name="PERMINTAAN_DATA" localSheetId="76">#REF!</definedName>
    <definedName name="PERMINTAAN_DATA" localSheetId="78">#REF!</definedName>
    <definedName name="PERMINTAAN_DATA" localSheetId="79">#REF!</definedName>
    <definedName name="PERMINTAAN_DATA" localSheetId="82">#REF!</definedName>
    <definedName name="PERMINTAAN_DATA" localSheetId="85">#REF!</definedName>
    <definedName name="PERMINTAAN_DATA" localSheetId="86">#REF!</definedName>
    <definedName name="PERMINTAAN_DATA" localSheetId="87">#REF!</definedName>
    <definedName name="PERMINTAAN_DATA" localSheetId="8">#REF!</definedName>
    <definedName name="PERMINTAAN_DATA" localSheetId="9">#REF!</definedName>
    <definedName name="PERMINTAAN_DATA">#REF!</definedName>
    <definedName name="PERMINTAAN_DATA_KP335" localSheetId="0">#REF!</definedName>
    <definedName name="PERMINTAAN_DATA_KP335" localSheetId="16">#REF!</definedName>
    <definedName name="PERMINTAAN_DATA_KP335" localSheetId="17">#REF!</definedName>
    <definedName name="PERMINTAAN_DATA_KP335" localSheetId="18">#REF!</definedName>
    <definedName name="PERMINTAAN_DATA_KP335" localSheetId="19">#REF!</definedName>
    <definedName name="PERMINTAAN_DATA_KP335" localSheetId="21">#REF!</definedName>
    <definedName name="PERMINTAAN_DATA_KP335" localSheetId="22">#REF!</definedName>
    <definedName name="PERMINTAAN_DATA_KP335" localSheetId="1">#REF!</definedName>
    <definedName name="PERMINTAAN_DATA_KP335" localSheetId="2">#REF!</definedName>
    <definedName name="PERMINTAAN_DATA_KP335" localSheetId="4">#REF!</definedName>
    <definedName name="PERMINTAAN_DATA_KP335" localSheetId="48">#REF!</definedName>
    <definedName name="PERMINTAAN_DATA_KP335" localSheetId="52">#REF!</definedName>
    <definedName name="PERMINTAAN_DATA_KP335" localSheetId="68">#REF!</definedName>
    <definedName name="PERMINTAAN_DATA_KP335" localSheetId="71">#REF!</definedName>
    <definedName name="PERMINTAAN_DATA_KP335" localSheetId="76">#REF!</definedName>
    <definedName name="PERMINTAAN_DATA_KP335" localSheetId="78">#REF!</definedName>
    <definedName name="PERMINTAAN_DATA_KP335" localSheetId="79">#REF!</definedName>
    <definedName name="PERMINTAAN_DATA_KP335" localSheetId="82">#REF!</definedName>
    <definedName name="PERMINTAAN_DATA_KP335" localSheetId="85">#REF!</definedName>
    <definedName name="PERMINTAAN_DATA_KP335" localSheetId="86">#REF!</definedName>
    <definedName name="PERMINTAAN_DATA_KP335" localSheetId="87">#REF!</definedName>
    <definedName name="PERMINTAAN_DATA_KP335" localSheetId="8">#REF!</definedName>
    <definedName name="PERMINTAAN_DATA_KP335" localSheetId="9">#REF!</definedName>
    <definedName name="PERMINTAAN_DATA_KP335">#REF!</definedName>
    <definedName name="pilkjk" localSheetId="0">#REF!</definedName>
    <definedName name="pilkjk" localSheetId="16">#REF!</definedName>
    <definedName name="pilkjk" localSheetId="17">#REF!</definedName>
    <definedName name="pilkjk" localSheetId="18">#REF!</definedName>
    <definedName name="pilkjk" localSheetId="19">#REF!</definedName>
    <definedName name="pilkjk" localSheetId="21">#REF!</definedName>
    <definedName name="pilkjk" localSheetId="22">#REF!</definedName>
    <definedName name="pilkjk" localSheetId="1">#REF!</definedName>
    <definedName name="pilkjk" localSheetId="2">#REF!</definedName>
    <definedName name="pilkjk" localSheetId="4">#REF!</definedName>
    <definedName name="pilkjk" localSheetId="48">#REF!</definedName>
    <definedName name="pilkjk" localSheetId="52">#REF!</definedName>
    <definedName name="pilkjk" localSheetId="68">#REF!</definedName>
    <definedName name="pilkjk" localSheetId="71">#REF!</definedName>
    <definedName name="pilkjk" localSheetId="76">#REF!</definedName>
    <definedName name="pilkjk" localSheetId="78">#REF!</definedName>
    <definedName name="pilkjk" localSheetId="79">#REF!</definedName>
    <definedName name="pilkjk" localSheetId="82">#REF!</definedName>
    <definedName name="pilkjk" localSheetId="85">#REF!</definedName>
    <definedName name="pilkjk" localSheetId="86">#REF!</definedName>
    <definedName name="pilkjk" localSheetId="87">#REF!</definedName>
    <definedName name="pilkjk" localSheetId="8">#REF!</definedName>
    <definedName name="pilkjk" localSheetId="9">#REF!</definedName>
    <definedName name="pilkjk">#REF!</definedName>
    <definedName name="pppp" localSheetId="0" hidden="1">'[24]7.6'!#REF!</definedName>
    <definedName name="pppp" localSheetId="18" hidden="1">'[25]7.6'!#REF!</definedName>
    <definedName name="pppp" localSheetId="19" hidden="1">'[24]7.6'!#REF!</definedName>
    <definedName name="pppp" localSheetId="21" hidden="1">'[25]7.6'!#REF!</definedName>
    <definedName name="pppp" localSheetId="22">#REF!</definedName>
    <definedName name="pppp" localSheetId="1" hidden="1">'[24]7.6'!#REF!</definedName>
    <definedName name="pppp" localSheetId="2" hidden="1">'[24]7.6'!#REF!</definedName>
    <definedName name="pppp" localSheetId="4" hidden="1">'[26]7.6'!#REF!</definedName>
    <definedName name="pppp" localSheetId="39" hidden="1">'[24]7.6'!#REF!</definedName>
    <definedName name="pppp" localSheetId="40" hidden="1">'[24]7.6'!#REF!</definedName>
    <definedName name="pppp" localSheetId="48" hidden="1">'[24]7.6'!#REF!</definedName>
    <definedName name="pppp" localSheetId="6" hidden="1">'[27]7.6'!#REF!</definedName>
    <definedName name="pppp" localSheetId="68" hidden="1">'[24]7.6'!#REF!</definedName>
    <definedName name="pppp" localSheetId="71" hidden="1">'[24]7.6'!#REF!</definedName>
    <definedName name="pppp" localSheetId="76" hidden="1">'[24]7.6'!#REF!</definedName>
    <definedName name="pppp" localSheetId="78" hidden="1">'[24]7.6'!#REF!</definedName>
    <definedName name="pppp" localSheetId="79" hidden="1">'[24]7.6'!#REF!</definedName>
    <definedName name="pppp" localSheetId="82" hidden="1">'[24]7.6'!#REF!</definedName>
    <definedName name="pppp" localSheetId="7" hidden="1">'[27]7.6'!#REF!</definedName>
    <definedName name="pppp" localSheetId="85" hidden="1">'[24]7.6'!#REF!</definedName>
    <definedName name="pppp" localSheetId="86" hidden="1">'[24]7.6'!#REF!</definedName>
    <definedName name="pppp" localSheetId="87" hidden="1">'[24]7.6'!#REF!</definedName>
    <definedName name="pppp" localSheetId="8" hidden="1">'[24]7.6'!#REF!</definedName>
    <definedName name="pppp" localSheetId="9" hidden="1">'[24]7.6'!#REF!</definedName>
    <definedName name="pppp" hidden="1">'[24]7.6'!#REF!</definedName>
    <definedName name="_xlnm.Print_Area" localSheetId="0">'1.0_Maklumat_Asas'!$A$1:$M$52</definedName>
    <definedName name="_xlnm.Print_Area" localSheetId="16">'10.0_IMS'!$A$1:$K$16</definedName>
    <definedName name="_xlnm.Print_Area" localSheetId="17">'11.0_Air_Elektrik_Sampah'!$A$1:$L$52</definedName>
    <definedName name="_xlnm.Print_Area" localSheetId="18">'12.0_Pertubuhan'!$A$1:$N$54</definedName>
    <definedName name="_xlnm.Print_Area" localSheetId="19">'12.1_Prtubuhn_Perkhdmtn'!$A$1:$N$88</definedName>
    <definedName name="_xlnm.Print_Area" localSheetId="20">'12.1_Prtubuhn_Perkhdmtn_1'!$A$1:$O$49</definedName>
    <definedName name="_xlnm.Print_Area" localSheetId="21">'12.2_Kemudahan_Asas'!$A$1:$L$63</definedName>
    <definedName name="_xlnm.Print_Area" localSheetId="22">'13.0_Fasiliti_awam'!$A$1:$O$77</definedName>
    <definedName name="_xlnm.Print_Area" localSheetId="23">'13.0_Fasiliti_awam_1'!$A$1:$O$70</definedName>
    <definedName name="_xlnm.Print_Area" localSheetId="24">'13.1_Statistik_Perkhidmtn_lain'!$A$1:$L$37</definedName>
    <definedName name="_xlnm.Print_Area" localSheetId="27">'14.0_KDNK_1'!$A$1:$H$58</definedName>
    <definedName name="_xlnm.Print_Area" localSheetId="28">'14.0_KDNK_2'!$A$2:$J$74</definedName>
    <definedName name="_xlnm.Print_Area" localSheetId="30">'16.0_Akaun_ SP'!$A$1:$H$74</definedName>
    <definedName name="_xlnm.Print_Area" localSheetId="32">'18.0_Stok_Modal'!$A$1:$H$67</definedName>
    <definedName name="_xlnm.Print_Area" localSheetId="33">'19.0_Imbagn_Pembayaran'!$A$1:$J$59</definedName>
    <definedName name="_xlnm.Print_Area" localSheetId="1">'2.0_Penduduk_Malaysia'!$A$1:$G$63</definedName>
    <definedName name="_xlnm.Print_Area" localSheetId="2">'2.1_Penduduk_Negeri'!$A$1:$G$64</definedName>
    <definedName name="_xlnm.Print_Area" localSheetId="4">'2.3_Penduduk'!$A$1:$L$36</definedName>
    <definedName name="_xlnm.Print_Area" localSheetId="34">'20.0_Eksport_Import'!$A$3:$M$52</definedName>
    <definedName name="_xlnm.Print_Area" localSheetId="36">'22.0_Pasaran_Buruh'!$A$1:$G$35</definedName>
    <definedName name="_xlnm.Print_Area" localSheetId="39">'23.1_Harga_Item_Terpilih'!$A$1:$K$101</definedName>
    <definedName name="_xlnm.Print_Area" localSheetId="40">'23.1_Harga_Item_Terpilih_1'!$A$1:$M$93</definedName>
    <definedName name="_xlnm.Print_Area" localSheetId="41">'24.0_IHPR'!$A$1:$G$56</definedName>
    <definedName name="_xlnm.Print_Area" localSheetId="42">'25.0_Kecederaan_Pekerja'!$A$1:$G$71</definedName>
    <definedName name="_xlnm.Print_Area" localSheetId="44">'26.0_Peratusan_Ahli_Parlimen'!$A$1:$J$31</definedName>
    <definedName name="_xlnm.Print_Area" localSheetId="45">'27.0_Bilangan_Hakim'!$A$1:$J$56</definedName>
    <definedName name="_xlnm.Print_Area" localSheetId="46">'28.0_Bilangan_Hakim_Syariah'!$A$1:$J$41</definedName>
    <definedName name="_xlnm.Print_Area" localSheetId="47">'29.0_Bil_KSU'!$A$1:$I$51</definedName>
    <definedName name="_xlnm.Print_Area" localSheetId="5">'3.0_Perumahan'!$A$1:$M$35</definedName>
    <definedName name="_xlnm.Print_Area" localSheetId="49">'31.0_Jenayah_kekerasan'!$A$1:$J$78</definedName>
    <definedName name="_xlnm.Print_Area" localSheetId="50">'31.1_Jenayah_harta_benda'!$A$1:$K$77</definedName>
    <definedName name="_xlnm.Print_Area" localSheetId="52">'33.0 Oku_kumulatif'!$A$1:$M$89</definedName>
    <definedName name="_xlnm.Print_Area" localSheetId="53">'34.0_Capaian_ICT_Isi_Rumh'!$A$1:$O$30</definedName>
    <definedName name="_xlnm.Print_Area" localSheetId="54">'35.0_Pendpatn_Perbelanjaan'!$A$1:$I$62</definedName>
    <definedName name="_xlnm.Print_Area" localSheetId="55">'36.0_Penggunaan_Perkapita_PCC'!$A$1:$I$75</definedName>
    <definedName name="_xlnm.Print_Area" localSheetId="56">'36.1_Perkapita_Pertanian'!$A$1:$R$57</definedName>
    <definedName name="_xlnm.Print_Area" localSheetId="57">'37.0_Purata_Suhu'!$A$1:$J$44</definedName>
    <definedName name="_xlnm.Print_Area" localSheetId="58">'37.0_Purata_Suhu_1'!$A$1:$I$46</definedName>
    <definedName name="_xlnm.Print_Area" localSheetId="59">'37.0_Purata_Suhu_2'!$A$1:$J$42</definedName>
    <definedName name="_xlnm.Print_Area" localSheetId="61">'38.0_hujan'!$A$1:$J$42</definedName>
    <definedName name="_xlnm.Print_Area" localSheetId="62">'38.0_hujan_1'!$A$1:$I$42</definedName>
    <definedName name="_xlnm.Print_Area" localSheetId="66">'39_0_Kelembapan_1'!$A$1:$H$35</definedName>
    <definedName name="_xlnm.Print_Area" localSheetId="6">'4.0_Guna_Tenaga'!$A$1:$L$43</definedName>
    <definedName name="_xlnm.Print_Area" localSheetId="67">'40.0_Kes_COVID 19'!$A$1:$F$78</definedName>
    <definedName name="_xlnm.Print_Area" localSheetId="69">'41.0_Agihan_Zakat'!$A$1:$H$52</definedName>
    <definedName name="_xlnm.Print_Area" localSheetId="70">'42.0_KDNK '!$A$1:$L$38</definedName>
    <definedName name="_xlnm.Print_Area" localSheetId="71">'42.1_KDNK_DP'!$A$1:$I$210</definedName>
    <definedName name="_xlnm.Print_Area" localSheetId="72">'43.0_Dagangan'!$A$1:$I$45</definedName>
    <definedName name="_xlnm.Print_Area" localSheetId="73">'44.0_Pelancongan'!$A$2:$G$29</definedName>
    <definedName name="_xlnm.Print_Area" localSheetId="74">'45.0_Buruh'!$A$1:$G$35</definedName>
    <definedName name="_xlnm.Print_Area" localSheetId="76">'45.1_Buruh_DP '!$A$1:$J$233</definedName>
    <definedName name="_xlnm.Print_Area" localSheetId="77">'46.0_Harga'!$A$1:$J$96</definedName>
    <definedName name="_xlnm.Print_Area" localSheetId="80">'47.0_Kemalangan_Pekerjaan'!$A$1:$G$66</definedName>
    <definedName name="_xlnm.Print_Area" localSheetId="84">'49.0_Asuhan_bil_kanak'!$A$1:$G$116</definedName>
    <definedName name="_xlnm.Print_Area" localSheetId="7">'5.0_Pendapatan'!$A$1:$L$40</definedName>
    <definedName name="_xlnm.Print_Area" localSheetId="87">'51.0_Kemalangan_Jalan_Raya '!$A$1:$I$216</definedName>
    <definedName name="_xlnm.Print_Area" localSheetId="88">'52.0_ICT'!$A$1:$M$39</definedName>
    <definedName name="_xlnm.Print_Area" localSheetId="89">'53.0_Pendapatan'!$A$1:$I$219</definedName>
    <definedName name="_xlnm.Print_Area" localSheetId="90">'54.0_Pertanian '!$A$1:$R$137</definedName>
    <definedName name="_xlnm.Print_Area" localSheetId="91">'55.0_Penerima_Vaksin_state '!$A$1:$R$109</definedName>
    <definedName name="_xlnm.Print_Area" localSheetId="8">'6.0_Pendidikan_SK'!$A$1:$L$77</definedName>
    <definedName name="_xlnm.Print_Area" localSheetId="9">'6.1_Pendidikan_Swasta'!$A$1:$L$132</definedName>
    <definedName name="_xlnm.Print_Area" localSheetId="10">'7.0_Kesihatan'!$A$1:$L$43</definedName>
    <definedName name="_xlnm.Print_Area" localSheetId="11">'8.0_Jantina'!$A$1:$M$48</definedName>
    <definedName name="_xlnm.Print_Area" localSheetId="12">'8.1_Etnik'!$A$1:$N$57</definedName>
    <definedName name="_xlnm.Print_Area" localSheetId="13">'8.2_Agama'!$A$1:$N$73</definedName>
    <definedName name="_xlnm.Print_Area" localSheetId="14">'8.3_Umur'!$A$1:$N$72</definedName>
    <definedName name="_xlnm.Print_Area" localSheetId="15">'9.0_Keselamatan_Awam'!$A$1:$K$38</definedName>
    <definedName name="_xlnm.Print_Titles" localSheetId="40">'23.1_Harga_Item_Terpilih_1'!$1:$11</definedName>
    <definedName name="PUTRAJAYA" localSheetId="0" hidden="1">#REF!</definedName>
    <definedName name="PUTRAJAYA" localSheetId="18" hidden="1">#REF!</definedName>
    <definedName name="PUTRAJAYA" localSheetId="19" hidden="1">#REF!</definedName>
    <definedName name="PUTRAJAYA" localSheetId="21" hidden="1">#REF!</definedName>
    <definedName name="PUTRAJAYA" localSheetId="22">#REF!</definedName>
    <definedName name="PUTRAJAYA" localSheetId="1" hidden="1">#REF!</definedName>
    <definedName name="PUTRAJAYA" localSheetId="2" hidden="1">#REF!</definedName>
    <definedName name="PUTRAJAYA" localSheetId="4" hidden="1">#REF!</definedName>
    <definedName name="PUTRAJAYA" localSheetId="48" hidden="1">#REF!</definedName>
    <definedName name="PUTRAJAYA" localSheetId="6" hidden="1">#REF!</definedName>
    <definedName name="PUTRAJAYA" localSheetId="68" hidden="1">#REF!</definedName>
    <definedName name="PUTRAJAYA" localSheetId="71" hidden="1">#REF!</definedName>
    <definedName name="PUTRAJAYA" localSheetId="76" hidden="1">#REF!</definedName>
    <definedName name="PUTRAJAYA" localSheetId="78" hidden="1">#REF!</definedName>
    <definedName name="PUTRAJAYA" localSheetId="79" hidden="1">#REF!</definedName>
    <definedName name="PUTRAJAYA" localSheetId="82" hidden="1">#REF!</definedName>
    <definedName name="PUTRAJAYA" localSheetId="85" hidden="1">#REF!</definedName>
    <definedName name="PUTRAJAYA" localSheetId="86" hidden="1">#REF!</definedName>
    <definedName name="PUTRAJAYA" localSheetId="87" hidden="1">#REF!</definedName>
    <definedName name="PUTRAJAYA" localSheetId="8" hidden="1">#REF!</definedName>
    <definedName name="PUTRAJAYA" localSheetId="9" hidden="1">#REF!</definedName>
    <definedName name="PUTRAJAYA" hidden="1">#REF!</definedName>
    <definedName name="q" localSheetId="0">#REF!</definedName>
    <definedName name="q" localSheetId="16">#REF!</definedName>
    <definedName name="q" localSheetId="17">#REF!</definedName>
    <definedName name="q" localSheetId="18">#REF!</definedName>
    <definedName name="q" localSheetId="19">#REF!</definedName>
    <definedName name="q" localSheetId="21">#REF!</definedName>
    <definedName name="q" localSheetId="22">#REF!</definedName>
    <definedName name="q" localSheetId="1">#REF!</definedName>
    <definedName name="q" localSheetId="2">#REF!</definedName>
    <definedName name="q" localSheetId="4">#REF!</definedName>
    <definedName name="q" localSheetId="48">#REF!</definedName>
    <definedName name="q" localSheetId="52">#REF!</definedName>
    <definedName name="q" localSheetId="6">#REF!</definedName>
    <definedName name="q" localSheetId="68">#REF!</definedName>
    <definedName name="q" localSheetId="71">#REF!</definedName>
    <definedName name="q" localSheetId="76">#REF!</definedName>
    <definedName name="q" localSheetId="78">#REF!</definedName>
    <definedName name="q" localSheetId="79">#REF!</definedName>
    <definedName name="q" localSheetId="82">#REF!</definedName>
    <definedName name="q" localSheetId="7">#REF!</definedName>
    <definedName name="q" localSheetId="85">#REF!</definedName>
    <definedName name="q" localSheetId="86">#REF!</definedName>
    <definedName name="q" localSheetId="87">#REF!</definedName>
    <definedName name="q" localSheetId="8">#REF!</definedName>
    <definedName name="q" localSheetId="9">#REF!</definedName>
    <definedName name="q">#REF!</definedName>
    <definedName name="qq" localSheetId="0">#REF!</definedName>
    <definedName name="qq" localSheetId="18">#REF!</definedName>
    <definedName name="qq" localSheetId="19">#REF!</definedName>
    <definedName name="qq" localSheetId="21">#REF!</definedName>
    <definedName name="qq" localSheetId="22">#REF!</definedName>
    <definedName name="qq" localSheetId="1">#REF!</definedName>
    <definedName name="qq" localSheetId="2">#REF!</definedName>
    <definedName name="qq" localSheetId="4">#REF!</definedName>
    <definedName name="qq" localSheetId="48">#REF!</definedName>
    <definedName name="qq" localSheetId="6">#REF!</definedName>
    <definedName name="qq" localSheetId="68">#REF!</definedName>
    <definedName name="qq" localSheetId="71">#REF!</definedName>
    <definedName name="qq" localSheetId="76">#REF!</definedName>
    <definedName name="qq" localSheetId="78">#REF!</definedName>
    <definedName name="qq" localSheetId="79">#REF!</definedName>
    <definedName name="qq" localSheetId="82">#REF!</definedName>
    <definedName name="qq" localSheetId="85">#REF!</definedName>
    <definedName name="qq" localSheetId="86">#REF!</definedName>
    <definedName name="qq" localSheetId="87">#REF!</definedName>
    <definedName name="qq" localSheetId="8">#REF!</definedName>
    <definedName name="qq" localSheetId="9">#REF!</definedName>
    <definedName name="qq">#REF!</definedName>
    <definedName name="qqqttt" localSheetId="0">#REF!</definedName>
    <definedName name="qqqttt" localSheetId="18">#REF!</definedName>
    <definedName name="qqqttt" localSheetId="19">#REF!</definedName>
    <definedName name="qqqttt" localSheetId="21">#REF!</definedName>
    <definedName name="qqqttt" localSheetId="22">#REF!</definedName>
    <definedName name="qqqttt" localSheetId="1">#REF!</definedName>
    <definedName name="qqqttt" localSheetId="2">#REF!</definedName>
    <definedName name="qqqttt" localSheetId="4">#REF!</definedName>
    <definedName name="qqqttt" localSheetId="48">#REF!</definedName>
    <definedName name="qqqttt" localSheetId="68">#REF!</definedName>
    <definedName name="qqqttt" localSheetId="71">#REF!</definedName>
    <definedName name="qqqttt" localSheetId="76">#REF!</definedName>
    <definedName name="qqqttt" localSheetId="78">#REF!</definedName>
    <definedName name="qqqttt" localSheetId="79">#REF!</definedName>
    <definedName name="qqqttt" localSheetId="82">#REF!</definedName>
    <definedName name="qqqttt" localSheetId="85">#REF!</definedName>
    <definedName name="qqqttt" localSheetId="86">#REF!</definedName>
    <definedName name="qqqttt" localSheetId="87">#REF!</definedName>
    <definedName name="qqqttt" localSheetId="8">#REF!</definedName>
    <definedName name="qqqttt" localSheetId="9">#REF!</definedName>
    <definedName name="qqqttt">#REF!</definedName>
    <definedName name="qqw" localSheetId="0" hidden="1">'[32]4.8'!#REF!</definedName>
    <definedName name="qqw" localSheetId="18" hidden="1">'[32]4.8'!#REF!</definedName>
    <definedName name="qqw" localSheetId="19" hidden="1">'[32]4.8'!#REF!</definedName>
    <definedName name="qqw" localSheetId="21" hidden="1">'[32]4.8'!#REF!</definedName>
    <definedName name="qqw" localSheetId="22">#REF!</definedName>
    <definedName name="qqw" localSheetId="1" hidden="1">'[32]4.8'!#REF!</definedName>
    <definedName name="qqw" localSheetId="2" hidden="1">'[32]4.8'!#REF!</definedName>
    <definedName name="qqw" localSheetId="4" hidden="1">'[33]4.8'!#REF!</definedName>
    <definedName name="qqw" localSheetId="48" hidden="1">'[32]4.8'!#REF!</definedName>
    <definedName name="qqw" localSheetId="6" hidden="1">'[34]4.8'!#REF!</definedName>
    <definedName name="qqw" localSheetId="68" hidden="1">'[32]4.8'!#REF!</definedName>
    <definedName name="qqw" localSheetId="71" hidden="1">'[32]4.8'!#REF!</definedName>
    <definedName name="qqw" localSheetId="76" hidden="1">'[32]4.8'!#REF!</definedName>
    <definedName name="qqw" localSheetId="82" hidden="1">'[32]4.8'!#REF!</definedName>
    <definedName name="qqw" localSheetId="7" hidden="1">'[34]4.8'!#REF!</definedName>
    <definedName name="qqw" localSheetId="85" hidden="1">'[32]4.8'!#REF!</definedName>
    <definedName name="qqw" localSheetId="86" hidden="1">'[32]4.8'!#REF!</definedName>
    <definedName name="qqw" localSheetId="87" hidden="1">'[32]4.8'!#REF!</definedName>
    <definedName name="qqw" localSheetId="8" hidden="1">'[32]4.8'!#REF!</definedName>
    <definedName name="qqw" localSheetId="9" hidden="1">'[32]4.8'!#REF!</definedName>
    <definedName name="qqw" hidden="1">'[32]4.8'!#REF!</definedName>
    <definedName name="qty" localSheetId="18" hidden="1">'[33]4.8'!#REF!</definedName>
    <definedName name="qty" localSheetId="19" hidden="1">'[33]4.8'!#REF!</definedName>
    <definedName name="qty" localSheetId="21" hidden="1">'[33]4.8'!#REF!</definedName>
    <definedName name="qty" localSheetId="22">#REF!</definedName>
    <definedName name="qty" localSheetId="1" hidden="1">'[33]4.8'!#REF!</definedName>
    <definedName name="qty" localSheetId="2" hidden="1">'[33]4.8'!#REF!</definedName>
    <definedName name="qty" localSheetId="4" hidden="1">'[33]4.8'!#REF!</definedName>
    <definedName name="qty" localSheetId="48" hidden="1">'[33]4.8'!#REF!</definedName>
    <definedName name="qty" localSheetId="68" hidden="1">'[33]4.8'!#REF!</definedName>
    <definedName name="qty" localSheetId="71" hidden="1">'[33]4.8'!#REF!</definedName>
    <definedName name="qty" localSheetId="76" hidden="1">'[33]4.8'!#REF!</definedName>
    <definedName name="qty" localSheetId="82" hidden="1">'[33]4.8'!#REF!</definedName>
    <definedName name="qty" localSheetId="85" hidden="1">'[33]4.8'!#REF!</definedName>
    <definedName name="qty" localSheetId="86" hidden="1">'[33]4.8'!#REF!</definedName>
    <definedName name="qty" localSheetId="87" hidden="1">'[33]4.8'!#REF!</definedName>
    <definedName name="qty" localSheetId="8" hidden="1">'[33]4.8'!#REF!</definedName>
    <definedName name="qty" localSheetId="9" hidden="1">'[33]4.8'!#REF!</definedName>
    <definedName name="qty" hidden="1">'[33]4.8'!#REF!</definedName>
    <definedName name="Region" localSheetId="0">[42]Sheet2!$B$2:$B$7</definedName>
    <definedName name="Region" localSheetId="16">[43]Sheet2!$B$2:$B$7</definedName>
    <definedName name="Region" localSheetId="17">[43]Sheet2!$B$2:$B$7</definedName>
    <definedName name="Region" localSheetId="4">[44]Sheet2!$B$2:$B$7</definedName>
    <definedName name="Region" localSheetId="52">[45]Sheet2!$B$2:$B$7</definedName>
    <definedName name="Region" localSheetId="6">[43]Sheet2!$B$2:$B$7</definedName>
    <definedName name="Region" localSheetId="7">[43]Sheet2!$B$2:$B$7</definedName>
    <definedName name="Region">[42]Sheet2!$B$2:$B$7</definedName>
    <definedName name="Region1" localSheetId="0">[46]Sheet1!$B$2:$B$19</definedName>
    <definedName name="Region1" localSheetId="16">[47]Sheet1!$B$2:$B$19</definedName>
    <definedName name="Region1" localSheetId="17">[47]Sheet1!$B$2:$B$19</definedName>
    <definedName name="Region1" localSheetId="4">[48]Sheet1!$B$2:$B$19</definedName>
    <definedName name="Region1" localSheetId="52">[49]Sheet1!$B$2:$B$19</definedName>
    <definedName name="Region1" localSheetId="6">[47]Sheet1!$B$2:$B$19</definedName>
    <definedName name="Region1" localSheetId="7">[47]Sheet1!$B$2:$B$19</definedName>
    <definedName name="Region1">[46]Sheet1!$B$2:$B$19</definedName>
    <definedName name="RGRH" localSheetId="0">#REF!</definedName>
    <definedName name="RGRH" localSheetId="18">#REF!</definedName>
    <definedName name="RGRH" localSheetId="19">#REF!</definedName>
    <definedName name="RGRH" localSheetId="21">#REF!</definedName>
    <definedName name="RGRH" localSheetId="22">#REF!</definedName>
    <definedName name="RGRH" localSheetId="1">#REF!</definedName>
    <definedName name="RGRH" localSheetId="2">#REF!</definedName>
    <definedName name="RGRH" localSheetId="4">#REF!</definedName>
    <definedName name="RGRH" localSheetId="48">#REF!</definedName>
    <definedName name="RGRH" localSheetId="6">#REF!</definedName>
    <definedName name="RGRH" localSheetId="68">#REF!</definedName>
    <definedName name="RGRH" localSheetId="71">#REF!</definedName>
    <definedName name="RGRH" localSheetId="76">#REF!</definedName>
    <definedName name="RGRH" localSheetId="78">#REF!</definedName>
    <definedName name="RGRH" localSheetId="79">#REF!</definedName>
    <definedName name="RGRH" localSheetId="82">#REF!</definedName>
    <definedName name="RGRH" localSheetId="85">#REF!</definedName>
    <definedName name="RGRH" localSheetId="86">#REF!</definedName>
    <definedName name="RGRH" localSheetId="87">#REF!</definedName>
    <definedName name="RGRH" localSheetId="8">#REF!</definedName>
    <definedName name="RGRH" localSheetId="9">#REF!</definedName>
    <definedName name="RGRH">#REF!</definedName>
    <definedName name="row_no" localSheetId="52">[50]ref!$B$3:$K$20</definedName>
    <definedName name="row_no">[47]ref!$B$3:$K$20</definedName>
    <definedName name="row_no_head" localSheetId="52">[50]ref!$B$3:$K$3</definedName>
    <definedName name="row_no_head">[47]ref!$B$3:$K$3</definedName>
    <definedName name="rrr" localSheetId="0">#REF!</definedName>
    <definedName name="rrr" localSheetId="16">#REF!</definedName>
    <definedName name="rrr" localSheetId="17">#REF!</definedName>
    <definedName name="rrr" localSheetId="18">#REF!</definedName>
    <definedName name="rrr" localSheetId="19">#REF!</definedName>
    <definedName name="rrr" localSheetId="21">#REF!</definedName>
    <definedName name="rrr" localSheetId="22">#REF!</definedName>
    <definedName name="rrr" localSheetId="1">#REF!</definedName>
    <definedName name="rrr" localSheetId="2">#REF!</definedName>
    <definedName name="rrr" localSheetId="4">#REF!</definedName>
    <definedName name="rrr" localSheetId="48">#REF!</definedName>
    <definedName name="rrr" localSheetId="52">#REF!</definedName>
    <definedName name="rrr" localSheetId="6">#REF!</definedName>
    <definedName name="rrr" localSheetId="68">#REF!</definedName>
    <definedName name="rrr" localSheetId="71">#REF!</definedName>
    <definedName name="rrr" localSheetId="76">#REF!</definedName>
    <definedName name="rrr" localSheetId="78">#REF!</definedName>
    <definedName name="rrr" localSheetId="79">#REF!</definedName>
    <definedName name="rrr" localSheetId="82">#REF!</definedName>
    <definedName name="rrr" localSheetId="7">#REF!</definedName>
    <definedName name="rrr" localSheetId="85">#REF!</definedName>
    <definedName name="rrr" localSheetId="86">#REF!</definedName>
    <definedName name="rrr" localSheetId="87">#REF!</definedName>
    <definedName name="rrr" localSheetId="8">#REF!</definedName>
    <definedName name="rrr" localSheetId="9">#REF!</definedName>
    <definedName name="rrr">#REF!</definedName>
    <definedName name="rte" localSheetId="0" hidden="1">'[12]4.8'!#REF!</definedName>
    <definedName name="rte" localSheetId="18" hidden="1">'[12]4.8'!#REF!</definedName>
    <definedName name="rte" localSheetId="19" hidden="1">'[12]4.8'!#REF!</definedName>
    <definedName name="rte" localSheetId="21" hidden="1">'[12]4.8'!#REF!</definedName>
    <definedName name="rte" localSheetId="22">#REF!</definedName>
    <definedName name="rte" localSheetId="1" hidden="1">'[12]4.8'!#REF!</definedName>
    <definedName name="rte" localSheetId="2" hidden="1">'[12]4.8'!#REF!</definedName>
    <definedName name="rte" localSheetId="4" hidden="1">'[12]4.8'!#REF!</definedName>
    <definedName name="rte" localSheetId="48" hidden="1">'[12]4.8'!#REF!</definedName>
    <definedName name="rte" localSheetId="52" hidden="1">'[31]4.8'!#REF!</definedName>
    <definedName name="rte" localSheetId="6" hidden="1">'[12]4.8'!#REF!</definedName>
    <definedName name="rte" localSheetId="68" hidden="1">'[12]4.8'!#REF!</definedName>
    <definedName name="rte" localSheetId="71" hidden="1">'[12]4.8'!#REF!</definedName>
    <definedName name="rte" localSheetId="76" hidden="1">'[12]4.8'!#REF!</definedName>
    <definedName name="rte" localSheetId="82" hidden="1">'[12]4.8'!#REF!</definedName>
    <definedName name="rte" localSheetId="85" hidden="1">'[12]4.8'!#REF!</definedName>
    <definedName name="rte" localSheetId="86" hidden="1">'[12]4.8'!#REF!</definedName>
    <definedName name="rte" localSheetId="87" hidden="1">'[12]4.8'!#REF!</definedName>
    <definedName name="rte" localSheetId="8" hidden="1">'[12]4.8'!#REF!</definedName>
    <definedName name="rte" localSheetId="9" hidden="1">'[12]4.8'!#REF!</definedName>
    <definedName name="rte" hidden="1">'[12]4.8'!#REF!</definedName>
    <definedName name="s" localSheetId="0">#REF!</definedName>
    <definedName name="s" localSheetId="16">#REF!</definedName>
    <definedName name="s" localSheetId="17">#REF!</definedName>
    <definedName name="s" localSheetId="18">#REF!</definedName>
    <definedName name="s" localSheetId="19">#REF!</definedName>
    <definedName name="s" localSheetId="21">#REF!</definedName>
    <definedName name="s" localSheetId="22">#REF!</definedName>
    <definedName name="s" localSheetId="1">#REF!</definedName>
    <definedName name="s" localSheetId="2">#REF!</definedName>
    <definedName name="s" localSheetId="4">#REF!</definedName>
    <definedName name="s" localSheetId="48">#REF!</definedName>
    <definedName name="s" localSheetId="52">#REF!</definedName>
    <definedName name="s" localSheetId="6">#REF!</definedName>
    <definedName name="s" localSheetId="68">#REF!</definedName>
    <definedName name="s" localSheetId="71">#REF!</definedName>
    <definedName name="s" localSheetId="76">#REF!</definedName>
    <definedName name="s" localSheetId="78">#REF!</definedName>
    <definedName name="s" localSheetId="79">#REF!</definedName>
    <definedName name="s" localSheetId="82">#REF!</definedName>
    <definedName name="s" localSheetId="7">#REF!</definedName>
    <definedName name="s" localSheetId="85">#REF!</definedName>
    <definedName name="s" localSheetId="86">#REF!</definedName>
    <definedName name="s" localSheetId="87">#REF!</definedName>
    <definedName name="s" localSheetId="8">#REF!</definedName>
    <definedName name="s" localSheetId="9">#REF!</definedName>
    <definedName name="s">#REF!</definedName>
    <definedName name="sa" localSheetId="0">#REF!</definedName>
    <definedName name="sa" localSheetId="16">#REF!</definedName>
    <definedName name="sa" localSheetId="17">#REF!</definedName>
    <definedName name="sa" localSheetId="18">#REF!</definedName>
    <definedName name="sa" localSheetId="19">#REF!</definedName>
    <definedName name="sa" localSheetId="21">#REF!</definedName>
    <definedName name="sa" localSheetId="22">#REF!</definedName>
    <definedName name="sa" localSheetId="1">#REF!</definedName>
    <definedName name="sa" localSheetId="2">#REF!</definedName>
    <definedName name="sa" localSheetId="4">#REF!</definedName>
    <definedName name="sa" localSheetId="48">#REF!</definedName>
    <definedName name="sa" localSheetId="52">#REF!</definedName>
    <definedName name="sa" localSheetId="6">#REF!</definedName>
    <definedName name="sa" localSheetId="68">#REF!</definedName>
    <definedName name="sa" localSheetId="71">#REF!</definedName>
    <definedName name="sa" localSheetId="76">#REF!</definedName>
    <definedName name="sa" localSheetId="78">#REF!</definedName>
    <definedName name="sa" localSheetId="79">#REF!</definedName>
    <definedName name="sa" localSheetId="82">#REF!</definedName>
    <definedName name="sa" localSheetId="85">#REF!</definedName>
    <definedName name="sa" localSheetId="86">#REF!</definedName>
    <definedName name="sa" localSheetId="87">#REF!</definedName>
    <definedName name="sa" localSheetId="8">#REF!</definedName>
    <definedName name="sa" localSheetId="9">#REF!</definedName>
    <definedName name="sa">#REF!</definedName>
    <definedName name="saadqff" localSheetId="0">#REF!</definedName>
    <definedName name="saadqff" localSheetId="16">#REF!</definedName>
    <definedName name="saadqff" localSheetId="17">#REF!</definedName>
    <definedName name="saadqff" localSheetId="18">#REF!</definedName>
    <definedName name="saadqff" localSheetId="19">#REF!</definedName>
    <definedName name="saadqff" localSheetId="21">#REF!</definedName>
    <definedName name="saadqff" localSheetId="22">#REF!</definedName>
    <definedName name="saadqff" localSheetId="1">#REF!</definedName>
    <definedName name="saadqff" localSheetId="2">#REF!</definedName>
    <definedName name="saadqff" localSheetId="4">#REF!</definedName>
    <definedName name="saadqff" localSheetId="48">#REF!</definedName>
    <definedName name="saadqff" localSheetId="52">#REF!</definedName>
    <definedName name="saadqff" localSheetId="6">#REF!</definedName>
    <definedName name="saadqff" localSheetId="68">#REF!</definedName>
    <definedName name="saadqff" localSheetId="71">#REF!</definedName>
    <definedName name="saadqff" localSheetId="76">#REF!</definedName>
    <definedName name="saadqff" localSheetId="78">#REF!</definedName>
    <definedName name="saadqff" localSheetId="79">#REF!</definedName>
    <definedName name="saadqff" localSheetId="82">#REF!</definedName>
    <definedName name="saadqff" localSheetId="85">#REF!</definedName>
    <definedName name="saadqff" localSheetId="86">#REF!</definedName>
    <definedName name="saadqff" localSheetId="87">#REF!</definedName>
    <definedName name="saadqff" localSheetId="8">#REF!</definedName>
    <definedName name="saadqff" localSheetId="9">#REF!</definedName>
    <definedName name="saadqff">#REF!</definedName>
    <definedName name="sabah" localSheetId="52" hidden="1">'[51]5.11'!$E$15:$J$15</definedName>
    <definedName name="sabah" hidden="1">'[52]5.11'!$E$15:$J$15</definedName>
    <definedName name="sama" localSheetId="0" hidden="1">'[18]4.3'!#REF!</definedName>
    <definedName name="sama" localSheetId="18" hidden="1">'[18]4.3'!#REF!</definedName>
    <definedName name="sama" localSheetId="19" hidden="1">'[18]4.3'!#REF!</definedName>
    <definedName name="sama" localSheetId="21" hidden="1">'[18]4.3'!#REF!</definedName>
    <definedName name="sama" localSheetId="22">#REF!</definedName>
    <definedName name="sama" localSheetId="1" hidden="1">'[18]4.3'!#REF!</definedName>
    <definedName name="sama" localSheetId="2" hidden="1">'[18]4.3'!#REF!</definedName>
    <definedName name="sama" localSheetId="4" hidden="1">'[19]4.3'!#REF!</definedName>
    <definedName name="sama" localSheetId="48" hidden="1">'[18]4.3'!#REF!</definedName>
    <definedName name="sama" localSheetId="6" hidden="1">'[16]4.3'!#REF!</definedName>
    <definedName name="sama" localSheetId="68" hidden="1">'[18]4.3'!#REF!</definedName>
    <definedName name="sama" localSheetId="71" hidden="1">'[18]4.3'!#REF!</definedName>
    <definedName name="sama" localSheetId="76" hidden="1">'[18]4.3'!#REF!</definedName>
    <definedName name="sama" localSheetId="82" hidden="1">'[18]4.3'!#REF!</definedName>
    <definedName name="sama" localSheetId="7" hidden="1">'[16]4.3'!#REF!</definedName>
    <definedName name="sama" localSheetId="85" hidden="1">'[18]4.3'!#REF!</definedName>
    <definedName name="sama" localSheetId="86" hidden="1">'[18]4.3'!#REF!</definedName>
    <definedName name="sama" localSheetId="87" hidden="1">'[18]4.3'!#REF!</definedName>
    <definedName name="sama" localSheetId="8" hidden="1">'[18]4.3'!#REF!</definedName>
    <definedName name="sama" localSheetId="9" hidden="1">'[18]4.3'!#REF!</definedName>
    <definedName name="sama" hidden="1">'[18]4.3'!#REF!</definedName>
    <definedName name="sasas" localSheetId="0">#REF!</definedName>
    <definedName name="sasas" localSheetId="16">#REF!</definedName>
    <definedName name="sasas" localSheetId="17">#REF!</definedName>
    <definedName name="sasas" localSheetId="18">#REF!</definedName>
    <definedName name="sasas" localSheetId="19">#REF!</definedName>
    <definedName name="sasas" localSheetId="21">#REF!</definedName>
    <definedName name="sasas" localSheetId="22">#REF!</definedName>
    <definedName name="sasas" localSheetId="1">#REF!</definedName>
    <definedName name="sasas" localSheetId="2">#REF!</definedName>
    <definedName name="sasas" localSheetId="4">#REF!</definedName>
    <definedName name="sasas" localSheetId="48">#REF!</definedName>
    <definedName name="sasas" localSheetId="52">#REF!</definedName>
    <definedName name="sasas" localSheetId="6">#REF!</definedName>
    <definedName name="sasas" localSheetId="68">#REF!</definedName>
    <definedName name="sasas" localSheetId="71">#REF!</definedName>
    <definedName name="sasas" localSheetId="76">#REF!</definedName>
    <definedName name="sasas" localSheetId="78">#REF!</definedName>
    <definedName name="sasas" localSheetId="79">#REF!</definedName>
    <definedName name="sasas" localSheetId="82">#REF!</definedName>
    <definedName name="sasas" localSheetId="7">#REF!</definedName>
    <definedName name="sasas" localSheetId="85">#REF!</definedName>
    <definedName name="sasas" localSheetId="86">#REF!</definedName>
    <definedName name="sasas" localSheetId="87">#REF!</definedName>
    <definedName name="sasas" localSheetId="8">#REF!</definedName>
    <definedName name="sasas" localSheetId="9">#REF!</definedName>
    <definedName name="sasas">#REF!</definedName>
    <definedName name="sda" localSheetId="0" hidden="1">'[12]4.8'!#REF!</definedName>
    <definedName name="sda" localSheetId="18" hidden="1">'[12]4.8'!#REF!</definedName>
    <definedName name="sda" localSheetId="19" hidden="1">'[12]4.8'!#REF!</definedName>
    <definedName name="sda" localSheetId="21" hidden="1">'[12]4.8'!#REF!</definedName>
    <definedName name="sda" localSheetId="22">#REF!</definedName>
    <definedName name="sda" localSheetId="1" hidden="1">'[12]4.8'!#REF!</definedName>
    <definedName name="sda" localSheetId="2" hidden="1">'[12]4.8'!#REF!</definedName>
    <definedName name="sda" localSheetId="4" hidden="1">'[12]4.8'!#REF!</definedName>
    <definedName name="sda" localSheetId="48" hidden="1">'[12]4.8'!#REF!</definedName>
    <definedName name="sda" localSheetId="52" hidden="1">'[31]4.8'!#REF!</definedName>
    <definedName name="sda" localSheetId="6" hidden="1">'[12]4.8'!#REF!</definedName>
    <definedName name="sda" localSheetId="68" hidden="1">'[12]4.8'!#REF!</definedName>
    <definedName name="sda" localSheetId="71" hidden="1">'[12]4.8'!#REF!</definedName>
    <definedName name="sda" localSheetId="76" hidden="1">'[12]4.8'!#REF!</definedName>
    <definedName name="sda" localSheetId="82" hidden="1">'[12]4.8'!#REF!</definedName>
    <definedName name="sda" localSheetId="85" hidden="1">'[12]4.8'!#REF!</definedName>
    <definedName name="sda" localSheetId="86" hidden="1">'[12]4.8'!#REF!</definedName>
    <definedName name="sda" localSheetId="87" hidden="1">'[12]4.8'!#REF!</definedName>
    <definedName name="sda" localSheetId="8" hidden="1">'[12]4.8'!#REF!</definedName>
    <definedName name="sda" localSheetId="9" hidden="1">'[12]4.8'!#REF!</definedName>
    <definedName name="sda" hidden="1">'[12]4.8'!#REF!</definedName>
    <definedName name="sdfgg" localSheetId="78" hidden="1">#REF!</definedName>
    <definedName name="sdfgg" localSheetId="79" hidden="1">#REF!</definedName>
    <definedName name="sdfgg" hidden="1">#REF!</definedName>
    <definedName name="sds" localSheetId="0" hidden="1">#REF!</definedName>
    <definedName name="sds" localSheetId="16" hidden="1">#REF!</definedName>
    <definedName name="sds" localSheetId="17" hidden="1">#REF!</definedName>
    <definedName name="sds" localSheetId="18" hidden="1">#REF!</definedName>
    <definedName name="sds" localSheetId="19" hidden="1">#REF!</definedName>
    <definedName name="sds" localSheetId="21" hidden="1">#REF!</definedName>
    <definedName name="sds" localSheetId="22">#REF!</definedName>
    <definedName name="sds" localSheetId="1" hidden="1">#REF!</definedName>
    <definedName name="sds" localSheetId="2" hidden="1">#REF!</definedName>
    <definedName name="sds" localSheetId="4" hidden="1">#REF!</definedName>
    <definedName name="sds" localSheetId="48" hidden="1">#REF!</definedName>
    <definedName name="sds" localSheetId="52" hidden="1">#REF!</definedName>
    <definedName name="sds" localSheetId="6" hidden="1">#REF!</definedName>
    <definedName name="sds" localSheetId="68" hidden="1">#REF!</definedName>
    <definedName name="sds" localSheetId="71" hidden="1">#REF!</definedName>
    <definedName name="sds" localSheetId="76" hidden="1">#REF!</definedName>
    <definedName name="sds" localSheetId="78" hidden="1">#REF!</definedName>
    <definedName name="sds" localSheetId="79" hidden="1">#REF!</definedName>
    <definedName name="sds" localSheetId="82" hidden="1">#REF!</definedName>
    <definedName name="sds" localSheetId="85" hidden="1">#REF!</definedName>
    <definedName name="sds" localSheetId="86" hidden="1">#REF!</definedName>
    <definedName name="sds" localSheetId="87" hidden="1">#REF!</definedName>
    <definedName name="sds" localSheetId="8" hidden="1">#REF!</definedName>
    <definedName name="sds" localSheetId="9" hidden="1">#REF!</definedName>
    <definedName name="sds" hidden="1">#REF!</definedName>
    <definedName name="sefdhdrtsg" localSheetId="0">#REF!</definedName>
    <definedName name="sefdhdrtsg" localSheetId="16">#REF!</definedName>
    <definedName name="sefdhdrtsg" localSheetId="17">#REF!</definedName>
    <definedName name="sefdhdrtsg" localSheetId="18">#REF!</definedName>
    <definedName name="sefdhdrtsg" localSheetId="19">#REF!</definedName>
    <definedName name="sefdhdrtsg" localSheetId="21">#REF!</definedName>
    <definedName name="sefdhdrtsg" localSheetId="22">#REF!</definedName>
    <definedName name="sefdhdrtsg" localSheetId="1">#REF!</definedName>
    <definedName name="sefdhdrtsg" localSheetId="2">#REF!</definedName>
    <definedName name="sefdhdrtsg" localSheetId="4">#REF!</definedName>
    <definedName name="sefdhdrtsg" localSheetId="48">#REF!</definedName>
    <definedName name="sefdhdrtsg" localSheetId="52">#REF!</definedName>
    <definedName name="sefdhdrtsg" localSheetId="6">#REF!</definedName>
    <definedName name="sefdhdrtsg" localSheetId="68">#REF!</definedName>
    <definedName name="sefdhdrtsg" localSheetId="71">#REF!</definedName>
    <definedName name="sefdhdrtsg" localSheetId="76">#REF!</definedName>
    <definedName name="sefdhdrtsg" localSheetId="78">#REF!</definedName>
    <definedName name="sefdhdrtsg" localSheetId="79">#REF!</definedName>
    <definedName name="sefdhdrtsg" localSheetId="82">#REF!</definedName>
    <definedName name="sefdhdrtsg" localSheetId="85">#REF!</definedName>
    <definedName name="sefdhdrtsg" localSheetId="86">#REF!</definedName>
    <definedName name="sefdhdrtsg" localSheetId="87">#REF!</definedName>
    <definedName name="sefdhdrtsg" localSheetId="8">#REF!</definedName>
    <definedName name="sefdhdrtsg" localSheetId="9">#REF!</definedName>
    <definedName name="sefdhdrtsg">#REF!</definedName>
    <definedName name="sehingga18" localSheetId="0">#REF!</definedName>
    <definedName name="sehingga18" localSheetId="18">#REF!</definedName>
    <definedName name="sehingga18" localSheetId="19">#REF!</definedName>
    <definedName name="sehingga18" localSheetId="21">#REF!</definedName>
    <definedName name="sehingga18" localSheetId="22">#REF!</definedName>
    <definedName name="sehingga18" localSheetId="1">#REF!</definedName>
    <definedName name="sehingga18" localSheetId="2">#REF!</definedName>
    <definedName name="sehingga18" localSheetId="4">#REF!</definedName>
    <definedName name="sehingga18" localSheetId="48">#REF!</definedName>
    <definedName name="sehingga18" localSheetId="6">#REF!</definedName>
    <definedName name="sehingga18" localSheetId="68">#REF!</definedName>
    <definedName name="sehingga18" localSheetId="71">#REF!</definedName>
    <definedName name="sehingga18" localSheetId="76">#REF!</definedName>
    <definedName name="sehingga18" localSheetId="78">#REF!</definedName>
    <definedName name="sehingga18" localSheetId="79">#REF!</definedName>
    <definedName name="sehingga18" localSheetId="82">#REF!</definedName>
    <definedName name="sehingga18" localSheetId="85">#REF!</definedName>
    <definedName name="sehingga18" localSheetId="86">#REF!</definedName>
    <definedName name="sehingga18" localSheetId="87">#REF!</definedName>
    <definedName name="sehingga18" localSheetId="8">#REF!</definedName>
    <definedName name="sehingga18" localSheetId="9">#REF!</definedName>
    <definedName name="sehingga18">#REF!</definedName>
    <definedName name="sep" localSheetId="0">#REF!</definedName>
    <definedName name="sep" localSheetId="16">#REF!</definedName>
    <definedName name="sep" localSheetId="17">#REF!</definedName>
    <definedName name="sep" localSheetId="18">#REF!</definedName>
    <definedName name="sep" localSheetId="19">#REF!</definedName>
    <definedName name="sep" localSheetId="21">#REF!</definedName>
    <definedName name="sep" localSheetId="22">#REF!</definedName>
    <definedName name="sep" localSheetId="1">#REF!</definedName>
    <definedName name="sep" localSheetId="2">#REF!</definedName>
    <definedName name="sep" localSheetId="4">#REF!</definedName>
    <definedName name="sep" localSheetId="48">#REF!</definedName>
    <definedName name="sep" localSheetId="52">#REF!</definedName>
    <definedName name="sep" localSheetId="68">#REF!</definedName>
    <definedName name="sep" localSheetId="71">#REF!</definedName>
    <definedName name="sep" localSheetId="76">#REF!</definedName>
    <definedName name="sep" localSheetId="78">#REF!</definedName>
    <definedName name="sep" localSheetId="79">#REF!</definedName>
    <definedName name="sep" localSheetId="82">#REF!</definedName>
    <definedName name="sep" localSheetId="85">#REF!</definedName>
    <definedName name="sep" localSheetId="86">#REF!</definedName>
    <definedName name="sep" localSheetId="87">#REF!</definedName>
    <definedName name="sep" localSheetId="8">#REF!</definedName>
    <definedName name="sep" localSheetId="9">#REF!</definedName>
    <definedName name="sep">#REF!</definedName>
    <definedName name="sfst" localSheetId="0">#REF!</definedName>
    <definedName name="sfst" localSheetId="18">#REF!</definedName>
    <definedName name="sfst" localSheetId="19">#REF!</definedName>
    <definedName name="sfst" localSheetId="21">#REF!</definedName>
    <definedName name="sfst" localSheetId="22">#REF!</definedName>
    <definedName name="sfst" localSheetId="1">#REF!</definedName>
    <definedName name="sfst" localSheetId="2">#REF!</definedName>
    <definedName name="sfst" localSheetId="4">#REF!</definedName>
    <definedName name="sfst" localSheetId="48">#REF!</definedName>
    <definedName name="sfst" localSheetId="68">#REF!</definedName>
    <definedName name="sfst" localSheetId="71">#REF!</definedName>
    <definedName name="sfst" localSheetId="76">#REF!</definedName>
    <definedName name="sfst" localSheetId="78">#REF!</definedName>
    <definedName name="sfst" localSheetId="79">#REF!</definedName>
    <definedName name="sfst" localSheetId="82">#REF!</definedName>
    <definedName name="sfst" localSheetId="85">#REF!</definedName>
    <definedName name="sfst" localSheetId="86">#REF!</definedName>
    <definedName name="sfst" localSheetId="87">#REF!</definedName>
    <definedName name="sfst" localSheetId="8">#REF!</definedName>
    <definedName name="sfst" localSheetId="9">#REF!</definedName>
    <definedName name="sfst">#REF!</definedName>
    <definedName name="sgd" localSheetId="0">#REF!</definedName>
    <definedName name="sgd" localSheetId="18">#REF!</definedName>
    <definedName name="sgd" localSheetId="19">#REF!</definedName>
    <definedName name="sgd" localSheetId="21">#REF!</definedName>
    <definedName name="sgd" localSheetId="22">#REF!</definedName>
    <definedName name="sgd" localSheetId="1">#REF!</definedName>
    <definedName name="sgd" localSheetId="2">#REF!</definedName>
    <definedName name="sgd" localSheetId="4">#REF!</definedName>
    <definedName name="sgd" localSheetId="48">#REF!</definedName>
    <definedName name="sgd" localSheetId="68">#REF!</definedName>
    <definedName name="sgd" localSheetId="71">#REF!</definedName>
    <definedName name="sgd" localSheetId="76">#REF!</definedName>
    <definedName name="sgd" localSheetId="78">#REF!</definedName>
    <definedName name="sgd" localSheetId="79">#REF!</definedName>
    <definedName name="sgd" localSheetId="82">#REF!</definedName>
    <definedName name="sgd" localSheetId="85">#REF!</definedName>
    <definedName name="sgd" localSheetId="86">#REF!</definedName>
    <definedName name="sgd" localSheetId="87">#REF!</definedName>
    <definedName name="sgd" localSheetId="8">#REF!</definedName>
    <definedName name="sgd" localSheetId="9">#REF!</definedName>
    <definedName name="sgd">#REF!</definedName>
    <definedName name="ShoppingStartDate" localSheetId="0">#REF!</definedName>
    <definedName name="ShoppingStartDate" localSheetId="18">#REF!</definedName>
    <definedName name="ShoppingStartDate" localSheetId="19">#REF!</definedName>
    <definedName name="ShoppingStartDate" localSheetId="21">#REF!</definedName>
    <definedName name="ShoppingStartDate" localSheetId="22">#REF!</definedName>
    <definedName name="ShoppingStartDate" localSheetId="1">#REF!</definedName>
    <definedName name="ShoppingStartDate" localSheetId="2">#REF!</definedName>
    <definedName name="ShoppingStartDate" localSheetId="4">#REF!</definedName>
    <definedName name="ShoppingStartDate" localSheetId="48">#REF!</definedName>
    <definedName name="ShoppingStartDate" localSheetId="68">#REF!</definedName>
    <definedName name="ShoppingStartDate" localSheetId="71">#REF!</definedName>
    <definedName name="ShoppingStartDate" localSheetId="76">#REF!</definedName>
    <definedName name="ShoppingStartDate" localSheetId="78">#REF!</definedName>
    <definedName name="ShoppingStartDate" localSheetId="79">#REF!</definedName>
    <definedName name="ShoppingStartDate" localSheetId="82">#REF!</definedName>
    <definedName name="ShoppingStartDate" localSheetId="85">#REF!</definedName>
    <definedName name="ShoppingStartDate" localSheetId="86">#REF!</definedName>
    <definedName name="ShoppingStartDate" localSheetId="87">#REF!</definedName>
    <definedName name="ShoppingStartDate" localSheetId="8">#REF!</definedName>
    <definedName name="ShoppingStartDate" localSheetId="9">#REF!</definedName>
    <definedName name="ShoppingStartDate">#REF!</definedName>
    <definedName name="slgr" localSheetId="0" hidden="1">#REF!</definedName>
    <definedName name="slgr" localSheetId="16" hidden="1">#REF!</definedName>
    <definedName name="slgr" localSheetId="17" hidden="1">#REF!</definedName>
    <definedName name="slgr" localSheetId="18" hidden="1">#REF!</definedName>
    <definedName name="slgr" localSheetId="19" hidden="1">#REF!</definedName>
    <definedName name="slgr" localSheetId="21" hidden="1">#REF!</definedName>
    <definedName name="slgr" localSheetId="22">#REF!</definedName>
    <definedName name="slgr" localSheetId="1" hidden="1">#REF!</definedName>
    <definedName name="slgr" localSheetId="2" hidden="1">#REF!</definedName>
    <definedName name="slgr" localSheetId="4" hidden="1">#REF!</definedName>
    <definedName name="slgr" localSheetId="48" hidden="1">#REF!</definedName>
    <definedName name="slgr" localSheetId="52" hidden="1">#REF!</definedName>
    <definedName name="slgr" localSheetId="68" hidden="1">#REF!</definedName>
    <definedName name="slgr" localSheetId="71" hidden="1">#REF!</definedName>
    <definedName name="slgr" localSheetId="76" hidden="1">#REF!</definedName>
    <definedName name="slgr" localSheetId="78" hidden="1">#REF!</definedName>
    <definedName name="slgr" localSheetId="79" hidden="1">#REF!</definedName>
    <definedName name="slgr" localSheetId="82" hidden="1">#REF!</definedName>
    <definedName name="slgr" localSheetId="85" hidden="1">#REF!</definedName>
    <definedName name="slgr" localSheetId="86" hidden="1">#REF!</definedName>
    <definedName name="slgr" localSheetId="87" hidden="1">#REF!</definedName>
    <definedName name="slgr" localSheetId="8" hidden="1">#REF!</definedName>
    <definedName name="slgr" localSheetId="9" hidden="1">#REF!</definedName>
    <definedName name="slgr" hidden="1">#REF!</definedName>
    <definedName name="SORT" localSheetId="0" hidden="1">#REF!</definedName>
    <definedName name="SORT" localSheetId="16" hidden="1">#REF!</definedName>
    <definedName name="SORT" localSheetId="18" hidden="1">#REF!</definedName>
    <definedName name="SORT" localSheetId="19" hidden="1">#REF!</definedName>
    <definedName name="SORT" localSheetId="21" hidden="1">#REF!</definedName>
    <definedName name="SORT" localSheetId="22">#REF!</definedName>
    <definedName name="SORT" localSheetId="1" hidden="1">#REF!</definedName>
    <definedName name="SORT" localSheetId="2" hidden="1">#REF!</definedName>
    <definedName name="SORT" localSheetId="4" hidden="1">#REF!</definedName>
    <definedName name="SORT" localSheetId="48" hidden="1">#REF!</definedName>
    <definedName name="SORT" localSheetId="52" hidden="1">#REF!</definedName>
    <definedName name="SORT" localSheetId="68" hidden="1">#REF!</definedName>
    <definedName name="SORT" localSheetId="71" hidden="1">#REF!</definedName>
    <definedName name="SORT" localSheetId="76" hidden="1">#REF!</definedName>
    <definedName name="SORT" localSheetId="78" hidden="1">#REF!</definedName>
    <definedName name="SORT" localSheetId="79" hidden="1">#REF!</definedName>
    <definedName name="SORT" localSheetId="82" hidden="1">#REF!</definedName>
    <definedName name="SORT" localSheetId="85" hidden="1">#REF!</definedName>
    <definedName name="SORT" localSheetId="86" hidden="1">#REF!</definedName>
    <definedName name="SORT" localSheetId="87" hidden="1">#REF!</definedName>
    <definedName name="SORT" localSheetId="8" hidden="1">#REF!</definedName>
    <definedName name="SORT" localSheetId="9" hidden="1">#REF!</definedName>
    <definedName name="SORT" hidden="1">#REF!</definedName>
    <definedName name="sr" localSheetId="0">#REF!</definedName>
    <definedName name="sr" localSheetId="18">#REF!</definedName>
    <definedName name="sr" localSheetId="19">#REF!</definedName>
    <definedName name="sr" localSheetId="21">#REF!</definedName>
    <definedName name="sr" localSheetId="22">#REF!</definedName>
    <definedName name="sr" localSheetId="1">#REF!</definedName>
    <definedName name="sr" localSheetId="2">#REF!</definedName>
    <definedName name="sr" localSheetId="4">#REF!</definedName>
    <definedName name="sr" localSheetId="48">#REF!</definedName>
    <definedName name="sr" localSheetId="68">#REF!</definedName>
    <definedName name="sr" localSheetId="71">#REF!</definedName>
    <definedName name="sr" localSheetId="76">#REF!</definedName>
    <definedName name="sr" localSheetId="78">#REF!</definedName>
    <definedName name="sr" localSheetId="79">#REF!</definedName>
    <definedName name="sr" localSheetId="82">#REF!</definedName>
    <definedName name="sr" localSheetId="85">#REF!</definedName>
    <definedName name="sr" localSheetId="86">#REF!</definedName>
    <definedName name="sr" localSheetId="87">#REF!</definedName>
    <definedName name="sr" localSheetId="8">#REF!</definedName>
    <definedName name="sr" localSheetId="9">#REF!</definedName>
    <definedName name="sr">#REF!</definedName>
    <definedName name="srrr" localSheetId="0">#REF!</definedName>
    <definedName name="srrr" localSheetId="18">#REF!</definedName>
    <definedName name="srrr" localSheetId="19">#REF!</definedName>
    <definedName name="srrr" localSheetId="21">#REF!</definedName>
    <definedName name="srrr" localSheetId="22">#REF!</definedName>
    <definedName name="srrr" localSheetId="1">#REF!</definedName>
    <definedName name="srrr" localSheetId="2">#REF!</definedName>
    <definedName name="srrr" localSheetId="4">#REF!</definedName>
    <definedName name="srrr" localSheetId="48">#REF!</definedName>
    <definedName name="srrr" localSheetId="68">#REF!</definedName>
    <definedName name="srrr" localSheetId="71">#REF!</definedName>
    <definedName name="srrr" localSheetId="76">#REF!</definedName>
    <definedName name="srrr" localSheetId="78">#REF!</definedName>
    <definedName name="srrr" localSheetId="79">#REF!</definedName>
    <definedName name="srrr" localSheetId="82">#REF!</definedName>
    <definedName name="srrr" localSheetId="85">#REF!</definedName>
    <definedName name="srrr" localSheetId="86">#REF!</definedName>
    <definedName name="srrr" localSheetId="87">#REF!</definedName>
    <definedName name="srrr" localSheetId="8">#REF!</definedName>
    <definedName name="srrr" localSheetId="9">#REF!</definedName>
    <definedName name="srrr">#REF!</definedName>
    <definedName name="ss" localSheetId="0" hidden="1">'[1]4.9'!#REF!</definedName>
    <definedName name="ss" localSheetId="18" hidden="1">'[1]4.9'!#REF!</definedName>
    <definedName name="ss" localSheetId="19" hidden="1">'[1]4.9'!#REF!</definedName>
    <definedName name="ss" localSheetId="21" hidden="1">'[1]4.9'!#REF!</definedName>
    <definedName name="ss" localSheetId="22">#REF!</definedName>
    <definedName name="ss" localSheetId="1" hidden="1">'[1]4.9'!#REF!</definedName>
    <definedName name="ss" localSheetId="2" hidden="1">'[1]4.9'!#REF!</definedName>
    <definedName name="ss" localSheetId="4" hidden="1">'[2]4.9'!#REF!</definedName>
    <definedName name="ss" localSheetId="48" hidden="1">'[1]4.9'!#REF!</definedName>
    <definedName name="ss" localSheetId="6" hidden="1">'[1]4.9'!#REF!</definedName>
    <definedName name="ss" localSheetId="68" hidden="1">'[1]4.9'!#REF!</definedName>
    <definedName name="ss" localSheetId="71" hidden="1">'[1]4.9'!#REF!</definedName>
    <definedName name="ss" localSheetId="76" hidden="1">'[1]4.9'!#REF!</definedName>
    <definedName name="ss" localSheetId="82" hidden="1">'[1]4.9'!#REF!</definedName>
    <definedName name="ss" localSheetId="85" hidden="1">'[1]4.9'!#REF!</definedName>
    <definedName name="ss" localSheetId="86" hidden="1">'[1]4.9'!#REF!</definedName>
    <definedName name="ss" localSheetId="87" hidden="1">'[1]4.9'!#REF!</definedName>
    <definedName name="ss" localSheetId="8" hidden="1">'[1]4.9'!#REF!</definedName>
    <definedName name="ss" localSheetId="9" hidden="1">'[1]4.9'!#REF!</definedName>
    <definedName name="ss" hidden="1">'[1]4.9'!#REF!</definedName>
    <definedName name="sss" localSheetId="0">#REF!</definedName>
    <definedName name="sss" localSheetId="16">#REF!</definedName>
    <definedName name="sss" localSheetId="17">#REF!</definedName>
    <definedName name="sss" localSheetId="18">#REF!</definedName>
    <definedName name="sss" localSheetId="19">#REF!</definedName>
    <definedName name="sss" localSheetId="21">#REF!</definedName>
    <definedName name="sss" localSheetId="22">#REF!</definedName>
    <definedName name="sss" localSheetId="1">#REF!</definedName>
    <definedName name="sss" localSheetId="2">#REF!</definedName>
    <definedName name="sss" localSheetId="4">#REF!</definedName>
    <definedName name="sss" localSheetId="48">#REF!</definedName>
    <definedName name="sss" localSheetId="52">#REF!</definedName>
    <definedName name="sss" localSheetId="6">#REF!</definedName>
    <definedName name="sss" localSheetId="68">#REF!</definedName>
    <definedName name="sss" localSheetId="71">#REF!</definedName>
    <definedName name="sss" localSheetId="76">#REF!</definedName>
    <definedName name="sss" localSheetId="78">#REF!</definedName>
    <definedName name="sss" localSheetId="79">#REF!</definedName>
    <definedName name="sss" localSheetId="82">#REF!</definedName>
    <definedName name="sss" localSheetId="85">#REF!</definedName>
    <definedName name="sss" localSheetId="86">#REF!</definedName>
    <definedName name="sss" localSheetId="87">#REF!</definedName>
    <definedName name="sss" localSheetId="8">#REF!</definedName>
    <definedName name="sss" localSheetId="9">#REF!</definedName>
    <definedName name="sss">#REF!</definedName>
    <definedName name="ssssw" localSheetId="0" hidden="1">'[18]4.9'!#REF!</definedName>
    <definedName name="ssssw" localSheetId="18" hidden="1">'[18]4.9'!#REF!</definedName>
    <definedName name="ssssw" localSheetId="19" hidden="1">'[18]4.9'!#REF!</definedName>
    <definedName name="ssssw" localSheetId="21" hidden="1">'[18]4.9'!#REF!</definedName>
    <definedName name="ssssw" localSheetId="22">#REF!</definedName>
    <definedName name="ssssw" localSheetId="1" hidden="1">'[18]4.9'!#REF!</definedName>
    <definedName name="ssssw" localSheetId="2" hidden="1">'[18]4.9'!#REF!</definedName>
    <definedName name="ssssw" localSheetId="4" hidden="1">'[19]4.9'!#REF!</definedName>
    <definedName name="ssssw" localSheetId="48" hidden="1">'[18]4.9'!#REF!</definedName>
    <definedName name="ssssw" localSheetId="6" hidden="1">'[16]4.9'!#REF!</definedName>
    <definedName name="ssssw" localSheetId="68" hidden="1">'[18]4.9'!#REF!</definedName>
    <definedName name="ssssw" localSheetId="71" hidden="1">'[18]4.9'!#REF!</definedName>
    <definedName name="ssssw" localSheetId="76" hidden="1">'[18]4.9'!#REF!</definedName>
    <definedName name="ssssw" localSheetId="82" hidden="1">'[18]4.9'!#REF!</definedName>
    <definedName name="ssssw" localSheetId="7" hidden="1">'[16]4.9'!#REF!</definedName>
    <definedName name="ssssw" localSheetId="85" hidden="1">'[18]4.9'!#REF!</definedName>
    <definedName name="ssssw" localSheetId="86" hidden="1">'[18]4.9'!#REF!</definedName>
    <definedName name="ssssw" localSheetId="87" hidden="1">'[18]4.9'!#REF!</definedName>
    <definedName name="ssssw" localSheetId="8" hidden="1">'[18]4.9'!#REF!</definedName>
    <definedName name="ssssw" localSheetId="9" hidden="1">'[18]4.9'!#REF!</definedName>
    <definedName name="ssssw" hidden="1">'[18]4.9'!#REF!</definedName>
    <definedName name="ssszzz" localSheetId="18" hidden="1">#REF!</definedName>
    <definedName name="ssszzz" localSheetId="19" hidden="1">#REF!</definedName>
    <definedName name="ssszzz" localSheetId="21" hidden="1">#REF!</definedName>
    <definedName name="ssszzz" localSheetId="22">#REF!</definedName>
    <definedName name="ssszzz" localSheetId="1" hidden="1">#REF!</definedName>
    <definedName name="ssszzz" localSheetId="2" hidden="1">#REF!</definedName>
    <definedName name="ssszzz" localSheetId="4" hidden="1">#REF!</definedName>
    <definedName name="ssszzz" localSheetId="48" hidden="1">#REF!</definedName>
    <definedName name="ssszzz" localSheetId="68" hidden="1">#REF!</definedName>
    <definedName name="ssszzz" localSheetId="71" hidden="1">#REF!</definedName>
    <definedName name="ssszzz" localSheetId="76" hidden="1">#REF!</definedName>
    <definedName name="ssszzz" localSheetId="78" hidden="1">#REF!</definedName>
    <definedName name="ssszzz" localSheetId="79" hidden="1">#REF!</definedName>
    <definedName name="ssszzz" localSheetId="82" hidden="1">#REF!</definedName>
    <definedName name="ssszzz" localSheetId="85" hidden="1">#REF!</definedName>
    <definedName name="ssszzz" localSheetId="86" hidden="1">#REF!</definedName>
    <definedName name="ssszzz" localSheetId="87" hidden="1">#REF!</definedName>
    <definedName name="ssszzz" localSheetId="8" hidden="1">#REF!</definedName>
    <definedName name="ssszzz" localSheetId="9" hidden="1">#REF!</definedName>
    <definedName name="ssszzz" hidden="1">#REF!</definedName>
    <definedName name="state" localSheetId="52">[50]ref!$B$23:$C$38</definedName>
    <definedName name="state">[47]ref!$B$23:$C$38</definedName>
    <definedName name="sz" localSheetId="0" hidden="1">#REF!</definedName>
    <definedName name="sz" localSheetId="16" hidden="1">#REF!</definedName>
    <definedName name="sz" localSheetId="18" hidden="1">#REF!</definedName>
    <definedName name="sz" localSheetId="19" hidden="1">#REF!</definedName>
    <definedName name="sz" localSheetId="21" hidden="1">#REF!</definedName>
    <definedName name="sz" localSheetId="22">#REF!</definedName>
    <definedName name="sz" localSheetId="1" hidden="1">#REF!</definedName>
    <definedName name="sz" localSheetId="2" hidden="1">#REF!</definedName>
    <definedName name="sz" localSheetId="4" hidden="1">#REF!</definedName>
    <definedName name="sz" localSheetId="48" hidden="1">#REF!</definedName>
    <definedName name="sz" localSheetId="52" hidden="1">#REF!</definedName>
    <definedName name="sz" localSheetId="6" hidden="1">#REF!</definedName>
    <definedName name="sz" localSheetId="68" hidden="1">#REF!</definedName>
    <definedName name="sz" localSheetId="71" hidden="1">#REF!</definedName>
    <definedName name="sz" localSheetId="76" hidden="1">#REF!</definedName>
    <definedName name="sz" localSheetId="78" hidden="1">#REF!</definedName>
    <definedName name="sz" localSheetId="79" hidden="1">#REF!</definedName>
    <definedName name="sz" localSheetId="82" hidden="1">#REF!</definedName>
    <definedName name="sz" localSheetId="85" hidden="1">#REF!</definedName>
    <definedName name="sz" localSheetId="86" hidden="1">#REF!</definedName>
    <definedName name="sz" localSheetId="87" hidden="1">#REF!</definedName>
    <definedName name="sz" localSheetId="8" hidden="1">#REF!</definedName>
    <definedName name="sz" localSheetId="9" hidden="1">#REF!</definedName>
    <definedName name="sz" hidden="1">#REF!</definedName>
    <definedName name="t" localSheetId="0" hidden="1">'[7]4.13'!$E$38:$M$38</definedName>
    <definedName name="t" localSheetId="16" hidden="1">'[8]4.13'!$E$38:$M$38</definedName>
    <definedName name="t" localSheetId="17" hidden="1">'[9]4.13'!$E$38:$M$38</definedName>
    <definedName name="t" localSheetId="18" hidden="1">#REF!</definedName>
    <definedName name="t" localSheetId="19" hidden="1">#REF!</definedName>
    <definedName name="t" localSheetId="21" hidden="1">#REF!</definedName>
    <definedName name="t" localSheetId="22">#REF!</definedName>
    <definedName name="t" localSheetId="1" hidden="1">#REF!</definedName>
    <definedName name="t" localSheetId="2" hidden="1">#REF!</definedName>
    <definedName name="t" localSheetId="4" hidden="1">#REF!</definedName>
    <definedName name="t" localSheetId="48" hidden="1">#REF!</definedName>
    <definedName name="t" localSheetId="52" hidden="1">#REF!</definedName>
    <definedName name="t" localSheetId="6" hidden="1">'[9]4.13'!$E$38:$M$38</definedName>
    <definedName name="t" localSheetId="68" hidden="1">#REF!</definedName>
    <definedName name="t" localSheetId="71" hidden="1">#REF!</definedName>
    <definedName name="t" localSheetId="76" hidden="1">#REF!</definedName>
    <definedName name="t" localSheetId="78" hidden="1">#REF!</definedName>
    <definedName name="t" localSheetId="79" hidden="1">#REF!</definedName>
    <definedName name="t" localSheetId="82" hidden="1">#REF!</definedName>
    <definedName name="t" localSheetId="7" hidden="1">'[9]4.13'!$E$38:$M$38</definedName>
    <definedName name="t" localSheetId="85" hidden="1">#REF!</definedName>
    <definedName name="t" localSheetId="86" hidden="1">#REF!</definedName>
    <definedName name="t" localSheetId="87" hidden="1">#REF!</definedName>
    <definedName name="t" localSheetId="8" hidden="1">#REF!</definedName>
    <definedName name="t" localSheetId="9" hidden="1">#REF!</definedName>
    <definedName name="t" hidden="1">#REF!</definedName>
    <definedName name="table" localSheetId="0">#REF!</definedName>
    <definedName name="table" localSheetId="18">#REF!</definedName>
    <definedName name="table" localSheetId="19">#REF!</definedName>
    <definedName name="table" localSheetId="21">#REF!</definedName>
    <definedName name="table" localSheetId="22">#REF!</definedName>
    <definedName name="table" localSheetId="1">#REF!</definedName>
    <definedName name="table" localSheetId="2">#REF!</definedName>
    <definedName name="table" localSheetId="4">#REF!</definedName>
    <definedName name="table" localSheetId="48">#REF!</definedName>
    <definedName name="table" localSheetId="6">#REF!</definedName>
    <definedName name="table" localSheetId="68">#REF!</definedName>
    <definedName name="table" localSheetId="71">#REF!</definedName>
    <definedName name="table" localSheetId="76">#REF!</definedName>
    <definedName name="table" localSheetId="78">#REF!</definedName>
    <definedName name="table" localSheetId="79">#REF!</definedName>
    <definedName name="table" localSheetId="82">#REF!</definedName>
    <definedName name="table" localSheetId="85">#REF!</definedName>
    <definedName name="table" localSheetId="86">#REF!</definedName>
    <definedName name="table" localSheetId="87">#REF!</definedName>
    <definedName name="table" localSheetId="8">#REF!</definedName>
    <definedName name="table" localSheetId="9">#REF!</definedName>
    <definedName name="table">#REF!</definedName>
    <definedName name="table_no" localSheetId="52">[50]ref!$B$23:$E$38</definedName>
    <definedName name="table_no">[47]ref!$B$23:$E$38</definedName>
    <definedName name="table1" localSheetId="0">#REF!</definedName>
    <definedName name="table1" localSheetId="18">#REF!</definedName>
    <definedName name="table1" localSheetId="19">#REF!</definedName>
    <definedName name="table1" localSheetId="21">#REF!</definedName>
    <definedName name="table1" localSheetId="22">#REF!</definedName>
    <definedName name="table1" localSheetId="1">#REF!</definedName>
    <definedName name="table1" localSheetId="2">#REF!</definedName>
    <definedName name="table1" localSheetId="4">#REF!</definedName>
    <definedName name="table1" localSheetId="48">#REF!</definedName>
    <definedName name="table1" localSheetId="6">#REF!</definedName>
    <definedName name="table1" localSheetId="68">#REF!</definedName>
    <definedName name="table1" localSheetId="71">#REF!</definedName>
    <definedName name="table1" localSheetId="76">#REF!</definedName>
    <definedName name="table1" localSheetId="78">#REF!</definedName>
    <definedName name="table1" localSheetId="79">#REF!</definedName>
    <definedName name="table1" localSheetId="82">#REF!</definedName>
    <definedName name="table1" localSheetId="85">#REF!</definedName>
    <definedName name="table1" localSheetId="86">#REF!</definedName>
    <definedName name="table1" localSheetId="87">#REF!</definedName>
    <definedName name="table1" localSheetId="8">#REF!</definedName>
    <definedName name="table1" localSheetId="9">#REF!</definedName>
    <definedName name="table1">#REF!</definedName>
    <definedName name="table2" localSheetId="0">#REF!</definedName>
    <definedName name="table2" localSheetId="18">#REF!</definedName>
    <definedName name="table2" localSheetId="19">#REF!</definedName>
    <definedName name="table2" localSheetId="21">#REF!</definedName>
    <definedName name="table2" localSheetId="22">#REF!</definedName>
    <definedName name="table2" localSheetId="1">#REF!</definedName>
    <definedName name="table2" localSheetId="2">#REF!</definedName>
    <definedName name="table2" localSheetId="4">#REF!</definedName>
    <definedName name="table2" localSheetId="48">#REF!</definedName>
    <definedName name="table2" localSheetId="6">#REF!</definedName>
    <definedName name="table2" localSheetId="68">#REF!</definedName>
    <definedName name="table2" localSheetId="71">#REF!</definedName>
    <definedName name="table2" localSheetId="76">#REF!</definedName>
    <definedName name="table2" localSheetId="78">#REF!</definedName>
    <definedName name="table2" localSheetId="79">#REF!</definedName>
    <definedName name="table2" localSheetId="82">#REF!</definedName>
    <definedName name="table2" localSheetId="85">#REF!</definedName>
    <definedName name="table2" localSheetId="86">#REF!</definedName>
    <definedName name="table2" localSheetId="87">#REF!</definedName>
    <definedName name="table2" localSheetId="8">#REF!</definedName>
    <definedName name="table2" localSheetId="9">#REF!</definedName>
    <definedName name="table2">#REF!</definedName>
    <definedName name="tail" localSheetId="18">#REF!</definedName>
    <definedName name="tail" localSheetId="19">#REF!</definedName>
    <definedName name="tail" localSheetId="21">#REF!</definedName>
    <definedName name="tail" localSheetId="22">#REF!</definedName>
    <definedName name="tail" localSheetId="1">#REF!</definedName>
    <definedName name="tail" localSheetId="2">#REF!</definedName>
    <definedName name="tail" localSheetId="4">#REF!</definedName>
    <definedName name="tail" localSheetId="48">#REF!</definedName>
    <definedName name="tail" localSheetId="68">#REF!</definedName>
    <definedName name="tail" localSheetId="71">#REF!</definedName>
    <definedName name="tail" localSheetId="76">#REF!</definedName>
    <definedName name="tail" localSheetId="78">#REF!</definedName>
    <definedName name="tail" localSheetId="79">#REF!</definedName>
    <definedName name="tail" localSheetId="82">#REF!</definedName>
    <definedName name="tail" localSheetId="85">#REF!</definedName>
    <definedName name="tail" localSheetId="86">#REF!</definedName>
    <definedName name="tail" localSheetId="87">#REF!</definedName>
    <definedName name="tail" localSheetId="8">#REF!</definedName>
    <definedName name="tail" localSheetId="9">#REF!</definedName>
    <definedName name="tail">#REF!</definedName>
    <definedName name="te" localSheetId="0" hidden="1">'[1]4.9'!#REF!</definedName>
    <definedName name="te" localSheetId="16" hidden="1">'[17]4.9'!#REF!</definedName>
    <definedName name="te" localSheetId="17" hidden="1">'[16]4.9'!#REF!</definedName>
    <definedName name="te" localSheetId="18" hidden="1">'[1]4.9'!#REF!</definedName>
    <definedName name="te" localSheetId="19" hidden="1">'[1]4.9'!#REF!</definedName>
    <definedName name="te" localSheetId="21" hidden="1">'[1]4.9'!#REF!</definedName>
    <definedName name="te" localSheetId="22">#REF!</definedName>
    <definedName name="te" localSheetId="1" hidden="1">'[1]4.9'!#REF!</definedName>
    <definedName name="te" localSheetId="2" hidden="1">'[1]4.9'!#REF!</definedName>
    <definedName name="te" localSheetId="4" hidden="1">'[2]4.9'!#REF!</definedName>
    <definedName name="te" localSheetId="48" hidden="1">'[1]4.9'!#REF!</definedName>
    <definedName name="te" localSheetId="52" hidden="1">'[3]4.9'!#REF!</definedName>
    <definedName name="te" localSheetId="6" hidden="1">'[16]4.9'!#REF!</definedName>
    <definedName name="te" localSheetId="68" hidden="1">'[1]4.9'!#REF!</definedName>
    <definedName name="te" localSheetId="71" hidden="1">'[1]4.9'!#REF!</definedName>
    <definedName name="te" localSheetId="76" hidden="1">'[1]4.9'!#REF!</definedName>
    <definedName name="te" localSheetId="82" hidden="1">'[1]4.9'!#REF!</definedName>
    <definedName name="te" localSheetId="7" hidden="1">'[16]4.9'!#REF!</definedName>
    <definedName name="te" localSheetId="85" hidden="1">'[1]4.9'!#REF!</definedName>
    <definedName name="te" localSheetId="86" hidden="1">'[1]4.9'!#REF!</definedName>
    <definedName name="te" localSheetId="87" hidden="1">'[1]4.9'!#REF!</definedName>
    <definedName name="te" localSheetId="8" hidden="1">'[1]4.9'!#REF!</definedName>
    <definedName name="te" localSheetId="9" hidden="1">'[1]4.9'!#REF!</definedName>
    <definedName name="te" hidden="1">'[1]4.9'!#REF!</definedName>
    <definedName name="Ter_a" localSheetId="0" hidden="1">'[1]4.9'!#REF!</definedName>
    <definedName name="Ter_a" localSheetId="16" hidden="1">'[17]4.9'!#REF!</definedName>
    <definedName name="Ter_a" localSheetId="17" hidden="1">'[16]4.9'!#REF!</definedName>
    <definedName name="Ter_a" localSheetId="18" hidden="1">'[1]4.9'!#REF!</definedName>
    <definedName name="Ter_a" localSheetId="19" hidden="1">'[1]4.9'!#REF!</definedName>
    <definedName name="Ter_a" localSheetId="21" hidden="1">'[1]4.9'!#REF!</definedName>
    <definedName name="Ter_a" localSheetId="22">#REF!</definedName>
    <definedName name="Ter_a" localSheetId="1" hidden="1">'[1]4.9'!#REF!</definedName>
    <definedName name="Ter_a" localSheetId="2" hidden="1">'[1]4.9'!#REF!</definedName>
    <definedName name="Ter_a" localSheetId="4" hidden="1">'[2]4.9'!#REF!</definedName>
    <definedName name="Ter_a" localSheetId="48" hidden="1">'[1]4.9'!#REF!</definedName>
    <definedName name="Ter_a" localSheetId="52" hidden="1">'[3]4.9'!#REF!</definedName>
    <definedName name="Ter_a" localSheetId="6" hidden="1">'[16]4.9'!#REF!</definedName>
    <definedName name="Ter_a" localSheetId="68" hidden="1">'[1]4.9'!#REF!</definedName>
    <definedName name="Ter_a" localSheetId="71" hidden="1">'[1]4.9'!#REF!</definedName>
    <definedName name="Ter_a" localSheetId="76" hidden="1">'[1]4.9'!#REF!</definedName>
    <definedName name="Ter_a" localSheetId="82" hidden="1">'[1]4.9'!#REF!</definedName>
    <definedName name="Ter_a" localSheetId="7" hidden="1">'[16]4.9'!#REF!</definedName>
    <definedName name="Ter_a" localSheetId="85" hidden="1">'[1]4.9'!#REF!</definedName>
    <definedName name="Ter_a" localSheetId="86" hidden="1">'[1]4.9'!#REF!</definedName>
    <definedName name="Ter_a" localSheetId="87" hidden="1">'[1]4.9'!#REF!</definedName>
    <definedName name="Ter_a" localSheetId="8" hidden="1">'[1]4.9'!#REF!</definedName>
    <definedName name="Ter_a" localSheetId="9" hidden="1">'[1]4.9'!#REF!</definedName>
    <definedName name="Ter_a" hidden="1">'[1]4.9'!#REF!</definedName>
    <definedName name="tes" localSheetId="0" hidden="1">'[1]4.9'!#REF!</definedName>
    <definedName name="tes" localSheetId="16" hidden="1">'[17]4.9'!#REF!</definedName>
    <definedName name="tes" localSheetId="17" hidden="1">'[16]4.9'!#REF!</definedName>
    <definedName name="tes" localSheetId="18" hidden="1">'[1]4.9'!#REF!</definedName>
    <definedName name="tes" localSheetId="19" hidden="1">'[1]4.9'!#REF!</definedName>
    <definedName name="tes" localSheetId="21" hidden="1">'[1]4.9'!#REF!</definedName>
    <definedName name="tes" localSheetId="22">#REF!</definedName>
    <definedName name="tes" localSheetId="1" hidden="1">'[1]4.9'!#REF!</definedName>
    <definedName name="tes" localSheetId="2" hidden="1">'[1]4.9'!#REF!</definedName>
    <definedName name="tes" localSheetId="4" hidden="1">'[2]4.9'!#REF!</definedName>
    <definedName name="tes" localSheetId="48" hidden="1">'[1]4.9'!#REF!</definedName>
    <definedName name="tes" localSheetId="52" hidden="1">'[3]4.9'!#REF!</definedName>
    <definedName name="tes" localSheetId="6" hidden="1">'[16]4.9'!#REF!</definedName>
    <definedName name="tes" localSheetId="68" hidden="1">'[1]4.9'!#REF!</definedName>
    <definedName name="tes" localSheetId="82" hidden="1">'[1]4.9'!#REF!</definedName>
    <definedName name="tes" localSheetId="7" hidden="1">'[16]4.9'!#REF!</definedName>
    <definedName name="tes" localSheetId="8" hidden="1">'[1]4.9'!#REF!</definedName>
    <definedName name="tes" localSheetId="9" hidden="1">'[1]4.9'!#REF!</definedName>
    <definedName name="tes" hidden="1">'[1]4.9'!#REF!</definedName>
    <definedName name="test" localSheetId="0" hidden="1">#REF!</definedName>
    <definedName name="test" localSheetId="16" hidden="1">#REF!</definedName>
    <definedName name="test" localSheetId="17" hidden="1">#REF!</definedName>
    <definedName name="test" localSheetId="18" hidden="1">#REF!</definedName>
    <definedName name="test" localSheetId="19" hidden="1">#REF!</definedName>
    <definedName name="test" localSheetId="21" hidden="1">#REF!</definedName>
    <definedName name="test" localSheetId="22">#REF!</definedName>
    <definedName name="test" localSheetId="1" hidden="1">#REF!</definedName>
    <definedName name="test" localSheetId="2" hidden="1">#REF!</definedName>
    <definedName name="test" localSheetId="4" hidden="1">#REF!</definedName>
    <definedName name="test" localSheetId="48" hidden="1">#REF!</definedName>
    <definedName name="test" localSheetId="52" hidden="1">#REF!</definedName>
    <definedName name="test" localSheetId="6" hidden="1">#REF!</definedName>
    <definedName name="test" localSheetId="68" hidden="1">#REF!</definedName>
    <definedName name="test" localSheetId="71" hidden="1">#REF!</definedName>
    <definedName name="test" localSheetId="76" hidden="1">#REF!</definedName>
    <definedName name="test" localSheetId="78" hidden="1">#REF!</definedName>
    <definedName name="test" localSheetId="79" hidden="1">#REF!</definedName>
    <definedName name="test" localSheetId="82" hidden="1">#REF!</definedName>
    <definedName name="test" localSheetId="7" hidden="1">#REF!</definedName>
    <definedName name="test" localSheetId="85" hidden="1">#REF!</definedName>
    <definedName name="test" localSheetId="86" hidden="1">#REF!</definedName>
    <definedName name="test" localSheetId="87" hidden="1">#REF!</definedName>
    <definedName name="test" localSheetId="8" hidden="1">#REF!</definedName>
    <definedName name="test" localSheetId="9" hidden="1">#REF!</definedName>
    <definedName name="test" hidden="1">#REF!</definedName>
    <definedName name="test3333333" localSheetId="0" hidden="1">#REF!</definedName>
    <definedName name="test3333333" localSheetId="16" hidden="1">#REF!</definedName>
    <definedName name="test3333333" localSheetId="17" hidden="1">#REF!</definedName>
    <definedName name="test3333333" localSheetId="18" hidden="1">#REF!</definedName>
    <definedName name="test3333333" localSheetId="19" hidden="1">#REF!</definedName>
    <definedName name="test3333333" localSheetId="21" hidden="1">#REF!</definedName>
    <definedName name="test3333333" localSheetId="22">#REF!</definedName>
    <definedName name="test3333333" localSheetId="1" hidden="1">#REF!</definedName>
    <definedName name="test3333333" localSheetId="2" hidden="1">#REF!</definedName>
    <definedName name="test3333333" localSheetId="4" hidden="1">#REF!</definedName>
    <definedName name="test3333333" localSheetId="48" hidden="1">#REF!</definedName>
    <definedName name="test3333333" localSheetId="52" hidden="1">#REF!</definedName>
    <definedName name="test3333333" localSheetId="6" hidden="1">#REF!</definedName>
    <definedName name="test3333333" localSheetId="68" hidden="1">#REF!</definedName>
    <definedName name="test3333333" localSheetId="71" hidden="1">#REF!</definedName>
    <definedName name="test3333333" localSheetId="76" hidden="1">#REF!</definedName>
    <definedName name="test3333333" localSheetId="78" hidden="1">#REF!</definedName>
    <definedName name="test3333333" localSheetId="79" hidden="1">#REF!</definedName>
    <definedName name="test3333333" localSheetId="82" hidden="1">#REF!</definedName>
    <definedName name="test3333333" localSheetId="85" hidden="1">#REF!</definedName>
    <definedName name="test3333333" localSheetId="86" hidden="1">#REF!</definedName>
    <definedName name="test3333333" localSheetId="87" hidden="1">#REF!</definedName>
    <definedName name="test3333333" localSheetId="8" hidden="1">#REF!</definedName>
    <definedName name="test3333333" localSheetId="9" hidden="1">#REF!</definedName>
    <definedName name="test3333333" hidden="1">#REF!</definedName>
    <definedName name="try" localSheetId="19">#REF!</definedName>
    <definedName name="try" localSheetId="48">#REF!</definedName>
    <definedName name="try" localSheetId="68">#REF!</definedName>
    <definedName name="try" localSheetId="71">#REF!</definedName>
    <definedName name="try" localSheetId="76">#REF!</definedName>
    <definedName name="try" localSheetId="78">#REF!</definedName>
    <definedName name="try" localSheetId="79">#REF!</definedName>
    <definedName name="try" localSheetId="82">#REF!</definedName>
    <definedName name="try" localSheetId="85">#REF!</definedName>
    <definedName name="try" localSheetId="86">#REF!</definedName>
    <definedName name="try" localSheetId="87">#REF!</definedName>
    <definedName name="try" localSheetId="8">#REF!</definedName>
    <definedName name="try" localSheetId="9">#REF!</definedName>
    <definedName name="try">#REF!</definedName>
    <definedName name="tt" localSheetId="0">#REF!</definedName>
    <definedName name="tt" localSheetId="18">#REF!</definedName>
    <definedName name="tt" localSheetId="19">#REF!</definedName>
    <definedName name="tt" localSheetId="21">#REF!</definedName>
    <definedName name="tt" localSheetId="22">#REF!</definedName>
    <definedName name="tt" localSheetId="1">#REF!</definedName>
    <definedName name="tt" localSheetId="2">#REF!</definedName>
    <definedName name="tt" localSheetId="4">#REF!</definedName>
    <definedName name="tt" localSheetId="48">#REF!</definedName>
    <definedName name="tt" localSheetId="6">#REF!</definedName>
    <definedName name="tt" localSheetId="68">#REF!</definedName>
    <definedName name="tt" localSheetId="71">#REF!</definedName>
    <definedName name="tt" localSheetId="76">#REF!</definedName>
    <definedName name="tt" localSheetId="78">#REF!</definedName>
    <definedName name="tt" localSheetId="79">#REF!</definedName>
    <definedName name="tt" localSheetId="82">#REF!</definedName>
    <definedName name="tt" localSheetId="85">#REF!</definedName>
    <definedName name="tt" localSheetId="86">#REF!</definedName>
    <definedName name="tt" localSheetId="87">#REF!</definedName>
    <definedName name="tt" localSheetId="8">#REF!</definedName>
    <definedName name="tt" localSheetId="9">#REF!</definedName>
    <definedName name="tt">#REF!</definedName>
    <definedName name="tttt" localSheetId="0" hidden="1">'[18]4.9'!#REF!</definedName>
    <definedName name="tttt" localSheetId="18" hidden="1">'[18]4.9'!#REF!</definedName>
    <definedName name="tttt" localSheetId="19" hidden="1">'[18]4.9'!#REF!</definedName>
    <definedName name="tttt" localSheetId="21" hidden="1">'[18]4.9'!#REF!</definedName>
    <definedName name="tttt" localSheetId="22">#REF!</definedName>
    <definedName name="tttt" localSheetId="1" hidden="1">'[18]4.9'!#REF!</definedName>
    <definedName name="tttt" localSheetId="2" hidden="1">'[18]4.9'!#REF!</definedName>
    <definedName name="tttt" localSheetId="4" hidden="1">'[19]4.9'!#REF!</definedName>
    <definedName name="tttt" localSheetId="48" hidden="1">'[18]4.9'!#REF!</definedName>
    <definedName name="tttt" localSheetId="6" hidden="1">'[16]4.9'!#REF!</definedName>
    <definedName name="tttt" localSheetId="68" hidden="1">'[18]4.9'!#REF!</definedName>
    <definedName name="tttt" localSheetId="71" hidden="1">'[18]4.9'!#REF!</definedName>
    <definedName name="tttt" localSheetId="76" hidden="1">'[18]4.9'!#REF!</definedName>
    <definedName name="tttt" localSheetId="82" hidden="1">'[18]4.9'!#REF!</definedName>
    <definedName name="tttt" localSheetId="7" hidden="1">'[16]4.9'!#REF!</definedName>
    <definedName name="tttt" localSheetId="85" hidden="1">'[18]4.9'!#REF!</definedName>
    <definedName name="tttt" localSheetId="86" hidden="1">'[18]4.9'!#REF!</definedName>
    <definedName name="tttt" localSheetId="87" hidden="1">'[18]4.9'!#REF!</definedName>
    <definedName name="tttt" localSheetId="8" hidden="1">'[18]4.9'!#REF!</definedName>
    <definedName name="tttt" localSheetId="9" hidden="1">'[18]4.9'!#REF!</definedName>
    <definedName name="tttt" hidden="1">'[18]4.9'!#REF!</definedName>
    <definedName name="tttww" localSheetId="0">#REF!</definedName>
    <definedName name="tttww" localSheetId="18">#REF!</definedName>
    <definedName name="tttww" localSheetId="19">#REF!</definedName>
    <definedName name="tttww" localSheetId="21">#REF!</definedName>
    <definedName name="tttww" localSheetId="22">#REF!</definedName>
    <definedName name="tttww" localSheetId="1">#REF!</definedName>
    <definedName name="tttww" localSheetId="2">#REF!</definedName>
    <definedName name="tttww" localSheetId="4">#REF!</definedName>
    <definedName name="tttww" localSheetId="48">#REF!</definedName>
    <definedName name="tttww" localSheetId="6">#REF!</definedName>
    <definedName name="tttww" localSheetId="68">#REF!</definedName>
    <definedName name="tttww" localSheetId="71">#REF!</definedName>
    <definedName name="tttww" localSheetId="76">#REF!</definedName>
    <definedName name="tttww" localSheetId="78">#REF!</definedName>
    <definedName name="tttww" localSheetId="79">#REF!</definedName>
    <definedName name="tttww" localSheetId="82">#REF!</definedName>
    <definedName name="tttww" localSheetId="85">#REF!</definedName>
    <definedName name="tttww" localSheetId="86">#REF!</definedName>
    <definedName name="tttww" localSheetId="87">#REF!</definedName>
    <definedName name="tttww" localSheetId="8">#REF!</definedName>
    <definedName name="tttww" localSheetId="9">#REF!</definedName>
    <definedName name="tttww">#REF!</definedName>
    <definedName name="u" localSheetId="0">#REF!</definedName>
    <definedName name="u" localSheetId="16">#REF!</definedName>
    <definedName name="u" localSheetId="17">#REF!</definedName>
    <definedName name="u" localSheetId="18">#REF!</definedName>
    <definedName name="u" localSheetId="19">#REF!</definedName>
    <definedName name="u" localSheetId="21">#REF!</definedName>
    <definedName name="u" localSheetId="22">#REF!</definedName>
    <definedName name="u" localSheetId="1">#REF!</definedName>
    <definedName name="u" localSheetId="2">#REF!</definedName>
    <definedName name="u" localSheetId="4">#REF!</definedName>
    <definedName name="u" localSheetId="48">#REF!</definedName>
    <definedName name="u" localSheetId="52">#REF!</definedName>
    <definedName name="u" localSheetId="6">#REF!</definedName>
    <definedName name="u" localSheetId="68">#REF!</definedName>
    <definedName name="u" localSheetId="71">#REF!</definedName>
    <definedName name="u" localSheetId="76">#REF!</definedName>
    <definedName name="u" localSheetId="78">#REF!</definedName>
    <definedName name="u" localSheetId="79">#REF!</definedName>
    <definedName name="u" localSheetId="82">#REF!</definedName>
    <definedName name="u" localSheetId="7">#REF!</definedName>
    <definedName name="u" localSheetId="85">#REF!</definedName>
    <definedName name="u" localSheetId="86">#REF!</definedName>
    <definedName name="u" localSheetId="87">#REF!</definedName>
    <definedName name="u" localSheetId="8">#REF!</definedName>
    <definedName name="u" localSheetId="9">#REF!</definedName>
    <definedName name="u">#REF!</definedName>
    <definedName name="umum" localSheetId="0">#REF!</definedName>
    <definedName name="umum" localSheetId="16">#REF!</definedName>
    <definedName name="umum" localSheetId="17">#REF!</definedName>
    <definedName name="umum" localSheetId="18">#REF!</definedName>
    <definedName name="umum" localSheetId="19">#REF!</definedName>
    <definedName name="umum" localSheetId="21">#REF!</definedName>
    <definedName name="umum" localSheetId="22">#REF!</definedName>
    <definedName name="umum" localSheetId="1">#REF!</definedName>
    <definedName name="umum" localSheetId="2">#REF!</definedName>
    <definedName name="umum" localSheetId="4">#REF!</definedName>
    <definedName name="umum" localSheetId="48">#REF!</definedName>
    <definedName name="umum" localSheetId="52">#REF!</definedName>
    <definedName name="umum" localSheetId="6">#REF!</definedName>
    <definedName name="umum" localSheetId="68">#REF!</definedName>
    <definedName name="umum" localSheetId="71">#REF!</definedName>
    <definedName name="umum" localSheetId="76">#REF!</definedName>
    <definedName name="umum" localSheetId="78">#REF!</definedName>
    <definedName name="umum" localSheetId="79">#REF!</definedName>
    <definedName name="umum" localSheetId="82">#REF!</definedName>
    <definedName name="umum" localSheetId="85">#REF!</definedName>
    <definedName name="umum" localSheetId="86">#REF!</definedName>
    <definedName name="umum" localSheetId="87">#REF!</definedName>
    <definedName name="umum" localSheetId="8">#REF!</definedName>
    <definedName name="umum" localSheetId="9">#REF!</definedName>
    <definedName name="umum">#REF!</definedName>
    <definedName name="uuu" localSheetId="0" hidden="1">#REF!</definedName>
    <definedName name="uuu" localSheetId="18" hidden="1">#REF!</definedName>
    <definedName name="uuu" localSheetId="19" hidden="1">#REF!</definedName>
    <definedName name="uuu" localSheetId="21" hidden="1">#REF!</definedName>
    <definedName name="uuu" localSheetId="22">#REF!</definedName>
    <definedName name="uuu" localSheetId="1" hidden="1">#REF!</definedName>
    <definedName name="uuu" localSheetId="2" hidden="1">#REF!</definedName>
    <definedName name="uuu" localSheetId="4" hidden="1">#REF!</definedName>
    <definedName name="uuu" localSheetId="48" hidden="1">#REF!</definedName>
    <definedName name="uuu" localSheetId="68" hidden="1">#REF!</definedName>
    <definedName name="uuu" localSheetId="71" hidden="1">#REF!</definedName>
    <definedName name="uuu" localSheetId="76" hidden="1">#REF!</definedName>
    <definedName name="uuu" localSheetId="78" hidden="1">#REF!</definedName>
    <definedName name="uuu" localSheetId="79" hidden="1">#REF!</definedName>
    <definedName name="uuu" localSheetId="82" hidden="1">#REF!</definedName>
    <definedName name="uuu" localSheetId="85" hidden="1">#REF!</definedName>
    <definedName name="uuu" localSheetId="86" hidden="1">#REF!</definedName>
    <definedName name="uuu" localSheetId="87" hidden="1">#REF!</definedName>
    <definedName name="uuu" localSheetId="8" hidden="1">#REF!</definedName>
    <definedName name="uuu" localSheetId="9" hidden="1">#REF!</definedName>
    <definedName name="uuu" hidden="1">#REF!</definedName>
    <definedName name="uuuuu" localSheetId="0">#REF!</definedName>
    <definedName name="uuuuu" localSheetId="16">#REF!</definedName>
    <definedName name="uuuuu" localSheetId="17">#REF!</definedName>
    <definedName name="uuuuu" localSheetId="18">#REF!</definedName>
    <definedName name="uuuuu" localSheetId="19">#REF!</definedName>
    <definedName name="uuuuu" localSheetId="21">#REF!</definedName>
    <definedName name="uuuuu" localSheetId="22">#REF!</definedName>
    <definedName name="uuuuu" localSheetId="1">#REF!</definedName>
    <definedName name="uuuuu" localSheetId="2">#REF!</definedName>
    <definedName name="uuuuu" localSheetId="4">#REF!</definedName>
    <definedName name="uuuuu" localSheetId="48">#REF!</definedName>
    <definedName name="uuuuu" localSheetId="52">#REF!</definedName>
    <definedName name="uuuuu" localSheetId="68">#REF!</definedName>
    <definedName name="uuuuu" localSheetId="71">#REF!</definedName>
    <definedName name="uuuuu" localSheetId="76">#REF!</definedName>
    <definedName name="uuuuu" localSheetId="78">#REF!</definedName>
    <definedName name="uuuuu" localSheetId="79">#REF!</definedName>
    <definedName name="uuuuu" localSheetId="82">#REF!</definedName>
    <definedName name="uuuuu" localSheetId="85">#REF!</definedName>
    <definedName name="uuuuu" localSheetId="86">#REF!</definedName>
    <definedName name="uuuuu" localSheetId="87">#REF!</definedName>
    <definedName name="uuuuu" localSheetId="8">#REF!</definedName>
    <definedName name="uuuuu" localSheetId="9">#REF!</definedName>
    <definedName name="uuuuu">#REF!</definedName>
    <definedName name="uuuvvv" localSheetId="18">#REF!</definedName>
    <definedName name="uuuvvv" localSheetId="19">#REF!</definedName>
    <definedName name="uuuvvv" localSheetId="21">#REF!</definedName>
    <definedName name="uuuvvv" localSheetId="22">#REF!</definedName>
    <definedName name="uuuvvv" localSheetId="1">#REF!</definedName>
    <definedName name="uuuvvv" localSheetId="2">#REF!</definedName>
    <definedName name="uuuvvv" localSheetId="4">#REF!</definedName>
    <definedName name="uuuvvv" localSheetId="48">#REF!</definedName>
    <definedName name="uuuvvv" localSheetId="68">#REF!</definedName>
    <definedName name="uuuvvv" localSheetId="71">#REF!</definedName>
    <definedName name="uuuvvv" localSheetId="76">#REF!</definedName>
    <definedName name="uuuvvv" localSheetId="78">#REF!</definedName>
    <definedName name="uuuvvv" localSheetId="79">#REF!</definedName>
    <definedName name="uuuvvv" localSheetId="82">#REF!</definedName>
    <definedName name="uuuvvv" localSheetId="85">#REF!</definedName>
    <definedName name="uuuvvv" localSheetId="86">#REF!</definedName>
    <definedName name="uuuvvv" localSheetId="87">#REF!</definedName>
    <definedName name="uuuvvv" localSheetId="8">#REF!</definedName>
    <definedName name="uuuvvv" localSheetId="9">#REF!</definedName>
    <definedName name="uuuvvv">#REF!</definedName>
    <definedName name="v" localSheetId="0" hidden="1">'[18]4.3'!#REF!</definedName>
    <definedName name="v" localSheetId="18" hidden="1">'[18]4.3'!#REF!</definedName>
    <definedName name="v" localSheetId="19" hidden="1">'[18]4.3'!#REF!</definedName>
    <definedName name="v" localSheetId="21" hidden="1">'[18]4.3'!#REF!</definedName>
    <definedName name="v" localSheetId="22">#REF!</definedName>
    <definedName name="v" localSheetId="1" hidden="1">'[18]4.3'!#REF!</definedName>
    <definedName name="v" localSheetId="2" hidden="1">'[18]4.3'!#REF!</definedName>
    <definedName name="v" localSheetId="4" hidden="1">'[19]4.3'!#REF!</definedName>
    <definedName name="v" localSheetId="48" hidden="1">'[18]4.3'!#REF!</definedName>
    <definedName name="v" localSheetId="6" hidden="1">'[16]4.3'!#REF!</definedName>
    <definedName name="v" localSheetId="68" hidden="1">'[18]4.3'!#REF!</definedName>
    <definedName name="v" localSheetId="71" hidden="1">'[18]4.3'!#REF!</definedName>
    <definedName name="v" localSheetId="76" hidden="1">'[18]4.3'!#REF!</definedName>
    <definedName name="v" localSheetId="82" hidden="1">'[18]4.3'!#REF!</definedName>
    <definedName name="v" localSheetId="7" hidden="1">'[16]4.3'!#REF!</definedName>
    <definedName name="v" localSheetId="85" hidden="1">'[18]4.3'!#REF!</definedName>
    <definedName name="v" localSheetId="86" hidden="1">'[18]4.3'!#REF!</definedName>
    <definedName name="v" localSheetId="87" hidden="1">'[18]4.3'!#REF!</definedName>
    <definedName name="v" localSheetId="8" hidden="1">'[18]4.3'!#REF!</definedName>
    <definedName name="v" localSheetId="9" hidden="1">'[18]4.3'!#REF!</definedName>
    <definedName name="v" hidden="1">'[18]4.3'!#REF!</definedName>
    <definedName name="vbcbvc" localSheetId="0">#REF!</definedName>
    <definedName name="vbcbvc" localSheetId="18">#REF!</definedName>
    <definedName name="vbcbvc" localSheetId="19">#REF!</definedName>
    <definedName name="vbcbvc" localSheetId="21">#REF!</definedName>
    <definedName name="vbcbvc" localSheetId="22">#REF!</definedName>
    <definedName name="vbcbvc" localSheetId="1">#REF!</definedName>
    <definedName name="vbcbvc" localSheetId="2">#REF!</definedName>
    <definedName name="vbcbvc" localSheetId="4">#REF!</definedName>
    <definedName name="vbcbvc" localSheetId="48">#REF!</definedName>
    <definedName name="vbcbvc" localSheetId="6">#REF!</definedName>
    <definedName name="vbcbvc" localSheetId="68">#REF!</definedName>
    <definedName name="vbcbvc" localSheetId="71">#REF!</definedName>
    <definedName name="vbcbvc" localSheetId="76">#REF!</definedName>
    <definedName name="vbcbvc" localSheetId="78">#REF!</definedName>
    <definedName name="vbcbvc" localSheetId="79">#REF!</definedName>
    <definedName name="vbcbvc" localSheetId="82">#REF!</definedName>
    <definedName name="vbcbvc" localSheetId="85">#REF!</definedName>
    <definedName name="vbcbvc" localSheetId="86">#REF!</definedName>
    <definedName name="vbcbvc" localSheetId="87">#REF!</definedName>
    <definedName name="vbcbvc" localSheetId="8">#REF!</definedName>
    <definedName name="vbcbvc" localSheetId="9">#REF!</definedName>
    <definedName name="vbcbvc">#REF!</definedName>
    <definedName name="vbv" localSheetId="0">#REF!</definedName>
    <definedName name="vbv" localSheetId="18">#REF!</definedName>
    <definedName name="vbv" localSheetId="19">#REF!</definedName>
    <definedName name="vbv" localSheetId="21">#REF!</definedName>
    <definedName name="vbv" localSheetId="22">#REF!</definedName>
    <definedName name="vbv" localSheetId="1">#REF!</definedName>
    <definedName name="vbv" localSheetId="2">#REF!</definedName>
    <definedName name="vbv" localSheetId="4">#REF!</definedName>
    <definedName name="vbv" localSheetId="48">#REF!</definedName>
    <definedName name="vbv" localSheetId="6">#REF!</definedName>
    <definedName name="vbv" localSheetId="68">#REF!</definedName>
    <definedName name="vbv" localSheetId="71">#REF!</definedName>
    <definedName name="vbv" localSheetId="76">#REF!</definedName>
    <definedName name="vbv" localSheetId="78">#REF!</definedName>
    <definedName name="vbv" localSheetId="79">#REF!</definedName>
    <definedName name="vbv" localSheetId="82">#REF!</definedName>
    <definedName name="vbv" localSheetId="85">#REF!</definedName>
    <definedName name="vbv" localSheetId="86">#REF!</definedName>
    <definedName name="vbv" localSheetId="87">#REF!</definedName>
    <definedName name="vbv" localSheetId="8">#REF!</definedName>
    <definedName name="vbv" localSheetId="9">#REF!</definedName>
    <definedName name="vbv">#REF!</definedName>
    <definedName name="vcb" localSheetId="0">#REF!</definedName>
    <definedName name="vcb" localSheetId="18">#REF!</definedName>
    <definedName name="vcb" localSheetId="19">#REF!</definedName>
    <definedName name="vcb" localSheetId="21">#REF!</definedName>
    <definedName name="vcb" localSheetId="22">#REF!</definedName>
    <definedName name="vcb" localSheetId="1">#REF!</definedName>
    <definedName name="vcb" localSheetId="2">#REF!</definedName>
    <definedName name="vcb" localSheetId="4">#REF!</definedName>
    <definedName name="vcb" localSheetId="48">#REF!</definedName>
    <definedName name="vcb" localSheetId="6">#REF!</definedName>
    <definedName name="vcb" localSheetId="68">#REF!</definedName>
    <definedName name="vcb" localSheetId="71">#REF!</definedName>
    <definedName name="vcb" localSheetId="76">#REF!</definedName>
    <definedName name="vcb" localSheetId="78">#REF!</definedName>
    <definedName name="vcb" localSheetId="79">#REF!</definedName>
    <definedName name="vcb" localSheetId="82">#REF!</definedName>
    <definedName name="vcb" localSheetId="85">#REF!</definedName>
    <definedName name="vcb" localSheetId="86">#REF!</definedName>
    <definedName name="vcb" localSheetId="87">#REF!</definedName>
    <definedName name="vcb" localSheetId="8">#REF!</definedName>
    <definedName name="vcb" localSheetId="9">#REF!</definedName>
    <definedName name="vcb">#REF!</definedName>
    <definedName name="vcc" localSheetId="0">#REF!</definedName>
    <definedName name="vcc" localSheetId="18">#REF!</definedName>
    <definedName name="vcc" localSheetId="19">#REF!</definedName>
    <definedName name="vcc" localSheetId="21">#REF!</definedName>
    <definedName name="vcc" localSheetId="22">#REF!</definedName>
    <definedName name="vcc" localSheetId="1">#REF!</definedName>
    <definedName name="vcc" localSheetId="2">#REF!</definedName>
    <definedName name="vcc" localSheetId="4">#REF!</definedName>
    <definedName name="vcc" localSheetId="48">#REF!</definedName>
    <definedName name="vcc" localSheetId="68">#REF!</definedName>
    <definedName name="vcc" localSheetId="71">#REF!</definedName>
    <definedName name="vcc" localSheetId="76">#REF!</definedName>
    <definedName name="vcc" localSheetId="78">#REF!</definedName>
    <definedName name="vcc" localSheetId="79">#REF!</definedName>
    <definedName name="vcc" localSheetId="82">#REF!</definedName>
    <definedName name="vcc" localSheetId="85">#REF!</definedName>
    <definedName name="vcc" localSheetId="86">#REF!</definedName>
    <definedName name="vcc" localSheetId="87">#REF!</definedName>
    <definedName name="vcc" localSheetId="8">#REF!</definedName>
    <definedName name="vcc" localSheetId="9">#REF!</definedName>
    <definedName name="vcc">#REF!</definedName>
    <definedName name="vcvc" localSheetId="0">#REF!</definedName>
    <definedName name="vcvc" localSheetId="18">#REF!</definedName>
    <definedName name="vcvc" localSheetId="19">#REF!</definedName>
    <definedName name="vcvc" localSheetId="21">#REF!</definedName>
    <definedName name="vcvc" localSheetId="22">#REF!</definedName>
    <definedName name="vcvc" localSheetId="1">#REF!</definedName>
    <definedName name="vcvc" localSheetId="2">#REF!</definedName>
    <definedName name="vcvc" localSheetId="4">#REF!</definedName>
    <definedName name="vcvc" localSheetId="48">#REF!</definedName>
    <definedName name="vcvc" localSheetId="68">#REF!</definedName>
    <definedName name="vcvc" localSheetId="71">#REF!</definedName>
    <definedName name="vcvc" localSheetId="76">#REF!</definedName>
    <definedName name="vcvc" localSheetId="78">#REF!</definedName>
    <definedName name="vcvc" localSheetId="79">#REF!</definedName>
    <definedName name="vcvc" localSheetId="82">#REF!</definedName>
    <definedName name="vcvc" localSheetId="85">#REF!</definedName>
    <definedName name="vcvc" localSheetId="86">#REF!</definedName>
    <definedName name="vcvc" localSheetId="87">#REF!</definedName>
    <definedName name="vcvc" localSheetId="8">#REF!</definedName>
    <definedName name="vcvc" localSheetId="9">#REF!</definedName>
    <definedName name="vcvc">#REF!</definedName>
    <definedName name="vcx" localSheetId="0">#REF!</definedName>
    <definedName name="vcx" localSheetId="18">#REF!</definedName>
    <definedName name="vcx" localSheetId="19">#REF!</definedName>
    <definedName name="vcx" localSheetId="21">#REF!</definedName>
    <definedName name="vcx" localSheetId="22">#REF!</definedName>
    <definedName name="vcx" localSheetId="1">#REF!</definedName>
    <definedName name="vcx" localSheetId="2">#REF!</definedName>
    <definedName name="vcx" localSheetId="4">#REF!</definedName>
    <definedName name="vcx" localSheetId="48">#REF!</definedName>
    <definedName name="vcx" localSheetId="68">#REF!</definedName>
    <definedName name="vcx" localSheetId="71">#REF!</definedName>
    <definedName name="vcx" localSheetId="76">#REF!</definedName>
    <definedName name="vcx" localSheetId="78">#REF!</definedName>
    <definedName name="vcx" localSheetId="79">#REF!</definedName>
    <definedName name="vcx" localSheetId="82">#REF!</definedName>
    <definedName name="vcx" localSheetId="85">#REF!</definedName>
    <definedName name="vcx" localSheetId="86">#REF!</definedName>
    <definedName name="vcx" localSheetId="87">#REF!</definedName>
    <definedName name="vcx" localSheetId="8">#REF!</definedName>
    <definedName name="vcx" localSheetId="9">#REF!</definedName>
    <definedName name="vcx">#REF!</definedName>
    <definedName name="vdfvd" localSheetId="0" hidden="1">#REF!</definedName>
    <definedName name="vdfvd" localSheetId="18" hidden="1">#REF!</definedName>
    <definedName name="vdfvd" localSheetId="19" hidden="1">#REF!</definedName>
    <definedName name="vdfvd" localSheetId="21" hidden="1">#REF!</definedName>
    <definedName name="vdfvd" localSheetId="22">#REF!</definedName>
    <definedName name="vdfvd" localSheetId="1" hidden="1">#REF!</definedName>
    <definedName name="vdfvd" localSheetId="2" hidden="1">#REF!</definedName>
    <definedName name="vdfvd" localSheetId="4" hidden="1">#REF!</definedName>
    <definedName name="vdfvd" localSheetId="48" hidden="1">#REF!</definedName>
    <definedName name="vdfvd" localSheetId="68" hidden="1">#REF!</definedName>
    <definedName name="vdfvd" localSheetId="71" hidden="1">#REF!</definedName>
    <definedName name="vdfvd" localSheetId="76" hidden="1">#REF!</definedName>
    <definedName name="vdfvd" localSheetId="78" hidden="1">#REF!</definedName>
    <definedName name="vdfvd" localSheetId="79" hidden="1">#REF!</definedName>
    <definedName name="vdfvd" localSheetId="82" hidden="1">#REF!</definedName>
    <definedName name="vdfvd" localSheetId="85" hidden="1">#REF!</definedName>
    <definedName name="vdfvd" localSheetId="86" hidden="1">#REF!</definedName>
    <definedName name="vdfvd" localSheetId="87" hidden="1">#REF!</definedName>
    <definedName name="vdfvd" localSheetId="8" hidden="1">#REF!</definedName>
    <definedName name="vdfvd" localSheetId="9" hidden="1">#REF!</definedName>
    <definedName name="vdfvd" hidden="1">#REF!</definedName>
    <definedName name="vvv" localSheetId="18" hidden="1">#REF!</definedName>
    <definedName name="vvv" localSheetId="19" hidden="1">#REF!</definedName>
    <definedName name="vvv" localSheetId="21" hidden="1">#REF!</definedName>
    <definedName name="vvv" localSheetId="22">#REF!</definedName>
    <definedName name="vvv" localSheetId="1" hidden="1">#REF!</definedName>
    <definedName name="vvv" localSheetId="2" hidden="1">#REF!</definedName>
    <definedName name="vvv" localSheetId="4" hidden="1">#REF!</definedName>
    <definedName name="vvv" localSheetId="48" hidden="1">#REF!</definedName>
    <definedName name="vvv" localSheetId="68" hidden="1">#REF!</definedName>
    <definedName name="vvv" localSheetId="71" hidden="1">#REF!</definedName>
    <definedName name="vvv" localSheetId="76" hidden="1">#REF!</definedName>
    <definedName name="vvv" localSheetId="78" hidden="1">#REF!</definedName>
    <definedName name="vvv" localSheetId="79" hidden="1">#REF!</definedName>
    <definedName name="vvv" localSheetId="82" hidden="1">#REF!</definedName>
    <definedName name="vvv" localSheetId="85" hidden="1">#REF!</definedName>
    <definedName name="vvv" localSheetId="86" hidden="1">#REF!</definedName>
    <definedName name="vvv" localSheetId="87" hidden="1">#REF!</definedName>
    <definedName name="vvv" localSheetId="8" hidden="1">#REF!</definedName>
    <definedName name="vvv" localSheetId="9" hidden="1">#REF!</definedName>
    <definedName name="vvv" hidden="1">#REF!</definedName>
    <definedName name="w" localSheetId="0">#REF!</definedName>
    <definedName name="w" localSheetId="16">#REF!</definedName>
    <definedName name="w" localSheetId="17">#REF!</definedName>
    <definedName name="w" localSheetId="18">#REF!</definedName>
    <definedName name="w" localSheetId="19">#REF!</definedName>
    <definedName name="w" localSheetId="21">#REF!</definedName>
    <definedName name="w" localSheetId="22">#REF!</definedName>
    <definedName name="w" localSheetId="1">#REF!</definedName>
    <definedName name="w" localSheetId="2">#REF!</definedName>
    <definedName name="w" localSheetId="4">#REF!</definedName>
    <definedName name="w" localSheetId="48">#REF!</definedName>
    <definedName name="w" localSheetId="52">#REF!</definedName>
    <definedName name="w" localSheetId="68">#REF!</definedName>
    <definedName name="w" localSheetId="71">#REF!</definedName>
    <definedName name="w" localSheetId="76">#REF!</definedName>
    <definedName name="w" localSheetId="78">#REF!</definedName>
    <definedName name="w" localSheetId="79">#REF!</definedName>
    <definedName name="w" localSheetId="82">#REF!</definedName>
    <definedName name="w" localSheetId="85">#REF!</definedName>
    <definedName name="w" localSheetId="86">#REF!</definedName>
    <definedName name="w" localSheetId="87">#REF!</definedName>
    <definedName name="w" localSheetId="8">#REF!</definedName>
    <definedName name="w" localSheetId="9">#REF!</definedName>
    <definedName name="w">#REF!</definedName>
    <definedName name="WD" localSheetId="0" hidden="1">#REF!</definedName>
    <definedName name="WD" localSheetId="16" hidden="1">#REF!</definedName>
    <definedName name="WD" localSheetId="18" hidden="1">#REF!</definedName>
    <definedName name="WD" localSheetId="19" hidden="1">#REF!</definedName>
    <definedName name="WD" localSheetId="21" hidden="1">#REF!</definedName>
    <definedName name="WD" localSheetId="22">#REF!</definedName>
    <definedName name="WD" localSheetId="1" hidden="1">#REF!</definedName>
    <definedName name="WD" localSheetId="2" hidden="1">#REF!</definedName>
    <definedName name="WD" localSheetId="4" hidden="1">#REF!</definedName>
    <definedName name="WD" localSheetId="48" hidden="1">#REF!</definedName>
    <definedName name="WD" localSheetId="52" hidden="1">#REF!</definedName>
    <definedName name="WD" localSheetId="68" hidden="1">#REF!</definedName>
    <definedName name="WD" localSheetId="71" hidden="1">#REF!</definedName>
    <definedName name="WD" localSheetId="76" hidden="1">#REF!</definedName>
    <definedName name="WD" localSheetId="78" hidden="1">#REF!</definedName>
    <definedName name="WD" localSheetId="79" hidden="1">#REF!</definedName>
    <definedName name="WD" localSheetId="82" hidden="1">#REF!</definedName>
    <definedName name="WD" localSheetId="85" hidden="1">#REF!</definedName>
    <definedName name="WD" localSheetId="86" hidden="1">#REF!</definedName>
    <definedName name="WD" localSheetId="87" hidden="1">#REF!</definedName>
    <definedName name="WD" localSheetId="8" hidden="1">#REF!</definedName>
    <definedName name="WD" localSheetId="9" hidden="1">#REF!</definedName>
    <definedName name="WD" hidden="1">#REF!</definedName>
    <definedName name="WeekDishes" localSheetId="0">#REF!</definedName>
    <definedName name="WeekDishes" localSheetId="18">#REF!</definedName>
    <definedName name="WeekDishes" localSheetId="19">#REF!</definedName>
    <definedName name="WeekDishes" localSheetId="21">#REF!</definedName>
    <definedName name="WeekDishes" localSheetId="22">#REF!</definedName>
    <definedName name="WeekDishes" localSheetId="1">#REF!</definedName>
    <definedName name="WeekDishes" localSheetId="2">#REF!</definedName>
    <definedName name="WeekDishes" localSheetId="4">#REF!</definedName>
    <definedName name="WeekDishes" localSheetId="48">#REF!</definedName>
    <definedName name="WeekDishes" localSheetId="68">#REF!</definedName>
    <definedName name="WeekDishes" localSheetId="71">#REF!</definedName>
    <definedName name="WeekDishes" localSheetId="76">#REF!</definedName>
    <definedName name="WeekDishes" localSheetId="78">#REF!</definedName>
    <definedName name="WeekDishes" localSheetId="79">#REF!</definedName>
    <definedName name="WeekDishes" localSheetId="82">#REF!</definedName>
    <definedName name="WeekDishes" localSheetId="85">#REF!</definedName>
    <definedName name="WeekDishes" localSheetId="86">#REF!</definedName>
    <definedName name="WeekDishes" localSheetId="87">#REF!</definedName>
    <definedName name="WeekDishes" localSheetId="8">#REF!</definedName>
    <definedName name="WeekDishes" localSheetId="9">#REF!</definedName>
    <definedName name="WeekDishes">#REF!</definedName>
    <definedName name="WeekIngredients" localSheetId="0">#REF!</definedName>
    <definedName name="WeekIngredients" localSheetId="18">#REF!</definedName>
    <definedName name="WeekIngredients" localSheetId="19">#REF!</definedName>
    <definedName name="WeekIngredients" localSheetId="21">#REF!</definedName>
    <definedName name="WeekIngredients" localSheetId="22">#REF!</definedName>
    <definedName name="WeekIngredients" localSheetId="1">#REF!</definedName>
    <definedName name="WeekIngredients" localSheetId="2">#REF!</definedName>
    <definedName name="WeekIngredients" localSheetId="4">#REF!</definedName>
    <definedName name="WeekIngredients" localSheetId="48">#REF!</definedName>
    <definedName name="WeekIngredients" localSheetId="68">#REF!</definedName>
    <definedName name="WeekIngredients" localSheetId="71">#REF!</definedName>
    <definedName name="WeekIngredients" localSheetId="76">#REF!</definedName>
    <definedName name="WeekIngredients" localSheetId="78">#REF!</definedName>
    <definedName name="WeekIngredients" localSheetId="79">#REF!</definedName>
    <definedName name="WeekIngredients" localSheetId="82">#REF!</definedName>
    <definedName name="WeekIngredients" localSheetId="85">#REF!</definedName>
    <definedName name="WeekIngredients" localSheetId="86">#REF!</definedName>
    <definedName name="WeekIngredients" localSheetId="87">#REF!</definedName>
    <definedName name="WeekIngredients" localSheetId="8">#REF!</definedName>
    <definedName name="WeekIngredients" localSheetId="9">#REF!</definedName>
    <definedName name="WeekIngredients">#REF!</definedName>
    <definedName name="WeekIngredients_temp" localSheetId="0">#REF!</definedName>
    <definedName name="WeekIngredients_temp" localSheetId="18">#REF!</definedName>
    <definedName name="WeekIngredients_temp" localSheetId="19">#REF!</definedName>
    <definedName name="WeekIngredients_temp" localSheetId="21">#REF!</definedName>
    <definedName name="WeekIngredients_temp" localSheetId="22">#REF!</definedName>
    <definedName name="WeekIngredients_temp" localSheetId="1">#REF!</definedName>
    <definedName name="WeekIngredients_temp" localSheetId="2">#REF!</definedName>
    <definedName name="WeekIngredients_temp" localSheetId="4">#REF!</definedName>
    <definedName name="WeekIngredients_temp" localSheetId="48">#REF!</definedName>
    <definedName name="WeekIngredients_temp" localSheetId="68">#REF!</definedName>
    <definedName name="WeekIngredients_temp" localSheetId="71">#REF!</definedName>
    <definedName name="WeekIngredients_temp" localSheetId="76">#REF!</definedName>
    <definedName name="WeekIngredients_temp" localSheetId="78">#REF!</definedName>
    <definedName name="WeekIngredients_temp" localSheetId="79">#REF!</definedName>
    <definedName name="WeekIngredients_temp" localSheetId="82">#REF!</definedName>
    <definedName name="WeekIngredients_temp" localSheetId="85">#REF!</definedName>
    <definedName name="WeekIngredients_temp" localSheetId="86">#REF!</definedName>
    <definedName name="WeekIngredients_temp" localSheetId="87">#REF!</definedName>
    <definedName name="WeekIngredients_temp" localSheetId="8">#REF!</definedName>
    <definedName name="WeekIngredients_temp" localSheetId="9">#REF!</definedName>
    <definedName name="WeekIngredients_temp">#REF!</definedName>
    <definedName name="WeekIngredients_tempCriteria" localSheetId="0">#REF!</definedName>
    <definedName name="WeekIngredients_tempCriteria" localSheetId="18">#REF!</definedName>
    <definedName name="WeekIngredients_tempCriteria" localSheetId="19">#REF!</definedName>
    <definedName name="WeekIngredients_tempCriteria" localSheetId="21">#REF!</definedName>
    <definedName name="WeekIngredients_tempCriteria" localSheetId="22">#REF!</definedName>
    <definedName name="WeekIngredients_tempCriteria" localSheetId="1">#REF!</definedName>
    <definedName name="WeekIngredients_tempCriteria" localSheetId="2">#REF!</definedName>
    <definedName name="WeekIngredients_tempCriteria" localSheetId="4">#REF!</definedName>
    <definedName name="WeekIngredients_tempCriteria" localSheetId="48">#REF!</definedName>
    <definedName name="WeekIngredients_tempCriteria" localSheetId="68">#REF!</definedName>
    <definedName name="WeekIngredients_tempCriteria" localSheetId="71">#REF!</definedName>
    <definedName name="WeekIngredients_tempCriteria" localSheetId="76">#REF!</definedName>
    <definedName name="WeekIngredients_tempCriteria" localSheetId="78">#REF!</definedName>
    <definedName name="WeekIngredients_tempCriteria" localSheetId="79">#REF!</definedName>
    <definedName name="WeekIngredients_tempCriteria" localSheetId="82">#REF!</definedName>
    <definedName name="WeekIngredients_tempCriteria" localSheetId="85">#REF!</definedName>
    <definedName name="WeekIngredients_tempCriteria" localSheetId="86">#REF!</definedName>
    <definedName name="WeekIngredients_tempCriteria" localSheetId="87">#REF!</definedName>
    <definedName name="WeekIngredients_tempCriteria" localSheetId="8">#REF!</definedName>
    <definedName name="WeekIngredients_tempCriteria" localSheetId="9">#REF!</definedName>
    <definedName name="WeekIngredients_tempCriteria">#REF!</definedName>
    <definedName name="WeekIngredientsCriteria" localSheetId="0">#REF!</definedName>
    <definedName name="WeekIngredientsCriteria" localSheetId="18">#REF!</definedName>
    <definedName name="WeekIngredientsCriteria" localSheetId="19">#REF!</definedName>
    <definedName name="WeekIngredientsCriteria" localSheetId="21">#REF!</definedName>
    <definedName name="WeekIngredientsCriteria" localSheetId="22">#REF!</definedName>
    <definedName name="WeekIngredientsCriteria" localSheetId="1">#REF!</definedName>
    <definedName name="WeekIngredientsCriteria" localSheetId="2">#REF!</definedName>
    <definedName name="WeekIngredientsCriteria" localSheetId="4">#REF!</definedName>
    <definedName name="WeekIngredientsCriteria" localSheetId="48">#REF!</definedName>
    <definedName name="WeekIngredientsCriteria" localSheetId="68">#REF!</definedName>
    <definedName name="WeekIngredientsCriteria" localSheetId="71">#REF!</definedName>
    <definedName name="WeekIngredientsCriteria" localSheetId="76">#REF!</definedName>
    <definedName name="WeekIngredientsCriteria" localSheetId="78">#REF!</definedName>
    <definedName name="WeekIngredientsCriteria" localSheetId="79">#REF!</definedName>
    <definedName name="WeekIngredientsCriteria" localSheetId="82">#REF!</definedName>
    <definedName name="WeekIngredientsCriteria" localSheetId="85">#REF!</definedName>
    <definedName name="WeekIngredientsCriteria" localSheetId="86">#REF!</definedName>
    <definedName name="WeekIngredientsCriteria" localSheetId="87">#REF!</definedName>
    <definedName name="WeekIngredientsCriteria" localSheetId="8">#REF!</definedName>
    <definedName name="WeekIngredientsCriteria" localSheetId="9">#REF!</definedName>
    <definedName name="WeekIngredientsCriteria">#REF!</definedName>
    <definedName name="WeekPlan" localSheetId="0">#REF!</definedName>
    <definedName name="WeekPlan" localSheetId="18">#REF!</definedName>
    <definedName name="WeekPlan" localSheetId="19">#REF!</definedName>
    <definedName name="WeekPlan" localSheetId="21">#REF!</definedName>
    <definedName name="WeekPlan" localSheetId="22">#REF!</definedName>
    <definedName name="WeekPlan" localSheetId="1">#REF!</definedName>
    <definedName name="WeekPlan" localSheetId="2">#REF!</definedName>
    <definedName name="WeekPlan" localSheetId="4">#REF!</definedName>
    <definedName name="WeekPlan" localSheetId="48">#REF!</definedName>
    <definedName name="WeekPlan" localSheetId="68">#REF!</definedName>
    <definedName name="WeekPlan" localSheetId="71">#REF!</definedName>
    <definedName name="WeekPlan" localSheetId="76">#REF!</definedName>
    <definedName name="WeekPlan" localSheetId="78">#REF!</definedName>
    <definedName name="WeekPlan" localSheetId="79">#REF!</definedName>
    <definedName name="WeekPlan" localSheetId="82">#REF!</definedName>
    <definedName name="WeekPlan" localSheetId="85">#REF!</definedName>
    <definedName name="WeekPlan" localSheetId="86">#REF!</definedName>
    <definedName name="WeekPlan" localSheetId="87">#REF!</definedName>
    <definedName name="WeekPlan" localSheetId="8">#REF!</definedName>
    <definedName name="WeekPlan" localSheetId="9">#REF!</definedName>
    <definedName name="WeekPlan">#REF!</definedName>
    <definedName name="WeekPlanCriteria" localSheetId="0">#REF!</definedName>
    <definedName name="WeekPlanCriteria" localSheetId="18">#REF!</definedName>
    <definedName name="WeekPlanCriteria" localSheetId="19">#REF!</definedName>
    <definedName name="WeekPlanCriteria" localSheetId="21">#REF!</definedName>
    <definedName name="WeekPlanCriteria" localSheetId="22">#REF!</definedName>
    <definedName name="WeekPlanCriteria" localSheetId="1">#REF!</definedName>
    <definedName name="WeekPlanCriteria" localSheetId="2">#REF!</definedName>
    <definedName name="WeekPlanCriteria" localSheetId="4">#REF!</definedName>
    <definedName name="WeekPlanCriteria" localSheetId="48">#REF!</definedName>
    <definedName name="WeekPlanCriteria" localSheetId="68">#REF!</definedName>
    <definedName name="WeekPlanCriteria" localSheetId="71">#REF!</definedName>
    <definedName name="WeekPlanCriteria" localSheetId="76">#REF!</definedName>
    <definedName name="WeekPlanCriteria" localSheetId="78">#REF!</definedName>
    <definedName name="WeekPlanCriteria" localSheetId="79">#REF!</definedName>
    <definedName name="WeekPlanCriteria" localSheetId="82">#REF!</definedName>
    <definedName name="WeekPlanCriteria" localSheetId="85">#REF!</definedName>
    <definedName name="WeekPlanCriteria" localSheetId="86">#REF!</definedName>
    <definedName name="WeekPlanCriteria" localSheetId="87">#REF!</definedName>
    <definedName name="WeekPlanCriteria" localSheetId="8">#REF!</definedName>
    <definedName name="WeekPlanCriteria" localSheetId="9">#REF!</definedName>
    <definedName name="WeekPlanCriteria">#REF!</definedName>
    <definedName name="wwvvv" localSheetId="0">#REF!</definedName>
    <definedName name="wwvvv" localSheetId="18">#REF!</definedName>
    <definedName name="wwvvv" localSheetId="19">#REF!</definedName>
    <definedName name="wwvvv" localSheetId="21">#REF!</definedName>
    <definedName name="wwvvv" localSheetId="22">#REF!</definedName>
    <definedName name="wwvvv" localSheetId="1">#REF!</definedName>
    <definedName name="wwvvv" localSheetId="2">#REF!</definedName>
    <definedName name="wwvvv" localSheetId="4">#REF!</definedName>
    <definedName name="wwvvv" localSheetId="48">#REF!</definedName>
    <definedName name="wwvvv" localSheetId="68">#REF!</definedName>
    <definedName name="wwvvv" localSheetId="71">#REF!</definedName>
    <definedName name="wwvvv" localSheetId="76">#REF!</definedName>
    <definedName name="wwvvv" localSheetId="78">#REF!</definedName>
    <definedName name="wwvvv" localSheetId="79">#REF!</definedName>
    <definedName name="wwvvv" localSheetId="82">#REF!</definedName>
    <definedName name="wwvvv" localSheetId="85">#REF!</definedName>
    <definedName name="wwvvv" localSheetId="86">#REF!</definedName>
    <definedName name="wwvvv" localSheetId="87">#REF!</definedName>
    <definedName name="wwvvv" localSheetId="8">#REF!</definedName>
    <definedName name="wwvvv" localSheetId="9">#REF!</definedName>
    <definedName name="wwvvv">#REF!</definedName>
    <definedName name="www" localSheetId="18">#REF!</definedName>
    <definedName name="www" localSheetId="19">#REF!</definedName>
    <definedName name="www" localSheetId="21">#REF!</definedName>
    <definedName name="www" localSheetId="22">#REF!</definedName>
    <definedName name="www" localSheetId="1">#REF!</definedName>
    <definedName name="www" localSheetId="2">#REF!</definedName>
    <definedName name="www" localSheetId="4">#REF!</definedName>
    <definedName name="www" localSheetId="48">#REF!</definedName>
    <definedName name="www" localSheetId="68">#REF!</definedName>
    <definedName name="www" localSheetId="71">#REF!</definedName>
    <definedName name="www" localSheetId="76">#REF!</definedName>
    <definedName name="www" localSheetId="78">#REF!</definedName>
    <definedName name="www" localSheetId="79">#REF!</definedName>
    <definedName name="www" localSheetId="82">#REF!</definedName>
    <definedName name="www" localSheetId="85">#REF!</definedName>
    <definedName name="www" localSheetId="86">#REF!</definedName>
    <definedName name="www" localSheetId="87">#REF!</definedName>
    <definedName name="www" localSheetId="8">#REF!</definedName>
    <definedName name="www" localSheetId="9">#REF!</definedName>
    <definedName name="www">#REF!</definedName>
    <definedName name="wwwq" localSheetId="0">#REF!</definedName>
    <definedName name="wwwq" localSheetId="18">#REF!</definedName>
    <definedName name="wwwq" localSheetId="19">#REF!</definedName>
    <definedName name="wwwq" localSheetId="21">#REF!</definedName>
    <definedName name="wwwq" localSheetId="22">#REF!</definedName>
    <definedName name="wwwq" localSheetId="1">#REF!</definedName>
    <definedName name="wwwq" localSheetId="2">#REF!</definedName>
    <definedName name="wwwq" localSheetId="4">#REF!</definedName>
    <definedName name="wwwq" localSheetId="48">#REF!</definedName>
    <definedName name="wwwq" localSheetId="68">#REF!</definedName>
    <definedName name="wwwq" localSheetId="71">#REF!</definedName>
    <definedName name="wwwq" localSheetId="76">#REF!</definedName>
    <definedName name="wwwq" localSheetId="78">#REF!</definedName>
    <definedName name="wwwq" localSheetId="79">#REF!</definedName>
    <definedName name="wwwq" localSheetId="82">#REF!</definedName>
    <definedName name="wwwq" localSheetId="85">#REF!</definedName>
    <definedName name="wwwq" localSheetId="86">#REF!</definedName>
    <definedName name="wwwq" localSheetId="87">#REF!</definedName>
    <definedName name="wwwq" localSheetId="8">#REF!</definedName>
    <definedName name="wwwq" localSheetId="9">#REF!</definedName>
    <definedName name="wwwq">#REF!</definedName>
    <definedName name="x" localSheetId="0">#REF!</definedName>
    <definedName name="x" localSheetId="16">#REF!</definedName>
    <definedName name="x" localSheetId="17">#REF!</definedName>
    <definedName name="x" localSheetId="18">#REF!</definedName>
    <definedName name="x" localSheetId="19">#REF!</definedName>
    <definedName name="x" localSheetId="21">#REF!</definedName>
    <definedName name="x" localSheetId="22">#REF!</definedName>
    <definedName name="x" localSheetId="1">#REF!</definedName>
    <definedName name="x" localSheetId="2">#REF!</definedName>
    <definedName name="x" localSheetId="4">#REF!</definedName>
    <definedName name="x" localSheetId="48">#REF!</definedName>
    <definedName name="x" localSheetId="52">#REF!</definedName>
    <definedName name="x" localSheetId="68">#REF!</definedName>
    <definedName name="x" localSheetId="71">#REF!</definedName>
    <definedName name="x" localSheetId="76">#REF!</definedName>
    <definedName name="x" localSheetId="78">#REF!</definedName>
    <definedName name="x" localSheetId="79">#REF!</definedName>
    <definedName name="x" localSheetId="82">#REF!</definedName>
    <definedName name="x" localSheetId="85">#REF!</definedName>
    <definedName name="x" localSheetId="86">#REF!</definedName>
    <definedName name="x" localSheetId="87">#REF!</definedName>
    <definedName name="x" localSheetId="8">#REF!</definedName>
    <definedName name="x" localSheetId="9">#REF!</definedName>
    <definedName name="x">#REF!</definedName>
    <definedName name="xcz" localSheetId="0">#REF!</definedName>
    <definedName name="xcz" localSheetId="18">#REF!</definedName>
    <definedName name="xcz" localSheetId="19">#REF!</definedName>
    <definedName name="xcz" localSheetId="21">#REF!</definedName>
    <definedName name="xcz" localSheetId="22">#REF!</definedName>
    <definedName name="xcz" localSheetId="1">#REF!</definedName>
    <definedName name="xcz" localSheetId="2">#REF!</definedName>
    <definedName name="xcz" localSheetId="4">#REF!</definedName>
    <definedName name="xcz" localSheetId="48">#REF!</definedName>
    <definedName name="xcz" localSheetId="68">#REF!</definedName>
    <definedName name="xcz" localSheetId="71">#REF!</definedName>
    <definedName name="xcz" localSheetId="76">#REF!</definedName>
    <definedName name="xcz" localSheetId="78">#REF!</definedName>
    <definedName name="xcz" localSheetId="79">#REF!</definedName>
    <definedName name="xcz" localSheetId="82">#REF!</definedName>
    <definedName name="xcz" localSheetId="85">#REF!</definedName>
    <definedName name="xcz" localSheetId="86">#REF!</definedName>
    <definedName name="xcz" localSheetId="87">#REF!</definedName>
    <definedName name="xcz" localSheetId="8">#REF!</definedName>
    <definedName name="xcz" localSheetId="9">#REF!</definedName>
    <definedName name="xcz">#REF!</definedName>
    <definedName name="xdc" localSheetId="19">#REF!</definedName>
    <definedName name="xdc" localSheetId="48">#REF!</definedName>
    <definedName name="xdc" localSheetId="68">#REF!</definedName>
    <definedName name="xdc" localSheetId="71">#REF!</definedName>
    <definedName name="xdc" localSheetId="76">#REF!</definedName>
    <definedName name="xdc" localSheetId="78">#REF!</definedName>
    <definedName name="xdc" localSheetId="79">#REF!</definedName>
    <definedName name="xdc" localSheetId="82">#REF!</definedName>
    <definedName name="xdc" localSheetId="85">#REF!</definedName>
    <definedName name="xdc" localSheetId="86">#REF!</definedName>
    <definedName name="xdc" localSheetId="87">#REF!</definedName>
    <definedName name="xdc" localSheetId="8">#REF!</definedName>
    <definedName name="xdc" localSheetId="9">#REF!</definedName>
    <definedName name="xdc">#REF!</definedName>
    <definedName name="xxx" localSheetId="0">#REF!</definedName>
    <definedName name="xxx" localSheetId="18">#REF!</definedName>
    <definedName name="xxx" localSheetId="19">#REF!</definedName>
    <definedName name="xxx" localSheetId="21">#REF!</definedName>
    <definedName name="xxx" localSheetId="22">#REF!</definedName>
    <definedName name="xxx" localSheetId="1">#REF!</definedName>
    <definedName name="xxx" localSheetId="2">#REF!</definedName>
    <definedName name="xxx" localSheetId="4">#REF!</definedName>
    <definedName name="xxx" localSheetId="48">#REF!</definedName>
    <definedName name="xxx" localSheetId="68">#REF!</definedName>
    <definedName name="xxx" localSheetId="71">#REF!</definedName>
    <definedName name="xxx" localSheetId="76">#REF!</definedName>
    <definedName name="xxx" localSheetId="78">#REF!</definedName>
    <definedName name="xxx" localSheetId="79">#REF!</definedName>
    <definedName name="xxx" localSheetId="82">#REF!</definedName>
    <definedName name="xxx" localSheetId="85">#REF!</definedName>
    <definedName name="xxx" localSheetId="86">#REF!</definedName>
    <definedName name="xxx" localSheetId="87">#REF!</definedName>
    <definedName name="xxx" localSheetId="8">#REF!</definedName>
    <definedName name="xxx" localSheetId="9">#REF!</definedName>
    <definedName name="xxx">#REF!</definedName>
    <definedName name="xxxa" localSheetId="0" hidden="1">#REF!</definedName>
    <definedName name="xxxa" localSheetId="18" hidden="1">#REF!</definedName>
    <definedName name="xxxa" localSheetId="19" hidden="1">#REF!</definedName>
    <definedName name="xxxa" localSheetId="21" hidden="1">#REF!</definedName>
    <definedName name="xxxa" localSheetId="22">#REF!</definedName>
    <definedName name="xxxa" localSheetId="1" hidden="1">#REF!</definedName>
    <definedName name="xxxa" localSheetId="2" hidden="1">#REF!</definedName>
    <definedName name="xxxa" localSheetId="4" hidden="1">#REF!</definedName>
    <definedName name="xxxa" localSheetId="48" hidden="1">#REF!</definedName>
    <definedName name="xxxa" localSheetId="68" hidden="1">#REF!</definedName>
    <definedName name="xxxa" localSheetId="71" hidden="1">#REF!</definedName>
    <definedName name="xxxa" localSheetId="76" hidden="1">#REF!</definedName>
    <definedName name="xxxa" localSheetId="78" hidden="1">#REF!</definedName>
    <definedName name="xxxa" localSheetId="79" hidden="1">#REF!</definedName>
    <definedName name="xxxa" localSheetId="82" hidden="1">#REF!</definedName>
    <definedName name="xxxa" localSheetId="85" hidden="1">#REF!</definedName>
    <definedName name="xxxa" localSheetId="86" hidden="1">#REF!</definedName>
    <definedName name="xxxa" localSheetId="87" hidden="1">#REF!</definedName>
    <definedName name="xxxa" localSheetId="8" hidden="1">#REF!</definedName>
    <definedName name="xxxa" localSheetId="9" hidden="1">#REF!</definedName>
    <definedName name="xxxa" hidden="1">#REF!</definedName>
    <definedName name="xzcx" localSheetId="0" hidden="1">#REF!</definedName>
    <definedName name="xzcx" localSheetId="18" hidden="1">#REF!</definedName>
    <definedName name="xzcx" localSheetId="19" hidden="1">#REF!</definedName>
    <definedName name="xzcx" localSheetId="21" hidden="1">#REF!</definedName>
    <definedName name="xzcx" localSheetId="22">#REF!</definedName>
    <definedName name="xzcx" localSheetId="1" hidden="1">#REF!</definedName>
    <definedName name="xzcx" localSheetId="2" hidden="1">#REF!</definedName>
    <definedName name="xzcx" localSheetId="4" hidden="1">#REF!</definedName>
    <definedName name="xzcx" localSheetId="48" hidden="1">#REF!</definedName>
    <definedName name="xzcx" localSheetId="68" hidden="1">#REF!</definedName>
    <definedName name="xzcx" localSheetId="71" hidden="1">#REF!</definedName>
    <definedName name="xzcx" localSheetId="76" hidden="1">#REF!</definedName>
    <definedName name="xzcx" localSheetId="78" hidden="1">#REF!</definedName>
    <definedName name="xzcx" localSheetId="79" hidden="1">#REF!</definedName>
    <definedName name="xzcx" localSheetId="82" hidden="1">#REF!</definedName>
    <definedName name="xzcx" localSheetId="85" hidden="1">#REF!</definedName>
    <definedName name="xzcx" localSheetId="86" hidden="1">#REF!</definedName>
    <definedName name="xzcx" localSheetId="87" hidden="1">#REF!</definedName>
    <definedName name="xzcx" localSheetId="8" hidden="1">#REF!</definedName>
    <definedName name="xzcx" localSheetId="9" hidden="1">#REF!</definedName>
    <definedName name="xzcx" hidden="1">#REF!</definedName>
    <definedName name="y" localSheetId="0">#REF!</definedName>
    <definedName name="y" localSheetId="16">#REF!</definedName>
    <definedName name="y" localSheetId="17">#REF!</definedName>
    <definedName name="y" localSheetId="18">#REF!</definedName>
    <definedName name="y" localSheetId="19">#REF!</definedName>
    <definedName name="y" localSheetId="21">#REF!</definedName>
    <definedName name="y" localSheetId="22">#REF!</definedName>
    <definedName name="y" localSheetId="1">#REF!</definedName>
    <definedName name="y" localSheetId="2">#REF!</definedName>
    <definedName name="y" localSheetId="4">#REF!</definedName>
    <definedName name="y" localSheetId="48">#REF!</definedName>
    <definedName name="y" localSheetId="52">#REF!</definedName>
    <definedName name="y" localSheetId="68">#REF!</definedName>
    <definedName name="y" localSheetId="71">#REF!</definedName>
    <definedName name="y" localSheetId="76">#REF!</definedName>
    <definedName name="y" localSheetId="78">#REF!</definedName>
    <definedName name="y" localSheetId="79">#REF!</definedName>
    <definedName name="y" localSheetId="82">#REF!</definedName>
    <definedName name="y" localSheetId="85">#REF!</definedName>
    <definedName name="y" localSheetId="86">#REF!</definedName>
    <definedName name="y" localSheetId="87">#REF!</definedName>
    <definedName name="y" localSheetId="8">#REF!</definedName>
    <definedName name="y" localSheetId="9">#REF!</definedName>
    <definedName name="y">#REF!</definedName>
    <definedName name="ya" localSheetId="0">#REF!</definedName>
    <definedName name="ya" localSheetId="16">#REF!</definedName>
    <definedName name="ya" localSheetId="17">#REF!</definedName>
    <definedName name="ya" localSheetId="18">#REF!</definedName>
    <definedName name="ya" localSheetId="19">#REF!</definedName>
    <definedName name="ya" localSheetId="21">#REF!</definedName>
    <definedName name="ya" localSheetId="22">#REF!</definedName>
    <definedName name="ya" localSheetId="1">#REF!</definedName>
    <definedName name="ya" localSheetId="2">#REF!</definedName>
    <definedName name="ya" localSheetId="4">#REF!</definedName>
    <definedName name="ya" localSheetId="48">#REF!</definedName>
    <definedName name="ya" localSheetId="52">#REF!</definedName>
    <definedName name="ya" localSheetId="68">#REF!</definedName>
    <definedName name="ya" localSheetId="71">#REF!</definedName>
    <definedName name="ya" localSheetId="76">#REF!</definedName>
    <definedName name="ya" localSheetId="78">#REF!</definedName>
    <definedName name="ya" localSheetId="79">#REF!</definedName>
    <definedName name="ya" localSheetId="82">#REF!</definedName>
    <definedName name="ya" localSheetId="85">#REF!</definedName>
    <definedName name="ya" localSheetId="86">#REF!</definedName>
    <definedName name="ya" localSheetId="87">#REF!</definedName>
    <definedName name="ya" localSheetId="8">#REF!</definedName>
    <definedName name="ya" localSheetId="9">#REF!</definedName>
    <definedName name="ya">#REF!</definedName>
    <definedName name="yaa" localSheetId="0">#REF!</definedName>
    <definedName name="yaa" localSheetId="16">#REF!</definedName>
    <definedName name="yaa" localSheetId="17">#REF!</definedName>
    <definedName name="yaa" localSheetId="18">#REF!</definedName>
    <definedName name="yaa" localSheetId="19">#REF!</definedName>
    <definedName name="yaa" localSheetId="21">#REF!</definedName>
    <definedName name="yaa" localSheetId="22">#REF!</definedName>
    <definedName name="yaa" localSheetId="1">#REF!</definedName>
    <definedName name="yaa" localSheetId="2">#REF!</definedName>
    <definedName name="yaa" localSheetId="4">#REF!</definedName>
    <definedName name="yaa" localSheetId="48">#REF!</definedName>
    <definedName name="yaa" localSheetId="52">#REF!</definedName>
    <definedName name="yaa" localSheetId="68">#REF!</definedName>
    <definedName name="yaa" localSheetId="71">#REF!</definedName>
    <definedName name="yaa" localSheetId="76">#REF!</definedName>
    <definedName name="yaa" localSheetId="78">#REF!</definedName>
    <definedName name="yaa" localSheetId="79">#REF!</definedName>
    <definedName name="yaa" localSheetId="82">#REF!</definedName>
    <definedName name="yaa" localSheetId="85">#REF!</definedName>
    <definedName name="yaa" localSheetId="86">#REF!</definedName>
    <definedName name="yaa" localSheetId="87">#REF!</definedName>
    <definedName name="yaa" localSheetId="8">#REF!</definedName>
    <definedName name="yaa" localSheetId="9">#REF!</definedName>
    <definedName name="yaa">#REF!</definedName>
    <definedName name="yaaa" localSheetId="0">#REF!</definedName>
    <definedName name="yaaa" localSheetId="16">#REF!</definedName>
    <definedName name="yaaa" localSheetId="17">#REF!</definedName>
    <definedName name="yaaa" localSheetId="18">#REF!</definedName>
    <definedName name="yaaa" localSheetId="19">#REF!</definedName>
    <definedName name="yaaa" localSheetId="21">#REF!</definedName>
    <definedName name="yaaa" localSheetId="22">#REF!</definedName>
    <definedName name="yaaa" localSheetId="1">#REF!</definedName>
    <definedName name="yaaa" localSheetId="2">#REF!</definedName>
    <definedName name="yaaa" localSheetId="4">#REF!</definedName>
    <definedName name="yaaa" localSheetId="48">#REF!</definedName>
    <definedName name="yaaa" localSheetId="52">#REF!</definedName>
    <definedName name="yaaa" localSheetId="68">#REF!</definedName>
    <definedName name="yaaa" localSheetId="71">#REF!</definedName>
    <definedName name="yaaa" localSheetId="76">#REF!</definedName>
    <definedName name="yaaa" localSheetId="78">#REF!</definedName>
    <definedName name="yaaa" localSheetId="79">#REF!</definedName>
    <definedName name="yaaa" localSheetId="82">#REF!</definedName>
    <definedName name="yaaa" localSheetId="85">#REF!</definedName>
    <definedName name="yaaa" localSheetId="86">#REF!</definedName>
    <definedName name="yaaa" localSheetId="87">#REF!</definedName>
    <definedName name="yaaa" localSheetId="8">#REF!</definedName>
    <definedName name="yaaa" localSheetId="9">#REF!</definedName>
    <definedName name="yaaa">#REF!</definedName>
    <definedName name="yi" localSheetId="0">#REF!</definedName>
    <definedName name="yi" localSheetId="16">#REF!</definedName>
    <definedName name="yi" localSheetId="17">#REF!</definedName>
    <definedName name="yi" localSheetId="18">#REF!</definedName>
    <definedName name="yi" localSheetId="19">#REF!</definedName>
    <definedName name="yi" localSheetId="21">#REF!</definedName>
    <definedName name="yi" localSheetId="22">#REF!</definedName>
    <definedName name="yi" localSheetId="1">#REF!</definedName>
    <definedName name="yi" localSheetId="2">#REF!</definedName>
    <definedName name="yi" localSheetId="4">#REF!</definedName>
    <definedName name="yi" localSheetId="48">#REF!</definedName>
    <definedName name="yi" localSheetId="52">#REF!</definedName>
    <definedName name="yi" localSheetId="68">#REF!</definedName>
    <definedName name="yi" localSheetId="71">#REF!</definedName>
    <definedName name="yi" localSheetId="76">#REF!</definedName>
    <definedName name="yi" localSheetId="78">#REF!</definedName>
    <definedName name="yi" localSheetId="79">#REF!</definedName>
    <definedName name="yi" localSheetId="82">#REF!</definedName>
    <definedName name="yi" localSheetId="85">#REF!</definedName>
    <definedName name="yi" localSheetId="86">#REF!</definedName>
    <definedName name="yi" localSheetId="87">#REF!</definedName>
    <definedName name="yi" localSheetId="8">#REF!</definedName>
    <definedName name="yi" localSheetId="9">#REF!</definedName>
    <definedName name="yi">#REF!</definedName>
    <definedName name="yyy" localSheetId="0">#REF!</definedName>
    <definedName name="yyy" localSheetId="18">#REF!</definedName>
    <definedName name="yyy" localSheetId="19">#REF!</definedName>
    <definedName name="yyy" localSheetId="21">#REF!</definedName>
    <definedName name="yyy" localSheetId="22">#REF!</definedName>
    <definedName name="yyy" localSheetId="1">#REF!</definedName>
    <definedName name="yyy" localSheetId="2">#REF!</definedName>
    <definedName name="yyy" localSheetId="4">#REF!</definedName>
    <definedName name="yyy" localSheetId="48">#REF!</definedName>
    <definedName name="yyy" localSheetId="68">#REF!</definedName>
    <definedName name="yyy" localSheetId="71">#REF!</definedName>
    <definedName name="yyy" localSheetId="76">#REF!</definedName>
    <definedName name="yyy" localSheetId="78">#REF!</definedName>
    <definedName name="yyy" localSheetId="79">#REF!</definedName>
    <definedName name="yyy" localSheetId="82">#REF!</definedName>
    <definedName name="yyy" localSheetId="85">#REF!</definedName>
    <definedName name="yyy" localSheetId="86">#REF!</definedName>
    <definedName name="yyy" localSheetId="87">#REF!</definedName>
    <definedName name="yyy" localSheetId="8">#REF!</definedName>
    <definedName name="yyy" localSheetId="9">#REF!</definedName>
    <definedName name="yyy">#REF!</definedName>
    <definedName name="Z" localSheetId="0">#REF!</definedName>
    <definedName name="Z" localSheetId="16">#REF!</definedName>
    <definedName name="Z" localSheetId="17">#REF!</definedName>
    <definedName name="Z" localSheetId="18">#REF!</definedName>
    <definedName name="Z" localSheetId="19">#REF!</definedName>
    <definedName name="Z" localSheetId="21">#REF!</definedName>
    <definedName name="Z" localSheetId="22">#REF!</definedName>
    <definedName name="Z" localSheetId="1">#REF!</definedName>
    <definedName name="Z" localSheetId="2">#REF!</definedName>
    <definedName name="Z" localSheetId="4">#REF!</definedName>
    <definedName name="Z" localSheetId="48">#REF!</definedName>
    <definedName name="Z" localSheetId="52">#REF!</definedName>
    <definedName name="Z" localSheetId="68">#REF!</definedName>
    <definedName name="Z" localSheetId="71">#REF!</definedName>
    <definedName name="Z" localSheetId="76">#REF!</definedName>
    <definedName name="Z" localSheetId="78">#REF!</definedName>
    <definedName name="Z" localSheetId="79">#REF!</definedName>
    <definedName name="Z" localSheetId="82">#REF!</definedName>
    <definedName name="Z" localSheetId="85">#REF!</definedName>
    <definedName name="Z" localSheetId="86">#REF!</definedName>
    <definedName name="Z" localSheetId="87">#REF!</definedName>
    <definedName name="Z" localSheetId="8">#REF!</definedName>
    <definedName name="Z" localSheetId="9">#REF!</definedName>
    <definedName name="Z">#REF!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1" i="144" l="1"/>
  <c r="G11" i="144"/>
  <c r="H11" i="144"/>
  <c r="F30" i="144"/>
  <c r="G30" i="144"/>
  <c r="H30" i="144"/>
  <c r="L48" i="120"/>
  <c r="K48" i="120"/>
  <c r="J48" i="120"/>
  <c r="F29" i="120"/>
  <c r="G29" i="120"/>
  <c r="H29" i="120"/>
  <c r="F37" i="120"/>
  <c r="G37" i="120"/>
  <c r="H37" i="120"/>
  <c r="F39" i="120"/>
  <c r="G39" i="120"/>
  <c r="H39" i="120"/>
  <c r="F41" i="120"/>
  <c r="G41" i="120"/>
  <c r="H41" i="120"/>
  <c r="E78" i="50" l="1"/>
  <c r="E77" i="50"/>
  <c r="E76" i="50"/>
  <c r="E74" i="50"/>
  <c r="E73" i="50"/>
  <c r="E72" i="50"/>
  <c r="E70" i="50"/>
  <c r="E69" i="50"/>
  <c r="E68" i="50"/>
  <c r="E66" i="50"/>
  <c r="E65" i="50"/>
  <c r="E64" i="50"/>
  <c r="E62" i="50"/>
  <c r="E61" i="50"/>
  <c r="E60" i="50"/>
  <c r="E58" i="50"/>
  <c r="E57" i="50"/>
  <c r="E56" i="50"/>
  <c r="E54" i="50"/>
  <c r="E53" i="50"/>
  <c r="E52" i="50"/>
  <c r="E50" i="50"/>
  <c r="E49" i="50"/>
  <c r="E48" i="50"/>
  <c r="E46" i="50"/>
  <c r="E45" i="50"/>
  <c r="E44" i="50"/>
  <c r="E42" i="50"/>
  <c r="E41" i="50"/>
  <c r="E40" i="50"/>
  <c r="E38" i="50"/>
  <c r="E37" i="50"/>
  <c r="E36" i="50"/>
  <c r="E34" i="50"/>
  <c r="E33" i="50"/>
  <c r="E32" i="50"/>
  <c r="E30" i="50"/>
  <c r="E29" i="50"/>
  <c r="E28" i="50"/>
  <c r="E26" i="50"/>
  <c r="E25" i="50"/>
  <c r="E24" i="50"/>
  <c r="E22" i="50"/>
  <c r="E21" i="50"/>
  <c r="E20" i="50"/>
  <c r="L18" i="50"/>
  <c r="K18" i="50"/>
  <c r="J18" i="50"/>
  <c r="I18" i="50"/>
  <c r="H18" i="50"/>
  <c r="G18" i="50"/>
  <c r="F18" i="50"/>
  <c r="L17" i="50"/>
  <c r="K17" i="50"/>
  <c r="J17" i="50"/>
  <c r="I17" i="50"/>
  <c r="H17" i="50"/>
  <c r="G17" i="50"/>
  <c r="F17" i="50"/>
  <c r="L16" i="50"/>
  <c r="K16" i="50"/>
  <c r="J16" i="50"/>
  <c r="I16" i="50"/>
  <c r="H16" i="50"/>
  <c r="G16" i="50"/>
  <c r="F16" i="50"/>
  <c r="H36" i="30"/>
  <c r="H33" i="30"/>
  <c r="G33" i="30"/>
  <c r="H30" i="30"/>
  <c r="G30" i="30"/>
  <c r="H27" i="30"/>
  <c r="G27" i="30"/>
  <c r="E16" i="50" l="1"/>
  <c r="E17" i="50"/>
  <c r="E18" i="50"/>
</calcChain>
</file>

<file path=xl/sharedStrings.xml><?xml version="1.0" encoding="utf-8"?>
<sst xmlns="http://schemas.openxmlformats.org/spreadsheetml/2006/main" count="5400" uniqueCount="2063">
  <si>
    <t>Sumber: Jabatan Perangkaan Malaysia</t>
  </si>
  <si>
    <t>Source: Department of Statistics Malaysia</t>
  </si>
  <si>
    <r>
      <t xml:space="preserve">Nota/ </t>
    </r>
    <r>
      <rPr>
        <i/>
        <sz val="9"/>
        <rFont val="Century Gothic"/>
        <family val="2"/>
      </rPr>
      <t>Notes</t>
    </r>
    <r>
      <rPr>
        <sz val="9"/>
        <rFont val="Century Gothic"/>
        <family val="2"/>
      </rPr>
      <t>:</t>
    </r>
  </si>
  <si>
    <t>1.</t>
  </si>
  <si>
    <t>2.</t>
  </si>
  <si>
    <r>
      <t xml:space="preserve">ALIRAN PERDAGANGAN 
</t>
    </r>
    <r>
      <rPr>
        <i/>
        <sz val="10"/>
        <rFont val="Century Gothic"/>
        <family val="2"/>
      </rPr>
      <t>TRADE FLOW</t>
    </r>
  </si>
  <si>
    <t>Jumlah Terimaan (RM juta)</t>
  </si>
  <si>
    <t>Total Receipts (RM million)</t>
  </si>
  <si>
    <r>
      <t xml:space="preserve">Pelawat Domestik/ </t>
    </r>
    <r>
      <rPr>
        <i/>
        <sz val="10"/>
        <color rgb="FF000000"/>
        <rFont val="Century Gothic"/>
        <family val="2"/>
      </rPr>
      <t>Domestic Visitors</t>
    </r>
    <r>
      <rPr>
        <b/>
        <sz val="10"/>
        <color rgb="FF000000"/>
        <rFont val="Century Gothic"/>
        <family val="2"/>
      </rPr>
      <t xml:space="preserve">
</t>
    </r>
  </si>
  <si>
    <r>
      <t xml:space="preserve">Isi Rumah yang Dilawati/ </t>
    </r>
    <r>
      <rPr>
        <i/>
        <sz val="10"/>
        <color rgb="FF000000"/>
        <rFont val="Century Gothic"/>
        <family val="2"/>
      </rPr>
      <t xml:space="preserve">Visited Households
</t>
    </r>
  </si>
  <si>
    <t xml:space="preserve">Jumlah Pelawat (’000)
</t>
  </si>
  <si>
    <t>Number of Visitors</t>
  </si>
  <si>
    <t xml:space="preserve">Jumlah Perjalanan Pelancongan (’000)
</t>
  </si>
  <si>
    <t>Number of Tourism Trips</t>
  </si>
  <si>
    <r>
      <t xml:space="preserve">Statistik Utama Tenaga Buruh
</t>
    </r>
    <r>
      <rPr>
        <i/>
        <sz val="10"/>
        <rFont val="Century Gothic"/>
        <family val="1"/>
      </rPr>
      <t>Principal Statistics of Labour Force</t>
    </r>
  </si>
  <si>
    <r>
      <rPr>
        <b/>
        <sz val="10"/>
        <color theme="1"/>
        <rFont val="Century Gothic"/>
        <family val="2"/>
      </rPr>
      <t>Tenaga Buruh  ('000)</t>
    </r>
    <r>
      <rPr>
        <i/>
        <sz val="10"/>
        <color theme="1"/>
        <rFont val="Century Gothic"/>
        <family val="1"/>
      </rPr>
      <t xml:space="preserve">
Labour Force</t>
    </r>
  </si>
  <si>
    <r>
      <rPr>
        <b/>
        <sz val="10"/>
        <color theme="1"/>
        <rFont val="Century Gothic"/>
        <family val="1"/>
      </rPr>
      <t>Penduduk Bekerja</t>
    </r>
    <r>
      <rPr>
        <sz val="10"/>
        <color theme="1"/>
        <rFont val="Century Gothic"/>
        <family val="1"/>
      </rPr>
      <t xml:space="preserve"> </t>
    </r>
    <r>
      <rPr>
        <b/>
        <sz val="10"/>
        <color theme="1"/>
        <rFont val="Century Gothic"/>
        <family val="2"/>
      </rPr>
      <t>('000)</t>
    </r>
    <r>
      <rPr>
        <sz val="10"/>
        <color theme="1"/>
        <rFont val="Century Gothic"/>
        <family val="1"/>
      </rPr>
      <t xml:space="preserve">
</t>
    </r>
    <r>
      <rPr>
        <i/>
        <sz val="10"/>
        <color theme="1"/>
        <rFont val="Century Gothic"/>
        <family val="1"/>
      </rPr>
      <t>Employed Persons</t>
    </r>
  </si>
  <si>
    <r>
      <rPr>
        <b/>
        <sz val="10"/>
        <color theme="1"/>
        <rFont val="Century Gothic"/>
        <family val="1"/>
      </rPr>
      <t>Penganggur ('000)</t>
    </r>
    <r>
      <rPr>
        <sz val="10"/>
        <color theme="1"/>
        <rFont val="Century Gothic"/>
        <family val="1"/>
      </rPr>
      <t xml:space="preserve">
</t>
    </r>
    <r>
      <rPr>
        <i/>
        <sz val="10"/>
        <color theme="1"/>
        <rFont val="Century Gothic"/>
        <family val="1"/>
      </rPr>
      <t>Unemployed</t>
    </r>
  </si>
  <si>
    <r>
      <rPr>
        <b/>
        <sz val="10"/>
        <color theme="1"/>
        <rFont val="Century Gothic"/>
        <family val="1"/>
      </rPr>
      <t>Kadar Penyertaan Tenaga Buruh (%)</t>
    </r>
    <r>
      <rPr>
        <sz val="10"/>
        <color theme="1"/>
        <rFont val="Century Gothic"/>
        <family val="1"/>
      </rPr>
      <t xml:space="preserve">
</t>
    </r>
    <r>
      <rPr>
        <i/>
        <sz val="10"/>
        <color theme="1"/>
        <rFont val="Century Gothic"/>
        <family val="1"/>
      </rPr>
      <t>Labour Force Participation Rate</t>
    </r>
  </si>
  <si>
    <r>
      <rPr>
        <b/>
        <sz val="10"/>
        <color theme="1"/>
        <rFont val="Century Gothic"/>
        <family val="1"/>
      </rPr>
      <t>Kadar Pengangguran (%)</t>
    </r>
    <r>
      <rPr>
        <sz val="10"/>
        <color theme="1"/>
        <rFont val="Century Gothic"/>
        <family val="1"/>
      </rPr>
      <t xml:space="preserve">
</t>
    </r>
    <r>
      <rPr>
        <i/>
        <sz val="10"/>
        <color theme="1"/>
        <rFont val="Century Gothic"/>
        <family val="1"/>
      </rPr>
      <t>Unemployment Rate</t>
    </r>
  </si>
  <si>
    <r>
      <rPr>
        <b/>
        <sz val="10"/>
        <color theme="1"/>
        <rFont val="Century Gothic"/>
        <family val="1"/>
      </rPr>
      <t>Penduduk Bekerja Mengikut Kemahiran</t>
    </r>
    <r>
      <rPr>
        <sz val="10"/>
        <color theme="1"/>
        <rFont val="Century Gothic"/>
        <family val="1"/>
      </rPr>
      <t xml:space="preserve"> 
</t>
    </r>
    <r>
      <rPr>
        <i/>
        <sz val="10"/>
        <color theme="1"/>
        <rFont val="Century Gothic"/>
        <family val="1"/>
      </rPr>
      <t>Employed Persons by Skill</t>
    </r>
  </si>
  <si>
    <r>
      <rPr>
        <b/>
        <sz val="10"/>
        <color theme="1"/>
        <rFont val="Century Gothic"/>
        <family val="1"/>
      </rPr>
      <t>Mahir ('000)</t>
    </r>
    <r>
      <rPr>
        <sz val="10"/>
        <color theme="1"/>
        <rFont val="Century Gothic"/>
        <family val="1"/>
      </rPr>
      <t xml:space="preserve">
</t>
    </r>
    <r>
      <rPr>
        <i/>
        <sz val="10"/>
        <color theme="1"/>
        <rFont val="Century Gothic"/>
        <family val="1"/>
      </rPr>
      <t>Skilled</t>
    </r>
  </si>
  <si>
    <r>
      <rPr>
        <b/>
        <sz val="10"/>
        <color theme="1"/>
        <rFont val="Century Gothic"/>
        <family val="1"/>
      </rPr>
      <t>Separuh Mahir ('000)</t>
    </r>
    <r>
      <rPr>
        <sz val="10"/>
        <color theme="1"/>
        <rFont val="Century Gothic"/>
        <family val="1"/>
      </rPr>
      <t xml:space="preserve">
</t>
    </r>
    <r>
      <rPr>
        <i/>
        <sz val="10"/>
        <color theme="1"/>
        <rFont val="Century Gothic"/>
        <family val="1"/>
      </rPr>
      <t>Semi-skilled</t>
    </r>
  </si>
  <si>
    <r>
      <rPr>
        <b/>
        <sz val="10"/>
        <color theme="1"/>
        <rFont val="Century Gothic"/>
        <family val="1"/>
      </rPr>
      <t>Berkemahiran Rendah ('000)</t>
    </r>
    <r>
      <rPr>
        <sz val="10"/>
        <color theme="1"/>
        <rFont val="Century Gothic"/>
        <family val="1"/>
      </rPr>
      <t xml:space="preserve">
</t>
    </r>
    <r>
      <rPr>
        <i/>
        <sz val="10"/>
        <color theme="1"/>
        <rFont val="Century Gothic"/>
        <family val="1"/>
      </rPr>
      <t>Low-skilled</t>
    </r>
  </si>
  <si>
    <r>
      <rPr>
        <b/>
        <sz val="10"/>
        <color theme="1"/>
        <rFont val="Century Gothic"/>
        <family val="1"/>
      </rPr>
      <t>Penduduk Bekerja Mengikut Pencapaian Pendidikan</t>
    </r>
    <r>
      <rPr>
        <sz val="10"/>
        <color theme="1"/>
        <rFont val="Century Gothic"/>
        <family val="1"/>
      </rPr>
      <t xml:space="preserve"> 
</t>
    </r>
    <r>
      <rPr>
        <i/>
        <sz val="10"/>
        <color theme="1"/>
        <rFont val="Century Gothic"/>
        <family val="1"/>
      </rPr>
      <t>Employed Persons by Education Attainment</t>
    </r>
  </si>
  <si>
    <r>
      <rPr>
        <b/>
        <sz val="10"/>
        <color theme="1"/>
        <rFont val="Century Gothic"/>
        <family val="1"/>
      </rPr>
      <t>Tertiari ('000)</t>
    </r>
    <r>
      <rPr>
        <sz val="10"/>
        <color theme="1"/>
        <rFont val="Century Gothic"/>
        <family val="1"/>
      </rPr>
      <t xml:space="preserve">
</t>
    </r>
    <r>
      <rPr>
        <i/>
        <sz val="10"/>
        <color theme="1"/>
        <rFont val="Century Gothic"/>
        <family val="1"/>
      </rPr>
      <t>Tertiary</t>
    </r>
  </si>
  <si>
    <r>
      <rPr>
        <b/>
        <sz val="10"/>
        <color theme="1"/>
        <rFont val="Century Gothic"/>
        <family val="1"/>
      </rPr>
      <t>Menengah ('000)</t>
    </r>
    <r>
      <rPr>
        <sz val="10"/>
        <color theme="1"/>
        <rFont val="Century Gothic"/>
        <family val="1"/>
      </rPr>
      <t xml:space="preserve"> 
</t>
    </r>
    <r>
      <rPr>
        <i/>
        <sz val="10"/>
        <color theme="1"/>
        <rFont val="Century Gothic"/>
        <family val="1"/>
      </rPr>
      <t>Secondary</t>
    </r>
  </si>
  <si>
    <r>
      <rPr>
        <b/>
        <sz val="10"/>
        <color theme="1"/>
        <rFont val="Century Gothic"/>
        <family val="1"/>
      </rPr>
      <t>Rendah ('000)</t>
    </r>
    <r>
      <rPr>
        <sz val="10"/>
        <color theme="1"/>
        <rFont val="Century Gothic"/>
        <family val="1"/>
      </rPr>
      <t xml:space="preserve">
</t>
    </r>
    <r>
      <rPr>
        <i/>
        <sz val="10"/>
        <color theme="1"/>
        <rFont val="Century Gothic"/>
        <family val="1"/>
      </rPr>
      <t>Primary</t>
    </r>
    <r>
      <rPr>
        <sz val="10"/>
        <color theme="1"/>
        <rFont val="Century Gothic"/>
        <family val="1"/>
      </rPr>
      <t xml:space="preserve"> </t>
    </r>
  </si>
  <si>
    <r>
      <rPr>
        <b/>
        <sz val="10"/>
        <color theme="1"/>
        <rFont val="Century Gothic"/>
        <family val="1"/>
      </rPr>
      <t>Tiada Pendidikan Rasmi ('000)</t>
    </r>
    <r>
      <rPr>
        <sz val="10"/>
        <color theme="1"/>
        <rFont val="Century Gothic"/>
        <family val="1"/>
      </rPr>
      <t xml:space="preserve">
</t>
    </r>
    <r>
      <rPr>
        <i/>
        <sz val="10"/>
        <color theme="1"/>
        <rFont val="Century Gothic"/>
        <family val="1"/>
      </rPr>
      <t>No Formal Education</t>
    </r>
  </si>
  <si>
    <r>
      <rPr>
        <b/>
        <sz val="10"/>
        <rFont val="Century Gothic"/>
        <family val="1"/>
      </rPr>
      <t>Statistik Gaji &amp; Upah</t>
    </r>
    <r>
      <rPr>
        <sz val="10"/>
        <rFont val="Century Gothic"/>
        <family val="2"/>
      </rPr>
      <t xml:space="preserve"> 
</t>
    </r>
    <r>
      <rPr>
        <i/>
        <sz val="10"/>
        <rFont val="Century Gothic"/>
        <family val="1"/>
      </rPr>
      <t>Salaries &amp; Wages Statistics</t>
    </r>
  </si>
  <si>
    <r>
      <rPr>
        <b/>
        <sz val="10"/>
        <rFont val="Century Gothic"/>
        <family val="1"/>
      </rPr>
      <t>Bilangan Penerima ('000)</t>
    </r>
    <r>
      <rPr>
        <sz val="10"/>
        <rFont val="Century Gothic"/>
        <family val="2"/>
      </rPr>
      <t xml:space="preserve">
</t>
    </r>
    <r>
      <rPr>
        <i/>
        <sz val="10"/>
        <rFont val="Century Gothic"/>
        <family val="1"/>
      </rPr>
      <t>Number of Recipients</t>
    </r>
  </si>
  <si>
    <r>
      <rPr>
        <b/>
        <sz val="10"/>
        <rFont val="Century Gothic"/>
        <family val="1"/>
      </rPr>
      <t>Penengah Gaji &amp; Upah Bulanan Pekerja</t>
    </r>
    <r>
      <rPr>
        <b/>
        <sz val="10"/>
        <rFont val="Century Gothic"/>
        <family val="2"/>
      </rPr>
      <t xml:space="preserve"> (RM)</t>
    </r>
    <r>
      <rPr>
        <sz val="10"/>
        <rFont val="Century Gothic"/>
        <family val="2"/>
      </rPr>
      <t xml:space="preserve">
</t>
    </r>
    <r>
      <rPr>
        <i/>
        <sz val="10"/>
        <rFont val="Century Gothic"/>
        <family val="1"/>
      </rPr>
      <t>Median Monthly Salaries &amp; Wages of Employees</t>
    </r>
  </si>
  <si>
    <r>
      <rPr>
        <b/>
        <sz val="10"/>
        <rFont val="Century Gothic"/>
        <family val="1"/>
      </rPr>
      <t>Purata Gaji &amp; Upah Bulanan Pekerja</t>
    </r>
    <r>
      <rPr>
        <b/>
        <sz val="10"/>
        <rFont val="Century Gothic"/>
        <family val="2"/>
      </rPr>
      <t xml:space="preserve"> (RM)</t>
    </r>
    <r>
      <rPr>
        <sz val="10"/>
        <rFont val="Century Gothic"/>
        <family val="2"/>
      </rPr>
      <t xml:space="preserve">
</t>
    </r>
    <r>
      <rPr>
        <i/>
        <sz val="10"/>
        <rFont val="Century Gothic"/>
        <family val="1"/>
      </rPr>
      <t>Mean Monthly Salaries &amp; Wages of Employees</t>
    </r>
  </si>
  <si>
    <r>
      <t xml:space="preserve">Statistik Siswazah 
</t>
    </r>
    <r>
      <rPr>
        <i/>
        <sz val="10"/>
        <color theme="1"/>
        <rFont val="Century Gothic"/>
        <family val="1"/>
      </rPr>
      <t>Graduate Statistics</t>
    </r>
  </si>
  <si>
    <r>
      <rPr>
        <b/>
        <sz val="10"/>
        <color theme="1"/>
        <rFont val="Century Gothic"/>
        <family val="1"/>
      </rPr>
      <t>Tenaga Buruh ('000)</t>
    </r>
    <r>
      <rPr>
        <i/>
        <sz val="10"/>
        <color theme="1"/>
        <rFont val="Century Gothic"/>
        <family val="1"/>
      </rPr>
      <t xml:space="preserve">
Labour Force</t>
    </r>
  </si>
  <si>
    <r>
      <rPr>
        <b/>
        <sz val="10"/>
        <color theme="1"/>
        <rFont val="Century Gothic"/>
        <family val="1"/>
      </rPr>
      <t>Penduduk Bekerja ('000)</t>
    </r>
    <r>
      <rPr>
        <sz val="10"/>
        <color theme="1"/>
        <rFont val="Century Gothic"/>
        <family val="1"/>
      </rPr>
      <t xml:space="preserve">
</t>
    </r>
    <r>
      <rPr>
        <i/>
        <sz val="10"/>
        <color theme="1"/>
        <rFont val="Century Gothic"/>
        <family val="1"/>
      </rPr>
      <t>Employed Persons</t>
    </r>
  </si>
  <si>
    <r>
      <rPr>
        <b/>
        <sz val="10"/>
        <color theme="1"/>
        <rFont val="Century Gothic"/>
        <family val="1"/>
      </rPr>
      <t>Penganggur</t>
    </r>
    <r>
      <rPr>
        <b/>
        <vertAlign val="superscript"/>
        <sz val="10"/>
        <color theme="1"/>
        <rFont val="Century Gothic"/>
        <family val="1"/>
      </rPr>
      <t>a</t>
    </r>
    <r>
      <rPr>
        <sz val="10"/>
        <color theme="1"/>
        <rFont val="Century Gothic"/>
        <family val="1"/>
      </rPr>
      <t xml:space="preserve"> </t>
    </r>
    <r>
      <rPr>
        <b/>
        <sz val="10"/>
        <color theme="1"/>
        <rFont val="Century Gothic"/>
        <family val="2"/>
      </rPr>
      <t>('000)</t>
    </r>
    <r>
      <rPr>
        <sz val="10"/>
        <color theme="1"/>
        <rFont val="Century Gothic"/>
        <family val="1"/>
      </rPr>
      <t xml:space="preserve">
</t>
    </r>
    <r>
      <rPr>
        <i/>
        <sz val="10"/>
        <color theme="1"/>
        <rFont val="Century Gothic"/>
        <family val="1"/>
      </rPr>
      <t>Unemployed</t>
    </r>
    <r>
      <rPr>
        <sz val="10"/>
        <color theme="1"/>
        <rFont val="Century Gothic"/>
        <family val="1"/>
      </rPr>
      <t xml:space="preserve"> </t>
    </r>
  </si>
  <si>
    <r>
      <rPr>
        <b/>
        <sz val="10"/>
        <color theme="1"/>
        <rFont val="Century Gothic"/>
        <family val="1"/>
      </rPr>
      <t>Kadar Pengangguran</t>
    </r>
    <r>
      <rPr>
        <b/>
        <vertAlign val="superscript"/>
        <sz val="10"/>
        <color theme="1"/>
        <rFont val="Century Gothic"/>
        <family val="1"/>
      </rPr>
      <t>a</t>
    </r>
    <r>
      <rPr>
        <b/>
        <sz val="10"/>
        <color theme="1"/>
        <rFont val="Century Gothic"/>
        <family val="2"/>
      </rPr>
      <t xml:space="preserve"> (%)</t>
    </r>
    <r>
      <rPr>
        <sz val="10"/>
        <color theme="1"/>
        <rFont val="Century Gothic"/>
        <family val="1"/>
      </rPr>
      <t xml:space="preserve">
</t>
    </r>
    <r>
      <rPr>
        <i/>
        <sz val="10"/>
        <color theme="1"/>
        <rFont val="Century Gothic"/>
        <family val="1"/>
      </rPr>
      <t>Unemployment Rate</t>
    </r>
    <r>
      <rPr>
        <sz val="10"/>
        <color theme="1"/>
        <rFont val="Century Gothic"/>
        <family val="1"/>
      </rPr>
      <t xml:space="preserve"> </t>
    </r>
  </si>
  <si>
    <r>
      <rPr>
        <b/>
        <sz val="10"/>
        <color theme="1"/>
        <rFont val="Century Gothic"/>
        <family val="1"/>
      </rPr>
      <t>Penengah Gaji &amp; Upah Bulanan Siswazah Bekerja</t>
    </r>
    <r>
      <rPr>
        <sz val="10"/>
        <color theme="1"/>
        <rFont val="Century Gothic"/>
        <family val="1"/>
      </rPr>
      <t xml:space="preserve"> </t>
    </r>
    <r>
      <rPr>
        <b/>
        <sz val="10"/>
        <color theme="1"/>
        <rFont val="Century Gothic"/>
        <family val="2"/>
      </rPr>
      <t>(RM)</t>
    </r>
    <r>
      <rPr>
        <sz val="10"/>
        <color theme="1"/>
        <rFont val="Century Gothic"/>
        <family val="1"/>
      </rPr>
      <t xml:space="preserve">
</t>
    </r>
    <r>
      <rPr>
        <i/>
        <sz val="10"/>
        <color theme="1"/>
        <rFont val="Century Gothic"/>
        <family val="1"/>
      </rPr>
      <t>Median Monthly Salaries &amp; Wages of Employed Graduates</t>
    </r>
  </si>
  <si>
    <t>Tahun</t>
  </si>
  <si>
    <t>Year</t>
  </si>
  <si>
    <t>(%)</t>
  </si>
  <si>
    <t>(2010=100)</t>
  </si>
  <si>
    <t>Indeks Harga Pengguna</t>
  </si>
  <si>
    <t>Consumer Price Index</t>
  </si>
  <si>
    <t>Jumlah</t>
  </si>
  <si>
    <t>Total</t>
  </si>
  <si>
    <t xml:space="preserve">Makanan &amp; Minuman </t>
  </si>
  <si>
    <t>Food &amp; Beverages</t>
  </si>
  <si>
    <t>Minuman Alkohol &amp; Tembakau</t>
  </si>
  <si>
    <t>Alcoholic Beverages &amp; Tobacco</t>
  </si>
  <si>
    <t>Pakaian &amp; Kasut</t>
  </si>
  <si>
    <t>Clothing &amp; Footwear</t>
  </si>
  <si>
    <t>Perumahan, Air, Elektrik, Gas &amp; Bahan Api Lain</t>
  </si>
  <si>
    <t>Housing, Water, Electricity, Gas &amp; Other Fuels</t>
  </si>
  <si>
    <t>Hiasan, Perkakasan &amp; Penyelenggaraan Isi Rumah</t>
  </si>
  <si>
    <t>Furnishings, Household Equipment &amp; Routine Household Maintenance</t>
  </si>
  <si>
    <t>Kesihatan</t>
  </si>
  <si>
    <t>Health</t>
  </si>
  <si>
    <t>Pengangkutan</t>
  </si>
  <si>
    <t>Transport</t>
  </si>
  <si>
    <t>Communication</t>
  </si>
  <si>
    <t>Pendidikan</t>
  </si>
  <si>
    <t>Education</t>
  </si>
  <si>
    <t>Miscellaneous Goods &amp; Services</t>
  </si>
  <si>
    <t>Inflasi Tahunan (Perubahan %)</t>
  </si>
  <si>
    <t>Annual Inflation (% Change)</t>
  </si>
  <si>
    <r>
      <t xml:space="preserve">ITEM TERPILIH
</t>
    </r>
    <r>
      <rPr>
        <i/>
        <sz val="10"/>
        <color theme="1"/>
        <rFont val="Century Gothic"/>
        <family val="2"/>
      </rPr>
      <t>SELECTED ITEMS</t>
    </r>
  </si>
  <si>
    <t>Sayuran</t>
  </si>
  <si>
    <t>Vegetables</t>
  </si>
  <si>
    <t>Kg</t>
  </si>
  <si>
    <r>
      <rPr>
        <b/>
        <sz val="10"/>
        <color theme="1"/>
        <rFont val="Century Gothic"/>
        <family val="2"/>
      </rPr>
      <t>Bendi</t>
    </r>
    <r>
      <rPr>
        <i/>
        <sz val="10"/>
        <color theme="1"/>
        <rFont val="Century Gothic"/>
        <family val="2"/>
      </rPr>
      <t>/ Ladies Fingers</t>
    </r>
  </si>
  <si>
    <r>
      <rPr>
        <b/>
        <sz val="10"/>
        <color theme="1"/>
        <rFont val="Century Gothic"/>
        <family val="2"/>
      </rPr>
      <t>Petola</t>
    </r>
    <r>
      <rPr>
        <i/>
        <sz val="10"/>
        <color theme="1"/>
        <rFont val="Century Gothic"/>
        <family val="2"/>
      </rPr>
      <t>/ Angel Gourd</t>
    </r>
  </si>
  <si>
    <t>200 gm</t>
  </si>
  <si>
    <r>
      <rPr>
        <b/>
        <sz val="10"/>
        <color theme="1"/>
        <rFont val="Century Gothic"/>
        <family val="2"/>
      </rPr>
      <t>Cili Merah (Kulai)</t>
    </r>
    <r>
      <rPr>
        <i/>
        <sz val="10"/>
        <color theme="1"/>
        <rFont val="Century Gothic"/>
        <family val="2"/>
      </rPr>
      <t>/ Red Chilli (Kulai)</t>
    </r>
  </si>
  <si>
    <r>
      <rPr>
        <b/>
        <sz val="10"/>
        <color theme="1"/>
        <rFont val="Century Gothic"/>
        <family val="2"/>
      </rPr>
      <t>Cili Merah (Minyak)</t>
    </r>
    <r>
      <rPr>
        <i/>
        <sz val="10"/>
        <color theme="1"/>
        <rFont val="Century Gothic"/>
        <family val="2"/>
      </rPr>
      <t>/ Red Chilli (Minyak)</t>
    </r>
  </si>
  <si>
    <r>
      <rPr>
        <b/>
        <sz val="10"/>
        <color theme="1"/>
        <rFont val="Century Gothic"/>
        <family val="2"/>
      </rPr>
      <t>Kacang Panjang</t>
    </r>
    <r>
      <rPr>
        <i/>
        <sz val="10"/>
        <color theme="1"/>
        <rFont val="Century Gothic"/>
        <family val="2"/>
      </rPr>
      <t>/ Long Beans</t>
    </r>
  </si>
  <si>
    <r>
      <rPr>
        <b/>
        <sz val="10"/>
        <color theme="1"/>
        <rFont val="Century Gothic"/>
        <family val="2"/>
      </rPr>
      <t>Kacang Buncis</t>
    </r>
    <r>
      <rPr>
        <i/>
        <sz val="10"/>
        <color theme="1"/>
        <rFont val="Century Gothic"/>
        <family val="2"/>
      </rPr>
      <t>/ French Beans</t>
    </r>
  </si>
  <si>
    <r>
      <rPr>
        <b/>
        <sz val="10"/>
        <color theme="1"/>
        <rFont val="Century Gothic"/>
        <family val="2"/>
      </rPr>
      <t>Lobak Merah</t>
    </r>
    <r>
      <rPr>
        <i/>
        <sz val="10"/>
        <color theme="1"/>
        <rFont val="Century Gothic"/>
        <family val="2"/>
      </rPr>
      <t>/ Carrot</t>
    </r>
  </si>
  <si>
    <r>
      <rPr>
        <b/>
        <sz val="10"/>
        <color theme="1"/>
        <rFont val="Century Gothic"/>
        <family val="2"/>
      </rPr>
      <t>Tomato</t>
    </r>
    <r>
      <rPr>
        <i/>
        <sz val="10"/>
        <color theme="1"/>
        <rFont val="Century Gothic"/>
        <family val="2"/>
      </rPr>
      <t>/ Tomatoes</t>
    </r>
  </si>
  <si>
    <r>
      <rPr>
        <b/>
        <sz val="10"/>
        <color theme="1"/>
        <rFont val="Century Gothic"/>
        <family val="2"/>
      </rPr>
      <t>Terung</t>
    </r>
    <r>
      <rPr>
        <i/>
        <sz val="10"/>
        <color theme="1"/>
        <rFont val="Century Gothic"/>
        <family val="2"/>
      </rPr>
      <t>/ Brinjals</t>
    </r>
  </si>
  <si>
    <r>
      <rPr>
        <b/>
        <sz val="10"/>
        <color theme="1"/>
        <rFont val="Century Gothic"/>
        <family val="2"/>
      </rPr>
      <t>Timun</t>
    </r>
    <r>
      <rPr>
        <i/>
        <sz val="10"/>
        <color theme="1"/>
        <rFont val="Century Gothic"/>
        <family val="2"/>
      </rPr>
      <t>/ Cucumber</t>
    </r>
  </si>
  <si>
    <t>Buah-Buahan</t>
  </si>
  <si>
    <t>Fruits</t>
  </si>
  <si>
    <r>
      <rPr>
        <b/>
        <sz val="10"/>
        <color theme="1"/>
        <rFont val="Century Gothic"/>
        <family val="2"/>
      </rPr>
      <t>Epal Fuji/</t>
    </r>
    <r>
      <rPr>
        <i/>
        <sz val="10"/>
        <color theme="1"/>
        <rFont val="Century Gothic"/>
        <family val="2"/>
      </rPr>
      <t xml:space="preserve"> Apple Fuji</t>
    </r>
  </si>
  <si>
    <r>
      <t xml:space="preserve">biji/ </t>
    </r>
    <r>
      <rPr>
        <i/>
        <sz val="10"/>
        <color theme="1"/>
        <rFont val="Century Gothic"/>
        <family val="2"/>
      </rPr>
      <t>each</t>
    </r>
  </si>
  <si>
    <r>
      <rPr>
        <b/>
        <sz val="10"/>
        <color theme="1"/>
        <rFont val="Century Gothic"/>
        <family val="2"/>
      </rPr>
      <t>Betik/</t>
    </r>
    <r>
      <rPr>
        <i/>
        <sz val="10"/>
        <color theme="1"/>
        <rFont val="Century Gothic"/>
        <family val="2"/>
      </rPr>
      <t xml:space="preserve"> Papaya</t>
    </r>
  </si>
  <si>
    <r>
      <rPr>
        <b/>
        <sz val="10"/>
        <color theme="1"/>
        <rFont val="Century Gothic"/>
        <family val="2"/>
      </rPr>
      <t>Pisang Emas/</t>
    </r>
    <r>
      <rPr>
        <i/>
        <sz val="10"/>
        <color theme="1"/>
        <rFont val="Century Gothic"/>
        <family val="2"/>
      </rPr>
      <t xml:space="preserve"> Pisang Emas (Banana)</t>
    </r>
  </si>
  <si>
    <r>
      <rPr>
        <b/>
        <sz val="10"/>
        <color theme="1"/>
        <rFont val="Century Gothic"/>
        <family val="2"/>
      </rPr>
      <t>Pisang Berangan/</t>
    </r>
    <r>
      <rPr>
        <i/>
        <sz val="10"/>
        <color theme="1"/>
        <rFont val="Century Gothic"/>
        <family val="2"/>
      </rPr>
      <t xml:space="preserve"> Pisang Berangan (Banana)</t>
    </r>
  </si>
  <si>
    <r>
      <rPr>
        <b/>
        <sz val="10"/>
        <color theme="1"/>
        <rFont val="Century Gothic"/>
        <family val="2"/>
      </rPr>
      <t>Tembikai, Tanpa Biji/</t>
    </r>
    <r>
      <rPr>
        <i/>
        <sz val="10"/>
        <color theme="1"/>
        <rFont val="Century Gothic"/>
        <family val="2"/>
      </rPr>
      <t xml:space="preserve"> Watermelon, Seedless</t>
    </r>
  </si>
  <si>
    <t>Kelapa dan Telur</t>
  </si>
  <si>
    <t>Coconut &amp; Eggs</t>
  </si>
  <si>
    <r>
      <rPr>
        <b/>
        <sz val="10"/>
        <color theme="1"/>
        <rFont val="Century Gothic"/>
        <family val="2"/>
      </rPr>
      <t>Kelapa Parut/</t>
    </r>
    <r>
      <rPr>
        <i/>
        <sz val="10"/>
        <color theme="1"/>
        <rFont val="Century Gothic"/>
        <family val="2"/>
      </rPr>
      <t xml:space="preserve"> Coconut Grated</t>
    </r>
  </si>
  <si>
    <r>
      <rPr>
        <b/>
        <sz val="10"/>
        <color theme="1"/>
        <rFont val="Century Gothic"/>
        <family val="2"/>
      </rPr>
      <t>Santan/</t>
    </r>
    <r>
      <rPr>
        <i/>
        <sz val="10"/>
        <color theme="1"/>
        <rFont val="Century Gothic"/>
        <family val="2"/>
      </rPr>
      <t xml:space="preserve"> Fresh Coconut Milk</t>
    </r>
  </si>
  <si>
    <r>
      <t xml:space="preserve">10 biji/ </t>
    </r>
    <r>
      <rPr>
        <i/>
        <sz val="10"/>
        <color theme="1"/>
        <rFont val="Century Gothic"/>
        <family val="2"/>
      </rPr>
      <t>each</t>
    </r>
  </si>
  <si>
    <t>Ikan, Ayam dan Daging</t>
  </si>
  <si>
    <t>Fish, Chicken &amp; Meat</t>
  </si>
  <si>
    <r>
      <rPr>
        <b/>
        <sz val="10"/>
        <color theme="1"/>
        <rFont val="Century Gothic"/>
        <family val="2"/>
      </rPr>
      <t>Ikan Bawal Hitam/</t>
    </r>
    <r>
      <rPr>
        <i/>
        <sz val="10"/>
        <color theme="1"/>
        <rFont val="Century Gothic"/>
        <family val="2"/>
      </rPr>
      <t xml:space="preserve"> Black Pomfret (Fish)</t>
    </r>
  </si>
  <si>
    <r>
      <rPr>
        <b/>
        <sz val="10"/>
        <color theme="1"/>
        <rFont val="Century Gothic"/>
        <family val="2"/>
      </rPr>
      <t>Ikan Cencaru/</t>
    </r>
    <r>
      <rPr>
        <i/>
        <sz val="10"/>
        <color theme="1"/>
        <rFont val="Century Gothic"/>
        <family val="2"/>
      </rPr>
      <t xml:space="preserve"> Hardtail Scad (Fish)</t>
    </r>
  </si>
  <si>
    <r>
      <rPr>
        <b/>
        <sz val="10"/>
        <color theme="1"/>
        <rFont val="Century Gothic"/>
        <family val="2"/>
      </rPr>
      <t>Ikan Kerisi/</t>
    </r>
    <r>
      <rPr>
        <i/>
        <sz val="10"/>
        <color theme="1"/>
        <rFont val="Century Gothic"/>
        <family val="2"/>
      </rPr>
      <t xml:space="preserve"> Threadfin Bream (Fish)</t>
    </r>
  </si>
  <si>
    <r>
      <rPr>
        <b/>
        <sz val="10"/>
        <color theme="1"/>
        <rFont val="Century Gothic"/>
        <family val="2"/>
      </rPr>
      <t>Ikan Merah/</t>
    </r>
    <r>
      <rPr>
        <i/>
        <sz val="10"/>
        <color theme="1"/>
        <rFont val="Century Gothic"/>
        <family val="2"/>
      </rPr>
      <t xml:space="preserve"> Red Snapper (Fish)</t>
    </r>
  </si>
  <si>
    <r>
      <rPr>
        <b/>
        <sz val="10"/>
        <color theme="1"/>
        <rFont val="Century Gothic"/>
        <family val="2"/>
      </rPr>
      <t>Ikan Tenggiri, Batang/</t>
    </r>
    <r>
      <rPr>
        <i/>
        <sz val="10"/>
        <color theme="1"/>
        <rFont val="Century Gothic"/>
        <family val="2"/>
      </rPr>
      <t xml:space="preserve"> Spanish Mackerel, Batang (Fish)</t>
    </r>
  </si>
  <si>
    <r>
      <rPr>
        <b/>
        <sz val="10"/>
        <color theme="1"/>
        <rFont val="Century Gothic"/>
        <family val="2"/>
      </rPr>
      <t>Ikan Tongkol, Hitam/</t>
    </r>
    <r>
      <rPr>
        <i/>
        <sz val="10"/>
        <color theme="1"/>
        <rFont val="Century Gothic"/>
        <family val="2"/>
      </rPr>
      <t xml:space="preserve"> Longtail Tuna, Black (Fish)</t>
    </r>
  </si>
  <si>
    <r>
      <rPr>
        <b/>
        <sz val="10"/>
        <color theme="1"/>
        <rFont val="Century Gothic"/>
        <family val="2"/>
      </rPr>
      <t>Ayam/</t>
    </r>
    <r>
      <rPr>
        <i/>
        <sz val="10"/>
        <color theme="1"/>
        <rFont val="Century Gothic"/>
        <family val="2"/>
      </rPr>
      <t xml:space="preserve"> Chicken</t>
    </r>
  </si>
  <si>
    <t>Udang, Sotong dan Ketam</t>
  </si>
  <si>
    <t>Prawn, Cuttlefish and Crab</t>
  </si>
  <si>
    <r>
      <rPr>
        <b/>
        <sz val="10"/>
        <color theme="1"/>
        <rFont val="Century Gothic"/>
        <family val="2"/>
      </rPr>
      <t>Udang (8-12 sm)/</t>
    </r>
    <r>
      <rPr>
        <i/>
        <sz val="10"/>
        <color theme="1"/>
        <rFont val="Century Gothic"/>
        <family val="2"/>
      </rPr>
      <t xml:space="preserve"> Prawns (8 – 12 cm)</t>
    </r>
  </si>
  <si>
    <r>
      <rPr>
        <b/>
        <sz val="10"/>
        <color theme="1"/>
        <rFont val="Century Gothic"/>
        <family val="2"/>
      </rPr>
      <t>Sotong (10-12 sm)/</t>
    </r>
    <r>
      <rPr>
        <i/>
        <sz val="10"/>
        <color theme="1"/>
        <rFont val="Century Gothic"/>
        <family val="2"/>
      </rPr>
      <t xml:space="preserve"> Cuttlefish Fresh (10 – 12 cm)</t>
    </r>
  </si>
  <si>
    <t>Makanan dan Minuman</t>
  </si>
  <si>
    <r>
      <t xml:space="preserve">bungkus/ </t>
    </r>
    <r>
      <rPr>
        <i/>
        <sz val="10"/>
        <color theme="1"/>
        <rFont val="Century Gothic"/>
        <family val="2"/>
      </rPr>
      <t>each</t>
    </r>
  </si>
  <si>
    <r>
      <rPr>
        <b/>
        <sz val="10"/>
        <color theme="1"/>
        <rFont val="Century Gothic"/>
        <family val="2"/>
      </rPr>
      <t>Nasi Kosong/</t>
    </r>
    <r>
      <rPr>
        <i/>
        <sz val="10"/>
        <color theme="1"/>
        <rFont val="Century Gothic"/>
        <family val="2"/>
      </rPr>
      <t xml:space="preserve"> Plain Rice</t>
    </r>
  </si>
  <si>
    <r>
      <t xml:space="preserve">pinggan/ </t>
    </r>
    <r>
      <rPr>
        <i/>
        <sz val="10"/>
        <color theme="1"/>
        <rFont val="Century Gothic"/>
        <family val="2"/>
      </rPr>
      <t>plate</t>
    </r>
  </si>
  <si>
    <r>
      <rPr>
        <b/>
        <sz val="10"/>
        <color theme="1"/>
        <rFont val="Century Gothic"/>
        <family val="2"/>
      </rPr>
      <t>Nasi Goreng/</t>
    </r>
    <r>
      <rPr>
        <i/>
        <sz val="10"/>
        <color theme="1"/>
        <rFont val="Century Gothic"/>
        <family val="2"/>
      </rPr>
      <t xml:space="preserve"> Fried Rice</t>
    </r>
  </si>
  <si>
    <r>
      <rPr>
        <b/>
        <sz val="10"/>
        <color theme="1"/>
        <rFont val="Century Gothic"/>
        <family val="2"/>
      </rPr>
      <t>Kuey Teow Goreng/</t>
    </r>
    <r>
      <rPr>
        <i/>
        <sz val="10"/>
        <color theme="1"/>
        <rFont val="Century Gothic"/>
        <family val="2"/>
      </rPr>
      <t xml:space="preserve"> Fried Kuey Teow</t>
    </r>
  </si>
  <si>
    <r>
      <rPr>
        <b/>
        <sz val="10"/>
        <color theme="1"/>
        <rFont val="Century Gothic"/>
        <family val="2"/>
      </rPr>
      <t xml:space="preserve">Mee Hoon Goreng/ </t>
    </r>
    <r>
      <rPr>
        <i/>
        <sz val="10"/>
        <color theme="1"/>
        <rFont val="Century Gothic"/>
        <family val="2"/>
      </rPr>
      <t>Fried Mee Hoon</t>
    </r>
  </si>
  <si>
    <r>
      <rPr>
        <b/>
        <sz val="10"/>
        <color theme="1"/>
        <rFont val="Century Gothic"/>
        <family val="2"/>
      </rPr>
      <t>Nasi Biryani/</t>
    </r>
    <r>
      <rPr>
        <i/>
        <sz val="10"/>
        <color theme="1"/>
        <rFont val="Century Gothic"/>
        <family val="2"/>
      </rPr>
      <t xml:space="preserve"> Biryani Rice</t>
    </r>
  </si>
  <si>
    <r>
      <t xml:space="preserve">keping/ </t>
    </r>
    <r>
      <rPr>
        <i/>
        <sz val="10"/>
        <color theme="1"/>
        <rFont val="Century Gothic"/>
        <family val="2"/>
      </rPr>
      <t>each</t>
    </r>
  </si>
  <si>
    <r>
      <rPr>
        <b/>
        <sz val="10"/>
        <color theme="1"/>
        <rFont val="Century Gothic"/>
        <family val="2"/>
      </rPr>
      <t>Satay Ayam/</t>
    </r>
    <r>
      <rPr>
        <i/>
        <sz val="10"/>
        <color theme="1"/>
        <rFont val="Century Gothic"/>
        <family val="2"/>
      </rPr>
      <t xml:space="preserve"> Chicken Satay</t>
    </r>
  </si>
  <si>
    <r>
      <t xml:space="preserve">cucuk/ </t>
    </r>
    <r>
      <rPr>
        <i/>
        <sz val="10"/>
        <color theme="1"/>
        <rFont val="Century Gothic"/>
        <family val="2"/>
      </rPr>
      <t>each</t>
    </r>
  </si>
  <si>
    <r>
      <rPr>
        <b/>
        <sz val="10"/>
        <color theme="1"/>
        <rFont val="Century Gothic"/>
        <family val="2"/>
      </rPr>
      <t>Nasi Ayam/</t>
    </r>
    <r>
      <rPr>
        <i/>
        <sz val="10"/>
        <color theme="1"/>
        <rFont val="Century Gothic"/>
        <family val="2"/>
      </rPr>
      <t xml:space="preserve"> Chicken Rice</t>
    </r>
  </si>
  <si>
    <t>Perkakas Isi Rumah &amp; Barangan Elektrik</t>
  </si>
  <si>
    <t>Household Appliances &amp; Electrical Goods</t>
  </si>
  <si>
    <r>
      <rPr>
        <b/>
        <sz val="10"/>
        <color theme="1"/>
        <rFont val="Century Gothic"/>
        <family val="2"/>
      </rPr>
      <t>Periuk Nasi Elektrik, 1.8LT/</t>
    </r>
    <r>
      <rPr>
        <i/>
        <sz val="10"/>
        <color theme="1"/>
        <rFont val="Century Gothic"/>
        <family val="2"/>
      </rPr>
      <t xml:space="preserve"> Electric Rice Cooker, 1.8LT</t>
    </r>
  </si>
  <si>
    <r>
      <rPr>
        <b/>
        <sz val="10"/>
        <color theme="1"/>
        <rFont val="Century Gothic"/>
        <family val="2"/>
      </rPr>
      <t xml:space="preserve">Peti Sejuk 2-Pintu, kapasiti 280-300L
</t>
    </r>
    <r>
      <rPr>
        <i/>
        <sz val="10"/>
        <color theme="1"/>
        <rFont val="Century Gothic"/>
        <family val="2"/>
      </rPr>
      <t>Refrigerator, 2 Doors, with capacity 280-300L</t>
    </r>
  </si>
  <si>
    <r>
      <t xml:space="preserve">sebuah/ </t>
    </r>
    <r>
      <rPr>
        <i/>
        <sz val="10"/>
        <color theme="1"/>
        <rFont val="Century Gothic"/>
        <family val="2"/>
      </rPr>
      <t>each</t>
    </r>
  </si>
  <si>
    <t>Perkakas Lain, Barang-Barang  dan Produk Untuk Penjagaan Diri</t>
  </si>
  <si>
    <t>Other Appliances, Articles &amp; Products for Personal Care</t>
  </si>
  <si>
    <r>
      <rPr>
        <b/>
        <sz val="10"/>
        <color theme="1"/>
        <rFont val="Century Gothic"/>
        <family val="2"/>
      </rPr>
      <t xml:space="preserve">Lampin Bayi, Saiz M/ </t>
    </r>
    <r>
      <rPr>
        <i/>
        <sz val="10"/>
        <color theme="1"/>
        <rFont val="Century Gothic"/>
        <family val="2"/>
      </rPr>
      <t>Baby Diapers, Size M</t>
    </r>
  </si>
  <si>
    <r>
      <t xml:space="preserve">pek/ </t>
    </r>
    <r>
      <rPr>
        <i/>
        <sz val="10"/>
        <color theme="1"/>
        <rFont val="Century Gothic"/>
        <family val="2"/>
      </rPr>
      <t>pack</t>
    </r>
  </si>
  <si>
    <r>
      <t>botol/</t>
    </r>
    <r>
      <rPr>
        <i/>
        <sz val="10"/>
        <color theme="1"/>
        <rFont val="Century Gothic"/>
        <family val="2"/>
      </rPr>
      <t xml:space="preserve"> bottle</t>
    </r>
  </si>
  <si>
    <t>Susu Segar, Susu Pekat, Susu Tepung &amp; Keluaran Susu Lain</t>
  </si>
  <si>
    <t>Fresh Milk, Condensed Milk, Milk Powder &amp; Other Dairy Products</t>
  </si>
  <si>
    <r>
      <rPr>
        <b/>
        <sz val="10"/>
        <color theme="1"/>
        <rFont val="Century Gothic"/>
        <family val="2"/>
      </rPr>
      <t xml:space="preserve">Susu Segar UHT/ </t>
    </r>
    <r>
      <rPr>
        <i/>
        <sz val="10"/>
        <color theme="1"/>
        <rFont val="Century Gothic"/>
        <family val="2"/>
      </rPr>
      <t>Fresh Milk UHT</t>
    </r>
  </si>
  <si>
    <t>1 L</t>
  </si>
  <si>
    <r>
      <rPr>
        <b/>
        <sz val="10"/>
        <color theme="1"/>
        <rFont val="Century Gothic"/>
        <family val="2"/>
      </rPr>
      <t>Susu, Krimer Pekat Manis/</t>
    </r>
    <r>
      <rPr>
        <i/>
        <sz val="10"/>
        <color theme="1"/>
        <rFont val="Century Gothic"/>
        <family val="2"/>
      </rPr>
      <t xml:space="preserve"> Sweetened Creamer Milk</t>
    </r>
  </si>
  <si>
    <t>500 gm</t>
  </si>
  <si>
    <t>650 gm</t>
  </si>
  <si>
    <t>Barang Pengeluaran Perubatan</t>
  </si>
  <si>
    <t>Pharmaceutical Products</t>
  </si>
  <si>
    <r>
      <rPr>
        <b/>
        <sz val="10"/>
        <color theme="1"/>
        <rFont val="Century Gothic"/>
        <family val="2"/>
      </rPr>
      <t>Ubat batuk/</t>
    </r>
    <r>
      <rPr>
        <i/>
        <sz val="10"/>
        <color theme="1"/>
        <rFont val="Century Gothic"/>
        <family val="2"/>
      </rPr>
      <t xml:space="preserve"> Cough Mixture / Syrup</t>
    </r>
  </si>
  <si>
    <r>
      <t xml:space="preserve">60 ml botol/ </t>
    </r>
    <r>
      <rPr>
        <i/>
        <sz val="10"/>
        <color theme="1"/>
        <rFont val="Century Gothic"/>
        <family val="2"/>
      </rPr>
      <t>bottle</t>
    </r>
  </si>
  <si>
    <t>Paracetamol</t>
  </si>
  <si>
    <t>12 strip</t>
  </si>
  <si>
    <t>Ikan &amp; Makanan Laut yang diproses dan Minyak Masak</t>
  </si>
  <si>
    <t>Processed Fish and Cooking Oil</t>
  </si>
  <si>
    <r>
      <rPr>
        <b/>
        <sz val="10"/>
        <color theme="1"/>
        <rFont val="Century Gothic"/>
        <family val="2"/>
      </rPr>
      <t xml:space="preserve">Ikan dalam Sos Tomato/ </t>
    </r>
    <r>
      <rPr>
        <i/>
        <sz val="10"/>
        <color theme="1"/>
        <rFont val="Century Gothic"/>
        <family val="2"/>
      </rPr>
      <t>Fish in tomato sauce</t>
    </r>
  </si>
  <si>
    <t>425 gm</t>
  </si>
  <si>
    <r>
      <rPr>
        <b/>
        <sz val="10"/>
        <color theme="1"/>
        <rFont val="Century Gothic"/>
        <family val="2"/>
      </rPr>
      <t>Minyak Masak/</t>
    </r>
    <r>
      <rPr>
        <i/>
        <sz val="10"/>
        <color theme="1"/>
        <rFont val="Century Gothic"/>
        <family val="2"/>
      </rPr>
      <t xml:space="preserve"> Cooking Oil</t>
    </r>
  </si>
  <si>
    <t>3 Kg bot</t>
  </si>
  <si>
    <r>
      <rPr>
        <b/>
        <sz val="10"/>
        <color theme="1"/>
        <rFont val="Century Gothic"/>
        <family val="2"/>
      </rPr>
      <t>Minyak Masak</t>
    </r>
    <r>
      <rPr>
        <i/>
        <sz val="10"/>
        <color theme="1"/>
        <rFont val="Century Gothic"/>
        <family val="2"/>
      </rPr>
      <t>/ Cooking Oil</t>
    </r>
  </si>
  <si>
    <t>5 Kg bot</t>
  </si>
  <si>
    <t>1 Kg bot</t>
  </si>
  <si>
    <t>Beras, Minuman Bermalt dan Minuman Isotonik</t>
  </si>
  <si>
    <t>Rice, Malt Drinks and Isotonic Drinks</t>
  </si>
  <si>
    <r>
      <rPr>
        <b/>
        <sz val="10"/>
        <color theme="1"/>
        <rFont val="Century Gothic"/>
        <family val="2"/>
      </rPr>
      <t xml:space="preserve">Beras SST 5%/ </t>
    </r>
    <r>
      <rPr>
        <i/>
        <sz val="10"/>
        <color theme="1"/>
        <rFont val="Century Gothic"/>
        <family val="2"/>
      </rPr>
      <t>Rice SST 5%</t>
    </r>
  </si>
  <si>
    <t>10 Kg</t>
  </si>
  <si>
    <r>
      <rPr>
        <b/>
        <sz val="10"/>
        <color theme="1"/>
        <rFont val="Century Gothic"/>
        <family val="2"/>
      </rPr>
      <t xml:space="preserve">Minuman Isotonik/ </t>
    </r>
    <r>
      <rPr>
        <i/>
        <sz val="10"/>
        <color theme="1"/>
        <rFont val="Century Gothic"/>
        <family val="2"/>
      </rPr>
      <t>Isotonic Drinks</t>
    </r>
  </si>
  <si>
    <t>1.5 L</t>
  </si>
  <si>
    <t>Mee Kering, Kicap Kacang Soya Manis, Sos, Mayonis, Minuman Beralkohol dan Ubat Nyamuk</t>
  </si>
  <si>
    <r>
      <t xml:space="preserve">5 pek/ </t>
    </r>
    <r>
      <rPr>
        <i/>
        <sz val="10"/>
        <color theme="1"/>
        <rFont val="Century Gothic"/>
        <family val="2"/>
      </rPr>
      <t>pack</t>
    </r>
  </si>
  <si>
    <t>345 ml</t>
  </si>
  <si>
    <r>
      <rPr>
        <b/>
        <sz val="10"/>
        <color theme="1"/>
        <rFont val="Century Gothic"/>
        <family val="2"/>
      </rPr>
      <t xml:space="preserve">Sos Tomato/ </t>
    </r>
    <r>
      <rPr>
        <i/>
        <sz val="10"/>
        <color theme="1"/>
        <rFont val="Century Gothic"/>
        <family val="2"/>
      </rPr>
      <t>Tomato Sauce</t>
    </r>
  </si>
  <si>
    <t>475 gm bot</t>
  </si>
  <si>
    <r>
      <rPr>
        <b/>
        <sz val="10"/>
        <color theme="1"/>
        <rFont val="Century Gothic"/>
        <family val="2"/>
      </rPr>
      <t>Sos Cili/</t>
    </r>
    <r>
      <rPr>
        <i/>
        <sz val="10"/>
        <color theme="1"/>
        <rFont val="Century Gothic"/>
        <family val="2"/>
      </rPr>
      <t xml:space="preserve"> Chilli Sauce</t>
    </r>
  </si>
  <si>
    <t>340 gm bot</t>
  </si>
  <si>
    <r>
      <rPr>
        <b/>
        <sz val="10"/>
        <color theme="1"/>
        <rFont val="Century Gothic"/>
        <family val="2"/>
      </rPr>
      <t>Minuman Beralkohol/</t>
    </r>
    <r>
      <rPr>
        <i/>
        <sz val="10"/>
        <color theme="1"/>
        <rFont val="Century Gothic"/>
        <family val="2"/>
      </rPr>
      <t xml:space="preserve"> Alcoholic Beverages</t>
    </r>
  </si>
  <si>
    <t>320 ml tin</t>
  </si>
  <si>
    <r>
      <rPr>
        <b/>
        <sz val="10"/>
        <color theme="1"/>
        <rFont val="Century Gothic"/>
        <family val="2"/>
      </rPr>
      <t xml:space="preserve">Ubat Nyamuk/ </t>
    </r>
    <r>
      <rPr>
        <i/>
        <sz val="10"/>
        <color theme="1"/>
        <rFont val="Century Gothic"/>
        <family val="2"/>
      </rPr>
      <t>Mosquito Repellent</t>
    </r>
  </si>
  <si>
    <r>
      <t>10 keping/</t>
    </r>
    <r>
      <rPr>
        <sz val="10"/>
        <color theme="1"/>
        <rFont val="Century Gothic"/>
        <family val="2"/>
      </rPr>
      <t xml:space="preserve"> pieces</t>
    </r>
  </si>
  <si>
    <r>
      <rPr>
        <b/>
        <sz val="10"/>
        <color theme="1"/>
        <rFont val="Century Gothic"/>
        <family val="2"/>
      </rPr>
      <t>Ubat Nyamuk/</t>
    </r>
    <r>
      <rPr>
        <i/>
        <sz val="10"/>
        <color theme="1"/>
        <rFont val="Century Gothic"/>
        <family val="2"/>
      </rPr>
      <t xml:space="preserve"> Mosquito Repellent</t>
    </r>
  </si>
  <si>
    <r>
      <t>30 keping/</t>
    </r>
    <r>
      <rPr>
        <i/>
        <sz val="10"/>
        <color theme="1"/>
        <rFont val="Century Gothic"/>
        <family val="2"/>
      </rPr>
      <t xml:space="preserve"> pieces</t>
    </r>
  </si>
  <si>
    <t>360 gm tin</t>
  </si>
  <si>
    <t>Barangan &amp; Penyelenggaraan  Isi Rumah, Buku &amp; Alat tulis dan Barangan Untuk Penjagaan Diri</t>
  </si>
  <si>
    <t>Goods &amp; Services For Routine Household Maintenance, Books &amp; Stationery and Products for Personal Care</t>
  </si>
  <si>
    <r>
      <rPr>
        <b/>
        <sz val="10"/>
        <color theme="1"/>
        <rFont val="Century Gothic"/>
        <family val="2"/>
      </rPr>
      <t>Plastik Sampah/</t>
    </r>
    <r>
      <rPr>
        <i/>
        <sz val="10"/>
        <color theme="1"/>
        <rFont val="Century Gothic"/>
        <family val="2"/>
      </rPr>
      <t xml:space="preserve"> Garbage Plastic Bag</t>
    </r>
  </si>
  <si>
    <r>
      <t xml:space="preserve">10 keping/ </t>
    </r>
    <r>
      <rPr>
        <i/>
        <sz val="10"/>
        <color theme="1"/>
        <rFont val="Century Gothic"/>
        <family val="2"/>
      </rPr>
      <t>pack</t>
    </r>
  </si>
  <si>
    <t>Pen</t>
  </si>
  <si>
    <r>
      <t xml:space="preserve">12 batang, kotak/ </t>
    </r>
    <r>
      <rPr>
        <i/>
        <sz val="10"/>
        <color theme="1"/>
        <rFont val="Century Gothic"/>
        <family val="2"/>
      </rPr>
      <t>pieces, box</t>
    </r>
  </si>
  <si>
    <r>
      <rPr>
        <b/>
        <sz val="10"/>
        <color theme="1"/>
        <rFont val="Century Gothic"/>
        <family val="2"/>
      </rPr>
      <t>Kertas Fotostat/</t>
    </r>
    <r>
      <rPr>
        <i/>
        <sz val="10"/>
        <color theme="1"/>
        <rFont val="Century Gothic"/>
        <family val="2"/>
      </rPr>
      <t xml:space="preserve"> Photostat Paper</t>
    </r>
  </si>
  <si>
    <t>1 rim</t>
  </si>
  <si>
    <r>
      <rPr>
        <b/>
        <sz val="10"/>
        <color theme="1"/>
        <rFont val="Century Gothic"/>
        <family val="2"/>
      </rPr>
      <t>Buku Latihan/</t>
    </r>
    <r>
      <rPr>
        <i/>
        <sz val="10"/>
        <color theme="1"/>
        <rFont val="Century Gothic"/>
        <family val="2"/>
      </rPr>
      <t xml:space="preserve"> Exercise Book</t>
    </r>
  </si>
  <si>
    <r>
      <rPr>
        <b/>
        <sz val="10"/>
        <color theme="1"/>
        <rFont val="Century Gothic"/>
        <family val="2"/>
      </rPr>
      <t>Berus Gigi/</t>
    </r>
    <r>
      <rPr>
        <i/>
        <sz val="10"/>
        <color theme="1"/>
        <rFont val="Century Gothic"/>
        <family val="2"/>
      </rPr>
      <t xml:space="preserve"> Toothbrush</t>
    </r>
  </si>
  <si>
    <r>
      <rPr>
        <b/>
        <sz val="10"/>
        <color theme="1"/>
        <rFont val="Century Gothic"/>
        <family val="2"/>
      </rPr>
      <t>Ubat Gigi/</t>
    </r>
    <r>
      <rPr>
        <i/>
        <sz val="10"/>
        <color theme="1"/>
        <rFont val="Century Gothic"/>
        <family val="2"/>
      </rPr>
      <t xml:space="preserve"> Toothpaste</t>
    </r>
  </si>
  <si>
    <r>
      <t xml:space="preserve"> 175 gm tiub/ </t>
    </r>
    <r>
      <rPr>
        <i/>
        <sz val="10"/>
        <color theme="1"/>
        <rFont val="Century Gothic"/>
        <family val="2"/>
      </rPr>
      <t>tube</t>
    </r>
  </si>
  <si>
    <r>
      <t xml:space="preserve">Jumlah/ </t>
    </r>
    <r>
      <rPr>
        <i/>
        <sz val="10"/>
        <rFont val="Century Gothic"/>
        <family val="2"/>
      </rPr>
      <t>Total</t>
    </r>
  </si>
  <si>
    <r>
      <t xml:space="preserve">Kewarganegaraan/ </t>
    </r>
    <r>
      <rPr>
        <i/>
        <sz val="10"/>
        <rFont val="Century Gothic"/>
        <family val="2"/>
      </rPr>
      <t>Citizenship</t>
    </r>
  </si>
  <si>
    <r>
      <t>Warganegara</t>
    </r>
    <r>
      <rPr>
        <sz val="10"/>
        <rFont val="Century Gothic"/>
        <family val="2"/>
      </rPr>
      <t xml:space="preserve">/ </t>
    </r>
    <r>
      <rPr>
        <i/>
        <sz val="10"/>
        <rFont val="Century Gothic"/>
        <family val="2"/>
      </rPr>
      <t>Citizens</t>
    </r>
  </si>
  <si>
    <r>
      <t xml:space="preserve">Bukan warganegara/ </t>
    </r>
    <r>
      <rPr>
        <i/>
        <sz val="10"/>
        <rFont val="Century Gothic"/>
        <family val="2"/>
      </rPr>
      <t>Non-citizens</t>
    </r>
  </si>
  <si>
    <r>
      <t xml:space="preserve">Lelaki/ </t>
    </r>
    <r>
      <rPr>
        <i/>
        <sz val="10"/>
        <rFont val="Century Gothic"/>
        <family val="2"/>
      </rPr>
      <t>Male</t>
    </r>
  </si>
  <si>
    <r>
      <t xml:space="preserve">Perempuan/ </t>
    </r>
    <r>
      <rPr>
        <i/>
        <sz val="10"/>
        <rFont val="Century Gothic"/>
        <family val="2"/>
      </rPr>
      <t>Female</t>
    </r>
  </si>
  <si>
    <t>Sektor OSHA</t>
  </si>
  <si>
    <r>
      <t xml:space="preserve">Pertanian, Perhutanan dan Perikanan/ </t>
    </r>
    <r>
      <rPr>
        <i/>
        <sz val="10"/>
        <rFont val="Century Gothic"/>
        <family val="2"/>
      </rPr>
      <t>Agriculture, Forestry and Fishing</t>
    </r>
  </si>
  <si>
    <r>
      <t xml:space="preserve">Perlombongan dan Pengkuarian/ </t>
    </r>
    <r>
      <rPr>
        <i/>
        <sz val="10"/>
        <rFont val="Century Gothic"/>
        <family val="2"/>
      </rPr>
      <t>Mining and Quarrying</t>
    </r>
  </si>
  <si>
    <r>
      <t xml:space="preserve">Pembuatan/ </t>
    </r>
    <r>
      <rPr>
        <i/>
        <sz val="10"/>
        <rFont val="Century Gothic"/>
        <family val="2"/>
      </rPr>
      <t>Manufacturing</t>
    </r>
  </si>
  <si>
    <r>
      <t>Pembinaan/</t>
    </r>
    <r>
      <rPr>
        <i/>
        <sz val="10"/>
        <rFont val="Century Gothic"/>
        <family val="2"/>
      </rPr>
      <t xml:space="preserve"> Construction</t>
    </r>
  </si>
  <si>
    <r>
      <t xml:space="preserve">Utiliti/ </t>
    </r>
    <r>
      <rPr>
        <i/>
        <sz val="10"/>
        <rFont val="Century Gothic"/>
        <family val="2"/>
      </rPr>
      <t>Utilities</t>
    </r>
  </si>
  <si>
    <r>
      <t xml:space="preserve">Perdagangan Borong dan Runcit/ </t>
    </r>
    <r>
      <rPr>
        <i/>
        <sz val="10"/>
        <rFont val="Century Gothic"/>
        <family val="2"/>
      </rPr>
      <t>Wholesale and Retail Trades</t>
    </r>
  </si>
  <si>
    <t>Pengangkutan, Penyimpanan dan Komunikasi</t>
  </si>
  <si>
    <t>Transport, Storage and Communication</t>
  </si>
  <si>
    <r>
      <t xml:space="preserve">Hotel dan Restoran/ </t>
    </r>
    <r>
      <rPr>
        <i/>
        <sz val="10"/>
        <rFont val="Century Gothic"/>
        <family val="2"/>
      </rPr>
      <t>Hotels and Restaurants</t>
    </r>
  </si>
  <si>
    <t xml:space="preserve">Kewangan, Insurans, Hartanah dan Perkhidmatan Perniagaan </t>
  </si>
  <si>
    <t>Finance, Insurance, Real Estate and Business Services</t>
  </si>
  <si>
    <r>
      <t xml:space="preserve">Perkhidmatan/ </t>
    </r>
    <r>
      <rPr>
        <i/>
        <sz val="10"/>
        <rFont val="Century Gothic"/>
        <family val="2"/>
      </rPr>
      <t>Services</t>
    </r>
  </si>
  <si>
    <t>Number of Occupational Fatality</t>
  </si>
  <si>
    <t>-</t>
  </si>
  <si>
    <t>n.a</t>
  </si>
  <si>
    <t>Occupational Fatality Rate (per 100,000 workers)</t>
  </si>
  <si>
    <t xml:space="preserve">        </t>
  </si>
  <si>
    <t>Prasekolah</t>
  </si>
  <si>
    <t>Pre-school</t>
  </si>
  <si>
    <t>Rendah</t>
  </si>
  <si>
    <t>Primary</t>
  </si>
  <si>
    <t>Menengah rendah</t>
  </si>
  <si>
    <t>Lower secondary</t>
  </si>
  <si>
    <t xml:space="preserve">Menengah atas
</t>
  </si>
  <si>
    <t>Upper secondary</t>
  </si>
  <si>
    <t xml:space="preserve">Pendidikan khas, peringkat rendah
</t>
  </si>
  <si>
    <t>Special education, primary level</t>
  </si>
  <si>
    <t xml:space="preserve">Pendidikan khas , peringkat menengah
</t>
  </si>
  <si>
    <t>Special education, secondary level</t>
  </si>
  <si>
    <t xml:space="preserve">Tadika
</t>
  </si>
  <si>
    <t>Kindergarten</t>
  </si>
  <si>
    <t xml:space="preserve">Rendah
</t>
  </si>
  <si>
    <t xml:space="preserve">Menengah
</t>
  </si>
  <si>
    <t>Secondary</t>
  </si>
  <si>
    <t xml:space="preserve">Sekolah Pendidikan Khas
</t>
  </si>
  <si>
    <t>Special Education School</t>
  </si>
  <si>
    <t xml:space="preserve">Sekolah Antarabangsa
</t>
  </si>
  <si>
    <t>International School</t>
  </si>
  <si>
    <t>Sekolah Ekspatriat</t>
  </si>
  <si>
    <t>Expatriate School</t>
  </si>
  <si>
    <t>Kementerian Pendidikan Malaysia</t>
  </si>
  <si>
    <t>Source: Department of Social Welfare</t>
  </si>
  <si>
    <t>Ministry of Education Malaysia</t>
  </si>
  <si>
    <r>
      <rPr>
        <b/>
        <sz val="9"/>
        <rFont val="Century Gothic"/>
        <family val="2"/>
      </rPr>
      <t>Nota</t>
    </r>
    <r>
      <rPr>
        <sz val="9"/>
        <rFont val="Century Gothic"/>
        <family val="2"/>
      </rPr>
      <t xml:space="preserve">/ </t>
    </r>
    <r>
      <rPr>
        <i/>
        <sz val="9"/>
        <rFont val="Century Gothic"/>
        <family val="2"/>
      </rPr>
      <t>Note:</t>
    </r>
  </si>
  <si>
    <t>Sarawak</t>
  </si>
  <si>
    <t>Sumber: Jabatan Kebajikan Masyarakat</t>
  </si>
  <si>
    <t>Data pada 30 Jun</t>
  </si>
  <si>
    <t>Data as at 30 June</t>
  </si>
  <si>
    <r>
      <t xml:space="preserve">Tahun
</t>
    </r>
    <r>
      <rPr>
        <i/>
        <sz val="10"/>
        <rFont val="Century Gothic"/>
        <family val="2"/>
      </rPr>
      <t>Year</t>
    </r>
  </si>
  <si>
    <r>
      <t xml:space="preserve">Jumlah
</t>
    </r>
    <r>
      <rPr>
        <i/>
        <sz val="10"/>
        <rFont val="Century Gothic"/>
        <family val="2"/>
      </rPr>
      <t>Total</t>
    </r>
  </si>
  <si>
    <t>Sumber: Polis Diraja Malaysia</t>
  </si>
  <si>
    <t>Source: Royal Malaysia Police</t>
  </si>
  <si>
    <t>Kemalangan</t>
  </si>
  <si>
    <t>jalan raya</t>
  </si>
  <si>
    <t>Road accident</t>
  </si>
  <si>
    <t xml:space="preserve">Kecederaan </t>
  </si>
  <si>
    <t>Kematian</t>
  </si>
  <si>
    <t>Injury</t>
  </si>
  <si>
    <t>Death</t>
  </si>
  <si>
    <r>
      <t xml:space="preserve">Bandar
</t>
    </r>
    <r>
      <rPr>
        <i/>
        <sz val="10"/>
        <rFont val="Century Gothic"/>
        <family val="2"/>
      </rPr>
      <t>Urban</t>
    </r>
  </si>
  <si>
    <r>
      <t xml:space="preserve">Luar bandar 
</t>
    </r>
    <r>
      <rPr>
        <i/>
        <sz val="10"/>
        <rFont val="Century Gothic"/>
        <family val="2"/>
      </rPr>
      <t>Rural</t>
    </r>
  </si>
  <si>
    <t>Internet</t>
  </si>
  <si>
    <t>Radio</t>
  </si>
  <si>
    <r>
      <t xml:space="preserve">Pendapatan
</t>
    </r>
    <r>
      <rPr>
        <i/>
        <sz val="10"/>
        <rFont val="Century Gothic"/>
        <family val="2"/>
      </rPr>
      <t>Income</t>
    </r>
  </si>
  <si>
    <r>
      <t xml:space="preserve">Perbelanjaan
</t>
    </r>
    <r>
      <rPr>
        <i/>
        <sz val="10"/>
        <rFont val="Century Gothic"/>
        <family val="2"/>
      </rPr>
      <t>Expenditure</t>
    </r>
  </si>
  <si>
    <r>
      <t xml:space="preserve">Kemiskinan
</t>
    </r>
    <r>
      <rPr>
        <i/>
        <sz val="10"/>
        <rFont val="Century Gothic"/>
        <family val="2"/>
      </rPr>
      <t>Poverty</t>
    </r>
  </si>
  <si>
    <r>
      <t xml:space="preserve">Purata
</t>
    </r>
    <r>
      <rPr>
        <i/>
        <sz val="10"/>
        <rFont val="Century Gothic"/>
        <family val="2"/>
      </rPr>
      <t>Mean</t>
    </r>
  </si>
  <si>
    <r>
      <t xml:space="preserve">Penengah
</t>
    </r>
    <r>
      <rPr>
        <i/>
        <sz val="10"/>
        <rFont val="Century Gothic"/>
        <family val="2"/>
      </rPr>
      <t>Median</t>
    </r>
  </si>
  <si>
    <r>
      <t>Penggunaan isi rumah bulanan purata</t>
    </r>
    <r>
      <rPr>
        <i/>
        <sz val="10"/>
        <rFont val="Century Gothic"/>
        <family val="2"/>
      </rPr>
      <t xml:space="preserve">
Mean monthly households consumption</t>
    </r>
  </si>
  <si>
    <r>
      <t xml:space="preserve">Insiden miskin mutlak
</t>
    </r>
    <r>
      <rPr>
        <i/>
        <sz val="10"/>
        <rFont val="Century Gothic"/>
        <family val="2"/>
      </rPr>
      <t>Incidence of absolute poverty</t>
    </r>
  </si>
  <si>
    <r>
      <t xml:space="preserve">Pekali gini
</t>
    </r>
    <r>
      <rPr>
        <i/>
        <sz val="10"/>
        <rFont val="Century Gothic"/>
        <family val="2"/>
      </rPr>
      <t>Gini coefficient</t>
    </r>
  </si>
  <si>
    <t>(RM)</t>
  </si>
  <si>
    <t>3.</t>
  </si>
  <si>
    <t>Sumber: Kementerian Kesihatan Malaysia</t>
  </si>
  <si>
    <t>Source: Ministry of Health Malaysia</t>
  </si>
  <si>
    <t>Penglihatan</t>
  </si>
  <si>
    <t>Pendengaran</t>
  </si>
  <si>
    <r>
      <t>Fizikal</t>
    </r>
    <r>
      <rPr>
        <b/>
        <vertAlign val="superscript"/>
        <sz val="10"/>
        <rFont val="Century Gothic"/>
        <family val="2"/>
      </rPr>
      <t>a</t>
    </r>
  </si>
  <si>
    <t>Masalah</t>
  </si>
  <si>
    <t>Pertuturan</t>
  </si>
  <si>
    <t>Mental</t>
  </si>
  <si>
    <t>Ketidak</t>
  </si>
  <si>
    <t>Visually</t>
  </si>
  <si>
    <t>Hearing</t>
  </si>
  <si>
    <t>Physical</t>
  </si>
  <si>
    <t>pembelajaran</t>
  </si>
  <si>
    <t>Speech</t>
  </si>
  <si>
    <t>upayaan</t>
  </si>
  <si>
    <t>impaired</t>
  </si>
  <si>
    <t>Learning</t>
  </si>
  <si>
    <t>Pelbagai</t>
  </si>
  <si>
    <t>disability</t>
  </si>
  <si>
    <t>Multiple</t>
  </si>
  <si>
    <t>disabilities</t>
  </si>
  <si>
    <r>
      <rPr>
        <b/>
        <vertAlign val="superscript"/>
        <sz val="9"/>
        <rFont val="Century Gothic"/>
        <family val="2"/>
      </rPr>
      <t>a</t>
    </r>
    <r>
      <rPr>
        <b/>
        <sz val="9"/>
        <rFont val="Century Gothic"/>
        <family val="2"/>
      </rPr>
      <t xml:space="preserve"> Termasuk </t>
    </r>
    <r>
      <rPr>
        <b/>
        <i/>
        <sz val="9"/>
        <rFont val="Century Gothic"/>
        <family val="2"/>
      </rPr>
      <t>Cerebral Palsy</t>
    </r>
  </si>
  <si>
    <t>Jadual 14.0</t>
  </si>
  <si>
    <t xml:space="preserve">  Table 14.0</t>
  </si>
  <si>
    <r>
      <t xml:space="preserve">KDNK pada harga pembeli
</t>
    </r>
    <r>
      <rPr>
        <i/>
        <sz val="10"/>
        <color theme="1"/>
        <rFont val="Century Gothic"/>
        <family val="2"/>
      </rPr>
      <t>GDP at purchasers' prices</t>
    </r>
  </si>
  <si>
    <t>KDNK mengikut Jenis Aktiviti Ekonomi pada Harga Semasa - Perubahan Peratusan Tahunan (%)</t>
  </si>
  <si>
    <t xml:space="preserve">GDP by Kind of Economic Activity at Current Prices - Annual Percentage Change </t>
  </si>
  <si>
    <r>
      <t xml:space="preserve">Perbelanjaan atas KDNK pada harga pembeli                                                                                                           </t>
    </r>
    <r>
      <rPr>
        <i/>
        <sz val="10"/>
        <rFont val="Century Gothic"/>
        <family val="2"/>
      </rPr>
      <t>Expenditure on GDP at purchasers' prices</t>
    </r>
  </si>
  <si>
    <r>
      <t xml:space="preserve">Perbelanjaan penggunaan akhir swasta
</t>
    </r>
    <r>
      <rPr>
        <i/>
        <sz val="10"/>
        <color theme="1"/>
        <rFont val="Century Gothic"/>
        <family val="2"/>
      </rPr>
      <t>Private final consumption expenditure</t>
    </r>
  </si>
  <si>
    <r>
      <t xml:space="preserve">Perbelanjaan penggunaan akhir kerajaan   
</t>
    </r>
    <r>
      <rPr>
        <i/>
        <sz val="10"/>
        <color theme="1"/>
        <rFont val="Century Gothic"/>
        <family val="2"/>
      </rPr>
      <t>Government final consumption expenditure</t>
    </r>
  </si>
  <si>
    <r>
      <t xml:space="preserve">Pembentukan modal tetap kasar    
</t>
    </r>
    <r>
      <rPr>
        <i/>
        <sz val="10"/>
        <color theme="1"/>
        <rFont val="Century Gothic"/>
        <family val="2"/>
      </rPr>
      <t>Gross fixed capital formation</t>
    </r>
  </si>
  <si>
    <r>
      <t xml:space="preserve">Perubahan inventori dan barangan berharga*  
</t>
    </r>
    <r>
      <rPr>
        <i/>
        <sz val="10"/>
        <color theme="1"/>
        <rFont val="Century Gothic"/>
        <family val="2"/>
      </rPr>
      <t>Changes in inventories and valuables</t>
    </r>
  </si>
  <si>
    <r>
      <t xml:space="preserve">Eksport barangan dan perkhidmatan  </t>
    </r>
    <r>
      <rPr>
        <sz val="10"/>
        <color theme="1"/>
        <rFont val="Century Gothic"/>
        <family val="2"/>
      </rPr>
      <t xml:space="preserve">
</t>
    </r>
    <r>
      <rPr>
        <i/>
        <sz val="10"/>
        <color theme="1"/>
        <rFont val="Century Gothic"/>
        <family val="2"/>
      </rPr>
      <t>Exports of goods and services</t>
    </r>
  </si>
  <si>
    <r>
      <t xml:space="preserve">tolak Import barangan dan perkhidmatan  </t>
    </r>
    <r>
      <rPr>
        <b/>
        <i/>
        <sz val="10"/>
        <color theme="1"/>
        <rFont val="Century Gothic"/>
        <family val="2"/>
      </rPr>
      <t xml:space="preserve"> 
</t>
    </r>
    <r>
      <rPr>
        <i/>
        <sz val="10"/>
        <color theme="1"/>
        <rFont val="Century Gothic"/>
        <family val="2"/>
      </rPr>
      <t>less Imports of goods and services</t>
    </r>
  </si>
  <si>
    <t>KDNK mengikut Jenis Perbelanjaan pada Harga Semasa - Perubahan Peratusan Tahunan (%)</t>
  </si>
  <si>
    <t xml:space="preserve">GDP by Type of Expenditure at Current Prices  - Annual Percentage Change </t>
  </si>
  <si>
    <r>
      <t xml:space="preserve">Perbelanjaan atas KDNK pada harga pembeli  
</t>
    </r>
    <r>
      <rPr>
        <i/>
        <sz val="10"/>
        <rFont val="Century Gothic"/>
        <family val="2"/>
      </rPr>
      <t>Expenditure on GDP at purchasers' prices</t>
    </r>
  </si>
  <si>
    <r>
      <t xml:space="preserve">Perbelanjaan penggunaan akhir kerajaan  
</t>
    </r>
    <r>
      <rPr>
        <i/>
        <sz val="10"/>
        <color theme="1"/>
        <rFont val="Century Gothic"/>
        <family val="2"/>
      </rPr>
      <t>Government final consumption expenditure</t>
    </r>
  </si>
  <si>
    <r>
      <t xml:space="preserve">Eksport barangan dan perkhidmatan 
</t>
    </r>
    <r>
      <rPr>
        <i/>
        <sz val="10"/>
        <color theme="1"/>
        <rFont val="Century Gothic"/>
        <family val="2"/>
      </rPr>
      <t>Exports of goods and services</t>
    </r>
  </si>
  <si>
    <r>
      <t xml:space="preserve">tolak Import barangan dan perkhidmatan  
</t>
    </r>
    <r>
      <rPr>
        <i/>
        <sz val="10"/>
        <color theme="1"/>
        <rFont val="Century Gothic"/>
        <family val="2"/>
      </rPr>
      <t>less Imports of goods and services</t>
    </r>
  </si>
  <si>
    <r>
      <rPr>
        <b/>
        <sz val="9"/>
        <rFont val="Century Gothic"/>
        <family val="2"/>
      </rPr>
      <t>Nota</t>
    </r>
    <r>
      <rPr>
        <sz val="9"/>
        <rFont val="Century Gothic"/>
        <family val="2"/>
      </rPr>
      <t>/</t>
    </r>
    <r>
      <rPr>
        <i/>
        <sz val="9"/>
        <rFont val="Century Gothic"/>
        <family val="2"/>
      </rPr>
      <t xml:space="preserve"> Notes:</t>
    </r>
  </si>
  <si>
    <t>KDNK mengikut Jenis Aktiviti Ekonomi pada Harga Malar 2015 - Perubahan Peratusan Tahunan (%)</t>
  </si>
  <si>
    <r>
      <t xml:space="preserve">Perbelanjaan penggunaan akhir kerajaan    
</t>
    </r>
    <r>
      <rPr>
        <i/>
        <sz val="10"/>
        <color theme="1"/>
        <rFont val="Century Gothic"/>
        <family val="2"/>
      </rPr>
      <t>Government final consumption expenditure</t>
    </r>
  </si>
  <si>
    <r>
      <t xml:space="preserve">Perubahan inventori dan barangan berharga*   
</t>
    </r>
    <r>
      <rPr>
        <i/>
        <sz val="10"/>
        <color theme="1"/>
        <rFont val="Century Gothic"/>
        <family val="2"/>
      </rPr>
      <t>Changes in inventories and valuables</t>
    </r>
  </si>
  <si>
    <r>
      <t xml:space="preserve">Eksport barangan dan perkhidmatan  </t>
    </r>
    <r>
      <rPr>
        <sz val="10"/>
        <color theme="1"/>
        <rFont val="Century Gothic"/>
        <family val="2"/>
      </rPr>
      <t xml:space="preserve"> 
</t>
    </r>
    <r>
      <rPr>
        <i/>
        <sz val="10"/>
        <color theme="1"/>
        <rFont val="Century Gothic"/>
        <family val="2"/>
      </rPr>
      <t>Exports of goods and services</t>
    </r>
  </si>
  <si>
    <t>KDNK mengikut Jenis Perbelanjaan pada Harga Malar 2015 - Perubahan Peratusan Tahunan (%)</t>
  </si>
  <si>
    <r>
      <t xml:space="preserve">Pampasan pekerja/ </t>
    </r>
    <r>
      <rPr>
        <i/>
        <sz val="10"/>
        <rFont val="Century Gothic"/>
        <family val="2"/>
      </rPr>
      <t>Compensation of employees</t>
    </r>
  </si>
  <si>
    <r>
      <t xml:space="preserve">Lebihan kendalian kasar/ </t>
    </r>
    <r>
      <rPr>
        <i/>
        <sz val="10"/>
        <rFont val="Century Gothic"/>
        <family val="2"/>
      </rPr>
      <t>Gross operating surplus</t>
    </r>
  </si>
  <si>
    <r>
      <t xml:space="preserve">Cukai tolak subsidi ke atas pengeluaran dan import/ </t>
    </r>
    <r>
      <rPr>
        <i/>
        <sz val="10"/>
        <rFont val="Century Gothic"/>
        <family val="2"/>
      </rPr>
      <t>Taxes less subsidies on production and imports</t>
    </r>
  </si>
  <si>
    <t>KDNK pada harga pembeli - Perubahan Peratusan Tahunan (%)</t>
  </si>
  <si>
    <t xml:space="preserve">GDP at purchasers' prices - Annual Percentage Change </t>
  </si>
  <si>
    <t>KDNK pada harga pembeli - Peratus Sumbangan kepada KDNK (%)</t>
  </si>
  <si>
    <t xml:space="preserve">GDP at purchasers' prices - Percentage Share to GDP </t>
  </si>
  <si>
    <t xml:space="preserve">Eksport PMKS Barangan dan Perkhidmatan (RM Bilion)
</t>
  </si>
  <si>
    <t xml:space="preserve">Guna Tenaga PMKS ('000)
</t>
  </si>
  <si>
    <t xml:space="preserve">MSMEs Employment </t>
  </si>
  <si>
    <t xml:space="preserve">Nilai Ditambah PMKS Pada Harga Malar 2015 - Perubahan Peratusan Tahunan (%)
</t>
  </si>
  <si>
    <t xml:space="preserve">Value Added of MSMEs at Constant 2015 Prices - Annual Percentage Change </t>
  </si>
  <si>
    <t xml:space="preserve">Eksport PMKS Barangan dan Perkhidmatan - Perubahan Peratusan Tahunan (%)
</t>
  </si>
  <si>
    <t>MSMEs Exports of Goods and Services - Annual Percentage Change</t>
  </si>
  <si>
    <t xml:space="preserve">Guna Tenaga PMKS - Perubahan Peratusan Tahunan (%)
</t>
  </si>
  <si>
    <t xml:space="preserve">MSMEs Employment - Annual Percentage Change </t>
  </si>
  <si>
    <t xml:space="preserve">Nilai Ditambah PMKS Pada Harga Malar 2015 - Peratus Sumbangan kepada KDNK (%)
</t>
  </si>
  <si>
    <t>Value Added of MSMEs at Constant 2015 Prices - Percentage Share to GDP</t>
  </si>
  <si>
    <t xml:space="preserve">Eksport PMKS Barangan dan Perkhidmatan - Peratus Sumbangan kepada Jumlah Eksport Barangan dan Perkhidmatan (%)
</t>
  </si>
  <si>
    <t xml:space="preserve">MSMEs Exports of Goods and Services - Percentage Share to Total of Exports Goods and Services </t>
  </si>
  <si>
    <t xml:space="preserve">Guna Tenaga PMKS - Peratus Sumbangan kepada Guna Tenaga Malaysia (%)
</t>
  </si>
  <si>
    <t xml:space="preserve">MSMEs Employment - Percentage Share to Malaysia's Employment </t>
  </si>
  <si>
    <t xml:space="preserve">Pembentukan Modal Tetap Kasar (PMTK) - Perubahan Peratusan Tahunan (%)
</t>
  </si>
  <si>
    <t>Gross Fixed Capital Formation (GFCF) - Annual Percentage Change</t>
  </si>
  <si>
    <r>
      <rPr>
        <b/>
        <sz val="9"/>
        <rFont val="Century Gothic"/>
        <family val="2"/>
      </rPr>
      <t>Nota/</t>
    </r>
    <r>
      <rPr>
        <i/>
        <sz val="9"/>
        <rFont val="Century Gothic"/>
        <family val="2"/>
      </rPr>
      <t xml:space="preserve"> Note:</t>
    </r>
  </si>
  <si>
    <t>Jadual 15.0</t>
  </si>
  <si>
    <t xml:space="preserve">  Table 15.0</t>
  </si>
  <si>
    <r>
      <rPr>
        <b/>
        <sz val="10"/>
        <rFont val="Century Gothic"/>
        <family val="2"/>
      </rPr>
      <t xml:space="preserve">Perbelanjaan Pembangunan (Bersih) 
</t>
    </r>
    <r>
      <rPr>
        <i/>
        <sz val="10"/>
        <rFont val="Century Gothic"/>
        <family val="2"/>
      </rPr>
      <t>Development expenditure (Net)</t>
    </r>
  </si>
  <si>
    <r>
      <rPr>
        <b/>
        <sz val="10"/>
        <rFont val="Century Gothic"/>
        <family val="2"/>
      </rPr>
      <t>Jumlah cukai tidak langsung</t>
    </r>
    <r>
      <rPr>
        <sz val="10"/>
        <rFont val="Century Gothic"/>
        <family val="2"/>
      </rPr>
      <t xml:space="preserve"> / </t>
    </r>
    <r>
      <rPr>
        <i/>
        <sz val="10"/>
        <rFont val="Century Gothic"/>
        <family val="2"/>
      </rPr>
      <t>Total indirect tax</t>
    </r>
  </si>
  <si>
    <t xml:space="preserve">GST/ SST </t>
  </si>
  <si>
    <r>
      <rPr>
        <b/>
        <sz val="10"/>
        <rFont val="Century Gothic"/>
        <family val="2"/>
      </rPr>
      <t xml:space="preserve">Hasil bukan cukai </t>
    </r>
    <r>
      <rPr>
        <sz val="10"/>
        <rFont val="Century Gothic"/>
        <family val="2"/>
      </rPr>
      <t xml:space="preserve">/ </t>
    </r>
    <r>
      <rPr>
        <i/>
        <sz val="10"/>
        <rFont val="Century Gothic"/>
        <family val="2"/>
      </rPr>
      <t>Non-tax revenue</t>
    </r>
  </si>
  <si>
    <t>M1</t>
  </si>
  <si>
    <t>M2</t>
  </si>
  <si>
    <t>M3</t>
  </si>
  <si>
    <r>
      <rPr>
        <b/>
        <sz val="10"/>
        <rFont val="Century Gothic"/>
        <family val="2"/>
      </rPr>
      <t>Kadar Dasar Semalaman pada akhir tempoh (%)</t>
    </r>
    <r>
      <rPr>
        <sz val="10"/>
        <rFont val="Century Gothic"/>
        <family val="2"/>
      </rPr>
      <t xml:space="preserve">
</t>
    </r>
    <r>
      <rPr>
        <i/>
        <sz val="10"/>
        <rFont val="Century Gothic"/>
        <family val="2"/>
      </rPr>
      <t>Overnight Policy Rate as at period end</t>
    </r>
    <r>
      <rPr>
        <sz val="10"/>
        <rFont val="Century Gothic"/>
        <family val="2"/>
      </rPr>
      <t xml:space="preserve"> </t>
    </r>
  </si>
  <si>
    <r>
      <rPr>
        <b/>
        <sz val="10"/>
        <rFont val="Century Gothic"/>
        <family val="2"/>
      </rPr>
      <t>Kadar Faedah Purata Institusi Perbankan (%)</t>
    </r>
    <r>
      <rPr>
        <sz val="10"/>
        <rFont val="Century Gothic"/>
        <family val="2"/>
      </rPr>
      <t xml:space="preserve">
</t>
    </r>
    <r>
      <rPr>
        <i/>
        <sz val="10"/>
        <rFont val="Century Gothic"/>
        <family val="2"/>
      </rPr>
      <t xml:space="preserve">Interest Rates of Banking Institutions </t>
    </r>
  </si>
  <si>
    <r>
      <rPr>
        <b/>
        <sz val="10"/>
        <rFont val="Century Gothic"/>
        <family val="2"/>
      </rPr>
      <t>Kadar Faedah Deposit Tabungan Bank Perdagangan</t>
    </r>
    <r>
      <rPr>
        <sz val="10"/>
        <rFont val="Century Gothic"/>
        <family val="2"/>
      </rPr>
      <t xml:space="preserve">
</t>
    </r>
    <r>
      <rPr>
        <i/>
        <sz val="10"/>
        <rFont val="Century Gothic"/>
        <family val="2"/>
      </rPr>
      <t>Savings Deposit Rate - Commercial Bank</t>
    </r>
  </si>
  <si>
    <r>
      <rPr>
        <b/>
        <sz val="10"/>
        <rFont val="Century Gothic"/>
        <family val="2"/>
      </rPr>
      <t>Deposit Tetap 12 bulan</t>
    </r>
    <r>
      <rPr>
        <sz val="10"/>
        <rFont val="Century Gothic"/>
        <family val="2"/>
      </rPr>
      <t xml:space="preserve">
</t>
    </r>
    <r>
      <rPr>
        <i/>
        <sz val="10"/>
        <rFont val="Century Gothic"/>
        <family val="2"/>
      </rPr>
      <t>Fixed Deposit Rate 12 months</t>
    </r>
  </si>
  <si>
    <r>
      <rPr>
        <b/>
        <sz val="10"/>
        <rFont val="Century Gothic"/>
        <family val="2"/>
      </rPr>
      <t>Kadar Berian Pinjaman Purata Bank Perdagangan</t>
    </r>
    <r>
      <rPr>
        <sz val="10"/>
        <rFont val="Century Gothic"/>
        <family val="2"/>
      </rPr>
      <t xml:space="preserve">
</t>
    </r>
    <r>
      <rPr>
        <i/>
        <sz val="10"/>
        <rFont val="Century Gothic"/>
        <family val="2"/>
      </rPr>
      <t>Average Lending Rate - Commercial Bank</t>
    </r>
  </si>
  <si>
    <r>
      <t xml:space="preserve">Indikator Utama Bursa Malaysia/ </t>
    </r>
    <r>
      <rPr>
        <i/>
        <sz val="10"/>
        <rFont val="Century Gothic"/>
        <family val="2"/>
      </rPr>
      <t>Bursa Malaysia's Key Indicators</t>
    </r>
  </si>
  <si>
    <t>FTSE Bursa Malaysia KLCI, FBM KLCI</t>
  </si>
  <si>
    <r>
      <rPr>
        <b/>
        <sz val="10"/>
        <rFont val="Century Gothic"/>
        <family val="2"/>
      </rPr>
      <t>Volum Dagangan</t>
    </r>
    <r>
      <rPr>
        <sz val="10"/>
        <rFont val="Century Gothic"/>
        <family val="2"/>
      </rPr>
      <t xml:space="preserve">/ </t>
    </r>
    <r>
      <rPr>
        <i/>
        <sz val="10"/>
        <rFont val="Century Gothic"/>
        <family val="2"/>
      </rPr>
      <t>Volume Traded (Billion Unit)</t>
    </r>
  </si>
  <si>
    <t>Sumber: Kementerian Kewangan Malaysia</t>
  </si>
  <si>
    <t>Bank Negara Malaysia</t>
  </si>
  <si>
    <t>Bursa Malaysia Securities Berhad</t>
  </si>
  <si>
    <t>Source: Ministry of Finance</t>
  </si>
  <si>
    <t>Central Bank of Malaysia</t>
  </si>
  <si>
    <t>Jadual 16.0</t>
  </si>
  <si>
    <t xml:space="preserve">  Table 16.0</t>
  </si>
  <si>
    <t>Akaun Satelit Pelancongan (Nilai)</t>
  </si>
  <si>
    <t>Tourism Satellite Account (Value)</t>
  </si>
  <si>
    <t>Guna tenaga dalam industri pelancongan ('000)</t>
  </si>
  <si>
    <t xml:space="preserve">Employment in the tourism industry </t>
  </si>
  <si>
    <t>Akaun Satelit Pelancongan - Perubahan Peratusan Tahunan (%)</t>
  </si>
  <si>
    <t xml:space="preserve">Tourism Satellite Account - Annual Percentage Change </t>
  </si>
  <si>
    <t>Nilai Ditambah Kasar Industri Pelancongan (NDKIP)</t>
  </si>
  <si>
    <t>Gross Value Added of Tourism Industries (GVATI)</t>
  </si>
  <si>
    <t>Keluaran Dalam Negeri Kasar Pelancongan Langsung (KDNKPL)</t>
  </si>
  <si>
    <t>Tourism Direct Gross Domestic Product (TDGDP)</t>
  </si>
  <si>
    <t>Perbelanjaan pelancongan inbound bagi pelawat</t>
  </si>
  <si>
    <t>Inbound tourism expenditure of visitors</t>
  </si>
  <si>
    <t>Perbelanjaan pelancongan domestik bagi pelawat</t>
  </si>
  <si>
    <t>Domestic tourism expenditure of visitors</t>
  </si>
  <si>
    <t xml:space="preserve">Perbelanjaan pelancongan outbound bagi pelawat </t>
  </si>
  <si>
    <t>Outbound tourism expenditure of visitors</t>
  </si>
  <si>
    <t>Guna tenaga dalam industri pelancongan</t>
  </si>
  <si>
    <t>Employment in the tourism industry</t>
  </si>
  <si>
    <t>Akaun Satelit Pelancongan - Peratus Sumbangan kepada KDNK (%)</t>
  </si>
  <si>
    <t>Tourism Satellite Account - Percentage Share to GDP</t>
  </si>
  <si>
    <r>
      <rPr>
        <b/>
        <sz val="9"/>
        <rFont val="Century Gothic"/>
        <family val="2"/>
      </rPr>
      <t>Nota</t>
    </r>
    <r>
      <rPr>
        <sz val="9"/>
        <rFont val="Century Gothic"/>
        <family val="2"/>
      </rPr>
      <t>/</t>
    </r>
    <r>
      <rPr>
        <i/>
        <sz val="9"/>
        <rFont val="Century Gothic"/>
        <family val="2"/>
      </rPr>
      <t xml:space="preserve"> Note:</t>
    </r>
  </si>
  <si>
    <t>Jadual 17.0</t>
  </si>
  <si>
    <t xml:space="preserve">  Table 17.0</t>
  </si>
  <si>
    <t>Akaun Satelit Teknologi Maklumat &amp; Komunikasi (Nilai)</t>
  </si>
  <si>
    <t>Information and Communication Technology Satellite Account (Value)</t>
  </si>
  <si>
    <t xml:space="preserve">Guna Tenaga Dalam Industri TMK ('000) </t>
  </si>
  <si>
    <t>Akaun Satelit Teknologi Maklumat &amp; Komunikasi - Perubahan Peratusan Tahunan (%)</t>
  </si>
  <si>
    <t xml:space="preserve">Information and Communication Technology Satellite Account - Annual Percentage Change </t>
  </si>
  <si>
    <t>Nilai Ditambah Kasar Industri TMK (NDKTMK)</t>
  </si>
  <si>
    <t>Gross Value Added of ICT Industry (GVATI)</t>
  </si>
  <si>
    <t xml:space="preserve">Eksport Produk TMK </t>
  </si>
  <si>
    <t xml:space="preserve">Import Produk TMK </t>
  </si>
  <si>
    <t>Nilai Ditambah Kasar e-dagang</t>
  </si>
  <si>
    <t>Gross Value Added of e-commerce</t>
  </si>
  <si>
    <t>Sumbangan TMK kepada ekonomi (NDKTMK, e-dagang)</t>
  </si>
  <si>
    <t>Guna Tenaga Dalam Industri TMK</t>
  </si>
  <si>
    <t>Akaun Satelit Teknologi Maklumat &amp; Komunikasi - Peratus Sumbangan kepada KDNK (%)</t>
  </si>
  <si>
    <t>Information and Communication Technology Satellite Account - Percentage Share to GDP</t>
  </si>
  <si>
    <r>
      <t xml:space="preserve">Nota/ </t>
    </r>
    <r>
      <rPr>
        <i/>
        <sz val="9"/>
        <rFont val="Century Gothic"/>
        <family val="2"/>
      </rPr>
      <t>Note</t>
    </r>
    <r>
      <rPr>
        <sz val="9"/>
        <rFont val="Century Gothic"/>
        <family val="2"/>
      </rPr>
      <t>:</t>
    </r>
  </si>
  <si>
    <t>Jadual 18.0</t>
  </si>
  <si>
    <t xml:space="preserve">  Table 18.0</t>
  </si>
  <si>
    <t>Stok Modal Kasar (SMK)</t>
  </si>
  <si>
    <t>Gross Capital Stock (GKS)</t>
  </si>
  <si>
    <t>Stok Modal Bersih (SMB)</t>
  </si>
  <si>
    <t>Net Capital Stock (NKS)</t>
  </si>
  <si>
    <t>Stok Modal Produktif (SMP)</t>
  </si>
  <si>
    <t>Productive Capital Stock (PKS)</t>
  </si>
  <si>
    <t>Penggunaan Modal Tetap (PMT)</t>
  </si>
  <si>
    <t>Consumption of Fixed Capital (COFC)</t>
  </si>
  <si>
    <t>Stok Modal pada harga malar 2015 - Perubahan Peratusan Tahunan (%)</t>
  </si>
  <si>
    <t xml:space="preserve">Capital Stock at constant 2015 prices - Annual Percentage Change </t>
  </si>
  <si>
    <t>Jadual 19.0</t>
  </si>
  <si>
    <t xml:space="preserve">  Table 19.0</t>
  </si>
  <si>
    <t>Johor</t>
  </si>
  <si>
    <t>Kedah</t>
  </si>
  <si>
    <t>Kelantan</t>
  </si>
  <si>
    <t>Melaka</t>
  </si>
  <si>
    <t>Negeri Sembilan</t>
  </si>
  <si>
    <t>Pahang</t>
  </si>
  <si>
    <t>Pulau Pinang</t>
  </si>
  <si>
    <t>Perak</t>
  </si>
  <si>
    <t>Perlis</t>
  </si>
  <si>
    <t>Selangor</t>
  </si>
  <si>
    <t>Terengganu</t>
  </si>
  <si>
    <t>Sabah</t>
  </si>
  <si>
    <t>W.P. Kuala Lumpur</t>
  </si>
  <si>
    <t>W.P. Labuan</t>
  </si>
  <si>
    <t>W.P. Putrajaya</t>
  </si>
  <si>
    <r>
      <rPr>
        <b/>
        <sz val="9"/>
        <rFont val="Century Gothic"/>
        <family val="2"/>
      </rPr>
      <t>Nota</t>
    </r>
    <r>
      <rPr>
        <sz val="9"/>
        <rFont val="Century Gothic"/>
        <family val="2"/>
      </rPr>
      <t xml:space="preserve">/ </t>
    </r>
    <r>
      <rPr>
        <i/>
        <sz val="9"/>
        <rFont val="Century Gothic"/>
        <family val="2"/>
      </rPr>
      <t>Note</t>
    </r>
    <r>
      <rPr>
        <sz val="9"/>
        <rFont val="Century Gothic"/>
        <family val="2"/>
      </rPr>
      <t>:</t>
    </r>
  </si>
  <si>
    <r>
      <rPr>
        <b/>
        <sz val="10"/>
        <rFont val="Century Gothic"/>
        <family val="2"/>
      </rPr>
      <t>Barangan Perantaraan</t>
    </r>
    <r>
      <rPr>
        <sz val="10"/>
        <rFont val="Century Gothic"/>
        <family val="2"/>
      </rPr>
      <t xml:space="preserve">/ </t>
    </r>
    <r>
      <rPr>
        <i/>
        <sz val="10"/>
        <rFont val="Century Gothic"/>
        <family val="2"/>
      </rPr>
      <t>Intermediate Goods</t>
    </r>
  </si>
  <si>
    <r>
      <rPr>
        <b/>
        <sz val="10"/>
        <rFont val="Century Gothic"/>
        <family val="2"/>
      </rPr>
      <t>Barangan Penggunaan</t>
    </r>
    <r>
      <rPr>
        <sz val="10"/>
        <rFont val="Century Gothic"/>
        <family val="2"/>
      </rPr>
      <t xml:space="preserve">/ </t>
    </r>
    <r>
      <rPr>
        <i/>
        <sz val="10"/>
        <rFont val="Century Gothic"/>
        <family val="2"/>
      </rPr>
      <t>Consumption Goods</t>
    </r>
  </si>
  <si>
    <t>China</t>
  </si>
  <si>
    <t>Jadual 21.0</t>
  </si>
  <si>
    <t xml:space="preserve">  Table 21.0</t>
  </si>
  <si>
    <r>
      <t xml:space="preserve">Pelawat Harian/ </t>
    </r>
    <r>
      <rPr>
        <i/>
        <sz val="10"/>
        <color rgb="FF000000"/>
        <rFont val="Century Gothic"/>
        <family val="2"/>
      </rPr>
      <t>Excursionist</t>
    </r>
    <r>
      <rPr>
        <b/>
        <sz val="10"/>
        <color rgb="FF000000"/>
        <rFont val="Century Gothic"/>
        <family val="2"/>
      </rPr>
      <t xml:space="preserve">
</t>
    </r>
  </si>
  <si>
    <r>
      <t xml:space="preserve">Pelancong/ </t>
    </r>
    <r>
      <rPr>
        <i/>
        <sz val="10"/>
        <color rgb="FF000000"/>
        <rFont val="Century Gothic"/>
        <family val="2"/>
      </rPr>
      <t>Tourist</t>
    </r>
    <r>
      <rPr>
        <b/>
        <sz val="10"/>
        <color rgb="FF000000"/>
        <rFont val="Century Gothic"/>
        <family val="2"/>
      </rPr>
      <t xml:space="preserve">
</t>
    </r>
  </si>
  <si>
    <r>
      <rPr>
        <b/>
        <sz val="10"/>
        <color theme="1"/>
        <rFont val="Century Gothic"/>
        <family val="1"/>
      </rPr>
      <t>Produktiviti Buruh</t>
    </r>
    <r>
      <rPr>
        <sz val="10"/>
        <color theme="1"/>
        <rFont val="Century Gothic"/>
        <family val="1"/>
      </rPr>
      <t xml:space="preserve"> 
</t>
    </r>
    <r>
      <rPr>
        <i/>
        <sz val="10"/>
        <color theme="1"/>
        <rFont val="Century Gothic"/>
        <family val="1"/>
      </rPr>
      <t>Labour Productivity</t>
    </r>
  </si>
  <si>
    <r>
      <rPr>
        <b/>
        <sz val="10"/>
        <color theme="1"/>
        <rFont val="Century Gothic"/>
        <family val="1"/>
      </rPr>
      <t>Produktiviti Buruh, Nilai Ditambah per Jam Bekerja (RM)</t>
    </r>
    <r>
      <rPr>
        <sz val="10"/>
        <color theme="1"/>
        <rFont val="Century Gothic"/>
        <family val="1"/>
      </rPr>
      <t xml:space="preserve">
</t>
    </r>
    <r>
      <rPr>
        <i/>
        <sz val="10"/>
        <color theme="1"/>
        <rFont val="Century Gothic"/>
        <family val="1"/>
      </rPr>
      <t>Labour Productivity, Value Added per Hours Worked</t>
    </r>
  </si>
  <si>
    <r>
      <rPr>
        <b/>
        <sz val="10"/>
        <color theme="1"/>
        <rFont val="Century Gothic"/>
        <family val="1"/>
      </rPr>
      <t>Prestasi Ekonomi</t>
    </r>
    <r>
      <rPr>
        <sz val="10"/>
        <color theme="1"/>
        <rFont val="Century Gothic"/>
        <family val="1"/>
      </rPr>
      <t xml:space="preserve"> 
</t>
    </r>
    <r>
      <rPr>
        <i/>
        <sz val="10"/>
        <color theme="1"/>
        <rFont val="Century Gothic"/>
        <family val="1"/>
      </rPr>
      <t>Economic Performance</t>
    </r>
  </si>
  <si>
    <r>
      <rPr>
        <b/>
        <sz val="10"/>
        <color theme="1"/>
        <rFont val="Century Gothic"/>
        <family val="1"/>
      </rPr>
      <t>Kecekapan Kerajaan</t>
    </r>
    <r>
      <rPr>
        <sz val="10"/>
        <color theme="1"/>
        <rFont val="Century Gothic"/>
        <family val="1"/>
      </rPr>
      <t xml:space="preserve"> 
</t>
    </r>
    <r>
      <rPr>
        <i/>
        <sz val="10"/>
        <color theme="1"/>
        <rFont val="Century Gothic"/>
        <family val="1"/>
      </rPr>
      <t>Government Efficiency</t>
    </r>
  </si>
  <si>
    <r>
      <rPr>
        <b/>
        <sz val="10"/>
        <color theme="1"/>
        <rFont val="Century Gothic"/>
        <family val="1"/>
      </rPr>
      <t>Kecekapan Perniagaan</t>
    </r>
    <r>
      <rPr>
        <sz val="10"/>
        <color theme="1"/>
        <rFont val="Century Gothic"/>
        <family val="1"/>
      </rPr>
      <t xml:space="preserve"> 
</t>
    </r>
    <r>
      <rPr>
        <i/>
        <sz val="10"/>
        <color theme="1"/>
        <rFont val="Century Gothic"/>
        <family val="1"/>
      </rPr>
      <t>Business Efficiency</t>
    </r>
  </si>
  <si>
    <r>
      <rPr>
        <b/>
        <sz val="10"/>
        <color theme="1"/>
        <rFont val="Century Gothic"/>
        <family val="1"/>
      </rPr>
      <t>Infrastruktur</t>
    </r>
    <r>
      <rPr>
        <sz val="10"/>
        <color theme="1"/>
        <rFont val="Century Gothic"/>
        <family val="1"/>
      </rPr>
      <t xml:space="preserve"> 
</t>
    </r>
    <r>
      <rPr>
        <i/>
        <sz val="10"/>
        <color theme="1"/>
        <rFont val="Century Gothic"/>
        <family val="1"/>
      </rPr>
      <t>Infrastructure</t>
    </r>
  </si>
  <si>
    <t>Jadual 23.0</t>
  </si>
  <si>
    <t>Table 23.0</t>
  </si>
  <si>
    <t>(2010 = 100)</t>
  </si>
  <si>
    <t>Jadual 23.1</t>
  </si>
  <si>
    <t>Table 23.1</t>
  </si>
  <si>
    <t>Indeks Harga Pengeluar (IHPR)</t>
  </si>
  <si>
    <t>Producer Price Index (PPI)</t>
  </si>
  <si>
    <t>Pertanian, perhutanan dan perikanan</t>
  </si>
  <si>
    <t>Agriculture, forestry and fishing</t>
  </si>
  <si>
    <t>Perlombongan</t>
  </si>
  <si>
    <t xml:space="preserve">Mining </t>
  </si>
  <si>
    <t>Pembuatan</t>
  </si>
  <si>
    <t>Manufacturing</t>
  </si>
  <si>
    <t>Bekalan elektrik dan gas</t>
  </si>
  <si>
    <t>Electricity and gas supply</t>
  </si>
  <si>
    <t>Bekalan air</t>
  </si>
  <si>
    <t>Water supply</t>
  </si>
  <si>
    <t>Perubahan Peratus Tahunan (%)</t>
  </si>
  <si>
    <t>Annual Percentage Change (%)</t>
  </si>
  <si>
    <t>Jadual 25.0</t>
  </si>
  <si>
    <t xml:space="preserve">  Table 25.0</t>
  </si>
  <si>
    <t>`</t>
  </si>
  <si>
    <t xml:space="preserve">Sumber: Jabatan Keselamatan dan Kesihatan Pekerjaan (JKKP) </t>
  </si>
  <si>
    <t>Pertubuhan Keselamatan Sosial (PERKESO)</t>
  </si>
  <si>
    <t>Source: Department of Occupational Safety and Health (DOSH)</t>
  </si>
  <si>
    <t xml:space="preserve"> Social Security Organisation (SOCSO)</t>
  </si>
  <si>
    <t>Jadual 26.0</t>
  </si>
  <si>
    <t>Table 26.0</t>
  </si>
  <si>
    <r>
      <t xml:space="preserve">PERKARA
</t>
    </r>
    <r>
      <rPr>
        <i/>
        <sz val="10"/>
        <rFont val="Century Gothic"/>
        <family val="2"/>
      </rPr>
      <t>ITEM</t>
    </r>
  </si>
  <si>
    <r>
      <t>Dewan Negara</t>
    </r>
    <r>
      <rPr>
        <sz val="10"/>
        <rFont val="Century Gothic"/>
        <family val="2"/>
      </rPr>
      <t>/</t>
    </r>
    <r>
      <rPr>
        <b/>
        <sz val="10"/>
        <rFont val="Century Gothic"/>
        <family val="2"/>
      </rPr>
      <t xml:space="preserve"> </t>
    </r>
    <r>
      <rPr>
        <i/>
        <sz val="10"/>
        <rFont val="Century Gothic"/>
        <family val="2"/>
      </rPr>
      <t>Senate</t>
    </r>
  </si>
  <si>
    <r>
      <t>Lelaki</t>
    </r>
    <r>
      <rPr>
        <sz val="10"/>
        <rFont val="Century Gothic"/>
        <family val="2"/>
      </rPr>
      <t xml:space="preserve">/ </t>
    </r>
    <r>
      <rPr>
        <i/>
        <sz val="10"/>
        <rFont val="Century Gothic"/>
        <family val="2"/>
      </rPr>
      <t>Male</t>
    </r>
  </si>
  <si>
    <r>
      <t>Perempuan</t>
    </r>
    <r>
      <rPr>
        <sz val="10"/>
        <rFont val="Century Gothic"/>
        <family val="2"/>
      </rPr>
      <t xml:space="preserve">/ </t>
    </r>
    <r>
      <rPr>
        <i/>
        <sz val="10"/>
        <rFont val="Century Gothic"/>
        <family val="2"/>
      </rPr>
      <t>Female</t>
    </r>
  </si>
  <si>
    <r>
      <t>Dewan Rakyat</t>
    </r>
    <r>
      <rPr>
        <sz val="10"/>
        <rFont val="Century Gothic"/>
        <family val="2"/>
      </rPr>
      <t>/</t>
    </r>
    <r>
      <rPr>
        <b/>
        <sz val="10"/>
        <rFont val="Century Gothic"/>
        <family val="2"/>
      </rPr>
      <t xml:space="preserve"> </t>
    </r>
    <r>
      <rPr>
        <i/>
        <sz val="10"/>
        <rFont val="Century Gothic"/>
        <family val="2"/>
      </rPr>
      <t>House of Representatives</t>
    </r>
  </si>
  <si>
    <r>
      <t>Menteri Kabinet</t>
    </r>
    <r>
      <rPr>
        <sz val="10"/>
        <rFont val="Century Gothic"/>
        <family val="2"/>
      </rPr>
      <t>/</t>
    </r>
    <r>
      <rPr>
        <b/>
        <sz val="10"/>
        <rFont val="Century Gothic"/>
        <family val="2"/>
      </rPr>
      <t xml:space="preserve"> </t>
    </r>
    <r>
      <rPr>
        <i/>
        <sz val="10"/>
        <rFont val="Century Gothic"/>
        <family val="2"/>
      </rPr>
      <t>Cabinet Minister</t>
    </r>
  </si>
  <si>
    <r>
      <t>Timbalan Menteri</t>
    </r>
    <r>
      <rPr>
        <sz val="10"/>
        <rFont val="Century Gothic"/>
        <family val="2"/>
      </rPr>
      <t xml:space="preserve">/ </t>
    </r>
    <r>
      <rPr>
        <i/>
        <sz val="10"/>
        <rFont val="Century Gothic"/>
        <family val="2"/>
      </rPr>
      <t>Deputy Minister</t>
    </r>
  </si>
  <si>
    <t>Sumber: Parlimen Malaysia</t>
  </si>
  <si>
    <t>Source: Parliament of Malaysia</t>
  </si>
  <si>
    <t>Jadual 27.0</t>
  </si>
  <si>
    <t>Table 27.0</t>
  </si>
  <si>
    <r>
      <t>Jumlah</t>
    </r>
    <r>
      <rPr>
        <sz val="10"/>
        <rFont val="Century Gothic"/>
        <family val="2"/>
      </rPr>
      <t xml:space="preserve">/ </t>
    </r>
    <r>
      <rPr>
        <i/>
        <sz val="10"/>
        <rFont val="Century Gothic"/>
        <family val="2"/>
      </rPr>
      <t>Total</t>
    </r>
  </si>
  <si>
    <r>
      <t>Ketua Hakim Negara</t>
    </r>
    <r>
      <rPr>
        <sz val="10"/>
        <rFont val="Century Gothic"/>
        <family val="2"/>
      </rPr>
      <t>/</t>
    </r>
    <r>
      <rPr>
        <b/>
        <sz val="10"/>
        <rFont val="Century Gothic"/>
        <family val="2"/>
      </rPr>
      <t xml:space="preserve"> </t>
    </r>
    <r>
      <rPr>
        <i/>
        <sz val="10"/>
        <rFont val="Century Gothic"/>
        <family val="2"/>
      </rPr>
      <t>Chief Justice of Malaysia</t>
    </r>
  </si>
  <si>
    <r>
      <t>Presiden Mahkamah Rayuan Malaysia</t>
    </r>
    <r>
      <rPr>
        <i/>
        <sz val="10"/>
        <rFont val="Century Gothic"/>
        <family val="2"/>
      </rPr>
      <t>/ President of the Court of Appeal of Malaysia</t>
    </r>
  </si>
  <si>
    <r>
      <t>Hakim Besar Malaya</t>
    </r>
    <r>
      <rPr>
        <i/>
        <sz val="10"/>
        <rFont val="Century Gothic"/>
        <family val="2"/>
      </rPr>
      <t>/ Chief Judge of Malaya</t>
    </r>
  </si>
  <si>
    <r>
      <t>Hakim Besar Sabah dan Sarawak</t>
    </r>
    <r>
      <rPr>
        <i/>
        <sz val="10"/>
        <rFont val="Century Gothic"/>
        <family val="2"/>
      </rPr>
      <t>/ Chief Judge of Sabah and Sarawak</t>
    </r>
  </si>
  <si>
    <r>
      <t>Hakim Mahkamah Persekutuan Malaysia</t>
    </r>
    <r>
      <rPr>
        <i/>
        <sz val="10"/>
        <rFont val="Century Gothic"/>
        <family val="2"/>
      </rPr>
      <t>/ Judges of the Federal Court of Malaysia</t>
    </r>
  </si>
  <si>
    <r>
      <rPr>
        <b/>
        <sz val="10"/>
        <rFont val="Century Gothic"/>
        <family val="2"/>
      </rPr>
      <t>Hakim Mahkamah Rayuan Malaysia</t>
    </r>
    <r>
      <rPr>
        <sz val="10"/>
        <rFont val="Century Gothic"/>
        <family val="2"/>
      </rPr>
      <t xml:space="preserve">/ </t>
    </r>
    <r>
      <rPr>
        <i/>
        <sz val="10"/>
        <rFont val="Century Gothic"/>
        <family val="2"/>
      </rPr>
      <t>Judges of the Court of Appeal of Malaysia</t>
    </r>
  </si>
  <si>
    <r>
      <t>Hakim Mahkamah Tinggi</t>
    </r>
    <r>
      <rPr>
        <i/>
        <sz val="10"/>
        <rFont val="Century Gothic"/>
        <family val="2"/>
      </rPr>
      <t>/ Judges of the High Courts</t>
    </r>
  </si>
  <si>
    <t>Sumber: Suruhanjaya Pelantikan Kehakiman</t>
  </si>
  <si>
    <t>Source: Judicial Appoiments Commission</t>
  </si>
  <si>
    <t>Jadual 28.0</t>
  </si>
  <si>
    <t>Table 28.0</t>
  </si>
  <si>
    <r>
      <t>Ketua Pengarah/ Ketua Hakim Syarie</t>
    </r>
    <r>
      <rPr>
        <sz val="10"/>
        <rFont val="Century Gothic"/>
        <family val="2"/>
      </rPr>
      <t>/</t>
    </r>
    <r>
      <rPr>
        <b/>
        <sz val="10"/>
        <rFont val="Century Gothic"/>
        <family val="2"/>
      </rPr>
      <t xml:space="preserve"> </t>
    </r>
    <r>
      <rPr>
        <i/>
        <sz val="10"/>
        <rFont val="Century Gothic"/>
        <family val="2"/>
      </rPr>
      <t>Director General/ Syarie Chief Justice</t>
    </r>
  </si>
  <si>
    <r>
      <t>Hakim Mahkamah Rayuan Syariah</t>
    </r>
    <r>
      <rPr>
        <i/>
        <sz val="10"/>
        <rFont val="Century Gothic"/>
        <family val="2"/>
      </rPr>
      <t>/ Judges of the Court of Appeal Syarie</t>
    </r>
  </si>
  <si>
    <r>
      <t>Ketua Hakim Syarie Negeri</t>
    </r>
    <r>
      <rPr>
        <i/>
        <sz val="10"/>
        <rFont val="Century Gothic"/>
        <family val="2"/>
      </rPr>
      <t>/ State Syarie Chief Judge</t>
    </r>
  </si>
  <si>
    <r>
      <t>Ketua Pendaftar Mahkamah Syariah Negeri</t>
    </r>
    <r>
      <rPr>
        <i/>
        <sz val="10"/>
        <rFont val="Century Gothic"/>
        <family val="2"/>
      </rPr>
      <t>/ Chief Register of the State Syariah Court</t>
    </r>
  </si>
  <si>
    <r>
      <t>Hakim Syarie</t>
    </r>
    <r>
      <rPr>
        <i/>
        <sz val="10"/>
        <rFont val="Century Gothic"/>
        <family val="2"/>
      </rPr>
      <t>/ Syarie Judge</t>
    </r>
  </si>
  <si>
    <t>Sumber: Jabatan Kehakiman Syariah Malaysia</t>
  </si>
  <si>
    <t>Source: Syariah Judiciary Department Malaysia</t>
  </si>
  <si>
    <t>Jadual 29.0</t>
  </si>
  <si>
    <t>Table 29.0</t>
  </si>
  <si>
    <r>
      <t>Ketua Setiausaha Negara</t>
    </r>
    <r>
      <rPr>
        <sz val="10"/>
        <rFont val="Century Gothic"/>
        <family val="2"/>
      </rPr>
      <t>/</t>
    </r>
    <r>
      <rPr>
        <b/>
        <sz val="10"/>
        <rFont val="Century Gothic"/>
        <family val="2"/>
      </rPr>
      <t xml:space="preserve"> </t>
    </r>
    <r>
      <rPr>
        <i/>
        <sz val="10"/>
        <rFont val="Century Gothic"/>
        <family val="2"/>
      </rPr>
      <t>Chief Secretary to the Government</t>
    </r>
  </si>
  <si>
    <t>Ketua-Ketua Pengarah, Pengarah dan Pengurus Besar Badan-Badan Berkanun</t>
  </si>
  <si>
    <t>Director General, Director and General Manager of Statutory Bodies</t>
  </si>
  <si>
    <r>
      <t>Ketua-Ketua Pengarah Jabatan Persekutuan</t>
    </r>
    <r>
      <rPr>
        <i/>
        <sz val="10"/>
        <rFont val="Century Gothic"/>
        <family val="2"/>
      </rPr>
      <t>/ Director General of Federal Departments</t>
    </r>
  </si>
  <si>
    <t xml:space="preserve"> Sumber: Bahagian Istiadat dan Urusetia Persidangan Antarabangsa, Jabatan Perdana Menteri</t>
  </si>
  <si>
    <t>Source: The Ceremonial &amp; International Conference Secretariat Division, Prime Minister's Department</t>
  </si>
  <si>
    <r>
      <rPr>
        <b/>
        <sz val="9"/>
        <rFont val="Century Gothic"/>
        <family val="2"/>
      </rPr>
      <t>Nota</t>
    </r>
    <r>
      <rPr>
        <sz val="9"/>
        <rFont val="Century Gothic"/>
        <family val="2"/>
      </rPr>
      <t xml:space="preserve">/ </t>
    </r>
    <r>
      <rPr>
        <i/>
        <sz val="9"/>
        <rFont val="Century Gothic"/>
        <family val="2"/>
      </rPr>
      <t>Notes:</t>
    </r>
  </si>
  <si>
    <t>Jadual 30.0</t>
  </si>
  <si>
    <t>Table 30.0</t>
  </si>
  <si>
    <t xml:space="preserve"> Sumber:  Jabatan Kebajikan Masyarakat</t>
  </si>
  <si>
    <t>Jadual 31.0</t>
  </si>
  <si>
    <t>Table 31.0</t>
  </si>
  <si>
    <t>Bunuh</t>
  </si>
  <si>
    <t>Rogol</t>
  </si>
  <si>
    <r>
      <rPr>
        <b/>
        <sz val="10"/>
        <color theme="1"/>
        <rFont val="Century Gothic"/>
        <family val="2"/>
      </rPr>
      <t xml:space="preserve">    Samun</t>
    </r>
    <r>
      <rPr>
        <b/>
        <vertAlign val="superscript"/>
        <sz val="10"/>
        <color theme="1"/>
        <rFont val="Century Gothic"/>
        <family val="2"/>
      </rPr>
      <t>a</t>
    </r>
  </si>
  <si>
    <t>Mencederakan</t>
  </si>
  <si>
    <t>Murder</t>
  </si>
  <si>
    <t>Raped</t>
  </si>
  <si>
    <t>Robbery</t>
  </si>
  <si>
    <t>MALAYSIA</t>
  </si>
  <si>
    <r>
      <rPr>
        <sz val="10"/>
        <rFont val="Century Gothic"/>
        <family val="2"/>
      </rPr>
      <t>Sabah</t>
    </r>
    <r>
      <rPr>
        <vertAlign val="superscript"/>
        <sz val="10"/>
        <rFont val="Century Gothic"/>
        <family val="2"/>
      </rPr>
      <t>b</t>
    </r>
  </si>
  <si>
    <r>
      <rPr>
        <sz val="10"/>
        <rFont val="Century Gothic"/>
        <family val="2"/>
      </rPr>
      <t>W.P. Kuala Lumpur</t>
    </r>
    <r>
      <rPr>
        <vertAlign val="superscript"/>
        <sz val="10"/>
        <rFont val="Century Gothic"/>
        <family val="2"/>
      </rPr>
      <t>c</t>
    </r>
  </si>
  <si>
    <r>
      <rPr>
        <b/>
        <sz val="9"/>
        <color theme="1"/>
        <rFont val="Century Gothic"/>
        <family val="2"/>
      </rPr>
      <t>Nota/</t>
    </r>
    <r>
      <rPr>
        <i/>
        <sz val="9"/>
        <color theme="1"/>
        <rFont val="Century Gothic"/>
        <family val="2"/>
      </rPr>
      <t>Notes</t>
    </r>
    <r>
      <rPr>
        <b/>
        <i/>
        <sz val="9"/>
        <color theme="1"/>
        <rFont val="Century Gothic"/>
        <family val="2"/>
      </rPr>
      <t>:</t>
    </r>
  </si>
  <si>
    <r>
      <rPr>
        <b/>
        <vertAlign val="superscript"/>
        <sz val="9"/>
        <color theme="1"/>
        <rFont val="Century Gothic"/>
        <family val="2"/>
      </rPr>
      <t>a</t>
    </r>
    <r>
      <rPr>
        <b/>
        <sz val="9"/>
        <color theme="1"/>
        <rFont val="Century Gothic"/>
        <family val="2"/>
      </rPr>
      <t xml:space="preserve"> Termasuk samun berkawan bersenjata api, samun berkawan tidak bersenjata api, samun bersenjata api dan </t>
    </r>
  </si>
  <si>
    <t xml:space="preserve">samun tidak bersenjata api </t>
  </si>
  <si>
    <r>
      <rPr>
        <b/>
        <vertAlign val="superscript"/>
        <sz val="9"/>
        <color theme="1"/>
        <rFont val="Century Gothic"/>
        <family val="2"/>
      </rPr>
      <t>b</t>
    </r>
    <r>
      <rPr>
        <b/>
        <sz val="9"/>
        <color theme="1"/>
        <rFont val="Century Gothic"/>
        <family val="2"/>
      </rPr>
      <t xml:space="preserve"> Termasuk W.P. Labuan</t>
    </r>
  </si>
  <si>
    <t xml:space="preserve">     Includes W.P. Labuan</t>
  </si>
  <si>
    <r>
      <rPr>
        <b/>
        <vertAlign val="superscript"/>
        <sz val="9"/>
        <color theme="1"/>
        <rFont val="Century Gothic"/>
        <family val="2"/>
      </rPr>
      <t xml:space="preserve">c </t>
    </r>
    <r>
      <rPr>
        <b/>
        <sz val="9"/>
        <color theme="1"/>
        <rFont val="Century Gothic"/>
        <family val="2"/>
      </rPr>
      <t>Termasuk W.P. Putrajaya</t>
    </r>
  </si>
  <si>
    <t xml:space="preserve">    Includes W.P. Putrajaya</t>
  </si>
  <si>
    <t>Jadual 31.1</t>
  </si>
  <si>
    <t>Table 31.1</t>
  </si>
  <si>
    <t xml:space="preserve">Pecah rumah dan curi           </t>
  </si>
  <si>
    <t>Kecurian kenderaan</t>
  </si>
  <si>
    <t>Kecurian lain</t>
  </si>
  <si>
    <t>Vehicles theft</t>
  </si>
  <si>
    <t>Kereta</t>
  </si>
  <si>
    <t>Motorcar</t>
  </si>
  <si>
    <t xml:space="preserve">MALAYSIA </t>
  </si>
  <si>
    <r>
      <t xml:space="preserve">Sabah </t>
    </r>
    <r>
      <rPr>
        <vertAlign val="superscript"/>
        <sz val="10"/>
        <rFont val="Century Gothic"/>
        <family val="2"/>
      </rPr>
      <t>a</t>
    </r>
  </si>
  <si>
    <r>
      <t xml:space="preserve">W.P. Kuala Lumpur </t>
    </r>
    <r>
      <rPr>
        <vertAlign val="superscript"/>
        <sz val="10"/>
        <rFont val="Century Gothic"/>
        <family val="2"/>
      </rPr>
      <t>b</t>
    </r>
  </si>
  <si>
    <r>
      <rPr>
        <b/>
        <vertAlign val="superscript"/>
        <sz val="9"/>
        <color theme="1"/>
        <rFont val="Century Gothic"/>
        <family val="2"/>
      </rPr>
      <t>a</t>
    </r>
    <r>
      <rPr>
        <b/>
        <sz val="9"/>
        <color theme="1"/>
        <rFont val="Century Gothic"/>
        <family val="2"/>
      </rPr>
      <t xml:space="preserve"> Termasuk W.P. Labuan</t>
    </r>
  </si>
  <si>
    <r>
      <rPr>
        <b/>
        <vertAlign val="superscript"/>
        <sz val="9"/>
        <color theme="1"/>
        <rFont val="Century Gothic"/>
        <family val="2"/>
      </rPr>
      <t xml:space="preserve">b </t>
    </r>
    <r>
      <rPr>
        <b/>
        <sz val="9"/>
        <color theme="1"/>
        <rFont val="Century Gothic"/>
        <family val="2"/>
      </rPr>
      <t>Termasuk W.P. Putrajaya</t>
    </r>
  </si>
  <si>
    <t>Jadual 32.0</t>
  </si>
  <si>
    <t>: Bilangan kemalangan jalan raya, kecederaan dan kematian yang dilaporkan mengikut</t>
  </si>
  <si>
    <t>Table 32.0</t>
  </si>
  <si>
    <t>Kecederaan dan Kematian</t>
  </si>
  <si>
    <t>Negeri</t>
  </si>
  <si>
    <t>Injury and Death</t>
  </si>
  <si>
    <t>State</t>
  </si>
  <si>
    <t>Sumber: Jabatan Siasatan dan Penguatkuasaan Trafik,</t>
  </si>
  <si>
    <t>Polis Diraja Malaysia</t>
  </si>
  <si>
    <t>Royal Malaysia Police</t>
  </si>
  <si>
    <t>Jadual 33.0</t>
  </si>
  <si>
    <t>: Bilangan kumulatif Orang Kurang Upaya (OKU) yang berdaftar mengikut negeri dan kategori ketidakupayaan,</t>
  </si>
  <si>
    <t>Table 33.0</t>
  </si>
  <si>
    <t xml:space="preserve">: Cumulative number of registered Persons with Disabilities (PWD) cases  by state and category of disabilities, </t>
  </si>
  <si>
    <t xml:space="preserve"> </t>
  </si>
  <si>
    <t xml:space="preserve">Selangor </t>
  </si>
  <si>
    <t xml:space="preserve">Sabah </t>
  </si>
  <si>
    <t>Telefon bimbit</t>
  </si>
  <si>
    <t>Mobile phone</t>
  </si>
  <si>
    <t>Komputer</t>
  </si>
  <si>
    <t>Computer</t>
  </si>
  <si>
    <t>Siaran TV berbayar</t>
  </si>
  <si>
    <t>Pay TV channel</t>
  </si>
  <si>
    <t>Televisyen</t>
  </si>
  <si>
    <t>Television</t>
  </si>
  <si>
    <t>Telefon talian tetap</t>
  </si>
  <si>
    <t>Fixed-line telephone</t>
  </si>
  <si>
    <t>4.</t>
  </si>
  <si>
    <t>Jadual 1.0</t>
  </si>
  <si>
    <t>Table 1.0</t>
  </si>
  <si>
    <r>
      <t xml:space="preserve">MAKLUMAT ASAS
</t>
    </r>
    <r>
      <rPr>
        <i/>
        <sz val="10"/>
        <rFont val="Century Gothic"/>
        <family val="2"/>
      </rPr>
      <t>BASIC INFORMATION</t>
    </r>
  </si>
  <si>
    <t>P.037
MARANG</t>
  </si>
  <si>
    <t>N.09
Lenggeng</t>
  </si>
  <si>
    <t>N.10
Nilai</t>
  </si>
  <si>
    <t>N.11
Lobak</t>
  </si>
  <si>
    <t>N.20
Pengkalan Berangan</t>
  </si>
  <si>
    <t>N.19
Ru Rendang</t>
  </si>
  <si>
    <t>N.18
Bukit Payung</t>
  </si>
  <si>
    <t xml:space="preserve">Land area </t>
  </si>
  <si>
    <t>Jumlah penduduk ('000)</t>
  </si>
  <si>
    <t xml:space="preserve">Total population </t>
  </si>
  <si>
    <r>
      <t>Kepadatan penduduk (per km</t>
    </r>
    <r>
      <rPr>
        <b/>
        <vertAlign val="superscript"/>
        <sz val="10"/>
        <rFont val="Century Gothic"/>
        <family val="2"/>
      </rPr>
      <t>2</t>
    </r>
    <r>
      <rPr>
        <b/>
        <sz val="10"/>
        <rFont val="Century Gothic"/>
        <family val="2"/>
      </rPr>
      <t>)</t>
    </r>
  </si>
  <si>
    <t xml:space="preserve">Population density </t>
  </si>
  <si>
    <t>Sumber: Suruhanjaya Pilihan Raya Malaysia</t>
  </si>
  <si>
    <t>Jabatan Perangkaan Malaysia</t>
  </si>
  <si>
    <t>Source: Election Commission of Malaysia</t>
  </si>
  <si>
    <t>Department of Statistics Malaysia</t>
  </si>
  <si>
    <r>
      <rPr>
        <b/>
        <vertAlign val="superscript"/>
        <sz val="9"/>
        <rFont val="Century Gothic"/>
        <family val="2"/>
      </rPr>
      <t xml:space="preserve">a </t>
    </r>
    <r>
      <rPr>
        <b/>
        <sz val="9"/>
        <rFont val="Century Gothic"/>
        <family val="2"/>
      </rPr>
      <t>Data pada pertengahan tahun</t>
    </r>
  </si>
  <si>
    <r>
      <rPr>
        <i/>
        <vertAlign val="superscript"/>
        <sz val="9"/>
        <rFont val="Century Gothic"/>
        <family val="2"/>
      </rPr>
      <t xml:space="preserve"> </t>
    </r>
    <r>
      <rPr>
        <i/>
        <sz val="9"/>
        <rFont val="Century Gothic"/>
        <family val="2"/>
      </rPr>
      <t>Data as at mid-year</t>
    </r>
  </si>
  <si>
    <t>Jadual 2.0</t>
  </si>
  <si>
    <t xml:space="preserve">  Table 2.0</t>
  </si>
  <si>
    <r>
      <t xml:space="preserve">PENDUDUK
</t>
    </r>
    <r>
      <rPr>
        <i/>
        <sz val="10"/>
        <rFont val="Century Gothic"/>
        <family val="2"/>
      </rPr>
      <t>POPULATION</t>
    </r>
  </si>
  <si>
    <r>
      <t xml:space="preserve">Jumlah/ </t>
    </r>
    <r>
      <rPr>
        <i/>
        <sz val="10"/>
        <rFont val="Century Gothic"/>
        <family val="2"/>
      </rPr>
      <t>Total</t>
    </r>
    <r>
      <rPr>
        <b/>
        <sz val="10"/>
        <rFont val="Century Gothic"/>
        <family val="2"/>
      </rPr>
      <t xml:space="preserve"> ('000)</t>
    </r>
  </si>
  <si>
    <r>
      <t xml:space="preserve">Kewarganegaraan/ </t>
    </r>
    <r>
      <rPr>
        <i/>
        <sz val="10"/>
        <rFont val="Century Gothic"/>
        <family val="2"/>
      </rPr>
      <t xml:space="preserve">Citizenship </t>
    </r>
    <r>
      <rPr>
        <sz val="10"/>
        <rFont val="Century Gothic"/>
        <family val="2"/>
      </rPr>
      <t>(%)</t>
    </r>
  </si>
  <si>
    <r>
      <t>Bukan warganegara</t>
    </r>
    <r>
      <rPr>
        <sz val="10"/>
        <rFont val="Century Gothic"/>
        <family val="2"/>
      </rPr>
      <t xml:space="preserve">/ </t>
    </r>
    <r>
      <rPr>
        <i/>
        <sz val="10"/>
        <rFont val="Century Gothic"/>
        <family val="2"/>
      </rPr>
      <t>Non-citizens</t>
    </r>
  </si>
  <si>
    <t>Purata kadar pertumbuhan penduduk tahunan (%)</t>
  </si>
  <si>
    <t xml:space="preserve">Average annual population growth rate </t>
  </si>
  <si>
    <t>Kumpulan etnik warganegara (%)</t>
  </si>
  <si>
    <t xml:space="preserve">Ethnic group of citizens </t>
  </si>
  <si>
    <t>Bumiputera</t>
  </si>
  <si>
    <r>
      <t>Cina</t>
    </r>
    <r>
      <rPr>
        <sz val="10"/>
        <rFont val="Century Gothic"/>
        <family val="2"/>
      </rPr>
      <t xml:space="preserve">/ </t>
    </r>
    <r>
      <rPr>
        <i/>
        <sz val="10"/>
        <rFont val="Century Gothic"/>
        <family val="2"/>
      </rPr>
      <t>Chinese</t>
    </r>
  </si>
  <si>
    <r>
      <t xml:space="preserve">India/ </t>
    </r>
    <r>
      <rPr>
        <i/>
        <sz val="10"/>
        <rFont val="Century Gothic"/>
        <family val="2"/>
      </rPr>
      <t>Indians</t>
    </r>
  </si>
  <si>
    <r>
      <t>Lain-lain</t>
    </r>
    <r>
      <rPr>
        <sz val="10"/>
        <rFont val="Century Gothic"/>
        <family val="2"/>
      </rPr>
      <t xml:space="preserve">/ </t>
    </r>
    <r>
      <rPr>
        <i/>
        <sz val="10"/>
        <rFont val="Century Gothic"/>
        <family val="2"/>
      </rPr>
      <t>Others</t>
    </r>
  </si>
  <si>
    <t>Struktur umur (%)</t>
  </si>
  <si>
    <t xml:space="preserve">Age structure </t>
  </si>
  <si>
    <t>Penduduk berumur 0-14  tahun</t>
  </si>
  <si>
    <t>Population aged 0-14 years</t>
  </si>
  <si>
    <t>Penduduk berumur 15-64 tahun</t>
  </si>
  <si>
    <t>Population aged 15-64 years</t>
  </si>
  <si>
    <t>Penduduk berumur 65 tahun dan lebih</t>
  </si>
  <si>
    <t>Population aged 65 years and over</t>
  </si>
  <si>
    <t>Penduduk berumur 18 tahun dan lebih</t>
  </si>
  <si>
    <t>Population aged 18 years and over</t>
  </si>
  <si>
    <t>Nisbah tanggungan</t>
  </si>
  <si>
    <t>Dependency ratio</t>
  </si>
  <si>
    <r>
      <t>Umur muda</t>
    </r>
    <r>
      <rPr>
        <sz val="10"/>
        <rFont val="Century Gothic"/>
        <family val="2"/>
      </rPr>
      <t xml:space="preserve">/ </t>
    </r>
    <r>
      <rPr>
        <i/>
        <sz val="10"/>
        <rFont val="Century Gothic"/>
        <family val="2"/>
      </rPr>
      <t>Young age</t>
    </r>
  </si>
  <si>
    <r>
      <t>Umur tua</t>
    </r>
    <r>
      <rPr>
        <sz val="10"/>
        <rFont val="Century Gothic"/>
        <family val="2"/>
      </rPr>
      <t xml:space="preserve">/ </t>
    </r>
    <r>
      <rPr>
        <i/>
        <sz val="10"/>
        <rFont val="Century Gothic"/>
        <family val="2"/>
      </rPr>
      <t>Old age</t>
    </r>
  </si>
  <si>
    <r>
      <t>Nisbah jantina/</t>
    </r>
    <r>
      <rPr>
        <i/>
        <sz val="10"/>
        <rFont val="Century Gothic"/>
        <family val="2"/>
      </rPr>
      <t xml:space="preserve"> Sex ratio</t>
    </r>
  </si>
  <si>
    <t>Jadual 2.1</t>
  </si>
  <si>
    <t xml:space="preserve">  Table 2.1</t>
  </si>
  <si>
    <t>Age structure</t>
  </si>
  <si>
    <t>Jadual 2.2</t>
  </si>
  <si>
    <t xml:space="preserve">  Table 2.2</t>
  </si>
  <si>
    <t>Jadual 2.3</t>
  </si>
  <si>
    <t>Table 2.3</t>
  </si>
  <si>
    <t>Kelahiran hidup</t>
  </si>
  <si>
    <t>Live births</t>
  </si>
  <si>
    <t>Deaths</t>
  </si>
  <si>
    <t>Jadual 3.0</t>
  </si>
  <si>
    <t xml:space="preserve">  Table 3.0</t>
  </si>
  <si>
    <r>
      <t xml:space="preserve">PERUMAHAN
</t>
    </r>
    <r>
      <rPr>
        <i/>
        <sz val="10"/>
        <rFont val="Century Gothic"/>
        <family val="2"/>
      </rPr>
      <t>HOUSING</t>
    </r>
  </si>
  <si>
    <r>
      <t>Peratusan isi rumah mengikut jenis rumah yang didiami</t>
    </r>
    <r>
      <rPr>
        <b/>
        <vertAlign val="superscript"/>
        <sz val="10"/>
        <rFont val="Century Gothic"/>
        <family val="2"/>
      </rPr>
      <t xml:space="preserve"> </t>
    </r>
    <r>
      <rPr>
        <b/>
        <sz val="10"/>
        <rFont val="Century Gothic"/>
        <family val="2"/>
      </rPr>
      <t>(%)</t>
    </r>
  </si>
  <si>
    <t>Percentage of household by type of occupied dwelling (%)</t>
  </si>
  <si>
    <r>
      <t xml:space="preserve">Dimiliki/ </t>
    </r>
    <r>
      <rPr>
        <i/>
        <sz val="10"/>
        <rFont val="Century Gothic"/>
        <family val="2"/>
      </rPr>
      <t>Owned</t>
    </r>
  </si>
  <si>
    <r>
      <t xml:space="preserve">Disewa/ </t>
    </r>
    <r>
      <rPr>
        <i/>
        <sz val="10"/>
        <rFont val="Century Gothic"/>
        <family val="2"/>
      </rPr>
      <t>Rented</t>
    </r>
  </si>
  <si>
    <r>
      <t xml:space="preserve">Kuarters/ </t>
    </r>
    <r>
      <rPr>
        <i/>
        <sz val="10"/>
        <rFont val="Century Gothic"/>
        <family val="2"/>
      </rPr>
      <t>Quarters</t>
    </r>
  </si>
  <si>
    <t>Sumber:  Jabatan Perangkaan Malaysia</t>
  </si>
  <si>
    <r>
      <t>Nota</t>
    </r>
    <r>
      <rPr>
        <sz val="9"/>
        <rFont val="Century Gothic"/>
        <family val="2"/>
      </rPr>
      <t xml:space="preserve">/ </t>
    </r>
    <r>
      <rPr>
        <i/>
        <sz val="9"/>
        <rFont val="Century Gothic"/>
        <family val="2"/>
      </rPr>
      <t>Notes:</t>
    </r>
  </si>
  <si>
    <t>Statistik terpilih perumahan ini adalah tersendiri di peringkat DUN dan bukan merupakan hasil tambah DUN</t>
  </si>
  <si>
    <t>The selected housing statistics are independent at the SLA level and are not a summation of the SLA</t>
  </si>
  <si>
    <t>Jadual 4.0</t>
  </si>
  <si>
    <t xml:space="preserve">  Table 4.0</t>
  </si>
  <si>
    <r>
      <t xml:space="preserve">GUNA TENAGA
</t>
    </r>
    <r>
      <rPr>
        <i/>
        <sz val="10"/>
        <rFont val="Century Gothic"/>
        <family val="2"/>
      </rPr>
      <t>EMPLOYMENT</t>
    </r>
  </si>
  <si>
    <t>Statistik utama tenaga buruh</t>
  </si>
  <si>
    <t>Principal statistics of labour force</t>
  </si>
  <si>
    <t>Tenaga buruh ('000)</t>
  </si>
  <si>
    <t xml:space="preserve">Labour force </t>
  </si>
  <si>
    <t>Penduduk bekerja ('000)</t>
  </si>
  <si>
    <t xml:space="preserve">Employed persons </t>
  </si>
  <si>
    <t>Penganggur ('000)</t>
  </si>
  <si>
    <t xml:space="preserve">Unemployed </t>
  </si>
  <si>
    <t xml:space="preserve">Outside labour force </t>
  </si>
  <si>
    <t>Kadar penyertaan tenaga buruh (%)</t>
  </si>
  <si>
    <t>Labour force participation rate</t>
  </si>
  <si>
    <t>Kadar pengangguran (%)</t>
  </si>
  <si>
    <t xml:space="preserve">Unemployment rate </t>
  </si>
  <si>
    <r>
      <t>Nota</t>
    </r>
    <r>
      <rPr>
        <sz val="9"/>
        <rFont val="Century Gothic"/>
        <family val="2"/>
      </rPr>
      <t xml:space="preserve">/ </t>
    </r>
    <r>
      <rPr>
        <i/>
        <sz val="9"/>
        <rFont val="Century Gothic"/>
        <family val="2"/>
      </rPr>
      <t>Note:</t>
    </r>
  </si>
  <si>
    <t>Jadual 5.0</t>
  </si>
  <si>
    <t>Table 5.0</t>
  </si>
  <si>
    <r>
      <t xml:space="preserve">PENDAPATAN ISI RUMAH
</t>
    </r>
    <r>
      <rPr>
        <i/>
        <sz val="10"/>
        <rFont val="Century Gothic"/>
        <family val="2"/>
      </rPr>
      <t>HOUSEHOLD INCOME</t>
    </r>
  </si>
  <si>
    <t>Pendapatan isi rumah kasar bulanan (RM)</t>
  </si>
  <si>
    <t xml:space="preserve">Monthly household gross income </t>
  </si>
  <si>
    <t xml:space="preserve">Penengah </t>
  </si>
  <si>
    <t>Median</t>
  </si>
  <si>
    <t xml:space="preserve">Purata </t>
  </si>
  <si>
    <t>Mean</t>
  </si>
  <si>
    <t>Perbelanjaan penggunaan isi rumah bulanan purata (RM)</t>
  </si>
  <si>
    <t xml:space="preserve">Mean monthly households consumption expenditure </t>
  </si>
  <si>
    <t>Pekali Gini dan Insiden kemiskinan</t>
  </si>
  <si>
    <t>Gini Coefficient and incidence of poverty</t>
  </si>
  <si>
    <t>Pekali Gini</t>
  </si>
  <si>
    <t>Gini Coefficient</t>
  </si>
  <si>
    <t>Jadual 6.0</t>
  </si>
  <si>
    <t xml:space="preserve">   Table 6.0</t>
  </si>
  <si>
    <r>
      <t xml:space="preserve">PENDIDIKAN
</t>
    </r>
    <r>
      <rPr>
        <i/>
        <sz val="10"/>
        <rFont val="Century Gothic"/>
        <family val="2"/>
      </rPr>
      <t>EDUCATION</t>
    </r>
  </si>
  <si>
    <r>
      <t xml:space="preserve">Sekolah kerajaan/ </t>
    </r>
    <r>
      <rPr>
        <i/>
        <sz val="10"/>
        <rFont val="Century Gothic"/>
        <family val="2"/>
      </rPr>
      <t>Government school</t>
    </r>
  </si>
  <si>
    <t>Bilangan sekolah</t>
  </si>
  <si>
    <t>Number of schools</t>
  </si>
  <si>
    <r>
      <t>Sekolah rendah</t>
    </r>
    <r>
      <rPr>
        <b/>
        <vertAlign val="superscript"/>
        <sz val="10"/>
        <rFont val="Century Gothic"/>
        <family val="2"/>
      </rPr>
      <t>a</t>
    </r>
  </si>
  <si>
    <t>Primary school</t>
  </si>
  <si>
    <r>
      <t>Sekolah menengah</t>
    </r>
    <r>
      <rPr>
        <b/>
        <vertAlign val="superscript"/>
        <sz val="10"/>
        <rFont val="Century Gothic"/>
        <family val="2"/>
      </rPr>
      <t>b</t>
    </r>
  </si>
  <si>
    <t>Secondary school</t>
  </si>
  <si>
    <t>Bilangan guru</t>
  </si>
  <si>
    <t>Number of teachers</t>
  </si>
  <si>
    <t>Sekolah rendah</t>
  </si>
  <si>
    <t>Sekolah menengah</t>
  </si>
  <si>
    <t>Bilangan murid</t>
  </si>
  <si>
    <t>Number of pupils</t>
  </si>
  <si>
    <t>Sumber: Kementerian Pendidikan Malaysia</t>
  </si>
  <si>
    <t>Source: Ministry of Education Malaysia</t>
  </si>
  <si>
    <r>
      <t xml:space="preserve"> Data as at 30</t>
    </r>
    <r>
      <rPr>
        <i/>
        <vertAlign val="superscript"/>
        <sz val="9"/>
        <rFont val="Century Gothic"/>
        <family val="2"/>
      </rPr>
      <t>th</t>
    </r>
    <r>
      <rPr>
        <i/>
        <sz val="9"/>
        <rFont val="Century Gothic"/>
        <family val="2"/>
      </rPr>
      <t xml:space="preserve"> June</t>
    </r>
  </si>
  <si>
    <t>Data termasuk sekolah bantuan kerajaan</t>
  </si>
  <si>
    <t>Data include government-aided schools</t>
  </si>
  <si>
    <t xml:space="preserve"> Primary schools include special education schools</t>
  </si>
  <si>
    <t xml:space="preserve"> Secondary schools include sports schools, arts and 'Sekolah Bimbingan Jalinan Kasih'</t>
  </si>
  <si>
    <t>Jadual 6.1</t>
  </si>
  <si>
    <t xml:space="preserve">   Table 6.1</t>
  </si>
  <si>
    <r>
      <t xml:space="preserve">PENDIDIKAN SWASTA
</t>
    </r>
    <r>
      <rPr>
        <i/>
        <sz val="10"/>
        <rFont val="Century Gothic"/>
        <family val="2"/>
      </rPr>
      <t>PRIVATE EDUCATION</t>
    </r>
  </si>
  <si>
    <r>
      <t xml:space="preserve">Sekolah swasta/ </t>
    </r>
    <r>
      <rPr>
        <i/>
        <sz val="10"/>
        <rFont val="Century Gothic"/>
        <family val="2"/>
      </rPr>
      <t>Private school</t>
    </r>
  </si>
  <si>
    <r>
      <rPr>
        <b/>
        <sz val="10"/>
        <rFont val="Century Gothic"/>
        <family val="2"/>
      </rPr>
      <t>Akademik</t>
    </r>
    <r>
      <rPr>
        <i/>
        <sz val="10"/>
        <rFont val="Century Gothic"/>
        <family val="2"/>
      </rPr>
      <t>/ Academic</t>
    </r>
  </si>
  <si>
    <r>
      <rPr>
        <b/>
        <sz val="10"/>
        <rFont val="Century Gothic"/>
        <family val="2"/>
      </rPr>
      <t>Agama</t>
    </r>
    <r>
      <rPr>
        <i/>
        <sz val="10"/>
        <rFont val="Century Gothic"/>
        <family val="2"/>
      </rPr>
      <t>/ Religious</t>
    </r>
  </si>
  <si>
    <r>
      <rPr>
        <b/>
        <sz val="10"/>
        <rFont val="Century Gothic"/>
        <family val="2"/>
      </rPr>
      <t>MP Cina</t>
    </r>
    <r>
      <rPr>
        <i/>
        <sz val="10"/>
        <rFont val="Century Gothic"/>
        <family val="2"/>
      </rPr>
      <t>/ PC Sec.</t>
    </r>
  </si>
  <si>
    <t>Sekolah Pendidikan Khas</t>
  </si>
  <si>
    <t>Sekolah Antarabangsa</t>
  </si>
  <si>
    <t>MP Cina merujuk kepada Sekolah Menengah Persendirian Cina</t>
  </si>
  <si>
    <t>PC Sec. refers to Private Chinese Secondary School</t>
  </si>
  <si>
    <t>Jadual 7.0</t>
  </si>
  <si>
    <t xml:space="preserve">  Table 7.0</t>
  </si>
  <si>
    <r>
      <t xml:space="preserve">KESIHATAN
</t>
    </r>
    <r>
      <rPr>
        <i/>
        <sz val="10"/>
        <rFont val="Century Gothic"/>
        <family val="2"/>
      </rPr>
      <t>HEALTH</t>
    </r>
  </si>
  <si>
    <t xml:space="preserve">Bilangan hospital </t>
  </si>
  <si>
    <t xml:space="preserve">Number of hospitals </t>
  </si>
  <si>
    <t>Hospital Kerajaan</t>
  </si>
  <si>
    <r>
      <t>Hospital swasta</t>
    </r>
    <r>
      <rPr>
        <b/>
        <vertAlign val="superscript"/>
        <sz val="10"/>
        <rFont val="Century Gothic"/>
        <family val="2"/>
      </rPr>
      <t>a</t>
    </r>
  </si>
  <si>
    <t>Private hospital</t>
  </si>
  <si>
    <t>Bilangan klinik kerajaan</t>
  </si>
  <si>
    <t>Number of government clinics</t>
  </si>
  <si>
    <r>
      <t>Klinik kesihatan</t>
    </r>
    <r>
      <rPr>
        <b/>
        <vertAlign val="superscript"/>
        <sz val="10"/>
        <rFont val="Century Gothic"/>
        <family val="2"/>
      </rPr>
      <t>b</t>
    </r>
  </si>
  <si>
    <t>Health clinic</t>
  </si>
  <si>
    <t>Klinik desa</t>
  </si>
  <si>
    <t>Rural clinic</t>
  </si>
  <si>
    <t>Klinik komuniti</t>
  </si>
  <si>
    <t>Community clinic</t>
  </si>
  <si>
    <r>
      <t xml:space="preserve">b </t>
    </r>
    <r>
      <rPr>
        <b/>
        <sz val="9"/>
        <rFont val="Century Gothic"/>
        <family val="2"/>
      </rPr>
      <t>Klinik kesihatan termasuk klinik kesihatan ibu dan anak</t>
    </r>
  </si>
  <si>
    <t>Health clinic includes maternal and child health clinic</t>
  </si>
  <si>
    <t>Jadual 8.0</t>
  </si>
  <si>
    <t>Table 8.0</t>
  </si>
  <si>
    <r>
      <t xml:space="preserve">KEMISKINAN
</t>
    </r>
    <r>
      <rPr>
        <i/>
        <sz val="10"/>
        <rFont val="Century Gothic"/>
        <family val="2"/>
      </rPr>
      <t>POVERTY</t>
    </r>
  </si>
  <si>
    <t>Jumlah keseluruhan</t>
  </si>
  <si>
    <t>Grand total</t>
  </si>
  <si>
    <t>Miskin tegar</t>
  </si>
  <si>
    <t>Extreme poor</t>
  </si>
  <si>
    <t>Miskin</t>
  </si>
  <si>
    <t>Poor</t>
  </si>
  <si>
    <t>Sumber: Unit Penyelarasan Pelaksanaan, Jabatan Perdana Menteri</t>
  </si>
  <si>
    <t>Source: Implementation Coordination Unit, Prime Minister's Department</t>
  </si>
  <si>
    <r>
      <t>Nota</t>
    </r>
    <r>
      <rPr>
        <sz val="9"/>
        <rFont val="Century Gothic"/>
        <family val="2"/>
      </rPr>
      <t xml:space="preserve">/ </t>
    </r>
    <r>
      <rPr>
        <i/>
        <sz val="9"/>
        <rFont val="Century Gothic"/>
        <family val="2"/>
      </rPr>
      <t>Notes</t>
    </r>
    <r>
      <rPr>
        <sz val="9"/>
        <rFont val="Century Gothic"/>
        <family val="2"/>
      </rPr>
      <t>:</t>
    </r>
  </si>
  <si>
    <t>Jadual 8.1</t>
  </si>
  <si>
    <t>: Statistik kemiskinan berdaftar dengan eKasih mengikut kumpulan etnik ketua isi rumah, Parlimen Bandar Tun Razak,</t>
  </si>
  <si>
    <t>Table 8.1</t>
  </si>
  <si>
    <r>
      <t xml:space="preserve">Cina/ </t>
    </r>
    <r>
      <rPr>
        <i/>
        <sz val="10"/>
        <rFont val="Century Gothic"/>
        <family val="2"/>
      </rPr>
      <t>Chinese</t>
    </r>
  </si>
  <si>
    <r>
      <rPr>
        <b/>
        <sz val="10"/>
        <rFont val="Century Gothic"/>
        <family val="2"/>
      </rPr>
      <t>India</t>
    </r>
    <r>
      <rPr>
        <sz val="10"/>
        <rFont val="Century Gothic"/>
        <family val="2"/>
      </rPr>
      <t xml:space="preserve">/ </t>
    </r>
    <r>
      <rPr>
        <i/>
        <sz val="10"/>
        <rFont val="Century Gothic"/>
        <family val="2"/>
      </rPr>
      <t>Indians</t>
    </r>
  </si>
  <si>
    <t>Jadual 8.2</t>
  </si>
  <si>
    <t>Table 8.2</t>
  </si>
  <si>
    <t>Islam</t>
  </si>
  <si>
    <t>Kristian</t>
  </si>
  <si>
    <t>Christianity</t>
  </si>
  <si>
    <t>Buddha</t>
  </si>
  <si>
    <t>Buddhism</t>
  </si>
  <si>
    <t>Hindu</t>
  </si>
  <si>
    <t>Hinduism</t>
  </si>
  <si>
    <t>Lain-lain agama</t>
  </si>
  <si>
    <t>Other religions</t>
  </si>
  <si>
    <t>Jadual 8.3</t>
  </si>
  <si>
    <t>Table 8.3</t>
  </si>
  <si>
    <t>0 -14 tahun</t>
  </si>
  <si>
    <t>0 -14 years</t>
  </si>
  <si>
    <t>15 - 30 tahun</t>
  </si>
  <si>
    <t>15 - 30 years</t>
  </si>
  <si>
    <t>31 - 59 tahun</t>
  </si>
  <si>
    <t>31 - 59 years</t>
  </si>
  <si>
    <t>60 tahun ke atas</t>
  </si>
  <si>
    <t>60 years and over</t>
  </si>
  <si>
    <t xml:space="preserve">Ketua Isi Rumah (KIR) ditakrifkan sebagai ahli isi rumah yang dipilih dalam kalangan penerima pendapatan utama dan bertanggungjawab terhadap ahli isi rumah lain di sesebuah tempat kediaman. KIR yang dipilih mestilah warganegara Malaysia yang berumur 15 tahun dan ke atas. Walau bagaimanapun, terdapat situasi tertentu yang membenarkan KIR yang dipilih adalah dalam kumpulan 15 tahun dan ke bawah kerana ibu bapa/ penjaga bukan warganegara </t>
  </si>
  <si>
    <t>The head of household (HOH) is defined as a member of the household who is selected among the main income recipients and is responsible to other household members in a place of residence. The HOH selected must be a Malaysian citizen aged 15 years and above. However, there are certain situations that allow the selected HOH to be in the group of 15 years and below because the parents/ guardians are not citizens</t>
  </si>
  <si>
    <t>Jadual 9.0</t>
  </si>
  <si>
    <t>Table 9.0</t>
  </si>
  <si>
    <r>
      <t xml:space="preserve">KESELAMATAN AWAM
</t>
    </r>
    <r>
      <rPr>
        <i/>
        <sz val="10"/>
        <rFont val="Century Gothic"/>
        <family val="2"/>
      </rPr>
      <t>PUBLIC SAFETY</t>
    </r>
  </si>
  <si>
    <t>Bilangan Ibu Pejabat Polis Daerah</t>
  </si>
  <si>
    <t>Number of Police District Headquarters</t>
  </si>
  <si>
    <t>Bilangan balai polis</t>
  </si>
  <si>
    <t>Number of police stations</t>
  </si>
  <si>
    <t>Fire and Rescue Department of Malaysia</t>
  </si>
  <si>
    <t>Bilangan balai bomba</t>
  </si>
  <si>
    <t>Number of fire stations</t>
  </si>
  <si>
    <t xml:space="preserve">Sumber: Polis Diraja Malaysia </t>
  </si>
  <si>
    <t>Bilangan ibu pejabat polis daerah/ balai polis/ pondok polis mungkin berbeza disebabkan oleh perbezaan persempadanan daerah pentadbiran polis dan persempadanan parlimen dan DUN</t>
  </si>
  <si>
    <t>The number of police district headquarters/ police stations/ police huts may differ due to differences in the boundaries of police administrative districts and the boundaries of parliament and SLA</t>
  </si>
  <si>
    <t>Jadual 10.0</t>
  </si>
  <si>
    <t>Table 10.0</t>
  </si>
  <si>
    <r>
      <t xml:space="preserve">INTERNET DAN MEDIA SOSIAL
</t>
    </r>
    <r>
      <rPr>
        <i/>
        <sz val="10"/>
        <rFont val="Century Gothic"/>
        <family val="2"/>
      </rPr>
      <t>INTERNET AND SOCIAL MEDIA</t>
    </r>
  </si>
  <si>
    <t>Jadual 11.0</t>
  </si>
  <si>
    <t>Table 11.0</t>
  </si>
  <si>
    <r>
      <t xml:space="preserve">KEMUDAHAN ASAS
</t>
    </r>
    <r>
      <rPr>
        <i/>
        <sz val="10"/>
        <rFont val="Century Gothic"/>
        <family val="2"/>
      </rPr>
      <t>BASIC AMENITIES</t>
    </r>
  </si>
  <si>
    <t>Jenis bekalan air (%)</t>
  </si>
  <si>
    <t xml:space="preserve">Type of water supply </t>
  </si>
  <si>
    <t>Air paip di rumah</t>
  </si>
  <si>
    <t>Piped water in the house</t>
  </si>
  <si>
    <t>Air paip awam</t>
  </si>
  <si>
    <t>Public water stand pipe</t>
  </si>
  <si>
    <t>Lain-lain</t>
  </si>
  <si>
    <t>Others</t>
  </si>
  <si>
    <t>Kemudahan bekalan elektrik (%)</t>
  </si>
  <si>
    <t xml:space="preserve">Accessibility to electricity supply </t>
  </si>
  <si>
    <r>
      <t>Kemudahan bekalan elektrik</t>
    </r>
    <r>
      <rPr>
        <b/>
        <vertAlign val="superscript"/>
        <sz val="10"/>
        <rFont val="Century Gothic"/>
        <family val="2"/>
      </rPr>
      <t>a</t>
    </r>
  </si>
  <si>
    <t>Accessible to electricity</t>
  </si>
  <si>
    <t>Tiada bekalan elektrik</t>
  </si>
  <si>
    <t>No electricity</t>
  </si>
  <si>
    <t>Kemudahan kutipan sampah (%)</t>
  </si>
  <si>
    <t>Garbage collection facility</t>
  </si>
  <si>
    <t>Tempat kediaman</t>
  </si>
  <si>
    <t>Living quarters</t>
  </si>
  <si>
    <r>
      <t>Kawasan</t>
    </r>
    <r>
      <rPr>
        <b/>
        <vertAlign val="superscript"/>
        <sz val="10"/>
        <rFont val="Century Gothic"/>
        <family val="2"/>
      </rPr>
      <t>b</t>
    </r>
  </si>
  <si>
    <t>Area</t>
  </si>
  <si>
    <t>Tiada</t>
  </si>
  <si>
    <t>None</t>
  </si>
  <si>
    <t xml:space="preserve"> Accessibility to electricity supply include supply 24 hours per day and supply less than 24 hours per day</t>
  </si>
  <si>
    <r>
      <t xml:space="preserve">b </t>
    </r>
    <r>
      <rPr>
        <b/>
        <sz val="9"/>
        <rFont val="Century Gothic"/>
        <family val="2"/>
      </rPr>
      <t>Kutipan sampah di tempat pengumpulan yang jaraknya melebihi 100 meter dari tempat kediaman</t>
    </r>
  </si>
  <si>
    <t>Jadual 12.0</t>
  </si>
  <si>
    <t>Table 12.0</t>
  </si>
  <si>
    <r>
      <t xml:space="preserve">PERTUBUHAN/ SYARIKAT PERNIAGAAN
</t>
    </r>
    <r>
      <rPr>
        <i/>
        <sz val="10"/>
        <rFont val="Century Gothic"/>
        <family val="2"/>
      </rPr>
      <t>ESTABLISHMENTS/ BUSINESSES</t>
    </r>
  </si>
  <si>
    <t>Bilangan pertubuhan/ syarikat perniagaan</t>
  </si>
  <si>
    <t>Number of establishments/ businesses</t>
  </si>
  <si>
    <t xml:space="preserve">Pertanian, perhutanan dan perikanan </t>
  </si>
  <si>
    <t xml:space="preserve">Agriculture, forestry and fishing </t>
  </si>
  <si>
    <t>Tanaman</t>
  </si>
  <si>
    <t>Crops</t>
  </si>
  <si>
    <t>Ternakan</t>
  </si>
  <si>
    <t>Livestock</t>
  </si>
  <si>
    <t>Perikanan</t>
  </si>
  <si>
    <t>Fisheries</t>
  </si>
  <si>
    <t>Perhutanan dan pembalakan</t>
  </si>
  <si>
    <t>Forestry and logging</t>
  </si>
  <si>
    <t>Perlombongan dan pengkuarian</t>
  </si>
  <si>
    <t xml:space="preserve">Mining and quarrying </t>
  </si>
  <si>
    <t xml:space="preserve">Manufacturing </t>
  </si>
  <si>
    <t>Pembinaan</t>
  </si>
  <si>
    <t xml:space="preserve">Construction </t>
  </si>
  <si>
    <t>Perkhidmatan</t>
  </si>
  <si>
    <t>Services</t>
  </si>
  <si>
    <t>Bilangan pertubuhan mungkin berbeza disebabkan oleh perbezaan persempadanan daerah pentadbiran dan persempadanan Parlimen dan DUN</t>
  </si>
  <si>
    <t>The number of establishments may differ due to differences in the boundaries of administrative districts and the boundaries of Parliament and SLA</t>
  </si>
  <si>
    <t>Jadual 12.1</t>
  </si>
  <si>
    <t>Table 12.1</t>
  </si>
  <si>
    <t>Perkhidmatan terpilih</t>
  </si>
  <si>
    <t>Selected services</t>
  </si>
  <si>
    <t>Bekalan elektrik, gas, wap dan pendingin udara</t>
  </si>
  <si>
    <t/>
  </si>
  <si>
    <t xml:space="preserve">Electricity, gas, steam and air conditioning supply </t>
  </si>
  <si>
    <t xml:space="preserve">Bekalan air; pembentungan, pengurusan sisa dan </t>
  </si>
  <si>
    <t>aktiviti pemulihan</t>
  </si>
  <si>
    <t xml:space="preserve">Water supply; sewerage, waste management and </t>
  </si>
  <si>
    <t xml:space="preserve">remediation activities </t>
  </si>
  <si>
    <t>Perdagangan borong dan runcit; pembaikan kenderaan</t>
  </si>
  <si>
    <t>bermotor dan motorsikal</t>
  </si>
  <si>
    <t>Wholesale and retail trade; repair of motor vehicles and</t>
  </si>
  <si>
    <t xml:space="preserve">motorcycles </t>
  </si>
  <si>
    <t>workshop</t>
  </si>
  <si>
    <t xml:space="preserve">Pembaikan dan penyelenggaraan motosikal/ </t>
  </si>
  <si>
    <t>bengkel motorsikal</t>
  </si>
  <si>
    <t xml:space="preserve">Repair and maintenance of motorcycles/ motorcycles </t>
  </si>
  <si>
    <t>Lain-lain aktiviti</t>
  </si>
  <si>
    <t>Other activities</t>
  </si>
  <si>
    <t>Pengangkutan dan penyimpanan</t>
  </si>
  <si>
    <t xml:space="preserve">Transportation and storage </t>
  </si>
  <si>
    <t xml:space="preserve">Penginapan dan aktiviti perkhidmatan makanan dan </t>
  </si>
  <si>
    <t>minuman</t>
  </si>
  <si>
    <t xml:space="preserve">Accommodation and food and beverage service activities </t>
  </si>
  <si>
    <t>Hotel &amp; hotel resort</t>
  </si>
  <si>
    <t>Hotel &amp; resort hotels</t>
  </si>
  <si>
    <t>Motel</t>
  </si>
  <si>
    <t>Homestay</t>
  </si>
  <si>
    <t>Gerai/ penjaja makanan</t>
  </si>
  <si>
    <t>Food stalls/ hawkers</t>
  </si>
  <si>
    <t xml:space="preserve">Makanan dan minuman, penyediaan makanan dan </t>
  </si>
  <si>
    <t>Gerai/ penjaja minuman</t>
  </si>
  <si>
    <t>Beverages stalls/ hawkers</t>
  </si>
  <si>
    <t>Restoran dan restoran yang juga kelab malam</t>
  </si>
  <si>
    <t>Restaurants and restaurant cum night clubs</t>
  </si>
  <si>
    <t>Restoran makanan segera</t>
  </si>
  <si>
    <t>Fast food restaurants</t>
  </si>
  <si>
    <t xml:space="preserve">Pendidikan dan aktiviti kesihatan kemanusiaan   </t>
  </si>
  <si>
    <t xml:space="preserve">&amp; kerja sosial </t>
  </si>
  <si>
    <t xml:space="preserve">Education and human health &amp; social work activities </t>
  </si>
  <si>
    <t>Aktiviti perkhidmatan lain</t>
  </si>
  <si>
    <t xml:space="preserve">Other service activities </t>
  </si>
  <si>
    <t>Dandanan rambut dan penjagaan kecantikan lain</t>
  </si>
  <si>
    <t>Hairdressing and other beauty treatment</t>
  </si>
  <si>
    <t>Jadual 12.2</t>
  </si>
  <si>
    <t>Table 12.2</t>
  </si>
  <si>
    <r>
      <t xml:space="preserve">PERKHIDMATAN TERPILIH 
</t>
    </r>
    <r>
      <rPr>
        <i/>
        <sz val="10"/>
        <rFont val="Century Gothic"/>
        <family val="2"/>
      </rPr>
      <t>SELECTED SERVICES</t>
    </r>
  </si>
  <si>
    <r>
      <t>Bilangan stesen minyak</t>
    </r>
    <r>
      <rPr>
        <b/>
        <vertAlign val="superscript"/>
        <sz val="10"/>
        <rFont val="Century Gothic"/>
        <family val="2"/>
      </rPr>
      <t>1</t>
    </r>
  </si>
  <si>
    <t>Number of petrol stations</t>
  </si>
  <si>
    <t>Bilangan tadika swasta</t>
  </si>
  <si>
    <t>Number of private kindergartens</t>
  </si>
  <si>
    <r>
      <t>Bilangan kedai dobi</t>
    </r>
    <r>
      <rPr>
        <b/>
        <vertAlign val="superscript"/>
        <sz val="10"/>
        <rFont val="Century Gothic"/>
        <family val="2"/>
      </rPr>
      <t>2</t>
    </r>
  </si>
  <si>
    <t>Number of laundry shops</t>
  </si>
  <si>
    <r>
      <t>Bilangan kedai runcit</t>
    </r>
    <r>
      <rPr>
        <b/>
        <vertAlign val="superscript"/>
        <sz val="10"/>
        <rFont val="Century Gothic"/>
        <family val="2"/>
      </rPr>
      <t>3</t>
    </r>
  </si>
  <si>
    <t>Number of grocery stores</t>
  </si>
  <si>
    <t>Bilangan bengkel kereta</t>
  </si>
  <si>
    <t>Number of car workshops</t>
  </si>
  <si>
    <t>Bilangan klinik gigi swasta</t>
  </si>
  <si>
    <t>Number of private dental clinics</t>
  </si>
  <si>
    <t>Bilangan farmasi</t>
  </si>
  <si>
    <t>Number of pharmacies</t>
  </si>
  <si>
    <t>6.</t>
  </si>
  <si>
    <t>Jadual 13.0</t>
  </si>
  <si>
    <t>Table 13.0</t>
  </si>
  <si>
    <r>
      <t xml:space="preserve">FASILITI AWAM 
</t>
    </r>
    <r>
      <rPr>
        <i/>
        <sz val="10"/>
        <rFont val="Century Gothic"/>
        <family val="2"/>
      </rPr>
      <t>PUBLIC FACILITIES</t>
    </r>
  </si>
  <si>
    <r>
      <t xml:space="preserve">Bilangan taman perumahan/ </t>
    </r>
    <r>
      <rPr>
        <i/>
        <sz val="10"/>
        <rFont val="Century Gothic"/>
        <family val="1"/>
      </rPr>
      <t>Number of residential housing</t>
    </r>
  </si>
  <si>
    <r>
      <rPr>
        <b/>
        <sz val="10"/>
        <rFont val="Century Gothic"/>
        <family val="1"/>
      </rPr>
      <t>1,001 - 9,999 penduduk</t>
    </r>
    <r>
      <rPr>
        <sz val="10"/>
        <rFont val="Century Gothic"/>
        <family val="1"/>
      </rPr>
      <t xml:space="preserve">/ </t>
    </r>
    <r>
      <rPr>
        <i/>
        <sz val="10"/>
        <rFont val="Century Gothic"/>
        <family val="1"/>
      </rPr>
      <t>1,001 - 9,999 population</t>
    </r>
  </si>
  <si>
    <r>
      <rPr>
        <b/>
        <sz val="10"/>
        <rFont val="Century Gothic"/>
        <family val="1"/>
      </rPr>
      <t>Lebih 10,000 penduduk</t>
    </r>
    <r>
      <rPr>
        <sz val="10"/>
        <rFont val="Century Gothic"/>
        <family val="1"/>
      </rPr>
      <t xml:space="preserve">/ </t>
    </r>
    <r>
      <rPr>
        <i/>
        <sz val="10"/>
        <rFont val="Century Gothic"/>
        <family val="1"/>
      </rPr>
      <t>More than 10,000 population</t>
    </r>
  </si>
  <si>
    <r>
      <t xml:space="preserve">Bilangan kampung/ </t>
    </r>
    <r>
      <rPr>
        <i/>
        <sz val="10"/>
        <rFont val="Century Gothic"/>
        <family val="1"/>
      </rPr>
      <t>Number of villages</t>
    </r>
  </si>
  <si>
    <r>
      <t xml:space="preserve">Bilangan dewan/ </t>
    </r>
    <r>
      <rPr>
        <i/>
        <sz val="10"/>
        <rFont val="Century Gothic"/>
        <family val="1"/>
      </rPr>
      <t>Number of halls</t>
    </r>
  </si>
  <si>
    <r>
      <rPr>
        <b/>
        <sz val="10"/>
        <rFont val="Century Gothic"/>
        <family val="1"/>
      </rPr>
      <t>1 - 200 orang</t>
    </r>
    <r>
      <rPr>
        <sz val="10"/>
        <rFont val="Century Gothic"/>
        <family val="1"/>
      </rPr>
      <t xml:space="preserve">/ </t>
    </r>
    <r>
      <rPr>
        <i/>
        <sz val="10"/>
        <rFont val="Century Gothic"/>
        <family val="1"/>
      </rPr>
      <t>1 - 200 persons</t>
    </r>
  </si>
  <si>
    <r>
      <rPr>
        <b/>
        <sz val="10"/>
        <rFont val="Century Gothic"/>
        <family val="1"/>
      </rPr>
      <t>201 - 500 orang</t>
    </r>
    <r>
      <rPr>
        <sz val="10"/>
        <rFont val="Century Gothic"/>
        <family val="1"/>
      </rPr>
      <t xml:space="preserve">/ </t>
    </r>
    <r>
      <rPr>
        <i/>
        <sz val="10"/>
        <rFont val="Century Gothic"/>
        <family val="1"/>
      </rPr>
      <t>201 - 500 persons</t>
    </r>
  </si>
  <si>
    <r>
      <rPr>
        <b/>
        <sz val="10"/>
        <rFont val="Century Gothic"/>
        <family val="1"/>
      </rPr>
      <t>Lebih 501 orang</t>
    </r>
    <r>
      <rPr>
        <sz val="10"/>
        <rFont val="Century Gothic"/>
        <family val="1"/>
      </rPr>
      <t xml:space="preserve">/ </t>
    </r>
    <r>
      <rPr>
        <i/>
        <sz val="10"/>
        <rFont val="Century Gothic"/>
        <family val="1"/>
      </rPr>
      <t>More than 501 persons</t>
    </r>
  </si>
  <si>
    <r>
      <t xml:space="preserve">Bilangan balai raya/ </t>
    </r>
    <r>
      <rPr>
        <i/>
        <sz val="10"/>
        <rFont val="Century Gothic"/>
        <family val="1"/>
      </rPr>
      <t>Number of community halls</t>
    </r>
  </si>
  <si>
    <t>Bilangan pusat kemasyarakatan</t>
  </si>
  <si>
    <t>Number of community centres</t>
  </si>
  <si>
    <r>
      <t xml:space="preserve">Bilangan taman permainan/ </t>
    </r>
    <r>
      <rPr>
        <i/>
        <sz val="10"/>
        <rFont val="Century Gothic"/>
        <family val="1"/>
      </rPr>
      <t>Number of playgrounds</t>
    </r>
  </si>
  <si>
    <r>
      <t xml:space="preserve">Bilangan padang permainan/ </t>
    </r>
    <r>
      <rPr>
        <i/>
        <sz val="10"/>
        <rFont val="Century Gothic"/>
        <family val="1"/>
      </rPr>
      <t>Number of playing fields</t>
    </r>
  </si>
  <si>
    <r>
      <t xml:space="preserve">Bilangan taman rekreasi/ </t>
    </r>
    <r>
      <rPr>
        <i/>
        <sz val="10"/>
        <rFont val="Century Gothic"/>
        <family val="1"/>
      </rPr>
      <t>Number of recreational parks</t>
    </r>
  </si>
  <si>
    <r>
      <t xml:space="preserve">Bilangan trek joging/ </t>
    </r>
    <r>
      <rPr>
        <i/>
        <sz val="10"/>
        <rFont val="Century Gothic"/>
        <family val="1"/>
      </rPr>
      <t>Number of jogging tracks</t>
    </r>
  </si>
  <si>
    <r>
      <rPr>
        <b/>
        <sz val="10"/>
        <rFont val="Century Gothic"/>
        <family val="1"/>
      </rPr>
      <t>1 - 9.99 km</t>
    </r>
    <r>
      <rPr>
        <sz val="10"/>
        <rFont val="Century Gothic"/>
        <family val="1"/>
      </rPr>
      <t xml:space="preserve">/ </t>
    </r>
    <r>
      <rPr>
        <i/>
        <sz val="10"/>
        <rFont val="Century Gothic"/>
        <family val="1"/>
      </rPr>
      <t xml:space="preserve">1- 9.99 km </t>
    </r>
  </si>
  <si>
    <r>
      <rPr>
        <b/>
        <sz val="10"/>
        <rFont val="Century Gothic"/>
        <family val="1"/>
      </rPr>
      <t>Lebih 10 km</t>
    </r>
    <r>
      <rPr>
        <sz val="10"/>
        <rFont val="Century Gothic"/>
        <family val="1"/>
      </rPr>
      <t xml:space="preserve">/ </t>
    </r>
    <r>
      <rPr>
        <i/>
        <sz val="10"/>
        <rFont val="Century Gothic"/>
        <family val="1"/>
      </rPr>
      <t>More than 10 km</t>
    </r>
  </si>
  <si>
    <r>
      <t xml:space="preserve">Bilangan trek basikal/ </t>
    </r>
    <r>
      <rPr>
        <i/>
        <sz val="10"/>
        <rFont val="Century Gothic"/>
        <family val="1"/>
      </rPr>
      <t>Number of cycling tracks</t>
    </r>
  </si>
  <si>
    <r>
      <t xml:space="preserve">Bilangan gelanggang futsal/ </t>
    </r>
    <r>
      <rPr>
        <i/>
        <sz val="10"/>
        <rFont val="Century Gothic"/>
        <family val="1"/>
      </rPr>
      <t>Number of futsal courts</t>
    </r>
  </si>
  <si>
    <r>
      <rPr>
        <b/>
        <sz val="10"/>
        <rFont val="Century Gothic"/>
        <family val="1"/>
      </rPr>
      <t>1 - 5 gelanggang futsal</t>
    </r>
    <r>
      <rPr>
        <sz val="10"/>
        <rFont val="Century Gothic"/>
        <family val="1"/>
      </rPr>
      <t xml:space="preserve">/ </t>
    </r>
    <r>
      <rPr>
        <i/>
        <sz val="10"/>
        <rFont val="Century Gothic"/>
        <family val="1"/>
      </rPr>
      <t>1- 5 futsal courts</t>
    </r>
  </si>
  <si>
    <r>
      <rPr>
        <b/>
        <sz val="10"/>
        <rFont val="Century Gothic"/>
        <family val="1"/>
      </rPr>
      <t>Lebih 6 gelanggang futsal</t>
    </r>
    <r>
      <rPr>
        <sz val="10"/>
        <rFont val="Century Gothic"/>
        <family val="1"/>
      </rPr>
      <t xml:space="preserve">/ </t>
    </r>
    <r>
      <rPr>
        <i/>
        <sz val="10"/>
        <rFont val="Century Gothic"/>
        <family val="1"/>
      </rPr>
      <t>More than 6 futsal courts</t>
    </r>
  </si>
  <si>
    <t>Bilangan gelanggang badminton</t>
  </si>
  <si>
    <t>Number of badminton courts</t>
  </si>
  <si>
    <t>1 - 5 gelanggang badminton</t>
  </si>
  <si>
    <t>1- 5 badminton courts</t>
  </si>
  <si>
    <t>Lebih 6 gelanggang badminton</t>
  </si>
  <si>
    <t>More than 6 badminton courts</t>
  </si>
  <si>
    <r>
      <t xml:space="preserve">Bilangan gimnasium/ </t>
    </r>
    <r>
      <rPr>
        <i/>
        <sz val="10"/>
        <rFont val="Century Gothic"/>
        <family val="1"/>
      </rPr>
      <t>Number of gymnasiums</t>
    </r>
  </si>
  <si>
    <r>
      <rPr>
        <b/>
        <sz val="10"/>
        <rFont val="Century Gothic"/>
        <family val="1"/>
      </rPr>
      <t>1 - 20 orang</t>
    </r>
    <r>
      <rPr>
        <sz val="10"/>
        <rFont val="Century Gothic"/>
        <family val="1"/>
      </rPr>
      <t xml:space="preserve">/ </t>
    </r>
    <r>
      <rPr>
        <i/>
        <sz val="10"/>
        <rFont val="Century Gothic"/>
        <family val="1"/>
      </rPr>
      <t>1 - 20 persons</t>
    </r>
  </si>
  <si>
    <r>
      <rPr>
        <b/>
        <sz val="10"/>
        <rFont val="Century Gothic"/>
        <family val="1"/>
      </rPr>
      <t>Lebih 21 orang</t>
    </r>
    <r>
      <rPr>
        <sz val="10"/>
        <rFont val="Century Gothic"/>
        <family val="1"/>
      </rPr>
      <t xml:space="preserve">/ </t>
    </r>
    <r>
      <rPr>
        <i/>
        <sz val="10"/>
        <rFont val="Century Gothic"/>
        <family val="1"/>
      </rPr>
      <t>More than 21 persons</t>
    </r>
  </si>
  <si>
    <r>
      <t xml:space="preserve">Bilangan padang bola/ </t>
    </r>
    <r>
      <rPr>
        <i/>
        <sz val="10"/>
        <rFont val="Century Gothic"/>
        <family val="1"/>
      </rPr>
      <t>Number of football fields</t>
    </r>
  </si>
  <si>
    <t>Bilangan padang rumput semula jadi</t>
  </si>
  <si>
    <t>Number of natural grasslands</t>
  </si>
  <si>
    <t>Bilangan padang rumput tiruan</t>
  </si>
  <si>
    <t>Number of artificial grasslands</t>
  </si>
  <si>
    <r>
      <t xml:space="preserve">Bilangan stadium/ </t>
    </r>
    <r>
      <rPr>
        <i/>
        <sz val="10"/>
        <rFont val="Century Gothic"/>
        <family val="1"/>
      </rPr>
      <t>Number of stadiums</t>
    </r>
  </si>
  <si>
    <r>
      <rPr>
        <b/>
        <sz val="10"/>
        <rFont val="Century Gothic"/>
        <family val="1"/>
      </rPr>
      <t>1 - 3,000 orang</t>
    </r>
    <r>
      <rPr>
        <sz val="10"/>
        <rFont val="Century Gothic"/>
        <family val="1"/>
      </rPr>
      <t xml:space="preserve">/ </t>
    </r>
    <r>
      <rPr>
        <i/>
        <sz val="10"/>
        <rFont val="Century Gothic"/>
        <family val="1"/>
      </rPr>
      <t>1 - 3,000 persons</t>
    </r>
  </si>
  <si>
    <r>
      <rPr>
        <b/>
        <sz val="10"/>
        <rFont val="Century Gothic"/>
        <family val="1"/>
      </rPr>
      <t>3,001 - 9,999 orang</t>
    </r>
    <r>
      <rPr>
        <sz val="10"/>
        <rFont val="Century Gothic"/>
        <family val="1"/>
      </rPr>
      <t xml:space="preserve">/ </t>
    </r>
    <r>
      <rPr>
        <i/>
        <sz val="10"/>
        <rFont val="Century Gothic"/>
        <family val="1"/>
      </rPr>
      <t>3,001 - 9,999 persons</t>
    </r>
  </si>
  <si>
    <r>
      <t>Lebih 10,000 orang</t>
    </r>
    <r>
      <rPr>
        <sz val="10"/>
        <rFont val="Century Gothic"/>
        <family val="1"/>
      </rPr>
      <t xml:space="preserve">/ </t>
    </r>
    <r>
      <rPr>
        <i/>
        <sz val="10"/>
        <rFont val="Century Gothic"/>
        <family val="1"/>
      </rPr>
      <t>More than 10,000 persons</t>
    </r>
  </si>
  <si>
    <r>
      <t xml:space="preserve">Bilangan pusat boling/ </t>
    </r>
    <r>
      <rPr>
        <i/>
        <sz val="10"/>
        <rFont val="Century Gothic"/>
        <family val="1"/>
      </rPr>
      <t>Number of bowling alleys</t>
    </r>
  </si>
  <si>
    <r>
      <rPr>
        <b/>
        <sz val="10"/>
        <rFont val="Century Gothic"/>
        <family val="1"/>
      </rPr>
      <t>1 - 20 lorong boling</t>
    </r>
    <r>
      <rPr>
        <sz val="10"/>
        <rFont val="Century Gothic"/>
        <family val="1"/>
      </rPr>
      <t xml:space="preserve">/ </t>
    </r>
    <r>
      <rPr>
        <i/>
        <sz val="10"/>
        <rFont val="Century Gothic"/>
        <family val="1"/>
      </rPr>
      <t>1 - 20 bowling lanes</t>
    </r>
  </si>
  <si>
    <r>
      <rPr>
        <b/>
        <sz val="10"/>
        <rFont val="Century Gothic"/>
        <family val="1"/>
      </rPr>
      <t>Lebih 21 lorong boling</t>
    </r>
    <r>
      <rPr>
        <sz val="10"/>
        <rFont val="Century Gothic"/>
        <family val="1"/>
      </rPr>
      <t xml:space="preserve">/ </t>
    </r>
    <r>
      <rPr>
        <i/>
        <sz val="10"/>
        <rFont val="Century Gothic"/>
        <family val="1"/>
      </rPr>
      <t>More than 21 bowling lanes</t>
    </r>
  </si>
  <si>
    <t>Estimated from public sources and will be updated after obtaining information from official sources</t>
  </si>
  <si>
    <r>
      <t xml:space="preserve">Bilangan pasar malam/ </t>
    </r>
    <r>
      <rPr>
        <i/>
        <sz val="10"/>
        <rFont val="Century Gothic"/>
        <family val="1"/>
      </rPr>
      <t>Number of night markets</t>
    </r>
  </si>
  <si>
    <r>
      <t xml:space="preserve">1 - 50 tapak jualan/ </t>
    </r>
    <r>
      <rPr>
        <i/>
        <sz val="10"/>
        <rFont val="Century Gothic"/>
        <family val="2"/>
      </rPr>
      <t>1 - 50 sales sites</t>
    </r>
  </si>
  <si>
    <r>
      <t xml:space="preserve">51 - 99 tapak jualan/ </t>
    </r>
    <r>
      <rPr>
        <i/>
        <sz val="10"/>
        <rFont val="Century Gothic"/>
        <family val="2"/>
      </rPr>
      <t>51 - 99 sales sites</t>
    </r>
  </si>
  <si>
    <r>
      <t xml:space="preserve">Lebih 100 tapak jualan/ </t>
    </r>
    <r>
      <rPr>
        <i/>
        <sz val="10"/>
        <rFont val="Century Gothic"/>
        <family val="2"/>
      </rPr>
      <t>More than 100 sales sites</t>
    </r>
  </si>
  <si>
    <r>
      <t xml:space="preserve">Bilangan pasar tani/ </t>
    </r>
    <r>
      <rPr>
        <i/>
        <sz val="10"/>
        <rFont val="Century Gothic"/>
        <family val="1"/>
      </rPr>
      <t>Number of 'pasar tani'</t>
    </r>
  </si>
  <si>
    <r>
      <t xml:space="preserve">Bilangan pasar awam/ </t>
    </r>
    <r>
      <rPr>
        <i/>
        <sz val="10"/>
        <rFont val="Century Gothic"/>
        <family val="1"/>
      </rPr>
      <t>Number of public markets</t>
    </r>
  </si>
  <si>
    <r>
      <t xml:space="preserve">1 - 50 lot/ </t>
    </r>
    <r>
      <rPr>
        <i/>
        <sz val="10"/>
        <rFont val="Century Gothic"/>
        <family val="2"/>
      </rPr>
      <t>1 - 50 lots</t>
    </r>
  </si>
  <si>
    <r>
      <t xml:space="preserve">51 - 99 lot/ </t>
    </r>
    <r>
      <rPr>
        <i/>
        <sz val="10"/>
        <rFont val="Century Gothic"/>
        <family val="2"/>
      </rPr>
      <t>51 - 99 lots</t>
    </r>
  </si>
  <si>
    <r>
      <t xml:space="preserve">Lebih 100 lot/ </t>
    </r>
    <r>
      <rPr>
        <i/>
        <sz val="10"/>
        <rFont val="Century Gothic"/>
        <family val="2"/>
      </rPr>
      <t>More than 100 lots</t>
    </r>
  </si>
  <si>
    <r>
      <t xml:space="preserve">Bilangan pusat penjaja/ </t>
    </r>
    <r>
      <rPr>
        <i/>
        <sz val="10"/>
        <rFont val="Century Gothic"/>
        <family val="1"/>
      </rPr>
      <t>Number of hawker centres</t>
    </r>
  </si>
  <si>
    <r>
      <t xml:space="preserve">1 - 20 penjaja/ </t>
    </r>
    <r>
      <rPr>
        <i/>
        <sz val="10"/>
        <rFont val="Century Gothic"/>
        <family val="2"/>
      </rPr>
      <t>1 - 20 hawkers</t>
    </r>
  </si>
  <si>
    <r>
      <t xml:space="preserve">21 - 40 penjaja/ </t>
    </r>
    <r>
      <rPr>
        <i/>
        <sz val="10"/>
        <rFont val="Century Gothic"/>
        <family val="2"/>
      </rPr>
      <t>21 - 40 hawkers</t>
    </r>
  </si>
  <si>
    <r>
      <t xml:space="preserve">Lebih 41 penjaja/ </t>
    </r>
    <r>
      <rPr>
        <i/>
        <sz val="10"/>
        <rFont val="Century Gothic"/>
        <family val="2"/>
      </rPr>
      <t>More than 41 hawkers</t>
    </r>
  </si>
  <si>
    <r>
      <t xml:space="preserve">Bilangan hentian bas/ </t>
    </r>
    <r>
      <rPr>
        <i/>
        <sz val="10"/>
        <rFont val="Century Gothic"/>
        <family val="1"/>
      </rPr>
      <t>Number of bus stops</t>
    </r>
  </si>
  <si>
    <r>
      <t xml:space="preserve">Bilangan hentian teksi/ </t>
    </r>
    <r>
      <rPr>
        <i/>
        <sz val="10"/>
        <rFont val="Century Gothic"/>
        <family val="1"/>
      </rPr>
      <t>Number of taxi stops</t>
    </r>
  </si>
  <si>
    <r>
      <t xml:space="preserve">Bilangan tandas awam/ </t>
    </r>
    <r>
      <rPr>
        <i/>
        <sz val="10"/>
        <rFont val="Century Gothic"/>
        <family val="1"/>
      </rPr>
      <t>Number of public toilets</t>
    </r>
  </si>
  <si>
    <r>
      <t xml:space="preserve">Bilangan pusat dialisis/ </t>
    </r>
    <r>
      <rPr>
        <i/>
        <sz val="10"/>
        <rFont val="Century Gothic"/>
        <family val="1"/>
      </rPr>
      <t>Number of dialysis centres</t>
    </r>
  </si>
  <si>
    <t>Bilangan pusat keagamaan</t>
  </si>
  <si>
    <t>Number of religious/ worship centres</t>
  </si>
  <si>
    <r>
      <t xml:space="preserve">Masjid/ </t>
    </r>
    <r>
      <rPr>
        <i/>
        <sz val="10"/>
        <rFont val="Century Gothic"/>
        <family val="2"/>
      </rPr>
      <t>Mosque</t>
    </r>
  </si>
  <si>
    <r>
      <t xml:space="preserve">Masjid Kerajaan/ </t>
    </r>
    <r>
      <rPr>
        <i/>
        <sz val="10"/>
        <rFont val="Century Gothic"/>
        <family val="1"/>
      </rPr>
      <t>Government Mosque</t>
    </r>
  </si>
  <si>
    <r>
      <t xml:space="preserve">Masjid Negeri/ </t>
    </r>
    <r>
      <rPr>
        <i/>
        <sz val="10"/>
        <rFont val="Century Gothic"/>
        <family val="1"/>
      </rPr>
      <t>State Mosque</t>
    </r>
  </si>
  <si>
    <r>
      <t xml:space="preserve">Masjid Daerah/ </t>
    </r>
    <r>
      <rPr>
        <i/>
        <sz val="10"/>
        <rFont val="Century Gothic"/>
        <family val="1"/>
      </rPr>
      <t>District Mosque</t>
    </r>
  </si>
  <si>
    <r>
      <t xml:space="preserve">Masjid Mukim/ </t>
    </r>
    <r>
      <rPr>
        <i/>
        <sz val="10"/>
        <rFont val="Century Gothic"/>
        <family val="1"/>
      </rPr>
      <t>Mukim Mosque</t>
    </r>
  </si>
  <si>
    <t>Surau</t>
  </si>
  <si>
    <r>
      <t xml:space="preserve">Tokong/ </t>
    </r>
    <r>
      <rPr>
        <i/>
        <sz val="10"/>
        <rFont val="Century Gothic"/>
        <family val="2"/>
      </rPr>
      <t>Chinese temple</t>
    </r>
  </si>
  <si>
    <r>
      <t xml:space="preserve">Kuil/ </t>
    </r>
    <r>
      <rPr>
        <i/>
        <sz val="10"/>
        <rFont val="Century Gothic"/>
        <family val="2"/>
      </rPr>
      <t>Hindu temple</t>
    </r>
  </si>
  <si>
    <r>
      <t xml:space="preserve">Gereja/ </t>
    </r>
    <r>
      <rPr>
        <i/>
        <sz val="10"/>
        <rFont val="Century Gothic"/>
        <family val="2"/>
      </rPr>
      <t>Church</t>
    </r>
  </si>
  <si>
    <t>Bilangan inap desa/ homestay</t>
  </si>
  <si>
    <t>Number of guest houses/ homestays</t>
  </si>
  <si>
    <r>
      <t xml:space="preserve">1 - 20 tetamu/ </t>
    </r>
    <r>
      <rPr>
        <i/>
        <sz val="10"/>
        <rFont val="Century Gothic"/>
        <family val="2"/>
      </rPr>
      <t>1 - 20 guests</t>
    </r>
  </si>
  <si>
    <r>
      <t xml:space="preserve">21 - 40 tetamu/ </t>
    </r>
    <r>
      <rPr>
        <i/>
        <sz val="10"/>
        <rFont val="Century Gothic"/>
        <family val="2"/>
      </rPr>
      <t>21 - 40 guests</t>
    </r>
  </si>
  <si>
    <r>
      <t xml:space="preserve">Lebih 41 tetamu/ </t>
    </r>
    <r>
      <rPr>
        <i/>
        <sz val="10"/>
        <rFont val="Century Gothic"/>
        <family val="2"/>
      </rPr>
      <t>More than 41 guests</t>
    </r>
  </si>
  <si>
    <t>Jadual 13.1</t>
  </si>
  <si>
    <t>Table 13.1</t>
  </si>
  <si>
    <r>
      <t xml:space="preserve">STATISTIK PERKHIDMATAN LAIN
</t>
    </r>
    <r>
      <rPr>
        <i/>
        <sz val="10"/>
        <rFont val="Century Gothic"/>
        <family val="2"/>
      </rPr>
      <t>STATISTICS OF OTHER SERVICES</t>
    </r>
  </si>
  <si>
    <t>Number of Automated Teller Machine (ATM)</t>
  </si>
  <si>
    <t>Number of recycle centers</t>
  </si>
  <si>
    <t>Jadual 13.2</t>
  </si>
  <si>
    <t>Table 13.2</t>
  </si>
  <si>
    <r>
      <t xml:space="preserve">STATISTIK KOPERASI
</t>
    </r>
    <r>
      <rPr>
        <i/>
        <sz val="10"/>
        <rFont val="Century Gothic"/>
        <family val="2"/>
      </rPr>
      <t>COOPERATIVES</t>
    </r>
    <r>
      <rPr>
        <b/>
        <sz val="10"/>
        <rFont val="Century Gothic"/>
        <family val="2"/>
      </rPr>
      <t xml:space="preserve"> </t>
    </r>
    <r>
      <rPr>
        <i/>
        <sz val="10"/>
        <rFont val="Century Gothic"/>
        <family val="2"/>
      </rPr>
      <t>STATISTICS</t>
    </r>
  </si>
  <si>
    <t>Bilangan koperasi</t>
  </si>
  <si>
    <t>Number of cooperatives</t>
  </si>
  <si>
    <t xml:space="preserve">  Data to be used with caution due to high relative standard error</t>
  </si>
  <si>
    <r>
      <t xml:space="preserve">MURID
</t>
    </r>
    <r>
      <rPr>
        <i/>
        <sz val="10"/>
        <rFont val="Century Gothic"/>
        <family val="2"/>
      </rPr>
      <t>PUPILS</t>
    </r>
  </si>
  <si>
    <r>
      <rPr>
        <b/>
        <sz val="10"/>
        <color theme="1"/>
        <rFont val="Century Gothic"/>
        <family val="1"/>
      </rPr>
      <t>Luar Tenaga Buruh ('000)</t>
    </r>
    <r>
      <rPr>
        <sz val="10"/>
        <color theme="1"/>
        <rFont val="Century Gothic"/>
        <family val="1"/>
      </rPr>
      <t xml:space="preserve">
</t>
    </r>
    <r>
      <rPr>
        <i/>
        <sz val="10"/>
        <color theme="1"/>
        <rFont val="Century Gothic"/>
        <family val="1"/>
      </rPr>
      <t>Outside Labour Force</t>
    </r>
  </si>
  <si>
    <r>
      <t xml:space="preserve">PASARAN BURUH
</t>
    </r>
    <r>
      <rPr>
        <i/>
        <sz val="10"/>
        <color theme="1"/>
        <rFont val="Century Gothic"/>
        <family val="2"/>
      </rPr>
      <t>LABOUR MARKET</t>
    </r>
  </si>
  <si>
    <t>Luar tenaga buruh ('000)</t>
  </si>
  <si>
    <r>
      <t xml:space="preserve">KELUARAN DALAM NEGERI KASAR
</t>
    </r>
    <r>
      <rPr>
        <i/>
        <sz val="10"/>
        <rFont val="Century Gothic"/>
        <family val="2"/>
      </rPr>
      <t>GROSS DOMESTIC PRODUCT</t>
    </r>
  </si>
  <si>
    <r>
      <t xml:space="preserve">KEWANGAN
</t>
    </r>
    <r>
      <rPr>
        <i/>
        <sz val="10"/>
        <rFont val="Century Gothic"/>
        <family val="2"/>
      </rPr>
      <t>FINANCE</t>
    </r>
  </si>
  <si>
    <r>
      <t xml:space="preserve">AKAUN SATELIT PELANCONGAN (ASP) 
</t>
    </r>
    <r>
      <rPr>
        <i/>
        <sz val="10"/>
        <rFont val="Century Gothic"/>
        <family val="2"/>
      </rPr>
      <t>TOURISM SATELLITE ACCOUNT (TSA)</t>
    </r>
  </si>
  <si>
    <r>
      <t xml:space="preserve">AKAUN SATELIT TEKNOLOGI MAKLUMAT &amp; KOMUNIKASI (ASTMK) 
</t>
    </r>
    <r>
      <rPr>
        <i/>
        <sz val="10"/>
        <rFont val="Century Gothic"/>
        <family val="2"/>
      </rPr>
      <t>INFORMATION AND COMMUNICATION TECHNOLOGY SATELLITE ACCOUNT (ICTSA)</t>
    </r>
  </si>
  <si>
    <r>
      <t xml:space="preserve">STOK MODAL 
</t>
    </r>
    <r>
      <rPr>
        <i/>
        <sz val="10"/>
        <rFont val="Century Gothic"/>
        <family val="2"/>
      </rPr>
      <t>CAPITAL STOCK</t>
    </r>
  </si>
  <si>
    <r>
      <t xml:space="preserve">IMBANGAN PEMBAYARAN
</t>
    </r>
    <r>
      <rPr>
        <i/>
        <sz val="10"/>
        <rFont val="Century Gothic"/>
        <family val="2"/>
      </rPr>
      <t>BALANCE OF PAYMENTS</t>
    </r>
  </si>
  <si>
    <r>
      <t xml:space="preserve">PELANCONGAN DOMESTIK
</t>
    </r>
    <r>
      <rPr>
        <i/>
        <sz val="10"/>
        <rFont val="Century Gothic"/>
        <family val="2"/>
      </rPr>
      <t>DOMESTIC TOURISM</t>
    </r>
  </si>
  <si>
    <t>INDEKS HARGA PENGGUNA DAN INFLASI</t>
  </si>
  <si>
    <t>CONSUMER PRICE INDEX AND INFLATION</t>
  </si>
  <si>
    <t>INDEKS HARGA PENGELUAR (IHPR)</t>
  </si>
  <si>
    <t>PRODUCER PRICE INDEX (PPI)</t>
  </si>
  <si>
    <r>
      <rPr>
        <b/>
        <sz val="10"/>
        <color rgb="FF000000"/>
        <rFont val="Century Gothic"/>
        <family val="2"/>
      </rPr>
      <t>Negeri</t>
    </r>
    <r>
      <rPr>
        <i/>
        <sz val="10"/>
        <color indexed="8"/>
        <rFont val="Century Gothic"/>
        <family val="2"/>
      </rPr>
      <t xml:space="preserve">
State</t>
    </r>
  </si>
  <si>
    <t>Bilangan Pusat Sebaran Maklumat</t>
  </si>
  <si>
    <t xml:space="preserve">Number of National Information </t>
  </si>
  <si>
    <t>Dissemination Centres</t>
  </si>
  <si>
    <t xml:space="preserve">  W.P. Kuala Lumpur, 2024</t>
  </si>
  <si>
    <r>
      <t xml:space="preserve">  </t>
    </r>
    <r>
      <rPr>
        <i/>
        <sz val="11"/>
        <rFont val="Century Gothic"/>
        <family val="2"/>
      </rPr>
      <t>W.P. Kuala Lumpur, 2024</t>
    </r>
  </si>
  <si>
    <t xml:space="preserve">  W.P. Kuala Lumpur, 2024, (samb.)</t>
  </si>
  <si>
    <r>
      <t xml:space="preserve">  </t>
    </r>
    <r>
      <rPr>
        <i/>
        <sz val="11"/>
        <rFont val="Century Gothic"/>
        <family val="2"/>
      </rPr>
      <t>W.P. Kuala Lumpur, 2024,</t>
    </r>
    <r>
      <rPr>
        <sz val="11"/>
        <rFont val="Century Gothic"/>
        <family val="2"/>
      </rPr>
      <t xml:space="preserve"> </t>
    </r>
    <r>
      <rPr>
        <i/>
        <sz val="11"/>
        <rFont val="Century Gothic"/>
        <family val="2"/>
      </rPr>
      <t>(cont'd)</t>
    </r>
  </si>
  <si>
    <t>Bilangan bilik darjah</t>
  </si>
  <si>
    <t>Number of classrooms</t>
  </si>
  <si>
    <r>
      <t xml:space="preserve">Bilangan stesen bas/ </t>
    </r>
    <r>
      <rPr>
        <i/>
        <sz val="10"/>
        <rFont val="Century Gothic"/>
        <family val="1"/>
      </rPr>
      <t>Number of bus stations</t>
    </r>
  </si>
  <si>
    <t>1. Tidak termasuk jawatan kosong KSU (KSM)</t>
  </si>
  <si>
    <t>2. Tidak termasuk jawatan kosong TKSU (KUSKOP), TKSU (MOD) dan TKSU (JPM)</t>
  </si>
  <si>
    <t>3. Tidak termasuk jawatan kosong KPE (MAIWP), KP (Dewan Bahasa dan Pustaka) dan KP (Lembaga Perindustrian Kayu Malaysia)</t>
  </si>
  <si>
    <r>
      <t>Ketua Setiausaha</t>
    </r>
    <r>
      <rPr>
        <i/>
        <sz val="10"/>
        <rFont val="Century Gothic"/>
        <family val="2"/>
      </rPr>
      <t>/ Secretary General</t>
    </r>
    <r>
      <rPr>
        <b/>
        <sz val="10"/>
        <rFont val="Century Gothic"/>
        <family val="2"/>
      </rPr>
      <t xml:space="preserve"> </t>
    </r>
  </si>
  <si>
    <r>
      <t>Timbalan Ketua Setiausaha</t>
    </r>
    <r>
      <rPr>
        <i/>
        <sz val="10"/>
        <rFont val="Century Gothic"/>
        <family val="2"/>
      </rPr>
      <t>/ Deputy Secretary General</t>
    </r>
    <r>
      <rPr>
        <b/>
        <sz val="10"/>
        <rFont val="Century Gothic"/>
        <family val="2"/>
      </rPr>
      <t xml:space="preserve"> </t>
    </r>
  </si>
  <si>
    <t>Number of government hospital beds</t>
  </si>
  <si>
    <t>Bilangan katil hospital kerajaan</t>
  </si>
  <si>
    <r>
      <t>a</t>
    </r>
    <r>
      <rPr>
        <b/>
        <sz val="9"/>
        <rFont val="Century Gothic"/>
        <family val="2"/>
      </rPr>
      <t xml:space="preserve"> Merujuk kepada hospital swasta, rumah rawatan, rumah bersalin &amp; hospis</t>
    </r>
  </si>
  <si>
    <t>Bilangan katil hospital swasta</t>
  </si>
  <si>
    <t>Number of private hospital beds</t>
  </si>
  <si>
    <t>Nasional (NADI)</t>
  </si>
  <si>
    <t>Number of Rural Library (PNM)</t>
  </si>
  <si>
    <t>Number of Rural Library (PAN)</t>
  </si>
  <si>
    <t>7.</t>
  </si>
  <si>
    <t xml:space="preserve">PNM merujuk kepada Perpustakaan Negara Malaysia </t>
  </si>
  <si>
    <t xml:space="preserve">PNM refer to Malaysian National Library </t>
  </si>
  <si>
    <t>PAN refer to State Public Library Corporation</t>
  </si>
  <si>
    <t>PAN merujuk kepada Perbadanan Perpustakaan Awam Negeri</t>
  </si>
  <si>
    <t>Persatuan Taman Tema &amp; Pusat Hiburan Malaysia</t>
  </si>
  <si>
    <t xml:space="preserve"> Malaysian Association of Theme Parks &amp; Family Attractions (MATFA)</t>
  </si>
  <si>
    <t>Perpustakaan Negara Malaysia</t>
  </si>
  <si>
    <t>National Library of Malaysia</t>
  </si>
  <si>
    <t>Jadual 20.0</t>
  </si>
  <si>
    <t>Jadual 22.0</t>
  </si>
  <si>
    <t xml:space="preserve">  Table 22.0</t>
  </si>
  <si>
    <t>Jadual 24.0</t>
  </si>
  <si>
    <t xml:space="preserve">  Table 24.0</t>
  </si>
  <si>
    <t xml:space="preserve">: Indeks Harga Pengeluar (IHPR) Pengeluaran Tempatan dan Perubahan Peratus Tahunan mengikut </t>
  </si>
  <si>
    <t xml:space="preserve">: Producer Price Index (PPI) Local Production and Annual Percentage Change by Sector, Malaysia, </t>
  </si>
  <si>
    <t>Jadual 34.0</t>
  </si>
  <si>
    <t>Table 34.0</t>
  </si>
  <si>
    <r>
      <rPr>
        <b/>
        <vertAlign val="superscript"/>
        <sz val="9"/>
        <rFont val="Century Gothic"/>
        <family val="2"/>
      </rPr>
      <t xml:space="preserve">a </t>
    </r>
    <r>
      <rPr>
        <b/>
        <sz val="9"/>
        <rFont val="Century Gothic"/>
        <family val="2"/>
      </rPr>
      <t>Penggunaan data secara berhati-hati kerana faktor ralat piawai relatif yang tinggi</t>
    </r>
  </si>
  <si>
    <r>
      <rPr>
        <b/>
        <vertAlign val="superscript"/>
        <sz val="9"/>
        <color theme="1"/>
        <rFont val="Century Gothic"/>
        <family val="2"/>
      </rPr>
      <t xml:space="preserve">a </t>
    </r>
    <r>
      <rPr>
        <b/>
        <sz val="9"/>
        <color theme="1"/>
        <rFont val="Century Gothic"/>
        <family val="2"/>
      </rPr>
      <t>Penggunaan data secara berhati-hati kerana faktor ralat piawai relatif yang tinggi</t>
    </r>
  </si>
  <si>
    <r>
      <rPr>
        <i/>
        <vertAlign val="superscript"/>
        <sz val="9"/>
        <color theme="1"/>
        <rFont val="Century Gothic"/>
        <family val="2"/>
      </rPr>
      <t xml:space="preserve">   </t>
    </r>
    <r>
      <rPr>
        <i/>
        <sz val="9"/>
        <color theme="1"/>
        <rFont val="Century Gothic"/>
        <family val="2"/>
      </rPr>
      <t>Data to be used with caution due to high relative standard error</t>
    </r>
  </si>
  <si>
    <t>Jadual 35.0</t>
  </si>
  <si>
    <t xml:space="preserve">  Table 35.0 </t>
  </si>
  <si>
    <t>Bilangan pondok polis</t>
  </si>
  <si>
    <t>Number of police huts</t>
  </si>
  <si>
    <r>
      <rPr>
        <b/>
        <sz val="9"/>
        <color theme="1"/>
        <rFont val="Century Gothic"/>
        <family val="2"/>
      </rPr>
      <t>Nota</t>
    </r>
    <r>
      <rPr>
        <sz val="9"/>
        <color theme="1"/>
        <rFont val="Century Gothic"/>
        <family val="2"/>
      </rPr>
      <t xml:space="preserve">/ </t>
    </r>
    <r>
      <rPr>
        <i/>
        <sz val="9"/>
        <color theme="1"/>
        <rFont val="Century Gothic"/>
        <family val="2"/>
      </rPr>
      <t>Note</t>
    </r>
    <r>
      <rPr>
        <sz val="9"/>
        <color theme="1"/>
        <rFont val="Century Gothic"/>
        <family val="2"/>
      </rPr>
      <t>:</t>
    </r>
  </si>
  <si>
    <r>
      <t xml:space="preserve">Nota/ </t>
    </r>
    <r>
      <rPr>
        <i/>
        <sz val="9"/>
        <rFont val="Century Gothic"/>
        <family val="2"/>
      </rPr>
      <t>Note:</t>
    </r>
  </si>
  <si>
    <t>: Statistik kemiskinan berdaftar dengan eKasih mengikut jantina ketua isi rumah, Parlimen Bandar Tun Razak,</t>
  </si>
  <si>
    <t xml:space="preserve">: Statistik kemiskinan berdaftar dengan eKasih mengikut agama ketua isi rumah, Parlimen Bandar Tun Razak, </t>
  </si>
  <si>
    <t xml:space="preserve">: Statistik kemiskinan berdaftar dengan eKasih mengikut kumpulan umur ketua isi rumah, Parlimen Bandar Tun Razak, </t>
  </si>
  <si>
    <t xml:space="preserve">P.037
KULIM-BANDAR
BAHARU
</t>
  </si>
  <si>
    <t>N.10
Chenderiang</t>
  </si>
  <si>
    <t>N.09
Bandar Baharu</t>
  </si>
  <si>
    <t>P.037
HANG TUAH JAYA</t>
  </si>
  <si>
    <t>N.19
Ba'kelalan</t>
  </si>
  <si>
    <t>N.18
Simanggang</t>
  </si>
  <si>
    <t>N.11
Matunggong</t>
  </si>
  <si>
    <t>P.037
Bukit Antarabangsa</t>
  </si>
  <si>
    <t>indoor kids playland, and outdoor shopping &amp; F&amp;B attractions)</t>
  </si>
  <si>
    <t>Number of theme parks and family entertainment centres</t>
  </si>
  <si>
    <t>Number of theme parks and family entertainment centres refer to (water parks, indoor theme parks, outdoor adventure parks, animal parks &amp; aquarium, museum and attractions,</t>
  </si>
  <si>
    <r>
      <rPr>
        <b/>
        <sz val="10"/>
        <color theme="1"/>
        <rFont val="Century Gothic"/>
        <family val="2"/>
      </rPr>
      <t>Ikan Kembung/</t>
    </r>
    <r>
      <rPr>
        <i/>
        <sz val="10"/>
        <color theme="1"/>
        <rFont val="Century Gothic"/>
        <family val="2"/>
      </rPr>
      <t xml:space="preserve"> Indian Mackerel (Fish)</t>
    </r>
  </si>
  <si>
    <r>
      <rPr>
        <b/>
        <sz val="10"/>
        <rFont val="Century Gothic"/>
        <family val="1"/>
      </rPr>
      <t>1 - 1,000 penduduk</t>
    </r>
    <r>
      <rPr>
        <sz val="10"/>
        <rFont val="Century Gothic"/>
        <family val="1"/>
      </rPr>
      <t xml:space="preserve">/ </t>
    </r>
    <r>
      <rPr>
        <i/>
        <sz val="10"/>
        <rFont val="Century Gothic"/>
        <family val="1"/>
      </rPr>
      <t>1 - 1,000 population</t>
    </r>
  </si>
  <si>
    <r>
      <rPr>
        <b/>
        <vertAlign val="superscript"/>
        <sz val="9"/>
        <rFont val="Century Gothic"/>
        <family val="2"/>
      </rPr>
      <t xml:space="preserve">a </t>
    </r>
    <r>
      <rPr>
        <b/>
        <sz val="9"/>
        <rFont val="Century Gothic"/>
        <family val="2"/>
      </rPr>
      <t>Kemudahan bekalan elektrik termasuk dibekalkan 24 jam sehari dan dibekalkan kurang dari 24 jam sehari</t>
    </r>
  </si>
  <si>
    <r>
      <rPr>
        <i/>
        <vertAlign val="superscript"/>
        <sz val="9"/>
        <rFont val="Century Gothic"/>
        <family val="2"/>
      </rPr>
      <t xml:space="preserve"> </t>
    </r>
    <r>
      <rPr>
        <i/>
        <sz val="9"/>
        <rFont val="Century Gothic"/>
        <family val="2"/>
      </rPr>
      <t>Garbage collection in the collection area where the distance is more than 100 metres away from the living quarters</t>
    </r>
  </si>
  <si>
    <t>Insiden kemiskinan mutlak (%)</t>
  </si>
  <si>
    <t xml:space="preserve">Incidence of absolute poverty </t>
  </si>
  <si>
    <t>minuman di dalam gerai/ penjaja</t>
  </si>
  <si>
    <t>the stall/ hawker</t>
  </si>
  <si>
    <t xml:space="preserve">Financial &amp; insurances/ takaful activities, real estate activities, </t>
  </si>
  <si>
    <t>aktiviti profesional, aktiviti pentadbiran dan kesenian</t>
  </si>
  <si>
    <t xml:space="preserve">Aktiviti kewangan &amp; insuran/ takaful, aktiviti hartanah, </t>
  </si>
  <si>
    <t>professional activities, administrative activities and arts</t>
  </si>
  <si>
    <r>
      <t>Pesuruhjaya Kehakiman Mahkamah Tinggi</t>
    </r>
    <r>
      <rPr>
        <sz val="10"/>
        <rFont val="Century Gothic"/>
        <family val="2"/>
      </rPr>
      <t xml:space="preserve">/ </t>
    </r>
    <r>
      <rPr>
        <i/>
        <sz val="10"/>
        <rFont val="Century Gothic"/>
        <family val="2"/>
      </rPr>
      <t>Judicial Commissioners of the High Courts</t>
    </r>
  </si>
  <si>
    <r>
      <rPr>
        <b/>
        <sz val="10"/>
        <color theme="1"/>
        <rFont val="Century Gothic"/>
        <family val="1"/>
      </rPr>
      <t>Purata Gaji &amp; Upah Bulanan Siswazah Bekerja (RM)</t>
    </r>
    <r>
      <rPr>
        <sz val="10"/>
        <color theme="1"/>
        <rFont val="Century Gothic"/>
        <family val="1"/>
      </rPr>
      <t xml:space="preserve">
</t>
    </r>
    <r>
      <rPr>
        <i/>
        <sz val="10"/>
        <color theme="1"/>
        <rFont val="Century Gothic"/>
        <family val="2"/>
      </rPr>
      <t>Mean</t>
    </r>
    <r>
      <rPr>
        <i/>
        <sz val="10"/>
        <color theme="1"/>
        <rFont val="Century Gothic"/>
        <family val="1"/>
      </rPr>
      <t xml:space="preserve"> Monthly Salaries &amp; Wages of Employed Graduates</t>
    </r>
  </si>
  <si>
    <t>ICT Contribution to economy (GVAICT, e-commerce)</t>
  </si>
  <si>
    <t xml:space="preserve">Employment in the ICT Industry </t>
  </si>
  <si>
    <t xml:space="preserve"> Employment in the ICT Industry</t>
  </si>
  <si>
    <r>
      <rPr>
        <b/>
        <sz val="10"/>
        <color theme="1"/>
        <rFont val="Century Gothic"/>
        <family val="2"/>
      </rPr>
      <t>Negeri/ Kontinjen</t>
    </r>
    <r>
      <rPr>
        <sz val="10"/>
        <color theme="1"/>
        <rFont val="Century Gothic"/>
        <family val="2"/>
      </rPr>
      <t xml:space="preserve">           </t>
    </r>
  </si>
  <si>
    <t>State/ Contingent</t>
  </si>
  <si>
    <t xml:space="preserve">    Excludes KSU (KSM) vacancies</t>
  </si>
  <si>
    <t xml:space="preserve">    Excludes TKSU (KUSKOP), TKSU (MOD) and TKSU (JPM) vacancies</t>
  </si>
  <si>
    <t xml:space="preserve">    Excludes KPE (MAIWP), KP (Institute of Language and Literature) and KP (Malaysian Timber Industry Board) vacancies</t>
  </si>
  <si>
    <t xml:space="preserve">4. Tidak termasuk jawatan kosong KPPA, Ketua Hakim Syarie, KP (Jabatan Warisan Negara), KP (GIACC), KP (Jabatan Protokol KLN), KP (NAHRIM),
    KP (ILKAP), KP (Lembaga Perlesenan Tenaga Atom), KP (Jabatan Kerja Raya), KP (Jabatan Kimia Malaysia) dan KP (RTM)  </t>
  </si>
  <si>
    <t xml:space="preserve">    Excludes KPPA, Syarie Chief Justice, KP (Department of National Heritage), KP (GIACC), KP (Protocol and Consular Department KLN), KP (NAHRIM), KP (ILKAP),
    KP (Atomic Energy Licensing Board), KP (Public Works Department), KP (Department of Chemistry Malaysia) and KP (RTM) vacancies </t>
  </si>
  <si>
    <t>Exports of ICT Products</t>
  </si>
  <si>
    <t>Imports of ICT Products</t>
  </si>
  <si>
    <r>
      <rPr>
        <b/>
        <sz val="10"/>
        <rFont val="Century Gothic"/>
        <family val="2"/>
      </rPr>
      <t>Negeri/ Kontinjen</t>
    </r>
    <r>
      <rPr>
        <i/>
        <sz val="10"/>
        <rFont val="Century Gothic"/>
        <family val="2"/>
      </rPr>
      <t xml:space="preserve">         </t>
    </r>
  </si>
  <si>
    <t>Sekolah kerajaan &amp; bantuan kerajaan</t>
  </si>
  <si>
    <t xml:space="preserve">Tadika, sekolah rendah dan menengah swasta
</t>
  </si>
  <si>
    <t>Government school &amp; government aid</t>
  </si>
  <si>
    <t>Private kindergarten, primary and secondary school</t>
  </si>
  <si>
    <r>
      <rPr>
        <b/>
        <sz val="10"/>
        <rFont val="Century Gothic"/>
        <family val="2"/>
      </rPr>
      <t xml:space="preserve">Perkhidmatan dan peralatan ICT (%)  </t>
    </r>
    <r>
      <rPr>
        <sz val="10"/>
        <rFont val="Century Gothic"/>
        <family val="2"/>
      </rPr>
      <t xml:space="preserve">                     
</t>
    </r>
    <r>
      <rPr>
        <i/>
        <sz val="10"/>
        <rFont val="Century Gothic"/>
        <family val="2"/>
      </rPr>
      <t>ICT services and equipment</t>
    </r>
    <r>
      <rPr>
        <sz val="10"/>
        <rFont val="Century Gothic"/>
        <family val="2"/>
      </rPr>
      <t xml:space="preserve"> (%)</t>
    </r>
  </si>
  <si>
    <t>Taiwan</t>
  </si>
  <si>
    <r>
      <rPr>
        <b/>
        <i/>
        <sz val="10"/>
        <rFont val="Century Gothic"/>
        <family val="2"/>
      </rPr>
      <t>5 Rakan Dagangan Utama (Jumlah Dagangan)</t>
    </r>
    <r>
      <rPr>
        <i/>
        <sz val="10"/>
        <rFont val="Century Gothic"/>
        <family val="2"/>
      </rPr>
      <t xml:space="preserve">
Top 5 Trading Partners (Total Trade)</t>
    </r>
  </si>
  <si>
    <r>
      <rPr>
        <b/>
        <sz val="10"/>
        <rFont val="Century Gothic"/>
        <family val="2"/>
      </rPr>
      <t>Keluaran petroleum bertapis</t>
    </r>
    <r>
      <rPr>
        <sz val="10"/>
        <rFont val="Century Gothic"/>
        <family val="2"/>
      </rPr>
      <t xml:space="preserve">/ </t>
    </r>
    <r>
      <rPr>
        <i/>
        <sz val="10"/>
        <rFont val="Century Gothic"/>
        <family val="2"/>
      </rPr>
      <t>Refined petroleum products</t>
    </r>
  </si>
  <si>
    <r>
      <rPr>
        <b/>
        <sz val="10"/>
        <rFont val="Century Gothic"/>
        <family val="2"/>
      </rPr>
      <t>Produk elektrik &amp; elektronik</t>
    </r>
    <r>
      <rPr>
        <sz val="10"/>
        <rFont val="Century Gothic"/>
        <family val="2"/>
      </rPr>
      <t xml:space="preserve">/ </t>
    </r>
    <r>
      <rPr>
        <i/>
        <sz val="10"/>
        <rFont val="Century Gothic"/>
        <family val="2"/>
      </rPr>
      <t>E&amp;E products</t>
    </r>
  </si>
  <si>
    <t>by of Selected Major Products:</t>
  </si>
  <si>
    <r>
      <rPr>
        <b/>
        <sz val="10"/>
        <rFont val="Century Gothic"/>
        <family val="2"/>
      </rPr>
      <t>Lain-lain</t>
    </r>
    <r>
      <rPr>
        <sz val="10"/>
        <rFont val="Century Gothic"/>
        <family val="2"/>
      </rPr>
      <t xml:space="preserve">/ </t>
    </r>
    <r>
      <rPr>
        <i/>
        <sz val="10"/>
        <rFont val="Century Gothic"/>
        <family val="2"/>
      </rPr>
      <t>Others</t>
    </r>
  </si>
  <si>
    <t>Palm oil &amp; palm oil-based products</t>
  </si>
  <si>
    <r>
      <rPr>
        <b/>
        <sz val="10"/>
        <rFont val="Century Gothic"/>
        <family val="2"/>
      </rPr>
      <t>Minyak sawit &amp; produk berasaskan minyak sawit</t>
    </r>
    <r>
      <rPr>
        <sz val="10"/>
        <rFont val="Century Gothic"/>
        <family val="2"/>
      </rPr>
      <t>/</t>
    </r>
  </si>
  <si>
    <r>
      <t xml:space="preserve">Pertumbuhan tahunan (%)
 </t>
    </r>
    <r>
      <rPr>
        <i/>
        <sz val="10"/>
        <rFont val="Century Gothic"/>
        <family val="2"/>
      </rPr>
      <t>Annual Growth (%)</t>
    </r>
  </si>
  <si>
    <r>
      <rPr>
        <b/>
        <sz val="10"/>
        <rFont val="Century Gothic"/>
        <family val="2"/>
      </rPr>
      <t>Petroleum mentah</t>
    </r>
    <r>
      <rPr>
        <sz val="10"/>
        <rFont val="Century Gothic"/>
        <family val="2"/>
      </rPr>
      <t xml:space="preserve">/ </t>
    </r>
    <r>
      <rPr>
        <i/>
        <sz val="10"/>
        <rFont val="Century Gothic"/>
        <family val="2"/>
      </rPr>
      <t>Crude petroleum</t>
    </r>
  </si>
  <si>
    <r>
      <t>mengikut Produk Utama Terpilih</t>
    </r>
    <r>
      <rPr>
        <sz val="10"/>
        <rFont val="Century Gothic"/>
        <family val="2"/>
      </rPr>
      <t>/</t>
    </r>
  </si>
  <si>
    <r>
      <rPr>
        <b/>
        <sz val="10"/>
        <rFont val="Century Gothic"/>
        <family val="2"/>
      </rPr>
      <t>Barangan Moda</t>
    </r>
    <r>
      <rPr>
        <sz val="10"/>
        <rFont val="Century Gothic"/>
        <family val="2"/>
      </rPr>
      <t xml:space="preserve">l/ </t>
    </r>
    <r>
      <rPr>
        <i/>
        <sz val="10"/>
        <rFont val="Century Gothic"/>
        <family val="2"/>
      </rPr>
      <t>Capital Goods</t>
    </r>
  </si>
  <si>
    <r>
      <t>menggunakan Penggunaan Akhir</t>
    </r>
    <r>
      <rPr>
        <sz val="10"/>
        <rFont val="Century Gothic"/>
        <family val="2"/>
      </rPr>
      <t xml:space="preserve">/ </t>
    </r>
    <r>
      <rPr>
        <i/>
        <sz val="10"/>
        <rFont val="Century Gothic"/>
        <family val="2"/>
      </rPr>
      <t>by End Use:</t>
    </r>
  </si>
  <si>
    <r>
      <rPr>
        <b/>
        <sz val="10"/>
        <rFont val="Century Gothic"/>
        <family val="2"/>
      </rPr>
      <t>Pembuatan</t>
    </r>
    <r>
      <rPr>
        <sz val="10"/>
        <rFont val="Century Gothic"/>
        <family val="2"/>
      </rPr>
      <t xml:space="preserve">/ </t>
    </r>
    <r>
      <rPr>
        <i/>
        <sz val="10"/>
        <rFont val="Century Gothic"/>
        <family val="2"/>
      </rPr>
      <t>Manufacturing</t>
    </r>
  </si>
  <si>
    <r>
      <rPr>
        <b/>
        <sz val="10"/>
        <rFont val="Century Gothic"/>
        <family val="2"/>
      </rPr>
      <t>Perlombongan</t>
    </r>
    <r>
      <rPr>
        <sz val="10"/>
        <rFont val="Century Gothic"/>
        <family val="2"/>
      </rPr>
      <t xml:space="preserve">/ </t>
    </r>
    <r>
      <rPr>
        <i/>
        <sz val="10"/>
        <rFont val="Century Gothic"/>
        <family val="2"/>
      </rPr>
      <t>Mining</t>
    </r>
  </si>
  <si>
    <r>
      <rPr>
        <b/>
        <sz val="10"/>
        <rFont val="Century Gothic"/>
        <family val="2"/>
      </rPr>
      <t>Pertanian</t>
    </r>
    <r>
      <rPr>
        <sz val="10"/>
        <rFont val="Century Gothic"/>
        <family val="2"/>
      </rPr>
      <t xml:space="preserve">/ </t>
    </r>
    <r>
      <rPr>
        <i/>
        <sz val="10"/>
        <rFont val="Century Gothic"/>
        <family val="2"/>
      </rPr>
      <t>Agriculture</t>
    </r>
  </si>
  <si>
    <t>Table 20.0</t>
  </si>
  <si>
    <r>
      <rPr>
        <b/>
        <sz val="10"/>
        <color theme="1"/>
        <rFont val="Century Gothic"/>
        <family val="2"/>
      </rPr>
      <t>Epal Merah/</t>
    </r>
    <r>
      <rPr>
        <i/>
        <sz val="10"/>
        <color theme="1"/>
        <rFont val="Century Gothic"/>
        <family val="2"/>
      </rPr>
      <t xml:space="preserve"> Apple Red </t>
    </r>
  </si>
  <si>
    <t>205 ml bot</t>
  </si>
  <si>
    <t>3 L bot</t>
  </si>
  <si>
    <r>
      <t>20 gulung/</t>
    </r>
    <r>
      <rPr>
        <i/>
        <sz val="10"/>
        <color theme="1"/>
        <rFont val="Century Gothic"/>
        <family val="2"/>
      </rPr>
      <t xml:space="preserve"> rolls</t>
    </r>
  </si>
  <si>
    <r>
      <t xml:space="preserve">1 pek 3, 70 gm/ </t>
    </r>
    <r>
      <rPr>
        <i/>
        <sz val="10"/>
        <color theme="1"/>
        <rFont val="Century Gothic"/>
        <family val="2"/>
      </rPr>
      <t>pack of 3</t>
    </r>
  </si>
  <si>
    <t>250 ml bot</t>
  </si>
  <si>
    <t>Bilangan Kecederaan Pekerjaan</t>
  </si>
  <si>
    <t>Kadar Kecederaan Pekerjaan (setiap 1,000 pekerja)</t>
  </si>
  <si>
    <t>Occupational Injury Rate (per 1,000 workers)</t>
  </si>
  <si>
    <r>
      <t xml:space="preserve">KECEDERAAN PEKERJAAN
</t>
    </r>
    <r>
      <rPr>
        <i/>
        <sz val="10"/>
        <rFont val="Century Gothic"/>
        <family val="2"/>
      </rPr>
      <t>OCCUPATIONAL</t>
    </r>
    <r>
      <rPr>
        <b/>
        <sz val="10"/>
        <rFont val="Century Gothic"/>
        <family val="2"/>
      </rPr>
      <t xml:space="preserve"> </t>
    </r>
    <r>
      <rPr>
        <i/>
        <sz val="10"/>
        <rFont val="Century Gothic"/>
        <family val="2"/>
      </rPr>
      <t xml:space="preserve">INJURY </t>
    </r>
  </si>
  <si>
    <t xml:space="preserve">Number of occupational Injury </t>
  </si>
  <si>
    <r>
      <rPr>
        <b/>
        <sz val="9"/>
        <rFont val="Century Gothic"/>
        <family val="2"/>
      </rPr>
      <t>Nota</t>
    </r>
    <r>
      <rPr>
        <sz val="9"/>
        <rFont val="Century Gothic"/>
        <family val="2"/>
      </rPr>
      <t xml:space="preserve">/ </t>
    </r>
    <r>
      <rPr>
        <i/>
        <sz val="9"/>
        <rFont val="Century Gothic"/>
        <family val="2"/>
      </rPr>
      <t>Notes</t>
    </r>
    <r>
      <rPr>
        <sz val="9"/>
        <rFont val="Century Gothic"/>
        <family val="2"/>
      </rPr>
      <t>:</t>
    </r>
  </si>
  <si>
    <t xml:space="preserve">Data pada 30 Jun </t>
  </si>
  <si>
    <r>
      <t xml:space="preserve"> Data as at 30</t>
    </r>
    <r>
      <rPr>
        <i/>
        <vertAlign val="superscript"/>
        <sz val="9"/>
        <rFont val="Century Gothic"/>
        <family val="2"/>
      </rPr>
      <t>th</t>
    </r>
    <r>
      <rPr>
        <i/>
        <sz val="9"/>
        <rFont val="Century Gothic"/>
        <family val="2"/>
      </rPr>
      <t xml:space="preserve"> June </t>
    </r>
  </si>
  <si>
    <t>Terdapat 0.9 peratus kekosongan di Dewan Rakyat pada 2021</t>
  </si>
  <si>
    <t>There was 0.9 per cent vacancy in House of Representatives in 2021</t>
  </si>
  <si>
    <t>Anggaran Penduduk Semasa berasaskan Banci Penduduk dan Perumahan 2020</t>
  </si>
  <si>
    <t>Current Population Estimates based on the 2020 Population and Housing Census</t>
  </si>
  <si>
    <t>Hasil tambah mungkin berbeza disebabkan oleh pembundaran</t>
  </si>
  <si>
    <t>Data OKU W.P. Putrajaya termasuk dalam W.P. Kuala Lumpur</t>
  </si>
  <si>
    <t>OKU data of W.P. Putrajaya is included in W.P. Kuala Lumpur</t>
  </si>
  <si>
    <t>Insurans &amp; Perkhidmatan Kewangan</t>
  </si>
  <si>
    <t>Insurance &amp; Financial Services</t>
  </si>
  <si>
    <t>Jumlah pemilih</t>
  </si>
  <si>
    <t>Total number of electorat</t>
  </si>
  <si>
    <t>PRU-14</t>
  </si>
  <si>
    <t>PRU-15</t>
  </si>
  <si>
    <t>Jumlah undian oleh pemilih</t>
  </si>
  <si>
    <t>Total number of votes by electors</t>
  </si>
  <si>
    <r>
      <rPr>
        <b/>
        <sz val="10"/>
        <color theme="1"/>
        <rFont val="Century Gothic"/>
        <family val="2"/>
      </rPr>
      <t>Sawi Jepun</t>
    </r>
    <r>
      <rPr>
        <i/>
        <sz val="10"/>
        <color theme="1"/>
        <rFont val="Century Gothic"/>
        <family val="2"/>
      </rPr>
      <t>/ Siew Pak Choy *</t>
    </r>
  </si>
  <si>
    <r>
      <rPr>
        <b/>
        <sz val="10"/>
        <color theme="1"/>
        <rFont val="Century Gothic"/>
        <family val="2"/>
      </rPr>
      <t>Tembikai Susu/</t>
    </r>
    <r>
      <rPr>
        <i/>
        <sz val="10"/>
        <color theme="1"/>
        <rFont val="Century Gothic"/>
        <family val="2"/>
      </rPr>
      <t xml:space="preserve"> (Honeydew) *</t>
    </r>
  </si>
  <si>
    <r>
      <rPr>
        <b/>
        <sz val="10"/>
        <color theme="1"/>
        <rFont val="Century Gothic"/>
        <family val="2"/>
      </rPr>
      <t>Air Mineral/</t>
    </r>
    <r>
      <rPr>
        <i/>
        <sz val="10"/>
        <color theme="1"/>
        <rFont val="Century Gothic"/>
        <family val="2"/>
      </rPr>
      <t xml:space="preserve"> Mineral Water *</t>
    </r>
  </si>
  <si>
    <t>* Item baharu bermula Januari 2024</t>
  </si>
  <si>
    <t xml:space="preserve">    New item starting January 2024</t>
  </si>
  <si>
    <t>** Perubahan spesifikasi item bermula Januari 2024</t>
  </si>
  <si>
    <t xml:space="preserve">     Change in the specification of item starting January 2024</t>
  </si>
  <si>
    <r>
      <rPr>
        <b/>
        <sz val="10"/>
        <color theme="1"/>
        <rFont val="Century Gothic"/>
        <family val="2"/>
      </rPr>
      <t xml:space="preserve">Televisyen Warna, Full HD 40"-43"/ </t>
    </r>
    <r>
      <rPr>
        <i/>
        <sz val="10"/>
        <color theme="1"/>
        <rFont val="Century Gothic"/>
        <family val="2"/>
      </rPr>
      <t>TV Colour, 40”-43" Full HD **</t>
    </r>
  </si>
  <si>
    <t>Dried Mee, Sweet Soy Sauce,Mayonnaise, Alcoholic Beverages and Mosquito Repellent</t>
  </si>
  <si>
    <r>
      <rPr>
        <b/>
        <sz val="10"/>
        <color theme="1"/>
        <rFont val="Century Gothic"/>
        <family val="2"/>
      </rPr>
      <t>Kicap Kacang Soya, manis/</t>
    </r>
    <r>
      <rPr>
        <i/>
        <sz val="10"/>
        <color theme="1"/>
        <rFont val="Century Gothic"/>
        <family val="2"/>
      </rPr>
      <t xml:space="preserve"> Sweet Soy Sauce</t>
    </r>
  </si>
  <si>
    <r>
      <rPr>
        <b/>
        <sz val="10"/>
        <color theme="1"/>
        <rFont val="Century Gothic"/>
        <family val="2"/>
      </rPr>
      <t xml:space="preserve">Mayonis/ </t>
    </r>
    <r>
      <rPr>
        <i/>
        <sz val="10"/>
        <color theme="1"/>
        <rFont val="Century Gothic"/>
        <family val="2"/>
      </rPr>
      <t>Mayonnaise **</t>
    </r>
  </si>
  <si>
    <r>
      <rPr>
        <b/>
        <sz val="10"/>
        <color theme="1"/>
        <rFont val="Century Gothic"/>
        <family val="2"/>
      </rPr>
      <t xml:space="preserve">Pelembut Fabrik/ </t>
    </r>
    <r>
      <rPr>
        <i/>
        <sz val="10"/>
        <color theme="1"/>
        <rFont val="Century Gothic"/>
        <family val="2"/>
      </rPr>
      <t>Fabric Softener **</t>
    </r>
  </si>
  <si>
    <r>
      <t xml:space="preserve">sebatang/ </t>
    </r>
    <r>
      <rPr>
        <i/>
        <sz val="10"/>
        <color theme="1"/>
        <rFont val="Century Gothic"/>
        <family val="2"/>
      </rPr>
      <t>each</t>
    </r>
  </si>
  <si>
    <r>
      <rPr>
        <b/>
        <sz val="10"/>
        <color theme="1"/>
        <rFont val="Century Gothic"/>
        <family val="2"/>
      </rPr>
      <t>Tisu Tandas/</t>
    </r>
    <r>
      <rPr>
        <i/>
        <sz val="10"/>
        <color theme="1"/>
        <rFont val="Century Gothic"/>
        <family val="2"/>
      </rPr>
      <t xml:space="preserve"> Toilet Paper **</t>
    </r>
  </si>
  <si>
    <r>
      <rPr>
        <b/>
        <sz val="10"/>
        <color theme="1"/>
        <rFont val="Century Gothic"/>
        <family val="2"/>
      </rPr>
      <t>Sabun Mandi/</t>
    </r>
    <r>
      <rPr>
        <i/>
        <sz val="10"/>
        <color theme="1"/>
        <rFont val="Century Gothic"/>
        <family val="2"/>
      </rPr>
      <t xml:space="preserve"> Shower Cream **</t>
    </r>
  </si>
  <si>
    <t>Bilangan klinik swasta</t>
  </si>
  <si>
    <t>Number of private clinics</t>
  </si>
  <si>
    <r>
      <rPr>
        <b/>
        <sz val="10"/>
        <color theme="1"/>
        <rFont val="Century Gothic"/>
        <family val="1"/>
      </rPr>
      <t>Prestasi Malaysia dalam Buku Daya Saing Dunia 2025</t>
    </r>
    <r>
      <rPr>
        <sz val="10"/>
        <color theme="1"/>
        <rFont val="Century Gothic"/>
        <family val="1"/>
      </rPr>
      <t xml:space="preserve">
</t>
    </r>
    <r>
      <rPr>
        <i/>
        <sz val="10"/>
        <color theme="1"/>
        <rFont val="Century Gothic"/>
        <family val="1"/>
      </rPr>
      <t>Malaysia's Performance in the World Competitiveness Yearbook 2025</t>
    </r>
  </si>
  <si>
    <r>
      <t>Luas kawasan (km</t>
    </r>
    <r>
      <rPr>
        <b/>
        <vertAlign val="superscript"/>
        <sz val="10"/>
        <rFont val="Century Gothic"/>
        <family val="2"/>
      </rPr>
      <t>2</t>
    </r>
    <r>
      <rPr>
        <b/>
        <sz val="10"/>
        <rFont val="Century Gothic"/>
        <family val="2"/>
      </rPr>
      <t>)</t>
    </r>
  </si>
  <si>
    <r>
      <t>Jumlah penduduk ('000)</t>
    </r>
    <r>
      <rPr>
        <b/>
        <vertAlign val="superscript"/>
        <sz val="10"/>
        <rFont val="Century Gothic"/>
        <family val="2"/>
      </rPr>
      <t>a</t>
    </r>
  </si>
  <si>
    <t>The total may different due to rounding</t>
  </si>
  <si>
    <r>
      <t xml:space="preserve">Perempuan/ </t>
    </r>
    <r>
      <rPr>
        <i/>
        <sz val="10"/>
        <rFont val="Century Gothic"/>
        <family val="2"/>
      </rPr>
      <t>Female</t>
    </r>
    <r>
      <rPr>
        <b/>
        <i/>
        <sz val="10"/>
        <rFont val="Century Gothic"/>
        <family val="2"/>
      </rPr>
      <t xml:space="preserve"> </t>
    </r>
  </si>
  <si>
    <t xml:space="preserve">PGK merujuk kepada Pendapatan Garis Kemiskinan </t>
  </si>
  <si>
    <t xml:space="preserve">PGK refers to the Poverty Line Income </t>
  </si>
  <si>
    <t>: Statistics of poverty registered with eKasih by sex of head of household, Parliament of Bandar Tun Razak,</t>
  </si>
  <si>
    <t xml:space="preserve">: Statistics of poverty registered with eKasih by ethnic group of head of household, Parliament of Bandar Tun Razak, </t>
  </si>
  <si>
    <t>: Statistics of poverty registered with eKasih by religion of head of household, Parliament of Bandar Tun Razak,</t>
  </si>
  <si>
    <t xml:space="preserve">: Statistics of poverty registered with eKasih by age group of head of household, Parliament of Bandar Tun Razak, </t>
  </si>
  <si>
    <t>: Statistik pendapatan isi rumah, Parlimen Bandar Tun Razak, W.P. Kuala Lumpur, 2022 dan 2024</t>
  </si>
  <si>
    <t>: Statistics of household income, Parliament of Bandar Tun Razak, W.P. Kuala Lumpur, 2022 and 2024</t>
  </si>
  <si>
    <t>Bilangan sesi sekolah, 1 sesi</t>
  </si>
  <si>
    <t>Bilangan sesi sekolah, 2 sesi</t>
  </si>
  <si>
    <t>Number of school sessions, 2 sessions</t>
  </si>
  <si>
    <r>
      <t xml:space="preserve">Eksport/ </t>
    </r>
    <r>
      <rPr>
        <i/>
        <sz val="10"/>
        <rFont val="Century Gothic"/>
        <family val="2"/>
      </rPr>
      <t>Exports</t>
    </r>
  </si>
  <si>
    <r>
      <t xml:space="preserve">Jumlah Dagangan/ </t>
    </r>
    <r>
      <rPr>
        <i/>
        <sz val="10"/>
        <rFont val="Century Gothic"/>
        <family val="2"/>
      </rPr>
      <t>Total Trade</t>
    </r>
  </si>
  <si>
    <r>
      <t xml:space="preserve">Imbangan Dagangan/ </t>
    </r>
    <r>
      <rPr>
        <i/>
        <sz val="10"/>
        <rFont val="Century Gothic"/>
        <family val="2"/>
      </rPr>
      <t>Balance of Trade</t>
    </r>
  </si>
  <si>
    <t>Singapore</t>
  </si>
  <si>
    <t>United States</t>
  </si>
  <si>
    <t>European Union</t>
  </si>
  <si>
    <t>Nasi Lemak</t>
  </si>
  <si>
    <t>Roti Canai</t>
  </si>
  <si>
    <t>Teh Tarik</t>
  </si>
  <si>
    <t>Kopi-O</t>
  </si>
  <si>
    <t>Teh-O</t>
  </si>
  <si>
    <t>Milo</t>
  </si>
  <si>
    <r>
      <t>Jantina</t>
    </r>
    <r>
      <rPr>
        <sz val="10"/>
        <rFont val="Century Gothic"/>
        <family val="2"/>
      </rPr>
      <t xml:space="preserve">/ </t>
    </r>
    <r>
      <rPr>
        <i/>
        <sz val="10"/>
        <rFont val="Century Gothic"/>
        <family val="2"/>
      </rPr>
      <t>Sex</t>
    </r>
  </si>
  <si>
    <t>: Pendapatan, perbelanjaan dan kemiskinan, Malaysia, 2022 dan 2024</t>
  </si>
  <si>
    <t>: Income, expenditure and poverty, Malaysia, 2022 and 2024</t>
  </si>
  <si>
    <t>Other thefts</t>
  </si>
  <si>
    <t>Bilangan Perpustakaan Desa (PNM)</t>
  </si>
  <si>
    <t>Bilangan Perpustakaan Desa (PAN)</t>
  </si>
  <si>
    <t>Household Income and Expenditure Survey (HIES) is carried out twice in five years and the latest available data are for 2024</t>
  </si>
  <si>
    <t xml:space="preserve">Survei Pendapatan dan Perbelanjaan Isi Rumah dijalankan dua kali dalam tempoh lima tahun dan data terkini adalah bagi tahun 2024 </t>
  </si>
  <si>
    <t xml:space="preserve">Indikator yang disediakan mengikut Parlimen bagi tahun 2024 dianggarkan berdasarkan kepada data Survei Pendapatan, Perbelanjaan Isi Rumah dan Kemudahan Asas (HIES/BA) 2024. Ralat piawaian relatif bagi Parlimen tertentu adalah tinggi dan perlu ditafsir dengan berhati-hati </t>
  </si>
  <si>
    <t>The indicators prepared by Parliament for 2024 are estimated based on the Household  Income, Expenditure and Basic Amenities (HIES/BA) Survey 2024 data. These data should be used with caution due to high relative standard errors for certain Parliament constituencies</t>
  </si>
  <si>
    <r>
      <rPr>
        <b/>
        <sz val="10"/>
        <color theme="1"/>
        <rFont val="Century Gothic"/>
        <family val="1"/>
      </rPr>
      <t>Perubahan Peratusan Tahunan Produktivti Buruh, Nilai Ditambah 
per Jam Pekerja</t>
    </r>
    <r>
      <rPr>
        <b/>
        <sz val="10"/>
        <color theme="1"/>
        <rFont val="Century Gothic"/>
        <family val="2"/>
      </rPr>
      <t xml:space="preserve"> (%)</t>
    </r>
    <r>
      <rPr>
        <sz val="10"/>
        <color theme="1"/>
        <rFont val="Century Gothic"/>
        <family val="1"/>
      </rPr>
      <t xml:space="preserve">
</t>
    </r>
    <r>
      <rPr>
        <i/>
        <sz val="10"/>
        <color theme="1"/>
        <rFont val="Century Gothic"/>
        <family val="1"/>
      </rPr>
      <t>Annual Percentage Change of</t>
    </r>
    <r>
      <rPr>
        <sz val="10"/>
        <color theme="1"/>
        <rFont val="Century Gothic"/>
        <family val="1"/>
      </rPr>
      <t xml:space="preserve"> </t>
    </r>
    <r>
      <rPr>
        <i/>
        <sz val="10"/>
        <color theme="1"/>
        <rFont val="Century Gothic"/>
        <family val="1"/>
      </rPr>
      <t>Labour Productivity, Value Added per Hour Worked</t>
    </r>
  </si>
  <si>
    <t xml:space="preserve">Bilangan taman tema dan pusat hiburan keluarga merujuk kepada (taman tema air, taman tema dalaman, taman pengembaraan luar, taman binatang &amp; akuarium, muzium dan tarikan, </t>
  </si>
  <si>
    <r>
      <t xml:space="preserve">Pertanian/ </t>
    </r>
    <r>
      <rPr>
        <i/>
        <sz val="10"/>
        <color theme="1"/>
        <rFont val="Century Gothic"/>
        <family val="2"/>
      </rPr>
      <t>Agriculture</t>
    </r>
  </si>
  <si>
    <r>
      <t xml:space="preserve">Perlombongan dan pengkuarian/ </t>
    </r>
    <r>
      <rPr>
        <i/>
        <sz val="10"/>
        <color theme="1"/>
        <rFont val="Century Gothic"/>
        <family val="2"/>
      </rPr>
      <t>Mining and quarrying</t>
    </r>
  </si>
  <si>
    <r>
      <t xml:space="preserve">Pembuatan/ </t>
    </r>
    <r>
      <rPr>
        <i/>
        <sz val="10"/>
        <color theme="1"/>
        <rFont val="Century Gothic"/>
        <family val="2"/>
      </rPr>
      <t>Manufacturing</t>
    </r>
  </si>
  <si>
    <r>
      <t xml:space="preserve">Pembinaan/ </t>
    </r>
    <r>
      <rPr>
        <i/>
        <sz val="10"/>
        <color theme="1"/>
        <rFont val="Century Gothic"/>
        <family val="2"/>
      </rPr>
      <t>Construction</t>
    </r>
  </si>
  <si>
    <r>
      <t xml:space="preserve">Perkhidmatan/ </t>
    </r>
    <r>
      <rPr>
        <i/>
        <sz val="10"/>
        <color theme="1"/>
        <rFont val="Century Gothic"/>
        <family val="2"/>
      </rPr>
      <t>Services</t>
    </r>
  </si>
  <si>
    <r>
      <t xml:space="preserve">tambah Duti import/ </t>
    </r>
    <r>
      <rPr>
        <i/>
        <sz val="10"/>
        <color theme="1"/>
        <rFont val="Century Gothic"/>
        <family val="2"/>
      </rPr>
      <t>plus Import duties</t>
    </r>
  </si>
  <si>
    <r>
      <rPr>
        <b/>
        <sz val="10"/>
        <rFont val="Century Gothic"/>
        <family val="2"/>
      </rPr>
      <t>Hasil</t>
    </r>
    <r>
      <rPr>
        <sz val="10"/>
        <rFont val="Century Gothic"/>
        <family val="2"/>
      </rPr>
      <t xml:space="preserve">/ </t>
    </r>
    <r>
      <rPr>
        <i/>
        <sz val="10"/>
        <rFont val="Century Gothic"/>
        <family val="2"/>
      </rPr>
      <t>Revenue</t>
    </r>
  </si>
  <si>
    <r>
      <rPr>
        <b/>
        <sz val="10"/>
        <rFont val="Century Gothic"/>
        <family val="2"/>
      </rPr>
      <t>Perbelanjaan mengurus</t>
    </r>
    <r>
      <rPr>
        <sz val="10"/>
        <rFont val="Century Gothic"/>
        <family val="2"/>
      </rPr>
      <t xml:space="preserve">/ </t>
    </r>
    <r>
      <rPr>
        <i/>
        <sz val="10"/>
        <rFont val="Century Gothic"/>
        <family val="2"/>
      </rPr>
      <t>Operating expenditure</t>
    </r>
  </si>
  <si>
    <r>
      <rPr>
        <b/>
        <sz val="10"/>
        <rFont val="Century Gothic"/>
        <family val="2"/>
      </rPr>
      <t>Baki semasa</t>
    </r>
    <r>
      <rPr>
        <sz val="10"/>
        <rFont val="Century Gothic"/>
        <family val="2"/>
      </rPr>
      <t xml:space="preserve">/ </t>
    </r>
    <r>
      <rPr>
        <i/>
        <sz val="10"/>
        <rFont val="Century Gothic"/>
        <family val="2"/>
      </rPr>
      <t>Current balance</t>
    </r>
  </si>
  <si>
    <r>
      <rPr>
        <b/>
        <sz val="10"/>
        <rFont val="Century Gothic"/>
        <family val="2"/>
      </rPr>
      <t>Kumpulan Wang COVID-19</t>
    </r>
    <r>
      <rPr>
        <sz val="10"/>
        <rFont val="Century Gothic"/>
        <family val="2"/>
      </rPr>
      <t xml:space="preserve">/ </t>
    </r>
    <r>
      <rPr>
        <i/>
        <sz val="10"/>
        <rFont val="Century Gothic"/>
        <family val="2"/>
      </rPr>
      <t>COVID-19 Fund</t>
    </r>
  </si>
  <si>
    <r>
      <rPr>
        <b/>
        <sz val="10"/>
        <rFont val="Century Gothic"/>
        <family val="2"/>
      </rPr>
      <t>Baki keseluruhan</t>
    </r>
    <r>
      <rPr>
        <sz val="10"/>
        <rFont val="Century Gothic"/>
        <family val="2"/>
      </rPr>
      <t xml:space="preserve">/ </t>
    </r>
    <r>
      <rPr>
        <i/>
        <sz val="10"/>
        <rFont val="Century Gothic"/>
        <family val="2"/>
      </rPr>
      <t>Overall balance</t>
    </r>
  </si>
  <si>
    <r>
      <rPr>
        <b/>
        <sz val="10"/>
        <rFont val="Century Gothic"/>
        <family val="2"/>
      </rPr>
      <t>Cukai Pendapatan Individu</t>
    </r>
    <r>
      <rPr>
        <sz val="10"/>
        <rFont val="Century Gothic"/>
        <family val="2"/>
      </rPr>
      <t xml:space="preserve">/ </t>
    </r>
    <r>
      <rPr>
        <i/>
        <sz val="10"/>
        <rFont val="Century Gothic"/>
        <family val="2"/>
      </rPr>
      <t>Individual Income Tax</t>
    </r>
  </si>
  <si>
    <r>
      <rPr>
        <b/>
        <sz val="10"/>
        <rFont val="Century Gothic"/>
        <family val="2"/>
      </rPr>
      <t>Cukai Pendapatan Syarikat</t>
    </r>
    <r>
      <rPr>
        <sz val="10"/>
        <rFont val="Century Gothic"/>
        <family val="2"/>
      </rPr>
      <t xml:space="preserve">/ </t>
    </r>
    <r>
      <rPr>
        <i/>
        <sz val="10"/>
        <rFont val="Century Gothic"/>
        <family val="2"/>
      </rPr>
      <t>Companies Income Tax</t>
    </r>
  </si>
  <si>
    <r>
      <rPr>
        <b/>
        <sz val="10"/>
        <rFont val="Century Gothic"/>
        <family val="2"/>
      </rPr>
      <t>Cukai Pendapatan Petroleum</t>
    </r>
    <r>
      <rPr>
        <sz val="10"/>
        <rFont val="Century Gothic"/>
        <family val="2"/>
      </rPr>
      <t xml:space="preserve">/ </t>
    </r>
    <r>
      <rPr>
        <i/>
        <sz val="10"/>
        <rFont val="Century Gothic"/>
        <family val="2"/>
      </rPr>
      <t>Petroleum Income Tax</t>
    </r>
  </si>
  <si>
    <r>
      <rPr>
        <b/>
        <sz val="10"/>
        <rFont val="Century Gothic"/>
        <family val="2"/>
      </rPr>
      <t>Cukai Pendapatan Koperasi</t>
    </r>
    <r>
      <rPr>
        <sz val="10"/>
        <rFont val="Century Gothic"/>
        <family val="2"/>
      </rPr>
      <t xml:space="preserve">/ </t>
    </r>
    <r>
      <rPr>
        <i/>
        <sz val="10"/>
        <rFont val="Century Gothic"/>
        <family val="2"/>
      </rPr>
      <t>Coorperatives Income Tax</t>
    </r>
  </si>
  <si>
    <r>
      <rPr>
        <b/>
        <sz val="10"/>
        <rFont val="Century Gothic"/>
        <family val="2"/>
      </rPr>
      <t>Cukai Pegangan</t>
    </r>
    <r>
      <rPr>
        <sz val="10"/>
        <rFont val="Century Gothic"/>
        <family val="2"/>
      </rPr>
      <t>/</t>
    </r>
    <r>
      <rPr>
        <i/>
        <sz val="10"/>
        <rFont val="Century Gothic"/>
        <family val="2"/>
      </rPr>
      <t xml:space="preserve"> Withholding Tax</t>
    </r>
  </si>
  <si>
    <r>
      <rPr>
        <b/>
        <sz val="10"/>
        <rFont val="Century Gothic"/>
        <family val="2"/>
      </rPr>
      <t>Duti Eksais</t>
    </r>
    <r>
      <rPr>
        <sz val="10"/>
        <rFont val="Century Gothic"/>
        <family val="2"/>
      </rPr>
      <t xml:space="preserve">/ </t>
    </r>
    <r>
      <rPr>
        <i/>
        <sz val="10"/>
        <rFont val="Century Gothic"/>
        <family val="2"/>
      </rPr>
      <t>Excise Duties</t>
    </r>
  </si>
  <si>
    <r>
      <rPr>
        <b/>
        <sz val="10"/>
        <rFont val="Century Gothic"/>
        <family val="2"/>
      </rPr>
      <t>Duti Import</t>
    </r>
    <r>
      <rPr>
        <sz val="10"/>
        <rFont val="Century Gothic"/>
        <family val="2"/>
      </rPr>
      <t>/</t>
    </r>
    <r>
      <rPr>
        <i/>
        <sz val="10"/>
        <rFont val="Century Gothic"/>
        <family val="2"/>
      </rPr>
      <t xml:space="preserve"> Import Duty</t>
    </r>
  </si>
  <si>
    <r>
      <rPr>
        <b/>
        <sz val="10"/>
        <rFont val="Century Gothic"/>
        <family val="2"/>
      </rPr>
      <t>Duti Eksport</t>
    </r>
    <r>
      <rPr>
        <sz val="10"/>
        <rFont val="Century Gothic"/>
        <family val="2"/>
      </rPr>
      <t xml:space="preserve">/ </t>
    </r>
    <r>
      <rPr>
        <i/>
        <sz val="10"/>
        <rFont val="Century Gothic"/>
        <family val="2"/>
      </rPr>
      <t>Export Duty</t>
    </r>
  </si>
  <si>
    <r>
      <rPr>
        <b/>
        <sz val="10"/>
        <rFont val="Century Gothic"/>
        <family val="2"/>
      </rPr>
      <t>% KDNK</t>
    </r>
    <r>
      <rPr>
        <sz val="10"/>
        <rFont val="Century Gothic"/>
        <family val="2"/>
      </rPr>
      <t xml:space="preserve">/ </t>
    </r>
    <r>
      <rPr>
        <i/>
        <sz val="10"/>
        <rFont val="Century Gothic"/>
        <family val="2"/>
      </rPr>
      <t>% of GDP</t>
    </r>
  </si>
  <si>
    <r>
      <rPr>
        <b/>
        <sz val="10"/>
        <rFont val="Century Gothic"/>
        <family val="2"/>
      </rPr>
      <t>Jumlah cukai langsung</t>
    </r>
    <r>
      <rPr>
        <sz val="10"/>
        <rFont val="Century Gothic"/>
        <family val="2"/>
      </rPr>
      <t xml:space="preserve">/ </t>
    </r>
    <r>
      <rPr>
        <i/>
        <sz val="10"/>
        <rFont val="Century Gothic"/>
        <family val="2"/>
      </rPr>
      <t>Total direct tax</t>
    </r>
  </si>
  <si>
    <r>
      <rPr>
        <b/>
        <sz val="10"/>
        <rFont val="Century Gothic"/>
        <family val="2"/>
      </rPr>
      <t>Lesen dan permit</t>
    </r>
    <r>
      <rPr>
        <sz val="10"/>
        <rFont val="Century Gothic"/>
        <family val="2"/>
      </rPr>
      <t>/</t>
    </r>
    <r>
      <rPr>
        <i/>
        <sz val="10"/>
        <rFont val="Century Gothic"/>
        <family val="2"/>
      </rPr>
      <t xml:space="preserve"> Licenses and permits</t>
    </r>
  </si>
  <si>
    <r>
      <rPr>
        <b/>
        <sz val="10"/>
        <rFont val="Century Gothic"/>
        <family val="2"/>
      </rPr>
      <t>Pendapatan pelaburan</t>
    </r>
    <r>
      <rPr>
        <sz val="10"/>
        <rFont val="Century Gothic"/>
        <family val="2"/>
      </rPr>
      <t xml:space="preserve">/ </t>
    </r>
    <r>
      <rPr>
        <i/>
        <sz val="10"/>
        <rFont val="Century Gothic"/>
        <family val="2"/>
      </rPr>
      <t>Investment income</t>
    </r>
  </si>
  <si>
    <r>
      <rPr>
        <b/>
        <sz val="10"/>
        <rFont val="Century Gothic"/>
        <family val="2"/>
      </rPr>
      <t xml:space="preserve">Akaun Semasa/ </t>
    </r>
    <r>
      <rPr>
        <i/>
        <sz val="10"/>
        <rFont val="Century Gothic"/>
        <family val="2"/>
      </rPr>
      <t>Current Account</t>
    </r>
  </si>
  <si>
    <r>
      <rPr>
        <b/>
        <sz val="10"/>
        <rFont val="Century Gothic"/>
        <family val="2"/>
      </rPr>
      <t>Barangan</t>
    </r>
    <r>
      <rPr>
        <sz val="10"/>
        <rFont val="Century Gothic"/>
        <family val="2"/>
      </rPr>
      <t xml:space="preserve">/ </t>
    </r>
    <r>
      <rPr>
        <i/>
        <sz val="10"/>
        <rFont val="Century Gothic"/>
        <family val="2"/>
      </rPr>
      <t>Goods</t>
    </r>
  </si>
  <si>
    <r>
      <rPr>
        <b/>
        <sz val="10"/>
        <rFont val="Century Gothic"/>
        <family val="2"/>
      </rPr>
      <t>Perkhidmatan</t>
    </r>
    <r>
      <rPr>
        <sz val="10"/>
        <rFont val="Century Gothic"/>
        <family val="2"/>
      </rPr>
      <t xml:space="preserve">/ </t>
    </r>
    <r>
      <rPr>
        <i/>
        <sz val="10"/>
        <rFont val="Century Gothic"/>
        <family val="2"/>
      </rPr>
      <t>Services</t>
    </r>
  </si>
  <si>
    <r>
      <rPr>
        <b/>
        <sz val="10"/>
        <rFont val="Century Gothic"/>
        <family val="2"/>
      </rPr>
      <t>Pendapatan primer</t>
    </r>
    <r>
      <rPr>
        <sz val="10"/>
        <rFont val="Century Gothic"/>
        <family val="2"/>
      </rPr>
      <t xml:space="preserve">/ </t>
    </r>
    <r>
      <rPr>
        <i/>
        <sz val="10"/>
        <rFont val="Century Gothic"/>
        <family val="2"/>
      </rPr>
      <t>Primary income</t>
    </r>
  </si>
  <si>
    <r>
      <rPr>
        <b/>
        <sz val="10"/>
        <rFont val="Century Gothic"/>
        <family val="2"/>
      </rPr>
      <t>Pendapatan sekunder</t>
    </r>
    <r>
      <rPr>
        <sz val="10"/>
        <rFont val="Century Gothic"/>
        <family val="2"/>
      </rPr>
      <t xml:space="preserve">/ </t>
    </r>
    <r>
      <rPr>
        <i/>
        <sz val="10"/>
        <rFont val="Century Gothic"/>
        <family val="2"/>
      </rPr>
      <t>Secondary income</t>
    </r>
  </si>
  <si>
    <r>
      <t xml:space="preserve">Akaun Modal/ </t>
    </r>
    <r>
      <rPr>
        <i/>
        <sz val="10"/>
        <rFont val="Century Gothic"/>
        <family val="2"/>
      </rPr>
      <t>Capital Account</t>
    </r>
  </si>
  <si>
    <r>
      <t xml:space="preserve">Akaun Kewangan/ </t>
    </r>
    <r>
      <rPr>
        <i/>
        <sz val="10"/>
        <rFont val="Century Gothic"/>
        <family val="2"/>
      </rPr>
      <t>Financial Account</t>
    </r>
  </si>
  <si>
    <r>
      <t xml:space="preserve">Pelaburan Langsung/ </t>
    </r>
    <r>
      <rPr>
        <i/>
        <sz val="10"/>
        <rFont val="Century Gothic"/>
        <family val="2"/>
      </rPr>
      <t>Direct Investment</t>
    </r>
  </si>
  <si>
    <r>
      <rPr>
        <b/>
        <sz val="10"/>
        <rFont val="Century Gothic"/>
        <family val="2"/>
      </rPr>
      <t>Pelaburan Langsung di Luar Negeri</t>
    </r>
    <r>
      <rPr>
        <sz val="10"/>
        <rFont val="Century Gothic"/>
        <family val="2"/>
      </rPr>
      <t xml:space="preserve">/ </t>
    </r>
    <r>
      <rPr>
        <i/>
        <sz val="10"/>
        <rFont val="Century Gothic"/>
        <family val="2"/>
      </rPr>
      <t>Direct Investment Abroad</t>
    </r>
  </si>
  <si>
    <r>
      <rPr>
        <b/>
        <sz val="10"/>
        <rFont val="Century Gothic"/>
        <family val="2"/>
      </rPr>
      <t>Pelaburan Langsung Asing di Malaysia</t>
    </r>
    <r>
      <rPr>
        <sz val="10"/>
        <rFont val="Century Gothic"/>
        <family val="2"/>
      </rPr>
      <t xml:space="preserve">/ </t>
    </r>
    <r>
      <rPr>
        <i/>
        <sz val="10"/>
        <rFont val="Century Gothic"/>
        <family val="2"/>
      </rPr>
      <t>Foreign Direct Investment</t>
    </r>
  </si>
  <si>
    <r>
      <t>mengikut sektor</t>
    </r>
    <r>
      <rPr>
        <sz val="10"/>
        <rFont val="Century Gothic"/>
        <family val="2"/>
      </rPr>
      <t xml:space="preserve">/ </t>
    </r>
    <r>
      <rPr>
        <i/>
        <sz val="10"/>
        <rFont val="Century Gothic"/>
        <family val="2"/>
      </rPr>
      <t>by sector:</t>
    </r>
  </si>
  <si>
    <r>
      <t xml:space="preserve">Import/ </t>
    </r>
    <r>
      <rPr>
        <i/>
        <sz val="10"/>
        <rFont val="Century Gothic"/>
        <family val="2"/>
      </rPr>
      <t>Imports</t>
    </r>
  </si>
  <si>
    <r>
      <t>Import tertangguh</t>
    </r>
    <r>
      <rPr>
        <sz val="10"/>
        <rFont val="Century Gothic"/>
        <family val="2"/>
      </rPr>
      <t xml:space="preserve">/ </t>
    </r>
    <r>
      <rPr>
        <i/>
        <sz val="10"/>
        <rFont val="Century Gothic"/>
        <family val="2"/>
      </rPr>
      <t>Retain import</t>
    </r>
  </si>
  <si>
    <t xml:space="preserve">  </t>
  </si>
  <si>
    <r>
      <t>Malaysia's 15</t>
    </r>
    <r>
      <rPr>
        <i/>
        <vertAlign val="superscript"/>
        <sz val="9"/>
        <rFont val="Century Gothic"/>
        <family val="2"/>
      </rPr>
      <t>th</t>
    </r>
    <r>
      <rPr>
        <i/>
        <sz val="9"/>
        <rFont val="Century Gothic"/>
        <family val="2"/>
      </rPr>
      <t xml:space="preserve"> General Election (GE-15) was held on 19 November 2022 to elect members of the Dewan Rakyat in the 15</t>
    </r>
    <r>
      <rPr>
        <i/>
        <vertAlign val="superscript"/>
        <sz val="9"/>
        <rFont val="Century Gothic"/>
        <family val="2"/>
      </rPr>
      <t>th</t>
    </r>
    <r>
      <rPr>
        <i/>
        <sz val="9"/>
        <rFont val="Century Gothic"/>
        <family val="2"/>
      </rPr>
      <t xml:space="preserve"> Parliament of Malaysia, while the 14</t>
    </r>
    <r>
      <rPr>
        <i/>
        <vertAlign val="superscript"/>
        <sz val="9"/>
        <rFont val="Century Gothic"/>
        <family val="2"/>
      </rPr>
      <t>th</t>
    </r>
    <r>
      <rPr>
        <i/>
        <sz val="9"/>
        <rFont val="Century Gothic"/>
        <family val="2"/>
      </rPr>
      <t xml:space="preserve"> General Election (GE-14) took place on 9 May 2018</t>
    </r>
  </si>
  <si>
    <t>Pilihan Raya Umum Malaysia ke-15 (PRU-15) diadakan pada 19 November 2022 untuk memilih anggota Dewan Rakyat di Parlimen Malaysia ke-15 manakala Pilihan Raya Umum Malaysia ke-14 (PRU-14) diadakan pada 9 Mei 2018</t>
  </si>
  <si>
    <t>Nota/ Notes:</t>
  </si>
  <si>
    <t>Number of school sessions, 1 session</t>
  </si>
  <si>
    <r>
      <rPr>
        <b/>
        <vertAlign val="superscript"/>
        <sz val="9"/>
        <rFont val="Century Gothic"/>
        <family val="2"/>
      </rPr>
      <t xml:space="preserve">a </t>
    </r>
    <r>
      <rPr>
        <b/>
        <sz val="9"/>
        <rFont val="Century Gothic"/>
        <family val="2"/>
      </rPr>
      <t>Sekolah rendah termasuk sekolah pendidikan khas</t>
    </r>
  </si>
  <si>
    <r>
      <rPr>
        <b/>
        <vertAlign val="superscript"/>
        <sz val="9"/>
        <rFont val="Century Gothic"/>
        <family val="2"/>
      </rPr>
      <t xml:space="preserve">b </t>
    </r>
    <r>
      <rPr>
        <b/>
        <sz val="9"/>
        <rFont val="Century Gothic"/>
        <family val="2"/>
      </rPr>
      <t>Sekolah Menengah termasuk sekolah sukan, seni dan Sekolah Bimbingan Jalinan Kasih</t>
    </r>
  </si>
  <si>
    <t>Government hospital</t>
  </si>
  <si>
    <r>
      <t xml:space="preserve"> </t>
    </r>
    <r>
      <rPr>
        <i/>
        <sz val="9"/>
        <rFont val="Century Gothic"/>
        <family val="2"/>
      </rPr>
      <t>Refers to private hospital, home treatment, maternity home &amp; hospice</t>
    </r>
  </si>
  <si>
    <t>Pengkelasan status kemiskinan adalah menggunakan konsep per kapita dimana jumlah pendapatan isi rumah sebulan dibahagi  dengan bilangan Ahli Isi Rumah</t>
  </si>
  <si>
    <t>The classification of poverty status is based on the per capita concept where the total household income per month is divided by  the number of Household Members</t>
  </si>
  <si>
    <r>
      <t xml:space="preserve">Nota/ </t>
    </r>
    <r>
      <rPr>
        <i/>
        <sz val="9"/>
        <rFont val="Century Gothic"/>
        <family val="2"/>
      </rPr>
      <t>Note</t>
    </r>
    <r>
      <rPr>
        <b/>
        <sz val="9"/>
        <rFont val="Century Gothic"/>
        <family val="2"/>
      </rPr>
      <t>:</t>
    </r>
  </si>
  <si>
    <t>Jabatan Bomba dan Penyelamat Malaysia</t>
  </si>
  <si>
    <t xml:space="preserve">Sumber: Kementerian Komunikasi </t>
  </si>
  <si>
    <t>Source: Ministry of Communications</t>
  </si>
  <si>
    <t xml:space="preserve"> (*) Bilangan pertubuhan kurang daripada tiga</t>
  </si>
  <si>
    <t xml:space="preserve"> (*) The number of establishments is less than three</t>
  </si>
  <si>
    <t xml:space="preserve">Food and beverages, food and beverages preparation at </t>
  </si>
  <si>
    <t xml:space="preserve"> (*) Bilangan pertubuhan kurang daripada tiga </t>
  </si>
  <si>
    <t>Dianggar daripada sumber awam dan akan dikemas kini setelah memperoleh maklumat sumber rasmi</t>
  </si>
  <si>
    <r>
      <t>Bilangan Mesin Juruwang Automatik (ATM)</t>
    </r>
    <r>
      <rPr>
        <b/>
        <vertAlign val="superscript"/>
        <sz val="10"/>
        <rFont val="Century Gothic"/>
        <family val="2"/>
      </rPr>
      <t>a</t>
    </r>
  </si>
  <si>
    <t>taman permainan kanak-kanak dalaman, dan membeli belah di luar &amp; tarikan F&amp;B)</t>
  </si>
  <si>
    <r>
      <t xml:space="preserve">* </t>
    </r>
    <r>
      <rPr>
        <b/>
        <sz val="9"/>
        <rFont val="Century Gothic"/>
        <family val="2"/>
      </rPr>
      <t>Termasuk perbezaan statistik</t>
    </r>
    <r>
      <rPr>
        <sz val="9"/>
        <rFont val="Century Gothic"/>
        <family val="2"/>
      </rPr>
      <t xml:space="preserve"> </t>
    </r>
  </si>
  <si>
    <t>* Includes statistical discrepancy</t>
  </si>
  <si>
    <r>
      <t xml:space="preserve">Perbelanjaan atas KDNK pada harga pembeli                                                                                                         </t>
    </r>
    <r>
      <rPr>
        <b/>
        <i/>
        <sz val="10"/>
        <rFont val="Century Gothic"/>
        <family val="2"/>
      </rPr>
      <t xml:space="preserve">  </t>
    </r>
    <r>
      <rPr>
        <i/>
        <sz val="10"/>
        <rFont val="Century Gothic"/>
        <family val="2"/>
      </rPr>
      <t>Expenditure on GDP at purchasers' prices</t>
    </r>
  </si>
  <si>
    <t>GDP by Kind of Economic Activity at Constant 2015 Prices - Annual Percentage Change (%)</t>
  </si>
  <si>
    <t xml:space="preserve">GDP by Type of Expenditure at Constant 2015 Prices - Annual Percentage Change (%) </t>
  </si>
  <si>
    <t>KDNK mengikut Jenis Aktiviti Ekonomi pada Harga Semasa (RM juta)</t>
  </si>
  <si>
    <t>KDNK mengikut Jenis Perbelanjaan pada Harga Semasa (RM juta)</t>
  </si>
  <si>
    <t>KDNK mengikut Jenis Aktiviti Ekonomi pada Harga Malar 2015 (RM juta)</t>
  </si>
  <si>
    <t>KDNK mengikut Jenis Perbelanjaan pada Harga Malar 2015 (RM juta)</t>
  </si>
  <si>
    <t>KDNK pada harga pembeli (RM juta)</t>
  </si>
  <si>
    <t xml:space="preserve">Nilai Ditambah PMKS Pada Harga Malar 2015 (RM juta)
</t>
  </si>
  <si>
    <t xml:space="preserve">Pembentukan Modal Tetap Kasar (PMTK) - RM juta
</t>
  </si>
  <si>
    <t>Hasil Terperinci Kerajaan Persekutuan (RM juta)
Details of Federal Government Revenue (RM million)</t>
  </si>
  <si>
    <t xml:space="preserve">Agregat Kewangan (RM juta)
Monetary Aggregates (RM million) </t>
  </si>
  <si>
    <t>Nilai Ditambah Kasar Industri Pelancongan (NDKIP) (RM juta)</t>
  </si>
  <si>
    <t>Keluaran Dalam Negeri Kasar Pelancongan Langsung (KDNKPL) (RM juta)</t>
  </si>
  <si>
    <t>Perbelanjaan pelancongan inbound bagi pelawat (RM juta)</t>
  </si>
  <si>
    <t>Perbelanjaan pelancongan domestik bagi pelawat (RM juta)</t>
  </si>
  <si>
    <t>Perbelanjaan pelancongan outbound bagi pelawat (RM juta)</t>
  </si>
  <si>
    <t>Nilai Ditambah Kasar Industri TMK (NDKTMK) (RM juta)</t>
  </si>
  <si>
    <t>Eksport Produk TMK (RM juta)</t>
  </si>
  <si>
    <t>Import Produk TMK (RM juta)</t>
  </si>
  <si>
    <t>Nilai Ditambah Kasar e-dagang (RM juta)</t>
  </si>
  <si>
    <t>Sumbangan TMK kepada ekonomi (NDKTMK, e-dagang) (RM juta)</t>
  </si>
  <si>
    <t>Stok Modal pada harga malar 2015 (RM juta)</t>
  </si>
  <si>
    <t>GDP by Kind of Economic Activity at Current Prices (RM million)</t>
  </si>
  <si>
    <t>GDP by Type of Expenditure at Current Prices (RM million)</t>
  </si>
  <si>
    <t>GDP by Kind of Economic Activity at Constant 2015 Prices (RM million)</t>
  </si>
  <si>
    <t>GDP by Type of Expenditure at Constant 2015 Prices (RM million)</t>
  </si>
  <si>
    <t>GDP at purchasers' prices (RM million)</t>
  </si>
  <si>
    <t>Value Added of MSMEs at Constant 2015 Prices (RM million)</t>
  </si>
  <si>
    <t>Gross Fixed Capital Formation (GFCF) - RM million</t>
  </si>
  <si>
    <t>Kewangan Kerajaan/ Government Finance (RM million)</t>
  </si>
  <si>
    <t>Gross Value Added of Tourism Industries (GVATI) (RM million)</t>
  </si>
  <si>
    <t>Tourism Direct Gross Domestic Product (TDGDP) (RM million)</t>
  </si>
  <si>
    <t>Inbound tourism expenditure of visitors (RM million)</t>
  </si>
  <si>
    <t>Domestic tourism expenditure of visitors (RM million)</t>
  </si>
  <si>
    <t>Outbound tourism expenditure of visitors (RM million)</t>
  </si>
  <si>
    <t>Gross Value Added of ICT Industry (GVAICT) (RM million)</t>
  </si>
  <si>
    <t>Exports of ICT Products (RM million)</t>
  </si>
  <si>
    <t>Imports of ICT Products (RM million)</t>
  </si>
  <si>
    <t>Gross Value Added of e-commerce (RM million)</t>
  </si>
  <si>
    <t>ICT Contribution to economy (GVAICT, e-commerce) (RM million)</t>
  </si>
  <si>
    <t>Capital Stock at constant 2015 prices (RM million)</t>
  </si>
  <si>
    <t>MSMEs Exports of Goods and Services (RM billion)</t>
  </si>
  <si>
    <t>Nilai Pasaran / Market Capitalisation (RM billion)</t>
  </si>
  <si>
    <t>Nilai Dagangan/ Value Traded (RM billion)</t>
  </si>
  <si>
    <r>
      <t>Imbangan Pembayaran, Bersih  (RM juta)</t>
    </r>
    <r>
      <rPr>
        <b/>
        <vertAlign val="superscript"/>
        <sz val="10"/>
        <rFont val="Century Gothic"/>
        <family val="2"/>
      </rPr>
      <t>1</t>
    </r>
  </si>
  <si>
    <t>Balance of Payments, Net  (RM million)</t>
  </si>
  <si>
    <r>
      <rPr>
        <b/>
        <sz val="10"/>
        <rFont val="Century Gothic"/>
        <family val="2"/>
      </rPr>
      <t>Sumbangan kepada Jumlah Dagangan Malaysia (%)</t>
    </r>
    <r>
      <rPr>
        <sz val="10"/>
        <rFont val="Century Gothic"/>
        <family val="2"/>
      </rPr>
      <t xml:space="preserve">
</t>
    </r>
    <r>
      <rPr>
        <i/>
        <sz val="10"/>
        <rFont val="Century Gothic"/>
        <family val="2"/>
      </rPr>
      <t>Contribution to Malaysia's Total Trade(%)</t>
    </r>
  </si>
  <si>
    <r>
      <t xml:space="preserve">Nilai (RM juta)
</t>
    </r>
    <r>
      <rPr>
        <i/>
        <sz val="10"/>
        <rFont val="Century Gothic"/>
        <family val="2"/>
      </rPr>
      <t>Value (RM million)</t>
    </r>
  </si>
  <si>
    <r>
      <t xml:space="preserve">Kedudukan Pelaburan Antarabangsa
</t>
    </r>
    <r>
      <rPr>
        <i/>
        <sz val="10"/>
        <rFont val="Century Gothic"/>
        <family val="2"/>
      </rPr>
      <t>International Investment Position</t>
    </r>
  </si>
  <si>
    <r>
      <rPr>
        <b/>
        <sz val="10"/>
        <color theme="1"/>
        <rFont val="Century Gothic"/>
        <family val="1"/>
      </rPr>
      <t>Perubahan Peratusan Tahunan Produktiviti Buruh, Nilai Ditambah per Pekerja (%)</t>
    </r>
    <r>
      <rPr>
        <sz val="10"/>
        <color theme="1"/>
        <rFont val="Century Gothic"/>
        <family val="1"/>
      </rPr>
      <t xml:space="preserve">
</t>
    </r>
    <r>
      <rPr>
        <i/>
        <sz val="10"/>
        <color theme="1"/>
        <rFont val="Century Gothic"/>
        <family val="1"/>
      </rPr>
      <t>Annual Percentage Change of</t>
    </r>
    <r>
      <rPr>
        <sz val="10"/>
        <color theme="1"/>
        <rFont val="Century Gothic"/>
        <family val="1"/>
      </rPr>
      <t xml:space="preserve"> </t>
    </r>
    <r>
      <rPr>
        <i/>
        <sz val="10"/>
        <color theme="1"/>
        <rFont val="Century Gothic"/>
        <family val="1"/>
      </rPr>
      <t>Labour Productivity, Value Added per Employment</t>
    </r>
  </si>
  <si>
    <r>
      <rPr>
        <b/>
        <sz val="10"/>
        <color theme="1"/>
        <rFont val="Century Gothic"/>
        <family val="1"/>
      </rPr>
      <t>Produktiviti Buruh, Nilai Ditambah per Pekerja (RM)</t>
    </r>
    <r>
      <rPr>
        <sz val="10"/>
        <color theme="1"/>
        <rFont val="Century Gothic"/>
        <family val="1"/>
      </rPr>
      <t xml:space="preserve">
</t>
    </r>
    <r>
      <rPr>
        <i/>
        <sz val="10"/>
        <color theme="1"/>
        <rFont val="Century Gothic"/>
        <family val="1"/>
      </rPr>
      <t>Labour Productivity, Value Added per Employment</t>
    </r>
  </si>
  <si>
    <r>
      <rPr>
        <b/>
        <sz val="10"/>
        <color theme="1"/>
        <rFont val="Century Gothic"/>
        <family val="2"/>
      </rPr>
      <t>Bawang Besar, India</t>
    </r>
    <r>
      <rPr>
        <i/>
        <sz val="10"/>
        <color theme="1"/>
        <rFont val="Century Gothic"/>
        <family val="2"/>
      </rPr>
      <t>/ Onions, India</t>
    </r>
  </si>
  <si>
    <r>
      <rPr>
        <b/>
        <sz val="10"/>
        <color theme="1"/>
        <rFont val="Century Gothic"/>
        <family val="2"/>
      </rPr>
      <t>Ikan Selayang/</t>
    </r>
    <r>
      <rPr>
        <i/>
        <sz val="10"/>
        <color theme="1"/>
        <rFont val="Century Gothic"/>
        <family val="2"/>
      </rPr>
      <t xml:space="preserve"> Sardine (Fish)</t>
    </r>
  </si>
  <si>
    <r>
      <rPr>
        <b/>
        <sz val="10"/>
        <color theme="1"/>
        <rFont val="Century Gothic"/>
        <family val="2"/>
      </rPr>
      <t>Ikan Siakap/</t>
    </r>
    <r>
      <rPr>
        <i/>
        <sz val="10"/>
        <color theme="1"/>
        <rFont val="Century Gothic"/>
        <family val="2"/>
      </rPr>
      <t xml:space="preserve"> Barramundi (Fish)</t>
    </r>
  </si>
  <si>
    <r>
      <rPr>
        <b/>
        <sz val="10"/>
        <color theme="1"/>
        <rFont val="Century Gothic"/>
        <family val="2"/>
      </rPr>
      <t>Daging Lembu Tempatan/</t>
    </r>
    <r>
      <rPr>
        <i/>
        <sz val="10"/>
        <color theme="1"/>
        <rFont val="Century Gothic"/>
        <family val="2"/>
      </rPr>
      <t xml:space="preserve"> Local Beef</t>
    </r>
  </si>
  <si>
    <t>OSHA Sector</t>
  </si>
  <si>
    <t>Includes gang robbery with firearms, gang robbery without firearms, robbery with firearms and robbery without firearms</t>
  </si>
  <si>
    <t>House break-in and thefts</t>
  </si>
  <si>
    <t>Source: Investigation and Enforcement of the Traffic Department,</t>
  </si>
  <si>
    <t xml:space="preserve">   Includes Cerebral Palsy</t>
  </si>
  <si>
    <t>Lori/Van</t>
  </si>
  <si>
    <t>Lorry/Van</t>
  </si>
  <si>
    <t>Motorcycle/ Scooter</t>
  </si>
  <si>
    <t>Motosikal/ Skuter</t>
  </si>
  <si>
    <t>: Statistik maklumat asas, Parlimen Bandar Tun Razak, W.P. Kuala Lumpur, 2023 - 2025</t>
  </si>
  <si>
    <t>: Statistics of basic information, Parliament of Bandar Tun Razak, W.P. Kuala Lumpur, 2023 - 2025</t>
  </si>
  <si>
    <t>Jumlah kertas undi yang ditolak</t>
  </si>
  <si>
    <t xml:space="preserve">Total number of ballot papers issued but not put in the ballot box and not returned
</t>
  </si>
  <si>
    <t>Bilangan kertas undi yang dikeluarkan tetapi tidak dimasukkan ke dalam peti undi 
dan tidak dikembalikan</t>
  </si>
  <si>
    <t>Total number of rejected ballot papers</t>
  </si>
  <si>
    <t>Jumlah kertas undi yang dikeluarkan dalam pengundian</t>
  </si>
  <si>
    <t xml:space="preserve">Total number of ballot papers issued at the poll
</t>
  </si>
  <si>
    <t>Number of courier service centers</t>
  </si>
  <si>
    <t>: Statistik perkhidmatan lain, Parlimen Bandar Tun Razak, W.P. Kuala Lumpur, 2026</t>
  </si>
  <si>
    <t>: Statistics of other services, Parliament of Bandar Tun Razak, W.P. Kuala Lumpur, 2026</t>
  </si>
  <si>
    <t>Bilangan taman tema dan pusat hiburan keluarga</t>
  </si>
  <si>
    <r>
      <t>Bilangan pusat perkhidmatan kurier</t>
    </r>
    <r>
      <rPr>
        <b/>
        <vertAlign val="superscript"/>
        <sz val="10"/>
        <rFont val="Century Gothic"/>
        <family val="2"/>
      </rPr>
      <t>a</t>
    </r>
  </si>
  <si>
    <r>
      <t>Bilangan pusat kitar semula</t>
    </r>
    <r>
      <rPr>
        <b/>
        <vertAlign val="superscript"/>
        <sz val="10"/>
        <rFont val="Century Gothic"/>
        <family val="2"/>
      </rPr>
      <t>a</t>
    </r>
  </si>
  <si>
    <r>
      <rPr>
        <b/>
        <vertAlign val="superscript"/>
        <sz val="9"/>
        <rFont val="Century Gothic"/>
        <family val="2"/>
      </rPr>
      <t>a</t>
    </r>
    <r>
      <rPr>
        <b/>
        <sz val="9"/>
        <rFont val="Century Gothic"/>
        <family val="2"/>
      </rPr>
      <t xml:space="preserve"> Data pada Mac 2026</t>
    </r>
  </si>
  <si>
    <r>
      <rPr>
        <i/>
        <vertAlign val="superscript"/>
        <sz val="9"/>
        <rFont val="Century Gothic"/>
        <family val="2"/>
      </rPr>
      <t>a</t>
    </r>
    <r>
      <rPr>
        <i/>
        <sz val="9"/>
        <rFont val="Century Gothic"/>
        <family val="2"/>
      </rPr>
      <t xml:space="preserve"> Data as at March 2026</t>
    </r>
  </si>
  <si>
    <r>
      <t>: Anggaran penduduk pertengahan tahun, Malaysia, 2024 - 2026</t>
    </r>
    <r>
      <rPr>
        <b/>
        <vertAlign val="superscript"/>
        <sz val="11"/>
        <rFont val="Century Gothic"/>
        <family val="2"/>
      </rPr>
      <t>p</t>
    </r>
  </si>
  <si>
    <r>
      <t>: Mid-year population estimates, Malaysia, 2024 - 2026</t>
    </r>
    <r>
      <rPr>
        <i/>
        <vertAlign val="superscript"/>
        <sz val="11"/>
        <rFont val="Century Gothic"/>
        <family val="2"/>
      </rPr>
      <t>p</t>
    </r>
  </si>
  <si>
    <r>
      <t>2026</t>
    </r>
    <r>
      <rPr>
        <b/>
        <vertAlign val="superscript"/>
        <sz val="10"/>
        <rFont val="Century Gothic"/>
        <family val="2"/>
      </rPr>
      <t>p</t>
    </r>
  </si>
  <si>
    <r>
      <t>: Anggaran penduduk pertengahan tahun, W.P. Kuala Lumpur, 2024 - 2026</t>
    </r>
    <r>
      <rPr>
        <b/>
        <vertAlign val="superscript"/>
        <sz val="11"/>
        <rFont val="Century Gothic"/>
        <family val="2"/>
      </rPr>
      <t>p</t>
    </r>
  </si>
  <si>
    <r>
      <t>: Mid-year population estimates, W.P. Kuala Lumpur, 2024 - 2026</t>
    </r>
    <r>
      <rPr>
        <i/>
        <vertAlign val="superscript"/>
        <sz val="11"/>
        <rFont val="Century Gothic"/>
        <family val="2"/>
      </rPr>
      <t>p</t>
    </r>
  </si>
  <si>
    <t>: Anggaran penduduk pertengahan tahun, Parlimen Bandar Tun Razak, W.P. Kuala Lumpur, 2024 - 2025</t>
  </si>
  <si>
    <t>: Mid-year population estimates, Parliament of Bandar Tun Razak, W.P. Kuala Lumpur, 2024 - 2025</t>
  </si>
  <si>
    <t>: Bilangan kelahiran hidup dan kematian mengikut jantina, Parlimen Bandar Tun Razak, W.P. Kuala Lumpur, 2023 - 2025</t>
  </si>
  <si>
    <t>: Number of live births and deaths by sex, Parliament of Bandar Tun Razak, W.P. Kuala Lumpur, 2023 - 2025</t>
  </si>
  <si>
    <t>: Statistik guna tenaga, Parlimen Bandar Tun Razak, W.P. Kuala Lumpur, 2024</t>
  </si>
  <si>
    <t>: Statistics of employment, Parliament of Bandar Tun Razak, W.P. Kuala Lumpur, 2024</t>
  </si>
  <si>
    <t xml:space="preserve">Indikator tenaga buruh mengikut Parlimen bagi tahun 2024 (awalan) dianggarkan berdasarkan kepada data Survei Tenaga Buruh, 2024 dan anggaran faktor populasi bagi tahun 2024. Ralat piawaian relatif bagi peringkat Parlimen tertentu adalah tinggi dan perlu ditafsir dengan 
berhati-hati </t>
  </si>
  <si>
    <t>The labour force indicators by Parliamentary Constituencies for 2024 (preliminary) is estimated based on the Labour Force Survey data, 2024 and the estimated population factors for 2024. These data should be used with caution due to high relative standard errors for certain Parliament constituencies</t>
  </si>
  <si>
    <t>: Statistik pendidikan, Parlimen Bandar Tun Razak, W.P. Kuala Lumpur, 2024 - 2025</t>
  </si>
  <si>
    <t>: Statistics of education, Parliament of Bandar Tun Razak, W.P. Kuala Lumpur, 2024 - 2025</t>
  </si>
  <si>
    <t>: Statistik pendidikan swasta, Parlimen Bandar Tun Razak, W.P. Kuala Lumpur, 2024 - 2025</t>
  </si>
  <si>
    <t>: Statistics of private education, Parliament of Bandar Tun Razak, W.P. Kuala Lumpur, 2024 - 2025</t>
  </si>
  <si>
    <t>: Statistik pendidikan swasta, Parlimen Bandar Tun Razak, W.P. Kuala Lumpur, 2024 - 2025 (samb.)</t>
  </si>
  <si>
    <t>: Statistics of private education, Parliament of Bandar Tun Razak, W.P. Kuala Lumpur, 2024 - 2025 (cont'd)</t>
  </si>
  <si>
    <t>: Statistik kemudahan kesihatan, Parlimen Bandar Tun Razak, W.P. Kuala Lumpur, 2025</t>
  </si>
  <si>
    <t>: Statistics of health facilities, Parliament of Bandar Tun Razak, W.P. Kuala Lumpur, 2025</t>
  </si>
  <si>
    <t xml:space="preserve">  W.P. Kuala Lumpur, 2024 - 2025</t>
  </si>
  <si>
    <t>Status kemiskinan bagi tahun 2024 dan 2025 menggunakan PGK tahun 2025</t>
  </si>
  <si>
    <t>Poverty status for the years 2024 and 2025 is based on the 2025 PGK</t>
  </si>
  <si>
    <t>: Statistik keselamatan awam, Parlimen Bandar Tun Razak, W.P. Kuala Lumpur, 2025</t>
  </si>
  <si>
    <t>: Statistics of public safety, Parliament of Bandar Tun Razak, W.P. Kuala Lumpur, 2025</t>
  </si>
  <si>
    <t>: Statistik internet dan media sosial, Parlimen Bandar Tun Razak, W.P. Kuala Lumpur, 2026</t>
  </si>
  <si>
    <t>: Statistics of internet and social media, Parliament of Bandar Tun Razak, W.P. Kuala Lumpur, 2026</t>
  </si>
  <si>
    <t>: Keluaran Dalam Negeri Kasar (KDNK), Malaysia, 2023 - 2025</t>
  </si>
  <si>
    <t>: Gross Domestic Product (GDP), Malaysia, 2023 - 2025</t>
  </si>
  <si>
    <t>Data 2024 adalah anggaran, manakala data 2025 adalah permulaan dan tertakluk kepada pindaan dalam keluaran berikutnya</t>
  </si>
  <si>
    <t>The 2024 data are estimates, while the 2025 data are preliminary and subject to revision in subsequent issues</t>
  </si>
  <si>
    <t>: Keluaran Dalam Negeri Kasar (KDNK), Malaysia, 2023 - 2025 (samb.)</t>
  </si>
  <si>
    <t>: Gross Domestic Product (GDP), Malaysia, 2023 - 2025 (cont'd)</t>
  </si>
  <si>
    <t>: Statistik Kewangan Kerajaan, Pasaran Kewangan dan Modal, Malaysia, 2023 - 2025</t>
  </si>
  <si>
    <r>
      <t>:</t>
    </r>
    <r>
      <rPr>
        <i/>
        <sz val="11"/>
        <rFont val="Century Gothic"/>
        <family val="2"/>
      </rPr>
      <t xml:space="preserve"> Statistics of Government Finance, Financial and Capital Market, Malaysia, 2023 - 2025</t>
    </r>
  </si>
  <si>
    <t>Data bagi Kewangan Kerajaan 2025 adalah anggaran disemak oleh Kementerian Kewangan Malaysia</t>
  </si>
  <si>
    <t>Data for Government Finance 2025 are revised estimate by Ministry of Finance, Malaysia</t>
  </si>
  <si>
    <t>: Statistik utama Akaun Satelit Pelancongan (ASP), Malaysia, 2023 - 2025</t>
  </si>
  <si>
    <t>: Principal statistics Tourism Satellite Account (TSA), Malaysia, 2023 - 2025</t>
  </si>
  <si>
    <t>Data 2024 adalah anggaran manakala data 2025 adalah permulaan serta tertakluk kepada pindaan dalam keluaran berikutnya</t>
  </si>
  <si>
    <t>The 2024 data are estimates while 2025 data are preliminary and subject to revision in later issues</t>
  </si>
  <si>
    <t>: Statistik utama Akaun Satelit Teknologi Maklumat &amp; Komunikasi (ASTMK), Malaysia, 2023 - 2025</t>
  </si>
  <si>
    <t>: Principal statistics of Information and Communication Technology Satellite Account (ICTSA), Malaysia, 2023 - 2025</t>
  </si>
  <si>
    <t>: Statistik utama Stok Modal, Malaysia, 2023 - 2025</t>
  </si>
  <si>
    <t>: Principal statistics of Capital Stock, Malaysia, 2023 - 2025</t>
  </si>
  <si>
    <t>Data 2024 adalah anggaran, manakala data 2025 adalah permulaan; serta tertakluk kepada pindaan dalam keluaran berikutnya</t>
  </si>
  <si>
    <t>The 2024 data are estimates, while 2025 data are preliminary; and subject to revision in later issues</t>
  </si>
  <si>
    <t>: Statistik imbangan pembayaran, Malaysia, 2023 - 2025</t>
  </si>
  <si>
    <t>: Balance of payments statistics, Malaysia, 2023 - 2025</t>
  </si>
  <si>
    <r>
      <rPr>
        <b/>
        <vertAlign val="superscript"/>
        <sz val="9"/>
        <rFont val="Century Gothic"/>
        <family val="2"/>
      </rPr>
      <t>1</t>
    </r>
    <r>
      <rPr>
        <b/>
        <sz val="9"/>
        <rFont val="Century Gothic"/>
        <family val="2"/>
      </rPr>
      <t xml:space="preserve"> Data 2024 adalah anggaran, manakala data 2025 adalah permulaan dan tertakluk kepada pindaan dalam keluaran berikutnya</t>
    </r>
  </si>
  <si>
    <r>
      <rPr>
        <i/>
        <vertAlign val="superscript"/>
        <sz val="9"/>
        <rFont val="Century Gothic"/>
        <family val="2"/>
      </rPr>
      <t xml:space="preserve">1 </t>
    </r>
    <r>
      <rPr>
        <i/>
        <sz val="9"/>
        <rFont val="Century Gothic"/>
        <family val="2"/>
      </rPr>
      <t>The 2024 data are estimates, while the 2025 data are preliminary and subject to revision in subsequent issues</t>
    </r>
  </si>
  <si>
    <t>: Eksport, import, jumlah dagangan dan imbangan dagangan, Malaysia, 2023 - 2025</t>
  </si>
  <si>
    <t>: Exports, imports, total trade and balance of trade, Malaysia, 2023 - 2025</t>
  </si>
  <si>
    <t>: Statistik utama pelancongan domestik, Malaysia, 2023 - 2025</t>
  </si>
  <si>
    <t>: Principal statistics of domestic tourism, Malaysia, 2023 - 2025</t>
  </si>
  <si>
    <r>
      <t xml:space="preserve">Perbadanan Produktiviti Malaysia, </t>
    </r>
    <r>
      <rPr>
        <b/>
        <i/>
        <sz val="9"/>
        <color theme="1"/>
        <rFont val="Century Gothic"/>
        <family val="1"/>
      </rPr>
      <t>In The IMD World Competitiveness Yearbook</t>
    </r>
    <r>
      <rPr>
        <b/>
        <sz val="9"/>
        <color theme="1"/>
        <rFont val="Century Gothic"/>
        <family val="1"/>
      </rPr>
      <t xml:space="preserve"> 2026</t>
    </r>
  </si>
  <si>
    <t>Malaysia Productivity Corporation, Malaysia in the IMD World Competitiveness Yearbook, 2026</t>
  </si>
  <si>
    <t>: Indeks Harga Pengguna dan Inflasi Tahunan mengikut Kumpulan Utama, Malaysia, 2023 - 2025</t>
  </si>
  <si>
    <t>: Consumer Price Index and Annual Inflation by Main Group, Malaysia, 2023 - 2025</t>
  </si>
  <si>
    <t>: Harga purata item terpilih, Malaysia, 2023 - 2025</t>
  </si>
  <si>
    <t>: Average price for selected items, Malaysia, 2023 - 2025</t>
  </si>
  <si>
    <t>: Harga purata item terpilih, Malaysia, 2023 - 2025 (samb.)</t>
  </si>
  <si>
    <t>: Average price for selected items, Malaysia, 2023 - 2025 (cont'd)</t>
  </si>
  <si>
    <t xml:space="preserve">  Sektor, Malaysia, 2023 - 2025 </t>
  </si>
  <si>
    <t xml:space="preserve">  2023 - 2025</t>
  </si>
  <si>
    <t>: Statistik utama kecederaan pekerjaan, Malaysia, 2022 - 2024</t>
  </si>
  <si>
    <t>: Principal statistics of occupational injury , Malaysia, 2022 - 2024</t>
  </si>
  <si>
    <t>: Statistik utama kecederaan pekerjaan, Malaysia, 2022 - 2024 (samb.)</t>
  </si>
  <si>
    <t>: Principal statistics of occupational injury, Malaysia, 2022 - 2024 (cont'd)</t>
  </si>
  <si>
    <t>: Peratusan ahli parlimen dan anggota pentadbiran mengikut jantina, Malaysia, 2022 - 2024</t>
  </si>
  <si>
    <t>: Percentage of members of parliament and administration by sex, Malaysia, 2022 - 2024</t>
  </si>
  <si>
    <t>: Bilangan hakim di Badan Kehakiman mengikut jawatan dan jantina, Malaysia, 2022 - 2024</t>
  </si>
  <si>
    <t>: Number of judges in the Judiciary board by position and sex, Malaysia, 2022 - 2024</t>
  </si>
  <si>
    <t>: Bilangan hakim di Kehakiman Syariah mengikut jawatan dan jantina, Malaysia, 2022 - 2024</t>
  </si>
  <si>
    <t>: Number of judges in the Syariah Judiciary by position and sex, Malaysia, 2022 - 2024</t>
  </si>
  <si>
    <t>: Bilangan Ketua Setiausaha, Timbalan Ketua Setiausaha dan Ketua Pengarah mengikut jawatan dan jantina, Malaysia, 2022 - 2024</t>
  </si>
  <si>
    <t>: Number of Secretary General, Deputy Secretary General and Director General by position and sex, Malaysia, 2022 - 2024</t>
  </si>
  <si>
    <t>: Peratusan capaian isi rumah terhadap perkhidmatan dan peralatan ICT mengikut strata, Malaysia, 2023 - 2025</t>
  </si>
  <si>
    <t>: Percentage of households with access to ICT services and equipment by strata, Malaysia, 2023 - 2025</t>
  </si>
  <si>
    <t xml:space="preserve">Berdasarkan Piawaian Klasifikasi Industri Malaysia 2025
</t>
  </si>
  <si>
    <t>Based on Malaysia Standard Industrial Classification (MSIC) 2025</t>
  </si>
  <si>
    <r>
      <rPr>
        <b/>
        <i/>
        <vertAlign val="superscript"/>
        <sz val="9"/>
        <rFont val="Century Gothic"/>
        <family val="2"/>
      </rPr>
      <t>1</t>
    </r>
    <r>
      <rPr>
        <b/>
        <sz val="9"/>
        <rFont val="Century Gothic"/>
        <family val="2"/>
      </rPr>
      <t>Bilangan pertubuhan termasuk Jualan Runcit Bahan Api kenderaan di kedai khusus berdasarkan Piawaian Klasifikasi Industri Malaysia 2025</t>
    </r>
  </si>
  <si>
    <t xml:space="preserve"> The number of establishments includes  Retail sale of automotive fuel in specialized store based on Malaysia Standard Industrial Classification  (MSIC) 2025</t>
  </si>
  <si>
    <r>
      <rPr>
        <b/>
        <vertAlign val="superscript"/>
        <sz val="9"/>
        <rFont val="Century Gothic"/>
        <family val="2"/>
      </rPr>
      <t>2</t>
    </r>
    <r>
      <rPr>
        <b/>
        <sz val="9"/>
        <rFont val="Century Gothic"/>
        <family val="2"/>
      </rPr>
      <t xml:space="preserve"> Bersamaan dengan Pencucian dan cucian kering, menggosok/ dobi berdasarkan Piawaian Klasifikasi Industri Malaysia 2025</t>
    </r>
  </si>
  <si>
    <t xml:space="preserve">  Equivalent to Laundering and dry-cleaning, pressing/ laundries based on Malaysia Standard Industrial Classification (MSIC) 2025</t>
  </si>
  <si>
    <r>
      <rPr>
        <b/>
        <vertAlign val="superscript"/>
        <sz val="9"/>
        <rFont val="Century Gothic"/>
        <family val="2"/>
      </rPr>
      <t xml:space="preserve">3 </t>
    </r>
    <r>
      <rPr>
        <b/>
        <sz val="9"/>
        <rFont val="Century Gothic"/>
        <family val="2"/>
      </rPr>
      <t>Bersamaan dengan Kedai Runcit berdasarkan Piawaian Klasifikasi Industri Malaysia 2025</t>
    </r>
  </si>
  <si>
    <t xml:space="preserve">  Equivalent to Provision stores based on Malaysia Standard Industrial Classification (MSIC) 2025</t>
  </si>
  <si>
    <t>: Statistik koperasi, Parlimen Bandar Tun Razak, W.P. Kuala Lumpur, 2023 - 2025</t>
  </si>
  <si>
    <t>: Statistics of cooperatives, Parliament of Bandar Tun Razak, W.P. Kuala Lumpur, 2023 - 2025</t>
  </si>
  <si>
    <t xml:space="preserve">    2e</t>
  </si>
  <si>
    <t xml:space="preserve">  Malaysia, 2023-2025</t>
  </si>
  <si>
    <t>Import Dependency Ratio (IDR) explains a country's dependence on imports of agricultural commodities to meet domestic needs. The higher IDR shows the more supply of agricultural commodities to be imported</t>
  </si>
  <si>
    <t>Kadar Kebergantungan Import (IDR) menerangkan kebergantungan sesebuah negara kepada import komoditi pertanian dalam memenuhi keperluan domestik. Semakin tinggi IDR menunjukkan semakin banyak bekalan komoditi pertanian yang diimport</t>
  </si>
  <si>
    <t>The Self-Sufficiency Ratio (SSR) which obtained 100.0 per cent or more indicates the supply or production of agricultural commodities is sufficient to meet the country’s demands and vice versa</t>
  </si>
  <si>
    <t>Kadar Sara Diri (SSR) yang mencapai 100.0 peratus atau lebih menunjukkan bekalan atau pengeluaran bagi sesuatu komoditi pertanian adalah mencukupi untuk memenuhi keperluan dalam negara, dan sebaliknya</t>
  </si>
  <si>
    <t>Per Capita Consumption (PCC ) refers to the amount of food consumed by each person per year</t>
  </si>
  <si>
    <t>Penggunaan Per Kapita (PCC) merujuk kepada amaun penggunaan makanan oleh setiap penduduk dalam setahun</t>
  </si>
  <si>
    <t>One piece egg equal to 60 grams</t>
  </si>
  <si>
    <r>
      <rPr>
        <b/>
        <vertAlign val="superscript"/>
        <sz val="9"/>
        <color theme="1"/>
        <rFont val="Century Gothic"/>
        <family val="2"/>
      </rPr>
      <t>a</t>
    </r>
    <r>
      <rPr>
        <b/>
        <sz val="9"/>
        <color theme="1"/>
        <rFont val="Century Gothic"/>
        <family val="2"/>
      </rPr>
      <t xml:space="preserve"> Satu biji telur bersamaan 60 gram</t>
    </r>
  </si>
  <si>
    <r>
      <t xml:space="preserve">Nota/ </t>
    </r>
    <r>
      <rPr>
        <i/>
        <sz val="9"/>
        <color theme="1"/>
        <rFont val="Century Gothic"/>
        <family val="2"/>
      </rPr>
      <t>Notes</t>
    </r>
    <r>
      <rPr>
        <sz val="9"/>
        <color theme="1"/>
        <rFont val="Century Gothic"/>
        <family val="2"/>
      </rPr>
      <t>:</t>
    </r>
  </si>
  <si>
    <r>
      <t xml:space="preserve">Sotong/ </t>
    </r>
    <r>
      <rPr>
        <i/>
        <sz val="10"/>
        <color theme="1"/>
        <rFont val="Century Gothic"/>
        <family val="2"/>
      </rPr>
      <t xml:space="preserve">Cuttlefish </t>
    </r>
  </si>
  <si>
    <r>
      <t xml:space="preserve">Selayang/ </t>
    </r>
    <r>
      <rPr>
        <i/>
        <sz val="10"/>
        <color theme="1"/>
        <rFont val="Century Gothic"/>
        <family val="2"/>
      </rPr>
      <t xml:space="preserve">Sardine </t>
    </r>
  </si>
  <si>
    <t>Salad</t>
  </si>
  <si>
    <r>
      <t xml:space="preserve">Epal/ </t>
    </r>
    <r>
      <rPr>
        <i/>
        <sz val="10"/>
        <color theme="1"/>
        <rFont val="Century Gothic"/>
        <family val="2"/>
      </rPr>
      <t>Apple</t>
    </r>
  </si>
  <si>
    <r>
      <t xml:space="preserve">Tembikai/ </t>
    </r>
    <r>
      <rPr>
        <i/>
        <sz val="10"/>
        <color theme="1"/>
        <rFont val="Century Gothic"/>
        <family val="2"/>
      </rPr>
      <t>Watermelon</t>
    </r>
  </si>
  <si>
    <r>
      <t xml:space="preserve">Timun/ </t>
    </r>
    <r>
      <rPr>
        <i/>
        <sz val="10"/>
        <color theme="1"/>
        <rFont val="Century Gothic"/>
        <family val="2"/>
      </rPr>
      <t>Cucumber</t>
    </r>
  </si>
  <si>
    <t>Tomato</t>
  </si>
  <si>
    <r>
      <t xml:space="preserve">Udang/ </t>
    </r>
    <r>
      <rPr>
        <i/>
        <sz val="10"/>
        <rFont val="Century Gothic"/>
        <family val="2"/>
      </rPr>
      <t>Prawn</t>
    </r>
  </si>
  <si>
    <r>
      <t xml:space="preserve">Sawi/ </t>
    </r>
    <r>
      <rPr>
        <i/>
        <sz val="10"/>
        <rFont val="Century Gothic"/>
        <family val="2"/>
      </rPr>
      <t>Mustard</t>
    </r>
  </si>
  <si>
    <t>Mackerel</t>
  </si>
  <si>
    <r>
      <t xml:space="preserve">Bawang putih/ </t>
    </r>
    <r>
      <rPr>
        <i/>
        <sz val="10"/>
        <color theme="1"/>
        <rFont val="Century Gothic"/>
        <family val="2"/>
      </rPr>
      <t>Garlic</t>
    </r>
  </si>
  <si>
    <r>
      <t xml:space="preserve">Daging lembu/ kerbau/ </t>
    </r>
    <r>
      <rPr>
        <i/>
        <sz val="10"/>
        <color theme="1"/>
        <rFont val="Century Gothic"/>
        <family val="2"/>
      </rPr>
      <t>Beef</t>
    </r>
  </si>
  <si>
    <r>
      <t xml:space="preserve">Kobis bulat/ </t>
    </r>
    <r>
      <rPr>
        <i/>
        <sz val="10"/>
        <color theme="1"/>
        <rFont val="Century Gothic"/>
        <family val="2"/>
      </rPr>
      <t>Round Cabbage</t>
    </r>
  </si>
  <si>
    <r>
      <t xml:space="preserve">Nanas/ </t>
    </r>
    <r>
      <rPr>
        <i/>
        <sz val="10"/>
        <color theme="1"/>
        <rFont val="Century Gothic"/>
        <family val="2"/>
      </rPr>
      <t>Pineapple</t>
    </r>
  </si>
  <si>
    <r>
      <t xml:space="preserve">Pisang/ </t>
    </r>
    <r>
      <rPr>
        <i/>
        <sz val="10"/>
        <color theme="1"/>
        <rFont val="Century Gothic"/>
        <family val="2"/>
      </rPr>
      <t>Banana</t>
    </r>
  </si>
  <si>
    <r>
      <t xml:space="preserve">Bawang besar/ </t>
    </r>
    <r>
      <rPr>
        <i/>
        <sz val="10"/>
        <color theme="1"/>
        <rFont val="Century Gothic"/>
        <family val="2"/>
      </rPr>
      <t>Onions</t>
    </r>
  </si>
  <si>
    <t>Durian</t>
  </si>
  <si>
    <r>
      <t xml:space="preserve">Daging babi/ </t>
    </r>
    <r>
      <rPr>
        <i/>
        <sz val="10"/>
        <color theme="1"/>
        <rFont val="Century Gothic"/>
        <family val="2"/>
      </rPr>
      <t>Pork</t>
    </r>
  </si>
  <si>
    <r>
      <rPr>
        <b/>
        <sz val="10"/>
        <color theme="1"/>
        <rFont val="Century Gothic"/>
        <family val="2"/>
      </rPr>
      <t>Kelapa</t>
    </r>
    <r>
      <rPr>
        <i/>
        <sz val="10"/>
        <color theme="1"/>
        <rFont val="Century Gothic"/>
        <family val="2"/>
      </rPr>
      <t>/ Coconut</t>
    </r>
  </si>
  <si>
    <r>
      <t xml:space="preserve">Telur ayam/ itik/ </t>
    </r>
    <r>
      <rPr>
        <i/>
        <sz val="10"/>
        <color theme="1"/>
        <rFont val="Century Gothic"/>
        <family val="2"/>
      </rPr>
      <t xml:space="preserve">Chicken/ duck egg </t>
    </r>
    <r>
      <rPr>
        <i/>
        <vertAlign val="superscript"/>
        <sz val="10"/>
        <color theme="1"/>
        <rFont val="Century Gothic"/>
        <family val="2"/>
      </rPr>
      <t>a</t>
    </r>
  </si>
  <si>
    <r>
      <t xml:space="preserve">Daging ayam/ </t>
    </r>
    <r>
      <rPr>
        <i/>
        <sz val="10"/>
        <color theme="1"/>
        <rFont val="Century Gothic"/>
        <family val="2"/>
      </rPr>
      <t>Chicken meat</t>
    </r>
  </si>
  <si>
    <t>PCC (KG/ Year)</t>
  </si>
  <si>
    <t>IDR (%)</t>
  </si>
  <si>
    <t>SSR (%)</t>
  </si>
  <si>
    <t>PCC (KG/ Tahun)</t>
  </si>
  <si>
    <r>
      <t xml:space="preserve">ITEM PERTANIAN TERPILIH
</t>
    </r>
    <r>
      <rPr>
        <i/>
        <sz val="10"/>
        <color theme="1"/>
        <rFont val="Century Gothic"/>
        <family val="2"/>
      </rPr>
      <t>SELECTED AGRICULTURAL ITEM</t>
    </r>
  </si>
  <si>
    <t xml:space="preserve">  Agricultural Items, Malaysia, 2024</t>
  </si>
  <si>
    <t xml:space="preserve">: Statistics of Per Capita Consumption, Self-Sufficiency Ratio and Import Dependency Ratio of </t>
  </si>
  <si>
    <t xml:space="preserve">Table 36.0 </t>
  </si>
  <si>
    <t xml:space="preserve">  Malaysia, 2024</t>
  </si>
  <si>
    <t>: Statistik Penggunaan Per Kapita, Kadar Sara Diri dan Kadar Kebergantungan Import Item Pertanian,</t>
  </si>
  <si>
    <t xml:space="preserve">Jadual 36.0 </t>
  </si>
  <si>
    <t xml:space="preserve">Per Capita Consumption 2024 is calculated based on proxy of Household Income, Expenditure and Basic Amenities (HIES/BA) Survey 2024 data </t>
  </si>
  <si>
    <t>Penggunaan Per Kapita 2024 dikira menggunakan proksi data Survei Pendapatan, Perbelanjaan Isi Rumah dan Kemudahan Asas (HIES/BA) 2024</t>
  </si>
  <si>
    <r>
      <rPr>
        <vertAlign val="superscript"/>
        <sz val="9"/>
        <rFont val="Century Gothic"/>
        <family val="2"/>
      </rPr>
      <t xml:space="preserve">  </t>
    </r>
    <r>
      <rPr>
        <i/>
        <sz val="9"/>
        <rFont val="Century Gothic"/>
        <family val="2"/>
      </rPr>
      <t>Not included hot chilli</t>
    </r>
  </si>
  <si>
    <r>
      <rPr>
        <b/>
        <vertAlign val="superscript"/>
        <sz val="9"/>
        <rFont val="Century Gothic"/>
        <family val="2"/>
      </rPr>
      <t xml:space="preserve">a </t>
    </r>
    <r>
      <rPr>
        <b/>
        <sz val="9"/>
        <rFont val="Century Gothic"/>
        <family val="2"/>
      </rPr>
      <t>Tidak termasuk cili padi</t>
    </r>
  </si>
  <si>
    <t>Malaysia</t>
  </si>
  <si>
    <t>Mustard</t>
  </si>
  <si>
    <t>Cucumber</t>
  </si>
  <si>
    <t>Round cabbage</t>
  </si>
  <si>
    <t>Chilli</t>
  </si>
  <si>
    <t>Pineapple</t>
  </si>
  <si>
    <t>Mango</t>
  </si>
  <si>
    <t>Sawi</t>
  </si>
  <si>
    <t>Timun</t>
  </si>
  <si>
    <t>Kobis bulat</t>
  </si>
  <si>
    <r>
      <t xml:space="preserve">Cili </t>
    </r>
    <r>
      <rPr>
        <b/>
        <vertAlign val="superscript"/>
        <sz val="10"/>
        <rFont val="Century Gothic"/>
        <family val="2"/>
      </rPr>
      <t>a</t>
    </r>
  </si>
  <si>
    <t>Nanas</t>
  </si>
  <si>
    <t>Mangga</t>
  </si>
  <si>
    <r>
      <t xml:space="preserve">ITEM PERTANIAN TERPILIH
</t>
    </r>
    <r>
      <rPr>
        <i/>
        <sz val="10"/>
        <rFont val="Century Gothic"/>
        <family val="2"/>
      </rPr>
      <t>SELECTED AGRICULTURAL ITEM</t>
    </r>
  </si>
  <si>
    <r>
      <rPr>
        <b/>
        <sz val="10"/>
        <rFont val="Century Gothic"/>
        <family val="2"/>
      </rPr>
      <t>Negeri</t>
    </r>
    <r>
      <rPr>
        <sz val="10"/>
        <rFont val="Century Gothic"/>
        <family val="2"/>
      </rPr>
      <t xml:space="preserve">
</t>
    </r>
    <r>
      <rPr>
        <i/>
        <sz val="10"/>
        <rFont val="Century Gothic"/>
        <family val="2"/>
      </rPr>
      <t>State</t>
    </r>
  </si>
  <si>
    <t>: Selected statistics of Per Capita Consumption of agricultural item by state, Malaysia, 2024</t>
  </si>
  <si>
    <t>Table 36.1</t>
  </si>
  <si>
    <t>: Statistik terpilih Penggunaan Per Kapita item pertanian mengikut negeri, Malaysia, 2024</t>
  </si>
  <si>
    <t>Jadual 36.1</t>
  </si>
  <si>
    <t>The variables are reflective of data within 15 kilometer radius of the station and are not representative of the entire Parliament</t>
  </si>
  <si>
    <t>Pemboleh ubah adalah menggambarkan data dalam lingkungan radius 15 kilometer daripada stesen dan bukan mewakili keseluruhan Parlimen</t>
  </si>
  <si>
    <r>
      <t xml:space="preserve">Def: nilai defektif/ </t>
    </r>
    <r>
      <rPr>
        <i/>
        <sz val="9"/>
        <color theme="1"/>
        <rFont val="Century Gothic"/>
        <family val="2"/>
      </rPr>
      <t>Defective value</t>
    </r>
  </si>
  <si>
    <r>
      <rPr>
        <b/>
        <vertAlign val="superscript"/>
        <sz val="9"/>
        <color theme="1"/>
        <rFont val="Century Gothic"/>
        <family val="2"/>
      </rPr>
      <t xml:space="preserve">1 </t>
    </r>
    <r>
      <rPr>
        <b/>
        <sz val="9"/>
        <color theme="1"/>
        <rFont val="Century Gothic"/>
        <family val="2"/>
      </rPr>
      <t xml:space="preserve">Stesen bukit/ </t>
    </r>
    <r>
      <rPr>
        <i/>
        <sz val="9"/>
        <color theme="1"/>
        <rFont val="Century Gothic"/>
        <family val="2"/>
      </rPr>
      <t>Hill station</t>
    </r>
  </si>
  <si>
    <r>
      <t xml:space="preserve">Nota/ </t>
    </r>
    <r>
      <rPr>
        <i/>
        <sz val="9"/>
        <color theme="1"/>
        <rFont val="Century Gothic"/>
        <family val="2"/>
      </rPr>
      <t>Notes</t>
    </r>
    <r>
      <rPr>
        <sz val="9"/>
        <color theme="1"/>
        <rFont val="Century Gothic"/>
        <family val="2"/>
      </rPr>
      <t>:</t>
    </r>
    <r>
      <rPr>
        <b/>
        <sz val="9"/>
        <color theme="1"/>
        <rFont val="Century Gothic"/>
        <family val="2"/>
      </rPr>
      <t xml:space="preserve"> </t>
    </r>
  </si>
  <si>
    <t>Source: Malaysia Meteorological Department</t>
  </si>
  <si>
    <t>Sumber: Jabatan Meteorologi Malaysia</t>
  </si>
  <si>
    <r>
      <rPr>
        <b/>
        <sz val="10"/>
        <color theme="1"/>
        <rFont val="Century Gothic"/>
        <family val="2"/>
      </rPr>
      <t>Maks</t>
    </r>
    <r>
      <rPr>
        <sz val="10"/>
        <color theme="1"/>
        <rFont val="Century Gothic"/>
        <family val="2"/>
      </rPr>
      <t xml:space="preserve">.
</t>
    </r>
    <r>
      <rPr>
        <i/>
        <sz val="10"/>
        <color theme="1"/>
        <rFont val="Century Gothic"/>
        <family val="2"/>
      </rPr>
      <t>Max.</t>
    </r>
  </si>
  <si>
    <t>Min.</t>
  </si>
  <si>
    <t>Jerantut</t>
  </si>
  <si>
    <t>Batu Embun, Jerantut
(59.5 m)</t>
  </si>
  <si>
    <t>Cameron Highlands</t>
  </si>
  <si>
    <r>
      <t>Cameron Highlands</t>
    </r>
    <r>
      <rPr>
        <vertAlign val="superscript"/>
        <sz val="10"/>
        <color theme="1"/>
        <rFont val="Century Gothic"/>
        <family val="2"/>
      </rPr>
      <t>1</t>
    </r>
    <r>
      <rPr>
        <sz val="10"/>
        <color theme="1"/>
        <rFont val="Century Gothic"/>
        <family val="2"/>
      </rPr>
      <t xml:space="preserve">
(1,545.0 m)</t>
    </r>
  </si>
  <si>
    <t>Kuala Pilah</t>
  </si>
  <si>
    <t>Kuala Pilah
(144.0 m)</t>
  </si>
  <si>
    <t>Melaka Tengah</t>
  </si>
  <si>
    <t>Melaka
(8.5 m)</t>
  </si>
  <si>
    <t>Pasir Puteh</t>
  </si>
  <si>
    <t>Gong Kedak
(6.0 m)</t>
  </si>
  <si>
    <t>Kuala Krai</t>
  </si>
  <si>
    <t>Kuala Krai
(34.9 m)</t>
  </si>
  <si>
    <t>Kota Bharu</t>
  </si>
  <si>
    <t>Kota Bharu
(4.4 m)</t>
  </si>
  <si>
    <t>Langkawi</t>
  </si>
  <si>
    <t>Pulau Langkawi
(6.4 m)</t>
  </si>
  <si>
    <t>Alor Setar</t>
  </si>
  <si>
    <t>Alor Setar
(3.9 m)</t>
  </si>
  <si>
    <t>Senai</t>
  </si>
  <si>
    <t>Senai 
(37.8 m)</t>
  </si>
  <si>
    <t>Mersing</t>
  </si>
  <si>
    <t>Mersing
(43.6 m)</t>
  </si>
  <si>
    <t>Kluang</t>
  </si>
  <si>
    <t>Kluang 
(88.1 m)</t>
  </si>
  <si>
    <r>
      <t xml:space="preserve">Maks.
</t>
    </r>
    <r>
      <rPr>
        <i/>
        <sz val="10"/>
        <color theme="1"/>
        <rFont val="Century Gothic"/>
        <family val="2"/>
      </rPr>
      <t>Max.</t>
    </r>
  </si>
  <si>
    <t>Batu Pahat</t>
  </si>
  <si>
    <t>Batu Pahat
(6.3 m)</t>
  </si>
  <si>
    <r>
      <t>2024
(</t>
    </r>
    <r>
      <rPr>
        <b/>
        <vertAlign val="superscript"/>
        <sz val="10"/>
        <rFont val="Century Gothic"/>
        <family val="2"/>
      </rPr>
      <t>o</t>
    </r>
    <r>
      <rPr>
        <b/>
        <sz val="10"/>
        <rFont val="Century Gothic"/>
        <family val="2"/>
      </rPr>
      <t>C)</t>
    </r>
  </si>
  <si>
    <r>
      <t>2023
(</t>
    </r>
    <r>
      <rPr>
        <b/>
        <vertAlign val="superscript"/>
        <sz val="10"/>
        <rFont val="Century Gothic"/>
        <family val="2"/>
      </rPr>
      <t>o</t>
    </r>
    <r>
      <rPr>
        <b/>
        <sz val="10"/>
        <rFont val="Century Gothic"/>
        <family val="2"/>
      </rPr>
      <t>C)</t>
    </r>
  </si>
  <si>
    <r>
      <t>2022
(</t>
    </r>
    <r>
      <rPr>
        <b/>
        <vertAlign val="superscript"/>
        <sz val="10"/>
        <color theme="1"/>
        <rFont val="Century Gothic"/>
        <family val="2"/>
      </rPr>
      <t>o</t>
    </r>
    <r>
      <rPr>
        <b/>
        <sz val="10"/>
        <color theme="1"/>
        <rFont val="Century Gothic"/>
        <family val="2"/>
      </rPr>
      <t>C)</t>
    </r>
  </si>
  <si>
    <r>
      <rPr>
        <b/>
        <sz val="10"/>
        <color theme="1"/>
        <rFont val="Century Gothic"/>
        <family val="2"/>
      </rPr>
      <t>Suhu</t>
    </r>
    <r>
      <rPr>
        <sz val="10"/>
        <color theme="1"/>
        <rFont val="Century Gothic"/>
        <family val="2"/>
      </rPr>
      <t xml:space="preserve">
</t>
    </r>
    <r>
      <rPr>
        <i/>
        <sz val="10"/>
        <color theme="1"/>
        <rFont val="Century Gothic"/>
        <family val="2"/>
      </rPr>
      <t>Temperature</t>
    </r>
    <r>
      <rPr>
        <sz val="10"/>
        <color theme="1"/>
        <rFont val="Century Gothic"/>
        <family val="2"/>
      </rPr>
      <t xml:space="preserve"> </t>
    </r>
  </si>
  <si>
    <r>
      <rPr>
        <b/>
        <sz val="10"/>
        <color theme="1"/>
        <rFont val="Century Gothic"/>
        <family val="2"/>
      </rPr>
      <t xml:space="preserve">Daerah
</t>
    </r>
    <r>
      <rPr>
        <i/>
        <sz val="10"/>
        <color theme="1"/>
        <rFont val="Century Gothic"/>
        <family val="2"/>
      </rPr>
      <t>District</t>
    </r>
  </si>
  <si>
    <r>
      <t xml:space="preserve">STESEN METEOROLOGI TERPILIH (KETINGGIAN DARI PURATA PARAS LAUT DALAM METER) 
</t>
    </r>
    <r>
      <rPr>
        <i/>
        <sz val="10"/>
        <color theme="1"/>
        <rFont val="Century Gothic"/>
        <family val="2"/>
      </rPr>
      <t xml:space="preserve">SELECTED METEOROLOGICAL STATION (HEIGHT ABOVE MEAN SEA LEVEL IN METRES) </t>
    </r>
  </si>
  <si>
    <t>: Mean temperature, Malaysia, 2022 - 2024</t>
  </si>
  <si>
    <t>Table 37.0</t>
  </si>
  <si>
    <t>: Purata suhu, Malaysia, 2022 - 2024</t>
  </si>
  <si>
    <t>Jadual 37.0</t>
  </si>
  <si>
    <t>Kuala Terengganu</t>
  </si>
  <si>
    <t>Kuala Terengganu
(5.2 m)</t>
  </si>
  <si>
    <t>Kemaman</t>
  </si>
  <si>
    <t>Kerteh
(3.7 m)</t>
  </si>
  <si>
    <t>Sepang</t>
  </si>
  <si>
    <t>KLIA Sepang
(16.1 m)</t>
  </si>
  <si>
    <t xml:space="preserve">Petaling </t>
  </si>
  <si>
    <t>Subang
(16.6 m)</t>
  </si>
  <si>
    <t>Petaling Jaya
(58.6 m)</t>
  </si>
  <si>
    <t>Kangar</t>
  </si>
  <si>
    <t>Chuping
(21.7 m)</t>
  </si>
  <si>
    <t>Manjung</t>
  </si>
  <si>
    <t>Sitiawan
(6.8 m)</t>
  </si>
  <si>
    <t>Kuala Kangsar</t>
  </si>
  <si>
    <t>Lubok Merbau, Kuala Kangsar
(77.5 m)</t>
  </si>
  <si>
    <t>Kinta</t>
  </si>
  <si>
    <t>Ipoh
(40.1 m)</t>
  </si>
  <si>
    <t>Seberang Perai</t>
  </si>
  <si>
    <t>Butterworth
(3.3 m)</t>
  </si>
  <si>
    <t>Barat Daya</t>
  </si>
  <si>
    <t>Bayan Lepas
(2.5 m)</t>
  </si>
  <si>
    <t>Temerloh</t>
  </si>
  <si>
    <t>Temerloh
(39.1 m)</t>
  </si>
  <si>
    <t>Rompin</t>
  </si>
  <si>
    <t>Muadzam Shah
(33.3 m)</t>
  </si>
  <si>
    <t>Kuantan</t>
  </si>
  <si>
    <t>Kuantan
(15.2 m)</t>
  </si>
  <si>
    <t>: Mean temperature, Malaysia, 2022 - 2024 (cont'd)</t>
  </si>
  <si>
    <t>: Purata suhu, Malaysia, 2022 - 2024 (samb.)</t>
  </si>
  <si>
    <r>
      <t xml:space="preserve">Pemboleh ubah adalah menggambarkan data dalam lingkungan radius 15 kilometer daripada stesen dan bukan mewakili keseluruhan Parlimen
</t>
    </r>
    <r>
      <rPr>
        <i/>
        <sz val="9"/>
        <color theme="1"/>
        <rFont val="Century Gothic"/>
        <family val="2"/>
      </rPr>
      <t>The variables are reflective of data within 15 kilometer radius of the station and are not representative of the entire Parliament</t>
    </r>
  </si>
  <si>
    <t>Sri Aman</t>
  </si>
  <si>
    <t>Sri Aman
(9.6 m)</t>
  </si>
  <si>
    <t>Sibu</t>
  </si>
  <si>
    <t>Sibu
(30.9 m)</t>
  </si>
  <si>
    <t>Miri</t>
  </si>
  <si>
    <t>Mulu
(26.2 m)</t>
  </si>
  <si>
    <t>Miri
(17.0 m)</t>
  </si>
  <si>
    <t>Limbang</t>
  </si>
  <si>
    <t>Limbang
(3.6 m)</t>
  </si>
  <si>
    <t>Kuching</t>
  </si>
  <si>
    <t>Kuching
(20.9 m)</t>
  </si>
  <si>
    <t>Kapit</t>
  </si>
  <si>
    <t>Kapit
(35.0 m)</t>
  </si>
  <si>
    <t>Bintulu</t>
  </si>
  <si>
    <t>Bintulu
(24.3 m)</t>
  </si>
  <si>
    <t>Tawau</t>
  </si>
  <si>
    <t>Tawau
(17.5 m)</t>
  </si>
  <si>
    <t>Sandakan</t>
  </si>
  <si>
    <t>Sandakan
(12.1 m)</t>
  </si>
  <si>
    <t>Ranau</t>
  </si>
  <si>
    <t>Ranau
(501.0 m)</t>
  </si>
  <si>
    <t>Kudat</t>
  </si>
  <si>
    <t>Kudat
(3.5 m)</t>
  </si>
  <si>
    <t>Kota Kinabalu</t>
  </si>
  <si>
    <t>Kota Kinabalu
(2.1 m)</t>
  </si>
  <si>
    <t>Keningau</t>
  </si>
  <si>
    <t>Keningau
(319.0 m)</t>
  </si>
  <si>
    <t>Labuan</t>
  </si>
  <si>
    <t>Labuan
(27.9 m)</t>
  </si>
  <si>
    <t>: Mean temperature, Malaysia,2022 - 2024 (cont'd)</t>
  </si>
  <si>
    <r>
      <rPr>
        <b/>
        <sz val="10"/>
        <color theme="1"/>
        <rFont val="Century Gothic"/>
        <family val="2"/>
      </rPr>
      <t>Bil. Hari</t>
    </r>
    <r>
      <rPr>
        <sz val="10"/>
        <color theme="1"/>
        <rFont val="Century Gothic"/>
        <family val="2"/>
      </rPr>
      <t xml:space="preserve">
</t>
    </r>
    <r>
      <rPr>
        <i/>
        <sz val="10"/>
        <color theme="1"/>
        <rFont val="Century Gothic"/>
        <family val="2"/>
      </rPr>
      <t>No. of days</t>
    </r>
  </si>
  <si>
    <r>
      <t xml:space="preserve">Jumlah (mm)
</t>
    </r>
    <r>
      <rPr>
        <i/>
        <sz val="10"/>
        <color theme="1"/>
        <rFont val="Century Gothic"/>
        <family val="2"/>
      </rPr>
      <t>Total</t>
    </r>
  </si>
  <si>
    <t>Melaka 
(8.5 m)</t>
  </si>
  <si>
    <t xml:space="preserve">Melaka </t>
  </si>
  <si>
    <t>Def.</t>
  </si>
  <si>
    <t>Senai
(37.8 m)</t>
  </si>
  <si>
    <t>Kluang
(88.1 m)</t>
  </si>
  <si>
    <t>: Rainfall volume, Malaysia, 2022 - 2024</t>
  </si>
  <si>
    <t>Table 38.0</t>
  </si>
  <si>
    <t>: Volum hujan, Malaysia, 2022 - 2024</t>
  </si>
  <si>
    <t>Jadual 38.0</t>
  </si>
  <si>
    <t>Chuping  
(21.7 m)</t>
  </si>
  <si>
    <t>: Rainfall volume, Malaysia, 2022 - 2024 (cont'd)</t>
  </si>
  <si>
    <t>: Volum hujan, Malaysia, 2022 - 2024 (samb.)</t>
  </si>
  <si>
    <t xml:space="preserve">Labuan
(27.9 m)
</t>
  </si>
  <si>
    <t xml:space="preserve">Def. </t>
  </si>
  <si>
    <t>2024
(%)</t>
  </si>
  <si>
    <t>2023
(%)</t>
  </si>
  <si>
    <t>2022
(%)</t>
  </si>
  <si>
    <r>
      <rPr>
        <b/>
        <sz val="10"/>
        <color theme="1"/>
        <rFont val="Century Gothic"/>
        <family val="2"/>
      </rPr>
      <t>Daerah</t>
    </r>
    <r>
      <rPr>
        <sz val="10"/>
        <color theme="1"/>
        <rFont val="Century Gothic"/>
        <family val="2"/>
      </rPr>
      <t xml:space="preserve">
</t>
    </r>
    <r>
      <rPr>
        <i/>
        <sz val="10"/>
        <color theme="1"/>
        <rFont val="Century Gothic"/>
        <family val="2"/>
      </rPr>
      <t>District</t>
    </r>
  </si>
  <si>
    <t>: Mean relative humidity, Malaysia, 2022 - 2024</t>
  </si>
  <si>
    <t>Table 39.0</t>
  </si>
  <si>
    <t>: Purata kelembapan relatif, Malaysia, 2022 - 2024</t>
  </si>
  <si>
    <t>Jadual 39.0</t>
  </si>
  <si>
    <t>: Mean relative humidity, Malaysia, 2022 - 2024 (cont'd)</t>
  </si>
  <si>
    <t>: Purata kelembapan relatif Malaysia, 2022 - 2024 (samb.)</t>
  </si>
  <si>
    <t>Number of deaths</t>
  </si>
  <si>
    <t xml:space="preserve">Number of positive cases </t>
  </si>
  <si>
    <t>Bilangan kematian</t>
  </si>
  <si>
    <t>Bilangan kes positif</t>
  </si>
  <si>
    <r>
      <rPr>
        <b/>
        <sz val="10"/>
        <rFont val="Century Gothic"/>
        <family val="2"/>
      </rPr>
      <t>Tahun</t>
    </r>
    <r>
      <rPr>
        <sz val="10"/>
        <rFont val="Century Gothic"/>
        <family val="2"/>
      </rPr>
      <t xml:space="preserve">
</t>
    </r>
    <r>
      <rPr>
        <i/>
        <sz val="10"/>
        <rFont val="Century Gothic"/>
        <family val="2"/>
      </rPr>
      <t>Year</t>
    </r>
  </si>
  <si>
    <t>Table 40.0</t>
  </si>
  <si>
    <t>Jadual 40.0</t>
  </si>
  <si>
    <r>
      <rPr>
        <b/>
        <sz val="10"/>
        <rFont val="Century Gothic"/>
        <family val="2"/>
      </rPr>
      <t>Penggalak 2</t>
    </r>
    <r>
      <rPr>
        <sz val="10"/>
        <rFont val="Century Gothic"/>
        <family val="2"/>
      </rPr>
      <t xml:space="preserve">
</t>
    </r>
    <r>
      <rPr>
        <i/>
        <sz val="10"/>
        <rFont val="Century Gothic"/>
        <family val="2"/>
      </rPr>
      <t>Booster 2</t>
    </r>
  </si>
  <si>
    <r>
      <rPr>
        <b/>
        <sz val="10"/>
        <rFont val="Century Gothic"/>
        <family val="2"/>
      </rPr>
      <t>Penggalak 1</t>
    </r>
    <r>
      <rPr>
        <sz val="10"/>
        <rFont val="Century Gothic"/>
        <family val="2"/>
      </rPr>
      <t xml:space="preserve">
</t>
    </r>
    <r>
      <rPr>
        <i/>
        <sz val="10"/>
        <rFont val="Century Gothic"/>
        <family val="2"/>
      </rPr>
      <t>Booster 1</t>
    </r>
  </si>
  <si>
    <r>
      <rPr>
        <b/>
        <sz val="10"/>
        <rFont val="Century Gothic"/>
        <family val="2"/>
      </rPr>
      <t>Dos</t>
    </r>
    <r>
      <rPr>
        <sz val="10"/>
        <rFont val="Century Gothic"/>
        <family val="2"/>
      </rPr>
      <t xml:space="preserve"> </t>
    </r>
    <r>
      <rPr>
        <b/>
        <sz val="10"/>
        <rFont val="Century Gothic"/>
        <family val="2"/>
      </rPr>
      <t>2</t>
    </r>
    <r>
      <rPr>
        <sz val="10"/>
        <rFont val="Century Gothic"/>
        <family val="2"/>
      </rPr>
      <t xml:space="preserve"> 
</t>
    </r>
    <r>
      <rPr>
        <i/>
        <sz val="10"/>
        <rFont val="Century Gothic"/>
        <family val="2"/>
      </rPr>
      <t>Dose 2</t>
    </r>
  </si>
  <si>
    <r>
      <rPr>
        <b/>
        <sz val="10"/>
        <rFont val="Century Gothic"/>
        <family val="2"/>
      </rPr>
      <t>Dos</t>
    </r>
    <r>
      <rPr>
        <sz val="10"/>
        <rFont val="Century Gothic"/>
        <family val="2"/>
      </rPr>
      <t xml:space="preserve"> </t>
    </r>
    <r>
      <rPr>
        <b/>
        <sz val="10"/>
        <rFont val="Century Gothic"/>
        <family val="2"/>
      </rPr>
      <t>1</t>
    </r>
    <r>
      <rPr>
        <sz val="10"/>
        <rFont val="Century Gothic"/>
        <family val="2"/>
      </rPr>
      <t xml:space="preserve"> 
</t>
    </r>
    <r>
      <rPr>
        <i/>
        <sz val="10"/>
        <rFont val="Century Gothic"/>
        <family val="2"/>
      </rPr>
      <t>Dose 1</t>
    </r>
  </si>
  <si>
    <r>
      <t xml:space="preserve">Umur 60 dan lebih
</t>
    </r>
    <r>
      <rPr>
        <sz val="10"/>
        <rFont val="Century Gothic"/>
        <family val="2"/>
      </rPr>
      <t>Age 60</t>
    </r>
    <r>
      <rPr>
        <i/>
        <sz val="10"/>
        <rFont val="Century Gothic"/>
        <family val="2"/>
      </rPr>
      <t xml:space="preserve"> and over</t>
    </r>
  </si>
  <si>
    <r>
      <t xml:space="preserve">Umur 18 - 59 tahun
</t>
    </r>
    <r>
      <rPr>
        <i/>
        <sz val="10"/>
        <rFont val="Century Gothic"/>
        <family val="2"/>
      </rPr>
      <t>Age 18 - 59 years</t>
    </r>
  </si>
  <si>
    <r>
      <t xml:space="preserve">Umur 5 - 17 tahun
</t>
    </r>
    <r>
      <rPr>
        <i/>
        <sz val="10"/>
        <rFont val="Century Gothic"/>
        <family val="2"/>
      </rPr>
      <t>Age 5 - 17</t>
    </r>
    <r>
      <rPr>
        <b/>
        <sz val="10"/>
        <rFont val="Century Gothic"/>
        <family val="2"/>
      </rPr>
      <t xml:space="preserve"> </t>
    </r>
    <r>
      <rPr>
        <i/>
        <sz val="10"/>
        <rFont val="Century Gothic"/>
        <family val="2"/>
      </rPr>
      <t>years</t>
    </r>
  </si>
  <si>
    <r>
      <t xml:space="preserve">Negeri
</t>
    </r>
    <r>
      <rPr>
        <i/>
        <sz val="10"/>
        <rFont val="Century Gothic"/>
        <family val="2"/>
      </rPr>
      <t>State</t>
    </r>
  </si>
  <si>
    <t>: Statistics of COVID-19 vaccine recipient by age, Malaysia, 2024</t>
  </si>
  <si>
    <t>Table 40.1</t>
  </si>
  <si>
    <t>: Statistik penerima vaksin COVID-19 mengikut umur, Malaysia, 2024</t>
  </si>
  <si>
    <t>Jadual 40.1</t>
  </si>
  <si>
    <t>Collection and distribution value in Ringgit Malaysia (RM)</t>
  </si>
  <si>
    <t>Nilai kutipan dan agihan dalam Ringgit Malaysia (RM)</t>
  </si>
  <si>
    <t>Source: State Islamic Religious Council</t>
  </si>
  <si>
    <t>Sumber: Majlis Agama Islam Negeri-Negeri</t>
  </si>
  <si>
    <t>Wilayah Persekutuan</t>
  </si>
  <si>
    <t>Zakat distribution</t>
  </si>
  <si>
    <t>Agihan zakat</t>
  </si>
  <si>
    <t>Zakat collection</t>
  </si>
  <si>
    <t>Kutipan zakat</t>
  </si>
  <si>
    <t>ZAKAT</t>
  </si>
  <si>
    <t>: Zakat collection and distribution statistics by state, Malaysia, 2023 - 2025</t>
  </si>
  <si>
    <t>Table 41.0</t>
  </si>
  <si>
    <t>: Statistik kutipan dan agihan zakat mengikut negeri, Malaysia, 2023 - 2025</t>
  </si>
  <si>
    <t>Jadual 41.0</t>
  </si>
  <si>
    <r>
      <t xml:space="preserve">KDNK per kapita pada harga semasa (RM)
</t>
    </r>
    <r>
      <rPr>
        <i/>
        <sz val="10"/>
        <rFont val="Century Gothic"/>
        <family val="2"/>
      </rPr>
      <t>GDP per capita at current prices (RM)</t>
    </r>
  </si>
  <si>
    <r>
      <t xml:space="preserve">KDNK pada harga semasa (RM juta)
</t>
    </r>
    <r>
      <rPr>
        <i/>
        <sz val="10"/>
        <rFont val="Century Gothic"/>
        <family val="2"/>
      </rPr>
      <t>GDP at current prices (RM million)</t>
    </r>
  </si>
  <si>
    <r>
      <rPr>
        <b/>
        <sz val="10"/>
        <rFont val="Century Gothic"/>
        <family val="2"/>
      </rPr>
      <t>Tambah Duti Import</t>
    </r>
    <r>
      <rPr>
        <sz val="10"/>
        <rFont val="Century Gothic"/>
        <family val="2"/>
      </rPr>
      <t xml:space="preserve">
</t>
    </r>
    <r>
      <rPr>
        <i/>
        <sz val="10"/>
        <rFont val="Century Gothic"/>
        <family val="2"/>
      </rPr>
      <t>Plus Import Duties</t>
    </r>
  </si>
  <si>
    <r>
      <rPr>
        <b/>
        <sz val="10"/>
        <rFont val="Century Gothic"/>
        <family val="2"/>
      </rPr>
      <t>Perkhidmatan</t>
    </r>
    <r>
      <rPr>
        <sz val="10"/>
        <rFont val="Century Gothic"/>
        <family val="2"/>
      </rPr>
      <t xml:space="preserve">
</t>
    </r>
    <r>
      <rPr>
        <i/>
        <sz val="10"/>
        <rFont val="Century Gothic"/>
        <family val="2"/>
      </rPr>
      <t>Services</t>
    </r>
  </si>
  <si>
    <r>
      <rPr>
        <b/>
        <sz val="10"/>
        <rFont val="Century Gothic"/>
        <family val="2"/>
      </rPr>
      <t>Pembinaan</t>
    </r>
    <r>
      <rPr>
        <sz val="10"/>
        <rFont val="Century Gothic"/>
        <family val="2"/>
      </rPr>
      <t xml:space="preserve">
</t>
    </r>
    <r>
      <rPr>
        <i/>
        <sz val="10"/>
        <rFont val="Century Gothic"/>
        <family val="2"/>
      </rPr>
      <t>Construction</t>
    </r>
  </si>
  <si>
    <r>
      <rPr>
        <b/>
        <sz val="10"/>
        <rFont val="Century Gothic"/>
        <family val="2"/>
      </rPr>
      <t>Pembuatan</t>
    </r>
    <r>
      <rPr>
        <sz val="10"/>
        <rFont val="Century Gothic"/>
        <family val="2"/>
      </rPr>
      <t xml:space="preserve">
</t>
    </r>
    <r>
      <rPr>
        <i/>
        <sz val="10"/>
        <rFont val="Century Gothic"/>
        <family val="2"/>
      </rPr>
      <t>Manufacturing</t>
    </r>
  </si>
  <si>
    <r>
      <rPr>
        <b/>
        <sz val="10"/>
        <rFont val="Century Gothic"/>
        <family val="2"/>
      </rPr>
      <t>Perlombongan dan pengkuarian</t>
    </r>
    <r>
      <rPr>
        <sz val="10"/>
        <rFont val="Century Gothic"/>
        <family val="2"/>
      </rPr>
      <t xml:space="preserve">
</t>
    </r>
    <r>
      <rPr>
        <i/>
        <sz val="10"/>
        <rFont val="Century Gothic"/>
        <family val="2"/>
      </rPr>
      <t>Mining and quarrying</t>
    </r>
  </si>
  <si>
    <r>
      <rPr>
        <b/>
        <sz val="10"/>
        <rFont val="Century Gothic"/>
        <family val="2"/>
      </rPr>
      <t>Pertanian</t>
    </r>
    <r>
      <rPr>
        <sz val="10"/>
        <rFont val="Century Gothic"/>
        <family val="2"/>
      </rPr>
      <t xml:space="preserve">
</t>
    </r>
    <r>
      <rPr>
        <i/>
        <sz val="10"/>
        <rFont val="Century Gothic"/>
        <family val="2"/>
      </rPr>
      <t>Agriculture</t>
    </r>
  </si>
  <si>
    <r>
      <t xml:space="preserve">Perubahan peratusan tahunan (%)
</t>
    </r>
    <r>
      <rPr>
        <i/>
        <sz val="10"/>
        <rFont val="Century Gothic"/>
        <family val="2"/>
      </rPr>
      <t>Annual percentage change (%)</t>
    </r>
  </si>
  <si>
    <r>
      <t xml:space="preserve">KDNK mengikut jenis aktiviti ekonomi pada harga malar 2015 (RM juta)
</t>
    </r>
    <r>
      <rPr>
        <i/>
        <sz val="10"/>
        <rFont val="Century Gothic"/>
        <family val="2"/>
      </rPr>
      <t>GDP by kind of economic activity at constant 2015 prices (RM million)</t>
    </r>
  </si>
  <si>
    <r>
      <t>2025</t>
    </r>
    <r>
      <rPr>
        <b/>
        <vertAlign val="superscript"/>
        <sz val="10"/>
        <rFont val="Century Gothic"/>
        <family val="2"/>
      </rPr>
      <t>p</t>
    </r>
  </si>
  <si>
    <r>
      <t>2024</t>
    </r>
    <r>
      <rPr>
        <b/>
        <vertAlign val="superscript"/>
        <sz val="10"/>
        <rFont val="Century Gothic"/>
        <family val="2"/>
      </rPr>
      <t>e</t>
    </r>
  </si>
  <si>
    <r>
      <t xml:space="preserve">KELUARAN DALAM NEGERI KASAR (KDNK)
</t>
    </r>
    <r>
      <rPr>
        <i/>
        <sz val="10"/>
        <rFont val="Century Gothic"/>
        <family val="2"/>
      </rPr>
      <t>GROSS DOMESTIC PRODUCT (GDP)</t>
    </r>
  </si>
  <si>
    <r>
      <t>: Gross Domestic Product (GDP), Negeri Sembilan, 2023 - 2025</t>
    </r>
    <r>
      <rPr>
        <i/>
        <vertAlign val="superscript"/>
        <sz val="11"/>
        <rFont val="Century Gothic"/>
        <family val="2"/>
      </rPr>
      <t>p</t>
    </r>
  </si>
  <si>
    <t xml:space="preserve">  Table 42.0</t>
  </si>
  <si>
    <r>
      <t>: Keluaran Dalam Negeri Kasar (KDNK), Negeri Sembilan, 2023 - 2025</t>
    </r>
    <r>
      <rPr>
        <b/>
        <vertAlign val="superscript"/>
        <sz val="11"/>
        <rFont val="Century Gothic"/>
        <family val="2"/>
      </rPr>
      <t>p</t>
    </r>
  </si>
  <si>
    <t>Jadual 42.0</t>
  </si>
  <si>
    <t>Tanjung Manis</t>
  </si>
  <si>
    <t>Telang Usan</t>
  </si>
  <si>
    <t>Tebedu</t>
  </si>
  <si>
    <t>Tatau</t>
  </si>
  <si>
    <t>Selangau</t>
  </si>
  <si>
    <t>Sebauh</t>
  </si>
  <si>
    <t>Sarikei</t>
  </si>
  <si>
    <t>Saratok</t>
  </si>
  <si>
    <t>Samarahan</t>
  </si>
  <si>
    <t>Pusa</t>
  </si>
  <si>
    <t>Pakan</t>
  </si>
  <si>
    <t>Mukah</t>
  </si>
  <si>
    <t>Matu</t>
  </si>
  <si>
    <t>Annual percentage change (%)</t>
  </si>
  <si>
    <t>GDP by kind of economic activity at constant 2015 prices (RM million)</t>
  </si>
  <si>
    <t xml:space="preserve">Administrative
district </t>
  </si>
  <si>
    <t>Perubahan peratusan tahunan (%)</t>
  </si>
  <si>
    <t>Daerah pentadbiran</t>
  </si>
  <si>
    <t>KDNK mengikut jenis aktiviti ekonomi pada harga malar 2015 (RM juta)</t>
  </si>
  <si>
    <t>: Gross Domestic Product (GDP) by administrative district, Negeri Sembilan, 2018 - 2020 (cont'd)</t>
  </si>
  <si>
    <t xml:space="preserve">   Table 42.1</t>
  </si>
  <si>
    <t>: Keluaran Dalam Negeri Kasar (KDNK) mengikut daerah pentadbiran, Negeri Sembilan, 2018 - 2020 (samb.)</t>
  </si>
  <si>
    <t>Jadual 42.1</t>
  </si>
  <si>
    <t>Maradong</t>
  </si>
  <si>
    <t>Lundu</t>
  </si>
  <si>
    <t>Lubok Antu</t>
  </si>
  <si>
    <t>Lawas</t>
  </si>
  <si>
    <t>Kanowit</t>
  </si>
  <si>
    <t>Kabong</t>
  </si>
  <si>
    <t>Julau</t>
  </si>
  <si>
    <t>Marudi</t>
  </si>
  <si>
    <t>Daro</t>
  </si>
  <si>
    <t>Dalat</t>
  </si>
  <si>
    <t>Bukit Mabong</t>
  </si>
  <si>
    <t>Betong</t>
  </si>
  <si>
    <t>Beluru</t>
  </si>
  <si>
    <t>Belaga</t>
  </si>
  <si>
    <t>Bau</t>
  </si>
  <si>
    <t>Seberang Perai Selatan</t>
  </si>
  <si>
    <t>SARAWAK</t>
  </si>
  <si>
    <t>: Gross Domestic Product (GDP) by administrative district, Negeri Sembilan, 2018 - 2020</t>
  </si>
  <si>
    <t>: Keluaran Dalam Negeri Kasar (KDNK) mengikut daerah pentadbiran, Negeri Sembilan, 2018 - 2020</t>
  </si>
  <si>
    <t>interest for any state) or declarations made by the agent are not included in this table</t>
  </si>
  <si>
    <t xml:space="preserve">Export and import activities that are taking place in the Supra area (including production activities beyond the centre of predominant economic </t>
  </si>
  <si>
    <t>mana-mana negeri) atau perikraran yang dilakukan oleh ejen penghantar tidak termasuk dalam jadual ini</t>
  </si>
  <si>
    <t xml:space="preserve">Aktiviti eksport dan import yang berlaku di kawasan Supra (merangkumi aktiviti pengeluaran yang melangkaui pusat ekonomi utama bagi </t>
  </si>
  <si>
    <r>
      <t xml:space="preserve">Nota / </t>
    </r>
    <r>
      <rPr>
        <i/>
        <sz val="9"/>
        <rFont val="Century Gothic"/>
        <family val="2"/>
      </rPr>
      <t>Notes</t>
    </r>
    <r>
      <rPr>
        <sz val="9"/>
        <rFont val="Century Gothic"/>
        <family val="2"/>
      </rPr>
      <t xml:space="preserve">: </t>
    </r>
  </si>
  <si>
    <t>Total Trade (Annual Growth, %)</t>
  </si>
  <si>
    <t>Jumlah Dagangan (Pertumbuhan Tahunan, %)</t>
  </si>
  <si>
    <t>Imports (Annual Growth, %)</t>
  </si>
  <si>
    <t>Import (Pertumbuhan Tahunan, %)</t>
  </si>
  <si>
    <t>Exports (Annual Growth, %)</t>
  </si>
  <si>
    <t>Eksport (Pertumbuhan Tahunan, %)</t>
  </si>
  <si>
    <t>Balance of Trade</t>
  </si>
  <si>
    <t>Imbangan Dagangan</t>
  </si>
  <si>
    <t>Total Trade</t>
  </si>
  <si>
    <t>Jumlah Dagangan</t>
  </si>
  <si>
    <t xml:space="preserve">Imports </t>
  </si>
  <si>
    <t xml:space="preserve">Import </t>
  </si>
  <si>
    <t>Exports</t>
  </si>
  <si>
    <t xml:space="preserve">Eksport </t>
  </si>
  <si>
    <t>Table 43.0</t>
  </si>
  <si>
    <t>Jadual 43.0</t>
  </si>
  <si>
    <t>Muzium Tentera Darat</t>
  </si>
  <si>
    <t>Hulu Langat</t>
  </si>
  <si>
    <t>Klang</t>
  </si>
  <si>
    <t>Nilai 3 Wholesale Centre</t>
  </si>
  <si>
    <t>Gombak</t>
  </si>
  <si>
    <t>Batu Caves</t>
  </si>
  <si>
    <t>Pantai Teluk Kemang</t>
  </si>
  <si>
    <t>Kuala Selangor</t>
  </si>
  <si>
    <t>Palm Mall Seremban</t>
  </si>
  <si>
    <t>Damansara</t>
  </si>
  <si>
    <t>Pantai Port Dickson</t>
  </si>
  <si>
    <t>Petaling Jaya</t>
  </si>
  <si>
    <t>Bandar Sunway</t>
  </si>
  <si>
    <r>
      <t xml:space="preserve">Lima Destinasi Utama Dilawati Pelawat Domestik
</t>
    </r>
    <r>
      <rPr>
        <i/>
        <sz val="10"/>
        <rFont val="Century Gothic"/>
        <family val="2"/>
      </rPr>
      <t>Top Five Most Visited Destinations by Domestic Visitors</t>
    </r>
  </si>
  <si>
    <r>
      <t xml:space="preserve">Pelancong
</t>
    </r>
    <r>
      <rPr>
        <i/>
        <sz val="10"/>
        <color rgb="FF000000"/>
        <rFont val="Century Gothic"/>
        <family val="2"/>
      </rPr>
      <t>Tourist</t>
    </r>
    <r>
      <rPr>
        <b/>
        <sz val="10"/>
        <color rgb="FF000000"/>
        <rFont val="Century Gothic"/>
        <family val="2"/>
      </rPr>
      <t xml:space="preserve">
</t>
    </r>
  </si>
  <si>
    <r>
      <t xml:space="preserve">Pelawat Harian
</t>
    </r>
    <r>
      <rPr>
        <i/>
        <sz val="10"/>
        <color rgb="FF000000"/>
        <rFont val="Century Gothic"/>
        <family val="2"/>
      </rPr>
      <t>Excursionist</t>
    </r>
    <r>
      <rPr>
        <b/>
        <sz val="10"/>
        <color rgb="FF000000"/>
        <rFont val="Century Gothic"/>
        <family val="2"/>
      </rPr>
      <t xml:space="preserve">
</t>
    </r>
  </si>
  <si>
    <t>DOMESTIC TOURISM</t>
  </si>
  <si>
    <t>PELANCONGAN DOMESTIK</t>
  </si>
  <si>
    <t>: Principal statistics of domestic tourism, Selangor,  2023 - 2025</t>
  </si>
  <si>
    <t xml:space="preserve">  Table 44.0</t>
  </si>
  <si>
    <t>: Statistik utama pelancongan domestik, Selangor, 2023 - 2025</t>
  </si>
  <si>
    <t>Jadual 44.0</t>
  </si>
  <si>
    <t xml:space="preserve"> Data to be used with caution due to high relative standard error</t>
  </si>
  <si>
    <r>
      <rPr>
        <b/>
        <vertAlign val="superscript"/>
        <sz val="8"/>
        <color theme="1"/>
        <rFont val="Century Gothic"/>
        <family val="2"/>
      </rPr>
      <t xml:space="preserve">a </t>
    </r>
    <r>
      <rPr>
        <b/>
        <sz val="8"/>
        <color theme="1"/>
        <rFont val="Century Gothic"/>
        <family val="2"/>
      </rPr>
      <t>Penggunaan data secara berhati-hati kerana faktor ralat piawai relatif yang tinggi</t>
    </r>
  </si>
  <si>
    <r>
      <rPr>
        <b/>
        <sz val="8"/>
        <color theme="1"/>
        <rFont val="Century Gothic"/>
        <family val="1"/>
      </rPr>
      <t>Nota</t>
    </r>
    <r>
      <rPr>
        <sz val="8"/>
        <color theme="1"/>
        <rFont val="Century Gothic"/>
        <family val="1"/>
      </rPr>
      <t xml:space="preserve">/ </t>
    </r>
    <r>
      <rPr>
        <i/>
        <sz val="8"/>
        <color theme="1"/>
        <rFont val="Century Gothic"/>
        <family val="1"/>
      </rPr>
      <t>Note</t>
    </r>
    <r>
      <rPr>
        <sz val="8"/>
        <color theme="1"/>
        <rFont val="Century Gothic"/>
        <family val="1"/>
      </rPr>
      <t>:</t>
    </r>
  </si>
  <si>
    <r>
      <rPr>
        <b/>
        <sz val="10"/>
        <rFont val="Century Gothic"/>
        <family val="1"/>
      </rPr>
      <t>2.  Statistik Gaji &amp; Upah</t>
    </r>
    <r>
      <rPr>
        <sz val="10"/>
        <rFont val="Century Gothic"/>
        <family val="2"/>
      </rPr>
      <t xml:space="preserve"> 
</t>
    </r>
    <r>
      <rPr>
        <i/>
        <sz val="10"/>
        <rFont val="Century Gothic"/>
        <family val="1"/>
      </rPr>
      <t xml:space="preserve">     Salaries &amp; Wages Statistics</t>
    </r>
  </si>
  <si>
    <r>
      <rPr>
        <b/>
        <sz val="10"/>
        <color theme="1"/>
        <rFont val="Century Gothic"/>
        <family val="1"/>
      </rPr>
      <t>Kadar Pengangguran</t>
    </r>
    <r>
      <rPr>
        <b/>
        <vertAlign val="superscript"/>
        <sz val="10"/>
        <color theme="1"/>
        <rFont val="Century Gothic"/>
        <family val="2"/>
      </rPr>
      <t>a</t>
    </r>
    <r>
      <rPr>
        <b/>
        <sz val="10"/>
        <color theme="1"/>
        <rFont val="Century Gothic"/>
        <family val="1"/>
      </rPr>
      <t xml:space="preserve"> (%)</t>
    </r>
    <r>
      <rPr>
        <sz val="10"/>
        <color theme="1"/>
        <rFont val="Century Gothic"/>
        <family val="1"/>
      </rPr>
      <t xml:space="preserve">
</t>
    </r>
    <r>
      <rPr>
        <i/>
        <sz val="10"/>
        <color theme="1"/>
        <rFont val="Century Gothic"/>
        <family val="1"/>
      </rPr>
      <t>Unemployment Rate</t>
    </r>
  </si>
  <si>
    <r>
      <rPr>
        <b/>
        <sz val="10"/>
        <color theme="1"/>
        <rFont val="Century Gothic"/>
        <family val="1"/>
      </rPr>
      <t>Penganggur</t>
    </r>
    <r>
      <rPr>
        <b/>
        <vertAlign val="superscript"/>
        <sz val="10"/>
        <color theme="1"/>
        <rFont val="Century Gothic"/>
        <family val="2"/>
      </rPr>
      <t>a</t>
    </r>
    <r>
      <rPr>
        <b/>
        <sz val="10"/>
        <color theme="1"/>
        <rFont val="Century Gothic"/>
        <family val="1"/>
      </rPr>
      <t xml:space="preserve"> ('000)</t>
    </r>
    <r>
      <rPr>
        <sz val="10"/>
        <color theme="1"/>
        <rFont val="Century Gothic"/>
        <family val="1"/>
      </rPr>
      <t xml:space="preserve">
</t>
    </r>
    <r>
      <rPr>
        <i/>
        <sz val="10"/>
        <color theme="1"/>
        <rFont val="Century Gothic"/>
        <family val="1"/>
      </rPr>
      <t>Unemployed</t>
    </r>
  </si>
  <si>
    <r>
      <t xml:space="preserve">1.  Statistik Utama Tenaga Buruh
</t>
    </r>
    <r>
      <rPr>
        <i/>
        <sz val="10"/>
        <rFont val="Century Gothic"/>
        <family val="1"/>
      </rPr>
      <t xml:space="preserve">     Principal Statistics of Labour Force</t>
    </r>
  </si>
  <si>
    <t>: Labour Market Statistics, Selangor, 2023 - 2025</t>
  </si>
  <si>
    <t xml:space="preserve">Table 45.0 </t>
  </si>
  <si>
    <t>: Statistik Pasaran Buruh, Selangor, 2023 - 2025</t>
  </si>
  <si>
    <t xml:space="preserve">Jadual 45.0 </t>
  </si>
  <si>
    <r>
      <rPr>
        <b/>
        <vertAlign val="superscript"/>
        <sz val="8"/>
        <color theme="1"/>
        <rFont val="Century Gothic"/>
        <family val="1"/>
      </rPr>
      <t xml:space="preserve">a </t>
    </r>
    <r>
      <rPr>
        <b/>
        <sz val="8"/>
        <color theme="1"/>
        <rFont val="Century Gothic"/>
        <family val="1"/>
      </rPr>
      <t>Penggunaan data secara berhati-hati kerana faktor ralat piawai relatif yang tinggi</t>
    </r>
  </si>
  <si>
    <r>
      <t xml:space="preserve">3.  Statistik Siswazah 
</t>
    </r>
    <r>
      <rPr>
        <i/>
        <sz val="10"/>
        <color theme="1"/>
        <rFont val="Century Gothic"/>
        <family val="1"/>
      </rPr>
      <t xml:space="preserve">     Graduate Statistics</t>
    </r>
  </si>
  <si>
    <t>: Labour Market Statistics, Selangor, 2023 - 2025 (cont'd)</t>
  </si>
  <si>
    <t>: Statistik Pasaran Buruh, Selangor, 2023 - 2025 (samb.)</t>
  </si>
  <si>
    <t>Labour Force Statistics by administrative district to be used with caution due to high relative standard error (RSE)</t>
  </si>
  <si>
    <t>Statistik Tenaga Buruh mengikut daerah pentadbiran digunakan secara berhati-hati kerana faktor ralat piawai relatif yang tinggi</t>
  </si>
  <si>
    <t xml:space="preserve">  Revised</t>
  </si>
  <si>
    <r>
      <rPr>
        <b/>
        <vertAlign val="superscript"/>
        <sz val="9"/>
        <color theme="1"/>
        <rFont val="Century Gothic"/>
        <family val="2"/>
      </rPr>
      <t>r</t>
    </r>
    <r>
      <rPr>
        <b/>
        <sz val="9"/>
        <color theme="1"/>
        <rFont val="Century Gothic"/>
        <family val="2"/>
      </rPr>
      <t xml:space="preserve"> Dikemas kini</t>
    </r>
  </si>
  <si>
    <r>
      <rPr>
        <b/>
        <sz val="9"/>
        <color theme="1"/>
        <rFont val="Century Gothic"/>
        <family val="2"/>
      </rPr>
      <t>Nota</t>
    </r>
    <r>
      <rPr>
        <sz val="9"/>
        <color theme="1"/>
        <rFont val="Century Gothic"/>
        <family val="2"/>
      </rPr>
      <t xml:space="preserve">/ </t>
    </r>
    <r>
      <rPr>
        <i/>
        <sz val="9"/>
        <color theme="1"/>
        <rFont val="Century Gothic"/>
        <family val="2"/>
      </rPr>
      <t>Notes:</t>
    </r>
  </si>
  <si>
    <r>
      <t>2022</t>
    </r>
    <r>
      <rPr>
        <vertAlign val="superscript"/>
        <sz val="10"/>
        <rFont val="Century Gothic"/>
        <family val="2"/>
      </rPr>
      <t>r</t>
    </r>
  </si>
  <si>
    <t>('000)</t>
  </si>
  <si>
    <t>rate</t>
  </si>
  <si>
    <t>participation rate</t>
  </si>
  <si>
    <t xml:space="preserve"> labour force</t>
  </si>
  <si>
    <t>person</t>
  </si>
  <si>
    <t>force</t>
  </si>
  <si>
    <t>district</t>
  </si>
  <si>
    <t>Unemployment</t>
  </si>
  <si>
    <t>Labour force</t>
  </si>
  <si>
    <t>Outside</t>
  </si>
  <si>
    <t>Employed</t>
  </si>
  <si>
    <t>Labour</t>
  </si>
  <si>
    <t xml:space="preserve">Administrative </t>
  </si>
  <si>
    <t>pengangguran</t>
  </si>
  <si>
    <t>tenaga buruh</t>
  </si>
  <si>
    <t>luar</t>
  </si>
  <si>
    <t>Unemployed</t>
  </si>
  <si>
    <r>
      <t>bekerja</t>
    </r>
    <r>
      <rPr>
        <i/>
        <sz val="10"/>
        <rFont val="Century Gothic"/>
        <family val="2"/>
      </rPr>
      <t/>
    </r>
  </si>
  <si>
    <t>buruh</t>
  </si>
  <si>
    <t>pentadbiran</t>
  </si>
  <si>
    <t xml:space="preserve">Kadar </t>
  </si>
  <si>
    <t>Kadar penyertaan</t>
  </si>
  <si>
    <t>Tenaga buruh</t>
  </si>
  <si>
    <t>Penganggur</t>
  </si>
  <si>
    <t>Penduduk</t>
  </si>
  <si>
    <t>Tenaga</t>
  </si>
  <si>
    <t xml:space="preserve">Daerah </t>
  </si>
  <si>
    <r>
      <t>: Principal statistics of labour force by  administrative district, Sarawak, 2022</t>
    </r>
    <r>
      <rPr>
        <i/>
        <vertAlign val="superscript"/>
        <sz val="11"/>
        <rFont val="Century Gothic"/>
        <family val="2"/>
      </rPr>
      <t>r</t>
    </r>
    <r>
      <rPr>
        <i/>
        <sz val="11"/>
        <rFont val="Century Gothic"/>
        <family val="2"/>
      </rPr>
      <t xml:space="preserve"> - 2024 (cont'd)</t>
    </r>
  </si>
  <si>
    <t>Table 45.1</t>
  </si>
  <si>
    <r>
      <t>: Statistik utama tenaga buruh mengikut daerah pentadbiran, Sarawak, 2022</t>
    </r>
    <r>
      <rPr>
        <b/>
        <vertAlign val="superscript"/>
        <sz val="11"/>
        <rFont val="Century Gothic"/>
        <family val="2"/>
      </rPr>
      <t>r</t>
    </r>
    <r>
      <rPr>
        <b/>
        <sz val="11"/>
        <rFont val="Century Gothic"/>
        <family val="2"/>
      </rPr>
      <t xml:space="preserve"> - 2024 (samb.)</t>
    </r>
  </si>
  <si>
    <t>Jadual 45.1</t>
  </si>
  <si>
    <r>
      <t>2022</t>
    </r>
    <r>
      <rPr>
        <b/>
        <vertAlign val="superscript"/>
        <sz val="10"/>
        <rFont val="Century Gothic"/>
        <family val="2"/>
      </rPr>
      <t>r</t>
    </r>
  </si>
  <si>
    <r>
      <t>: Principal statistics of labour force by administrative district, Sarawak, 2022</t>
    </r>
    <r>
      <rPr>
        <i/>
        <vertAlign val="superscript"/>
        <sz val="11"/>
        <rFont val="Century Gothic"/>
        <family val="2"/>
      </rPr>
      <t>r</t>
    </r>
    <r>
      <rPr>
        <i/>
        <sz val="11"/>
        <rFont val="Century Gothic"/>
        <family val="2"/>
      </rPr>
      <t xml:space="preserve"> - 2024</t>
    </r>
  </si>
  <si>
    <t xml:space="preserve">   Table 45.1</t>
  </si>
  <si>
    <r>
      <t>: Statistik utama tenaga buruh mengikut daerah pentadbiran, Sarawak, 2022</t>
    </r>
    <r>
      <rPr>
        <b/>
        <vertAlign val="superscript"/>
        <sz val="11"/>
        <rFont val="Century Gothic"/>
        <family val="2"/>
      </rPr>
      <t>r</t>
    </r>
    <r>
      <rPr>
        <b/>
        <sz val="11"/>
        <rFont val="Century Gothic"/>
        <family val="2"/>
      </rPr>
      <t xml:space="preserve"> - 2024</t>
    </r>
  </si>
  <si>
    <t>Annual Inflation (Percentage Change %)</t>
  </si>
  <si>
    <t>Inflasi Tahunan (Perubahan Peratus %)</t>
  </si>
  <si>
    <t xml:space="preserve">             (2010=100)</t>
  </si>
  <si>
    <r>
      <t xml:space="preserve">INDEKS HARGA PENGGUNA DAN INFLASI
</t>
    </r>
    <r>
      <rPr>
        <i/>
        <sz val="10"/>
        <color rgb="FF000000"/>
        <rFont val="Century Gothic"/>
        <family val="2"/>
      </rPr>
      <t>CONSUMER PRICE INDEX AND INFLATION</t>
    </r>
  </si>
  <si>
    <t>: Consumer Price Index and Annual Inflation by main group, Selangor &amp; W.P. Putrajaya, 2023 - 2025</t>
  </si>
  <si>
    <t>Table 46.0</t>
  </si>
  <si>
    <t>: Indeks Harga Pengguna dan Inflasi Tahunan mengikut kumpulan utama, Selangor &amp; W.P. Putrajaya, 2023 - 2025</t>
  </si>
  <si>
    <t>Jadual 46.0</t>
  </si>
  <si>
    <t>: Average price for selected items, Perak, 2023 - 2025</t>
  </si>
  <si>
    <t>Table 46.1</t>
  </si>
  <si>
    <t>: Harga purata item terpilih, Perak, 2023 - 2025</t>
  </si>
  <si>
    <t>Jadual 46.1</t>
  </si>
  <si>
    <t>: Average price for selected items, Perak, 2023 - 2025 (cont'd)</t>
  </si>
  <si>
    <t>: Harga purata item terpilih, Perak, 2023 - 2025 (samb.)</t>
  </si>
  <si>
    <t>Source: Department of Occupational Safety and Health (DOSH) and Social Security Organisation (SOCSO), Ministry of Human Resources</t>
  </si>
  <si>
    <t>Sumber: Jabatan keselamatan dan kesihatan Pekerjaan (JKKP) dan Pertubuhan Keselamatan Sosial (PERKESO), Kementerian Sumber Manusia</t>
  </si>
  <si>
    <r>
      <t>Jantina</t>
    </r>
    <r>
      <rPr>
        <sz val="10"/>
        <rFont val="Century Gothic"/>
        <family val="2"/>
      </rPr>
      <t>/ Sex</t>
    </r>
  </si>
  <si>
    <t xml:space="preserve">Number of occupational injury </t>
  </si>
  <si>
    <r>
      <t xml:space="preserve">KECEDERAAN PEKERJAAN
</t>
    </r>
    <r>
      <rPr>
        <i/>
        <sz val="10"/>
        <rFont val="Century Gothic"/>
        <family val="2"/>
      </rPr>
      <t>OCCUPATIONAL INJURY</t>
    </r>
  </si>
  <si>
    <t>: Principal statistics of occupational injury, Selangor, 2022 - 2024</t>
  </si>
  <si>
    <t xml:space="preserve">  Table 47.0</t>
  </si>
  <si>
    <t>: Statistik utama kecederaan pekerjaan, Selangor, 2022 - 2024</t>
  </si>
  <si>
    <t>Jadual 47.0</t>
  </si>
  <si>
    <t>: Principal statistics of occupational injury , Selangor, 2022 - 2024 (cont'd)</t>
  </si>
  <si>
    <t>: Statistik utama kecederaan pekerjaan, Selangor, 2022 - 2024 (samb.)</t>
  </si>
  <si>
    <r>
      <t xml:space="preserve">  Data as at 30</t>
    </r>
    <r>
      <rPr>
        <i/>
        <vertAlign val="superscript"/>
        <sz val="9"/>
        <rFont val="Century Gothic"/>
        <family val="2"/>
      </rPr>
      <t xml:space="preserve">th </t>
    </r>
    <r>
      <rPr>
        <i/>
        <sz val="9"/>
        <rFont val="Century Gothic"/>
        <family val="2"/>
      </rPr>
      <t>June</t>
    </r>
  </si>
  <si>
    <r>
      <t xml:space="preserve">  Data pada 30</t>
    </r>
    <r>
      <rPr>
        <b/>
        <vertAlign val="superscript"/>
        <sz val="9"/>
        <rFont val="Century Gothic"/>
        <family val="2"/>
      </rPr>
      <t>th</t>
    </r>
    <r>
      <rPr>
        <b/>
        <sz val="9"/>
        <rFont val="Century Gothic"/>
        <family val="2"/>
      </rPr>
      <t xml:space="preserve"> Jun</t>
    </r>
  </si>
  <si>
    <t>Sumber:  Jabatan Kebajikan Masyarakat</t>
  </si>
  <si>
    <t>Kindergarten, private primary and secondary schools</t>
  </si>
  <si>
    <t>Special Education, secondary level</t>
  </si>
  <si>
    <t xml:space="preserve">Pendidikan Khas, peringkat menengah
</t>
  </si>
  <si>
    <t>Special Education, primary level</t>
  </si>
  <si>
    <t xml:space="preserve">Pendidikan Khas, peringkat rendah
</t>
  </si>
  <si>
    <t>Government school &amp; government assistance</t>
  </si>
  <si>
    <t>:  Number of pupils of various level and types of school, Selangor, 2024 - 2025</t>
  </si>
  <si>
    <t>Table 48.0</t>
  </si>
  <si>
    <t>: Bilangan murid pelbagai peringkat dan jenis sekolah, Selangor, 2024 - 2025</t>
  </si>
  <si>
    <t>Jadual 48.0</t>
  </si>
  <si>
    <t xml:space="preserve">   District refer to District Community Social office</t>
  </si>
  <si>
    <t>* Daerah merujuk kepada Pejabat Kebajikan Masyarakat Daerah</t>
  </si>
  <si>
    <r>
      <t>Nota/</t>
    </r>
    <r>
      <rPr>
        <i/>
        <sz val="9"/>
        <rFont val="Century Gothic"/>
        <family val="2"/>
      </rPr>
      <t>Notes:</t>
    </r>
  </si>
  <si>
    <t>Subis</t>
  </si>
  <si>
    <t>Song</t>
  </si>
  <si>
    <t>Simunjan</t>
  </si>
  <si>
    <t>Serian</t>
  </si>
  <si>
    <r>
      <t xml:space="preserve">TAMAN ASUHAN KANAK-KANAK
</t>
    </r>
    <r>
      <rPr>
        <i/>
        <sz val="10"/>
        <rFont val="Century Gothic"/>
        <family val="2"/>
      </rPr>
      <t>KINDERGARTEN</t>
    </r>
  </si>
  <si>
    <t>Table 49.0</t>
  </si>
  <si>
    <t>Jadual 49.0</t>
  </si>
  <si>
    <t xml:space="preserve">   District refer to District Community Welfare office</t>
  </si>
  <si>
    <t>Source: Department of Community Welfare</t>
  </si>
  <si>
    <t>Asajaya</t>
  </si>
  <si>
    <t xml:space="preserve">Number of registered kindergartens </t>
  </si>
  <si>
    <t xml:space="preserve">Bilangan taman asuhan kanak-kanak yang berdaftar </t>
  </si>
  <si>
    <t xml:space="preserve">   District refer to District Social Welfare office</t>
  </si>
  <si>
    <r>
      <t>Data as at 30</t>
    </r>
    <r>
      <rPr>
        <i/>
        <vertAlign val="superscript"/>
        <sz val="9"/>
        <rFont val="Century Gothic"/>
        <family val="2"/>
      </rPr>
      <t>th</t>
    </r>
    <r>
      <rPr>
        <i/>
        <sz val="9"/>
        <rFont val="Century Gothic"/>
        <family val="2"/>
      </rPr>
      <t xml:space="preserve"> June</t>
    </r>
  </si>
  <si>
    <r>
      <t>Data pada 30</t>
    </r>
    <r>
      <rPr>
        <b/>
        <vertAlign val="superscript"/>
        <sz val="9"/>
        <rFont val="Century Gothic"/>
        <family val="2"/>
      </rPr>
      <t>th</t>
    </r>
    <r>
      <rPr>
        <b/>
        <sz val="9"/>
        <rFont val="Century Gothic"/>
        <family val="2"/>
      </rPr>
      <t xml:space="preserve"> Jun</t>
    </r>
  </si>
  <si>
    <t xml:space="preserve">Number of childrens at registered kindergartens </t>
  </si>
  <si>
    <t xml:space="preserve">Bilangan kanak-kanak di taman asuhan kanak-kanak yang berdaftar </t>
  </si>
  <si>
    <t xml:space="preserve"> Includes gang robbery with firearms, gang robbery without firearms, robbery with firearms and robbery without firearms</t>
  </si>
  <si>
    <r>
      <rPr>
        <b/>
        <vertAlign val="superscript"/>
        <sz val="9"/>
        <color theme="1"/>
        <rFont val="Century Gothic"/>
        <family val="2"/>
      </rPr>
      <t>a</t>
    </r>
    <r>
      <rPr>
        <b/>
        <sz val="9"/>
        <color theme="1"/>
        <rFont val="Century Gothic"/>
        <family val="2"/>
      </rPr>
      <t xml:space="preserve"> Termasuk samun berkawan bersenjata api, samun berkawan tidak bersenjata api, samun bersenjata api dan samun tidak bersenjata api </t>
    </r>
  </si>
  <si>
    <r>
      <t>Nota/</t>
    </r>
    <r>
      <rPr>
        <i/>
        <sz val="9"/>
        <color theme="1"/>
        <rFont val="Century Gothic"/>
        <family val="2"/>
      </rPr>
      <t>Note</t>
    </r>
    <r>
      <rPr>
        <b/>
        <i/>
        <sz val="9"/>
        <color theme="1"/>
        <rFont val="Century Gothic"/>
        <family val="2"/>
      </rPr>
      <t>:</t>
    </r>
  </si>
  <si>
    <r>
      <rPr>
        <b/>
        <sz val="10"/>
        <rFont val="Century Gothic"/>
        <family val="2"/>
      </rPr>
      <t>Mencederakan</t>
    </r>
    <r>
      <rPr>
        <sz val="10"/>
        <rFont val="Century Gothic"/>
        <family val="2"/>
      </rPr>
      <t xml:space="preserve">
</t>
    </r>
    <r>
      <rPr>
        <i/>
        <sz val="10"/>
        <rFont val="Century Gothic"/>
        <family val="2"/>
      </rPr>
      <t>Causing injury</t>
    </r>
  </si>
  <si>
    <r>
      <rPr>
        <b/>
        <sz val="10"/>
        <rFont val="Century Gothic"/>
        <family val="2"/>
      </rPr>
      <t>Samun</t>
    </r>
    <r>
      <rPr>
        <b/>
        <vertAlign val="superscript"/>
        <sz val="10"/>
        <rFont val="Century Gothic"/>
        <family val="2"/>
      </rPr>
      <t>a</t>
    </r>
    <r>
      <rPr>
        <b/>
        <sz val="10"/>
        <rFont val="Century Gothic"/>
        <family val="2"/>
      </rPr>
      <t xml:space="preserve"> </t>
    </r>
    <r>
      <rPr>
        <i/>
        <sz val="10"/>
        <rFont val="Century Gothic"/>
        <family val="2"/>
      </rPr>
      <t>Robbery</t>
    </r>
  </si>
  <si>
    <r>
      <rPr>
        <b/>
        <sz val="10"/>
        <rFont val="Century Gothic"/>
        <family val="2"/>
      </rPr>
      <t xml:space="preserve">Rogol           
</t>
    </r>
    <r>
      <rPr>
        <i/>
        <sz val="10"/>
        <rFont val="Century Gothic"/>
        <family val="2"/>
      </rPr>
      <t>Rape</t>
    </r>
  </si>
  <si>
    <r>
      <rPr>
        <b/>
        <sz val="10"/>
        <rFont val="Century Gothic"/>
        <family val="2"/>
      </rPr>
      <t xml:space="preserve">Bunuh
</t>
    </r>
    <r>
      <rPr>
        <i/>
        <sz val="10"/>
        <rFont val="Century Gothic"/>
        <family val="2"/>
      </rPr>
      <t>Murder</t>
    </r>
  </si>
  <si>
    <r>
      <t xml:space="preserve">Daerah PDRM
</t>
    </r>
    <r>
      <rPr>
        <i/>
        <sz val="10"/>
        <rFont val="Century Gothic"/>
        <family val="2"/>
      </rPr>
      <t>PDRM district</t>
    </r>
  </si>
  <si>
    <t>Table 50.0</t>
  </si>
  <si>
    <t>Jadual 50.0</t>
  </si>
  <si>
    <r>
      <t xml:space="preserve">Motosikal/
Skuter
</t>
    </r>
    <r>
      <rPr>
        <i/>
        <sz val="10"/>
        <rFont val="Century Gothic"/>
        <family val="2"/>
      </rPr>
      <t>Motorcycle/
Scooter</t>
    </r>
    <r>
      <rPr>
        <b/>
        <sz val="10"/>
        <rFont val="Century Gothic"/>
        <family val="2"/>
      </rPr>
      <t xml:space="preserve">
</t>
    </r>
  </si>
  <si>
    <r>
      <t xml:space="preserve">Motokar
</t>
    </r>
    <r>
      <rPr>
        <i/>
        <sz val="10"/>
        <rFont val="Century Gothic"/>
        <family val="2"/>
      </rPr>
      <t>Motorcar</t>
    </r>
  </si>
  <si>
    <r>
      <t xml:space="preserve">Lori/Van
</t>
    </r>
    <r>
      <rPr>
        <i/>
        <sz val="10"/>
        <rFont val="Century Gothic"/>
        <family val="2"/>
      </rPr>
      <t>Lorry/Van</t>
    </r>
  </si>
  <si>
    <r>
      <t xml:space="preserve">Kecurian lain
</t>
    </r>
    <r>
      <rPr>
        <i/>
        <sz val="10"/>
        <rFont val="Century Gothic"/>
        <family val="2"/>
      </rPr>
      <t>Other thefts</t>
    </r>
  </si>
  <si>
    <r>
      <t xml:space="preserve">Kecurian kenderaan
</t>
    </r>
    <r>
      <rPr>
        <i/>
        <sz val="10"/>
        <rFont val="Century Gothic"/>
        <family val="2"/>
      </rPr>
      <t>Vehicles theft</t>
    </r>
  </si>
  <si>
    <r>
      <t xml:space="preserve">Pecah rumah dan curi           
</t>
    </r>
    <r>
      <rPr>
        <i/>
        <sz val="10"/>
        <rFont val="Century Gothic"/>
        <family val="2"/>
      </rPr>
      <t>House break-in and thefts</t>
    </r>
  </si>
  <si>
    <t>Table 50.1</t>
  </si>
  <si>
    <t>Jadual 50.1</t>
  </si>
  <si>
    <r>
      <t xml:space="preserve">Pecah rumah dan curi          
 </t>
    </r>
    <r>
      <rPr>
        <i/>
        <sz val="10"/>
        <rFont val="Century Gothic"/>
        <family val="2"/>
      </rPr>
      <t>House break-in and thefts</t>
    </r>
  </si>
  <si>
    <t>Injury and deaths</t>
  </si>
  <si>
    <t>PDRM district</t>
  </si>
  <si>
    <t>Kecederaan dan kematian</t>
  </si>
  <si>
    <t>Daerah PDRM</t>
  </si>
  <si>
    <t>Table 51.0</t>
  </si>
  <si>
    <t xml:space="preserve">: Bilangan kemalangan jalan raya, kecederaan dan kematian yang dilaporkan mengikut daerah PDRM, </t>
  </si>
  <si>
    <t>Jadual 51.0</t>
  </si>
  <si>
    <r>
      <rPr>
        <b/>
        <sz val="10"/>
        <rFont val="Century Gothic"/>
        <family val="2"/>
      </rPr>
      <t>Telefon talian tetap</t>
    </r>
    <r>
      <rPr>
        <sz val="10"/>
        <rFont val="Century Gothic"/>
        <family val="2"/>
      </rPr>
      <t xml:space="preserve">
</t>
    </r>
    <r>
      <rPr>
        <i/>
        <sz val="10"/>
        <rFont val="Century Gothic"/>
        <family val="2"/>
      </rPr>
      <t>Fixed-line telephone</t>
    </r>
  </si>
  <si>
    <r>
      <rPr>
        <b/>
        <sz val="10"/>
        <rFont val="Century Gothic"/>
        <family val="2"/>
      </rPr>
      <t>Televisyen</t>
    </r>
    <r>
      <rPr>
        <sz val="10"/>
        <rFont val="Century Gothic"/>
        <family val="2"/>
      </rPr>
      <t xml:space="preserve">
</t>
    </r>
    <r>
      <rPr>
        <i/>
        <sz val="10"/>
        <rFont val="Century Gothic"/>
        <family val="2"/>
      </rPr>
      <t>Television</t>
    </r>
  </si>
  <si>
    <r>
      <rPr>
        <b/>
        <sz val="10"/>
        <rFont val="Century Gothic"/>
        <family val="2"/>
      </rPr>
      <t>Siaran TV berbayar</t>
    </r>
    <r>
      <rPr>
        <sz val="10"/>
        <rFont val="Century Gothic"/>
        <family val="2"/>
      </rPr>
      <t xml:space="preserve">
</t>
    </r>
    <r>
      <rPr>
        <i/>
        <sz val="10"/>
        <rFont val="Century Gothic"/>
        <family val="2"/>
      </rPr>
      <t>Pay TV channel</t>
    </r>
  </si>
  <si>
    <r>
      <rPr>
        <b/>
        <sz val="10"/>
        <rFont val="Century Gothic"/>
        <family val="2"/>
      </rPr>
      <t>Komputer</t>
    </r>
    <r>
      <rPr>
        <sz val="10"/>
        <rFont val="Century Gothic"/>
        <family val="2"/>
      </rPr>
      <t xml:space="preserve">
</t>
    </r>
    <r>
      <rPr>
        <i/>
        <sz val="10"/>
        <rFont val="Century Gothic"/>
        <family val="2"/>
      </rPr>
      <t>Computer</t>
    </r>
  </si>
  <si>
    <r>
      <rPr>
        <b/>
        <sz val="10"/>
        <rFont val="Century Gothic"/>
        <family val="2"/>
      </rPr>
      <t>Telefon bimbit</t>
    </r>
    <r>
      <rPr>
        <sz val="10"/>
        <rFont val="Century Gothic"/>
        <family val="2"/>
      </rPr>
      <t xml:space="preserve">
</t>
    </r>
    <r>
      <rPr>
        <i/>
        <sz val="10"/>
        <rFont val="Century Gothic"/>
        <family val="2"/>
      </rPr>
      <t>Mobile phone</t>
    </r>
  </si>
  <si>
    <r>
      <rPr>
        <b/>
        <sz val="10"/>
        <rFont val="Century Gothic"/>
        <family val="2"/>
      </rPr>
      <t xml:space="preserve">Perkhidmatan dan peralatan ICT (%)   </t>
    </r>
    <r>
      <rPr>
        <sz val="10"/>
        <rFont val="Century Gothic"/>
        <family val="2"/>
      </rPr>
      <t xml:space="preserve">                     
</t>
    </r>
    <r>
      <rPr>
        <i/>
        <sz val="10"/>
        <rFont val="Century Gothic"/>
        <family val="2"/>
      </rPr>
      <t>ICT services and equipment</t>
    </r>
  </si>
  <si>
    <t>: Percentage of households with access to ICT services and equipment by strata, Pulau Pinang, 2023 - 2025</t>
  </si>
  <si>
    <t xml:space="preserve">Table 52.0 </t>
  </si>
  <si>
    <t>: Peratusan capaian isi rumah terhadap perkhidmatan dan peralatan ICT mengikut strata, Pulau Pinang, 2023 - 2025</t>
  </si>
  <si>
    <t xml:space="preserve">Jadual 52.0 </t>
  </si>
  <si>
    <r>
      <t xml:space="preserve">Daerah Pentadbiran
</t>
    </r>
    <r>
      <rPr>
        <i/>
        <sz val="10"/>
        <rFont val="Century Gothic"/>
        <family val="2"/>
      </rPr>
      <t>Administrative District</t>
    </r>
  </si>
  <si>
    <t>: Income, expenditure and poverty, Sarawak, 2022 and 2024 (cont'd)</t>
  </si>
  <si>
    <t xml:space="preserve">  Table 53.0 </t>
  </si>
  <si>
    <t>: Pendapatan, perbelanjaan dan kemiskinan, Sarawak, 2022 dan 2024 (samb.)</t>
  </si>
  <si>
    <t xml:space="preserve">Jadual 53.0 </t>
  </si>
  <si>
    <t>: Income, expenditure and poverty, Sarawak, 2022 and 2024</t>
  </si>
  <si>
    <t>: Pendapatan, perbelanjaan dan kemiskinan, Sarawak, 2022 dan 2024</t>
  </si>
  <si>
    <t>Data refers to district and not available by DUN level</t>
  </si>
  <si>
    <t>Data adalah merujuk kepada daerah dan tidak tersedia di peringkat DUN</t>
  </si>
  <si>
    <t>Per Capita Consumption by state in 2024 is calculated based on proxy of Household Income, Expenditure and Basic Amenities (HIES/BA) Survey 2023 data</t>
  </si>
  <si>
    <t>Penggunaan Per Kapita mengikut negeri pada 2024 dikira menggunakan data proksi Survei Pendapatan, Perbelanjaan Isi Rumah dan Kemudahan Asas (HIES/BA) 2023</t>
  </si>
  <si>
    <t xml:space="preserve">   Excluding hot chilli</t>
  </si>
  <si>
    <t>* Tidak termasuk cili padi</t>
  </si>
  <si>
    <r>
      <rPr>
        <b/>
        <sz val="9"/>
        <color theme="1"/>
        <rFont val="Century Gothic"/>
        <family val="2"/>
      </rPr>
      <t xml:space="preserve">Nota/ </t>
    </r>
    <r>
      <rPr>
        <i/>
        <sz val="9"/>
        <color theme="1"/>
        <rFont val="Century Gothic"/>
        <family val="2"/>
      </rPr>
      <t>Notes</t>
    </r>
    <r>
      <rPr>
        <sz val="9"/>
        <color theme="1"/>
        <rFont val="Century Gothic"/>
        <family val="2"/>
      </rPr>
      <t>:</t>
    </r>
  </si>
  <si>
    <t>Cili*</t>
  </si>
  <si>
    <r>
      <rPr>
        <b/>
        <sz val="10"/>
        <color theme="1"/>
        <rFont val="Century Gothic"/>
        <family val="2"/>
      </rPr>
      <t>Daerah Pentadbiran</t>
    </r>
    <r>
      <rPr>
        <sz val="10"/>
        <color theme="1"/>
        <rFont val="Century Gothic"/>
        <family val="2"/>
      </rPr>
      <t xml:space="preserve">
</t>
    </r>
    <r>
      <rPr>
        <i/>
        <sz val="10"/>
        <color theme="1"/>
        <rFont val="Century Gothic"/>
        <family val="2"/>
      </rPr>
      <t>Administrative District</t>
    </r>
  </si>
  <si>
    <t>: Selected statistics of Per Capita Consumption of agricultural item by administrative district, Sarawak, 2024 (cont'd)</t>
  </si>
  <si>
    <t>Table 54.0</t>
  </si>
  <si>
    <t>: Statistik terpilih Penggunaan Per Kapita item pertanian mengikut daerah pentadbiran, Sarawak, 2024 (samb.)</t>
  </si>
  <si>
    <t>Jadual 54.0</t>
  </si>
  <si>
    <t>Penggunaan Per Kapita mengikut negeri 2024 dikira menggunakan proksi data Survei Pendapatan, Perbelanjaan Isi Rumah dan Kemudahan Asas (HIES/BA) 2023</t>
  </si>
  <si>
    <t>: Selected statistics of Per Capita Consumption of agricultural item by administrative district, Sarawak, 2024</t>
  </si>
  <si>
    <t>: Statistik terpilih Penggunaan Per Kapita item pertanian mengikut daerah pentadbiran, Sarawak, 2024</t>
  </si>
  <si>
    <r>
      <rPr>
        <b/>
        <sz val="10"/>
        <rFont val="Century Gothic"/>
        <family val="2"/>
      </rPr>
      <t>Dos</t>
    </r>
    <r>
      <rPr>
        <sz val="10"/>
        <rFont val="Century Gothic"/>
        <family val="2"/>
      </rPr>
      <t xml:space="preserve"> </t>
    </r>
    <r>
      <rPr>
        <b/>
        <sz val="10"/>
        <rFont val="Century Gothic"/>
        <family val="2"/>
      </rPr>
      <t>2</t>
    </r>
    <r>
      <rPr>
        <sz val="10"/>
        <rFont val="Century Gothic"/>
        <family val="2"/>
      </rPr>
      <t xml:space="preserve"> </t>
    </r>
    <r>
      <rPr>
        <i/>
        <sz val="10"/>
        <rFont val="Century Gothic"/>
        <family val="2"/>
      </rPr>
      <t>Dose 2</t>
    </r>
  </si>
  <si>
    <r>
      <rPr>
        <b/>
        <sz val="10"/>
        <rFont val="Century Gothic"/>
        <family val="2"/>
      </rPr>
      <t>Dos</t>
    </r>
    <r>
      <rPr>
        <sz val="10"/>
        <rFont val="Century Gothic"/>
        <family val="2"/>
      </rPr>
      <t xml:space="preserve"> </t>
    </r>
    <r>
      <rPr>
        <b/>
        <sz val="10"/>
        <rFont val="Century Gothic"/>
        <family val="2"/>
      </rPr>
      <t>1</t>
    </r>
    <r>
      <rPr>
        <sz val="10"/>
        <rFont val="Century Gothic"/>
        <family val="2"/>
      </rPr>
      <t xml:space="preserve"> </t>
    </r>
    <r>
      <rPr>
        <i/>
        <sz val="10"/>
        <rFont val="Century Gothic"/>
        <family val="2"/>
      </rPr>
      <t>Dose 1</t>
    </r>
  </si>
  <si>
    <r>
      <t xml:space="preserve">Umur 60 dan lebih
</t>
    </r>
    <r>
      <rPr>
        <i/>
        <sz val="10"/>
        <rFont val="Century Gothic"/>
        <family val="2"/>
      </rPr>
      <t>Age 60 and over</t>
    </r>
  </si>
  <si>
    <r>
      <t xml:space="preserve">Umur 18 - 59 tahun
</t>
    </r>
    <r>
      <rPr>
        <i/>
        <sz val="10"/>
        <rFont val="Century Gothic"/>
        <family val="2"/>
      </rPr>
      <t>Age 18 - 59 year</t>
    </r>
  </si>
  <si>
    <r>
      <t xml:space="preserve">Umur 5 - 17 tahun
</t>
    </r>
    <r>
      <rPr>
        <i/>
        <sz val="10"/>
        <rFont val="Century Gothic"/>
        <family val="2"/>
      </rPr>
      <t>Age 5 - 17 year</t>
    </r>
  </si>
  <si>
    <t>: Statistics of COVID-19 vaccine recipient by age, Sarawak, 2024 (cont'd.)</t>
  </si>
  <si>
    <t>Table 55.0</t>
  </si>
  <si>
    <t>: Statistik penerima vaksin COVID-19 mengikut umur, Sarawak, 2024 (samb.)</t>
  </si>
  <si>
    <t>Jadual 55.0</t>
  </si>
  <si>
    <r>
      <t xml:space="preserve">Umur 5 - 17 tahun
</t>
    </r>
    <r>
      <rPr>
        <i/>
        <sz val="10"/>
        <rFont val="Century Gothic"/>
        <family val="2"/>
      </rPr>
      <t>Age 5 - 17 years</t>
    </r>
  </si>
  <si>
    <t>: Statistics of COVID-19 vaccine recipient by age, Sarawak, 2024</t>
  </si>
  <si>
    <t>: Statistik penerima vaksin COVID-19 mengikut umur, Sarawak, 2024</t>
  </si>
  <si>
    <t>: Bilangan murid pelbagai peringkat dan jenis sekolah, Malaysia, 2024 - 2025</t>
  </si>
  <si>
    <t>: Number of pupils of various level and types of school, Malaysia, 2024 - 2025</t>
  </si>
  <si>
    <r>
      <t>: Eksport, import, jumlah dagangan dan imbangan dagangan, Selangor (RM juta), 2023 - 2025</t>
    </r>
    <r>
      <rPr>
        <b/>
        <vertAlign val="superscript"/>
        <sz val="11"/>
        <rFont val="Century Gothic"/>
        <family val="2"/>
      </rPr>
      <t>p</t>
    </r>
  </si>
  <si>
    <r>
      <t>: Exports, imports, total trade and balance of trade, Selangor (RM million), 2023 - 2025</t>
    </r>
    <r>
      <rPr>
        <i/>
        <vertAlign val="superscript"/>
        <sz val="11"/>
        <rFont val="Century Gothic"/>
        <family val="2"/>
      </rPr>
      <t>p</t>
    </r>
  </si>
  <si>
    <r>
      <t xml:space="preserve">Data 2025 adalah </t>
    </r>
    <r>
      <rPr>
        <b/>
        <i/>
        <sz val="9"/>
        <rFont val="Century Gothic"/>
        <family val="2"/>
      </rPr>
      <t>provisional</t>
    </r>
    <r>
      <rPr>
        <b/>
        <sz val="9"/>
        <rFont val="Century Gothic"/>
        <family val="2"/>
      </rPr>
      <t xml:space="preserve"> dan tertakluk kepada pindaan dalam keluaran berikutnya</t>
    </r>
  </si>
  <si>
    <t>The 2025 data are provisional and subject to revision in later issues</t>
  </si>
  <si>
    <t>: Bilangan kes positif dan kematian disebabkan COVID-19 mengikut negeri, Malaysia, 2021 - 2023</t>
  </si>
  <si>
    <t>: Number of positive cases and deaths due to COVID-19 by state, Malaysia, 2021 - 2023</t>
  </si>
  <si>
    <t>: Bilangan pertubuhan/ syarikat perniagaan mengikut sektor, Parlimen Bandar Tun Razak, W.P. Kuala Lumpur, 2025</t>
  </si>
  <si>
    <t>:  Number of establishments/ businesses by sector, Parliament of Bandar Tun Razak, W.P. Kuala Lumpur, 2025</t>
  </si>
  <si>
    <t>Based on active establishment in Malaysia Statistical Business Register, 31 December 2025</t>
  </si>
  <si>
    <t>: Bilangan pertubuhan/ syarikat perniagaan sektor perkhidmatan terpilih, Parlimen Bandar Tun Razak,  W.P. Kuala Lumpur, 2025</t>
  </si>
  <si>
    <t>: Number of selected establishments/ businesses in the services sector, Parliament of Bandar Tun Razak, 2025</t>
  </si>
  <si>
    <t>: Bilangan pertubuhan/ syarikat perniagaan sektor perkhidmatan terpilih, Parlimen Bandar Tun Razak, W.P. Kuala Lumpur, 2025 (samb.)</t>
  </si>
  <si>
    <t>: Number of selected establishments/ businesses in the services sector, Parliament of Bandar Tun Razak, W.P. Kuala Lumpur, 2025 (cont'd)</t>
  </si>
  <si>
    <t>: Statistik kemudahan perkhidmatan, Parlimen Bandar Tun Razak, W.P. Kuala Lumpur, 2025</t>
  </si>
  <si>
    <t>: Statistics of service facilities, Parliament of Bandar Tun Razak, W.P. Kuala Lumpur, 2025</t>
  </si>
  <si>
    <r>
      <t xml:space="preserve">Berdasarkan pertubuhan aktif daripada </t>
    </r>
    <r>
      <rPr>
        <b/>
        <i/>
        <sz val="9"/>
        <rFont val="Century Gothic"/>
        <family val="2"/>
      </rPr>
      <t xml:space="preserve">Malaysia Statistical Business Register, </t>
    </r>
    <r>
      <rPr>
        <b/>
        <sz val="9"/>
        <rFont val="Century Gothic"/>
        <family val="2"/>
      </rPr>
      <t>31</t>
    </r>
    <r>
      <rPr>
        <b/>
        <i/>
        <sz val="9"/>
        <rFont val="Century Gothic"/>
        <family val="2"/>
      </rPr>
      <t xml:space="preserve"> </t>
    </r>
    <r>
      <rPr>
        <b/>
        <sz val="9"/>
        <rFont val="Century Gothic"/>
        <family val="2"/>
      </rPr>
      <t>Disember 2025</t>
    </r>
  </si>
  <si>
    <t>5.</t>
  </si>
  <si>
    <r>
      <t xml:space="preserve">Berdasarkan pertubuhan aktif daripada </t>
    </r>
    <r>
      <rPr>
        <b/>
        <i/>
        <sz val="9"/>
        <rFont val="Century Gothic"/>
        <family val="2"/>
      </rPr>
      <t xml:space="preserve">Malaysia Statistical Business Register, </t>
    </r>
    <r>
      <rPr>
        <b/>
        <sz val="9"/>
        <rFont val="Century Gothic"/>
        <family val="2"/>
      </rPr>
      <t>31 Disember 2025</t>
    </r>
  </si>
  <si>
    <r>
      <rPr>
        <b/>
        <sz val="10"/>
        <color theme="1"/>
        <rFont val="Century Gothic"/>
        <family val="2"/>
      </rPr>
      <t xml:space="preserve">Susu Tepung Bayi, / </t>
    </r>
    <r>
      <rPr>
        <i/>
        <sz val="10"/>
        <color theme="1"/>
        <rFont val="Century Gothic"/>
        <family val="2"/>
      </rPr>
      <t>Powdered Milk (Infant)</t>
    </r>
  </si>
  <si>
    <r>
      <rPr>
        <b/>
        <sz val="10"/>
        <color theme="1"/>
        <rFont val="Century Gothic"/>
        <family val="2"/>
      </rPr>
      <t>Keju/</t>
    </r>
    <r>
      <rPr>
        <i/>
        <sz val="10"/>
        <color theme="1"/>
        <rFont val="Century Gothic"/>
        <family val="2"/>
      </rPr>
      <t xml:space="preserve"> Cheese</t>
    </r>
  </si>
  <si>
    <t>bungkusan 12 keping 250 g</t>
  </si>
  <si>
    <r>
      <rPr>
        <b/>
        <sz val="10"/>
        <color theme="1"/>
        <rFont val="Century Gothic"/>
        <family val="2"/>
      </rPr>
      <t>Minuman bermalt (pek)/</t>
    </r>
    <r>
      <rPr>
        <i/>
        <sz val="10"/>
        <color theme="1"/>
        <rFont val="Century Gothic"/>
        <family val="2"/>
      </rPr>
      <t xml:space="preserve"> Malt Drinks (pack)</t>
    </r>
  </si>
  <si>
    <r>
      <rPr>
        <b/>
        <sz val="10"/>
        <color theme="1"/>
        <rFont val="Century Gothic"/>
        <family val="2"/>
      </rPr>
      <t xml:space="preserve">Susu Tepung Bayi/ </t>
    </r>
    <r>
      <rPr>
        <i/>
        <sz val="10"/>
        <color theme="1"/>
        <rFont val="Century Gothic"/>
        <family val="2"/>
      </rPr>
      <t>Powdered Milk (Infant)</t>
    </r>
  </si>
  <si>
    <r>
      <t>Pelaburan Swasta Diluluskan</t>
    </r>
    <r>
      <rPr>
        <b/>
        <vertAlign val="superscript"/>
        <sz val="10"/>
        <rFont val="Century Gothic"/>
        <family val="2"/>
      </rPr>
      <t>2</t>
    </r>
    <r>
      <rPr>
        <b/>
        <sz val="10"/>
        <rFont val="Century Gothic"/>
        <family val="2"/>
      </rPr>
      <t xml:space="preserve">
</t>
    </r>
    <r>
      <rPr>
        <i/>
        <sz val="10"/>
        <rFont val="Century Gothic"/>
        <family val="2"/>
      </rPr>
      <t>Approved Private Investment (MIDA)</t>
    </r>
    <r>
      <rPr>
        <b/>
        <i/>
        <vertAlign val="superscript"/>
        <sz val="10"/>
        <rFont val="Century Gothic"/>
        <family val="2"/>
      </rPr>
      <t>2</t>
    </r>
  </si>
  <si>
    <t>Lembaga Pembangunan Pelaburan Malaysia</t>
  </si>
  <si>
    <t>Malaysian Investment Development Authority</t>
  </si>
  <si>
    <r>
      <rPr>
        <b/>
        <vertAlign val="superscript"/>
        <sz val="9"/>
        <rFont val="Century Gothic"/>
        <family val="2"/>
      </rPr>
      <t xml:space="preserve">2 </t>
    </r>
    <r>
      <rPr>
        <b/>
        <sz val="9"/>
        <rFont val="Century Gothic"/>
        <family val="2"/>
      </rPr>
      <t>Termasuk jumlah cadangan butiran negeri tidak tersedia</t>
    </r>
  </si>
  <si>
    <r>
      <rPr>
        <i/>
        <vertAlign val="superscript"/>
        <sz val="9"/>
        <rFont val="Century Gothic"/>
        <family val="2"/>
      </rPr>
      <t xml:space="preserve">2 </t>
    </r>
    <r>
      <rPr>
        <i/>
        <sz val="9"/>
        <rFont val="Century Gothic"/>
        <family val="2"/>
      </rPr>
      <t>Includes total proposed state details not available</t>
    </r>
  </si>
  <si>
    <r>
      <rPr>
        <b/>
        <vertAlign val="superscript"/>
        <sz val="9"/>
        <rFont val="Century Gothic"/>
        <family val="2"/>
      </rPr>
      <t xml:space="preserve">r </t>
    </r>
    <r>
      <rPr>
        <b/>
        <sz val="9"/>
        <rFont val="Century Gothic"/>
        <family val="2"/>
      </rPr>
      <t>Dikemas kini</t>
    </r>
  </si>
  <si>
    <r>
      <rPr>
        <i/>
        <vertAlign val="superscript"/>
        <sz val="9"/>
        <rFont val="Century Gothic"/>
        <family val="2"/>
      </rPr>
      <t>r</t>
    </r>
    <r>
      <rPr>
        <i/>
        <sz val="9"/>
        <rFont val="Century Gothic"/>
        <family val="2"/>
      </rPr>
      <t>Revised</t>
    </r>
  </si>
  <si>
    <r>
      <t>179599</t>
    </r>
    <r>
      <rPr>
        <b/>
        <vertAlign val="superscript"/>
        <sz val="10"/>
        <rFont val="Century Gothic"/>
        <family val="2"/>
      </rPr>
      <t>r</t>
    </r>
  </si>
  <si>
    <r>
      <t>: Bilangan fasiliti awam, Parlimen Bandar Tun Razak, W.P. Kuala Lumpur, 2025</t>
    </r>
    <r>
      <rPr>
        <b/>
        <vertAlign val="superscript"/>
        <sz val="11"/>
        <rFont val="Century Gothic"/>
        <family val="2"/>
      </rPr>
      <t>r</t>
    </r>
  </si>
  <si>
    <r>
      <t>: Number of public facilities, Parliament of Bandar Tun Razak, W.P. Kuala Lumpur, 2025</t>
    </r>
    <r>
      <rPr>
        <i/>
        <vertAlign val="superscript"/>
        <sz val="11"/>
        <rFont val="Century Gothic"/>
        <family val="2"/>
      </rPr>
      <t>r</t>
    </r>
  </si>
  <si>
    <r>
      <rPr>
        <b/>
        <vertAlign val="superscript"/>
        <sz val="9"/>
        <rFont val="Century Gothic"/>
        <family val="2"/>
      </rPr>
      <t xml:space="preserve">r </t>
    </r>
    <r>
      <rPr>
        <b/>
        <sz val="9"/>
        <rFont val="Century Gothic"/>
        <family val="2"/>
      </rPr>
      <t>Dikemaskini</t>
    </r>
  </si>
  <si>
    <r>
      <t>: Bilangan fasiliti awam, Parlimen Bandar Tun Razak, W.P. Kuala Lumpur, 2025</t>
    </r>
    <r>
      <rPr>
        <b/>
        <vertAlign val="superscript"/>
        <sz val="11"/>
        <rFont val="Century Gothic"/>
        <family val="2"/>
      </rPr>
      <t xml:space="preserve">r </t>
    </r>
    <r>
      <rPr>
        <b/>
        <sz val="11"/>
        <rFont val="Century Gothic"/>
        <family val="2"/>
      </rPr>
      <t>(samb.)</t>
    </r>
  </si>
  <si>
    <r>
      <t>: Number of public facilities, Parliament of Bandar Tun Razak, W.P. Kuala Lumpur, 2025</t>
    </r>
    <r>
      <rPr>
        <i/>
        <vertAlign val="superscript"/>
        <sz val="11"/>
        <rFont val="Century Gothic"/>
        <family val="2"/>
      </rPr>
      <t>r</t>
    </r>
    <r>
      <rPr>
        <i/>
        <sz val="11"/>
        <rFont val="Century Gothic"/>
        <family val="2"/>
      </rPr>
      <t xml:space="preserve"> (cont'd)</t>
    </r>
  </si>
  <si>
    <t>Penduduk berumur 15-30  tahun</t>
  </si>
  <si>
    <t>Population aged 15-30 years</t>
  </si>
  <si>
    <t>: Jenayah kekerasan mengikut negeri dan jenis jenayah, Malaysia, 2022 - 2024</t>
  </si>
  <si>
    <t xml:space="preserve">: Assault crime by state and type of crime, Malaysia, 2022 - 2024
                  </t>
  </si>
  <si>
    <t>: Jenayah harta benda mengikut negeri dan jenis jenayah, Malaysia, 2022 - 2024</t>
  </si>
  <si>
    <t>: Property crime by state and type of crime, Malaysia, 2022 - 2024</t>
  </si>
  <si>
    <t>: Jenayah kekerasan mengikut daerah PDRM dan jenis jenayah, Sarawak, 2022 - 2024</t>
  </si>
  <si>
    <t xml:space="preserve">: Assault crime by PDRM district and type of crime, Sarawak, 2022 - 2024
                  </t>
  </si>
  <si>
    <t>: Jenayah kekerasan mengikut daerah PDRM dan jenis jenayah, Sarawak, 2022 - 2024 (samb.)</t>
  </si>
  <si>
    <t xml:space="preserve">: Assault crime by PDRM district and type of crime, Sarawak, 2022 - 2024 (cont'd)
                  </t>
  </si>
  <si>
    <t>: Jenayah harta benda mengikut daerah PDRM dan jenis jenayah, Sarawak, 2022 - 2024</t>
  </si>
  <si>
    <t>: Property crime by PDRM district and type of crime, Sarawak, 2022 - 2024</t>
  </si>
  <si>
    <t>: Jenayah harta benda mengikut daerah PDRM dan jenis jenayah, Sarawak, 2022 - 2024 (samb.)</t>
  </si>
  <si>
    <t>: Property crime by PDRM district and type of crime, Sarawak, 2022 - 2024 (cont'd)</t>
  </si>
  <si>
    <t>negeri, Malaysia, 2022 - 2024</t>
  </si>
  <si>
    <t>: Number of road accidents, injuries and deaths reported by state, Malaysia, 2022 - 2024</t>
  </si>
  <si>
    <t xml:space="preserve">  Sarawak, 2022 - 2024</t>
  </si>
  <si>
    <t>: Number of road accidents, injuries and deaths reported by PDRM district, Sarawak, 2022 - 2024</t>
  </si>
  <si>
    <t xml:space="preserve">  Sarawak, 2022 - 2024 (samb.)</t>
  </si>
  <si>
    <t>: Number of road accidents, injuries and deaths reported by PDRM district, Sarawak, 2022 - 2024 (cont'd)</t>
  </si>
  <si>
    <t>: Statistik Pasaran Buruh, Malaysia, 2023 - 2025</t>
  </si>
  <si>
    <t>: Labour Market Statistics, Malaysia, 2023 - 2025</t>
  </si>
  <si>
    <t>: Statistik Pasaran Buruh, Malaysia, 2023 - 2025 (samb.)</t>
  </si>
  <si>
    <t>: Labour Market Statistics, Malaysia, 2023 - 2025 (cont'd)</t>
  </si>
  <si>
    <t>: Statistik taman asuhan kanak-kanak mengikut cawangan JKM, Sarawak, 2023 - 2025</t>
  </si>
  <si>
    <t>: Statistics of kindergarten by JKM branch, Sarawak, 2023 - 2025</t>
  </si>
  <si>
    <t>: Statistik taman asuhan kanak-kanak mengikut cawangan JKM, Sarawak, 2023 - 2025 (samb.)</t>
  </si>
  <si>
    <t>: Statistics of kindergarten by JKM branch, Sarawak, 2023 - 2025 (cont'd)</t>
  </si>
  <si>
    <t>: Statistik isi rumah mengikut jenis rumah yang didiami, Parlimen Bandar Tun Razak, W.P. Kuala Lumpur, 2022 dan 2024</t>
  </si>
  <si>
    <t>: Statistics of household by type of occupied dwelling, Parliament of Bandar Tun Razak, W.P. Kuala Lumpur, 2022 and 2024</t>
  </si>
  <si>
    <t>Survei Pendapatan dan Perbelanjaan Isi Rumah dijalankan dua kali dalam tempoh lima tahun dan data terkini adalah bagi tahun 2024</t>
  </si>
  <si>
    <t xml:space="preserve"> Indikator yang disediakan mengikut DUN bagi tahun 2024 dianggarkan berdasarkan kepada data Survei Pendapatan, Perbelanjaan Isi Rumah dan Kemudahan Asas (HIES/BA) 2024. Ralat piawaian relatif bagi DUN tertentu adalah tinggi dan perlu ditafsir dengan berhati-hati</t>
  </si>
  <si>
    <t>The indicators prepared by SLA for 2024 are estimated based on the Household  Income, Expenditure and Basic Amenities (HIES/BA) Survey 2024 data. These data should be used with caution due to high relative standard errors for certain SLA constituencies</t>
  </si>
  <si>
    <t>: Akses kepada kemudahan asas kepada isi rumah, Parlimen Bandar Tun Razak, W.P. Kuala Lumpur, 2022 dan 2024</t>
  </si>
  <si>
    <t>: Access to basic amenities for households, Parliament of Bandar Tun Razak, W.P. Kuala Lumpur, 2022 and 2024</t>
  </si>
  <si>
    <t>Perubahan spesifikasi item bermula Mac 2025</t>
  </si>
  <si>
    <t>Change in the specification of item starting March 2025</t>
  </si>
  <si>
    <t>Bilangan Kecederaan Maut Pekerjaan</t>
  </si>
  <si>
    <t>Kadar Kecederaan Maut Pekerjaan (setiap 100,000 pekerja)</t>
  </si>
  <si>
    <r>
      <rPr>
        <b/>
        <sz val="10"/>
        <color theme="1"/>
        <rFont val="Century Gothic"/>
        <family val="2"/>
      </rPr>
      <t>Bayam Hijau</t>
    </r>
    <r>
      <rPr>
        <sz val="10"/>
        <color theme="1"/>
        <rFont val="Century Gothic"/>
        <family val="2"/>
      </rPr>
      <t>/</t>
    </r>
    <r>
      <rPr>
        <i/>
        <sz val="10"/>
        <color theme="1"/>
        <rFont val="Century Gothic"/>
        <family val="2"/>
      </rPr>
      <t xml:space="preserve"> Green Spinach</t>
    </r>
  </si>
  <si>
    <r>
      <rPr>
        <b/>
        <sz val="10"/>
        <color theme="1"/>
        <rFont val="Century Gothic"/>
        <family val="2"/>
      </rPr>
      <t>Kubis Bulat</t>
    </r>
    <r>
      <rPr>
        <i/>
        <sz val="10"/>
        <color theme="1"/>
        <rFont val="Century Gothic"/>
        <family val="2"/>
      </rPr>
      <t>/ Round Cabbage</t>
    </r>
  </si>
  <si>
    <r>
      <rPr>
        <b/>
        <sz val="10"/>
        <color theme="1"/>
        <rFont val="Century Gothic"/>
        <family val="2"/>
      </rPr>
      <t>Kubis Bunga</t>
    </r>
    <r>
      <rPr>
        <i/>
        <sz val="10"/>
        <color theme="1"/>
        <rFont val="Century Gothic"/>
        <family val="2"/>
      </rPr>
      <t>/ Cauliflower</t>
    </r>
  </si>
  <si>
    <r>
      <rPr>
        <b/>
        <sz val="10"/>
        <color theme="1"/>
        <rFont val="Century Gothic"/>
        <family val="2"/>
      </rPr>
      <t>Nanas/</t>
    </r>
    <r>
      <rPr>
        <i/>
        <sz val="10"/>
        <color theme="1"/>
        <rFont val="Century Gothic"/>
        <family val="2"/>
      </rPr>
      <t xml:space="preserve"> Pineapple</t>
    </r>
  </si>
  <si>
    <r>
      <rPr>
        <b/>
        <sz val="10"/>
        <color theme="1"/>
        <rFont val="Century Gothic"/>
        <family val="2"/>
      </rPr>
      <t>Telur Ayam Gred A/</t>
    </r>
    <r>
      <rPr>
        <i/>
        <sz val="10"/>
        <color theme="1"/>
        <rFont val="Century Gothic"/>
        <family val="2"/>
      </rPr>
      <t xml:space="preserve"> Hen's Egg Grade A</t>
    </r>
  </si>
  <si>
    <r>
      <rPr>
        <b/>
        <sz val="10"/>
        <color theme="1"/>
        <rFont val="Century Gothic"/>
        <family val="2"/>
      </rPr>
      <t>Telur Ayam Gred B/</t>
    </r>
    <r>
      <rPr>
        <i/>
        <sz val="10"/>
        <color theme="1"/>
        <rFont val="Century Gothic"/>
        <family val="2"/>
      </rPr>
      <t xml:space="preserve"> Hen's Egg Grade B</t>
    </r>
  </si>
  <si>
    <r>
      <rPr>
        <b/>
        <sz val="10"/>
        <color theme="1"/>
        <rFont val="Century Gothic"/>
        <family val="2"/>
      </rPr>
      <t>Telur Ayam Gred C/</t>
    </r>
    <r>
      <rPr>
        <i/>
        <sz val="10"/>
        <color theme="1"/>
        <rFont val="Century Gothic"/>
        <family val="2"/>
      </rPr>
      <t xml:space="preserve"> Hen's Egg Grade C</t>
    </r>
  </si>
  <si>
    <r>
      <rPr>
        <b/>
        <sz val="10"/>
        <color theme="1"/>
        <rFont val="Century Gothic"/>
        <family val="2"/>
      </rPr>
      <t>Ketam Bunga/</t>
    </r>
    <r>
      <rPr>
        <i/>
        <sz val="10"/>
        <color theme="1"/>
        <rFont val="Century Gothic"/>
        <family val="2"/>
      </rPr>
      <t xml:space="preserve"> Crabs</t>
    </r>
  </si>
  <si>
    <r>
      <t>gelas/</t>
    </r>
    <r>
      <rPr>
        <i/>
        <sz val="10"/>
        <color theme="1"/>
        <rFont val="Century Gothic"/>
        <family val="2"/>
      </rPr>
      <t xml:space="preserve"> glass</t>
    </r>
  </si>
  <si>
    <r>
      <rPr>
        <b/>
        <sz val="10"/>
        <color theme="1"/>
        <rFont val="Century Gothic"/>
        <family val="2"/>
      </rPr>
      <t>Syampu, 300 ml/</t>
    </r>
    <r>
      <rPr>
        <i/>
        <sz val="10"/>
        <color theme="1"/>
        <rFont val="Century Gothic"/>
        <family val="2"/>
      </rPr>
      <t xml:space="preserve"> Shampoo, 300 ml **</t>
    </r>
  </si>
  <si>
    <r>
      <rPr>
        <b/>
        <sz val="10"/>
        <color theme="1"/>
        <rFont val="Century Gothic"/>
        <family val="2"/>
      </rPr>
      <t>Mi Kering/</t>
    </r>
    <r>
      <rPr>
        <i/>
        <sz val="10"/>
        <color theme="1"/>
        <rFont val="Century Gothic"/>
        <family val="2"/>
      </rPr>
      <t xml:space="preserve"> Dried Mee</t>
    </r>
  </si>
  <si>
    <r>
      <rPr>
        <b/>
        <sz val="10"/>
        <color theme="1"/>
        <rFont val="Century Gothic"/>
        <family val="2"/>
      </rPr>
      <t>Pensil Warna/</t>
    </r>
    <r>
      <rPr>
        <i/>
        <sz val="10"/>
        <color theme="1"/>
        <rFont val="Century Gothic"/>
        <family val="2"/>
      </rPr>
      <t xml:space="preserve"> Pencil, Colour</t>
    </r>
  </si>
  <si>
    <r>
      <rPr>
        <b/>
        <sz val="10"/>
        <color theme="1"/>
        <rFont val="Century Gothic"/>
        <family val="2"/>
      </rPr>
      <t>Cili Padi Burung (Import)</t>
    </r>
    <r>
      <rPr>
        <i/>
        <sz val="10"/>
        <color theme="1"/>
        <rFont val="Century Gothic"/>
        <family val="2"/>
      </rPr>
      <t>/ Bird's Eye Chilli Import</t>
    </r>
  </si>
  <si>
    <r>
      <rPr>
        <b/>
        <sz val="10"/>
        <color theme="1"/>
        <rFont val="Century Gothic"/>
        <family val="2"/>
      </rPr>
      <t>Epal Hijau/</t>
    </r>
    <r>
      <rPr>
        <i/>
        <sz val="10"/>
        <color theme="1"/>
        <rFont val="Century Gothic"/>
        <family val="2"/>
      </rPr>
      <t xml:space="preserve"> Green Apple </t>
    </r>
  </si>
  <si>
    <r>
      <t xml:space="preserve">1 perkhidmatan/ </t>
    </r>
    <r>
      <rPr>
        <i/>
        <sz val="10"/>
        <color theme="1"/>
        <rFont val="Century Gothic"/>
        <family val="2"/>
      </rPr>
      <t>service</t>
    </r>
  </si>
  <si>
    <r>
      <rPr>
        <b/>
        <sz val="10"/>
        <color theme="1"/>
        <rFont val="Century Gothic"/>
        <family val="2"/>
      </rPr>
      <t>Menggunting Rambut (Lelaki)/</t>
    </r>
    <r>
      <rPr>
        <i/>
        <sz val="10"/>
        <color theme="1"/>
        <rFont val="Century Gothic"/>
        <family val="2"/>
      </rPr>
      <t xml:space="preserve"> Men’s Hair Cut</t>
    </r>
  </si>
  <si>
    <r>
      <t xml:space="preserve">sebatang/ </t>
    </r>
    <r>
      <rPr>
        <i/>
        <sz val="10"/>
        <color theme="1"/>
        <rFont val="Century Gothic"/>
        <family val="2"/>
      </rPr>
      <t xml:space="preserve"> each</t>
    </r>
  </si>
  <si>
    <r>
      <rPr>
        <b/>
        <sz val="10"/>
        <color theme="1"/>
        <rFont val="Century Gothic"/>
        <family val="2"/>
      </rPr>
      <t xml:space="preserve">Sabun Mandi/ </t>
    </r>
    <r>
      <rPr>
        <i/>
        <sz val="10"/>
        <color theme="1"/>
        <rFont val="Century Gothic"/>
        <family val="2"/>
      </rPr>
      <t>Toilet Soap **</t>
    </r>
  </si>
  <si>
    <t>550 ml</t>
  </si>
  <si>
    <r>
      <t xml:space="preserve">Bayam Hijau/ </t>
    </r>
    <r>
      <rPr>
        <i/>
        <sz val="10"/>
        <color theme="1"/>
        <rFont val="Century Gothic"/>
        <family val="2"/>
      </rPr>
      <t>Green Spinach</t>
    </r>
  </si>
  <si>
    <r>
      <rPr>
        <b/>
        <sz val="10"/>
        <color theme="1"/>
        <rFont val="Century Gothic"/>
        <family val="2"/>
      </rPr>
      <t>Epal Hijau/</t>
    </r>
    <r>
      <rPr>
        <i/>
        <sz val="10"/>
        <color theme="1"/>
        <rFont val="Century Gothic"/>
        <family val="2"/>
      </rPr>
      <t xml:space="preserve"> Green Apple</t>
    </r>
  </si>
  <si>
    <r>
      <rPr>
        <b/>
        <sz val="10"/>
        <color theme="1"/>
        <rFont val="Century Gothic"/>
        <family val="2"/>
      </rPr>
      <t>Epal Merah/</t>
    </r>
    <r>
      <rPr>
        <i/>
        <sz val="10"/>
        <color theme="1"/>
        <rFont val="Century Gothic"/>
        <family val="2"/>
      </rPr>
      <t xml:space="preserve"> Red Apple</t>
    </r>
  </si>
  <si>
    <r>
      <rPr>
        <b/>
        <sz val="10"/>
        <color theme="1"/>
        <rFont val="Century Gothic"/>
        <family val="2"/>
      </rPr>
      <t xml:space="preserve">Telur Ayam Gred C/ </t>
    </r>
    <r>
      <rPr>
        <i/>
        <sz val="10"/>
        <color theme="1"/>
        <rFont val="Century Gothic"/>
        <family val="2"/>
      </rPr>
      <t>Hen's Egg Grade C</t>
    </r>
  </si>
  <si>
    <r>
      <t xml:space="preserve">gelas/ </t>
    </r>
    <r>
      <rPr>
        <i/>
        <sz val="10"/>
        <color theme="1"/>
        <rFont val="Century Gothic"/>
        <family val="2"/>
      </rPr>
      <t>glass</t>
    </r>
  </si>
  <si>
    <r>
      <t xml:space="preserve">Sabun Mandi/ </t>
    </r>
    <r>
      <rPr>
        <i/>
        <sz val="10"/>
        <color theme="1"/>
        <rFont val="Century Gothic"/>
        <family val="2"/>
      </rPr>
      <t>Toilet Soap **</t>
    </r>
  </si>
  <si>
    <t>Maklumat &amp; Komunikasi</t>
  </si>
  <si>
    <t xml:space="preserve">  Information &amp; Communication</t>
  </si>
  <si>
    <t>Rekreasi, Sukan &amp; Kebudayaan</t>
  </si>
  <si>
    <t>Recreation, Sport &amp; Culture</t>
  </si>
  <si>
    <t>Restoran &amp; Perkhidmatan Penginapan</t>
  </si>
  <si>
    <t>Restaurants &amp; Accommodation Services</t>
  </si>
  <si>
    <t>Penjagaan Diri, Perlindungan Sosial &amp; Pelbagai Barangan &amp; Perkhidmatan</t>
  </si>
  <si>
    <t xml:space="preserve">  Personal Care, Social Protection &amp; Miscellaneous Goods &amp; Services</t>
  </si>
  <si>
    <t xml:space="preserve"> Personal Care, Social Protection &amp; Miscellaneous Goods &amp;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</si>
</sst>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1" formatCode="_-* #,##0_-;\-* #,##0_-;_-* &quot;-&quot;_-;_-@_-"/>
    <numFmt numFmtId="43" formatCode="_-* #,##0.00_-;\-* #,##0.00_-;_-* &quot;-&quot;??_-;_-@_-"/>
    <numFmt numFmtId="164" formatCode="_(* #,##0_);_(* \(#,##0\);_(* &quot;-&quot;_);_(@_)"/>
    <numFmt numFmtId="165" formatCode="_(* #,##0.00_);_(* \(#,##0.00\);_(* &quot;-&quot;??_);_(@_)"/>
    <numFmt numFmtId="166" formatCode="[$$-409]#,##0.00;[Red]&quot;-&quot;[$$-409]#,##0.00"/>
    <numFmt numFmtId="167" formatCode="#,##0.0"/>
    <numFmt numFmtId="168" formatCode="General&quot; &quot;"/>
    <numFmt numFmtId="169" formatCode="0.0"/>
    <numFmt numFmtId="170" formatCode="[$-409]mmm\-yy;@"/>
    <numFmt numFmtId="171" formatCode="_-* #,##0_-;\-* #,##0_-;_-* &quot;-&quot;??_-;_-@_-"/>
    <numFmt numFmtId="172" formatCode="_(* #,##0.0_);_(* \(#,##0.0\);_(* &quot;-&quot;_);_(@_)"/>
    <numFmt numFmtId="173" formatCode="_-* #,##0.0_-;\-* #,##0.0_-;_-* &quot;-&quot;??_-;_-@_-"/>
    <numFmt numFmtId="174" formatCode="General_)"/>
    <numFmt numFmtId="175" formatCode="0;[Red]0"/>
    <numFmt numFmtId="176" formatCode="_(* #,##0.0_);_(* \(#,##0.0\);_(* &quot;-&quot;??_);_(@_)"/>
    <numFmt numFmtId="177" formatCode="_(* #,##0_);_(* \(#,##0\);_(* &quot;-&quot;??_);_(@_)"/>
    <numFmt numFmtId="178" formatCode="#,##0.000"/>
    <numFmt numFmtId="179" formatCode="#,##0_ ;\-#,##0\ "/>
    <numFmt numFmtId="180" formatCode="#,##0.0_ ;\-#,##0.0\ "/>
    <numFmt numFmtId="181" formatCode="0.0%"/>
    <numFmt numFmtId="182" formatCode="#,##0.0_);\(#,##0.0\)"/>
    <numFmt numFmtId="183" formatCode="_(* #,##0.0_);_(* \(#,##0.0\);_(* &quot;-&quot;??.0_);_(@_)"/>
    <numFmt numFmtId="184" formatCode="_(* #,##0.00_);_(* \(#,##0.00\);_(* &quot;-&quot;??.00_);_(@_)"/>
    <numFmt numFmtId="185" formatCode="###0;###0"/>
  </numFmts>
  <fonts count="118">
    <font>
      <sz val="11"/>
      <color theme="1"/>
      <name val="Calibri"/>
      <family val="2"/>
      <scheme val="minor"/>
    </font>
    <font>
      <sz val="11"/>
      <color theme="1"/>
      <name val="Calibri"/>
      <family val="2"/>
      <scheme val="minor"/>
    </font>
    <font>
      <sz val="11"/>
      <name val="Century Gothic"/>
      <family val="2"/>
    </font>
    <font>
      <b/>
      <sz val="11"/>
      <name val="Century Gothic"/>
      <family val="2"/>
    </font>
    <font>
      <sz val="11"/>
      <color indexed="8"/>
      <name val="Calibri"/>
      <family val="2"/>
    </font>
    <font>
      <i/>
      <sz val="11"/>
      <name val="Century Gothic"/>
      <family val="2"/>
    </font>
    <font>
      <sz val="10"/>
      <name val="Century Gothic"/>
      <family val="2"/>
    </font>
    <font>
      <sz val="11"/>
      <color theme="1"/>
      <name val="Arial"/>
      <family val="2"/>
    </font>
    <font>
      <b/>
      <sz val="10"/>
      <name val="Century Gothic"/>
      <family val="2"/>
    </font>
    <font>
      <b/>
      <vertAlign val="superscript"/>
      <sz val="10"/>
      <name val="Century Gothic"/>
      <family val="2"/>
    </font>
    <font>
      <i/>
      <sz val="10"/>
      <name val="Century Gothic"/>
      <family val="2"/>
    </font>
    <font>
      <b/>
      <i/>
      <sz val="10"/>
      <name val="Century Gothic"/>
      <family val="2"/>
    </font>
    <font>
      <sz val="9"/>
      <name val="Century Gothic"/>
      <family val="2"/>
    </font>
    <font>
      <b/>
      <sz val="9"/>
      <name val="Century Gothic"/>
      <family val="2"/>
    </font>
    <font>
      <i/>
      <sz val="9"/>
      <name val="Century Gothic"/>
      <family val="2"/>
    </font>
    <font>
      <sz val="10"/>
      <name val="MS Sans Serif"/>
      <charset val="134"/>
    </font>
    <font>
      <b/>
      <vertAlign val="superscript"/>
      <sz val="9"/>
      <name val="Century Gothic"/>
      <family val="2"/>
    </font>
    <font>
      <sz val="10"/>
      <name val="Arial"/>
      <family val="2"/>
    </font>
    <font>
      <b/>
      <i/>
      <sz val="9"/>
      <name val="Century Gothic"/>
      <family val="2"/>
    </font>
    <font>
      <b/>
      <sz val="10"/>
      <color theme="1"/>
      <name val="Century Gothic"/>
      <family val="2"/>
    </font>
    <font>
      <sz val="11"/>
      <color theme="1"/>
      <name val="Century Gothic"/>
      <family val="2"/>
    </font>
    <font>
      <i/>
      <sz val="10"/>
      <color theme="1"/>
      <name val="Century Gothic"/>
      <family val="2"/>
    </font>
    <font>
      <sz val="9"/>
      <color rgb="FFFF0000"/>
      <name val="Century Gothic"/>
      <family val="2"/>
    </font>
    <font>
      <b/>
      <sz val="10"/>
      <color rgb="FF000000"/>
      <name val="Century Gothic"/>
      <family val="2"/>
    </font>
    <font>
      <b/>
      <sz val="9"/>
      <color rgb="FFFF0000"/>
      <name val="Century Gothic"/>
      <family val="2"/>
    </font>
    <font>
      <i/>
      <sz val="10"/>
      <color rgb="FF000000"/>
      <name val="Century Gothic"/>
      <family val="2"/>
    </font>
    <font>
      <sz val="10"/>
      <color rgb="FF000000"/>
      <name val="Century Gothic"/>
      <family val="2"/>
    </font>
    <font>
      <b/>
      <sz val="9"/>
      <name val="Arial"/>
      <family val="2"/>
    </font>
    <font>
      <sz val="10"/>
      <color theme="1"/>
      <name val="Century Gothic"/>
      <family val="2"/>
    </font>
    <font>
      <sz val="11"/>
      <name val="Calibri"/>
      <family val="2"/>
      <scheme val="minor"/>
    </font>
    <font>
      <i/>
      <sz val="10"/>
      <name val="Century Gothic"/>
      <family val="1"/>
    </font>
    <font>
      <i/>
      <sz val="10"/>
      <color theme="1"/>
      <name val="Century Gothic"/>
      <family val="1"/>
    </font>
    <font>
      <sz val="10"/>
      <color theme="1"/>
      <name val="Century Gothic"/>
      <family val="1"/>
    </font>
    <font>
      <b/>
      <sz val="10"/>
      <color theme="1"/>
      <name val="Century Gothic"/>
      <family val="1"/>
    </font>
    <font>
      <sz val="10"/>
      <name val="Century Gothic"/>
      <family val="1"/>
    </font>
    <font>
      <b/>
      <sz val="10"/>
      <name val="Century Gothic"/>
      <family val="1"/>
    </font>
    <font>
      <sz val="7"/>
      <name val="Helv"/>
      <charset val="134"/>
    </font>
    <font>
      <b/>
      <sz val="8"/>
      <color theme="1"/>
      <name val="Century Gothic"/>
      <family val="1"/>
    </font>
    <font>
      <i/>
      <sz val="8"/>
      <color theme="1"/>
      <name val="Century Gothic"/>
      <family val="1"/>
    </font>
    <font>
      <sz val="10"/>
      <color rgb="FFFF0000"/>
      <name val="Century Gothic"/>
      <family val="2"/>
    </font>
    <font>
      <b/>
      <vertAlign val="superscript"/>
      <sz val="10"/>
      <color theme="1"/>
      <name val="Century Gothic"/>
      <family val="1"/>
    </font>
    <font>
      <i/>
      <sz val="11"/>
      <color theme="1"/>
      <name val="Century Gothic"/>
      <family val="2"/>
    </font>
    <font>
      <sz val="10"/>
      <name val="Helv"/>
      <charset val="134"/>
    </font>
    <font>
      <sz val="10"/>
      <name val="Helv"/>
    </font>
    <font>
      <vertAlign val="superscript"/>
      <sz val="10"/>
      <name val="Century Gothic"/>
      <family val="2"/>
    </font>
    <font>
      <sz val="9"/>
      <color theme="1"/>
      <name val="Century Gothic"/>
      <family val="2"/>
    </font>
    <font>
      <b/>
      <sz val="9"/>
      <color theme="1"/>
      <name val="Century Gothic"/>
      <family val="2"/>
    </font>
    <font>
      <i/>
      <sz val="9"/>
      <color theme="1"/>
      <name val="Century Gothic"/>
      <family val="2"/>
    </font>
    <font>
      <b/>
      <vertAlign val="superscript"/>
      <sz val="9"/>
      <color theme="1"/>
      <name val="Century Gothic"/>
      <family val="2"/>
    </font>
    <font>
      <sz val="11"/>
      <color theme="1"/>
      <name val="Calibri"/>
      <family val="2"/>
    </font>
    <font>
      <b/>
      <sz val="11"/>
      <color rgb="FF000000"/>
      <name val="Century Gothic"/>
      <family val="2"/>
    </font>
    <font>
      <i/>
      <sz val="11"/>
      <color rgb="FF000000"/>
      <name val="Century Gothic"/>
      <family val="2"/>
    </font>
    <font>
      <i/>
      <sz val="1"/>
      <color rgb="FF000000"/>
      <name val="Century Gothic"/>
      <family val="2"/>
    </font>
    <font>
      <b/>
      <sz val="11"/>
      <color theme="1"/>
      <name val="Century Gothic"/>
      <family val="2"/>
    </font>
    <font>
      <sz val="10"/>
      <color indexed="8"/>
      <name val="Century Gothic"/>
      <family val="2"/>
    </font>
    <font>
      <b/>
      <i/>
      <sz val="10"/>
      <color theme="1"/>
      <name val="Century Gothic"/>
      <family val="2"/>
    </font>
    <font>
      <i/>
      <sz val="10"/>
      <color rgb="FFFF0000"/>
      <name val="Century Gothic"/>
      <family val="2"/>
    </font>
    <font>
      <i/>
      <vertAlign val="superscript"/>
      <sz val="9"/>
      <name val="Century Gothic"/>
      <family val="2"/>
    </font>
    <font>
      <b/>
      <i/>
      <sz val="9"/>
      <color theme="1"/>
      <name val="Century Gothic"/>
      <family val="2"/>
    </font>
    <font>
      <sz val="10"/>
      <color theme="1"/>
      <name val="Tahoma"/>
      <family val="2"/>
    </font>
    <font>
      <sz val="11"/>
      <color rgb="FF000000"/>
      <name val="Calibri"/>
      <family val="2"/>
    </font>
    <font>
      <i/>
      <sz val="11"/>
      <color indexed="8"/>
      <name val="Century Gothic"/>
      <family val="2"/>
    </font>
    <font>
      <i/>
      <sz val="10"/>
      <color indexed="8"/>
      <name val="Century Gothic"/>
      <family val="2"/>
    </font>
    <font>
      <b/>
      <sz val="10"/>
      <color indexed="8"/>
      <name val="Century Gothic"/>
      <family val="2"/>
    </font>
    <font>
      <sz val="10"/>
      <color theme="1"/>
      <name val="Calibri"/>
      <family val="2"/>
      <scheme val="minor"/>
    </font>
    <font>
      <sz val="8"/>
      <name val="Century Gothic"/>
      <family val="2"/>
    </font>
    <font>
      <sz val="13"/>
      <color theme="1"/>
      <name val="Calibri"/>
      <family val="2"/>
      <scheme val="minor"/>
    </font>
    <font>
      <sz val="13"/>
      <color theme="1"/>
      <name val="Century Gothic"/>
      <family val="2"/>
    </font>
    <font>
      <b/>
      <sz val="13"/>
      <color theme="1"/>
      <name val="Century Gothic"/>
      <family val="2"/>
    </font>
    <font>
      <b/>
      <i/>
      <sz val="13"/>
      <color theme="1"/>
      <name val="Century Gothic"/>
      <family val="2"/>
    </font>
    <font>
      <sz val="10"/>
      <color rgb="FF0000FF"/>
      <name val="Century Gothic"/>
      <family val="2"/>
    </font>
    <font>
      <sz val="12"/>
      <color theme="1"/>
      <name val="Helv"/>
      <charset val="134"/>
    </font>
    <font>
      <sz val="10"/>
      <color rgb="FF000000"/>
      <name val="Times New Roman"/>
      <family val="1"/>
    </font>
    <font>
      <b/>
      <sz val="8"/>
      <name val="Century Gothic"/>
      <family val="2"/>
    </font>
    <font>
      <i/>
      <sz val="8"/>
      <name val="Century Gothic"/>
      <family val="2"/>
    </font>
    <font>
      <b/>
      <sz val="9"/>
      <color theme="1"/>
      <name val="Century Gothic"/>
      <family val="1"/>
    </font>
    <font>
      <b/>
      <i/>
      <sz val="9"/>
      <color theme="1"/>
      <name val="Century Gothic"/>
      <family val="1"/>
    </font>
    <font>
      <i/>
      <sz val="9"/>
      <color theme="1"/>
      <name val="Century Gothic"/>
      <family val="1"/>
    </font>
    <font>
      <sz val="8.5"/>
      <name val="Arial"/>
      <family val="2"/>
    </font>
    <font>
      <sz val="11"/>
      <color rgb="FFFF0000"/>
      <name val="Century Gothic"/>
      <family val="2"/>
    </font>
    <font>
      <vertAlign val="superscript"/>
      <sz val="9"/>
      <name val="Century Gothic"/>
      <family val="2"/>
    </font>
    <font>
      <b/>
      <vertAlign val="superscript"/>
      <sz val="10"/>
      <color theme="1"/>
      <name val="Century Gothic"/>
      <family val="2"/>
    </font>
    <font>
      <b/>
      <sz val="10"/>
      <color theme="3" tint="0.39994506668294322"/>
      <name val="Century Gothic"/>
      <family val="2"/>
    </font>
    <font>
      <sz val="10"/>
      <color theme="3" tint="0.39994506668294322"/>
      <name val="Century Gothic"/>
      <family val="2"/>
    </font>
    <font>
      <sz val="10"/>
      <color theme="8"/>
      <name val="Century Gothic"/>
      <family val="2"/>
    </font>
    <font>
      <b/>
      <sz val="10"/>
      <color theme="8"/>
      <name val="Century Gothic"/>
      <family val="2"/>
    </font>
    <font>
      <sz val="7"/>
      <name val="Century Gothic"/>
      <family val="2"/>
    </font>
    <font>
      <b/>
      <i/>
      <vertAlign val="superscript"/>
      <sz val="9"/>
      <name val="Century Gothic"/>
      <family val="2"/>
    </font>
    <font>
      <i/>
      <sz val="10.5"/>
      <name val="Century Gothic"/>
      <family val="2"/>
    </font>
    <font>
      <b/>
      <vertAlign val="superscript"/>
      <sz val="11"/>
      <name val="Century Gothic"/>
      <family val="2"/>
    </font>
    <font>
      <i/>
      <vertAlign val="superscript"/>
      <sz val="11"/>
      <name val="Century Gothic"/>
      <family val="2"/>
    </font>
    <font>
      <sz val="12"/>
      <name val="Helv"/>
    </font>
    <font>
      <sz val="12"/>
      <name val="Segoe UI"/>
      <family val="2"/>
    </font>
    <font>
      <i/>
      <vertAlign val="superscript"/>
      <sz val="9"/>
      <color theme="1"/>
      <name val="Century Gothic"/>
      <family val="2"/>
    </font>
    <font>
      <i/>
      <sz val="9"/>
      <color rgb="FFFF0000"/>
      <name val="Century Gothic"/>
      <family val="2"/>
    </font>
    <font>
      <b/>
      <sz val="10"/>
      <color rgb="FFFF0000"/>
      <name val="Century Gothic"/>
      <family val="2"/>
    </font>
    <font>
      <sz val="8"/>
      <color rgb="FFFF0000"/>
      <name val="Century Gothic"/>
      <family val="2"/>
    </font>
    <font>
      <b/>
      <sz val="11"/>
      <color rgb="FFFF0000"/>
      <name val="Century Gothic"/>
      <family val="2"/>
    </font>
    <font>
      <b/>
      <sz val="11"/>
      <color theme="1"/>
      <name val="Calibri"/>
      <family val="2"/>
      <scheme val="minor"/>
    </font>
    <font>
      <sz val="9"/>
      <color theme="1"/>
      <name val="Calibri"/>
      <family val="2"/>
    </font>
    <font>
      <i/>
      <vertAlign val="superscript"/>
      <sz val="10"/>
      <color theme="1"/>
      <name val="Century Gothic"/>
      <family val="2"/>
    </font>
    <font>
      <sz val="9"/>
      <name val="Calibri"/>
      <family val="2"/>
    </font>
    <font>
      <sz val="10"/>
      <name val="Calibri"/>
      <family val="2"/>
    </font>
    <font>
      <sz val="11"/>
      <name val="Calibri"/>
      <family val="2"/>
    </font>
    <font>
      <vertAlign val="superscript"/>
      <sz val="10"/>
      <color theme="1"/>
      <name val="Century Gothic"/>
      <family val="2"/>
    </font>
    <font>
      <sz val="10"/>
      <color theme="0"/>
      <name val="Century Gothic"/>
      <family val="2"/>
    </font>
    <font>
      <b/>
      <sz val="12"/>
      <name val="Calibri"/>
      <family val="2"/>
      <scheme val="minor"/>
    </font>
    <font>
      <sz val="12"/>
      <name val="Calibri"/>
      <family val="2"/>
      <scheme val="minor"/>
    </font>
    <font>
      <b/>
      <sz val="8"/>
      <color rgb="FFFF0000"/>
      <name val="Century Gothic"/>
      <family val="2"/>
    </font>
    <font>
      <i/>
      <sz val="8"/>
      <color theme="1"/>
      <name val="Century Gothic"/>
      <family val="2"/>
    </font>
    <font>
      <b/>
      <sz val="8"/>
      <color theme="1"/>
      <name val="Century Gothic"/>
      <family val="2"/>
    </font>
    <font>
      <b/>
      <vertAlign val="superscript"/>
      <sz val="8"/>
      <color theme="1"/>
      <name val="Century Gothic"/>
      <family val="2"/>
    </font>
    <font>
      <sz val="8"/>
      <color theme="1"/>
      <name val="Century Gothic"/>
      <family val="1"/>
    </font>
    <font>
      <i/>
      <sz val="8"/>
      <color rgb="FFFF0000"/>
      <name val="Century Gothic"/>
      <family val="2"/>
    </font>
    <font>
      <b/>
      <vertAlign val="superscript"/>
      <sz val="8"/>
      <color theme="1"/>
      <name val="Century Gothic"/>
      <family val="1"/>
    </font>
    <font>
      <b/>
      <sz val="11"/>
      <color theme="1"/>
      <name val="Arial"/>
      <family val="2"/>
    </font>
    <font>
      <sz val="12"/>
      <color theme="1"/>
      <name val="Century Gothic"/>
      <family val="2"/>
    </font>
    <font>
      <b/>
      <i/>
      <vertAlign val="superscript"/>
      <sz val="10"/>
      <name val="Century Gothic"/>
      <family val="2"/>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s>
  <borders count="13">
    <border>
      <left/>
      <right/>
      <top/>
      <bottom/>
      <diagonal/>
    </border>
    <border>
      <left/>
      <right/>
      <top/>
      <bottom style="medium">
        <color indexed="64"/>
      </bottom>
      <diagonal/>
    </border>
    <border>
      <left/>
      <right/>
      <top style="medium">
        <color auto="1"/>
      </top>
      <bottom style="medium">
        <color auto="1"/>
      </bottom>
      <diagonal/>
    </border>
    <border>
      <left/>
      <right/>
      <top style="medium">
        <color indexed="64"/>
      </top>
      <bottom/>
      <diagonal/>
    </border>
    <border>
      <left/>
      <right/>
      <top/>
      <bottom style="thick">
        <color auto="1"/>
      </bottom>
      <diagonal/>
    </border>
    <border>
      <left/>
      <right/>
      <top/>
      <bottom style="thin">
        <color indexed="64"/>
      </bottom>
      <diagonal/>
    </border>
    <border>
      <left/>
      <right/>
      <top/>
      <bottom style="medium">
        <color rgb="FF000000"/>
      </bottom>
      <diagonal/>
    </border>
    <border>
      <left/>
      <right/>
      <top/>
      <bottom style="thick">
        <color theme="0"/>
      </bottom>
      <diagonal/>
    </border>
    <border>
      <left/>
      <right/>
      <top style="thick">
        <color auto="1"/>
      </top>
      <bottom/>
      <diagonal/>
    </border>
    <border>
      <left/>
      <right/>
      <top style="medium">
        <color rgb="FF351553"/>
      </top>
      <bottom/>
      <diagonal/>
    </border>
    <border>
      <left/>
      <right/>
      <top/>
      <bottom style="medium">
        <color rgb="FF351553"/>
      </bottom>
      <diagonal/>
    </border>
    <border>
      <left/>
      <right/>
      <top style="thick">
        <color rgb="FF000000"/>
      </top>
      <bottom/>
      <diagonal/>
    </border>
    <border>
      <left/>
      <right/>
      <top/>
      <bottom style="thick">
        <color rgb="FF000000"/>
      </bottom>
      <diagonal/>
    </border>
  </borders>
  <cellStyleXfs count="165">
    <xf numFmtId="0" fontId="0" fillId="0" borderId="0"/>
    <xf numFmtId="9" fontId="1" fillId="0" borderId="0" applyFont="0" applyFill="0" applyBorder="0" applyAlignment="0" applyProtection="0"/>
    <xf numFmtId="0" fontId="1" fillId="0" borderId="0"/>
    <xf numFmtId="166" fontId="4" fillId="0" borderId="0">
      <alignment vertical="center"/>
    </xf>
    <xf numFmtId="0" fontId="7" fillId="0" borderId="0"/>
    <xf numFmtId="165" fontId="1" fillId="0" borderId="0" applyFont="0" applyFill="0" applyBorder="0" applyAlignment="0" applyProtection="0">
      <alignment vertical="center"/>
    </xf>
    <xf numFmtId="165" fontId="1" fillId="0" borderId="0" applyFont="0" applyFill="0" applyBorder="0" applyAlignment="0" applyProtection="0"/>
    <xf numFmtId="9" fontId="1" fillId="0" borderId="0" applyFont="0" applyFill="0" applyBorder="0" applyAlignment="0" applyProtection="0"/>
    <xf numFmtId="0" fontId="1" fillId="0" borderId="0"/>
    <xf numFmtId="170" fontId="15" fillId="0" borderId="0"/>
    <xf numFmtId="170" fontId="15" fillId="0" borderId="0"/>
    <xf numFmtId="0" fontId="17" fillId="0" borderId="0"/>
    <xf numFmtId="0" fontId="1" fillId="0" borderId="0"/>
    <xf numFmtId="0" fontId="1" fillId="0" borderId="0"/>
    <xf numFmtId="165" fontId="1" fillId="0" borderId="0" applyFont="0" applyFill="0" applyBorder="0" applyAlignment="0" applyProtection="0">
      <alignment vertical="center"/>
    </xf>
    <xf numFmtId="0" fontId="1" fillId="0" borderId="0"/>
    <xf numFmtId="0" fontId="1" fillId="0" borderId="0"/>
    <xf numFmtId="0" fontId="1" fillId="0" borderId="0"/>
    <xf numFmtId="0" fontId="1" fillId="0" borderId="0"/>
    <xf numFmtId="0" fontId="1" fillId="0" borderId="0"/>
    <xf numFmtId="0" fontId="1" fillId="0" borderId="0"/>
    <xf numFmtId="166" fontId="1" fillId="0" borderId="0"/>
    <xf numFmtId="43" fontId="1" fillId="0" borderId="0" applyFont="0" applyFill="0" applyBorder="0" applyAlignment="0" applyProtection="0"/>
    <xf numFmtId="165" fontId="17" fillId="0" borderId="0" applyFont="0" applyFill="0" applyBorder="0" applyAlignment="0" applyProtection="0"/>
    <xf numFmtId="164" fontId="17" fillId="0" borderId="0" applyFont="0" applyFill="0" applyBorder="0" applyAlignment="0" applyProtection="0"/>
    <xf numFmtId="165" fontId="17" fillId="0" borderId="0" applyFont="0" applyFill="0" applyBorder="0" applyAlignment="0" applyProtection="0"/>
    <xf numFmtId="174" fontId="36" fillId="0" borderId="0"/>
    <xf numFmtId="0" fontId="17" fillId="0" borderId="0"/>
    <xf numFmtId="0" fontId="1" fillId="0" borderId="0"/>
    <xf numFmtId="170" fontId="1" fillId="0" borderId="0"/>
    <xf numFmtId="175" fontId="42" fillId="0" borderId="0"/>
    <xf numFmtId="0" fontId="43" fillId="0" borderId="0"/>
    <xf numFmtId="43" fontId="1" fillId="0" borderId="0" applyFont="0" applyFill="0" applyBorder="0" applyAlignment="0" applyProtection="0"/>
    <xf numFmtId="0" fontId="1" fillId="0" borderId="0"/>
    <xf numFmtId="165" fontId="36" fillId="0" borderId="0" applyFont="0" applyFill="0" applyBorder="0" applyAlignment="0" applyProtection="0"/>
    <xf numFmtId="0" fontId="1" fillId="0" borderId="0"/>
    <xf numFmtId="0" fontId="1" fillId="0" borderId="0"/>
    <xf numFmtId="0" fontId="1" fillId="0" borderId="0"/>
    <xf numFmtId="0" fontId="49" fillId="0" borderId="0"/>
    <xf numFmtId="166" fontId="1" fillId="0" borderId="0"/>
    <xf numFmtId="43"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alignment vertical="center"/>
    </xf>
    <xf numFmtId="0" fontId="1" fillId="0" borderId="0"/>
    <xf numFmtId="175" fontId="42" fillId="0" borderId="0"/>
    <xf numFmtId="166" fontId="1" fillId="0" borderId="0"/>
    <xf numFmtId="0" fontId="1" fillId="0" borderId="0"/>
    <xf numFmtId="165" fontId="1" fillId="0" borderId="0" applyFont="0" applyFill="0" applyBorder="0" applyAlignment="0" applyProtection="0">
      <alignment vertical="center"/>
    </xf>
    <xf numFmtId="0" fontId="59" fillId="0" borderId="0"/>
    <xf numFmtId="175" fontId="42" fillId="0" borderId="0"/>
    <xf numFmtId="170" fontId="59" fillId="0" borderId="0"/>
    <xf numFmtId="0" fontId="60" fillId="0" borderId="0"/>
    <xf numFmtId="0" fontId="1" fillId="0" borderId="0"/>
    <xf numFmtId="175" fontId="42" fillId="0" borderId="0"/>
    <xf numFmtId="0" fontId="4" fillId="0" borderId="0">
      <alignment vertical="center"/>
    </xf>
    <xf numFmtId="43" fontId="1" fillId="0" borderId="0" applyFont="0" applyFill="0" applyBorder="0" applyAlignment="0" applyProtection="0"/>
    <xf numFmtId="0" fontId="1" fillId="0" borderId="0"/>
    <xf numFmtId="166" fontId="1" fillId="0" borderId="0"/>
    <xf numFmtId="0" fontId="1" fillId="0" borderId="0"/>
    <xf numFmtId="165" fontId="1" fillId="0" borderId="0" applyFont="0" applyFill="0" applyBorder="0" applyAlignment="0" applyProtection="0"/>
    <xf numFmtId="0" fontId="17" fillId="0" borderId="0"/>
    <xf numFmtId="0" fontId="1" fillId="0" borderId="0"/>
    <xf numFmtId="174" fontId="42" fillId="0" borderId="0"/>
    <xf numFmtId="43" fontId="1" fillId="0" borderId="0" applyFont="0" applyFill="0" applyBorder="0" applyAlignment="0" applyProtection="0">
      <alignment vertical="center"/>
    </xf>
    <xf numFmtId="0" fontId="17" fillId="0" borderId="0"/>
    <xf numFmtId="165" fontId="1" fillId="0" borderId="0" applyFont="0" applyFill="0" applyBorder="0" applyAlignment="0" applyProtection="0"/>
    <xf numFmtId="168" fontId="71" fillId="0" borderId="0"/>
    <xf numFmtId="164" fontId="72"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170" fontId="1" fillId="0" borderId="0"/>
    <xf numFmtId="43" fontId="1" fillId="0" borderId="0" applyFont="0" applyFill="0" applyBorder="0" applyAlignment="0" applyProtection="0">
      <alignment vertical="center"/>
    </xf>
    <xf numFmtId="0" fontId="1" fillId="0" borderId="0"/>
    <xf numFmtId="165" fontId="1" fillId="0" borderId="0" applyFont="0" applyFill="0" applyBorder="0" applyAlignment="0" applyProtection="0">
      <alignment vertical="center"/>
    </xf>
    <xf numFmtId="0" fontId="1" fillId="0" borderId="0"/>
    <xf numFmtId="43" fontId="1" fillId="0" borderId="0" applyFont="0" applyFill="0" applyBorder="0" applyAlignment="0" applyProtection="0"/>
    <xf numFmtId="166" fontId="1" fillId="0" borderId="0"/>
    <xf numFmtId="165"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165" fontId="1" fillId="0" borderId="0" applyFont="0" applyFill="0" applyBorder="0" applyAlignment="0" applyProtection="0"/>
    <xf numFmtId="0" fontId="49" fillId="0" borderId="0"/>
    <xf numFmtId="0" fontId="49" fillId="0" borderId="0"/>
    <xf numFmtId="43" fontId="1" fillId="0" borderId="0" applyFont="0" applyFill="0" applyBorder="0" applyAlignment="0" applyProtection="0"/>
    <xf numFmtId="0" fontId="1" fillId="0" borderId="0"/>
    <xf numFmtId="0" fontId="17" fillId="0" borderId="0"/>
    <xf numFmtId="0" fontId="1" fillId="0" borderId="0"/>
    <xf numFmtId="0" fontId="60" fillId="0" borderId="0"/>
    <xf numFmtId="0" fontId="4" fillId="0" borderId="0">
      <alignment vertical="center"/>
    </xf>
    <xf numFmtId="165"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0" fontId="17" fillId="0" borderId="0"/>
    <xf numFmtId="165" fontId="1" fillId="0" borderId="0" applyFont="0" applyFill="0" applyBorder="0" applyAlignment="0" applyProtection="0">
      <alignment vertical="center"/>
    </xf>
    <xf numFmtId="166" fontId="1" fillId="0" borderId="0"/>
    <xf numFmtId="166" fontId="1" fillId="0" borderId="0"/>
    <xf numFmtId="0" fontId="1" fillId="0" borderId="0"/>
    <xf numFmtId="166" fontId="1" fillId="0" borderId="0"/>
    <xf numFmtId="0" fontId="1" fillId="0" borderId="0"/>
    <xf numFmtId="165" fontId="1" fillId="0" borderId="0" applyFont="0" applyFill="0" applyBorder="0" applyAlignment="0" applyProtection="0">
      <alignment vertical="center"/>
    </xf>
    <xf numFmtId="182" fontId="36" fillId="0" borderId="0"/>
    <xf numFmtId="0" fontId="1" fillId="0" borderId="0"/>
    <xf numFmtId="0" fontId="1" fillId="0" borderId="0"/>
    <xf numFmtId="0" fontId="1" fillId="0" borderId="0"/>
    <xf numFmtId="165" fontId="1" fillId="0" borderId="0" applyFont="0" applyFill="0" applyBorder="0" applyAlignment="0" applyProtection="0">
      <alignment vertical="center"/>
    </xf>
    <xf numFmtId="165"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166" fontId="1" fillId="0" borderId="0"/>
    <xf numFmtId="0" fontId="1" fillId="0" borderId="0"/>
    <xf numFmtId="166" fontId="1" fillId="0" borderId="0"/>
    <xf numFmtId="165"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5" fontId="1" fillId="0" borderId="0" applyFont="0" applyFill="0" applyBorder="0" applyAlignment="0" applyProtection="0"/>
    <xf numFmtId="0" fontId="1" fillId="0" borderId="0"/>
    <xf numFmtId="0" fontId="1" fillId="0" borderId="0"/>
    <xf numFmtId="0" fontId="1" fillId="0" borderId="0"/>
    <xf numFmtId="165" fontId="17" fillId="0" borderId="0" applyFont="0" applyFill="0" applyBorder="0" applyAlignment="0" applyProtection="0"/>
    <xf numFmtId="165" fontId="1" fillId="0" borderId="0" applyFont="0" applyFill="0" applyBorder="0" applyAlignment="0" applyProtection="0">
      <alignment vertical="center"/>
    </xf>
    <xf numFmtId="165" fontId="1" fillId="0" borderId="0" applyFont="0" applyFill="0" applyBorder="0" applyAlignment="0" applyProtection="0"/>
    <xf numFmtId="165" fontId="1" fillId="0" borderId="0" applyFont="0" applyFill="0" applyBorder="0" applyAlignment="0" applyProtection="0"/>
    <xf numFmtId="0" fontId="1" fillId="0" borderId="0"/>
    <xf numFmtId="0" fontId="1" fillId="0" borderId="0"/>
    <xf numFmtId="0" fontId="1" fillId="0" borderId="0"/>
    <xf numFmtId="165" fontId="1" fillId="0" borderId="0" applyFont="0" applyFill="0" applyBorder="0" applyAlignment="0" applyProtection="0">
      <alignment vertical="center"/>
    </xf>
    <xf numFmtId="0" fontId="1" fillId="0" borderId="0"/>
    <xf numFmtId="174" fontId="36" fillId="0" borderId="0"/>
    <xf numFmtId="0" fontId="1" fillId="0" borderId="0"/>
    <xf numFmtId="0" fontId="1" fillId="0" borderId="0"/>
    <xf numFmtId="0" fontId="4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6" fontId="1" fillId="0" borderId="0"/>
    <xf numFmtId="0" fontId="1" fillId="0" borderId="0"/>
    <xf numFmtId="166" fontId="1" fillId="0" borderId="0"/>
    <xf numFmtId="166" fontId="1" fillId="0" borderId="0"/>
    <xf numFmtId="0" fontId="1" fillId="0" borderId="0"/>
    <xf numFmtId="0" fontId="1" fillId="0" borderId="0"/>
    <xf numFmtId="0" fontId="1" fillId="0" borderId="0"/>
    <xf numFmtId="0" fontId="1" fillId="0" borderId="0"/>
    <xf numFmtId="166" fontId="4" fillId="0" borderId="0">
      <alignment vertical="center"/>
    </xf>
    <xf numFmtId="0" fontId="1" fillId="0" borderId="0"/>
    <xf numFmtId="0" fontId="1" fillId="0" borderId="0"/>
    <xf numFmtId="0" fontId="1" fillId="0" borderId="0"/>
    <xf numFmtId="0" fontId="1" fillId="0" borderId="0"/>
    <xf numFmtId="0" fontId="91" fillId="0" borderId="0"/>
    <xf numFmtId="0" fontId="91" fillId="0" borderId="0"/>
    <xf numFmtId="165" fontId="1" fillId="0" borderId="0" applyFont="0" applyFill="0" applyBorder="0" applyAlignment="0" applyProtection="0"/>
    <xf numFmtId="43" fontId="1" fillId="0" borderId="0" applyFont="0" applyFill="0" applyBorder="0" applyAlignment="0" applyProtection="0"/>
    <xf numFmtId="0" fontId="1" fillId="0" borderId="0"/>
  </cellStyleXfs>
  <cellXfs count="2930">
    <xf numFmtId="0" fontId="0" fillId="0" borderId="0" xfId="0"/>
    <xf numFmtId="0" fontId="2" fillId="0" borderId="0" xfId="2" applyFont="1"/>
    <xf numFmtId="166" fontId="3" fillId="0" borderId="0" xfId="3" applyFont="1" applyAlignment="1">
      <alignment horizontal="left" vertical="center"/>
    </xf>
    <xf numFmtId="167" fontId="3" fillId="0" borderId="0" xfId="2" applyNumberFormat="1" applyFont="1"/>
    <xf numFmtId="0" fontId="2" fillId="0" borderId="0" xfId="2" applyFont="1" applyAlignment="1">
      <alignment vertical="center"/>
    </xf>
    <xf numFmtId="0" fontId="6" fillId="0" borderId="1" xfId="2" applyFont="1" applyBorder="1" applyAlignment="1">
      <alignment vertical="center"/>
    </xf>
    <xf numFmtId="0" fontId="6" fillId="0" borderId="0" xfId="2" applyFont="1" applyAlignment="1">
      <alignment vertical="center"/>
    </xf>
    <xf numFmtId="0" fontId="8" fillId="0" borderId="1" xfId="4" applyFont="1" applyBorder="1" applyAlignment="1">
      <alignment horizontal="right" vertical="center"/>
    </xf>
    <xf numFmtId="168" fontId="8" fillId="0" borderId="2" xfId="5" applyNumberFormat="1" applyFont="1" applyBorder="1" applyAlignment="1">
      <alignment horizontal="right" vertical="center"/>
    </xf>
    <xf numFmtId="0" fontId="6" fillId="0" borderId="0" xfId="2" applyFont="1"/>
    <xf numFmtId="0" fontId="8" fillId="0" borderId="0" xfId="2" applyFont="1" applyAlignment="1">
      <alignment horizontal="center" vertical="center"/>
    </xf>
    <xf numFmtId="3" fontId="8" fillId="0" borderId="0" xfId="2" applyNumberFormat="1" applyFont="1" applyAlignment="1">
      <alignment horizontal="right" vertical="center"/>
    </xf>
    <xf numFmtId="3" fontId="6" fillId="0" borderId="0" xfId="2" applyNumberFormat="1" applyFont="1" applyAlignment="1">
      <alignment horizontal="right" vertical="center"/>
    </xf>
    <xf numFmtId="3" fontId="6" fillId="0" borderId="0" xfId="5" applyNumberFormat="1" applyFont="1" applyAlignment="1">
      <alignment horizontal="right" vertical="center"/>
    </xf>
    <xf numFmtId="0" fontId="8" fillId="0" borderId="0" xfId="2" applyFont="1" applyAlignment="1">
      <alignment vertical="center"/>
    </xf>
    <xf numFmtId="3" fontId="8" fillId="0" borderId="0" xfId="5" applyNumberFormat="1" applyFont="1" applyAlignment="1">
      <alignment horizontal="right" vertical="center"/>
    </xf>
    <xf numFmtId="167" fontId="6" fillId="0" borderId="0" xfId="6" applyNumberFormat="1" applyFont="1" applyAlignment="1">
      <alignment horizontal="right" vertical="center"/>
    </xf>
    <xf numFmtId="169" fontId="6" fillId="0" borderId="0" xfId="7" applyNumberFormat="1" applyFont="1" applyFill="1" applyAlignment="1">
      <alignment vertical="center"/>
    </xf>
    <xf numFmtId="167" fontId="6" fillId="0" borderId="0" xfId="2" applyNumberFormat="1" applyFont="1" applyAlignment="1">
      <alignment horizontal="right" vertical="center"/>
    </xf>
    <xf numFmtId="167" fontId="6" fillId="0" borderId="0" xfId="5" applyNumberFormat="1" applyFont="1" applyAlignment="1">
      <alignment horizontal="right" vertical="top"/>
    </xf>
    <xf numFmtId="0" fontId="12" fillId="0" borderId="0" xfId="2" applyFont="1" applyAlignment="1">
      <alignment vertical="center"/>
    </xf>
    <xf numFmtId="0" fontId="13" fillId="0" borderId="0" xfId="8" applyFont="1" applyAlignment="1">
      <alignment vertical="center"/>
    </xf>
    <xf numFmtId="0" fontId="13" fillId="0" borderId="0" xfId="9" applyNumberFormat="1" applyFont="1" applyAlignment="1">
      <alignment horizontal="left" vertical="center"/>
    </xf>
    <xf numFmtId="0" fontId="3" fillId="0" borderId="0" xfId="2" quotePrefix="1" applyFont="1"/>
    <xf numFmtId="0" fontId="14" fillId="0" borderId="0" xfId="10" applyNumberFormat="1" applyFont="1" applyAlignment="1">
      <alignment horizontal="left" vertical="center"/>
    </xf>
    <xf numFmtId="0" fontId="13" fillId="0" borderId="0" xfId="11" applyFont="1"/>
    <xf numFmtId="0" fontId="2" fillId="0" borderId="0" xfId="12" applyFont="1"/>
    <xf numFmtId="167" fontId="3" fillId="0" borderId="0" xfId="12" applyNumberFormat="1" applyFont="1"/>
    <xf numFmtId="0" fontId="2" fillId="0" borderId="0" xfId="12" applyFont="1" applyAlignment="1">
      <alignment vertical="center"/>
    </xf>
    <xf numFmtId="0" fontId="6" fillId="0" borderId="1" xfId="12" applyFont="1" applyBorder="1" applyAlignment="1">
      <alignment vertical="center"/>
    </xf>
    <xf numFmtId="0" fontId="6" fillId="0" borderId="0" xfId="12" applyFont="1" applyAlignment="1">
      <alignment vertical="center"/>
    </xf>
    <xf numFmtId="168" fontId="8" fillId="0" borderId="2" xfId="14" applyNumberFormat="1" applyFont="1" applyBorder="1" applyAlignment="1">
      <alignment horizontal="right" vertical="center"/>
    </xf>
    <xf numFmtId="0" fontId="6" fillId="0" borderId="0" xfId="12" applyFont="1"/>
    <xf numFmtId="0" fontId="6" fillId="0" borderId="0" xfId="12" applyFont="1" applyAlignment="1">
      <alignment horizontal="center" vertical="center"/>
    </xf>
    <xf numFmtId="0" fontId="8" fillId="0" borderId="0" xfId="12" applyFont="1" applyAlignment="1">
      <alignment horizontal="center" vertical="center"/>
    </xf>
    <xf numFmtId="167" fontId="8" fillId="0" borderId="0" xfId="12" applyNumberFormat="1" applyFont="1" applyAlignment="1">
      <alignment horizontal="right" vertical="center"/>
    </xf>
    <xf numFmtId="0" fontId="8" fillId="0" borderId="0" xfId="12" applyFont="1" applyAlignment="1">
      <alignment horizontal="right" vertical="center"/>
    </xf>
    <xf numFmtId="0" fontId="6" fillId="0" borderId="0" xfId="12" applyFont="1" applyAlignment="1">
      <alignment horizontal="right"/>
    </xf>
    <xf numFmtId="0" fontId="8" fillId="0" borderId="0" xfId="12" applyFont="1" applyAlignment="1">
      <alignment vertical="center"/>
    </xf>
    <xf numFmtId="0" fontId="8" fillId="0" borderId="0" xfId="12" applyFont="1" applyAlignment="1">
      <alignment horizontal="left" vertical="center" indent="2"/>
    </xf>
    <xf numFmtId="0" fontId="10" fillId="0" borderId="0" xfId="12" applyFont="1" applyAlignment="1">
      <alignment vertical="center"/>
    </xf>
    <xf numFmtId="167" fontId="6" fillId="0" borderId="0" xfId="12" applyNumberFormat="1" applyFont="1" applyAlignment="1">
      <alignment horizontal="right" vertical="center"/>
    </xf>
    <xf numFmtId="3" fontId="6" fillId="0" borderId="0" xfId="12" applyNumberFormat="1" applyFont="1" applyAlignment="1">
      <alignment horizontal="right" vertical="center"/>
    </xf>
    <xf numFmtId="167" fontId="6" fillId="0" borderId="0" xfId="12" applyNumberFormat="1" applyFont="1" applyAlignment="1">
      <alignment horizontal="right" vertical="center" indent="1"/>
    </xf>
    <xf numFmtId="0" fontId="8" fillId="0" borderId="0" xfId="12" applyFont="1" applyAlignment="1">
      <alignment horizontal="left" vertical="center" indent="1"/>
    </xf>
    <xf numFmtId="0" fontId="2" fillId="0" borderId="0" xfId="12" applyFont="1" applyAlignment="1">
      <alignment horizontal="right" vertical="center"/>
    </xf>
    <xf numFmtId="167" fontId="2" fillId="0" borderId="0" xfId="12" applyNumberFormat="1" applyFont="1" applyAlignment="1">
      <alignment horizontal="right" vertical="center" indent="1"/>
    </xf>
    <xf numFmtId="167" fontId="6" fillId="0" borderId="0" xfId="12" applyNumberFormat="1" applyFont="1" applyAlignment="1">
      <alignment horizontal="right"/>
    </xf>
    <xf numFmtId="0" fontId="2" fillId="0" borderId="4" xfId="12" applyFont="1" applyBorder="1" applyAlignment="1">
      <alignment vertical="center"/>
    </xf>
    <xf numFmtId="0" fontId="12" fillId="0" borderId="0" xfId="16" applyFont="1" applyAlignment="1">
      <alignment vertical="center"/>
    </xf>
    <xf numFmtId="0" fontId="12" fillId="0" borderId="0" xfId="12" applyFont="1" applyAlignment="1">
      <alignment vertical="center"/>
    </xf>
    <xf numFmtId="0" fontId="13" fillId="0" borderId="0" xfId="12" applyFont="1" applyAlignment="1">
      <alignment horizontal="right" vertical="center"/>
    </xf>
    <xf numFmtId="0" fontId="13" fillId="0" borderId="0" xfId="12" applyFont="1" applyAlignment="1">
      <alignment vertical="center"/>
    </xf>
    <xf numFmtId="0" fontId="14" fillId="0" borderId="0" xfId="12" applyFont="1" applyAlignment="1">
      <alignment horizontal="right" vertical="center"/>
    </xf>
    <xf numFmtId="0" fontId="12" fillId="0" borderId="0" xfId="12" applyFont="1" applyAlignment="1">
      <alignment vertical="center" wrapText="1"/>
    </xf>
    <xf numFmtId="0" fontId="2" fillId="2" borderId="0" xfId="12" applyFont="1" applyFill="1"/>
    <xf numFmtId="0" fontId="6" fillId="0" borderId="0" xfId="18" applyFont="1" applyAlignment="1">
      <alignment horizontal="left"/>
    </xf>
    <xf numFmtId="0" fontId="3" fillId="0" borderId="0" xfId="18" applyFont="1" applyAlignment="1">
      <alignment horizontal="right" vertical="center"/>
    </xf>
    <xf numFmtId="0" fontId="2" fillId="0" borderId="0" xfId="18" applyFont="1" applyAlignment="1">
      <alignment horizontal="left"/>
    </xf>
    <xf numFmtId="167" fontId="3" fillId="0" borderId="0" xfId="18" applyNumberFormat="1" applyFont="1" applyAlignment="1">
      <alignment horizontal="left"/>
    </xf>
    <xf numFmtId="0" fontId="5" fillId="0" borderId="0" xfId="18" applyFont="1" applyAlignment="1">
      <alignment horizontal="right" vertical="center"/>
    </xf>
    <xf numFmtId="166" fontId="5" fillId="0" borderId="0" xfId="3" applyFont="1" applyAlignment="1">
      <alignment horizontal="left" vertical="top"/>
    </xf>
    <xf numFmtId="0" fontId="2" fillId="0" borderId="0" xfId="18" applyFont="1" applyAlignment="1">
      <alignment horizontal="left" vertical="top"/>
    </xf>
    <xf numFmtId="0" fontId="2" fillId="0" borderId="0" xfId="19" applyFont="1" applyAlignment="1">
      <alignment horizontal="left" vertical="center"/>
    </xf>
    <xf numFmtId="0" fontId="6" fillId="0" borderId="0" xfId="19" applyFont="1" applyAlignment="1">
      <alignment horizontal="left" vertical="center"/>
    </xf>
    <xf numFmtId="0" fontId="13" fillId="0" borderId="0" xfId="0" applyFont="1" applyAlignment="1">
      <alignment horizontal="right" vertical="center" wrapText="1" readingOrder="1"/>
    </xf>
    <xf numFmtId="0" fontId="20" fillId="0" borderId="0" xfId="0" applyFont="1"/>
    <xf numFmtId="3" fontId="13" fillId="0" borderId="0" xfId="0" applyNumberFormat="1" applyFont="1" applyAlignment="1">
      <alignment horizontal="right" vertical="center" wrapText="1" readingOrder="1"/>
    </xf>
    <xf numFmtId="0" fontId="2" fillId="0" borderId="0" xfId="0" applyFont="1"/>
    <xf numFmtId="169" fontId="12" fillId="0" borderId="0" xfId="0" applyNumberFormat="1" applyFont="1" applyAlignment="1">
      <alignment horizontal="right" vertical="center" wrapText="1" readingOrder="1"/>
    </xf>
    <xf numFmtId="169" fontId="22" fillId="0" borderId="0" xfId="0" applyNumberFormat="1" applyFont="1" applyAlignment="1">
      <alignment horizontal="right" vertical="center" wrapText="1" readingOrder="1"/>
    </xf>
    <xf numFmtId="3" fontId="23" fillId="0" borderId="0" xfId="0" applyNumberFormat="1" applyFont="1" applyAlignment="1">
      <alignment horizontal="right" vertical="top" wrapText="1"/>
    </xf>
    <xf numFmtId="3" fontId="24" fillId="0" borderId="0" xfId="0" applyNumberFormat="1" applyFont="1" applyAlignment="1">
      <alignment horizontal="right" vertical="center" wrapText="1" readingOrder="1"/>
    </xf>
    <xf numFmtId="0" fontId="10" fillId="0" borderId="0" xfId="19" applyFont="1" applyAlignment="1">
      <alignment vertical="top"/>
    </xf>
    <xf numFmtId="0" fontId="10" fillId="0" borderId="0" xfId="19" applyFont="1" applyAlignment="1">
      <alignment vertical="center"/>
    </xf>
    <xf numFmtId="3" fontId="26" fillId="0" borderId="0" xfId="0" applyNumberFormat="1" applyFont="1" applyAlignment="1">
      <alignment horizontal="right" vertical="top" wrapText="1"/>
    </xf>
    <xf numFmtId="0" fontId="8" fillId="0" borderId="0" xfId="19" applyFont="1" applyAlignment="1">
      <alignment vertical="center"/>
    </xf>
    <xf numFmtId="0" fontId="25" fillId="0" borderId="0" xfId="0" applyFont="1" applyAlignment="1">
      <alignment horizontal="left" vertical="top" wrapText="1" indent="2"/>
    </xf>
    <xf numFmtId="0" fontId="23" fillId="0" borderId="0" xfId="0" applyFont="1" applyAlignment="1">
      <alignment horizontal="left" vertical="top" wrapText="1" indent="2"/>
    </xf>
    <xf numFmtId="0" fontId="28" fillId="0" borderId="0" xfId="0" applyFont="1" applyAlignment="1">
      <alignment horizontal="right" vertical="top" wrapText="1"/>
    </xf>
    <xf numFmtId="0" fontId="20" fillId="0" borderId="1" xfId="0" applyFont="1" applyBorder="1"/>
    <xf numFmtId="0" fontId="2" fillId="0" borderId="1" xfId="0" applyFont="1" applyBorder="1"/>
    <xf numFmtId="0" fontId="12" fillId="0" borderId="0" xfId="18" applyFont="1" applyAlignment="1">
      <alignment vertical="center"/>
    </xf>
    <xf numFmtId="0" fontId="13" fillId="0" borderId="0" xfId="18" applyFont="1" applyAlignment="1">
      <alignment vertical="center"/>
    </xf>
    <xf numFmtId="0" fontId="29" fillId="0" borderId="0" xfId="0" applyFont="1"/>
    <xf numFmtId="0" fontId="20" fillId="0" borderId="0" xfId="0" applyFont="1" applyAlignment="1">
      <alignment vertical="center"/>
    </xf>
    <xf numFmtId="0" fontId="19" fillId="0" borderId="1" xfId="0" applyFont="1" applyBorder="1" applyAlignment="1">
      <alignment horizontal="center" vertical="center"/>
    </xf>
    <xf numFmtId="0" fontId="19" fillId="0" borderId="1" xfId="0" applyFont="1" applyBorder="1" applyAlignment="1">
      <alignment horizontal="center" vertical="center" wrapText="1"/>
    </xf>
    <xf numFmtId="0" fontId="8" fillId="0" borderId="1" xfId="0" applyFont="1" applyBorder="1" applyAlignment="1">
      <alignment vertical="center" wrapText="1"/>
    </xf>
    <xf numFmtId="0" fontId="19" fillId="0" borderId="0" xfId="0" applyFont="1" applyAlignment="1">
      <alignment horizontal="center" vertical="center"/>
    </xf>
    <xf numFmtId="0" fontId="19" fillId="0" borderId="2" xfId="0" applyFont="1" applyBorder="1" applyAlignment="1">
      <alignment horizontal="right" vertical="center"/>
    </xf>
    <xf numFmtId="0" fontId="28" fillId="0" borderId="0" xfId="0" applyFont="1" applyAlignment="1">
      <alignment horizontal="center" vertical="center"/>
    </xf>
    <xf numFmtId="0" fontId="28" fillId="0" borderId="0" xfId="0" applyFont="1" applyAlignment="1">
      <alignment vertical="center" wrapText="1"/>
    </xf>
    <xf numFmtId="0" fontId="28" fillId="0" borderId="0" xfId="0" applyFont="1" applyAlignment="1">
      <alignment vertical="center"/>
    </xf>
    <xf numFmtId="0" fontId="8" fillId="0" borderId="0" xfId="0" applyFont="1" applyAlignment="1">
      <alignment vertical="center" wrapText="1"/>
    </xf>
    <xf numFmtId="172" fontId="19" fillId="0" borderId="0" xfId="0" applyNumberFormat="1" applyFont="1" applyAlignment="1">
      <alignment vertical="center"/>
    </xf>
    <xf numFmtId="0" fontId="19" fillId="0" borderId="0" xfId="0" applyFont="1" applyAlignment="1">
      <alignment vertical="center"/>
    </xf>
    <xf numFmtId="0" fontId="28" fillId="0" borderId="0" xfId="12" applyFont="1" applyAlignment="1">
      <alignment horizontal="left" vertical="center" wrapText="1" indent="2"/>
    </xf>
    <xf numFmtId="0" fontId="32" fillId="0" borderId="0" xfId="12" applyFont="1" applyAlignment="1">
      <alignment horizontal="left" vertical="center" wrapText="1" indent="2"/>
    </xf>
    <xf numFmtId="0" fontId="32" fillId="0" borderId="0" xfId="12" applyFont="1" applyAlignment="1">
      <alignment horizontal="left" vertical="center"/>
    </xf>
    <xf numFmtId="172" fontId="28" fillId="0" borderId="0" xfId="24" applyNumberFormat="1" applyFont="1" applyFill="1" applyBorder="1" applyAlignment="1">
      <alignment vertical="center"/>
    </xf>
    <xf numFmtId="0" fontId="32" fillId="0" borderId="0" xfId="12" applyFont="1" applyAlignment="1">
      <alignment vertical="center" wrapText="1"/>
    </xf>
    <xf numFmtId="172" fontId="19" fillId="0" borderId="0" xfId="24" applyNumberFormat="1" applyFont="1" applyFill="1" applyBorder="1" applyAlignment="1">
      <alignment vertical="center"/>
    </xf>
    <xf numFmtId="0" fontId="32" fillId="0" borderId="0" xfId="0" applyFont="1" applyAlignment="1">
      <alignment horizontal="left" vertical="center" wrapText="1"/>
    </xf>
    <xf numFmtId="0" fontId="28" fillId="0" borderId="0" xfId="0" applyFont="1" applyAlignment="1">
      <alignment horizontal="left" vertical="center" wrapText="1"/>
    </xf>
    <xf numFmtId="0" fontId="34" fillId="0" borderId="0" xfId="12" applyFont="1" applyAlignment="1">
      <alignment vertical="center" wrapText="1"/>
    </xf>
    <xf numFmtId="0" fontId="34" fillId="0" borderId="0" xfId="12" applyFont="1" applyAlignment="1">
      <alignment horizontal="left" vertical="center" wrapText="1" indent="2"/>
    </xf>
    <xf numFmtId="164" fontId="28" fillId="0" borderId="0" xfId="24" applyFont="1" applyFill="1" applyBorder="1" applyAlignment="1">
      <alignment vertical="center"/>
    </xf>
    <xf numFmtId="0" fontId="28" fillId="0" borderId="1" xfId="0" applyFont="1" applyBorder="1" applyAlignment="1">
      <alignment horizontal="center" vertical="center"/>
    </xf>
    <xf numFmtId="0" fontId="34" fillId="0" borderId="1" xfId="12" applyFont="1" applyBorder="1" applyAlignment="1">
      <alignment horizontal="left" vertical="center" wrapText="1" indent="2"/>
    </xf>
    <xf numFmtId="0" fontId="13" fillId="3" borderId="0" xfId="0" applyFont="1" applyFill="1" applyAlignment="1">
      <alignment horizontal="right"/>
    </xf>
    <xf numFmtId="174" fontId="14" fillId="3" borderId="0" xfId="26" applyFont="1" applyFill="1" applyAlignment="1">
      <alignment horizontal="right"/>
    </xf>
    <xf numFmtId="0" fontId="33" fillId="0" borderId="0" xfId="12" applyFont="1" applyAlignment="1">
      <alignment vertical="center" wrapText="1"/>
    </xf>
    <xf numFmtId="0" fontId="28" fillId="0" borderId="1" xfId="0" applyFont="1" applyBorder="1" applyAlignment="1">
      <alignment vertical="center"/>
    </xf>
    <xf numFmtId="0" fontId="32" fillId="0" borderId="1" xfId="12" applyFont="1" applyBorder="1" applyAlignment="1">
      <alignment horizontal="left" vertical="center" wrapText="1" indent="2"/>
    </xf>
    <xf numFmtId="164" fontId="28" fillId="0" borderId="1" xfId="24" applyFont="1" applyFill="1" applyBorder="1" applyAlignment="1">
      <alignment vertical="center"/>
    </xf>
    <xf numFmtId="0" fontId="19" fillId="0" borderId="0" xfId="0" quotePrefix="1" applyFont="1" applyAlignment="1">
      <alignment vertical="center"/>
    </xf>
    <xf numFmtId="0" fontId="37" fillId="0" borderId="0" xfId="27" applyFont="1" applyAlignment="1">
      <alignment horizontal="left"/>
    </xf>
    <xf numFmtId="0" fontId="38" fillId="0" borderId="0" xfId="27" applyFont="1" applyAlignment="1">
      <alignment horizontal="left"/>
    </xf>
    <xf numFmtId="0" fontId="50" fillId="0" borderId="0" xfId="0" applyFont="1" applyAlignment="1">
      <alignment vertical="center"/>
    </xf>
    <xf numFmtId="0" fontId="51" fillId="0" borderId="0" xfId="0" applyFont="1" applyAlignment="1">
      <alignment horizontal="right" vertical="center"/>
    </xf>
    <xf numFmtId="0" fontId="51" fillId="0" borderId="0" xfId="0" applyFont="1" applyAlignment="1">
      <alignment vertical="center"/>
    </xf>
    <xf numFmtId="0" fontId="52" fillId="0" borderId="0" xfId="0" applyFont="1" applyAlignment="1">
      <alignment vertical="center"/>
    </xf>
    <xf numFmtId="0" fontId="23" fillId="0" borderId="3" xfId="0" applyFont="1" applyBorder="1" applyAlignment="1">
      <alignment vertical="center"/>
    </xf>
    <xf numFmtId="0" fontId="23" fillId="0" borderId="3" xfId="0" applyFont="1" applyBorder="1" applyAlignment="1">
      <alignment horizontal="center" vertical="center" wrapText="1"/>
    </xf>
    <xf numFmtId="0" fontId="8" fillId="0" borderId="3" xfId="0" applyFont="1" applyBorder="1" applyAlignment="1">
      <alignment horizontal="center" vertical="center" wrapText="1"/>
    </xf>
    <xf numFmtId="0" fontId="28" fillId="0" borderId="0" xfId="0" applyFont="1"/>
    <xf numFmtId="0" fontId="25" fillId="0" borderId="1" xfId="0" applyFont="1" applyBorder="1" applyAlignment="1">
      <alignment vertical="center"/>
    </xf>
    <xf numFmtId="0" fontId="23" fillId="0" borderId="1" xfId="0" applyFont="1" applyBorder="1" applyAlignment="1">
      <alignment vertical="center" wrapText="1"/>
    </xf>
    <xf numFmtId="0" fontId="23" fillId="0" borderId="0" xfId="0" applyFont="1" applyAlignment="1">
      <alignment vertical="center"/>
    </xf>
    <xf numFmtId="0" fontId="25" fillId="0" borderId="0" xfId="0" applyFont="1" applyAlignment="1">
      <alignment vertical="center" wrapText="1"/>
    </xf>
    <xf numFmtId="0" fontId="23" fillId="0" borderId="0" xfId="0" applyFont="1" applyAlignment="1">
      <alignment vertical="center" wrapText="1"/>
    </xf>
    <xf numFmtId="0" fontId="23" fillId="0" borderId="0" xfId="0" applyFont="1" applyAlignment="1">
      <alignment horizontal="center" vertical="center" wrapText="1"/>
    </xf>
    <xf numFmtId="0" fontId="8" fillId="0" borderId="0" xfId="0" applyFont="1" applyAlignment="1">
      <alignment horizontal="center" vertical="center" wrapText="1"/>
    </xf>
    <xf numFmtId="0" fontId="25" fillId="0" borderId="0" xfId="0" applyFont="1" applyAlignment="1">
      <alignment vertical="center"/>
    </xf>
    <xf numFmtId="0" fontId="23" fillId="0" borderId="0" xfId="0" applyFont="1" applyAlignment="1">
      <alignment horizontal="left" vertical="center" indent="2"/>
    </xf>
    <xf numFmtId="0" fontId="28" fillId="0" borderId="0" xfId="0" applyFont="1" applyAlignment="1">
      <alignment vertical="top" wrapText="1"/>
    </xf>
    <xf numFmtId="169" fontId="23" fillId="0" borderId="0" xfId="0" applyNumberFormat="1" applyFont="1" applyAlignment="1">
      <alignment horizontal="center" vertical="center" wrapText="1"/>
    </xf>
    <xf numFmtId="0" fontId="21" fillId="0" borderId="0" xfId="0" applyFont="1" applyAlignment="1">
      <alignment horizontal="left" vertical="center" indent="2"/>
    </xf>
    <xf numFmtId="0" fontId="21" fillId="0" borderId="0" xfId="0" applyFont="1" applyAlignment="1">
      <alignment vertical="center"/>
    </xf>
    <xf numFmtId="169" fontId="26" fillId="0" borderId="0" xfId="0" applyNumberFormat="1" applyFont="1" applyAlignment="1">
      <alignment horizontal="center" vertical="center" wrapText="1"/>
    </xf>
    <xf numFmtId="169" fontId="6" fillId="0" borderId="0" xfId="0" applyNumberFormat="1" applyFont="1" applyAlignment="1">
      <alignment horizontal="center" vertical="center" wrapText="1"/>
    </xf>
    <xf numFmtId="0" fontId="25" fillId="0" borderId="0" xfId="0" applyFont="1" applyAlignment="1">
      <alignment horizontal="left" vertical="center" indent="2"/>
    </xf>
    <xf numFmtId="0" fontId="26" fillId="0" borderId="0" xfId="0" applyFont="1" applyAlignment="1">
      <alignment vertical="center"/>
    </xf>
    <xf numFmtId="169" fontId="6" fillId="0" borderId="0" xfId="0" applyNumberFormat="1" applyFont="1" applyAlignment="1">
      <alignment horizontal="center" vertical="center"/>
    </xf>
    <xf numFmtId="0" fontId="5" fillId="0" borderId="0" xfId="0" applyFont="1" applyAlignment="1">
      <alignment horizontal="right" vertical="center"/>
    </xf>
    <xf numFmtId="169" fontId="8" fillId="0" borderId="0" xfId="0" applyNumberFormat="1" applyFont="1" applyAlignment="1">
      <alignment horizontal="center" vertical="center"/>
    </xf>
    <xf numFmtId="0" fontId="28" fillId="0" borderId="1" xfId="0" applyFont="1" applyBorder="1"/>
    <xf numFmtId="0" fontId="8" fillId="0" borderId="0" xfId="0" applyFont="1" applyAlignment="1">
      <alignment horizontal="right"/>
    </xf>
    <xf numFmtId="0" fontId="2" fillId="0" borderId="0" xfId="18" applyFont="1"/>
    <xf numFmtId="166" fontId="3" fillId="0" borderId="0" xfId="3" applyFont="1">
      <alignment vertical="center"/>
    </xf>
    <xf numFmtId="166" fontId="5" fillId="0" borderId="0" xfId="3" applyFont="1">
      <alignment vertical="center"/>
    </xf>
    <xf numFmtId="0" fontId="6" fillId="0" borderId="0" xfId="19" applyFont="1" applyAlignment="1">
      <alignment vertical="center"/>
    </xf>
    <xf numFmtId="0" fontId="6" fillId="0" borderId="1" xfId="19" applyFont="1" applyBorder="1" applyAlignment="1">
      <alignment vertical="center"/>
    </xf>
    <xf numFmtId="0" fontId="6" fillId="0" borderId="0" xfId="18" applyFont="1"/>
    <xf numFmtId="0" fontId="6" fillId="0" borderId="0" xfId="18" applyFont="1" applyAlignment="1">
      <alignment horizontal="center" vertical="center"/>
    </xf>
    <xf numFmtId="0" fontId="8" fillId="0" borderId="0" xfId="18" applyFont="1" applyAlignment="1">
      <alignment horizontal="center" vertical="center"/>
    </xf>
    <xf numFmtId="167" fontId="8" fillId="0" borderId="0" xfId="18" applyNumberFormat="1" applyFont="1" applyAlignment="1">
      <alignment horizontal="right" vertical="center"/>
    </xf>
    <xf numFmtId="0" fontId="6" fillId="0" borderId="0" xfId="18" applyFont="1" applyAlignment="1">
      <alignment vertical="center"/>
    </xf>
    <xf numFmtId="3" fontId="8" fillId="0" borderId="0" xfId="18" applyNumberFormat="1" applyFont="1" applyAlignment="1">
      <alignment horizontal="right" vertical="center"/>
    </xf>
    <xf numFmtId="0" fontId="6" fillId="0" borderId="0" xfId="18" applyFont="1" applyAlignment="1">
      <alignment horizontal="right" vertical="center"/>
    </xf>
    <xf numFmtId="0" fontId="10" fillId="0" borderId="0" xfId="18" applyFont="1" applyAlignment="1">
      <alignment vertical="center"/>
    </xf>
    <xf numFmtId="167" fontId="10" fillId="0" borderId="0" xfId="18" applyNumberFormat="1" applyFont="1" applyAlignment="1">
      <alignment horizontal="right" vertical="center"/>
    </xf>
    <xf numFmtId="0" fontId="10" fillId="0" borderId="0" xfId="18" applyFont="1" applyAlignment="1">
      <alignment horizontal="right" vertical="center"/>
    </xf>
    <xf numFmtId="0" fontId="8" fillId="0" borderId="0" xfId="18" applyFont="1" applyAlignment="1">
      <alignment vertical="center" wrapText="1"/>
    </xf>
    <xf numFmtId="167" fontId="6" fillId="0" borderId="0" xfId="18" applyNumberFormat="1" applyFont="1" applyAlignment="1">
      <alignment horizontal="right" vertical="center"/>
    </xf>
    <xf numFmtId="0" fontId="8" fillId="0" borderId="0" xfId="18" applyFont="1" applyAlignment="1">
      <alignment horizontal="left" vertical="center" indent="1"/>
    </xf>
    <xf numFmtId="167" fontId="6" fillId="0" borderId="0" xfId="18" applyNumberFormat="1" applyFont="1" applyAlignment="1">
      <alignment horizontal="right" indent="1"/>
    </xf>
    <xf numFmtId="3" fontId="6" fillId="0" borderId="0" xfId="18" applyNumberFormat="1" applyFont="1" applyAlignment="1">
      <alignment horizontal="right" vertical="center"/>
    </xf>
    <xf numFmtId="0" fontId="8" fillId="0" borderId="0" xfId="18" applyFont="1" applyAlignment="1">
      <alignment horizontal="left" vertical="center" indent="2"/>
    </xf>
    <xf numFmtId="0" fontId="8" fillId="0" borderId="0" xfId="18" applyFont="1" applyAlignment="1">
      <alignment horizontal="left" vertical="center" indent="4"/>
    </xf>
    <xf numFmtId="0" fontId="6" fillId="0" borderId="0" xfId="18" applyFont="1" applyAlignment="1">
      <alignment horizontal="left" vertical="center" indent="1"/>
    </xf>
    <xf numFmtId="167" fontId="6" fillId="0" borderId="0" xfId="18" applyNumberFormat="1" applyFont="1" applyAlignment="1">
      <alignment horizontal="right" vertical="center" indent="1"/>
    </xf>
    <xf numFmtId="0" fontId="10" fillId="0" borderId="0" xfId="18" applyFont="1" applyAlignment="1">
      <alignment horizontal="left" vertical="center" indent="2"/>
    </xf>
    <xf numFmtId="0" fontId="2" fillId="0" borderId="1" xfId="18" applyFont="1" applyBorder="1" applyAlignment="1">
      <alignment vertical="center"/>
    </xf>
    <xf numFmtId="3" fontId="2" fillId="0" borderId="1" xfId="18" applyNumberFormat="1" applyFont="1" applyBorder="1" applyAlignment="1">
      <alignment vertical="center"/>
    </xf>
    <xf numFmtId="0" fontId="2" fillId="0" borderId="0" xfId="18" applyFont="1" applyAlignment="1">
      <alignment vertical="center"/>
    </xf>
    <xf numFmtId="1" fontId="6" fillId="0" borderId="0" xfId="18" applyNumberFormat="1" applyFont="1" applyAlignment="1">
      <alignment horizontal="right" indent="1"/>
    </xf>
    <xf numFmtId="3" fontId="6" fillId="0" borderId="0" xfId="18" applyNumberFormat="1" applyFont="1" applyAlignment="1">
      <alignment vertical="center"/>
    </xf>
    <xf numFmtId="3" fontId="10" fillId="0" borderId="0" xfId="18" applyNumberFormat="1" applyFont="1" applyAlignment="1">
      <alignment horizontal="right" vertical="center"/>
    </xf>
    <xf numFmtId="0" fontId="3" fillId="0" borderId="0" xfId="18" applyFont="1"/>
    <xf numFmtId="0" fontId="5" fillId="0" borderId="0" xfId="18" applyFont="1"/>
    <xf numFmtId="4" fontId="8" fillId="0" borderId="0" xfId="18" applyNumberFormat="1" applyFont="1" applyAlignment="1">
      <alignment horizontal="right" vertical="center"/>
    </xf>
    <xf numFmtId="4" fontId="6" fillId="0" borderId="0" xfId="18" applyNumberFormat="1" applyFont="1" applyAlignment="1">
      <alignment horizontal="right" vertical="center"/>
    </xf>
    <xf numFmtId="167" fontId="6" fillId="0" borderId="0" xfId="18" applyNumberFormat="1" applyFont="1" applyAlignment="1">
      <alignment vertical="center"/>
    </xf>
    <xf numFmtId="167" fontId="11" fillId="0" borderId="0" xfId="18" applyNumberFormat="1" applyFont="1" applyAlignment="1">
      <alignment horizontal="right" vertical="center"/>
    </xf>
    <xf numFmtId="0" fontId="6" fillId="0" borderId="0" xfId="0" applyFont="1" applyAlignment="1">
      <alignment horizontal="left" vertical="top"/>
    </xf>
    <xf numFmtId="0" fontId="6" fillId="0" borderId="0" xfId="0" applyFont="1" applyAlignment="1">
      <alignment horizontal="left" vertical="top" wrapText="1"/>
    </xf>
    <xf numFmtId="0" fontId="3" fillId="0" borderId="0" xfId="0" applyFont="1" applyAlignment="1">
      <alignment horizontal="right" vertical="center"/>
    </xf>
    <xf numFmtId="0" fontId="3" fillId="0" borderId="0" xfId="47" applyFont="1"/>
    <xf numFmtId="0" fontId="8" fillId="0" borderId="0" xfId="0" applyFont="1" applyAlignment="1">
      <alignment horizontal="left" vertical="top"/>
    </xf>
    <xf numFmtId="0" fontId="10" fillId="0" borderId="0" xfId="0" applyFont="1" applyAlignment="1">
      <alignment horizontal="left" vertical="top"/>
    </xf>
    <xf numFmtId="0" fontId="5" fillId="0" borderId="0" xfId="47" applyFont="1" applyAlignment="1">
      <alignment vertical="center"/>
    </xf>
    <xf numFmtId="0" fontId="6" fillId="0" borderId="0" xfId="47" applyFont="1" applyAlignment="1">
      <alignment vertical="center"/>
    </xf>
    <xf numFmtId="0" fontId="8" fillId="0" borderId="0" xfId="47" applyFont="1" applyAlignment="1">
      <alignment vertical="center"/>
    </xf>
    <xf numFmtId="0" fontId="8" fillId="0" borderId="0" xfId="47" applyFont="1" applyAlignment="1">
      <alignment horizontal="right" vertical="center"/>
    </xf>
    <xf numFmtId="0" fontId="6" fillId="0" borderId="0" xfId="47" applyFont="1" applyAlignment="1">
      <alignment horizontal="center" vertical="center"/>
    </xf>
    <xf numFmtId="0" fontId="8" fillId="0" borderId="0" xfId="47" applyFont="1" applyAlignment="1">
      <alignment vertical="center" wrapText="1"/>
    </xf>
    <xf numFmtId="0" fontId="8" fillId="0" borderId="3" xfId="47" applyFont="1" applyBorder="1" applyAlignment="1">
      <alignment vertical="center" wrapText="1"/>
    </xf>
    <xf numFmtId="0" fontId="8" fillId="0" borderId="3" xfId="47" applyFont="1" applyBorder="1" applyAlignment="1">
      <alignment horizontal="center" vertical="center" wrapText="1"/>
    </xf>
    <xf numFmtId="0" fontId="8" fillId="0" borderId="3" xfId="47" applyFont="1" applyBorder="1" applyAlignment="1">
      <alignment vertical="center"/>
    </xf>
    <xf numFmtId="0" fontId="8" fillId="4" borderId="0" xfId="47" applyFont="1" applyFill="1" applyAlignment="1">
      <alignment vertical="center"/>
    </xf>
    <xf numFmtId="0" fontId="8" fillId="0" borderId="0" xfId="47" applyFont="1" applyAlignment="1">
      <alignment vertical="top" wrapText="1"/>
    </xf>
    <xf numFmtId="0" fontId="8" fillId="0" borderId="1" xfId="47" applyFont="1" applyBorder="1" applyAlignment="1">
      <alignment vertical="top" wrapText="1"/>
    </xf>
    <xf numFmtId="0" fontId="8" fillId="0" borderId="1" xfId="47" applyFont="1" applyBorder="1" applyAlignment="1">
      <alignment horizontal="right" vertical="center" wrapText="1"/>
    </xf>
    <xf numFmtId="0" fontId="6" fillId="4" borderId="0" xfId="47" applyFont="1" applyFill="1" applyAlignment="1">
      <alignment vertical="center"/>
    </xf>
    <xf numFmtId="0" fontId="6" fillId="0" borderId="0" xfId="0" applyFont="1" applyAlignment="1">
      <alignment horizontal="left"/>
    </xf>
    <xf numFmtId="0" fontId="8" fillId="0" borderId="0" xfId="47" applyFont="1" applyAlignment="1">
      <alignment horizontal="center" vertical="top" wrapText="1"/>
    </xf>
    <xf numFmtId="0" fontId="8" fillId="0" borderId="0" xfId="47" applyFont="1" applyAlignment="1">
      <alignment horizontal="right" vertical="top" wrapText="1"/>
    </xf>
    <xf numFmtId="177" fontId="6" fillId="0" borderId="0" xfId="5" applyNumberFormat="1" applyFont="1" applyAlignment="1">
      <alignment horizontal="right" wrapText="1"/>
    </xf>
    <xf numFmtId="14" fontId="10" fillId="0" borderId="0" xfId="0" applyNumberFormat="1" applyFont="1" applyAlignment="1">
      <alignment horizontal="left" vertical="top"/>
    </xf>
    <xf numFmtId="0" fontId="39" fillId="0" borderId="0" xfId="0" applyFont="1" applyAlignment="1">
      <alignment horizontal="left" vertical="top"/>
    </xf>
    <xf numFmtId="0" fontId="56" fillId="0" borderId="0" xfId="0" applyFont="1" applyAlignment="1">
      <alignment horizontal="left" vertical="top"/>
    </xf>
    <xf numFmtId="3" fontId="6" fillId="0" borderId="0" xfId="47" applyNumberFormat="1" applyFont="1" applyAlignment="1">
      <alignment vertical="center"/>
    </xf>
    <xf numFmtId="0" fontId="12" fillId="0" borderId="0" xfId="0" applyFont="1" applyAlignment="1">
      <alignment horizontal="left" vertical="top"/>
    </xf>
    <xf numFmtId="3" fontId="6" fillId="0" borderId="1" xfId="47" applyNumberFormat="1" applyFont="1" applyBorder="1" applyAlignment="1">
      <alignment horizontal="right" vertical="center"/>
    </xf>
    <xf numFmtId="0" fontId="6" fillId="0" borderId="1" xfId="47" applyFont="1" applyBorder="1" applyAlignment="1">
      <alignment vertical="center"/>
    </xf>
    <xf numFmtId="0" fontId="12" fillId="0" borderId="0" xfId="47" applyFont="1" applyAlignment="1">
      <alignment vertical="center"/>
    </xf>
    <xf numFmtId="175" fontId="14" fillId="0" borderId="0" xfId="48" applyFont="1" applyAlignment="1">
      <alignment horizontal="right" vertical="top"/>
    </xf>
    <xf numFmtId="0" fontId="13" fillId="0" borderId="0" xfId="47" applyFont="1" applyAlignment="1">
      <alignment vertical="center"/>
    </xf>
    <xf numFmtId="0" fontId="12" fillId="0" borderId="0" xfId="0" applyFont="1" applyAlignment="1">
      <alignment horizontal="left" vertical="top" wrapText="1"/>
    </xf>
    <xf numFmtId="0" fontId="14" fillId="0" borderId="0" xfId="47" applyFont="1" applyAlignment="1">
      <alignment vertical="center"/>
    </xf>
    <xf numFmtId="0" fontId="28" fillId="0" borderId="0" xfId="35" applyFont="1"/>
    <xf numFmtId="175" fontId="3" fillId="0" borderId="0" xfId="53" applyFont="1" applyAlignment="1">
      <alignment vertical="center"/>
    </xf>
    <xf numFmtId="175" fontId="6" fillId="0" borderId="0" xfId="53" applyFont="1" applyAlignment="1">
      <alignment vertical="center"/>
    </xf>
    <xf numFmtId="175" fontId="8" fillId="0" borderId="0" xfId="53" applyFont="1" applyAlignment="1">
      <alignment vertical="center"/>
    </xf>
    <xf numFmtId="175" fontId="8" fillId="0" borderId="0" xfId="53" applyFont="1" applyAlignment="1">
      <alignment horizontal="center" vertical="center" wrapText="1"/>
    </xf>
    <xf numFmtId="170" fontId="8" fillId="0" borderId="0" xfId="54" applyFont="1" applyAlignment="1">
      <alignment horizontal="left" vertical="center" wrapText="1"/>
    </xf>
    <xf numFmtId="170" fontId="8" fillId="0" borderId="0" xfId="54" applyFont="1" applyAlignment="1">
      <alignment horizontal="right" vertical="center" wrapText="1"/>
    </xf>
    <xf numFmtId="175" fontId="6" fillId="0" borderId="0" xfId="53" applyFont="1" applyAlignment="1">
      <alignment horizontal="left" vertical="center" wrapText="1"/>
    </xf>
    <xf numFmtId="169" fontId="6" fillId="0" borderId="0" xfId="53" applyNumberFormat="1" applyFont="1" applyAlignment="1">
      <alignment horizontal="center" vertical="center"/>
    </xf>
    <xf numFmtId="175" fontId="8" fillId="0" borderId="0" xfId="53" applyFont="1" applyAlignment="1">
      <alignment horizontal="left" vertical="center" wrapText="1"/>
    </xf>
    <xf numFmtId="175" fontId="6" fillId="0" borderId="1" xfId="53" applyFont="1" applyBorder="1" applyAlignment="1">
      <alignment horizontal="left" vertical="center"/>
    </xf>
    <xf numFmtId="169" fontId="6" fillId="0" borderId="1" xfId="53" applyNumberFormat="1" applyFont="1" applyBorder="1" applyAlignment="1">
      <alignment horizontal="center" vertical="center"/>
    </xf>
    <xf numFmtId="175" fontId="6" fillId="0" borderId="1" xfId="53" applyFont="1" applyBorder="1" applyAlignment="1">
      <alignment vertical="center"/>
    </xf>
    <xf numFmtId="0" fontId="13" fillId="0" borderId="0" xfId="56" applyFont="1" applyAlignment="1">
      <alignment horizontal="right" vertical="center"/>
    </xf>
    <xf numFmtId="0" fontId="14" fillId="0" borderId="0" xfId="56" applyFont="1" applyAlignment="1">
      <alignment horizontal="right" vertical="center"/>
    </xf>
    <xf numFmtId="0" fontId="20" fillId="0" borderId="0" xfId="35" applyFont="1"/>
    <xf numFmtId="175" fontId="8" fillId="0" borderId="3" xfId="57" applyFont="1" applyBorder="1" applyAlignment="1">
      <alignment horizontal="right" vertical="center" wrapText="1"/>
    </xf>
    <xf numFmtId="175" fontId="8" fillId="0" borderId="0" xfId="57" applyFont="1" applyAlignment="1">
      <alignment horizontal="right" vertical="center" wrapText="1"/>
    </xf>
    <xf numFmtId="0" fontId="28" fillId="0" borderId="0" xfId="35" applyFont="1" applyAlignment="1">
      <alignment vertical="center"/>
    </xf>
    <xf numFmtId="0" fontId="8" fillId="0" borderId="1" xfId="58" applyFont="1" applyBorder="1" applyAlignment="1">
      <alignment horizontal="right" vertical="center" wrapText="1"/>
    </xf>
    <xf numFmtId="0" fontId="28" fillId="0" borderId="1" xfId="35" applyFont="1" applyBorder="1" applyAlignment="1">
      <alignment horizontal="left" vertical="center"/>
    </xf>
    <xf numFmtId="0" fontId="64" fillId="0" borderId="0" xfId="35" applyFont="1"/>
    <xf numFmtId="0" fontId="3" fillId="0" borderId="0" xfId="12" applyFont="1" applyAlignment="1">
      <alignment horizontal="right" vertical="center"/>
    </xf>
    <xf numFmtId="0" fontId="5" fillId="0" borderId="0" xfId="12" applyFont="1" applyAlignment="1">
      <alignment horizontal="right" vertical="center"/>
    </xf>
    <xf numFmtId="0" fontId="6" fillId="0" borderId="0" xfId="64" applyFont="1"/>
    <xf numFmtId="0" fontId="8" fillId="0" borderId="0" xfId="64" applyFont="1" applyAlignment="1">
      <alignment horizontal="left"/>
    </xf>
    <xf numFmtId="0" fontId="8" fillId="0" borderId="0" xfId="64" applyFont="1" applyAlignment="1">
      <alignment horizontal="center"/>
    </xf>
    <xf numFmtId="0" fontId="8" fillId="0" borderId="0" xfId="64" applyFont="1" applyAlignment="1">
      <alignment horizontal="right"/>
    </xf>
    <xf numFmtId="0" fontId="28" fillId="0" borderId="0" xfId="65" applyFont="1"/>
    <xf numFmtId="0" fontId="8" fillId="0" borderId="0" xfId="64" applyFont="1"/>
    <xf numFmtId="0" fontId="10" fillId="0" borderId="0" xfId="64" applyFont="1" applyAlignment="1">
      <alignment horizontal="left"/>
    </xf>
    <xf numFmtId="0" fontId="10" fillId="0" borderId="0" xfId="64" applyFont="1" applyAlignment="1">
      <alignment horizontal="center"/>
    </xf>
    <xf numFmtId="0" fontId="10" fillId="0" borderId="0" xfId="64" applyFont="1" applyAlignment="1">
      <alignment horizontal="right"/>
    </xf>
    <xf numFmtId="0" fontId="6" fillId="0" borderId="0" xfId="64" applyFont="1" applyAlignment="1">
      <alignment horizontal="center"/>
    </xf>
    <xf numFmtId="0" fontId="6" fillId="0" borderId="0" xfId="64" applyFont="1" applyAlignment="1">
      <alignment horizontal="right"/>
    </xf>
    <xf numFmtId="37" fontId="10" fillId="0" borderId="0" xfId="64" applyNumberFormat="1" applyFont="1" applyAlignment="1">
      <alignment horizontal="right"/>
    </xf>
    <xf numFmtId="0" fontId="20" fillId="0" borderId="0" xfId="65" applyFont="1"/>
    <xf numFmtId="0" fontId="13" fillId="0" borderId="0" xfId="65" applyFont="1" applyAlignment="1">
      <alignment horizontal="left" indent="1"/>
    </xf>
    <xf numFmtId="0" fontId="13" fillId="0" borderId="0" xfId="64" applyFont="1" applyAlignment="1">
      <alignment horizontal="left" vertical="top" indent="1"/>
    </xf>
    <xf numFmtId="0" fontId="13" fillId="0" borderId="0" xfId="64" applyFont="1" applyAlignment="1">
      <alignment horizontal="center"/>
    </xf>
    <xf numFmtId="0" fontId="12" fillId="0" borderId="0" xfId="64" applyFont="1"/>
    <xf numFmtId="0" fontId="53" fillId="0" borderId="0" xfId="65" quotePrefix="1" applyFont="1"/>
    <xf numFmtId="0" fontId="12" fillId="0" borderId="0" xfId="64" applyFont="1" applyAlignment="1">
      <alignment horizontal="left" vertical="top" indent="1"/>
    </xf>
    <xf numFmtId="0" fontId="12" fillId="0" borderId="0" xfId="64" applyFont="1" applyAlignment="1">
      <alignment horizontal="center"/>
    </xf>
    <xf numFmtId="0" fontId="65" fillId="0" borderId="0" xfId="64" applyFont="1"/>
    <xf numFmtId="174" fontId="65" fillId="0" borderId="0" xfId="66" applyFont="1" applyAlignment="1">
      <alignment horizontal="right"/>
    </xf>
    <xf numFmtId="174" fontId="65" fillId="0" borderId="0" xfId="66" applyFont="1"/>
    <xf numFmtId="0" fontId="14" fillId="0" borderId="0" xfId="64" applyFont="1" applyAlignment="1">
      <alignment vertical="top"/>
    </xf>
    <xf numFmtId="174" fontId="6" fillId="0" borderId="0" xfId="66" applyFont="1"/>
    <xf numFmtId="0" fontId="12" fillId="0" borderId="0" xfId="64" applyFont="1" applyAlignment="1">
      <alignment horizontal="right"/>
    </xf>
    <xf numFmtId="167" fontId="3" fillId="0" borderId="0" xfId="18" applyNumberFormat="1" applyFont="1"/>
    <xf numFmtId="0" fontId="2" fillId="0" borderId="0" xfId="19" applyFont="1" applyAlignment="1">
      <alignment vertical="center"/>
    </xf>
    <xf numFmtId="168" fontId="8" fillId="0" borderId="2" xfId="67" applyNumberFormat="1" applyFont="1" applyBorder="1" applyAlignment="1">
      <alignment horizontal="right" vertical="center"/>
    </xf>
    <xf numFmtId="0" fontId="8" fillId="0" borderId="0" xfId="4" applyFont="1" applyAlignment="1">
      <alignment horizontal="right" vertical="center"/>
    </xf>
    <xf numFmtId="168" fontId="8" fillId="0" borderId="0" xfId="67" applyNumberFormat="1" applyFont="1" applyBorder="1" applyAlignment="1">
      <alignment horizontal="right" vertical="center"/>
    </xf>
    <xf numFmtId="3" fontId="19" fillId="0" borderId="0" xfId="69" applyNumberFormat="1" applyFont="1" applyFill="1" applyBorder="1" applyAlignment="1">
      <alignment horizontal="right" vertical="center"/>
    </xf>
    <xf numFmtId="177" fontId="6" fillId="0" borderId="0" xfId="67" applyNumberFormat="1" applyFont="1" applyAlignment="1">
      <alignment horizontal="right" vertical="top"/>
    </xf>
    <xf numFmtId="169" fontId="6" fillId="0" borderId="0" xfId="18" applyNumberFormat="1" applyFont="1" applyAlignment="1">
      <alignment vertical="center"/>
    </xf>
    <xf numFmtId="167" fontId="19" fillId="0" borderId="0" xfId="69" applyNumberFormat="1" applyFont="1" applyFill="1" applyBorder="1" applyAlignment="1">
      <alignment horizontal="right" vertical="center"/>
    </xf>
    <xf numFmtId="167" fontId="6" fillId="0" borderId="0" xfId="67" applyNumberFormat="1" applyFont="1" applyAlignment="1">
      <alignment horizontal="right" vertical="top"/>
    </xf>
    <xf numFmtId="0" fontId="19" fillId="0" borderId="0" xfId="68" applyFont="1"/>
    <xf numFmtId="167" fontId="8" fillId="0" borderId="0" xfId="18" applyNumberFormat="1" applyFont="1" applyAlignment="1">
      <alignment horizontal="right"/>
    </xf>
    <xf numFmtId="167" fontId="6" fillId="0" borderId="0" xfId="18" applyNumberFormat="1" applyFont="1" applyAlignment="1">
      <alignment horizontal="right"/>
    </xf>
    <xf numFmtId="0" fontId="21" fillId="0" borderId="0" xfId="0" applyFont="1" applyAlignment="1">
      <alignment vertical="top"/>
    </xf>
    <xf numFmtId="167" fontId="6" fillId="0" borderId="0" xfId="67" applyNumberFormat="1" applyFont="1" applyAlignment="1">
      <alignment horizontal="right"/>
    </xf>
    <xf numFmtId="169" fontId="6" fillId="0" borderId="0" xfId="18" applyNumberFormat="1" applyFont="1"/>
    <xf numFmtId="0" fontId="8" fillId="0" borderId="0" xfId="19" applyFont="1" applyAlignment="1">
      <alignment horizontal="right" vertical="center"/>
    </xf>
    <xf numFmtId="0" fontId="6" fillId="0" borderId="0" xfId="11" applyFont="1" applyAlignment="1">
      <alignment vertical="center"/>
    </xf>
    <xf numFmtId="0" fontId="53" fillId="0" borderId="0" xfId="0" applyFont="1" applyAlignment="1">
      <alignment horizontal="right"/>
    </xf>
    <xf numFmtId="0" fontId="2" fillId="0" borderId="4" xfId="18" applyFont="1" applyBorder="1" applyAlignment="1">
      <alignment vertical="center"/>
    </xf>
    <xf numFmtId="0" fontId="13" fillId="0" borderId="0" xfId="2" applyFont="1" applyAlignment="1">
      <alignment horizontal="right" vertical="center"/>
    </xf>
    <xf numFmtId="0" fontId="14" fillId="0" borderId="0" xfId="2" applyFont="1" applyAlignment="1">
      <alignment horizontal="right" vertical="center"/>
    </xf>
    <xf numFmtId="0" fontId="12" fillId="0" borderId="0" xfId="18" quotePrefix="1" applyFont="1" applyAlignment="1">
      <alignment vertical="center"/>
    </xf>
    <xf numFmtId="0" fontId="12" fillId="0" borderId="0" xfId="11" applyFont="1" applyAlignment="1">
      <alignment vertical="center"/>
    </xf>
    <xf numFmtId="0" fontId="66" fillId="0" borderId="0" xfId="0" applyFont="1"/>
    <xf numFmtId="0" fontId="13" fillId="0" borderId="0" xfId="18" quotePrefix="1" applyFont="1" applyAlignment="1">
      <alignment horizontal="right" vertical="center"/>
    </xf>
    <xf numFmtId="0" fontId="14" fillId="0" borderId="0" xfId="11" applyFont="1" applyAlignment="1">
      <alignment vertical="top"/>
    </xf>
    <xf numFmtId="0" fontId="67" fillId="0" borderId="0" xfId="0" applyFont="1"/>
    <xf numFmtId="0" fontId="68" fillId="0" borderId="0" xfId="68" applyFont="1"/>
    <xf numFmtId="0" fontId="69" fillId="0" borderId="0" xfId="0" applyFont="1" applyAlignment="1">
      <alignment vertical="top"/>
    </xf>
    <xf numFmtId="168" fontId="8" fillId="0" borderId="0" xfId="5" applyNumberFormat="1" applyFont="1" applyBorder="1" applyAlignment="1">
      <alignment horizontal="right" vertical="center"/>
    </xf>
    <xf numFmtId="3" fontId="68" fillId="0" borderId="0" xfId="6" applyNumberFormat="1" applyFont="1" applyFill="1" applyBorder="1" applyAlignment="1">
      <alignment horizontal="right" vertical="center"/>
    </xf>
    <xf numFmtId="0" fontId="8" fillId="0" borderId="0" xfId="4" applyFont="1" applyAlignment="1">
      <alignment horizontal="left" vertical="top"/>
    </xf>
    <xf numFmtId="168" fontId="8" fillId="0" borderId="0" xfId="5" applyNumberFormat="1" applyFont="1" applyBorder="1" applyAlignment="1">
      <alignment horizontal="left" vertical="top"/>
    </xf>
    <xf numFmtId="0" fontId="6" fillId="0" borderId="0" xfId="18" applyFont="1" applyAlignment="1">
      <alignment horizontal="left" vertical="top"/>
    </xf>
    <xf numFmtId="3" fontId="68" fillId="0" borderId="0" xfId="6" applyNumberFormat="1" applyFont="1" applyFill="1" applyBorder="1" applyAlignment="1">
      <alignment horizontal="left" vertical="top"/>
    </xf>
    <xf numFmtId="3" fontId="68" fillId="0" borderId="0" xfId="6" applyNumberFormat="1" applyFont="1" applyFill="1" applyBorder="1" applyAlignment="1">
      <alignment horizontal="right" vertical="top"/>
    </xf>
    <xf numFmtId="3" fontId="19" fillId="0" borderId="0" xfId="6" applyNumberFormat="1" applyFont="1" applyFill="1" applyBorder="1" applyAlignment="1">
      <alignment horizontal="right" vertical="center"/>
    </xf>
    <xf numFmtId="3" fontId="28" fillId="0" borderId="0" xfId="6" applyNumberFormat="1" applyFont="1" applyFill="1" applyBorder="1" applyAlignment="1">
      <alignment horizontal="right" vertical="top"/>
    </xf>
    <xf numFmtId="177" fontId="6" fillId="0" borderId="0" xfId="5" applyNumberFormat="1" applyFont="1" applyAlignment="1">
      <alignment horizontal="right" vertical="top"/>
    </xf>
    <xf numFmtId="167" fontId="68" fillId="0" borderId="0" xfId="6" applyNumberFormat="1" applyFont="1" applyFill="1" applyBorder="1" applyAlignment="1">
      <alignment horizontal="right" vertical="center"/>
    </xf>
    <xf numFmtId="167" fontId="19" fillId="0" borderId="0" xfId="6" applyNumberFormat="1" applyFont="1" applyFill="1" applyBorder="1" applyAlignment="1">
      <alignment horizontal="right" vertical="center"/>
    </xf>
    <xf numFmtId="167" fontId="68" fillId="0" borderId="0" xfId="6" applyNumberFormat="1" applyFont="1" applyFill="1" applyBorder="1" applyAlignment="1">
      <alignment horizontal="right" vertical="top"/>
    </xf>
    <xf numFmtId="167" fontId="28" fillId="0" borderId="0" xfId="6" applyNumberFormat="1" applyFont="1" applyFill="1" applyBorder="1" applyAlignment="1">
      <alignment horizontal="right" vertical="top"/>
    </xf>
    <xf numFmtId="3" fontId="69" fillId="0" borderId="0" xfId="0" applyNumberFormat="1" applyFont="1" applyAlignment="1">
      <alignment vertical="top"/>
    </xf>
    <xf numFmtId="0" fontId="68" fillId="0" borderId="0" xfId="0" applyFont="1"/>
    <xf numFmtId="0" fontId="68" fillId="0" borderId="0" xfId="0" applyFont="1" applyAlignment="1">
      <alignment horizontal="right"/>
    </xf>
    <xf numFmtId="177" fontId="6" fillId="0" borderId="0" xfId="5" applyNumberFormat="1" applyFont="1" applyFill="1" applyAlignment="1">
      <alignment horizontal="right" vertical="top"/>
    </xf>
    <xf numFmtId="3" fontId="6" fillId="0" borderId="0" xfId="5" applyNumberFormat="1" applyFont="1" applyFill="1" applyAlignment="1">
      <alignment horizontal="right" vertical="top"/>
    </xf>
    <xf numFmtId="169" fontId="8" fillId="0" borderId="0" xfId="6" applyNumberFormat="1" applyFont="1" applyFill="1" applyBorder="1" applyAlignment="1">
      <alignment vertical="center"/>
    </xf>
    <xf numFmtId="3" fontId="6" fillId="0" borderId="0" xfId="5" applyNumberFormat="1" applyFont="1" applyAlignment="1">
      <alignment horizontal="right" vertical="top"/>
    </xf>
    <xf numFmtId="169" fontId="6" fillId="0" borderId="0" xfId="6" applyNumberFormat="1" applyFont="1" applyFill="1" applyBorder="1" applyAlignment="1">
      <alignment vertical="center"/>
    </xf>
    <xf numFmtId="176" fontId="6" fillId="0" borderId="0" xfId="5" applyNumberFormat="1" applyFont="1" applyAlignment="1">
      <alignment horizontal="right" vertical="top"/>
    </xf>
    <xf numFmtId="3" fontId="8" fillId="0" borderId="0" xfId="5" applyNumberFormat="1" applyFont="1" applyAlignment="1">
      <alignment horizontal="right" vertical="top"/>
    </xf>
    <xf numFmtId="0" fontId="10" fillId="0" borderId="0" xfId="0" applyFont="1" applyAlignment="1">
      <alignment horizontal="left" vertical="center" indent="2"/>
    </xf>
    <xf numFmtId="0" fontId="6" fillId="0" borderId="0" xfId="18" applyFont="1" applyAlignment="1">
      <alignment horizontal="right" vertical="center" indent="1"/>
    </xf>
    <xf numFmtId="167" fontId="70" fillId="0" borderId="0" xfId="18" applyNumberFormat="1" applyFont="1" applyAlignment="1">
      <alignment horizontal="right" vertical="center"/>
    </xf>
    <xf numFmtId="167" fontId="70" fillId="0" borderId="0" xfId="5" applyNumberFormat="1" applyFont="1" applyAlignment="1">
      <alignment horizontal="right" vertical="top"/>
    </xf>
    <xf numFmtId="0" fontId="70" fillId="0" borderId="0" xfId="18" applyFont="1" applyAlignment="1">
      <alignment vertical="center"/>
    </xf>
    <xf numFmtId="0" fontId="8" fillId="0" borderId="0" xfId="18" applyFont="1" applyAlignment="1">
      <alignment vertical="center"/>
    </xf>
    <xf numFmtId="0" fontId="6" fillId="0" borderId="0" xfId="18" applyFont="1" applyAlignment="1">
      <alignment horizontal="left" vertical="center" indent="2"/>
    </xf>
    <xf numFmtId="0" fontId="14" fillId="0" borderId="0" xfId="18" applyFont="1"/>
    <xf numFmtId="166" fontId="2" fillId="0" borderId="0" xfId="3" applyFont="1">
      <alignment vertical="center"/>
    </xf>
    <xf numFmtId="0" fontId="6" fillId="0" borderId="0" xfId="2" applyFont="1" applyAlignment="1">
      <alignment horizontal="left" indent="2"/>
    </xf>
    <xf numFmtId="179" fontId="6" fillId="0" borderId="0" xfId="5" applyNumberFormat="1" applyFont="1" applyFill="1" applyAlignment="1"/>
    <xf numFmtId="179" fontId="6" fillId="0" borderId="0" xfId="5" applyNumberFormat="1" applyFont="1" applyFill="1" applyAlignment="1">
      <alignment vertical="center"/>
    </xf>
    <xf numFmtId="179" fontId="6" fillId="0" borderId="0" xfId="5" applyNumberFormat="1" applyFont="1" applyFill="1" applyAlignment="1">
      <alignment horizontal="right"/>
    </xf>
    <xf numFmtId="180" fontId="6" fillId="0" borderId="0" xfId="5" applyNumberFormat="1" applyFont="1" applyFill="1" applyAlignment="1"/>
    <xf numFmtId="0" fontId="6" fillId="0" borderId="0" xfId="2" applyFont="1" applyAlignment="1">
      <alignment horizontal="left" indent="1"/>
    </xf>
    <xf numFmtId="171" fontId="8" fillId="0" borderId="0" xfId="5" applyNumberFormat="1" applyFont="1" applyFill="1" applyAlignment="1">
      <alignment vertical="center"/>
    </xf>
    <xf numFmtId="171" fontId="6" fillId="0" borderId="0" xfId="5" applyNumberFormat="1" applyFont="1" applyFill="1" applyAlignment="1"/>
    <xf numFmtId="171" fontId="8" fillId="0" borderId="0" xfId="5" applyNumberFormat="1" applyFont="1" applyFill="1" applyAlignment="1"/>
    <xf numFmtId="3" fontId="29" fillId="0" borderId="0" xfId="0" applyNumberFormat="1" applyFont="1"/>
    <xf numFmtId="171" fontId="6" fillId="0" borderId="0" xfId="5" applyNumberFormat="1" applyFont="1" applyAlignment="1"/>
    <xf numFmtId="0" fontId="8" fillId="0" borderId="0" xfId="2" applyFont="1"/>
    <xf numFmtId="171" fontId="6" fillId="0" borderId="0" xfId="18" applyNumberFormat="1" applyFont="1"/>
    <xf numFmtId="171" fontId="6" fillId="0" borderId="0" xfId="5" applyNumberFormat="1" applyFont="1" applyAlignment="1">
      <alignment horizontal="right" vertical="center"/>
    </xf>
    <xf numFmtId="2" fontId="6" fillId="0" borderId="0" xfId="2" applyNumberFormat="1" applyFont="1" applyAlignment="1">
      <alignment vertical="center"/>
    </xf>
    <xf numFmtId="0" fontId="8" fillId="0" borderId="0" xfId="19" applyFont="1" applyAlignment="1">
      <alignment horizontal="left" vertical="center" indent="2"/>
    </xf>
    <xf numFmtId="0" fontId="6" fillId="0" borderId="0" xfId="2" applyFont="1" applyAlignment="1">
      <alignment horizontal="left" vertical="center" wrapText="1"/>
    </xf>
    <xf numFmtId="167" fontId="6" fillId="0" borderId="0" xfId="5" applyNumberFormat="1" applyFont="1" applyFill="1" applyAlignment="1">
      <alignment horizontal="right" vertical="top"/>
    </xf>
    <xf numFmtId="172" fontId="6" fillId="0" borderId="0" xfId="71" applyNumberFormat="1" applyFont="1" applyFill="1" applyBorder="1" applyAlignment="1">
      <alignment vertical="center"/>
    </xf>
    <xf numFmtId="0" fontId="13" fillId="0" borderId="0" xfId="18" applyFont="1" applyAlignment="1">
      <alignment horizontal="right" vertical="center"/>
    </xf>
    <xf numFmtId="0" fontId="14" fillId="0" borderId="0" xfId="18" applyFont="1" applyAlignment="1">
      <alignment horizontal="right" vertical="center"/>
    </xf>
    <xf numFmtId="0" fontId="12" fillId="0" borderId="0" xfId="18" applyFont="1"/>
    <xf numFmtId="0" fontId="14" fillId="0" borderId="0" xfId="18" applyFont="1" applyAlignment="1">
      <alignment horizontal="right"/>
    </xf>
    <xf numFmtId="177" fontId="8" fillId="0" borderId="0" xfId="6" applyNumberFormat="1" applyFont="1" applyBorder="1" applyAlignment="1">
      <alignment vertical="center"/>
    </xf>
    <xf numFmtId="177" fontId="6" fillId="0" borderId="0" xfId="6" applyNumberFormat="1" applyFont="1" applyBorder="1" applyAlignment="1">
      <alignment vertical="center"/>
    </xf>
    <xf numFmtId="0" fontId="8" fillId="0" borderId="0" xfId="0" applyFont="1" applyAlignment="1">
      <alignment horizontal="left" vertical="center" wrapText="1" indent="1"/>
    </xf>
    <xf numFmtId="0" fontId="10" fillId="0" borderId="0" xfId="19" applyFont="1" applyAlignment="1">
      <alignment horizontal="left" vertical="center" indent="2"/>
    </xf>
    <xf numFmtId="169" fontId="8" fillId="0" borderId="0" xfId="6" applyNumberFormat="1" applyFont="1" applyBorder="1" applyAlignment="1">
      <alignment vertical="center"/>
    </xf>
    <xf numFmtId="0" fontId="8" fillId="0" borderId="0" xfId="0" applyFont="1" applyAlignment="1">
      <alignment horizontal="left" vertical="center" indent="2"/>
    </xf>
    <xf numFmtId="0" fontId="6" fillId="0" borderId="4" xfId="18" applyFont="1" applyBorder="1" applyAlignment="1">
      <alignment vertical="center"/>
    </xf>
    <xf numFmtId="0" fontId="6" fillId="0" borderId="0" xfId="16" applyFont="1" applyAlignment="1">
      <alignment vertical="center"/>
    </xf>
    <xf numFmtId="0" fontId="8" fillId="0" borderId="0" xfId="2" applyFont="1" applyAlignment="1">
      <alignment horizontal="right" vertical="center"/>
    </xf>
    <xf numFmtId="0" fontId="10" fillId="0" borderId="0" xfId="2" applyFont="1" applyAlignment="1">
      <alignment horizontal="right" vertical="center"/>
    </xf>
    <xf numFmtId="177" fontId="6" fillId="0" borderId="0" xfId="69" applyNumberFormat="1" applyFont="1" applyBorder="1" applyAlignment="1">
      <alignment vertical="center"/>
    </xf>
    <xf numFmtId="171" fontId="6" fillId="0" borderId="0" xfId="5" applyNumberFormat="1" applyFont="1" applyAlignment="1">
      <alignment vertical="center"/>
    </xf>
    <xf numFmtId="177" fontId="6" fillId="0" borderId="0" xfId="69" applyNumberFormat="1" applyFont="1" applyBorder="1" applyAlignment="1">
      <alignment horizontal="center" vertical="center"/>
    </xf>
    <xf numFmtId="0" fontId="10" fillId="0" borderId="0" xfId="0" applyFont="1" applyAlignment="1">
      <alignment horizontal="left" vertical="center" wrapText="1" indent="1"/>
    </xf>
    <xf numFmtId="169" fontId="6" fillId="0" borderId="0" xfId="69" applyNumberFormat="1" applyFont="1" applyBorder="1" applyAlignment="1">
      <alignment vertical="center"/>
    </xf>
    <xf numFmtId="169" fontId="6" fillId="0" borderId="0" xfId="69" applyNumberFormat="1" applyFont="1" applyAlignment="1">
      <alignment vertical="center"/>
    </xf>
    <xf numFmtId="169" fontId="6" fillId="0" borderId="0" xfId="69" applyNumberFormat="1" applyFont="1" applyAlignment="1">
      <alignment horizontal="right" vertical="center"/>
    </xf>
    <xf numFmtId="169" fontId="6" fillId="0" borderId="0" xfId="69" applyNumberFormat="1" applyFont="1" applyAlignment="1">
      <alignment horizontal="right" vertical="top"/>
    </xf>
    <xf numFmtId="169" fontId="6" fillId="0" borderId="0" xfId="6" applyNumberFormat="1" applyFont="1" applyAlignment="1">
      <alignment horizontal="right" vertical="top"/>
    </xf>
    <xf numFmtId="169" fontId="6" fillId="0" borderId="0" xfId="6" applyNumberFormat="1" applyFont="1" applyAlignment="1">
      <alignment horizontal="right" vertical="center"/>
    </xf>
    <xf numFmtId="0" fontId="6" fillId="0" borderId="1" xfId="18" applyFont="1" applyBorder="1" applyAlignment="1">
      <alignment vertical="center"/>
    </xf>
    <xf numFmtId="0" fontId="8" fillId="0" borderId="1" xfId="18" applyFont="1" applyBorder="1" applyAlignment="1">
      <alignment horizontal="left" vertical="center" indent="2"/>
    </xf>
    <xf numFmtId="167" fontId="6" fillId="0" borderId="1" xfId="18" applyNumberFormat="1" applyFont="1" applyBorder="1" applyAlignment="1">
      <alignment horizontal="right" indent="1"/>
    </xf>
    <xf numFmtId="167" fontId="6" fillId="0" borderId="1" xfId="5" applyNumberFormat="1" applyFont="1" applyBorder="1" applyAlignment="1">
      <alignment horizontal="right" vertical="top"/>
    </xf>
    <xf numFmtId="167" fontId="13" fillId="0" borderId="0" xfId="5" applyNumberFormat="1" applyFont="1" applyBorder="1" applyAlignment="1">
      <alignment horizontal="right" vertical="top"/>
    </xf>
    <xf numFmtId="167" fontId="14" fillId="0" borderId="0" xfId="5" applyNumberFormat="1" applyFont="1" applyAlignment="1">
      <alignment horizontal="right" vertical="top"/>
    </xf>
    <xf numFmtId="0" fontId="13" fillId="0" borderId="0" xfId="74" applyNumberFormat="1" applyFont="1" applyAlignment="1">
      <alignment horizontal="left" vertical="center"/>
    </xf>
    <xf numFmtId="3" fontId="6" fillId="0" borderId="0" xfId="67" applyNumberFormat="1" applyFont="1" applyAlignment="1">
      <alignment horizontal="right" vertical="top"/>
    </xf>
    <xf numFmtId="0" fontId="11" fillId="0" borderId="0" xfId="19" applyFont="1" applyAlignment="1">
      <alignment horizontal="left" vertical="center" indent="1"/>
    </xf>
    <xf numFmtId="3" fontId="8" fillId="0" borderId="0" xfId="67" applyNumberFormat="1" applyFont="1" applyAlignment="1">
      <alignment horizontal="right" vertical="top"/>
    </xf>
    <xf numFmtId="0" fontId="39" fillId="0" borderId="0" xfId="18" applyFont="1" applyAlignment="1">
      <alignment vertical="center"/>
    </xf>
    <xf numFmtId="0" fontId="8" fillId="0" borderId="0" xfId="18" applyFont="1" applyAlignment="1">
      <alignment horizontal="left" vertical="center"/>
    </xf>
    <xf numFmtId="0" fontId="8" fillId="0" borderId="0" xfId="19" applyFont="1" applyAlignment="1">
      <alignment vertical="top"/>
    </xf>
    <xf numFmtId="3" fontId="8" fillId="0" borderId="0" xfId="18" applyNumberFormat="1" applyFont="1" applyAlignment="1">
      <alignment horizontal="right" vertical="top"/>
    </xf>
    <xf numFmtId="0" fontId="13" fillId="0" borderId="1" xfId="17" applyFont="1" applyBorder="1" applyAlignment="1">
      <alignment vertical="center"/>
    </xf>
    <xf numFmtId="0" fontId="12" fillId="0" borderId="1" xfId="18" applyFont="1" applyBorder="1" applyAlignment="1">
      <alignment vertical="center"/>
    </xf>
    <xf numFmtId="171" fontId="27" fillId="0" borderId="0" xfId="85" applyNumberFormat="1" applyFont="1" applyFill="1" applyAlignment="1">
      <alignment horizontal="right" vertical="center" wrapText="1" readingOrder="1"/>
    </xf>
    <xf numFmtId="0" fontId="19" fillId="0" borderId="1" xfId="0" applyFont="1" applyBorder="1" applyAlignment="1">
      <alignment horizontal="right" vertical="center"/>
    </xf>
    <xf numFmtId="0" fontId="32" fillId="0" borderId="0" xfId="12" applyFont="1" applyAlignment="1">
      <alignment horizontal="left" wrapText="1" indent="2"/>
    </xf>
    <xf numFmtId="0" fontId="6" fillId="0" borderId="0" xfId="0" applyFont="1" applyAlignment="1">
      <alignment vertical="center" wrapText="1"/>
    </xf>
    <xf numFmtId="0" fontId="73" fillId="0" borderId="0" xfId="27" applyFont="1" applyAlignment="1">
      <alignment horizontal="left"/>
    </xf>
    <xf numFmtId="0" fontId="6" fillId="0" borderId="0" xfId="0" applyFont="1" applyAlignment="1">
      <alignment vertical="center"/>
    </xf>
    <xf numFmtId="0" fontId="32" fillId="0" borderId="0" xfId="12" applyFont="1" applyAlignment="1">
      <alignment horizontal="left" vertical="center" wrapText="1"/>
    </xf>
    <xf numFmtId="164" fontId="33" fillId="0" borderId="0" xfId="24" applyFont="1" applyFill="1" applyBorder="1" applyAlignment="1">
      <alignment horizontal="right" vertical="center"/>
    </xf>
    <xf numFmtId="164" fontId="32" fillId="0" borderId="0" xfId="24" applyFont="1" applyFill="1" applyBorder="1" applyAlignment="1">
      <alignment horizontal="right" vertical="center"/>
    </xf>
    <xf numFmtId="164" fontId="32" fillId="0" borderId="1" xfId="24" applyFont="1" applyFill="1" applyBorder="1" applyAlignment="1">
      <alignment horizontal="right" vertical="center"/>
    </xf>
    <xf numFmtId="0" fontId="13" fillId="3" borderId="0" xfId="0" applyFont="1" applyFill="1" applyAlignment="1">
      <alignment horizontal="right" vertical="center"/>
    </xf>
    <xf numFmtId="0" fontId="75" fillId="0" borderId="0" xfId="12" applyFont="1" applyAlignment="1">
      <alignment horizontal="right" vertical="center"/>
    </xf>
    <xf numFmtId="174" fontId="14" fillId="3" borderId="0" xfId="26" applyFont="1" applyFill="1" applyAlignment="1">
      <alignment horizontal="right" vertical="center"/>
    </xf>
    <xf numFmtId="0" fontId="77" fillId="0" borderId="0" xfId="12" applyFont="1" applyAlignment="1">
      <alignment horizontal="right" vertical="center"/>
    </xf>
    <xf numFmtId="0" fontId="19" fillId="0" borderId="0" xfId="0" quotePrefix="1" applyFont="1" applyAlignment="1">
      <alignment horizontal="right" vertical="center"/>
    </xf>
    <xf numFmtId="0" fontId="73" fillId="0" borderId="0" xfId="27" applyFont="1" applyAlignment="1">
      <alignment horizontal="left" vertical="center"/>
    </xf>
    <xf numFmtId="0" fontId="74" fillId="0" borderId="0" xfId="27" applyFont="1" applyAlignment="1">
      <alignment horizontal="left" vertical="center"/>
    </xf>
    <xf numFmtId="0" fontId="50" fillId="0" borderId="0" xfId="0" applyFont="1" applyAlignment="1">
      <alignment horizontal="right" vertical="center"/>
    </xf>
    <xf numFmtId="0" fontId="20" fillId="0" borderId="0" xfId="86" applyFont="1"/>
    <xf numFmtId="0" fontId="53" fillId="0" borderId="0" xfId="86" applyFont="1"/>
    <xf numFmtId="0" fontId="20" fillId="0" borderId="0" xfId="86" applyFont="1" applyAlignment="1">
      <alignment horizontal="right"/>
    </xf>
    <xf numFmtId="0" fontId="2" fillId="0" borderId="0" xfId="86" applyFont="1"/>
    <xf numFmtId="0" fontId="53" fillId="0" borderId="0" xfId="86" applyFont="1" applyAlignment="1">
      <alignment horizontal="right" vertical="top"/>
    </xf>
    <xf numFmtId="0" fontId="53" fillId="0" borderId="0" xfId="86" applyFont="1" applyAlignment="1">
      <alignment horizontal="right" vertical="center"/>
    </xf>
    <xf numFmtId="0" fontId="41" fillId="0" borderId="0" xfId="86" applyFont="1" applyAlignment="1">
      <alignment horizontal="right" vertical="center"/>
    </xf>
    <xf numFmtId="0" fontId="20" fillId="0" borderId="6" xfId="86" applyFont="1" applyBorder="1"/>
    <xf numFmtId="0" fontId="53" fillId="0" borderId="6" xfId="86" applyFont="1" applyBorder="1"/>
    <xf numFmtId="0" fontId="20" fillId="0" borderId="6" xfId="86" applyFont="1" applyBorder="1" applyAlignment="1">
      <alignment horizontal="right"/>
    </xf>
    <xf numFmtId="0" fontId="2" fillId="0" borderId="6" xfId="86" applyFont="1" applyBorder="1"/>
    <xf numFmtId="0" fontId="28" fillId="0" borderId="0" xfId="86" applyFont="1"/>
    <xf numFmtId="0" fontId="19" fillId="0" borderId="0" xfId="86" applyFont="1"/>
    <xf numFmtId="0" fontId="28" fillId="0" borderId="0" xfId="86" applyFont="1" applyAlignment="1">
      <alignment horizontal="right"/>
    </xf>
    <xf numFmtId="0" fontId="6" fillId="0" borderId="0" xfId="86" applyFont="1"/>
    <xf numFmtId="174" fontId="19" fillId="0" borderId="0" xfId="86" applyNumberFormat="1" applyFont="1" applyAlignment="1">
      <alignment horizontal="right" vertical="top" wrapText="1"/>
    </xf>
    <xf numFmtId="0" fontId="19" fillId="0" borderId="0" xfId="86" applyFont="1" applyAlignment="1">
      <alignment vertical="center" wrapText="1"/>
    </xf>
    <xf numFmtId="0" fontId="19" fillId="0" borderId="0" xfId="86" applyFont="1" applyAlignment="1">
      <alignment horizontal="right" vertical="center" wrapText="1"/>
    </xf>
    <xf numFmtId="0" fontId="8" fillId="0" borderId="0" xfId="86" applyFont="1" applyAlignment="1">
      <alignment horizontal="right" vertical="center" wrapText="1"/>
    </xf>
    <xf numFmtId="0" fontId="19" fillId="0" borderId="0" xfId="86" applyFont="1" applyAlignment="1">
      <alignment horizontal="right" vertical="center"/>
    </xf>
    <xf numFmtId="174" fontId="19" fillId="0" borderId="6" xfId="86" applyNumberFormat="1" applyFont="1" applyBorder="1" applyAlignment="1">
      <alignment horizontal="right" vertical="top" wrapText="1"/>
    </xf>
    <xf numFmtId="0" fontId="28" fillId="0" borderId="6" xfId="86" applyFont="1" applyBorder="1" applyAlignment="1">
      <alignment horizontal="right" vertical="center"/>
    </xf>
    <xf numFmtId="0" fontId="19" fillId="0" borderId="6" xfId="86" applyFont="1" applyBorder="1" applyAlignment="1">
      <alignment horizontal="right" vertical="center"/>
    </xf>
    <xf numFmtId="0" fontId="6" fillId="0" borderId="6" xfId="86" applyFont="1" applyBorder="1" applyAlignment="1">
      <alignment vertical="center"/>
    </xf>
    <xf numFmtId="0" fontId="28" fillId="0" borderId="0" xfId="86" applyFont="1" applyAlignment="1">
      <alignment horizontal="center" vertical="center"/>
    </xf>
    <xf numFmtId="174" fontId="28" fillId="0" borderId="0" xfId="86" applyNumberFormat="1" applyFont="1" applyAlignment="1">
      <alignment horizontal="right" vertical="top" wrapText="1"/>
    </xf>
    <xf numFmtId="0" fontId="19" fillId="0" borderId="0" xfId="86" applyFont="1" applyAlignment="1">
      <alignment horizontal="left" vertical="center"/>
    </xf>
    <xf numFmtId="0" fontId="21" fillId="0" borderId="0" xfId="86" applyFont="1" applyAlignment="1">
      <alignment horizontal="left" vertical="center"/>
    </xf>
    <xf numFmtId="0" fontId="21" fillId="0" borderId="0" xfId="86" applyFont="1" applyAlignment="1">
      <alignment horizontal="left" vertical="center" indent="2"/>
    </xf>
    <xf numFmtId="0" fontId="19" fillId="0" borderId="0" xfId="86" applyFont="1" applyAlignment="1">
      <alignment horizontal="center" vertical="center"/>
    </xf>
    <xf numFmtId="2" fontId="28" fillId="0" borderId="0" xfId="86" applyNumberFormat="1" applyFont="1" applyAlignment="1">
      <alignment horizontal="right" vertical="center"/>
    </xf>
    <xf numFmtId="0" fontId="28" fillId="0" borderId="0" xfId="86" applyFont="1" applyAlignment="1">
      <alignment vertical="center"/>
    </xf>
    <xf numFmtId="167" fontId="28" fillId="0" borderId="0" xfId="86" applyNumberFormat="1" applyFont="1" applyAlignment="1">
      <alignment horizontal="right" vertical="center"/>
    </xf>
    <xf numFmtId="0" fontId="19" fillId="0" borderId="0" xfId="86" applyFont="1" applyAlignment="1">
      <alignment horizontal="left" vertical="center" indent="2"/>
    </xf>
    <xf numFmtId="167" fontId="19" fillId="0" borderId="0" xfId="86" applyNumberFormat="1" applyFont="1" applyAlignment="1">
      <alignment horizontal="right" vertical="center"/>
    </xf>
    <xf numFmtId="2" fontId="28" fillId="0" borderId="0" xfId="86" applyNumberFormat="1" applyFont="1" applyAlignment="1">
      <alignment horizontal="left"/>
    </xf>
    <xf numFmtId="0" fontId="55" fillId="0" borderId="0" xfId="86" applyFont="1" applyAlignment="1">
      <alignment horizontal="left" vertical="center"/>
    </xf>
    <xf numFmtId="167" fontId="28" fillId="0" borderId="0" xfId="86" applyNumberFormat="1" applyFont="1" applyAlignment="1">
      <alignment horizontal="right"/>
    </xf>
    <xf numFmtId="0" fontId="21" fillId="0" borderId="0" xfId="86" applyFont="1" applyAlignment="1">
      <alignment horizontal="right" vertical="center"/>
    </xf>
    <xf numFmtId="166" fontId="55" fillId="0" borderId="0" xfId="86" applyNumberFormat="1" applyFont="1"/>
    <xf numFmtId="0" fontId="19" fillId="0" borderId="0" xfId="86" applyFont="1" applyAlignment="1">
      <alignment vertical="center"/>
    </xf>
    <xf numFmtId="0" fontId="21" fillId="0" borderId="0" xfId="86" applyFont="1" applyAlignment="1">
      <alignment vertical="center"/>
    </xf>
    <xf numFmtId="166" fontId="19" fillId="0" borderId="0" xfId="86" applyNumberFormat="1" applyFont="1" applyAlignment="1">
      <alignment vertical="center" wrapText="1"/>
    </xf>
    <xf numFmtId="0" fontId="28" fillId="0" borderId="0" xfId="86" applyFont="1" applyAlignment="1">
      <alignment horizontal="right" vertical="center"/>
    </xf>
    <xf numFmtId="166" fontId="21" fillId="0" borderId="0" xfId="86" applyNumberFormat="1" applyFont="1" applyAlignment="1">
      <alignment wrapText="1"/>
    </xf>
    <xf numFmtId="0" fontId="21" fillId="0" borderId="0" xfId="86" applyFont="1"/>
    <xf numFmtId="0" fontId="20" fillId="0" borderId="1" xfId="86" applyFont="1" applyBorder="1"/>
    <xf numFmtId="0" fontId="53" fillId="0" borderId="1" xfId="86" applyFont="1" applyBorder="1"/>
    <xf numFmtId="0" fontId="20" fillId="0" borderId="1" xfId="86" applyFont="1" applyBorder="1" applyAlignment="1">
      <alignment horizontal="right"/>
    </xf>
    <xf numFmtId="0" fontId="2" fillId="0" borderId="1" xfId="86" applyFont="1" applyBorder="1"/>
    <xf numFmtId="0" fontId="46" fillId="0" borderId="0" xfId="86" applyFont="1" applyAlignment="1">
      <alignment vertical="center"/>
    </xf>
    <xf numFmtId="0" fontId="47" fillId="0" borderId="0" xfId="86" applyFont="1" applyAlignment="1">
      <alignment vertical="center"/>
    </xf>
    <xf numFmtId="0" fontId="19" fillId="0" borderId="0" xfId="86" applyFont="1" applyAlignment="1">
      <alignment horizontal="center" vertical="center" wrapText="1"/>
    </xf>
    <xf numFmtId="0" fontId="28" fillId="0" borderId="6" xfId="86" applyFont="1" applyBorder="1" applyAlignment="1">
      <alignment vertical="center"/>
    </xf>
    <xf numFmtId="0" fontId="10" fillId="0" borderId="0" xfId="86" applyFont="1"/>
    <xf numFmtId="2" fontId="28" fillId="0" borderId="0" xfId="86" applyNumberFormat="1" applyFont="1"/>
    <xf numFmtId="0" fontId="19" fillId="0" borderId="0" xfId="86" applyFont="1" applyAlignment="1">
      <alignment horizontal="left" vertical="top"/>
    </xf>
    <xf numFmtId="2" fontId="28" fillId="0" borderId="0" xfId="86" applyNumberFormat="1" applyFont="1" applyAlignment="1">
      <alignment horizontal="right" vertical="center" wrapText="1"/>
    </xf>
    <xf numFmtId="0" fontId="21" fillId="0" borderId="0" xfId="86" applyFont="1" applyAlignment="1">
      <alignment horizontal="left" vertical="top"/>
    </xf>
    <xf numFmtId="0" fontId="55" fillId="0" borderId="0" xfId="86" applyFont="1" applyAlignment="1">
      <alignment horizontal="left" vertical="top"/>
    </xf>
    <xf numFmtId="0" fontId="28" fillId="0" borderId="1" xfId="86" applyFont="1" applyBorder="1"/>
    <xf numFmtId="0" fontId="21" fillId="0" borderId="1" xfId="86" applyFont="1" applyBorder="1" applyAlignment="1">
      <alignment horizontal="left" vertical="center" indent="2"/>
    </xf>
    <xf numFmtId="0" fontId="55" fillId="0" borderId="1" xfId="86" applyFont="1" applyBorder="1" applyAlignment="1">
      <alignment horizontal="left" vertical="center"/>
    </xf>
    <xf numFmtId="0" fontId="8" fillId="0" borderId="3" xfId="0" applyFont="1" applyBorder="1" applyAlignment="1">
      <alignment vertical="center" wrapText="1"/>
    </xf>
    <xf numFmtId="0" fontId="6" fillId="0" borderId="0" xfId="0" applyFont="1"/>
    <xf numFmtId="0" fontId="10" fillId="0" borderId="1" xfId="0" applyFont="1" applyBorder="1" applyAlignment="1">
      <alignment vertical="center" wrapText="1"/>
    </xf>
    <xf numFmtId="0" fontId="10" fillId="0" borderId="0" xfId="0" applyFont="1" applyAlignment="1">
      <alignment vertical="center" wrapText="1"/>
    </xf>
    <xf numFmtId="0" fontId="8" fillId="0" borderId="0" xfId="0" applyFont="1" applyAlignment="1">
      <alignment horizontal="left" vertical="center" wrapText="1" indent="2"/>
    </xf>
    <xf numFmtId="0" fontId="6" fillId="0" borderId="0" xfId="0" applyFont="1" applyAlignment="1">
      <alignment vertical="top" wrapText="1"/>
    </xf>
    <xf numFmtId="0" fontId="8" fillId="0" borderId="0" xfId="0" applyFont="1" applyAlignment="1">
      <alignment horizontal="left" indent="2"/>
    </xf>
    <xf numFmtId="0" fontId="10" fillId="0" borderId="0" xfId="0" applyFont="1" applyAlignment="1">
      <alignment horizontal="left" indent="2"/>
    </xf>
    <xf numFmtId="169" fontId="78" fillId="0" borderId="0" xfId="0" applyNumberFormat="1" applyFont="1" applyAlignment="1">
      <alignment horizontal="center" vertical="center"/>
    </xf>
    <xf numFmtId="169" fontId="78" fillId="0" borderId="0" xfId="0" applyNumberFormat="1" applyFont="1" applyAlignment="1">
      <alignment horizontal="center" vertical="center" wrapText="1"/>
    </xf>
    <xf numFmtId="0" fontId="8" fillId="0" borderId="0" xfId="0" applyFont="1"/>
    <xf numFmtId="0" fontId="10" fillId="0" borderId="0" xfId="0" applyFont="1" applyAlignment="1">
      <alignment vertical="center"/>
    </xf>
    <xf numFmtId="0" fontId="5" fillId="0" borderId="0" xfId="0" applyFont="1" applyAlignment="1">
      <alignment vertical="center"/>
    </xf>
    <xf numFmtId="181" fontId="6" fillId="0" borderId="0" xfId="1" applyNumberFormat="1" applyFont="1"/>
    <xf numFmtId="0" fontId="3" fillId="0" borderId="0" xfId="18" applyFont="1" applyAlignment="1">
      <alignment vertical="center"/>
    </xf>
    <xf numFmtId="0" fontId="5" fillId="0" borderId="0" xfId="18" applyFont="1" applyAlignment="1">
      <alignment vertical="top"/>
    </xf>
    <xf numFmtId="177" fontId="10" fillId="0" borderId="0" xfId="67" applyNumberFormat="1" applyFont="1" applyAlignment="1">
      <alignment horizontal="right" vertical="top"/>
    </xf>
    <xf numFmtId="3" fontId="6" fillId="0" borderId="0" xfId="18" applyNumberFormat="1" applyFont="1" applyAlignment="1">
      <alignment horizontal="center" vertical="center"/>
    </xf>
    <xf numFmtId="43" fontId="6" fillId="0" borderId="0" xfId="88" applyFont="1" applyAlignment="1">
      <alignment vertical="center"/>
    </xf>
    <xf numFmtId="0" fontId="8" fillId="0" borderId="0" xfId="0" applyFont="1" applyAlignment="1">
      <alignment horizontal="left" vertical="center" indent="4"/>
    </xf>
    <xf numFmtId="0" fontId="8" fillId="0" borderId="0" xfId="12" applyFont="1" applyAlignment="1">
      <alignment horizontal="left" vertical="center" indent="4"/>
    </xf>
    <xf numFmtId="0" fontId="10" fillId="0" borderId="0" xfId="0" applyFont="1" applyAlignment="1">
      <alignment horizontal="left" vertical="center" indent="4"/>
    </xf>
    <xf numFmtId="0" fontId="10" fillId="0" borderId="0" xfId="0" applyFont="1" applyAlignment="1">
      <alignment horizontal="left" vertical="center" indent="3"/>
    </xf>
    <xf numFmtId="3" fontId="2" fillId="0" borderId="0" xfId="18" applyNumberFormat="1" applyFont="1" applyAlignment="1">
      <alignment vertical="center"/>
    </xf>
    <xf numFmtId="0" fontId="10" fillId="0" borderId="3" xfId="18" applyFont="1" applyBorder="1" applyAlignment="1">
      <alignment vertical="center"/>
    </xf>
    <xf numFmtId="1" fontId="6" fillId="0" borderId="3" xfId="18" applyNumberFormat="1" applyFont="1" applyBorder="1" applyAlignment="1">
      <alignment horizontal="right" indent="1"/>
    </xf>
    <xf numFmtId="3" fontId="6" fillId="0" borderId="3" xfId="18" applyNumberFormat="1" applyFont="1" applyBorder="1" applyAlignment="1">
      <alignment vertical="center"/>
    </xf>
    <xf numFmtId="3" fontId="10" fillId="0" borderId="0" xfId="67" applyNumberFormat="1" applyFont="1" applyAlignment="1">
      <alignment horizontal="right" vertical="top"/>
    </xf>
    <xf numFmtId="177" fontId="10" fillId="0" borderId="0" xfId="5" applyNumberFormat="1" applyFont="1" applyAlignment="1">
      <alignment horizontal="right" vertical="top"/>
    </xf>
    <xf numFmtId="4" fontId="6" fillId="0" borderId="0" xfId="18" applyNumberFormat="1" applyFont="1" applyAlignment="1">
      <alignment horizontal="center" vertical="center"/>
    </xf>
    <xf numFmtId="0" fontId="22" fillId="0" borderId="0" xfId="18" applyFont="1" applyAlignment="1">
      <alignment vertical="center"/>
    </xf>
    <xf numFmtId="0" fontId="79" fillId="0" borderId="0" xfId="18" applyFont="1"/>
    <xf numFmtId="3" fontId="6" fillId="0" borderId="0" xfId="12" applyNumberFormat="1" applyFont="1" applyAlignment="1">
      <alignment horizontal="right"/>
    </xf>
    <xf numFmtId="1" fontId="6" fillId="0" borderId="0" xfId="12" applyNumberFormat="1" applyFont="1" applyAlignment="1">
      <alignment horizontal="right" indent="1"/>
    </xf>
    <xf numFmtId="0" fontId="2" fillId="0" borderId="0" xfId="12" applyFont="1" applyAlignment="1">
      <alignment horizontal="right"/>
    </xf>
    <xf numFmtId="0" fontId="2" fillId="0" borderId="4" xfId="12" applyFont="1" applyBorder="1" applyAlignment="1">
      <alignment horizontal="right" vertical="center"/>
    </xf>
    <xf numFmtId="0" fontId="12" fillId="0" borderId="0" xfId="12" applyFont="1" applyAlignment="1">
      <alignment horizontal="right" vertical="center"/>
    </xf>
    <xf numFmtId="0" fontId="12" fillId="0" borderId="0" xfId="16" applyFont="1" applyAlignment="1">
      <alignment horizontal="right" vertical="center"/>
    </xf>
    <xf numFmtId="0" fontId="12" fillId="0" borderId="0" xfId="12" applyFont="1" applyAlignment="1">
      <alignment horizontal="left" vertical="center"/>
    </xf>
    <xf numFmtId="0" fontId="13" fillId="0" borderId="0" xfId="12" applyFont="1" applyAlignment="1">
      <alignment horizontal="left"/>
    </xf>
    <xf numFmtId="0" fontId="14" fillId="0" borderId="0" xfId="12" applyFont="1" applyAlignment="1">
      <alignment horizontal="left"/>
    </xf>
    <xf numFmtId="3" fontId="8" fillId="0" borderId="0" xfId="12" applyNumberFormat="1" applyFont="1" applyAlignment="1">
      <alignment horizontal="right" vertical="center"/>
    </xf>
    <xf numFmtId="0" fontId="8" fillId="0" borderId="0" xfId="12" applyFont="1" applyAlignment="1">
      <alignment horizontal="right"/>
    </xf>
    <xf numFmtId="3" fontId="8" fillId="0" borderId="0" xfId="12" applyNumberFormat="1" applyFont="1" applyAlignment="1">
      <alignment horizontal="right"/>
    </xf>
    <xf numFmtId="3" fontId="6" fillId="0" borderId="0" xfId="12" quotePrefix="1" applyNumberFormat="1" applyFont="1" applyAlignment="1">
      <alignment horizontal="right"/>
    </xf>
    <xf numFmtId="3" fontId="6" fillId="0" borderId="0" xfId="2" quotePrefix="1" applyNumberFormat="1" applyFont="1" applyAlignment="1">
      <alignment horizontal="right"/>
    </xf>
    <xf numFmtId="0" fontId="2" fillId="0" borderId="1" xfId="12" applyFont="1" applyBorder="1" applyAlignment="1">
      <alignment vertical="center"/>
    </xf>
    <xf numFmtId="0" fontId="2" fillId="0" borderId="1" xfId="12" applyFont="1" applyBorder="1" applyAlignment="1">
      <alignment horizontal="right" vertical="center"/>
    </xf>
    <xf numFmtId="0" fontId="13" fillId="0" borderId="0" xfId="12" applyFont="1"/>
    <xf numFmtId="0" fontId="14" fillId="0" borderId="0" xfId="12" applyFont="1"/>
    <xf numFmtId="0" fontId="6" fillId="0" borderId="0" xfId="12" applyFont="1" applyAlignment="1">
      <alignment horizontal="right" vertical="center"/>
    </xf>
    <xf numFmtId="0" fontId="28" fillId="0" borderId="0" xfId="0" applyFont="1" applyAlignment="1">
      <alignment horizontal="left" indent="1"/>
    </xf>
    <xf numFmtId="0" fontId="28" fillId="0" borderId="0" xfId="0" applyFont="1" applyAlignment="1">
      <alignment horizontal="center"/>
    </xf>
    <xf numFmtId="0" fontId="19" fillId="0" borderId="0" xfId="0" applyFont="1" applyAlignment="1">
      <alignment horizontal="right" indent="1"/>
    </xf>
    <xf numFmtId="0" fontId="28" fillId="0" borderId="0" xfId="0" applyFont="1" applyAlignment="1">
      <alignment horizontal="right" indent="1"/>
    </xf>
    <xf numFmtId="0" fontId="28" fillId="0" borderId="0" xfId="0" applyFont="1" applyAlignment="1">
      <alignment horizontal="right" indent="2"/>
    </xf>
    <xf numFmtId="0" fontId="3" fillId="0" borderId="0" xfId="0" applyFont="1" applyAlignment="1">
      <alignment horizontal="right"/>
    </xf>
    <xf numFmtId="0" fontId="3" fillId="0" borderId="0" xfId="0" applyFont="1" applyAlignment="1">
      <alignment vertical="top"/>
    </xf>
    <xf numFmtId="0" fontId="20" fillId="0" borderId="0" xfId="0" applyFont="1" applyAlignment="1">
      <alignment horizontal="center"/>
    </xf>
    <xf numFmtId="0" fontId="53" fillId="0" borderId="0" xfId="0" applyFont="1" applyAlignment="1">
      <alignment horizontal="right" indent="1"/>
    </xf>
    <xf numFmtId="0" fontId="28" fillId="0" borderId="1" xfId="0" applyFont="1" applyBorder="1" applyAlignment="1">
      <alignment horizontal="center"/>
    </xf>
    <xf numFmtId="0" fontId="19" fillId="0" borderId="1" xfId="0" applyFont="1" applyBorder="1" applyAlignment="1">
      <alignment horizontal="right" indent="1"/>
    </xf>
    <xf numFmtId="0" fontId="10" fillId="0" borderId="1" xfId="0" applyFont="1" applyBorder="1"/>
    <xf numFmtId="0" fontId="10" fillId="0" borderId="1" xfId="0" applyFont="1" applyBorder="1" applyAlignment="1">
      <alignment vertical="top"/>
    </xf>
    <xf numFmtId="0" fontId="10" fillId="0" borderId="0" xfId="0" applyFont="1"/>
    <xf numFmtId="0" fontId="10" fillId="0" borderId="0" xfId="0" applyFont="1" applyAlignment="1">
      <alignment horizontal="left"/>
    </xf>
    <xf numFmtId="0" fontId="10" fillId="0" borderId="0" xfId="0" applyFont="1" applyAlignment="1">
      <alignment horizontal="left" wrapText="1"/>
    </xf>
    <xf numFmtId="0" fontId="8" fillId="0" borderId="0" xfId="0" applyFont="1" applyAlignment="1">
      <alignment horizontal="center"/>
    </xf>
    <xf numFmtId="0" fontId="19" fillId="0" borderId="0" xfId="0" applyFont="1" applyAlignment="1">
      <alignment horizontal="right" wrapText="1"/>
    </xf>
    <xf numFmtId="49" fontId="19" fillId="0" borderId="0" xfId="0" applyNumberFormat="1" applyFont="1" applyAlignment="1">
      <alignment horizontal="right"/>
    </xf>
    <xf numFmtId="49" fontId="19" fillId="0" borderId="0" xfId="0" applyNumberFormat="1" applyFont="1" applyAlignment="1">
      <alignment horizontal="right" wrapText="1"/>
    </xf>
    <xf numFmtId="0" fontId="19" fillId="0" borderId="0" xfId="0" applyFont="1"/>
    <xf numFmtId="0" fontId="10" fillId="0" borderId="1" xfId="0" applyFont="1" applyBorder="1" applyAlignment="1">
      <alignment horizontal="left" vertical="top"/>
    </xf>
    <xf numFmtId="0" fontId="10" fillId="0" borderId="1" xfId="0" applyFont="1" applyBorder="1" applyAlignment="1">
      <alignment horizontal="left" vertical="top" wrapText="1"/>
    </xf>
    <xf numFmtId="0" fontId="10" fillId="0" borderId="1" xfId="0" applyFont="1" applyBorder="1" applyAlignment="1">
      <alignment horizontal="center" vertical="top"/>
    </xf>
    <xf numFmtId="0" fontId="21" fillId="0" borderId="1" xfId="0" applyFont="1" applyBorder="1" applyAlignment="1">
      <alignment horizontal="right" vertical="top" wrapText="1"/>
    </xf>
    <xf numFmtId="49" fontId="21" fillId="0" borderId="1" xfId="0" applyNumberFormat="1" applyFont="1" applyBorder="1" applyAlignment="1">
      <alignment horizontal="right" vertical="top"/>
    </xf>
    <xf numFmtId="49" fontId="21" fillId="0" borderId="1" xfId="0" applyNumberFormat="1" applyFont="1" applyBorder="1" applyAlignment="1">
      <alignment horizontal="right" vertical="top" wrapText="1"/>
    </xf>
    <xf numFmtId="0" fontId="19" fillId="0" borderId="0" xfId="0" applyFont="1" applyAlignment="1">
      <alignment vertical="top"/>
    </xf>
    <xf numFmtId="0" fontId="28" fillId="0" borderId="0" xfId="0" applyFont="1" applyAlignment="1">
      <alignment vertical="top"/>
    </xf>
    <xf numFmtId="0" fontId="82" fillId="0" borderId="0" xfId="0" applyFont="1"/>
    <xf numFmtId="0" fontId="82" fillId="0" borderId="0" xfId="89" applyFont="1" applyAlignment="1">
      <alignment vertical="center"/>
    </xf>
    <xf numFmtId="0" fontId="8" fillId="0" borderId="0" xfId="0" applyFont="1" applyAlignment="1">
      <alignment horizontal="center" vertical="center"/>
    </xf>
    <xf numFmtId="3" fontId="82" fillId="0" borderId="0" xfId="0" applyNumberFormat="1" applyFont="1" applyAlignment="1">
      <alignment horizontal="right" vertical="center" indent="1"/>
    </xf>
    <xf numFmtId="0" fontId="19" fillId="0" borderId="0" xfId="89" applyFont="1" applyAlignment="1">
      <alignment vertical="center"/>
    </xf>
    <xf numFmtId="3" fontId="19" fillId="0" borderId="0" xfId="0" applyNumberFormat="1" applyFont="1" applyAlignment="1">
      <alignment horizontal="right" vertical="center"/>
    </xf>
    <xf numFmtId="0" fontId="6" fillId="0" borderId="0" xfId="0" applyFont="1" applyAlignment="1">
      <alignment horizontal="center" vertical="center"/>
    </xf>
    <xf numFmtId="3" fontId="28" fillId="0" borderId="0" xfId="0" applyNumberFormat="1" applyFont="1" applyAlignment="1">
      <alignment horizontal="right" vertical="center"/>
    </xf>
    <xf numFmtId="3" fontId="6" fillId="0" borderId="0" xfId="0" applyNumberFormat="1" applyFont="1"/>
    <xf numFmtId="0" fontId="83" fillId="0" borderId="0" xfId="0" applyFont="1"/>
    <xf numFmtId="0" fontId="6" fillId="0" borderId="0" xfId="89" applyFont="1" applyAlignment="1">
      <alignment vertical="center"/>
    </xf>
    <xf numFmtId="0" fontId="6" fillId="0" borderId="0" xfId="89" applyFont="1" applyAlignment="1">
      <alignment horizontal="left" vertical="center" indent="1"/>
    </xf>
    <xf numFmtId="0" fontId="83" fillId="0" borderId="0" xfId="89" applyFont="1" applyAlignment="1">
      <alignment vertical="center"/>
    </xf>
    <xf numFmtId="0" fontId="83" fillId="0" borderId="0" xfId="89" applyFont="1" applyAlignment="1">
      <alignment horizontal="left" vertical="center" indent="1"/>
    </xf>
    <xf numFmtId="3" fontId="83" fillId="0" borderId="0" xfId="0" applyNumberFormat="1" applyFont="1"/>
    <xf numFmtId="0" fontId="28" fillId="0" borderId="0" xfId="0" applyFont="1" applyAlignment="1">
      <alignment horizontal="left" vertical="center" indent="1"/>
    </xf>
    <xf numFmtId="3" fontId="28" fillId="0" borderId="0" xfId="0" applyNumberFormat="1" applyFont="1"/>
    <xf numFmtId="174" fontId="6" fillId="0" borderId="0" xfId="27" applyNumberFormat="1" applyFont="1" applyAlignment="1">
      <alignment vertical="center"/>
    </xf>
    <xf numFmtId="174" fontId="6" fillId="0" borderId="0" xfId="27" applyNumberFormat="1" applyFont="1" applyAlignment="1">
      <alignment horizontal="left" vertical="center" indent="1"/>
    </xf>
    <xf numFmtId="0" fontId="28" fillId="0" borderId="0" xfId="0" applyFont="1" applyAlignment="1">
      <alignment horizontal="left" vertical="center" wrapText="1" indent="1"/>
    </xf>
    <xf numFmtId="0" fontId="6" fillId="0" borderId="0" xfId="90" applyFont="1" applyAlignment="1">
      <alignment vertical="center"/>
    </xf>
    <xf numFmtId="0" fontId="6" fillId="0" borderId="0" xfId="90" applyFont="1" applyAlignment="1">
      <alignment horizontal="left" vertical="center" indent="1"/>
    </xf>
    <xf numFmtId="0" fontId="6" fillId="0" borderId="0" xfId="91" applyFont="1" applyAlignment="1">
      <alignment horizontal="left" vertical="center" wrapText="1" indent="1"/>
    </xf>
    <xf numFmtId="0" fontId="6" fillId="0" borderId="0" xfId="0" applyFont="1" applyAlignment="1">
      <alignment horizontal="left" vertical="center" indent="1"/>
    </xf>
    <xf numFmtId="3" fontId="6" fillId="0" borderId="0" xfId="0" applyNumberFormat="1" applyFont="1" applyAlignment="1">
      <alignment horizontal="right" vertical="center"/>
    </xf>
    <xf numFmtId="3" fontId="28" fillId="0" borderId="0" xfId="0" applyNumberFormat="1" applyFont="1" applyAlignment="1">
      <alignment horizontal="right" vertical="center" wrapText="1"/>
    </xf>
    <xf numFmtId="0" fontId="28" fillId="0" borderId="1" xfId="0" applyFont="1" applyBorder="1" applyAlignment="1">
      <alignment horizontal="left" indent="1"/>
    </xf>
    <xf numFmtId="0" fontId="45" fillId="0" borderId="0" xfId="0" applyFont="1"/>
    <xf numFmtId="0" fontId="45" fillId="0" borderId="0" xfId="0" applyFont="1" applyAlignment="1">
      <alignment horizontal="center"/>
    </xf>
    <xf numFmtId="0" fontId="13" fillId="0" borderId="0" xfId="92" applyFont="1" applyAlignment="1">
      <alignment horizontal="right"/>
    </xf>
    <xf numFmtId="0" fontId="13" fillId="0" borderId="3" xfId="92" applyFont="1" applyBorder="1" applyAlignment="1">
      <alignment horizontal="right"/>
    </xf>
    <xf numFmtId="0" fontId="14" fillId="0" borderId="0" xfId="0" applyFont="1" applyAlignment="1">
      <alignment horizontal="right" vertical="top"/>
    </xf>
    <xf numFmtId="0" fontId="46" fillId="0" borderId="0" xfId="0" applyFont="1"/>
    <xf numFmtId="0" fontId="46" fillId="0" borderId="0" xfId="0" quotePrefix="1" applyFont="1"/>
    <xf numFmtId="0" fontId="46" fillId="0" borderId="0" xfId="0" applyFont="1" applyAlignment="1">
      <alignment horizontal="left" indent="1"/>
    </xf>
    <xf numFmtId="0" fontId="46" fillId="0" borderId="0" xfId="0" applyFont="1" applyAlignment="1">
      <alignment horizontal="center"/>
    </xf>
    <xf numFmtId="0" fontId="46" fillId="0" borderId="0" xfId="0" applyFont="1" applyAlignment="1">
      <alignment horizontal="left" vertical="top" indent="1"/>
    </xf>
    <xf numFmtId="0" fontId="47" fillId="0" borderId="0" xfId="0" applyFont="1" applyAlignment="1">
      <alignment horizontal="left" vertical="top"/>
    </xf>
    <xf numFmtId="0" fontId="47" fillId="0" borderId="0" xfId="0" applyFont="1" applyAlignment="1">
      <alignment horizontal="center" vertical="top"/>
    </xf>
    <xf numFmtId="0" fontId="45" fillId="0" borderId="0" xfId="0" applyFont="1" applyAlignment="1">
      <alignment horizontal="right" indent="2"/>
    </xf>
    <xf numFmtId="0" fontId="45" fillId="0" borderId="0" xfId="0" applyFont="1" applyAlignment="1">
      <alignment horizontal="right" indent="1"/>
    </xf>
    <xf numFmtId="0" fontId="47" fillId="0" borderId="0" xfId="0" applyFont="1" applyAlignment="1">
      <alignment horizontal="left" vertical="top" indent="1"/>
    </xf>
    <xf numFmtId="0" fontId="46" fillId="0" borderId="0" xfId="0" applyFont="1" applyAlignment="1">
      <alignment horizontal="left" vertical="center"/>
    </xf>
    <xf numFmtId="0" fontId="45" fillId="0" borderId="0" xfId="0" applyFont="1" applyAlignment="1">
      <alignment horizontal="left" vertical="center"/>
    </xf>
    <xf numFmtId="0" fontId="45" fillId="0" borderId="0" xfId="0" applyFont="1" applyAlignment="1">
      <alignment horizontal="center" vertical="center"/>
    </xf>
    <xf numFmtId="0" fontId="46" fillId="0" borderId="0" xfId="0" applyFont="1" applyAlignment="1">
      <alignment horizontal="right" vertical="center"/>
    </xf>
    <xf numFmtId="0" fontId="45" fillId="0" borderId="0" xfId="0" applyFont="1" applyAlignment="1">
      <alignment horizontal="right"/>
    </xf>
    <xf numFmtId="0" fontId="46" fillId="0" borderId="0" xfId="0" applyFont="1" applyAlignment="1">
      <alignment horizontal="right"/>
    </xf>
    <xf numFmtId="0" fontId="47" fillId="0" borderId="0" xfId="0" applyFont="1" applyAlignment="1">
      <alignment horizontal="left" vertical="center"/>
    </xf>
    <xf numFmtId="0" fontId="48" fillId="0" borderId="0" xfId="0" applyFont="1" applyAlignment="1">
      <alignment horizontal="left" vertical="center"/>
    </xf>
    <xf numFmtId="0" fontId="19" fillId="0" borderId="0" xfId="0" applyFont="1" applyAlignment="1">
      <alignment horizontal="right"/>
    </xf>
    <xf numFmtId="0" fontId="28" fillId="0" borderId="0" xfId="0" applyFont="1" applyAlignment="1">
      <alignment horizontal="right"/>
    </xf>
    <xf numFmtId="0" fontId="3" fillId="0" borderId="0" xfId="0" applyFont="1"/>
    <xf numFmtId="0" fontId="2" fillId="0" borderId="0" xfId="0" applyFont="1" applyAlignment="1">
      <alignment horizontal="center"/>
    </xf>
    <xf numFmtId="0" fontId="2" fillId="0" borderId="0" xfId="0" applyFont="1" applyAlignment="1">
      <alignment horizontal="right"/>
    </xf>
    <xf numFmtId="0" fontId="3" fillId="0" borderId="0" xfId="0" applyFont="1" applyAlignment="1">
      <alignment wrapText="1"/>
    </xf>
    <xf numFmtId="0" fontId="2" fillId="0" borderId="0" xfId="0" applyFont="1" applyAlignment="1">
      <alignment vertical="top"/>
    </xf>
    <xf numFmtId="0" fontId="5" fillId="0" borderId="0" xfId="0" applyFont="1" applyAlignment="1">
      <alignment horizontal="right" vertical="top"/>
    </xf>
    <xf numFmtId="0" fontId="5" fillId="0" borderId="0" xfId="0" applyFont="1"/>
    <xf numFmtId="0" fontId="5" fillId="0" borderId="0" xfId="0" applyFont="1" applyAlignment="1">
      <alignment vertical="top"/>
    </xf>
    <xf numFmtId="0" fontId="3" fillId="0" borderId="0" xfId="0" applyFont="1" applyAlignment="1">
      <alignment vertical="top" wrapText="1"/>
    </xf>
    <xf numFmtId="0" fontId="56" fillId="0" borderId="1" xfId="0" applyFont="1" applyBorder="1" applyAlignment="1">
      <alignment horizontal="left"/>
    </xf>
    <xf numFmtId="0" fontId="28" fillId="0" borderId="1" xfId="0" applyFont="1" applyBorder="1" applyAlignment="1">
      <alignment horizontal="right"/>
    </xf>
    <xf numFmtId="0" fontId="84" fillId="0" borderId="0" xfId="0" applyFont="1"/>
    <xf numFmtId="0" fontId="19" fillId="0" borderId="0" xfId="0" applyFont="1" applyAlignment="1">
      <alignment horizontal="center"/>
    </xf>
    <xf numFmtId="0" fontId="85" fillId="0" borderId="0" xfId="0" applyFont="1" applyAlignment="1">
      <alignment vertical="top"/>
    </xf>
    <xf numFmtId="0" fontId="21" fillId="0" borderId="0" xfId="0" applyFont="1" applyAlignment="1">
      <alignment horizontal="left" vertical="top"/>
    </xf>
    <xf numFmtId="0" fontId="21" fillId="0" borderId="0" xfId="0" applyFont="1" applyAlignment="1">
      <alignment horizontal="center" vertical="top"/>
    </xf>
    <xf numFmtId="0" fontId="21" fillId="0" borderId="0" xfId="0" applyFont="1" applyAlignment="1">
      <alignment horizontal="right" vertical="top"/>
    </xf>
    <xf numFmtId="0" fontId="21" fillId="0" borderId="0" xfId="0" applyFont="1" applyAlignment="1">
      <alignment horizontal="right" vertical="top" wrapText="1"/>
    </xf>
    <xf numFmtId="0" fontId="21" fillId="0" borderId="0" xfId="0" applyFont="1" applyAlignment="1">
      <alignment horizontal="center" vertical="top" wrapText="1"/>
    </xf>
    <xf numFmtId="0" fontId="85" fillId="0" borderId="0" xfId="0" applyFont="1"/>
    <xf numFmtId="0" fontId="19" fillId="0" borderId="0" xfId="0" applyFont="1" applyAlignment="1">
      <alignment wrapText="1"/>
    </xf>
    <xf numFmtId="3" fontId="19" fillId="0" borderId="0" xfId="0" applyNumberFormat="1" applyFont="1"/>
    <xf numFmtId="0" fontId="85" fillId="0" borderId="1" xfId="0" applyFont="1" applyBorder="1" applyAlignment="1">
      <alignment vertical="top"/>
    </xf>
    <xf numFmtId="0" fontId="21" fillId="0" borderId="1" xfId="0" applyFont="1" applyBorder="1" applyAlignment="1">
      <alignment vertical="top"/>
    </xf>
    <xf numFmtId="0" fontId="21" fillId="0" borderId="1" xfId="0" applyFont="1" applyBorder="1" applyAlignment="1">
      <alignment horizontal="center" vertical="top"/>
    </xf>
    <xf numFmtId="0" fontId="21" fillId="0" borderId="1" xfId="0" applyFont="1" applyBorder="1" applyAlignment="1">
      <alignment horizontal="right" vertical="top"/>
    </xf>
    <xf numFmtId="3" fontId="19" fillId="0" borderId="0" xfId="0" applyNumberFormat="1" applyFont="1" applyAlignment="1">
      <alignment vertical="top"/>
    </xf>
    <xf numFmtId="0" fontId="19" fillId="0" borderId="0" xfId="0" applyFont="1" applyAlignment="1">
      <alignment horizontal="right" vertical="top" wrapText="1"/>
    </xf>
    <xf numFmtId="0" fontId="19" fillId="0" borderId="0" xfId="0" applyFont="1" applyAlignment="1">
      <alignment horizontal="left"/>
    </xf>
    <xf numFmtId="3" fontId="6" fillId="0" borderId="0" xfId="0" applyNumberFormat="1" applyFont="1" applyAlignment="1">
      <alignment horizontal="right"/>
    </xf>
    <xf numFmtId="3" fontId="6" fillId="0" borderId="0" xfId="0" quotePrefix="1" applyNumberFormat="1" applyFont="1" applyAlignment="1">
      <alignment horizontal="right" vertical="center"/>
    </xf>
    <xf numFmtId="0" fontId="6" fillId="0" borderId="1" xfId="0" applyFont="1" applyBorder="1" applyAlignment="1">
      <alignment horizontal="center" vertical="center"/>
    </xf>
    <xf numFmtId="0" fontId="19" fillId="0" borderId="1" xfId="0" applyFont="1" applyBorder="1" applyAlignment="1">
      <alignment horizontal="right"/>
    </xf>
    <xf numFmtId="0" fontId="28" fillId="0" borderId="1" xfId="0" applyFont="1" applyBorder="1" applyAlignment="1">
      <alignment horizontal="right" indent="1"/>
    </xf>
    <xf numFmtId="0" fontId="28" fillId="0" borderId="1" xfId="0" applyFont="1" applyBorder="1" applyAlignment="1">
      <alignment horizontal="right" indent="2"/>
    </xf>
    <xf numFmtId="0" fontId="12" fillId="0" borderId="0" xfId="0" applyFont="1" applyAlignment="1">
      <alignment horizontal="center" vertical="center"/>
    </xf>
    <xf numFmtId="0" fontId="13" fillId="0" borderId="0" xfId="0" applyFont="1" applyAlignment="1">
      <alignment horizontal="right"/>
    </xf>
    <xf numFmtId="0" fontId="45" fillId="0" borderId="0" xfId="0" applyFont="1" applyAlignment="1">
      <alignment horizontal="left" indent="1"/>
    </xf>
    <xf numFmtId="0" fontId="3" fillId="0" borderId="0" xfId="0" applyFont="1" applyAlignment="1">
      <alignment horizontal="center"/>
    </xf>
    <xf numFmtId="0" fontId="3" fillId="0" borderId="0" xfId="0" applyFont="1" applyAlignment="1">
      <alignment horizontal="left" indent="1"/>
    </xf>
    <xf numFmtId="0" fontId="5" fillId="0" borderId="0" xfId="0" applyFont="1" applyAlignment="1">
      <alignment horizontal="right"/>
    </xf>
    <xf numFmtId="0" fontId="5" fillId="0" borderId="0" xfId="0" applyFont="1" applyAlignment="1">
      <alignment horizontal="center"/>
    </xf>
    <xf numFmtId="0" fontId="10" fillId="0" borderId="1" xfId="0" applyFont="1" applyBorder="1" applyAlignment="1">
      <alignment horizontal="center"/>
    </xf>
    <xf numFmtId="0" fontId="10" fillId="0" borderId="1" xfId="0" applyFont="1" applyBorder="1" applyAlignment="1">
      <alignment horizontal="right"/>
    </xf>
    <xf numFmtId="0" fontId="8" fillId="0" borderId="3" xfId="0" applyFont="1" applyBorder="1" applyAlignment="1">
      <alignment wrapText="1"/>
    </xf>
    <xf numFmtId="0" fontId="10" fillId="0" borderId="3" xfId="0" applyFont="1" applyBorder="1" applyAlignment="1">
      <alignment vertical="center" wrapText="1"/>
    </xf>
    <xf numFmtId="0" fontId="10" fillId="0" borderId="3" xfId="0" applyFont="1" applyBorder="1" applyAlignment="1">
      <alignment wrapText="1"/>
    </xf>
    <xf numFmtId="0" fontId="8" fillId="0" borderId="3" xfId="0" applyFont="1" applyBorder="1" applyAlignment="1">
      <alignment horizontal="right" wrapText="1"/>
    </xf>
    <xf numFmtId="0" fontId="8" fillId="0" borderId="0" xfId="0" applyFont="1" applyAlignment="1">
      <alignment horizontal="center" wrapText="1"/>
    </xf>
    <xf numFmtId="0" fontId="6" fillId="0" borderId="0" xfId="0" applyFont="1" applyAlignment="1">
      <alignment wrapText="1"/>
    </xf>
    <xf numFmtId="0" fontId="8" fillId="0" borderId="0" xfId="0" applyFont="1" applyAlignment="1">
      <alignment wrapText="1"/>
    </xf>
    <xf numFmtId="0" fontId="8" fillId="0" borderId="0" xfId="0" applyFont="1" applyAlignment="1">
      <alignment horizontal="right" vertical="top" wrapText="1"/>
    </xf>
    <xf numFmtId="0" fontId="10" fillId="0" borderId="1" xfId="0" applyFont="1" applyBorder="1" applyAlignment="1">
      <alignment horizontal="right" wrapText="1"/>
    </xf>
    <xf numFmtId="0" fontId="10" fillId="0" borderId="1" xfId="0" applyFont="1" applyBorder="1" applyAlignment="1">
      <alignment horizontal="right" vertical="top"/>
    </xf>
    <xf numFmtId="0" fontId="8" fillId="0" borderId="0" xfId="0" applyFont="1" applyAlignment="1">
      <alignment horizontal="center" vertical="top" wrapText="1"/>
    </xf>
    <xf numFmtId="0" fontId="10" fillId="0" borderId="0" xfId="0" applyFont="1" applyAlignment="1">
      <alignment wrapText="1"/>
    </xf>
    <xf numFmtId="0" fontId="10" fillId="0" borderId="0" xfId="0" applyFont="1" applyAlignment="1">
      <alignment horizontal="center" wrapText="1"/>
    </xf>
    <xf numFmtId="0" fontId="10" fillId="0" borderId="0" xfId="0" applyFont="1" applyAlignment="1">
      <alignment horizontal="right" wrapText="1"/>
    </xf>
    <xf numFmtId="0" fontId="8" fillId="0" borderId="0" xfId="0" applyFont="1" applyAlignment="1">
      <alignment horizontal="right" wrapText="1"/>
    </xf>
    <xf numFmtId="0" fontId="10" fillId="0" borderId="1" xfId="0" applyFont="1" applyBorder="1" applyAlignment="1">
      <alignment vertical="top" wrapText="1"/>
    </xf>
    <xf numFmtId="0" fontId="10" fillId="0" borderId="1" xfId="0" applyFont="1" applyBorder="1" applyAlignment="1">
      <alignment horizontal="center" vertical="top" wrapText="1"/>
    </xf>
    <xf numFmtId="0" fontId="10" fillId="0" borderId="1" xfId="0" applyFont="1" applyBorder="1" applyAlignment="1">
      <alignment horizontal="right" vertical="top" wrapText="1"/>
    </xf>
    <xf numFmtId="0" fontId="10" fillId="0" borderId="0" xfId="0" applyFont="1" applyAlignment="1">
      <alignment horizontal="center" vertical="top" wrapText="1"/>
    </xf>
    <xf numFmtId="0" fontId="6" fillId="0" borderId="0" xfId="0" applyFont="1" applyAlignment="1">
      <alignment vertical="top"/>
    </xf>
    <xf numFmtId="0" fontId="8" fillId="0" borderId="0" xfId="0" applyFont="1" applyAlignment="1">
      <alignment vertical="center"/>
    </xf>
    <xf numFmtId="3" fontId="8" fillId="0" borderId="0" xfId="0" applyNumberFormat="1" applyFont="1" applyAlignment="1">
      <alignment horizontal="right" vertical="center"/>
    </xf>
    <xf numFmtId="0" fontId="6" fillId="0" borderId="0" xfId="0" applyFont="1" applyAlignment="1">
      <alignment horizontal="left" indent="1"/>
    </xf>
    <xf numFmtId="0" fontId="6" fillId="0" borderId="0" xfId="0" applyFont="1" applyAlignment="1">
      <alignment horizontal="left" vertical="center" wrapText="1" indent="1"/>
    </xf>
    <xf numFmtId="0" fontId="6" fillId="0" borderId="0" xfId="0" applyFont="1" applyAlignment="1">
      <alignment horizontal="right"/>
    </xf>
    <xf numFmtId="0" fontId="6" fillId="0" borderId="0" xfId="0" applyFont="1" applyAlignment="1">
      <alignment horizontal="left" vertical="center"/>
    </xf>
    <xf numFmtId="0" fontId="6" fillId="0" borderId="1" xfId="0" applyFont="1" applyBorder="1" applyAlignment="1">
      <alignment horizontal="left" vertical="center"/>
    </xf>
    <xf numFmtId="0" fontId="6" fillId="0" borderId="1" xfId="0" applyFont="1" applyBorder="1" applyAlignment="1">
      <alignment horizontal="left" indent="1"/>
    </xf>
    <xf numFmtId="0" fontId="6" fillId="0" borderId="1" xfId="0" applyFont="1" applyBorder="1" applyAlignment="1">
      <alignment horizontal="right"/>
    </xf>
    <xf numFmtId="0" fontId="12" fillId="0" borderId="0" xfId="0" applyFont="1" applyAlignment="1">
      <alignment horizontal="left" vertical="center"/>
    </xf>
    <xf numFmtId="0" fontId="12" fillId="0" borderId="0" xfId="0" applyFont="1" applyAlignment="1">
      <alignment horizontal="left" indent="1"/>
    </xf>
    <xf numFmtId="0" fontId="12" fillId="0" borderId="0" xfId="0" applyFont="1" applyAlignment="1">
      <alignment horizontal="right"/>
    </xf>
    <xf numFmtId="174" fontId="13" fillId="0" borderId="0" xfId="27" applyNumberFormat="1" applyFont="1"/>
    <xf numFmtId="0" fontId="12" fillId="0" borderId="0" xfId="0" applyFont="1"/>
    <xf numFmtId="0" fontId="12" fillId="0" borderId="0" xfId="0" applyFont="1" applyAlignment="1">
      <alignment horizontal="center"/>
    </xf>
    <xf numFmtId="174" fontId="14" fillId="0" borderId="0" xfId="27" applyNumberFormat="1" applyFont="1"/>
    <xf numFmtId="0" fontId="14" fillId="0" borderId="0" xfId="0" applyFont="1" applyAlignment="1">
      <alignment horizontal="right"/>
    </xf>
    <xf numFmtId="174" fontId="14" fillId="0" borderId="0" xfId="27" applyNumberFormat="1" applyFont="1" applyAlignment="1">
      <alignment horizontal="right"/>
    </xf>
    <xf numFmtId="0" fontId="3" fillId="0" borderId="0" xfId="93" applyFont="1" applyAlignment="1">
      <alignment horizontal="left"/>
    </xf>
    <xf numFmtId="0" fontId="3" fillId="0" borderId="0" xfId="93" applyFont="1" applyAlignment="1"/>
    <xf numFmtId="0" fontId="3" fillId="0" borderId="0" xfId="93" applyFont="1" applyAlignment="1">
      <alignment horizontal="center"/>
    </xf>
    <xf numFmtId="0" fontId="3" fillId="0" borderId="0" xfId="93" applyFont="1">
      <alignment vertical="center"/>
    </xf>
    <xf numFmtId="0" fontId="3" fillId="0" borderId="0" xfId="93" applyFont="1" applyAlignment="1">
      <alignment vertical="top"/>
    </xf>
    <xf numFmtId="0" fontId="5" fillId="0" borderId="0" xfId="65" applyFont="1"/>
    <xf numFmtId="0" fontId="2" fillId="0" borderId="0" xfId="65" applyFont="1" applyAlignment="1">
      <alignment horizontal="center"/>
    </xf>
    <xf numFmtId="0" fontId="2" fillId="0" borderId="0" xfId="65" applyFont="1"/>
    <xf numFmtId="0" fontId="5" fillId="0" borderId="0" xfId="65" applyFont="1" applyAlignment="1">
      <alignment horizontal="right"/>
    </xf>
    <xf numFmtId="0" fontId="5" fillId="0" borderId="0" xfId="65" applyFont="1" applyAlignment="1">
      <alignment vertical="top"/>
    </xf>
    <xf numFmtId="0" fontId="6" fillId="0" borderId="1" xfId="65" applyFont="1" applyBorder="1"/>
    <xf numFmtId="0" fontId="20" fillId="0" borderId="1" xfId="65" applyFont="1" applyBorder="1"/>
    <xf numFmtId="0" fontId="6" fillId="0" borderId="1" xfId="65" applyFont="1" applyBorder="1" applyAlignment="1">
      <alignment horizontal="center"/>
    </xf>
    <xf numFmtId="0" fontId="2" fillId="0" borderId="1" xfId="65" applyFont="1" applyBorder="1"/>
    <xf numFmtId="0" fontId="2" fillId="0" borderId="3" xfId="64" applyFont="1" applyBorder="1"/>
    <xf numFmtId="0" fontId="3" fillId="0" borderId="3" xfId="64" applyFont="1" applyBorder="1" applyAlignment="1">
      <alignment horizontal="left"/>
    </xf>
    <xf numFmtId="0" fontId="3" fillId="0" borderId="3" xfId="64" applyFont="1" applyBorder="1" applyAlignment="1">
      <alignment horizontal="center"/>
    </xf>
    <xf numFmtId="0" fontId="3" fillId="0" borderId="3" xfId="64" applyFont="1" applyBorder="1" applyAlignment="1">
      <alignment horizontal="right"/>
    </xf>
    <xf numFmtId="0" fontId="6" fillId="0" borderId="5" xfId="64" applyFont="1" applyBorder="1"/>
    <xf numFmtId="0" fontId="6" fillId="0" borderId="5" xfId="64" applyFont="1" applyBorder="1" applyAlignment="1">
      <alignment horizontal="center"/>
    </xf>
    <xf numFmtId="0" fontId="6" fillId="0" borderId="5" xfId="64" applyFont="1" applyBorder="1" applyAlignment="1">
      <alignment horizontal="right"/>
    </xf>
    <xf numFmtId="0" fontId="10" fillId="0" borderId="5" xfId="64" applyFont="1" applyBorder="1" applyAlignment="1">
      <alignment horizontal="right"/>
    </xf>
    <xf numFmtId="3" fontId="6" fillId="0" borderId="0" xfId="64" applyNumberFormat="1" applyFont="1" applyAlignment="1">
      <alignment horizontal="right"/>
    </xf>
    <xf numFmtId="0" fontId="8" fillId="0" borderId="0" xfId="65" applyFont="1"/>
    <xf numFmtId="0" fontId="8" fillId="0" borderId="0" xfId="65" applyFont="1" applyAlignment="1">
      <alignment horizontal="center"/>
    </xf>
    <xf numFmtId="0" fontId="6" fillId="0" borderId="0" xfId="65" applyFont="1"/>
    <xf numFmtId="0" fontId="8" fillId="0" borderId="0" xfId="65" applyFont="1" applyAlignment="1">
      <alignment horizontal="center" wrapText="1"/>
    </xf>
    <xf numFmtId="167" fontId="6" fillId="0" borderId="0" xfId="65" applyNumberFormat="1" applyFont="1"/>
    <xf numFmtId="0" fontId="8" fillId="0" borderId="0" xfId="65" applyFont="1" applyAlignment="1">
      <alignment horizontal="left" wrapText="1"/>
    </xf>
    <xf numFmtId="0" fontId="6" fillId="0" borderId="0" xfId="65" applyFont="1" applyAlignment="1">
      <alignment horizontal="center"/>
    </xf>
    <xf numFmtId="0" fontId="6" fillId="0" borderId="0" xfId="65" applyFont="1" applyAlignment="1">
      <alignment horizontal="left"/>
    </xf>
    <xf numFmtId="0" fontId="6" fillId="0" borderId="0" xfId="65" applyFont="1" applyAlignment="1">
      <alignment horizontal="left" wrapText="1"/>
    </xf>
    <xf numFmtId="0" fontId="8" fillId="0" borderId="0" xfId="65" applyFont="1" applyAlignment="1">
      <alignment horizontal="left"/>
    </xf>
    <xf numFmtId="0" fontId="8" fillId="0" borderId="1" xfId="65" applyFont="1" applyBorder="1" applyAlignment="1">
      <alignment horizontal="left" indent="1"/>
    </xf>
    <xf numFmtId="177" fontId="6" fillId="0" borderId="1" xfId="94" applyNumberFormat="1" applyFont="1" applyFill="1" applyBorder="1" applyAlignment="1">
      <alignment horizontal="right" vertical="center" wrapText="1"/>
    </xf>
    <xf numFmtId="0" fontId="65" fillId="0" borderId="0" xfId="64" applyFont="1" applyAlignment="1">
      <alignment horizontal="right"/>
    </xf>
    <xf numFmtId="0" fontId="74" fillId="0" borderId="0" xfId="64" applyFont="1"/>
    <xf numFmtId="174" fontId="13" fillId="0" borderId="0" xfId="66" applyFont="1" applyAlignment="1">
      <alignment horizontal="right"/>
    </xf>
    <xf numFmtId="0" fontId="65" fillId="0" borderId="0" xfId="64" applyFont="1" applyAlignment="1">
      <alignment vertical="top"/>
    </xf>
    <xf numFmtId="0" fontId="65" fillId="0" borderId="0" xfId="64" applyFont="1" applyAlignment="1">
      <alignment horizontal="right" vertical="top"/>
    </xf>
    <xf numFmtId="174" fontId="14" fillId="0" borderId="0" xfId="66" applyFont="1" applyAlignment="1">
      <alignment horizontal="right" vertical="top"/>
    </xf>
    <xf numFmtId="174" fontId="12" fillId="0" borderId="0" xfId="66" applyFont="1" applyAlignment="1">
      <alignment horizontal="center"/>
    </xf>
    <xf numFmtId="174" fontId="12" fillId="0" borderId="0" xfId="66" applyFont="1" applyAlignment="1">
      <alignment horizontal="left"/>
    </xf>
    <xf numFmtId="0" fontId="14" fillId="0" borderId="0" xfId="64" applyFont="1" applyAlignment="1">
      <alignment horizontal="left"/>
    </xf>
    <xf numFmtId="0" fontId="6" fillId="0" borderId="0" xfId="65" applyFont="1" applyAlignment="1">
      <alignment horizontal="left" vertical="center" indent="1"/>
    </xf>
    <xf numFmtId="0" fontId="6" fillId="0" borderId="0" xfId="65" applyFont="1" applyAlignment="1">
      <alignment vertical="center"/>
    </xf>
    <xf numFmtId="0" fontId="6" fillId="0" borderId="0" xfId="95" applyNumberFormat="1" applyFont="1" applyFill="1" applyBorder="1" applyAlignment="1">
      <alignment vertical="center"/>
    </xf>
    <xf numFmtId="0" fontId="6" fillId="0" borderId="0" xfId="95" applyNumberFormat="1" applyFont="1" applyFill="1" applyBorder="1" applyAlignment="1">
      <alignment horizontal="right" vertical="center"/>
    </xf>
    <xf numFmtId="0" fontId="10" fillId="0" borderId="0" xfId="65" applyFont="1" applyAlignment="1">
      <alignment horizontal="left" indent="3"/>
    </xf>
    <xf numFmtId="0" fontId="10" fillId="0" borderId="0" xfId="65" applyFont="1" applyAlignment="1">
      <alignment horizontal="center"/>
    </xf>
    <xf numFmtId="0" fontId="10" fillId="0" borderId="0" xfId="65" applyFont="1" applyAlignment="1">
      <alignment vertical="center"/>
    </xf>
    <xf numFmtId="175" fontId="3" fillId="0" borderId="0" xfId="53" applyFont="1" applyAlignment="1">
      <alignment horizontal="right" vertical="center"/>
    </xf>
    <xf numFmtId="175" fontId="8" fillId="0" borderId="9" xfId="53" applyFont="1" applyBorder="1" applyAlignment="1">
      <alignment horizontal="center" vertical="center" wrapText="1"/>
    </xf>
    <xf numFmtId="175" fontId="8" fillId="0" borderId="10" xfId="53" applyFont="1" applyBorder="1" applyAlignment="1">
      <alignment horizontal="center" vertical="center" wrapText="1"/>
    </xf>
    <xf numFmtId="175" fontId="10" fillId="0" borderId="0" xfId="53" applyFont="1" applyAlignment="1">
      <alignment horizontal="left" vertical="center" wrapText="1"/>
    </xf>
    <xf numFmtId="0" fontId="61" fillId="0" borderId="0" xfId="17" applyFont="1" applyAlignment="1">
      <alignment vertical="center"/>
    </xf>
    <xf numFmtId="0" fontId="62" fillId="0" borderId="0" xfId="17" applyFont="1" applyAlignment="1">
      <alignment vertical="center"/>
    </xf>
    <xf numFmtId="0" fontId="19" fillId="0" borderId="1" xfId="17" applyFont="1" applyBorder="1" applyAlignment="1">
      <alignment horizontal="right" vertical="center" wrapText="1"/>
    </xf>
    <xf numFmtId="0" fontId="28" fillId="0" borderId="0" xfId="17" applyFont="1"/>
    <xf numFmtId="0" fontId="28" fillId="0" borderId="0" xfId="22" applyNumberFormat="1" applyFont="1" applyFill="1" applyAlignment="1">
      <alignment vertical="center"/>
    </xf>
    <xf numFmtId="0" fontId="28" fillId="0" borderId="3" xfId="35" applyFont="1" applyBorder="1" applyAlignment="1">
      <alignment vertical="center"/>
    </xf>
    <xf numFmtId="0" fontId="28" fillId="0" borderId="0" xfId="17" applyFont="1" applyAlignment="1">
      <alignment vertical="center"/>
    </xf>
    <xf numFmtId="0" fontId="63" fillId="0" borderId="0" xfId="17" applyFont="1" applyAlignment="1">
      <alignment vertical="center"/>
    </xf>
    <xf numFmtId="0" fontId="26" fillId="0" borderId="0" xfId="35" applyFont="1" applyAlignment="1">
      <alignment horizontal="left" vertical="center" indent="1"/>
    </xf>
    <xf numFmtId="3" fontId="6" fillId="0" borderId="1" xfId="22" applyNumberFormat="1" applyFont="1" applyFill="1" applyBorder="1" applyAlignment="1">
      <alignment vertical="center"/>
    </xf>
    <xf numFmtId="167" fontId="28" fillId="0" borderId="1" xfId="22" applyNumberFormat="1" applyFont="1" applyFill="1" applyBorder="1" applyAlignment="1">
      <alignment vertical="center"/>
    </xf>
    <xf numFmtId="167" fontId="6" fillId="0" borderId="1" xfId="17" applyNumberFormat="1" applyFont="1" applyBorder="1" applyAlignment="1">
      <alignment vertical="center"/>
    </xf>
    <xf numFmtId="178" fontId="6" fillId="0" borderId="1" xfId="17" applyNumberFormat="1" applyFont="1" applyBorder="1" applyAlignment="1">
      <alignment vertical="center"/>
    </xf>
    <xf numFmtId="171" fontId="28" fillId="0" borderId="0" xfId="22" applyNumberFormat="1" applyFont="1" applyAlignment="1"/>
    <xf numFmtId="0" fontId="3" fillId="0" borderId="0" xfId="0" applyFont="1" applyAlignment="1">
      <alignment horizontal="right" vertical="top"/>
    </xf>
    <xf numFmtId="167" fontId="28" fillId="0" borderId="0" xfId="0" applyNumberFormat="1" applyFont="1" applyAlignment="1">
      <alignment horizontal="right" vertical="center"/>
    </xf>
    <xf numFmtId="0" fontId="8" fillId="0" borderId="0" xfId="0" applyFont="1" applyAlignment="1">
      <alignment horizontal="left" vertical="center"/>
    </xf>
    <xf numFmtId="167" fontId="6" fillId="0" borderId="0" xfId="0" applyNumberFormat="1" applyFont="1" applyAlignment="1">
      <alignment horizontal="right" vertical="center"/>
    </xf>
    <xf numFmtId="0" fontId="10" fillId="0" borderId="0" xfId="0" applyFont="1" applyAlignment="1">
      <alignment horizontal="left" vertical="center"/>
    </xf>
    <xf numFmtId="0" fontId="45" fillId="0" borderId="0" xfId="0" applyFont="1" applyAlignment="1">
      <alignment vertical="center"/>
    </xf>
    <xf numFmtId="0" fontId="8" fillId="0" borderId="0" xfId="0" applyFont="1" applyAlignment="1">
      <alignment horizontal="right" vertical="center"/>
    </xf>
    <xf numFmtId="0" fontId="6" fillId="0" borderId="0" xfId="0" applyFont="1" applyAlignment="1">
      <alignment horizontal="right" vertical="center"/>
    </xf>
    <xf numFmtId="0" fontId="6" fillId="0" borderId="0" xfId="0" applyFont="1" applyAlignment="1">
      <alignment horizontal="right" vertical="top"/>
    </xf>
    <xf numFmtId="0" fontId="12" fillId="0" borderId="0" xfId="0" applyFont="1" applyAlignment="1">
      <alignment vertical="center"/>
    </xf>
    <xf numFmtId="0" fontId="13" fillId="0" borderId="0" xfId="0" applyFont="1" applyAlignment="1">
      <alignment vertical="center"/>
    </xf>
    <xf numFmtId="0" fontId="14" fillId="0" borderId="0" xfId="0" applyFont="1" applyAlignment="1">
      <alignment horizontal="right" vertical="center"/>
    </xf>
    <xf numFmtId="0" fontId="12" fillId="0" borderId="0" xfId="0" applyFont="1" applyAlignment="1">
      <alignment horizontal="right" vertical="center"/>
    </xf>
    <xf numFmtId="0" fontId="3" fillId="0" borderId="0" xfId="93" applyFont="1" applyAlignment="1">
      <alignment horizontal="right"/>
    </xf>
    <xf numFmtId="0" fontId="2" fillId="0" borderId="0" xfId="0" applyFont="1" applyAlignment="1">
      <alignment vertical="center"/>
    </xf>
    <xf numFmtId="0" fontId="6" fillId="0" borderId="1" xfId="0" applyFont="1" applyBorder="1"/>
    <xf numFmtId="0" fontId="6" fillId="0" borderId="1" xfId="0" applyFont="1" applyBorder="1" applyAlignment="1">
      <alignment vertical="center"/>
    </xf>
    <xf numFmtId="0" fontId="6" fillId="0" borderId="0" xfId="99" applyNumberFormat="1" applyFont="1" applyAlignment="1">
      <alignment vertical="center"/>
    </xf>
    <xf numFmtId="0" fontId="8" fillId="0" borderId="0" xfId="99" applyNumberFormat="1" applyFont="1" applyAlignment="1">
      <alignment horizontal="right" vertical="center"/>
    </xf>
    <xf numFmtId="0" fontId="6" fillId="0" borderId="0" xfId="99" applyNumberFormat="1" applyFont="1" applyAlignment="1">
      <alignment horizontal="right" vertical="center"/>
    </xf>
    <xf numFmtId="166" fontId="3" fillId="0" borderId="0" xfId="3" applyFont="1" applyAlignment="1">
      <alignment horizontal="right" vertical="center"/>
    </xf>
    <xf numFmtId="166" fontId="2" fillId="0" borderId="0" xfId="3" applyFont="1" applyAlignment="1">
      <alignment horizontal="right" vertical="center"/>
    </xf>
    <xf numFmtId="166" fontId="6" fillId="0" borderId="0" xfId="3" applyFont="1" applyAlignment="1">
      <alignment horizontal="right" vertical="center"/>
    </xf>
    <xf numFmtId="166" fontId="5" fillId="0" borderId="0" xfId="3" applyFont="1" applyAlignment="1">
      <alignment horizontal="right" vertical="center"/>
    </xf>
    <xf numFmtId="166" fontId="6" fillId="0" borderId="1" xfId="100" applyFont="1" applyBorder="1" applyAlignment="1">
      <alignment vertical="center"/>
    </xf>
    <xf numFmtId="166" fontId="6" fillId="0" borderId="1" xfId="100" applyFont="1" applyBorder="1" applyAlignment="1">
      <alignment horizontal="right" vertical="center"/>
    </xf>
    <xf numFmtId="166" fontId="8" fillId="0" borderId="1" xfId="100" applyFont="1" applyBorder="1" applyAlignment="1">
      <alignment horizontal="right" vertical="center"/>
    </xf>
    <xf numFmtId="0" fontId="6" fillId="0" borderId="1" xfId="99" applyNumberFormat="1" applyFont="1" applyBorder="1" applyAlignment="1">
      <alignment vertical="center"/>
    </xf>
    <xf numFmtId="0" fontId="8" fillId="0" borderId="1" xfId="4" applyFont="1" applyBorder="1" applyAlignment="1">
      <alignment horizontal="left" vertical="center"/>
    </xf>
    <xf numFmtId="0" fontId="6" fillId="0" borderId="2" xfId="4" applyFont="1" applyBorder="1" applyAlignment="1">
      <alignment vertical="center"/>
    </xf>
    <xf numFmtId="174" fontId="8" fillId="0" borderId="1" xfId="101" applyNumberFormat="1" applyFont="1" applyBorder="1" applyAlignment="1">
      <alignment horizontal="center" vertical="center" wrapText="1"/>
    </xf>
    <xf numFmtId="174" fontId="8" fillId="0" borderId="1" xfId="101" applyNumberFormat="1" applyFont="1" applyBorder="1" applyAlignment="1">
      <alignment horizontal="right" vertical="top" wrapText="1"/>
    </xf>
    <xf numFmtId="174" fontId="6" fillId="0" borderId="1" xfId="101" applyNumberFormat="1" applyFont="1" applyBorder="1" applyAlignment="1">
      <alignment horizontal="right" vertical="top" wrapText="1"/>
    </xf>
    <xf numFmtId="174" fontId="6" fillId="0" borderId="2" xfId="101" applyNumberFormat="1" applyFont="1" applyBorder="1" applyAlignment="1">
      <alignment horizontal="right" vertical="top" wrapText="1"/>
    </xf>
    <xf numFmtId="0" fontId="6" fillId="0" borderId="2" xfId="99" applyNumberFormat="1" applyFont="1" applyBorder="1" applyAlignment="1">
      <alignment vertical="center"/>
    </xf>
    <xf numFmtId="0" fontId="6" fillId="0" borderId="0" xfId="99" applyNumberFormat="1" applyFont="1" applyAlignment="1">
      <alignment horizontal="center" vertical="center"/>
    </xf>
    <xf numFmtId="174" fontId="8" fillId="0" borderId="0" xfId="26" applyFont="1" applyAlignment="1">
      <alignment horizontal="left" vertical="center" wrapText="1"/>
    </xf>
    <xf numFmtId="174" fontId="8" fillId="0" borderId="0" xfId="26" applyFont="1" applyAlignment="1">
      <alignment vertical="center" wrapText="1"/>
    </xf>
    <xf numFmtId="177" fontId="6" fillId="0" borderId="0" xfId="26" applyNumberFormat="1" applyFont="1" applyAlignment="1">
      <alignment horizontal="right" vertical="center" wrapText="1"/>
    </xf>
    <xf numFmtId="177" fontId="8" fillId="0" borderId="0" xfId="99" applyNumberFormat="1" applyFont="1" applyAlignment="1">
      <alignment horizontal="right" vertical="center"/>
    </xf>
    <xf numFmtId="177" fontId="6" fillId="0" borderId="0" xfId="99" applyNumberFormat="1" applyFont="1" applyAlignment="1">
      <alignment horizontal="right" vertical="center"/>
    </xf>
    <xf numFmtId="166" fontId="8" fillId="0" borderId="0" xfId="102" applyFont="1" applyAlignment="1">
      <alignment horizontal="left" vertical="center" indent="1"/>
    </xf>
    <xf numFmtId="166" fontId="8" fillId="0" borderId="0" xfId="102" applyFont="1" applyAlignment="1">
      <alignment horizontal="left" vertical="center"/>
    </xf>
    <xf numFmtId="166" fontId="8" fillId="0" borderId="0" xfId="102" applyFont="1" applyAlignment="1">
      <alignment vertical="center"/>
    </xf>
    <xf numFmtId="177" fontId="6" fillId="0" borderId="0" xfId="102" applyNumberFormat="1" applyFont="1" applyAlignment="1">
      <alignment horizontal="right" vertical="center"/>
    </xf>
    <xf numFmtId="1" fontId="8" fillId="0" borderId="0" xfId="102" applyNumberFormat="1" applyFont="1" applyAlignment="1">
      <alignment horizontal="center" vertical="center"/>
    </xf>
    <xf numFmtId="177" fontId="6" fillId="0" borderId="0" xfId="0" applyNumberFormat="1" applyFont="1" applyAlignment="1">
      <alignment horizontal="right" vertical="center"/>
    </xf>
    <xf numFmtId="174" fontId="10" fillId="0" borderId="0" xfId="26" applyFont="1" applyAlignment="1">
      <alignment horizontal="left" vertical="center" indent="1"/>
    </xf>
    <xf numFmtId="174" fontId="10" fillId="0" borderId="0" xfId="26" applyFont="1" applyAlignment="1">
      <alignment horizontal="left" vertical="center"/>
    </xf>
    <xf numFmtId="166" fontId="6" fillId="0" borderId="0" xfId="102" applyFont="1" applyAlignment="1">
      <alignment vertical="center"/>
    </xf>
    <xf numFmtId="177" fontId="8" fillId="0" borderId="0" xfId="0" applyNumberFormat="1" applyFont="1" applyAlignment="1">
      <alignment horizontal="right" vertical="center"/>
    </xf>
    <xf numFmtId="0" fontId="8" fillId="0" borderId="0" xfId="103" applyFont="1" applyAlignment="1">
      <alignment horizontal="left" vertical="center"/>
    </xf>
    <xf numFmtId="177" fontId="6" fillId="0" borderId="0" xfId="0" applyNumberFormat="1" applyFont="1" applyAlignment="1">
      <alignment vertical="center"/>
    </xf>
    <xf numFmtId="0" fontId="10" fillId="0" borderId="0" xfId="103" applyFont="1" applyAlignment="1">
      <alignment horizontal="left" vertical="center"/>
    </xf>
    <xf numFmtId="174" fontId="8" fillId="0" borderId="0" xfId="26" applyFont="1" applyAlignment="1">
      <alignment horizontal="left" vertical="center"/>
    </xf>
    <xf numFmtId="182" fontId="10" fillId="0" borderId="0" xfId="105" applyFont="1" applyAlignment="1">
      <alignment horizontal="left" vertical="center"/>
    </xf>
    <xf numFmtId="182" fontId="10" fillId="0" borderId="0" xfId="105" applyFont="1" applyAlignment="1">
      <alignment horizontal="left" vertical="center" indent="1"/>
    </xf>
    <xf numFmtId="166" fontId="6" fillId="0" borderId="4" xfId="26" applyNumberFormat="1" applyFont="1" applyBorder="1" applyAlignment="1">
      <alignment vertical="center"/>
    </xf>
    <xf numFmtId="177" fontId="6" fillId="0" borderId="4" xfId="26" applyNumberFormat="1" applyFont="1" applyBorder="1" applyAlignment="1">
      <alignment horizontal="right" vertical="center"/>
    </xf>
    <xf numFmtId="177" fontId="8" fillId="0" borderId="4" xfId="26" applyNumberFormat="1" applyFont="1" applyBorder="1" applyAlignment="1">
      <alignment horizontal="right" vertical="center"/>
    </xf>
    <xf numFmtId="174" fontId="8" fillId="0" borderId="0" xfId="26" applyFont="1" applyAlignment="1">
      <alignment vertical="center"/>
    </xf>
    <xf numFmtId="174" fontId="8" fillId="0" borderId="0" xfId="26" applyFont="1" applyAlignment="1">
      <alignment horizontal="right" vertical="center"/>
    </xf>
    <xf numFmtId="0" fontId="13" fillId="0" borderId="0" xfId="99" applyNumberFormat="1" applyFont="1" applyAlignment="1">
      <alignment vertical="center"/>
    </xf>
    <xf numFmtId="3" fontId="12" fillId="0" borderId="0" xfId="0" applyNumberFormat="1" applyFont="1" applyAlignment="1">
      <alignment horizontal="right"/>
    </xf>
    <xf numFmtId="182" fontId="8" fillId="0" borderId="0" xfId="105" applyFont="1" applyAlignment="1">
      <alignment vertical="center"/>
    </xf>
    <xf numFmtId="0" fontId="14" fillId="0" borderId="0" xfId="99" applyNumberFormat="1" applyFont="1" applyAlignment="1">
      <alignment vertical="center"/>
    </xf>
    <xf numFmtId="0" fontId="8" fillId="0" borderId="0" xfId="99" quotePrefix="1" applyNumberFormat="1" applyFont="1" applyAlignment="1">
      <alignment vertical="center"/>
    </xf>
    <xf numFmtId="0" fontId="13" fillId="0" borderId="0" xfId="10" applyNumberFormat="1" applyFont="1" applyAlignment="1">
      <alignment horizontal="left" vertical="center"/>
    </xf>
    <xf numFmtId="3" fontId="8" fillId="0" borderId="0" xfId="0" applyNumberFormat="1" applyFont="1" applyAlignment="1">
      <alignment horizontal="right"/>
    </xf>
    <xf numFmtId="0" fontId="8" fillId="0" borderId="0" xfId="99" applyNumberFormat="1" applyFont="1" applyAlignment="1">
      <alignment vertical="center"/>
    </xf>
    <xf numFmtId="0" fontId="2" fillId="0" borderId="0" xfId="106" applyFont="1"/>
    <xf numFmtId="0" fontId="6" fillId="0" borderId="0" xfId="107" applyFont="1" applyAlignment="1">
      <alignment vertical="center"/>
    </xf>
    <xf numFmtId="0" fontId="2" fillId="0" borderId="0" xfId="108" applyFont="1"/>
    <xf numFmtId="0" fontId="6" fillId="0" borderId="1" xfId="107" applyFont="1" applyBorder="1" applyAlignment="1">
      <alignment vertical="center"/>
    </xf>
    <xf numFmtId="0" fontId="2" fillId="0" borderId="1" xfId="108" applyFont="1" applyBorder="1"/>
    <xf numFmtId="0" fontId="8" fillId="0" borderId="2" xfId="4" applyFont="1" applyBorder="1" applyAlignment="1">
      <alignment horizontal="left" vertical="center" wrapText="1"/>
    </xf>
    <xf numFmtId="168" fontId="8" fillId="0" borderId="2" xfId="109" applyNumberFormat="1" applyFont="1" applyBorder="1" applyAlignment="1">
      <alignment horizontal="right" vertical="center"/>
    </xf>
    <xf numFmtId="0" fontId="6" fillId="0" borderId="2" xfId="108" applyFont="1" applyBorder="1"/>
    <xf numFmtId="0" fontId="6" fillId="0" borderId="0" xfId="108" applyFont="1"/>
    <xf numFmtId="0" fontId="6" fillId="0" borderId="0" xfId="108" applyFont="1" applyAlignment="1">
      <alignment horizontal="center" vertical="center"/>
    </xf>
    <xf numFmtId="0" fontId="8" fillId="0" borderId="0" xfId="108" applyFont="1" applyAlignment="1">
      <alignment horizontal="center" vertical="center"/>
    </xf>
    <xf numFmtId="167" fontId="8" fillId="0" borderId="0" xfId="108" applyNumberFormat="1" applyFont="1" applyAlignment="1">
      <alignment horizontal="right" vertical="center"/>
    </xf>
    <xf numFmtId="0" fontId="6" fillId="0" borderId="0" xfId="108" applyFont="1" applyAlignment="1">
      <alignment vertical="center"/>
    </xf>
    <xf numFmtId="0" fontId="8" fillId="0" borderId="0" xfId="107" applyFont="1" applyAlignment="1">
      <alignment vertical="center"/>
    </xf>
    <xf numFmtId="0" fontId="10" fillId="0" borderId="0" xfId="107" applyFont="1" applyAlignment="1">
      <alignment vertical="center"/>
    </xf>
    <xf numFmtId="167" fontId="6" fillId="0" borderId="0" xfId="108" applyNumberFormat="1" applyFont="1" applyAlignment="1">
      <alignment horizontal="right" vertical="center"/>
    </xf>
    <xf numFmtId="0" fontId="6" fillId="0" borderId="0" xfId="108" applyFont="1" applyAlignment="1">
      <alignment horizontal="right" vertical="center"/>
    </xf>
    <xf numFmtId="0" fontId="8" fillId="0" borderId="0" xfId="108" applyFont="1" applyAlignment="1">
      <alignment vertical="center" wrapText="1"/>
    </xf>
    <xf numFmtId="0" fontId="8" fillId="0" borderId="0" xfId="108" applyFont="1" applyAlignment="1">
      <alignment vertical="center"/>
    </xf>
    <xf numFmtId="167" fontId="6" fillId="0" borderId="0" xfId="108" applyNumberFormat="1" applyFont="1" applyAlignment="1">
      <alignment horizontal="right" indent="1"/>
    </xf>
    <xf numFmtId="0" fontId="8" fillId="0" borderId="0" xfId="108" applyFont="1" applyAlignment="1">
      <alignment horizontal="left" vertical="center" indent="2"/>
    </xf>
    <xf numFmtId="3" fontId="6" fillId="0" borderId="0" xfId="108" applyNumberFormat="1" applyFont="1" applyAlignment="1">
      <alignment horizontal="right" vertical="center"/>
    </xf>
    <xf numFmtId="167" fontId="6" fillId="0" borderId="0" xfId="108" applyNumberFormat="1" applyFont="1" applyAlignment="1">
      <alignment horizontal="right" vertical="center" indent="1"/>
    </xf>
    <xf numFmtId="167" fontId="8" fillId="0" borderId="0" xfId="108" applyNumberFormat="1" applyFont="1" applyAlignment="1">
      <alignment horizontal="right" vertical="center" indent="1"/>
    </xf>
    <xf numFmtId="0" fontId="8" fillId="0" borderId="0" xfId="108" applyFont="1" applyAlignment="1">
      <alignment horizontal="left" vertical="center"/>
    </xf>
    <xf numFmtId="0" fontId="10" fillId="0" borderId="0" xfId="108" applyFont="1" applyAlignment="1">
      <alignment horizontal="left" vertical="center"/>
    </xf>
    <xf numFmtId="0" fontId="10" fillId="0" borderId="0" xfId="108" applyFont="1" applyAlignment="1">
      <alignment vertical="center"/>
    </xf>
    <xf numFmtId="0" fontId="6" fillId="0" borderId="0" xfId="108" applyFont="1" applyAlignment="1">
      <alignment horizontal="right" vertical="center" indent="1"/>
    </xf>
    <xf numFmtId="1" fontId="6" fillId="0" borderId="0" xfId="108" applyNumberFormat="1" applyFont="1" applyAlignment="1">
      <alignment horizontal="right" indent="1"/>
    </xf>
    <xf numFmtId="0" fontId="2" fillId="0" borderId="1" xfId="108" applyFont="1" applyBorder="1" applyAlignment="1">
      <alignment vertical="center"/>
    </xf>
    <xf numFmtId="0" fontId="6" fillId="0" borderId="1" xfId="108" applyFont="1" applyBorder="1" applyAlignment="1">
      <alignment vertical="center"/>
    </xf>
    <xf numFmtId="0" fontId="2" fillId="0" borderId="0" xfId="108" applyFont="1" applyAlignment="1">
      <alignment vertical="center"/>
    </xf>
    <xf numFmtId="0" fontId="13" fillId="0" borderId="0" xfId="108" applyFont="1" applyAlignment="1">
      <alignment vertical="center"/>
    </xf>
    <xf numFmtId="0" fontId="12" fillId="0" borderId="0" xfId="108" applyFont="1" applyAlignment="1">
      <alignment vertical="center"/>
    </xf>
    <xf numFmtId="0" fontId="2" fillId="0" borderId="0" xfId="111" applyFont="1"/>
    <xf numFmtId="0" fontId="3" fillId="0" borderId="0" xfId="111" applyFont="1" applyAlignment="1">
      <alignment horizontal="right" vertical="center"/>
    </xf>
    <xf numFmtId="0" fontId="5" fillId="0" borderId="0" xfId="111" applyFont="1" applyAlignment="1">
      <alignment horizontal="right" vertical="center"/>
    </xf>
    <xf numFmtId="0" fontId="2" fillId="0" borderId="0" xfId="111" applyFont="1" applyAlignment="1">
      <alignment vertical="center"/>
    </xf>
    <xf numFmtId="0" fontId="6" fillId="0" borderId="1" xfId="111" applyFont="1" applyBorder="1" applyAlignment="1">
      <alignment vertical="center"/>
    </xf>
    <xf numFmtId="0" fontId="6" fillId="0" borderId="0" xfId="111" applyFont="1" applyAlignment="1">
      <alignment vertical="center"/>
    </xf>
    <xf numFmtId="0" fontId="2" fillId="0" borderId="1" xfId="111" applyFont="1" applyBorder="1"/>
    <xf numFmtId="0" fontId="6" fillId="0" borderId="1" xfId="111" applyFont="1" applyBorder="1"/>
    <xf numFmtId="0" fontId="6" fillId="0" borderId="0" xfId="111" applyFont="1"/>
    <xf numFmtId="0" fontId="6" fillId="0" borderId="0" xfId="111" applyFont="1" applyAlignment="1">
      <alignment horizontal="center" vertical="center"/>
    </xf>
    <xf numFmtId="0" fontId="8" fillId="0" borderId="0" xfId="111" applyFont="1" applyAlignment="1">
      <alignment horizontal="center" vertical="center"/>
    </xf>
    <xf numFmtId="167" fontId="8" fillId="0" borderId="0" xfId="111" applyNumberFormat="1" applyFont="1" applyAlignment="1">
      <alignment horizontal="right" vertical="center"/>
    </xf>
    <xf numFmtId="3" fontId="8" fillId="0" borderId="0" xfId="111" applyNumberFormat="1" applyFont="1" applyAlignment="1">
      <alignment horizontal="right" vertical="center"/>
    </xf>
    <xf numFmtId="0" fontId="10" fillId="0" borderId="0" xfId="111" applyFont="1" applyAlignment="1">
      <alignment vertical="center"/>
    </xf>
    <xf numFmtId="167" fontId="6" fillId="0" borderId="0" xfId="111" applyNumberFormat="1" applyFont="1" applyAlignment="1">
      <alignment horizontal="right" vertical="center"/>
    </xf>
    <xf numFmtId="0" fontId="6" fillId="0" borderId="0" xfId="111" applyFont="1" applyAlignment="1">
      <alignment horizontal="right" vertical="center"/>
    </xf>
    <xf numFmtId="0" fontId="8" fillId="0" borderId="0" xfId="111" applyFont="1" applyAlignment="1">
      <alignment vertical="center" wrapText="1"/>
    </xf>
    <xf numFmtId="167" fontId="6" fillId="0" borderId="0" xfId="111" applyNumberFormat="1" applyFont="1" applyAlignment="1">
      <alignment horizontal="right" indent="1"/>
    </xf>
    <xf numFmtId="0" fontId="8" fillId="0" borderId="0" xfId="111" applyFont="1" applyAlignment="1">
      <alignment horizontal="left" vertical="center" indent="2"/>
    </xf>
    <xf numFmtId="3" fontId="6" fillId="0" borderId="0" xfId="111" applyNumberFormat="1" applyFont="1" applyAlignment="1">
      <alignment horizontal="right" vertical="center"/>
    </xf>
    <xf numFmtId="167" fontId="6" fillId="0" borderId="0" xfId="111" applyNumberFormat="1" applyFont="1" applyAlignment="1">
      <alignment horizontal="right" vertical="center" indent="1"/>
    </xf>
    <xf numFmtId="0" fontId="8" fillId="0" borderId="0" xfId="111" applyFont="1" applyAlignment="1">
      <alignment vertical="center"/>
    </xf>
    <xf numFmtId="169" fontId="6" fillId="0" borderId="0" xfId="111" applyNumberFormat="1" applyFont="1" applyAlignment="1">
      <alignment vertical="center"/>
    </xf>
    <xf numFmtId="0" fontId="8" fillId="0" borderId="0" xfId="111" applyFont="1" applyAlignment="1">
      <alignment horizontal="left" vertical="center"/>
    </xf>
    <xf numFmtId="0" fontId="10" fillId="0" borderId="0" xfId="111" applyFont="1" applyAlignment="1">
      <alignment horizontal="left" vertical="center"/>
    </xf>
    <xf numFmtId="0" fontId="6" fillId="0" borderId="0" xfId="111" applyFont="1" applyAlignment="1">
      <alignment horizontal="right" vertical="center" indent="1"/>
    </xf>
    <xf numFmtId="169" fontId="6" fillId="0" borderId="0" xfId="112" applyNumberFormat="1" applyFont="1" applyFill="1" applyAlignment="1">
      <alignment vertical="center"/>
    </xf>
    <xf numFmtId="1" fontId="6" fillId="0" borderId="0" xfId="111" applyNumberFormat="1" applyFont="1" applyAlignment="1">
      <alignment horizontal="right" indent="1"/>
    </xf>
    <xf numFmtId="167" fontId="6" fillId="0" borderId="0" xfId="111" applyNumberFormat="1" applyFont="1" applyAlignment="1">
      <alignment vertical="center"/>
    </xf>
    <xf numFmtId="0" fontId="2" fillId="0" borderId="1" xfId="111" applyFont="1" applyBorder="1" applyAlignment="1">
      <alignment vertical="center"/>
    </xf>
    <xf numFmtId="0" fontId="13" fillId="0" borderId="0" xfId="111" applyFont="1" applyAlignment="1">
      <alignment vertical="center"/>
    </xf>
    <xf numFmtId="0" fontId="12" fillId="0" borderId="0" xfId="111" applyFont="1" applyAlignment="1">
      <alignment vertical="center"/>
    </xf>
    <xf numFmtId="174" fontId="8" fillId="0" borderId="2" xfId="101" applyNumberFormat="1" applyFont="1" applyBorder="1" applyAlignment="1">
      <alignment horizontal="center" vertical="center" wrapText="1"/>
    </xf>
    <xf numFmtId="0" fontId="6" fillId="0" borderId="2" xfId="0" applyFont="1" applyBorder="1"/>
    <xf numFmtId="174" fontId="8" fillId="0" borderId="2" xfId="101" applyNumberFormat="1" applyFont="1" applyBorder="1" applyAlignment="1">
      <alignment horizontal="right" vertical="center" wrapText="1"/>
    </xf>
    <xf numFmtId="0" fontId="6" fillId="0" borderId="3" xfId="0" applyFont="1" applyBorder="1"/>
    <xf numFmtId="0" fontId="6" fillId="0" borderId="3" xfId="0" applyFont="1" applyBorder="1" applyAlignment="1">
      <alignment horizontal="center" vertical="center"/>
    </xf>
    <xf numFmtId="167" fontId="6" fillId="0" borderId="0" xfId="0" applyNumberFormat="1" applyFont="1" applyAlignment="1">
      <alignment horizontal="right" indent="1"/>
    </xf>
    <xf numFmtId="0" fontId="8" fillId="0" borderId="0" xfId="0" applyFont="1" applyAlignment="1">
      <alignment horizontal="left" vertical="center" indent="1"/>
    </xf>
    <xf numFmtId="167" fontId="6" fillId="0" borderId="0" xfId="0" applyNumberFormat="1" applyFont="1" applyAlignment="1">
      <alignment horizontal="right" vertical="center" indent="1"/>
    </xf>
    <xf numFmtId="167" fontId="8" fillId="0" borderId="0" xfId="0" applyNumberFormat="1" applyFont="1" applyAlignment="1">
      <alignment horizontal="right" vertical="center" indent="1"/>
    </xf>
    <xf numFmtId="169" fontId="6" fillId="0" borderId="0" xfId="0" applyNumberFormat="1" applyFont="1" applyAlignment="1">
      <alignment vertical="center"/>
    </xf>
    <xf numFmtId="0" fontId="10" fillId="0" borderId="0" xfId="0" applyFont="1" applyAlignment="1">
      <alignment horizontal="left" vertical="center" indent="1"/>
    </xf>
    <xf numFmtId="0" fontId="6" fillId="0" borderId="0" xfId="0" applyFont="1" applyAlignment="1">
      <alignment horizontal="right" vertical="center" indent="1"/>
    </xf>
    <xf numFmtId="1" fontId="6" fillId="0" borderId="0" xfId="0" applyNumberFormat="1" applyFont="1" applyAlignment="1">
      <alignment horizontal="right" indent="1"/>
    </xf>
    <xf numFmtId="0" fontId="2" fillId="0" borderId="1" xfId="0" applyFont="1" applyBorder="1" applyAlignment="1">
      <alignment vertical="center"/>
    </xf>
    <xf numFmtId="0" fontId="6" fillId="0" borderId="0" xfId="113" applyFont="1" applyAlignment="1">
      <alignment vertical="center"/>
    </xf>
    <xf numFmtId="0" fontId="6" fillId="0" borderId="0" xfId="113" applyFont="1" applyAlignment="1">
      <alignment horizontal="right" vertical="center"/>
    </xf>
    <xf numFmtId="166" fontId="8" fillId="0" borderId="0" xfId="3" applyFont="1">
      <alignment vertical="center"/>
    </xf>
    <xf numFmtId="166" fontId="6" fillId="0" borderId="0" xfId="114" applyFont="1" applyAlignment="1">
      <alignment vertical="center"/>
    </xf>
    <xf numFmtId="166" fontId="6" fillId="0" borderId="1" xfId="114" applyFont="1" applyBorder="1" applyAlignment="1">
      <alignment vertical="center"/>
    </xf>
    <xf numFmtId="166" fontId="6" fillId="0" borderId="1" xfId="114" applyFont="1" applyBorder="1" applyAlignment="1">
      <alignment horizontal="right" vertical="center"/>
    </xf>
    <xf numFmtId="166" fontId="8" fillId="0" borderId="1" xfId="114" applyFont="1" applyBorder="1" applyAlignment="1">
      <alignment horizontal="right" vertical="center"/>
    </xf>
    <xf numFmtId="166" fontId="8" fillId="0" borderId="0" xfId="114" applyFont="1" applyAlignment="1">
      <alignment horizontal="right" vertical="center"/>
    </xf>
    <xf numFmtId="0" fontId="6" fillId="0" borderId="2" xfId="113" applyFont="1" applyBorder="1" applyAlignment="1">
      <alignment vertical="center"/>
    </xf>
    <xf numFmtId="174" fontId="8" fillId="0" borderId="2" xfId="101" applyNumberFormat="1" applyFont="1" applyBorder="1" applyAlignment="1">
      <alignment horizontal="center" vertical="top" wrapText="1"/>
    </xf>
    <xf numFmtId="177" fontId="6" fillId="0" borderId="0" xfId="100" applyNumberFormat="1" applyFont="1" applyAlignment="1">
      <alignment horizontal="right" vertical="center"/>
    </xf>
    <xf numFmtId="174" fontId="8" fillId="0" borderId="0" xfId="101" applyNumberFormat="1" applyFont="1" applyAlignment="1">
      <alignment horizontal="center" vertical="top" wrapText="1"/>
    </xf>
    <xf numFmtId="0" fontId="8" fillId="0" borderId="0" xfId="113" applyFont="1" applyAlignment="1">
      <alignment vertical="center"/>
    </xf>
    <xf numFmtId="0" fontId="8" fillId="0" borderId="0" xfId="115" applyFont="1" applyAlignment="1">
      <alignment horizontal="left" vertical="center"/>
    </xf>
    <xf numFmtId="166" fontId="8" fillId="0" borderId="0" xfId="116" applyFont="1" applyAlignment="1">
      <alignment vertical="center"/>
    </xf>
    <xf numFmtId="3" fontId="8" fillId="0" borderId="0" xfId="117" applyNumberFormat="1" applyFont="1" applyFill="1" applyBorder="1" applyAlignment="1" applyProtection="1">
      <alignment horizontal="right" vertical="center"/>
    </xf>
    <xf numFmtId="0" fontId="10" fillId="0" borderId="0" xfId="115" applyFont="1" applyAlignment="1">
      <alignment horizontal="left" vertical="center"/>
    </xf>
    <xf numFmtId="166" fontId="6" fillId="0" borderId="0" xfId="116" applyFont="1" applyAlignment="1">
      <alignment vertical="center"/>
    </xf>
    <xf numFmtId="177" fontId="6" fillId="0" borderId="0" xfId="116" applyNumberFormat="1" applyFont="1" applyAlignment="1">
      <alignment horizontal="right" vertical="center"/>
    </xf>
    <xf numFmtId="177" fontId="6" fillId="0" borderId="0" xfId="26" applyNumberFormat="1" applyFont="1" applyAlignment="1">
      <alignment horizontal="right" vertical="center"/>
    </xf>
    <xf numFmtId="3" fontId="6" fillId="0" borderId="0" xfId="26" applyNumberFormat="1" applyFont="1" applyAlignment="1">
      <alignment horizontal="right" vertical="center"/>
    </xf>
    <xf numFmtId="0" fontId="10" fillId="0" borderId="0" xfId="115" applyFont="1" applyAlignment="1">
      <alignment vertical="center"/>
    </xf>
    <xf numFmtId="0" fontId="8" fillId="0" borderId="0" xfId="115" applyFont="1" applyAlignment="1">
      <alignment horizontal="left" vertical="center" indent="2"/>
    </xf>
    <xf numFmtId="0" fontId="6" fillId="0" borderId="0" xfId="113" applyFont="1" applyAlignment="1">
      <alignment horizontal="left" vertical="center" indent="2"/>
    </xf>
    <xf numFmtId="177" fontId="6" fillId="0" borderId="0" xfId="113" applyNumberFormat="1" applyFont="1" applyAlignment="1">
      <alignment horizontal="right" vertical="center"/>
    </xf>
    <xf numFmtId="182" fontId="10" fillId="0" borderId="0" xfId="105" applyFont="1" applyAlignment="1">
      <alignment horizontal="left" vertical="center" indent="3"/>
    </xf>
    <xf numFmtId="0" fontId="8" fillId="0" borderId="0" xfId="115" applyFont="1" applyAlignment="1">
      <alignment horizontal="left" vertical="center" indent="1"/>
    </xf>
    <xf numFmtId="3" fontId="8" fillId="0" borderId="0" xfId="26" applyNumberFormat="1" applyFont="1" applyAlignment="1">
      <alignment horizontal="right" vertical="center"/>
    </xf>
    <xf numFmtId="0" fontId="6" fillId="0" borderId="0" xfId="113" applyFont="1" applyAlignment="1">
      <alignment horizontal="left" vertical="center" indent="1"/>
    </xf>
    <xf numFmtId="182" fontId="10" fillId="0" borderId="0" xfId="105" applyFont="1" applyAlignment="1">
      <alignment vertical="center"/>
    </xf>
    <xf numFmtId="166" fontId="6" fillId="0" borderId="4" xfId="26" applyNumberFormat="1" applyFont="1" applyBorder="1" applyAlignment="1">
      <alignment horizontal="right" vertical="center"/>
    </xf>
    <xf numFmtId="3" fontId="6" fillId="0" borderId="4" xfId="26" applyNumberFormat="1" applyFont="1" applyBorder="1" applyAlignment="1">
      <alignment horizontal="right" vertical="center"/>
    </xf>
    <xf numFmtId="0" fontId="12" fillId="0" borderId="0" xfId="115" applyFont="1" applyAlignment="1">
      <alignment vertical="center"/>
    </xf>
    <xf numFmtId="0" fontId="12" fillId="0" borderId="0" xfId="113" applyFont="1" applyAlignment="1">
      <alignment horizontal="right" vertical="center"/>
    </xf>
    <xf numFmtId="0" fontId="13" fillId="0" borderId="0" xfId="114" applyNumberFormat="1" applyFont="1" applyAlignment="1">
      <alignment horizontal="right" vertical="center"/>
    </xf>
    <xf numFmtId="0" fontId="12" fillId="0" borderId="0" xfId="115" applyFont="1" applyAlignment="1">
      <alignment horizontal="right" vertical="center"/>
    </xf>
    <xf numFmtId="0" fontId="14" fillId="0" borderId="0" xfId="114" applyNumberFormat="1" applyFont="1" applyAlignment="1">
      <alignment horizontal="right" vertical="center"/>
    </xf>
    <xf numFmtId="0" fontId="2" fillId="0" borderId="1" xfId="0" applyFont="1" applyBorder="1" applyAlignment="1">
      <alignment horizontal="right"/>
    </xf>
    <xf numFmtId="0" fontId="6" fillId="0" borderId="1" xfId="111" applyFont="1" applyBorder="1" applyAlignment="1">
      <alignment horizontal="right"/>
    </xf>
    <xf numFmtId="0" fontId="8" fillId="0" borderId="1" xfId="118" applyFont="1" applyBorder="1" applyAlignment="1">
      <alignment vertical="center"/>
    </xf>
    <xf numFmtId="0" fontId="6" fillId="0" borderId="0" xfId="58" applyFont="1">
      <alignment vertical="center"/>
    </xf>
    <xf numFmtId="0" fontId="6" fillId="0" borderId="0" xfId="58" applyFont="1" applyAlignment="1">
      <alignment horizontal="center" vertical="center"/>
    </xf>
    <xf numFmtId="0" fontId="8" fillId="0" borderId="0" xfId="58" applyFont="1">
      <alignment vertical="center"/>
    </xf>
    <xf numFmtId="0" fontId="8" fillId="0" borderId="0" xfId="58" applyFont="1" applyAlignment="1">
      <alignment horizontal="right" vertical="center"/>
    </xf>
    <xf numFmtId="167" fontId="6" fillId="0" borderId="0" xfId="58" applyNumberFormat="1" applyFont="1" applyAlignment="1">
      <alignment horizontal="right" vertical="center" indent="1"/>
    </xf>
    <xf numFmtId="0" fontId="6" fillId="0" borderId="0" xfId="58" applyFont="1" applyAlignment="1">
      <alignment horizontal="right" vertical="center" indent="1"/>
    </xf>
    <xf numFmtId="0" fontId="10" fillId="0" borderId="0" xfId="58" applyFont="1">
      <alignment vertical="center"/>
    </xf>
    <xf numFmtId="0" fontId="8" fillId="0" borderId="0" xfId="58" applyFont="1" applyAlignment="1">
      <alignment horizontal="left" vertical="center" indent="2"/>
    </xf>
    <xf numFmtId="0" fontId="6" fillId="0" borderId="4" xfId="111" applyFont="1" applyBorder="1"/>
    <xf numFmtId="0" fontId="6" fillId="0" borderId="4" xfId="58" applyFont="1" applyBorder="1">
      <alignment vertical="center"/>
    </xf>
    <xf numFmtId="0" fontId="6" fillId="0" borderId="4" xfId="58" applyFont="1" applyBorder="1" applyAlignment="1">
      <alignment horizontal="right" vertical="center"/>
    </xf>
    <xf numFmtId="0" fontId="6" fillId="0" borderId="4" xfId="0" applyFont="1" applyBorder="1"/>
    <xf numFmtId="0" fontId="13" fillId="0" borderId="0" xfId="119" applyFont="1"/>
    <xf numFmtId="174" fontId="12" fillId="0" borderId="0" xfId="0" applyNumberFormat="1" applyFont="1"/>
    <xf numFmtId="0" fontId="12" fillId="0" borderId="0" xfId="120" applyFont="1" applyAlignment="1">
      <alignment vertical="center"/>
    </xf>
    <xf numFmtId="0" fontId="13" fillId="0" borderId="0" xfId="111" applyFont="1" applyAlignment="1">
      <alignment horizontal="right" vertical="center"/>
    </xf>
    <xf numFmtId="174" fontId="14" fillId="0" borderId="0" xfId="121" applyNumberFormat="1" applyFont="1" applyAlignment="1">
      <alignment horizontal="left" vertical="top" indent="1"/>
    </xf>
    <xf numFmtId="0" fontId="14" fillId="0" borderId="0" xfId="111" applyFont="1" applyAlignment="1">
      <alignment horizontal="right" vertical="center"/>
    </xf>
    <xf numFmtId="0" fontId="13" fillId="0" borderId="0" xfId="0" applyFont="1"/>
    <xf numFmtId="0" fontId="13" fillId="0" borderId="0" xfId="122" applyFont="1" applyAlignment="1">
      <alignment vertical="center"/>
    </xf>
    <xf numFmtId="0" fontId="13" fillId="0" borderId="0" xfId="0" quotePrefix="1" applyFont="1" applyAlignment="1">
      <alignment vertical="top"/>
    </xf>
    <xf numFmtId="0" fontId="14" fillId="0" borderId="0" xfId="0" applyFont="1" applyAlignment="1">
      <alignment horizontal="justify" vertical="top" wrapText="1"/>
    </xf>
    <xf numFmtId="0" fontId="14" fillId="0" borderId="0" xfId="0" applyFont="1" applyAlignment="1">
      <alignment horizontal="right" vertical="top" wrapText="1"/>
    </xf>
    <xf numFmtId="0" fontId="13" fillId="0" borderId="0" xfId="0" applyFont="1" applyAlignment="1">
      <alignment vertical="top"/>
    </xf>
    <xf numFmtId="0" fontId="13" fillId="0" borderId="0" xfId="0" applyFont="1" applyAlignment="1">
      <alignment horizontal="right" vertical="top"/>
    </xf>
    <xf numFmtId="0" fontId="2" fillId="0" borderId="0" xfId="111" applyFont="1" applyAlignment="1">
      <alignment horizontal="right"/>
    </xf>
    <xf numFmtId="0" fontId="3" fillId="0" borderId="0" xfId="100" applyNumberFormat="1" applyFont="1"/>
    <xf numFmtId="0" fontId="2" fillId="0" borderId="0" xfId="100" applyNumberFormat="1" applyFont="1"/>
    <xf numFmtId="0" fontId="5" fillId="0" borderId="0" xfId="100" applyNumberFormat="1" applyFont="1"/>
    <xf numFmtId="0" fontId="6" fillId="0" borderId="1" xfId="111" applyFont="1" applyBorder="1" applyAlignment="1">
      <alignment horizontal="right" vertical="center"/>
    </xf>
    <xf numFmtId="0" fontId="8" fillId="0" borderId="1" xfId="120" applyFont="1" applyBorder="1" applyAlignment="1">
      <alignment vertical="center"/>
    </xf>
    <xf numFmtId="0" fontId="6" fillId="0" borderId="2" xfId="100" applyNumberFormat="1" applyFont="1" applyBorder="1"/>
    <xf numFmtId="0" fontId="6" fillId="0" borderId="0" xfId="100" applyNumberFormat="1" applyFont="1"/>
    <xf numFmtId="0" fontId="6" fillId="0" borderId="0" xfId="120" applyFont="1" applyAlignment="1">
      <alignment horizontal="center" vertical="center"/>
    </xf>
    <xf numFmtId="0" fontId="8" fillId="0" borderId="0" xfId="120" applyFont="1" applyAlignment="1">
      <alignment horizontal="center" vertical="center"/>
    </xf>
    <xf numFmtId="0" fontId="8" fillId="0" borderId="0" xfId="120" applyFont="1" applyAlignment="1">
      <alignment horizontal="right" vertical="center"/>
    </xf>
    <xf numFmtId="0" fontId="8" fillId="0" borderId="0" xfId="120" applyFont="1" applyAlignment="1">
      <alignment vertical="center"/>
    </xf>
    <xf numFmtId="0" fontId="6" fillId="0" borderId="0" xfId="120" applyFont="1" applyAlignment="1">
      <alignment vertical="center"/>
    </xf>
    <xf numFmtId="0" fontId="10" fillId="0" borderId="0" xfId="120" applyFont="1" applyAlignment="1">
      <alignment vertical="center"/>
    </xf>
    <xf numFmtId="0" fontId="10" fillId="0" borderId="0" xfId="120" applyFont="1" applyAlignment="1">
      <alignment horizontal="left" vertical="center" indent="1"/>
    </xf>
    <xf numFmtId="167" fontId="6" fillId="0" borderId="0" xfId="120" applyNumberFormat="1" applyFont="1" applyAlignment="1">
      <alignment horizontal="right" vertical="center" indent="1"/>
    </xf>
    <xf numFmtId="0" fontId="8" fillId="0" borderId="0" xfId="111" applyFont="1" applyAlignment="1">
      <alignment horizontal="left" vertical="center" indent="1"/>
    </xf>
    <xf numFmtId="173" fontId="6" fillId="0" borderId="0" xfId="109" applyNumberFormat="1" applyFont="1" applyFill="1" applyBorder="1" applyAlignment="1">
      <alignment vertical="center"/>
    </xf>
    <xf numFmtId="0" fontId="6" fillId="0" borderId="0" xfId="123" applyNumberFormat="1" applyFont="1" applyFill="1" applyBorder="1" applyAlignment="1">
      <alignment horizontal="right" vertical="center"/>
    </xf>
    <xf numFmtId="0" fontId="10" fillId="0" borderId="0" xfId="111" applyFont="1" applyAlignment="1">
      <alignment horizontal="left" vertical="center" indent="2"/>
    </xf>
    <xf numFmtId="0" fontId="10" fillId="0" borderId="0" xfId="111" applyFont="1" applyAlignment="1">
      <alignment horizontal="left" vertical="center" indent="1"/>
    </xf>
    <xf numFmtId="0" fontId="6" fillId="0" borderId="0" xfId="111" applyFont="1" applyAlignment="1">
      <alignment horizontal="right"/>
    </xf>
    <xf numFmtId="173" fontId="6" fillId="0" borderId="0" xfId="123" applyNumberFormat="1" applyFont="1" applyFill="1" applyBorder="1" applyAlignment="1">
      <alignment vertical="center"/>
    </xf>
    <xf numFmtId="169" fontId="6" fillId="0" borderId="0" xfId="123" applyNumberFormat="1" applyFont="1" applyFill="1" applyBorder="1" applyAlignment="1">
      <alignment horizontal="right" vertical="center"/>
    </xf>
    <xf numFmtId="173" fontId="6" fillId="0" borderId="0" xfId="123" applyNumberFormat="1" applyFont="1" applyFill="1" applyAlignment="1">
      <alignment vertical="center"/>
    </xf>
    <xf numFmtId="0" fontId="6" fillId="0" borderId="4" xfId="111" applyFont="1" applyBorder="1" applyAlignment="1">
      <alignment vertical="center"/>
    </xf>
    <xf numFmtId="0" fontId="6" fillId="0" borderId="4" xfId="120" applyFont="1" applyBorder="1" applyAlignment="1">
      <alignment vertical="center"/>
    </xf>
    <xf numFmtId="0" fontId="6" fillId="0" borderId="4" xfId="120" applyFont="1" applyBorder="1" applyAlignment="1">
      <alignment horizontal="right" vertical="center"/>
    </xf>
    <xf numFmtId="0" fontId="2" fillId="0" borderId="4" xfId="111" applyFont="1" applyBorder="1"/>
    <xf numFmtId="0" fontId="14" fillId="0" borderId="4" xfId="111" applyFont="1" applyBorder="1"/>
    <xf numFmtId="0" fontId="12" fillId="0" borderId="0" xfId="111" applyFont="1" applyAlignment="1">
      <alignment horizontal="right"/>
    </xf>
    <xf numFmtId="0" fontId="12" fillId="0" borderId="0" xfId="111" applyFont="1"/>
    <xf numFmtId="0" fontId="80" fillId="0" borderId="0" xfId="58" applyFont="1">
      <alignment vertical="center"/>
    </xf>
    <xf numFmtId="0" fontId="12" fillId="0" borderId="0" xfId="58" applyFont="1">
      <alignment vertical="center"/>
    </xf>
    <xf numFmtId="0" fontId="12" fillId="0" borderId="0" xfId="58" applyFont="1" applyAlignment="1">
      <alignment horizontal="right" vertical="center"/>
    </xf>
    <xf numFmtId="0" fontId="12" fillId="0" borderId="0" xfId="124" applyFont="1" applyAlignment="1">
      <alignment vertical="center"/>
    </xf>
    <xf numFmtId="49" fontId="12" fillId="0" borderId="0" xfId="0" applyNumberFormat="1" applyFont="1" applyAlignment="1">
      <alignment vertical="center"/>
    </xf>
    <xf numFmtId="0" fontId="12" fillId="0" borderId="0" xfId="0" applyFont="1" applyAlignment="1">
      <alignment horizontal="right" vertical="top"/>
    </xf>
    <xf numFmtId="0" fontId="12" fillId="0" borderId="0" xfId="124" applyFont="1"/>
    <xf numFmtId="0" fontId="2" fillId="0" borderId="0" xfId="124" applyFont="1"/>
    <xf numFmtId="0" fontId="14" fillId="0" borderId="0" xfId="111" applyFont="1"/>
    <xf numFmtId="49" fontId="14" fillId="0" borderId="0" xfId="0" applyNumberFormat="1" applyFont="1" applyAlignment="1">
      <alignment vertical="center" wrapText="1"/>
    </xf>
    <xf numFmtId="49" fontId="14" fillId="0" borderId="0" xfId="0" applyNumberFormat="1" applyFont="1" applyAlignment="1">
      <alignment horizontal="right" vertical="center" wrapText="1"/>
    </xf>
    <xf numFmtId="174" fontId="86" fillId="0" borderId="0" xfId="100" applyNumberFormat="1" applyFont="1"/>
    <xf numFmtId="0" fontId="8" fillId="0" borderId="0" xfId="100" applyNumberFormat="1" applyFont="1"/>
    <xf numFmtId="0" fontId="6" fillId="0" borderId="0" xfId="100" applyNumberFormat="1" applyFont="1" applyAlignment="1">
      <alignment horizontal="center" vertical="top"/>
    </xf>
    <xf numFmtId="0" fontId="13" fillId="0" borderId="0" xfId="100" applyNumberFormat="1" applyFont="1"/>
    <xf numFmtId="174" fontId="8" fillId="0" borderId="0" xfId="27" applyNumberFormat="1" applyFont="1"/>
    <xf numFmtId="174" fontId="14" fillId="0" borderId="0" xfId="100" applyNumberFormat="1" applyFont="1" applyAlignment="1">
      <alignment vertical="top"/>
    </xf>
    <xf numFmtId="174" fontId="6" fillId="0" borderId="0" xfId="27" applyNumberFormat="1" applyFont="1"/>
    <xf numFmtId="174" fontId="14" fillId="0" borderId="0" xfId="100" applyNumberFormat="1" applyFont="1"/>
    <xf numFmtId="0" fontId="3" fillId="0" borderId="0" xfId="100" applyNumberFormat="1" applyFont="1" applyAlignment="1">
      <alignment horizontal="left" vertical="center"/>
    </xf>
    <xf numFmtId="0" fontId="5" fillId="0" borderId="0" xfId="100" applyNumberFormat="1" applyFont="1" applyAlignment="1">
      <alignment horizontal="left" vertical="center"/>
    </xf>
    <xf numFmtId="0" fontId="6" fillId="0" borderId="1" xfId="125" applyFont="1" applyBorder="1"/>
    <xf numFmtId="0" fontId="6" fillId="0" borderId="1" xfId="125" applyFont="1" applyBorder="1" applyAlignment="1">
      <alignment horizontal="right"/>
    </xf>
    <xf numFmtId="0" fontId="8" fillId="0" borderId="2" xfId="126" applyFont="1" applyBorder="1" applyAlignment="1">
      <alignment vertical="center"/>
    </xf>
    <xf numFmtId="0" fontId="8" fillId="0" borderId="0" xfId="126" applyFont="1" applyAlignment="1">
      <alignment horizontal="center" vertical="center"/>
    </xf>
    <xf numFmtId="0" fontId="8" fillId="0" borderId="0" xfId="126" applyFont="1" applyAlignment="1">
      <alignment horizontal="right" vertical="center"/>
    </xf>
    <xf numFmtId="0" fontId="8" fillId="0" borderId="0" xfId="126" applyFont="1" applyAlignment="1">
      <alignment vertical="center"/>
    </xf>
    <xf numFmtId="167" fontId="6" fillId="0" borderId="0" xfId="126" applyNumberFormat="1" applyFont="1" applyAlignment="1">
      <alignment horizontal="right" vertical="center" indent="1"/>
    </xf>
    <xf numFmtId="4" fontId="6" fillId="0" borderId="0" xfId="126" applyNumberFormat="1" applyFont="1" applyAlignment="1">
      <alignment horizontal="left"/>
    </xf>
    <xf numFmtId="0" fontId="10" fillId="0" borderId="0" xfId="126" applyFont="1" applyAlignment="1">
      <alignment vertical="center"/>
    </xf>
    <xf numFmtId="0" fontId="10" fillId="0" borderId="0" xfId="126" applyFont="1" applyAlignment="1">
      <alignment vertical="center" wrapText="1"/>
    </xf>
    <xf numFmtId="0" fontId="8" fillId="0" borderId="0" xfId="126" applyFont="1" applyAlignment="1">
      <alignment horizontal="left" vertical="center" indent="2"/>
    </xf>
    <xf numFmtId="0" fontId="6" fillId="0" borderId="0" xfId="125" applyFont="1" applyAlignment="1">
      <alignment vertical="center"/>
    </xf>
    <xf numFmtId="3" fontId="6" fillId="0" borderId="0" xfId="26" applyNumberFormat="1" applyFont="1" applyAlignment="1">
      <alignment vertical="center"/>
    </xf>
    <xf numFmtId="0" fontId="10" fillId="0" borderId="0" xfId="126" applyFont="1" applyAlignment="1">
      <alignment horizontal="left" vertical="center" indent="2"/>
    </xf>
    <xf numFmtId="167" fontId="6" fillId="0" borderId="0" xfId="127" applyNumberFormat="1" applyFont="1" applyFill="1" applyAlignment="1">
      <alignment horizontal="right" vertical="center" wrapText="1"/>
    </xf>
    <xf numFmtId="0" fontId="10" fillId="0" borderId="0" xfId="126" applyFont="1" applyAlignment="1">
      <alignment horizontal="left" vertical="center" indent="1"/>
    </xf>
    <xf numFmtId="177" fontId="6" fillId="0" borderId="0" xfId="128" applyNumberFormat="1" applyFont="1" applyFill="1" applyBorder="1" applyAlignment="1" applyProtection="1">
      <alignment vertical="center" wrapText="1"/>
    </xf>
    <xf numFmtId="177" fontId="6" fillId="0" borderId="0" xfId="128" applyNumberFormat="1" applyFont="1" applyFill="1" applyAlignment="1">
      <alignment horizontal="right" vertical="center" wrapText="1"/>
    </xf>
    <xf numFmtId="183" fontId="6" fillId="0" borderId="0" xfId="127" applyNumberFormat="1" applyFont="1" applyFill="1" applyAlignment="1">
      <alignment horizontal="right" vertical="center" wrapText="1"/>
    </xf>
    <xf numFmtId="0" fontId="8" fillId="0" borderId="0" xfId="126" applyFont="1" applyAlignment="1">
      <alignment horizontal="left" vertical="center" indent="1"/>
    </xf>
    <xf numFmtId="177" fontId="6" fillId="0" borderId="0" xfId="128" applyNumberFormat="1" applyFont="1" applyFill="1" applyBorder="1" applyAlignment="1">
      <alignment horizontal="right" vertical="center" wrapText="1"/>
    </xf>
    <xf numFmtId="184" fontId="6" fillId="0" borderId="0" xfId="109" applyNumberFormat="1" applyFont="1" applyFill="1" applyBorder="1" applyAlignment="1" applyProtection="1">
      <alignment horizontal="right" vertical="center" wrapText="1"/>
    </xf>
    <xf numFmtId="2" fontId="6" fillId="0" borderId="0" xfId="126" applyNumberFormat="1" applyFont="1" applyAlignment="1">
      <alignment horizontal="left" vertical="center" indent="1"/>
    </xf>
    <xf numFmtId="0" fontId="6" fillId="0" borderId="0" xfId="0" applyFont="1" applyAlignment="1">
      <alignment horizontal="right" wrapText="1"/>
    </xf>
    <xf numFmtId="167" fontId="6" fillId="0" borderId="0" xfId="126" applyNumberFormat="1" applyFont="1" applyAlignment="1">
      <alignment horizontal="right" vertical="center" wrapText="1"/>
    </xf>
    <xf numFmtId="167" fontId="6" fillId="0" borderId="0" xfId="126" applyNumberFormat="1" applyFont="1" applyAlignment="1">
      <alignment horizontal="right" indent="1"/>
    </xf>
    <xf numFmtId="2" fontId="6" fillId="0" borderId="0" xfId="126" applyNumberFormat="1" applyFont="1" applyAlignment="1">
      <alignment horizontal="left" indent="1"/>
    </xf>
    <xf numFmtId="167" fontId="6" fillId="0" borderId="0" xfId="129" applyNumberFormat="1" applyFont="1" applyFill="1" applyBorder="1" applyAlignment="1">
      <alignment horizontal="right" vertical="center" wrapText="1"/>
    </xf>
    <xf numFmtId="0" fontId="6" fillId="0" borderId="4" xfId="125" applyFont="1" applyBorder="1"/>
    <xf numFmtId="0" fontId="6" fillId="0" borderId="4" xfId="126" applyFont="1" applyBorder="1" applyAlignment="1">
      <alignment vertical="center"/>
    </xf>
    <xf numFmtId="0" fontId="6" fillId="0" borderId="4" xfId="126" applyFont="1" applyBorder="1" applyAlignment="1">
      <alignment horizontal="right" vertical="center"/>
    </xf>
    <xf numFmtId="0" fontId="2" fillId="0" borderId="4" xfId="0" applyFont="1" applyBorder="1"/>
    <xf numFmtId="0" fontId="12" fillId="0" borderId="0" xfId="126" applyFont="1" applyAlignment="1">
      <alignment vertical="center"/>
    </xf>
    <xf numFmtId="0" fontId="6" fillId="0" borderId="0" xfId="126" applyFont="1" applyAlignment="1">
      <alignment vertical="center"/>
    </xf>
    <xf numFmtId="0" fontId="13" fillId="0" borderId="0" xfId="125" applyFont="1" applyAlignment="1">
      <alignment horizontal="right" vertical="center"/>
    </xf>
    <xf numFmtId="0" fontId="14" fillId="0" borderId="0" xfId="125" applyFont="1" applyAlignment="1">
      <alignment horizontal="right" vertical="center"/>
    </xf>
    <xf numFmtId="174" fontId="86" fillId="0" borderId="0" xfId="0" applyNumberFormat="1" applyFont="1"/>
    <xf numFmtId="174" fontId="14" fillId="0" borderId="0" xfId="0" applyNumberFormat="1" applyFont="1" applyAlignment="1">
      <alignment horizontal="left" vertical="top"/>
    </xf>
    <xf numFmtId="0" fontId="3" fillId="0" borderId="0" xfId="120" applyFont="1" applyAlignment="1">
      <alignment vertical="center"/>
    </xf>
    <xf numFmtId="0" fontId="5" fillId="0" borderId="0" xfId="120" applyFont="1" applyAlignment="1">
      <alignment vertical="center"/>
    </xf>
    <xf numFmtId="0" fontId="6" fillId="0" borderId="1" xfId="120" applyFont="1" applyBorder="1" applyAlignment="1">
      <alignment vertical="center"/>
    </xf>
    <xf numFmtId="0" fontId="6" fillId="0" borderId="1" xfId="120" applyFont="1" applyBorder="1" applyAlignment="1">
      <alignment horizontal="right" vertical="center"/>
    </xf>
    <xf numFmtId="0" fontId="8" fillId="0" borderId="0" xfId="120" applyFont="1" applyAlignment="1">
      <alignment horizontal="left" vertical="center"/>
    </xf>
    <xf numFmtId="0" fontId="8" fillId="0" borderId="0" xfId="120" applyFont="1" applyAlignment="1">
      <alignment horizontal="left" vertical="center" indent="2"/>
    </xf>
    <xf numFmtId="0" fontId="8" fillId="0" borderId="0" xfId="120" applyFont="1" applyAlignment="1">
      <alignment vertical="center" wrapText="1"/>
    </xf>
    <xf numFmtId="0" fontId="10" fillId="0" borderId="0" xfId="120" applyFont="1" applyAlignment="1">
      <alignment horizontal="left" vertical="center" indent="2"/>
    </xf>
    <xf numFmtId="0" fontId="10" fillId="0" borderId="0" xfId="120" applyFont="1" applyAlignment="1">
      <alignment vertical="center" wrapText="1"/>
    </xf>
    <xf numFmtId="0" fontId="10" fillId="0" borderId="0" xfId="120" applyFont="1" applyAlignment="1">
      <alignment horizontal="left" vertical="center"/>
    </xf>
    <xf numFmtId="0" fontId="8" fillId="0" borderId="0" xfId="120" applyFont="1" applyAlignment="1">
      <alignment horizontal="left" vertical="center" indent="4"/>
    </xf>
    <xf numFmtId="177" fontId="6" fillId="0" borderId="0" xfId="128" applyNumberFormat="1" applyFont="1" applyAlignment="1">
      <alignment horizontal="right" vertical="center"/>
    </xf>
    <xf numFmtId="0" fontId="10" fillId="0" borderId="0" xfId="120" applyFont="1" applyAlignment="1">
      <alignment horizontal="left" vertical="center" indent="4"/>
    </xf>
    <xf numFmtId="0" fontId="10" fillId="0" borderId="0" xfId="130" applyNumberFormat="1" applyFont="1" applyFill="1" applyBorder="1" applyAlignment="1">
      <alignment horizontal="left" vertical="center"/>
    </xf>
    <xf numFmtId="0" fontId="10" fillId="0" borderId="0" xfId="130" applyNumberFormat="1" applyFont="1" applyFill="1" applyBorder="1" applyAlignment="1">
      <alignment horizontal="left" vertical="center" wrapText="1" indent="4"/>
    </xf>
    <xf numFmtId="3" fontId="6" fillId="0" borderId="0" xfId="120" applyNumberFormat="1" applyFont="1" applyAlignment="1">
      <alignment horizontal="right" vertical="center"/>
    </xf>
    <xf numFmtId="0" fontId="13" fillId="0" borderId="0" xfId="131" applyFont="1" applyAlignment="1">
      <alignment horizontal="right" vertical="center"/>
    </xf>
    <xf numFmtId="0" fontId="13" fillId="0" borderId="0" xfId="0" applyFont="1" applyAlignment="1">
      <alignment horizontal="right" vertical="center"/>
    </xf>
    <xf numFmtId="0" fontId="8" fillId="0" borderId="0" xfId="0" quotePrefix="1" applyFont="1" applyAlignment="1">
      <alignment horizontal="right" vertical="center"/>
    </xf>
    <xf numFmtId="0" fontId="8" fillId="0" borderId="0" xfId="0" quotePrefix="1" applyFont="1" applyAlignment="1">
      <alignment horizontal="right"/>
    </xf>
    <xf numFmtId="0" fontId="6" fillId="0" borderId="0" xfId="28" applyFont="1"/>
    <xf numFmtId="0" fontId="6" fillId="0" borderId="0" xfId="28" applyFont="1" applyAlignment="1">
      <alignment horizontal="right"/>
    </xf>
    <xf numFmtId="0" fontId="3" fillId="0" borderId="0" xfId="132" applyFont="1" applyAlignment="1">
      <alignment vertical="center"/>
    </xf>
    <xf numFmtId="0" fontId="5" fillId="0" borderId="0" xfId="132" applyFont="1" applyAlignment="1">
      <alignment vertical="center"/>
    </xf>
    <xf numFmtId="0" fontId="6" fillId="0" borderId="1" xfId="132" applyFont="1" applyBorder="1" applyAlignment="1">
      <alignment vertical="center"/>
    </xf>
    <xf numFmtId="0" fontId="6" fillId="0" borderId="1" xfId="132" applyFont="1" applyBorder="1" applyAlignment="1">
      <alignment horizontal="right" vertical="center"/>
    </xf>
    <xf numFmtId="0" fontId="6" fillId="0" borderId="1" xfId="28" applyFont="1" applyBorder="1"/>
    <xf numFmtId="0" fontId="6" fillId="0" borderId="0" xfId="132" applyFont="1" applyAlignment="1">
      <alignment horizontal="center" vertical="center"/>
    </xf>
    <xf numFmtId="0" fontId="8" fillId="0" borderId="0" xfId="132" applyFont="1" applyAlignment="1">
      <alignment horizontal="right" vertical="center"/>
    </xf>
    <xf numFmtId="0" fontId="8" fillId="0" borderId="0" xfId="132" applyFont="1" applyAlignment="1">
      <alignment horizontal="center" vertical="center"/>
    </xf>
    <xf numFmtId="0" fontId="8" fillId="0" borderId="0" xfId="132" applyFont="1" applyAlignment="1">
      <alignment horizontal="left" vertical="center"/>
    </xf>
    <xf numFmtId="0" fontId="8" fillId="0" borderId="0" xfId="132" applyFont="1" applyAlignment="1">
      <alignment vertical="center" wrapText="1"/>
    </xf>
    <xf numFmtId="0" fontId="6" fillId="0" borderId="0" xfId="132" applyFont="1" applyAlignment="1">
      <alignment vertical="center"/>
    </xf>
    <xf numFmtId="0" fontId="10" fillId="0" borderId="0" xfId="132" applyFont="1" applyAlignment="1">
      <alignment horizontal="left" vertical="center"/>
    </xf>
    <xf numFmtId="0" fontId="10" fillId="0" borderId="0" xfId="132" applyFont="1" applyAlignment="1">
      <alignment vertical="center" wrapText="1"/>
    </xf>
    <xf numFmtId="0" fontId="10" fillId="0" borderId="0" xfId="132" applyFont="1" applyAlignment="1">
      <alignment horizontal="left" vertical="center" indent="2"/>
    </xf>
    <xf numFmtId="0" fontId="8" fillId="0" borderId="0" xfId="132" applyFont="1" applyAlignment="1">
      <alignment horizontal="left" vertical="center" indent="4"/>
    </xf>
    <xf numFmtId="0" fontId="8" fillId="0" borderId="0" xfId="132" applyFont="1" applyAlignment="1">
      <alignment horizontal="left" vertical="center" indent="2"/>
    </xf>
    <xf numFmtId="0" fontId="10" fillId="0" borderId="0" xfId="132" applyFont="1" applyAlignment="1">
      <alignment horizontal="left" vertical="center" indent="4"/>
    </xf>
    <xf numFmtId="0" fontId="10" fillId="0" borderId="0" xfId="132" applyFont="1" applyAlignment="1">
      <alignment horizontal="left" vertical="center" indent="6"/>
    </xf>
    <xf numFmtId="0" fontId="6" fillId="0" borderId="0" xfId="28" applyFont="1" applyAlignment="1">
      <alignment vertical="center"/>
    </xf>
    <xf numFmtId="0" fontId="10" fillId="0" borderId="0" xfId="132" applyFont="1" applyAlignment="1">
      <alignment horizontal="left" vertical="center" indent="1"/>
    </xf>
    <xf numFmtId="0" fontId="6" fillId="0" borderId="4" xfId="132" applyFont="1" applyBorder="1" applyAlignment="1">
      <alignment vertical="center"/>
    </xf>
    <xf numFmtId="0" fontId="6" fillId="0" borderId="4" xfId="132" applyFont="1" applyBorder="1" applyAlignment="1">
      <alignment horizontal="right" vertical="center"/>
    </xf>
    <xf numFmtId="0" fontId="6" fillId="0" borderId="4" xfId="28" applyFont="1" applyBorder="1"/>
    <xf numFmtId="0" fontId="12" fillId="0" borderId="0" xfId="28" applyFont="1" applyAlignment="1">
      <alignment vertical="center"/>
    </xf>
    <xf numFmtId="0" fontId="13" fillId="0" borderId="0" xfId="135" applyFont="1" applyAlignment="1">
      <alignment horizontal="right" vertical="center"/>
    </xf>
    <xf numFmtId="0" fontId="13" fillId="0" borderId="0" xfId="28" applyFont="1" applyAlignment="1">
      <alignment horizontal="right" vertical="center"/>
    </xf>
    <xf numFmtId="0" fontId="12" fillId="0" borderId="0" xfId="28" applyFont="1" applyAlignment="1">
      <alignment horizontal="right" vertical="center"/>
    </xf>
    <xf numFmtId="0" fontId="14" fillId="0" borderId="0" xfId="28" applyFont="1" applyAlignment="1">
      <alignment horizontal="right" vertical="center"/>
    </xf>
    <xf numFmtId="0" fontId="6" fillId="0" borderId="0" xfId="28" applyFont="1" applyAlignment="1">
      <alignment horizontal="right" vertical="center"/>
    </xf>
    <xf numFmtId="0" fontId="8" fillId="0" borderId="0" xfId="28" quotePrefix="1" applyFont="1" applyAlignment="1">
      <alignment horizontal="right" vertical="center"/>
    </xf>
    <xf numFmtId="0" fontId="8" fillId="0" borderId="0" xfId="28" applyFont="1" applyAlignment="1">
      <alignment horizontal="right" vertical="center"/>
    </xf>
    <xf numFmtId="0" fontId="8" fillId="0" borderId="0" xfId="28" quotePrefix="1" applyFont="1" applyAlignment="1">
      <alignment horizontal="right"/>
    </xf>
    <xf numFmtId="0" fontId="12" fillId="0" borderId="0" xfId="28" applyFont="1"/>
    <xf numFmtId="174" fontId="6" fillId="0" borderId="0" xfId="136" applyFont="1"/>
    <xf numFmtId="174" fontId="6" fillId="0" borderId="0" xfId="136" applyFont="1" applyAlignment="1">
      <alignment horizontal="right"/>
    </xf>
    <xf numFmtId="0" fontId="3" fillId="0" borderId="0" xfId="137" applyFont="1" applyAlignment="1">
      <alignment vertical="center"/>
    </xf>
    <xf numFmtId="174" fontId="2" fillId="0" borderId="0" xfId="136" applyFont="1" applyAlignment="1">
      <alignment horizontal="right"/>
    </xf>
    <xf numFmtId="0" fontId="5" fillId="0" borderId="0" xfId="137" applyFont="1" applyAlignment="1">
      <alignment vertical="center"/>
    </xf>
    <xf numFmtId="174" fontId="6" fillId="0" borderId="1" xfId="136" applyFont="1" applyBorder="1"/>
    <xf numFmtId="174" fontId="6" fillId="0" borderId="1" xfId="136" applyFont="1" applyBorder="1" applyAlignment="1">
      <alignment horizontal="right"/>
    </xf>
    <xf numFmtId="0" fontId="8" fillId="0" borderId="1" xfId="137" applyFont="1" applyBorder="1" applyAlignment="1">
      <alignment horizontal="right" vertical="center"/>
    </xf>
    <xf numFmtId="174" fontId="8" fillId="0" borderId="1" xfId="101" applyNumberFormat="1" applyFont="1" applyBorder="1" applyAlignment="1">
      <alignment horizontal="right" vertical="center" wrapText="1"/>
    </xf>
    <xf numFmtId="0" fontId="6" fillId="0" borderId="0" xfId="137" applyFont="1" applyAlignment="1">
      <alignment horizontal="center" vertical="center"/>
    </xf>
    <xf numFmtId="0" fontId="8" fillId="0" borderId="0" xfId="137" applyFont="1" applyAlignment="1">
      <alignment horizontal="right" vertical="center"/>
    </xf>
    <xf numFmtId="0" fontId="8" fillId="0" borderId="0" xfId="137" applyFont="1" applyAlignment="1">
      <alignment horizontal="center" vertical="center"/>
    </xf>
    <xf numFmtId="0" fontId="8" fillId="0" borderId="0" xfId="138" applyFont="1" applyAlignment="1">
      <alignment horizontal="left"/>
    </xf>
    <xf numFmtId="0" fontId="8" fillId="0" borderId="0" xfId="137" applyFont="1" applyAlignment="1">
      <alignment horizontal="left" wrapText="1"/>
    </xf>
    <xf numFmtId="0" fontId="8" fillId="0" borderId="0" xfId="137" applyFont="1" applyAlignment="1">
      <alignment horizontal="right" vertical="center" wrapText="1"/>
    </xf>
    <xf numFmtId="0" fontId="10" fillId="0" borderId="0" xfId="138" applyFont="1" applyAlignment="1">
      <alignment horizontal="left"/>
    </xf>
    <xf numFmtId="0" fontId="10" fillId="0" borderId="0" xfId="137" applyFont="1" applyAlignment="1">
      <alignment horizontal="left" wrapText="1"/>
    </xf>
    <xf numFmtId="0" fontId="8" fillId="0" borderId="0" xfId="138" applyFont="1" applyAlignment="1">
      <alignment horizontal="left" indent="2"/>
    </xf>
    <xf numFmtId="0" fontId="8" fillId="0" borderId="0" xfId="137" applyFont="1" applyAlignment="1">
      <alignment horizontal="left" indent="5"/>
    </xf>
    <xf numFmtId="3" fontId="6" fillId="0" borderId="0" xfId="139" applyNumberFormat="1" applyFont="1" applyAlignment="1">
      <alignment horizontal="right" vertical="center"/>
    </xf>
    <xf numFmtId="0" fontId="10" fillId="0" borderId="0" xfId="138" applyFont="1" applyAlignment="1">
      <alignment horizontal="left" indent="2"/>
    </xf>
    <xf numFmtId="0" fontId="8" fillId="0" borderId="0" xfId="138" applyFont="1" applyAlignment="1">
      <alignment horizontal="left" indent="5"/>
    </xf>
    <xf numFmtId="174" fontId="6" fillId="0" borderId="0" xfId="136" applyFont="1" applyAlignment="1">
      <alignment horizontal="right" vertical="center" wrapText="1"/>
    </xf>
    <xf numFmtId="185" fontId="8" fillId="0" borderId="0" xfId="0" applyNumberFormat="1" applyFont="1"/>
    <xf numFmtId="177" fontId="6" fillId="0" borderId="0" xfId="34" applyNumberFormat="1" applyFont="1" applyAlignment="1">
      <alignment horizontal="right" vertical="center" wrapText="1"/>
    </xf>
    <xf numFmtId="0" fontId="6" fillId="0" borderId="0" xfId="139" applyFont="1" applyAlignment="1">
      <alignment horizontal="right" vertical="center"/>
    </xf>
    <xf numFmtId="0" fontId="8" fillId="0" borderId="0" xfId="137" applyFont="1" applyAlignment="1">
      <alignment horizontal="left" wrapText="1" indent="1"/>
    </xf>
    <xf numFmtId="0" fontId="10" fillId="0" borderId="0" xfId="137" applyFont="1" applyAlignment="1">
      <alignment horizontal="left" indent="1"/>
    </xf>
    <xf numFmtId="0" fontId="6" fillId="0" borderId="0" xfId="137" applyFont="1" applyAlignment="1">
      <alignment horizontal="right" vertical="center" wrapText="1"/>
    </xf>
    <xf numFmtId="0" fontId="6" fillId="0" borderId="0" xfId="137" applyFont="1" applyAlignment="1">
      <alignment horizontal="right" vertical="center"/>
    </xf>
    <xf numFmtId="0" fontId="6" fillId="0" borderId="0" xfId="137" applyFont="1" applyAlignment="1">
      <alignment vertical="center"/>
    </xf>
    <xf numFmtId="0" fontId="10" fillId="0" borderId="0" xfId="138" applyFont="1" applyAlignment="1">
      <alignment horizontal="left" vertical="center"/>
    </xf>
    <xf numFmtId="174" fontId="6" fillId="0" borderId="4" xfId="136" applyFont="1" applyBorder="1"/>
    <xf numFmtId="0" fontId="6" fillId="0" borderId="4" xfId="138" applyFont="1" applyBorder="1" applyAlignment="1">
      <alignment vertical="center"/>
    </xf>
    <xf numFmtId="0" fontId="6" fillId="0" borderId="4" xfId="137" applyFont="1" applyBorder="1" applyAlignment="1">
      <alignment vertical="center"/>
    </xf>
    <xf numFmtId="174" fontId="12" fillId="0" borderId="0" xfId="136" applyFont="1" applyAlignment="1">
      <alignment vertical="center"/>
    </xf>
    <xf numFmtId="174" fontId="12" fillId="0" borderId="0" xfId="136" applyFont="1" applyAlignment="1">
      <alignment horizontal="right" vertical="center"/>
    </xf>
    <xf numFmtId="0" fontId="13" fillId="0" borderId="0" xfId="137" applyFont="1" applyAlignment="1">
      <alignment vertical="center"/>
    </xf>
    <xf numFmtId="0" fontId="8" fillId="0" borderId="0" xfId="0" quotePrefix="1" applyFont="1" applyAlignment="1">
      <alignment vertical="center"/>
    </xf>
    <xf numFmtId="0" fontId="12" fillId="0" borderId="0" xfId="137" applyFont="1" applyAlignment="1">
      <alignment vertical="center"/>
    </xf>
    <xf numFmtId="0" fontId="14" fillId="0" borderId="0" xfId="137" applyFont="1" applyAlignment="1">
      <alignment horizontal="left" vertical="center"/>
    </xf>
    <xf numFmtId="0" fontId="8" fillId="0" borderId="0" xfId="0" quotePrefix="1" applyFont="1"/>
    <xf numFmtId="0" fontId="16" fillId="0" borderId="0" xfId="137" applyFont="1" applyAlignment="1">
      <alignment vertical="center"/>
    </xf>
    <xf numFmtId="0" fontId="14" fillId="0" borderId="0" xfId="137" applyFont="1" applyAlignment="1">
      <alignment horizontal="left" vertical="center" indent="2"/>
    </xf>
    <xf numFmtId="0" fontId="2" fillId="0" borderId="0" xfId="0" applyFont="1" applyAlignment="1">
      <alignment horizontal="right" vertical="top"/>
    </xf>
    <xf numFmtId="166" fontId="3" fillId="0" borderId="0" xfId="3" applyFont="1" applyAlignment="1">
      <alignment horizontal="right" vertical="top"/>
    </xf>
    <xf numFmtId="166" fontId="8" fillId="0" borderId="1" xfId="100" applyFont="1" applyBorder="1" applyAlignment="1">
      <alignment horizontal="right" vertical="top"/>
    </xf>
    <xf numFmtId="0" fontId="6" fillId="0" borderId="2" xfId="0" applyFont="1" applyBorder="1" applyAlignment="1">
      <alignment vertical="top"/>
    </xf>
    <xf numFmtId="174" fontId="10" fillId="0" borderId="0" xfId="26" applyFont="1" applyAlignment="1">
      <alignment vertical="center"/>
    </xf>
    <xf numFmtId="1" fontId="8" fillId="0" borderId="0" xfId="116" applyNumberFormat="1" applyFont="1" applyAlignment="1">
      <alignment horizontal="center" vertical="center"/>
    </xf>
    <xf numFmtId="177" fontId="6" fillId="0" borderId="0" xfId="129" applyNumberFormat="1" applyFont="1" applyFill="1" applyBorder="1" applyAlignment="1" applyProtection="1">
      <alignment horizontal="right" vertical="center"/>
    </xf>
    <xf numFmtId="0" fontId="10" fillId="0" borderId="0" xfId="115" applyFont="1" applyAlignment="1">
      <alignment horizontal="left" vertical="center" indent="2"/>
    </xf>
    <xf numFmtId="1" fontId="8" fillId="0" borderId="0" xfId="116" applyNumberFormat="1" applyFont="1" applyAlignment="1">
      <alignment vertical="center"/>
    </xf>
    <xf numFmtId="0" fontId="8" fillId="0" borderId="0" xfId="115" applyFont="1" applyAlignment="1">
      <alignment horizontal="left" vertical="center" indent="4"/>
    </xf>
    <xf numFmtId="177" fontId="6" fillId="0" borderId="0" xfId="128" applyNumberFormat="1" applyFont="1" applyBorder="1" applyAlignment="1"/>
    <xf numFmtId="0" fontId="10" fillId="0" borderId="0" xfId="115" applyFont="1" applyAlignment="1">
      <alignment horizontal="left" vertical="center" indent="3"/>
    </xf>
    <xf numFmtId="171" fontId="6" fillId="0" borderId="0" xfId="0" applyNumberFormat="1" applyFont="1"/>
    <xf numFmtId="0" fontId="6" fillId="0" borderId="0" xfId="0" applyFont="1" applyAlignment="1">
      <alignment horizontal="left" indent="3"/>
    </xf>
    <xf numFmtId="177" fontId="8" fillId="0" borderId="0" xfId="128" applyNumberFormat="1" applyFont="1" applyBorder="1" applyAlignment="1"/>
    <xf numFmtId="182" fontId="8" fillId="0" borderId="0" xfId="105" applyFont="1"/>
    <xf numFmtId="0" fontId="6" fillId="0" borderId="0" xfId="0" applyFont="1" applyAlignment="1">
      <alignment horizontal="left" indent="2"/>
    </xf>
    <xf numFmtId="171" fontId="6" fillId="0" borderId="0" xfId="0" applyNumberFormat="1" applyFont="1" applyAlignment="1">
      <alignment horizontal="right" vertical="center"/>
    </xf>
    <xf numFmtId="3" fontId="6" fillId="0" borderId="4" xfId="26" applyNumberFormat="1" applyFont="1" applyBorder="1" applyAlignment="1">
      <alignment horizontal="right" vertical="top"/>
    </xf>
    <xf numFmtId="0" fontId="6" fillId="0" borderId="0" xfId="115" applyFont="1" applyAlignment="1">
      <alignment vertical="center"/>
    </xf>
    <xf numFmtId="0" fontId="13" fillId="0" borderId="0" xfId="138" applyFont="1" applyAlignment="1">
      <alignment vertical="center"/>
    </xf>
    <xf numFmtId="0" fontId="13" fillId="0" borderId="0" xfId="0" quotePrefix="1" applyFont="1" applyAlignment="1">
      <alignment horizontal="right"/>
    </xf>
    <xf numFmtId="0" fontId="14" fillId="0" borderId="0" xfId="0" applyFont="1"/>
    <xf numFmtId="174" fontId="14" fillId="0" borderId="0" xfId="121" applyNumberFormat="1" applyFont="1" applyAlignment="1">
      <alignment horizontal="left" vertical="top"/>
    </xf>
    <xf numFmtId="0" fontId="14" fillId="0" borderId="0" xfId="138" applyFont="1" applyAlignment="1">
      <alignment vertical="center"/>
    </xf>
    <xf numFmtId="0" fontId="12" fillId="0" borderId="0" xfId="0" applyFont="1" applyAlignment="1">
      <alignment horizontal="right" vertical="top" indent="1"/>
    </xf>
    <xf numFmtId="166" fontId="6" fillId="0" borderId="0" xfId="100" applyFont="1" applyAlignment="1">
      <alignment vertical="center"/>
    </xf>
    <xf numFmtId="166" fontId="5" fillId="0" borderId="0" xfId="100" applyFont="1" applyAlignment="1">
      <alignment vertical="center"/>
    </xf>
    <xf numFmtId="166" fontId="2" fillId="0" borderId="0" xfId="100" applyFont="1" applyAlignment="1">
      <alignment vertical="center"/>
    </xf>
    <xf numFmtId="166" fontId="3" fillId="0" borderId="0" xfId="100" applyFont="1" applyAlignment="1">
      <alignment horizontal="right" vertical="center"/>
    </xf>
    <xf numFmtId="166" fontId="8" fillId="0" borderId="0" xfId="100" applyFont="1" applyAlignment="1">
      <alignment horizontal="right" vertical="center"/>
    </xf>
    <xf numFmtId="166" fontId="5" fillId="0" borderId="1" xfId="100" applyFont="1" applyBorder="1" applyAlignment="1">
      <alignment vertical="center"/>
    </xf>
    <xf numFmtId="166" fontId="2" fillId="0" borderId="1" xfId="100" applyFont="1" applyBorder="1" applyAlignment="1">
      <alignment vertical="center"/>
    </xf>
    <xf numFmtId="166" fontId="3" fillId="0" borderId="1" xfId="100" applyFont="1" applyBorder="1" applyAlignment="1">
      <alignment horizontal="right" vertical="center"/>
    </xf>
    <xf numFmtId="0" fontId="8" fillId="0" borderId="2" xfId="138" applyFont="1" applyBorder="1" applyAlignment="1">
      <alignment vertical="center" wrapText="1"/>
    </xf>
    <xf numFmtId="0" fontId="8" fillId="0" borderId="0" xfId="115" applyFont="1" applyAlignment="1">
      <alignment vertical="center"/>
    </xf>
    <xf numFmtId="166" fontId="6" fillId="0" borderId="0" xfId="116" applyFont="1" applyAlignment="1">
      <alignment horizontal="left" vertical="center" indent="2"/>
    </xf>
    <xf numFmtId="171" fontId="6" fillId="0" borderId="0" xfId="129" applyNumberFormat="1" applyFont="1" applyFill="1" applyBorder="1" applyAlignment="1" applyProtection="1">
      <alignment horizontal="right" vertical="center"/>
    </xf>
    <xf numFmtId="0" fontId="6" fillId="0" borderId="0" xfId="115" applyFont="1" applyAlignment="1">
      <alignment horizontal="left" vertical="center" indent="4"/>
    </xf>
    <xf numFmtId="174" fontId="10" fillId="0" borderId="0" xfId="26" applyFont="1" applyAlignment="1">
      <alignment horizontal="left" vertical="center" indent="2"/>
    </xf>
    <xf numFmtId="177" fontId="12" fillId="0" borderId="0" xfId="0" applyNumberFormat="1" applyFont="1" applyAlignment="1">
      <alignment horizontal="right" vertical="center"/>
    </xf>
    <xf numFmtId="0" fontId="10" fillId="0" borderId="0" xfId="115" applyFont="1" applyAlignment="1">
      <alignment horizontal="left" vertical="center" indent="4"/>
    </xf>
    <xf numFmtId="182" fontId="10" fillId="0" borderId="0" xfId="105" applyFont="1" applyAlignment="1">
      <alignment horizontal="left" vertical="center" indent="4"/>
    </xf>
    <xf numFmtId="174" fontId="10" fillId="0" borderId="0" xfId="26" applyFont="1" applyAlignment="1">
      <alignment horizontal="left" vertical="center" indent="4"/>
    </xf>
    <xf numFmtId="3" fontId="6" fillId="0" borderId="0" xfId="129" applyNumberFormat="1" applyFont="1" applyFill="1" applyBorder="1" applyAlignment="1" applyProtection="1">
      <alignment horizontal="right" vertical="center"/>
    </xf>
    <xf numFmtId="174" fontId="14" fillId="0" borderId="0" xfId="0" applyNumberFormat="1" applyFont="1" applyAlignment="1">
      <alignment horizontal="left"/>
    </xf>
    <xf numFmtId="0" fontId="8" fillId="0" borderId="0" xfId="138" applyFont="1" applyAlignment="1">
      <alignment vertical="center"/>
    </xf>
    <xf numFmtId="0" fontId="8" fillId="0" borderId="0" xfId="138" applyFont="1" applyAlignment="1">
      <alignment vertical="center" wrapText="1"/>
    </xf>
    <xf numFmtId="177" fontId="2" fillId="0" borderId="0" xfId="128" applyNumberFormat="1" applyFont="1" applyBorder="1" applyAlignment="1"/>
    <xf numFmtId="177" fontId="3" fillId="0" borderId="0" xfId="128" applyNumberFormat="1" applyFont="1" applyBorder="1" applyAlignment="1"/>
    <xf numFmtId="166" fontId="6" fillId="0" borderId="0" xfId="26" applyNumberFormat="1" applyFont="1" applyAlignment="1">
      <alignment vertical="center"/>
    </xf>
    <xf numFmtId="0" fontId="13" fillId="0" borderId="0" xfId="138" applyFont="1" applyAlignment="1">
      <alignment vertical="top" wrapText="1"/>
    </xf>
    <xf numFmtId="0" fontId="14" fillId="0" borderId="0" xfId="115" applyFont="1" applyAlignment="1">
      <alignment vertical="top" wrapText="1"/>
    </xf>
    <xf numFmtId="0" fontId="3" fillId="0" borderId="0" xfId="138" applyFont="1" applyAlignment="1">
      <alignment horizontal="right" vertical="center"/>
    </xf>
    <xf numFmtId="0" fontId="3" fillId="0" borderId="0" xfId="138" applyFont="1" applyAlignment="1">
      <alignment vertical="center"/>
    </xf>
    <xf numFmtId="0" fontId="5" fillId="0" borderId="0" xfId="138" applyFont="1" applyAlignment="1">
      <alignment horizontal="right" vertical="center"/>
    </xf>
    <xf numFmtId="0" fontId="5" fillId="0" borderId="0" xfId="138" applyFont="1" applyAlignment="1">
      <alignment vertical="center"/>
    </xf>
    <xf numFmtId="0" fontId="6" fillId="0" borderId="1" xfId="138" applyFont="1" applyBorder="1"/>
    <xf numFmtId="0" fontId="6" fillId="0" borderId="1" xfId="138" applyFont="1" applyBorder="1" applyAlignment="1">
      <alignment horizontal="right"/>
    </xf>
    <xf numFmtId="0" fontId="6" fillId="0" borderId="0" xfId="138" applyFont="1" applyAlignment="1">
      <alignment horizontal="center" vertical="center"/>
    </xf>
    <xf numFmtId="0" fontId="8" fillId="0" borderId="0" xfId="138" applyFont="1" applyAlignment="1">
      <alignment horizontal="right" vertical="center" indent="1"/>
    </xf>
    <xf numFmtId="0" fontId="8" fillId="0" borderId="0" xfId="138" applyFont="1" applyAlignment="1">
      <alignment horizontal="left" vertical="center"/>
    </xf>
    <xf numFmtId="0" fontId="8" fillId="0" borderId="0" xfId="138" applyFont="1" applyAlignment="1">
      <alignment horizontal="left" vertical="center" indent="2"/>
    </xf>
    <xf numFmtId="3" fontId="6" fillId="0" borderId="0" xfId="140" applyNumberFormat="1" applyFont="1" applyAlignment="1">
      <alignment horizontal="right" vertical="center"/>
    </xf>
    <xf numFmtId="0" fontId="6" fillId="0" borderId="0" xfId="138" applyFont="1" applyAlignment="1">
      <alignment vertical="center"/>
    </xf>
    <xf numFmtId="0" fontId="10" fillId="0" borderId="0" xfId="138" applyFont="1" applyAlignment="1">
      <alignment horizontal="left" vertical="center" indent="2"/>
    </xf>
    <xf numFmtId="167" fontId="6" fillId="0" borderId="0" xfId="138" applyNumberFormat="1" applyFont="1" applyAlignment="1">
      <alignment horizontal="right" vertical="center" indent="1"/>
    </xf>
    <xf numFmtId="3" fontId="6" fillId="0" borderId="0" xfId="138" applyNumberFormat="1" applyFont="1" applyAlignment="1">
      <alignment horizontal="right" vertical="center"/>
    </xf>
    <xf numFmtId="3" fontId="6" fillId="0" borderId="0" xfId="138" applyNumberFormat="1" applyFont="1" applyAlignment="1">
      <alignment horizontal="right" vertical="center" indent="1"/>
    </xf>
    <xf numFmtId="0" fontId="12" fillId="0" borderId="0" xfId="138" applyFont="1" applyAlignment="1">
      <alignment vertical="center"/>
    </xf>
    <xf numFmtId="0" fontId="12" fillId="0" borderId="0" xfId="138" applyFont="1" applyAlignment="1">
      <alignment horizontal="right" vertical="center"/>
    </xf>
    <xf numFmtId="0" fontId="13" fillId="0" borderId="0" xfId="141" applyFont="1" applyAlignment="1">
      <alignment vertical="center"/>
    </xf>
    <xf numFmtId="0" fontId="3" fillId="0" borderId="0" xfId="140" applyFont="1" applyAlignment="1">
      <alignment horizontal="right" vertical="center"/>
    </xf>
    <xf numFmtId="0" fontId="3" fillId="0" borderId="0" xfId="140" applyFont="1" applyAlignment="1">
      <alignment vertical="center"/>
    </xf>
    <xf numFmtId="0" fontId="5" fillId="0" borderId="0" xfId="140" applyFont="1" applyAlignment="1">
      <alignment horizontal="right" vertical="center"/>
    </xf>
    <xf numFmtId="0" fontId="5" fillId="0" borderId="0" xfId="140" applyFont="1" applyAlignment="1">
      <alignment vertical="center"/>
    </xf>
    <xf numFmtId="0" fontId="6" fillId="0" borderId="1" xfId="140" applyFont="1" applyBorder="1"/>
    <xf numFmtId="0" fontId="6" fillId="0" borderId="1" xfId="140" applyFont="1" applyBorder="1" applyAlignment="1">
      <alignment horizontal="right"/>
    </xf>
    <xf numFmtId="0" fontId="6" fillId="0" borderId="0" xfId="140" applyFont="1" applyAlignment="1">
      <alignment horizontal="center" vertical="center"/>
    </xf>
    <xf numFmtId="0" fontId="8" fillId="0" borderId="0" xfId="140" applyFont="1" applyAlignment="1">
      <alignment horizontal="center" vertical="center"/>
    </xf>
    <xf numFmtId="0" fontId="8" fillId="0" borderId="0" xfId="140" applyFont="1" applyAlignment="1">
      <alignment horizontal="right" vertical="center"/>
    </xf>
    <xf numFmtId="0" fontId="8" fillId="0" borderId="0" xfId="141" applyFont="1" applyAlignment="1">
      <alignment horizontal="left" vertical="center"/>
    </xf>
    <xf numFmtId="0" fontId="6" fillId="0" borderId="0" xfId="140" applyFont="1" applyAlignment="1">
      <alignment vertical="center"/>
    </xf>
    <xf numFmtId="0" fontId="10" fillId="0" borderId="0" xfId="141" applyFont="1" applyAlignment="1">
      <alignment horizontal="left" vertical="center"/>
    </xf>
    <xf numFmtId="3" fontId="6" fillId="0" borderId="0" xfId="140" applyNumberFormat="1" applyFont="1" applyAlignment="1">
      <alignment vertical="center"/>
    </xf>
    <xf numFmtId="167" fontId="6" fillId="0" borderId="0" xfId="140" applyNumberFormat="1" applyFont="1" applyAlignment="1">
      <alignment vertical="center"/>
    </xf>
    <xf numFmtId="167" fontId="6" fillId="0" borderId="0" xfId="140" applyNumberFormat="1" applyFont="1" applyAlignment="1">
      <alignment horizontal="right" vertical="center"/>
    </xf>
    <xf numFmtId="0" fontId="6" fillId="0" borderId="4" xfId="140" applyFont="1" applyBorder="1" applyAlignment="1">
      <alignment vertical="center"/>
    </xf>
    <xf numFmtId="0" fontId="6" fillId="0" borderId="4" xfId="140" applyFont="1" applyBorder="1" applyAlignment="1">
      <alignment horizontal="right" vertical="center"/>
    </xf>
    <xf numFmtId="0" fontId="12" fillId="0" borderId="0" xfId="140" applyFont="1" applyAlignment="1">
      <alignment vertical="center"/>
    </xf>
    <xf numFmtId="0" fontId="12" fillId="0" borderId="0" xfId="140" applyFont="1" applyAlignment="1">
      <alignment horizontal="right" vertical="center"/>
    </xf>
    <xf numFmtId="0" fontId="14" fillId="0" borderId="0" xfId="142" applyFont="1"/>
    <xf numFmtId="0" fontId="14" fillId="0" borderId="0" xfId="143" applyFont="1" applyAlignment="1">
      <alignment horizontal="left" vertical="center"/>
    </xf>
    <xf numFmtId="0" fontId="14" fillId="0" borderId="0" xfId="130" applyNumberFormat="1" applyFont="1" applyFill="1" applyAlignment="1">
      <alignment horizontal="center" vertical="top"/>
    </xf>
    <xf numFmtId="0" fontId="14" fillId="0" borderId="0" xfId="130" applyNumberFormat="1" applyFont="1" applyFill="1" applyBorder="1" applyAlignment="1">
      <alignment horizontal="right" vertical="top" indent="1"/>
    </xf>
    <xf numFmtId="0" fontId="10" fillId="0" borderId="0" xfId="130" applyNumberFormat="1" applyFont="1" applyBorder="1" applyAlignment="1">
      <alignment horizontal="left" vertical="top" indent="1"/>
    </xf>
    <xf numFmtId="0" fontId="6" fillId="0" borderId="0" xfId="92" applyFont="1" applyAlignment="1">
      <alignment horizontal="left" vertical="center"/>
    </xf>
    <xf numFmtId="0" fontId="10" fillId="2" borderId="0" xfId="130" applyNumberFormat="1" applyFont="1" applyFill="1" applyAlignment="1">
      <alignment vertical="top"/>
    </xf>
    <xf numFmtId="0" fontId="10" fillId="2" borderId="0" xfId="130" applyNumberFormat="1" applyFont="1" applyFill="1" applyAlignment="1">
      <alignment horizontal="center" vertical="top"/>
    </xf>
    <xf numFmtId="0" fontId="6" fillId="2" borderId="0" xfId="130" applyNumberFormat="1" applyFont="1" applyFill="1" applyBorder="1" applyAlignment="1">
      <alignment horizontal="right" vertical="top"/>
    </xf>
    <xf numFmtId="0" fontId="6" fillId="0" borderId="0" xfId="130" applyNumberFormat="1" applyFont="1" applyBorder="1" applyAlignment="1">
      <alignment horizontal="right" vertical="top"/>
    </xf>
    <xf numFmtId="0" fontId="8" fillId="0" borderId="0" xfId="131" applyFont="1" applyAlignment="1">
      <alignment horizontal="left"/>
    </xf>
    <xf numFmtId="0" fontId="10" fillId="0" borderId="0" xfId="131" applyFont="1" applyAlignment="1">
      <alignment horizontal="left" vertical="top"/>
    </xf>
    <xf numFmtId="0" fontId="3" fillId="0" borderId="0" xfId="144" applyFont="1" applyAlignment="1">
      <alignment horizontal="left" vertical="center"/>
    </xf>
    <xf numFmtId="0" fontId="3" fillId="0" borderId="0" xfId="145" applyFont="1" applyAlignment="1">
      <alignment vertical="center"/>
    </xf>
    <xf numFmtId="0" fontId="3" fillId="0" borderId="0" xfId="145" applyFont="1" applyAlignment="1">
      <alignment horizontal="right" vertical="center"/>
    </xf>
    <xf numFmtId="0" fontId="5" fillId="0" borderId="0" xfId="144" applyFont="1" applyAlignment="1">
      <alignment horizontal="left" vertical="center"/>
    </xf>
    <xf numFmtId="0" fontId="8" fillId="0" borderId="1" xfId="140" applyFont="1" applyBorder="1" applyAlignment="1">
      <alignment vertical="center"/>
    </xf>
    <xf numFmtId="0" fontId="6" fillId="0" borderId="0" xfId="144" applyFont="1" applyAlignment="1">
      <alignment horizontal="center" vertical="center"/>
    </xf>
    <xf numFmtId="0" fontId="8" fillId="0" borderId="0" xfId="144" applyFont="1" applyAlignment="1">
      <alignment horizontal="center" vertical="center"/>
    </xf>
    <xf numFmtId="0" fontId="8" fillId="0" borderId="0" xfId="144" applyFont="1" applyAlignment="1">
      <alignment horizontal="right" vertical="center"/>
    </xf>
    <xf numFmtId="0" fontId="8" fillId="0" borderId="0" xfId="144" applyFont="1" applyAlignment="1">
      <alignment vertical="center"/>
    </xf>
    <xf numFmtId="0" fontId="8" fillId="0" borderId="0" xfId="144" applyFont="1" applyAlignment="1">
      <alignment vertical="center" wrapText="1"/>
    </xf>
    <xf numFmtId="167" fontId="8" fillId="0" borderId="0" xfId="144" applyNumberFormat="1" applyFont="1" applyAlignment="1">
      <alignment horizontal="right" vertical="center" wrapText="1"/>
    </xf>
    <xf numFmtId="0" fontId="6" fillId="0" borderId="0" xfId="144" applyFont="1" applyAlignment="1">
      <alignment vertical="center"/>
    </xf>
    <xf numFmtId="0" fontId="10" fillId="0" borderId="0" xfId="144" applyFont="1" applyAlignment="1">
      <alignment vertical="center"/>
    </xf>
    <xf numFmtId="0" fontId="10" fillId="0" borderId="0" xfId="144" applyFont="1" applyAlignment="1">
      <alignment vertical="center" wrapText="1"/>
    </xf>
    <xf numFmtId="0" fontId="8" fillId="0" borderId="0" xfId="144" applyFont="1" applyAlignment="1">
      <alignment horizontal="left" vertical="center" indent="2"/>
    </xf>
    <xf numFmtId="0" fontId="6" fillId="0" borderId="0" xfId="144" applyFont="1" applyAlignment="1">
      <alignment horizontal="left" vertical="center" indent="4"/>
    </xf>
    <xf numFmtId="0" fontId="10" fillId="0" borderId="0" xfId="144" applyFont="1" applyAlignment="1">
      <alignment horizontal="left" vertical="center" indent="2"/>
    </xf>
    <xf numFmtId="0" fontId="10" fillId="0" borderId="0" xfId="144" applyFont="1" applyAlignment="1">
      <alignment horizontal="left" vertical="center" indent="4"/>
    </xf>
    <xf numFmtId="167" fontId="6" fillId="0" borderId="0" xfId="144" applyNumberFormat="1" applyFont="1" applyAlignment="1">
      <alignment horizontal="right" vertical="center" wrapText="1"/>
    </xf>
    <xf numFmtId="0" fontId="10" fillId="0" borderId="0" xfId="144" applyFont="1" applyAlignment="1">
      <alignment horizontal="left" vertical="center"/>
    </xf>
    <xf numFmtId="0" fontId="8" fillId="0" borderId="0" xfId="144" applyFont="1" applyAlignment="1">
      <alignment horizontal="left" vertical="center"/>
    </xf>
    <xf numFmtId="0" fontId="6" fillId="0" borderId="0" xfId="125" applyFont="1"/>
    <xf numFmtId="0" fontId="6" fillId="0" borderId="0" xfId="144" applyFont="1" applyAlignment="1">
      <alignment horizontal="left" vertical="center" indent="3"/>
    </xf>
    <xf numFmtId="0" fontId="10" fillId="0" borderId="0" xfId="144" applyFont="1" applyAlignment="1">
      <alignment horizontal="left" vertical="center" indent="3"/>
    </xf>
    <xf numFmtId="0" fontId="8" fillId="0" borderId="0" xfId="119" applyFont="1" applyAlignment="1">
      <alignment horizontal="left" vertical="center" indent="2"/>
    </xf>
    <xf numFmtId="0" fontId="6" fillId="0" borderId="0" xfId="119" applyFont="1" applyAlignment="1">
      <alignment horizontal="left" vertical="center" indent="3"/>
    </xf>
    <xf numFmtId="0" fontId="12" fillId="0" borderId="0" xfId="144" applyFont="1" applyAlignment="1">
      <alignment vertical="center"/>
    </xf>
    <xf numFmtId="0" fontId="6" fillId="0" borderId="4" xfId="144" applyFont="1" applyBorder="1" applyAlignment="1">
      <alignment vertical="center"/>
    </xf>
    <xf numFmtId="0" fontId="6" fillId="0" borderId="4" xfId="144" applyFont="1" applyBorder="1" applyAlignment="1">
      <alignment horizontal="right" vertical="center"/>
    </xf>
    <xf numFmtId="0" fontId="12" fillId="0" borderId="0" xfId="125" applyFont="1"/>
    <xf numFmtId="0" fontId="12" fillId="0" borderId="0" xfId="144" applyFont="1" applyAlignment="1">
      <alignment horizontal="right" vertical="center"/>
    </xf>
    <xf numFmtId="0" fontId="13" fillId="0" borderId="0" xfId="0" quotePrefix="1" applyFont="1" applyAlignment="1">
      <alignment horizontal="right" vertical="center"/>
    </xf>
    <xf numFmtId="0" fontId="13" fillId="0" borderId="0" xfId="0" applyFont="1" applyAlignment="1">
      <alignment horizontal="left" indent="1"/>
    </xf>
    <xf numFmtId="0" fontId="14" fillId="0" borderId="0" xfId="0" applyFont="1" applyAlignment="1">
      <alignment horizontal="left" vertical="top" indent="1"/>
    </xf>
    <xf numFmtId="0" fontId="16" fillId="0" borderId="0" xfId="0" applyFont="1" applyAlignment="1">
      <alignment horizontal="left" indent="1"/>
    </xf>
    <xf numFmtId="0" fontId="2" fillId="0" borderId="0" xfId="146" applyFont="1"/>
    <xf numFmtId="0" fontId="6" fillId="0" borderId="0" xfId="146" applyFont="1"/>
    <xf numFmtId="0" fontId="6" fillId="0" borderId="0" xfId="146" applyFont="1" applyAlignment="1">
      <alignment horizontal="right"/>
    </xf>
    <xf numFmtId="0" fontId="3" fillId="0" borderId="0" xfId="146" applyFont="1" applyAlignment="1">
      <alignment horizontal="right" vertical="center"/>
    </xf>
    <xf numFmtId="0" fontId="5" fillId="0" borderId="0" xfId="146" applyFont="1" applyAlignment="1">
      <alignment horizontal="right" vertical="center"/>
    </xf>
    <xf numFmtId="166" fontId="6" fillId="0" borderId="1" xfId="147" applyFont="1" applyBorder="1" applyAlignment="1">
      <alignment vertical="center"/>
    </xf>
    <xf numFmtId="166" fontId="8" fillId="0" borderId="1" xfId="147" applyFont="1" applyBorder="1" applyAlignment="1">
      <alignment horizontal="right" vertical="center"/>
    </xf>
    <xf numFmtId="0" fontId="8" fillId="0" borderId="0" xfId="4" applyFont="1" applyAlignment="1">
      <alignment horizontal="left" vertical="center"/>
    </xf>
    <xf numFmtId="0" fontId="8" fillId="0" borderId="0" xfId="148" applyFont="1" applyAlignment="1">
      <alignment vertical="center"/>
    </xf>
    <xf numFmtId="0" fontId="10" fillId="0" borderId="0" xfId="148" applyFont="1" applyAlignment="1">
      <alignment vertical="center"/>
    </xf>
    <xf numFmtId="0" fontId="8" fillId="0" borderId="0" xfId="146" applyFont="1"/>
    <xf numFmtId="0" fontId="8" fillId="0" borderId="0" xfId="146" applyFont="1" applyAlignment="1">
      <alignment horizontal="left" indent="2"/>
    </xf>
    <xf numFmtId="166" fontId="8" fillId="0" borderId="0" xfId="149" applyFont="1" applyAlignment="1">
      <alignment vertical="center"/>
    </xf>
    <xf numFmtId="0" fontId="10" fillId="0" borderId="0" xfId="146" applyFont="1" applyAlignment="1">
      <alignment horizontal="left" indent="2"/>
    </xf>
    <xf numFmtId="166" fontId="6" fillId="0" borderId="0" xfId="149" applyFont="1" applyAlignment="1">
      <alignment vertical="center"/>
    </xf>
    <xf numFmtId="0" fontId="8" fillId="0" borderId="0" xfId="148" applyFont="1" applyAlignment="1">
      <alignment horizontal="left" vertical="center" indent="4"/>
    </xf>
    <xf numFmtId="0" fontId="10" fillId="0" borderId="0" xfId="148" applyFont="1" applyAlignment="1">
      <alignment horizontal="left" vertical="center" indent="4"/>
    </xf>
    <xf numFmtId="0" fontId="8" fillId="0" borderId="0" xfId="148" applyFont="1" applyAlignment="1">
      <alignment horizontal="left" vertical="center" indent="5"/>
    </xf>
    <xf numFmtId="0" fontId="10" fillId="0" borderId="0" xfId="148" applyFont="1" applyAlignment="1">
      <alignment horizontal="left" vertical="center" indent="5"/>
    </xf>
    <xf numFmtId="0" fontId="8" fillId="0" borderId="0" xfId="148" applyFont="1" applyAlignment="1">
      <alignment horizontal="left" vertical="center" indent="2"/>
    </xf>
    <xf numFmtId="0" fontId="10" fillId="0" borderId="0" xfId="148" applyFont="1" applyAlignment="1">
      <alignment horizontal="left" vertical="center" indent="2"/>
    </xf>
    <xf numFmtId="0" fontId="6" fillId="0" borderId="0" xfId="146" applyFont="1" applyAlignment="1">
      <alignment horizontal="left" indent="2"/>
    </xf>
    <xf numFmtId="1" fontId="8" fillId="0" borderId="0" xfId="150" applyNumberFormat="1" applyFont="1" applyAlignment="1">
      <alignment horizontal="center" vertical="center"/>
    </xf>
    <xf numFmtId="177" fontId="6" fillId="0" borderId="0" xfId="108" applyNumberFormat="1" applyFont="1" applyAlignment="1">
      <alignment horizontal="right" vertical="center"/>
    </xf>
    <xf numFmtId="0" fontId="8" fillId="0" borderId="0" xfId="108" applyFont="1" applyAlignment="1">
      <alignment horizontal="left" indent="2"/>
    </xf>
    <xf numFmtId="166" fontId="6" fillId="0" borderId="0" xfId="150" applyFont="1" applyAlignment="1">
      <alignment vertical="center"/>
    </xf>
    <xf numFmtId="0" fontId="10" fillId="0" borderId="0" xfId="108" applyFont="1" applyAlignment="1">
      <alignment horizontal="left" indent="2"/>
    </xf>
    <xf numFmtId="0" fontId="6" fillId="0" borderId="0" xfId="108" applyFont="1" applyAlignment="1">
      <alignment horizontal="left" indent="2"/>
    </xf>
    <xf numFmtId="0" fontId="6" fillId="0" borderId="0" xfId="108" applyFont="1" applyAlignment="1">
      <alignment horizontal="left" indent="4"/>
    </xf>
    <xf numFmtId="0" fontId="6" fillId="0" borderId="0" xfId="151" applyFont="1"/>
    <xf numFmtId="0" fontId="10" fillId="0" borderId="0" xfId="152" applyFont="1" applyAlignment="1">
      <alignment horizontal="left" vertical="center"/>
    </xf>
    <xf numFmtId="167" fontId="6" fillId="0" borderId="0" xfId="152" applyNumberFormat="1" applyFont="1" applyAlignment="1">
      <alignment horizontal="right" vertical="center" indent="1"/>
    </xf>
    <xf numFmtId="164" fontId="6" fillId="0" borderId="0" xfId="110" applyNumberFormat="1" applyFont="1" applyFill="1" applyBorder="1" applyAlignment="1" applyProtection="1">
      <alignment horizontal="right" vertical="center"/>
    </xf>
    <xf numFmtId="2" fontId="6" fillId="0" borderId="0" xfId="152" applyNumberFormat="1" applyFont="1" applyAlignment="1">
      <alignment horizontal="right" vertical="center" indent="1"/>
    </xf>
    <xf numFmtId="0" fontId="12" fillId="0" borderId="0" xfId="146" applyFont="1" applyAlignment="1">
      <alignment vertical="center"/>
    </xf>
    <xf numFmtId="0" fontId="12" fillId="0" borderId="0" xfId="148" applyFont="1" applyAlignment="1">
      <alignment vertical="center"/>
    </xf>
    <xf numFmtId="166" fontId="13" fillId="0" borderId="0" xfId="147" applyFont="1" applyAlignment="1">
      <alignment horizontal="right" vertical="center"/>
    </xf>
    <xf numFmtId="0" fontId="13" fillId="0" borderId="0" xfId="151" applyFont="1" applyAlignment="1">
      <alignment horizontal="right" vertical="center"/>
    </xf>
    <xf numFmtId="0" fontId="13" fillId="0" borderId="0" xfId="146" applyFont="1" applyAlignment="1">
      <alignment horizontal="right" vertical="center"/>
    </xf>
    <xf numFmtId="0" fontId="14" fillId="0" borderId="0" xfId="151" applyFont="1" applyAlignment="1">
      <alignment horizontal="right" vertical="center"/>
    </xf>
    <xf numFmtId="0" fontId="14" fillId="0" borderId="0" xfId="146" applyFont="1" applyAlignment="1">
      <alignment horizontal="right" vertical="center"/>
    </xf>
    <xf numFmtId="166" fontId="14" fillId="0" borderId="0" xfId="147" applyFont="1" applyAlignment="1">
      <alignment horizontal="right" vertical="center"/>
    </xf>
    <xf numFmtId="0" fontId="13" fillId="0" borderId="0" xfId="152" applyFont="1" applyAlignment="1">
      <alignment vertical="center"/>
    </xf>
    <xf numFmtId="0" fontId="12" fillId="0" borderId="0" xfId="146" applyFont="1" applyAlignment="1">
      <alignment horizontal="right" vertical="center"/>
    </xf>
    <xf numFmtId="166" fontId="14" fillId="0" borderId="0" xfId="147" applyFont="1" applyAlignment="1">
      <alignment vertical="center"/>
    </xf>
    <xf numFmtId="0" fontId="13" fillId="0" borderId="0" xfId="0" quotePrefix="1" applyFont="1"/>
    <xf numFmtId="0" fontId="13" fillId="0" borderId="0" xfId="146" applyFont="1" applyAlignment="1">
      <alignment horizontal="left" vertical="center"/>
    </xf>
    <xf numFmtId="0" fontId="13" fillId="0" borderId="0" xfId="153" applyFont="1" applyAlignment="1">
      <alignment vertical="center"/>
    </xf>
    <xf numFmtId="0" fontId="13" fillId="0" borderId="0" xfId="146" applyFont="1" applyAlignment="1">
      <alignment vertical="center"/>
    </xf>
    <xf numFmtId="0" fontId="14" fillId="0" borderId="0" xfId="146" applyFont="1" applyAlignment="1">
      <alignment horizontal="left" vertical="center"/>
    </xf>
    <xf numFmtId="0" fontId="13" fillId="0" borderId="0" xfId="151" applyFont="1" applyAlignment="1">
      <alignment horizontal="left" vertical="center"/>
    </xf>
    <xf numFmtId="0" fontId="14" fillId="0" borderId="0" xfId="151" applyFont="1" applyAlignment="1">
      <alignment horizontal="left" vertical="center"/>
    </xf>
    <xf numFmtId="174" fontId="14" fillId="0" borderId="0" xfId="146" applyNumberFormat="1" applyFont="1" applyAlignment="1">
      <alignment horizontal="left" vertical="center"/>
    </xf>
    <xf numFmtId="0" fontId="14" fillId="0" borderId="0" xfId="153" applyFont="1" applyAlignment="1">
      <alignment vertical="center"/>
    </xf>
    <xf numFmtId="174" fontId="14" fillId="0" borderId="0" xfId="154" applyNumberFormat="1" applyFont="1" applyAlignment="1">
      <alignment horizontal="left" vertical="center"/>
    </xf>
    <xf numFmtId="0" fontId="6" fillId="0" borderId="0" xfId="146" applyFont="1" applyAlignment="1">
      <alignment vertical="center"/>
    </xf>
    <xf numFmtId="166" fontId="3" fillId="0" borderId="0" xfId="155" applyFont="1" applyAlignment="1">
      <alignment horizontal="right" vertical="center"/>
    </xf>
    <xf numFmtId="166" fontId="3" fillId="0" borderId="0" xfId="155" applyFont="1">
      <alignment vertical="center"/>
    </xf>
    <xf numFmtId="166" fontId="5" fillId="0" borderId="0" xfId="155" applyFont="1" applyAlignment="1">
      <alignment horizontal="right" vertical="center"/>
    </xf>
    <xf numFmtId="166" fontId="5" fillId="0" borderId="0" xfId="155" applyFont="1">
      <alignment vertical="center"/>
    </xf>
    <xf numFmtId="166" fontId="2" fillId="0" borderId="1" xfId="147" applyFont="1" applyBorder="1" applyAlignment="1">
      <alignment vertical="center"/>
    </xf>
    <xf numFmtId="0" fontId="6" fillId="0" borderId="1" xfId="146" applyFont="1" applyBorder="1"/>
    <xf numFmtId="174" fontId="8" fillId="0" borderId="2" xfId="101" applyNumberFormat="1" applyFont="1" applyBorder="1" applyAlignment="1">
      <alignment horizontal="right" vertical="top" wrapText="1"/>
    </xf>
    <xf numFmtId="0" fontId="8" fillId="0" borderId="0" xfId="156" applyFont="1" applyAlignment="1">
      <alignment horizontal="left" vertical="center"/>
    </xf>
    <xf numFmtId="177" fontId="6" fillId="0" borderId="0" xfId="109" applyNumberFormat="1" applyFont="1" applyFill="1" applyAlignment="1">
      <alignment horizontal="right" vertical="center"/>
    </xf>
    <xf numFmtId="0" fontId="10" fillId="0" borderId="0" xfId="156" applyFont="1" applyAlignment="1">
      <alignment horizontal="left" vertical="center"/>
    </xf>
    <xf numFmtId="0" fontId="10" fillId="0" borderId="0" xfId="156" applyFont="1" applyAlignment="1">
      <alignment horizontal="left" vertical="center" indent="2"/>
    </xf>
    <xf numFmtId="0" fontId="8" fillId="0" borderId="0" xfId="108" applyFont="1" applyAlignment="1">
      <alignment horizontal="left" indent="3"/>
    </xf>
    <xf numFmtId="0" fontId="10" fillId="0" borderId="0" xfId="108" applyFont="1" applyAlignment="1">
      <alignment horizontal="left" indent="3"/>
    </xf>
    <xf numFmtId="0" fontId="6" fillId="0" borderId="0" xfId="108" applyFont="1" applyAlignment="1">
      <alignment horizontal="left" indent="3"/>
    </xf>
    <xf numFmtId="0" fontId="10" fillId="0" borderId="0" xfId="108" applyFont="1" applyAlignment="1">
      <alignment horizontal="left" indent="4"/>
    </xf>
    <xf numFmtId="177" fontId="6" fillId="0" borderId="0" xfId="108" applyNumberFormat="1" applyFont="1"/>
    <xf numFmtId="0" fontId="8" fillId="0" borderId="0" xfId="108" applyFont="1" applyAlignment="1">
      <alignment horizontal="left"/>
    </xf>
    <xf numFmtId="166" fontId="6" fillId="0" borderId="1" xfId="26" applyNumberFormat="1" applyFont="1" applyBorder="1" applyAlignment="1">
      <alignment vertical="center"/>
    </xf>
    <xf numFmtId="0" fontId="10" fillId="0" borderId="1" xfId="108" applyFont="1" applyBorder="1" applyAlignment="1">
      <alignment horizontal="left" indent="4"/>
    </xf>
    <xf numFmtId="166" fontId="6" fillId="0" borderId="1" xfId="150" applyFont="1" applyBorder="1" applyAlignment="1">
      <alignment vertical="center"/>
    </xf>
    <xf numFmtId="177" fontId="6" fillId="0" borderId="1" xfId="26" applyNumberFormat="1" applyFont="1" applyBorder="1" applyAlignment="1">
      <alignment horizontal="right" vertical="center"/>
    </xf>
    <xf numFmtId="3" fontId="6" fillId="0" borderId="1" xfId="26" applyNumberFormat="1" applyFont="1" applyBorder="1" applyAlignment="1">
      <alignment horizontal="right" vertical="center"/>
    </xf>
    <xf numFmtId="0" fontId="12" fillId="0" borderId="0" xfId="108" applyFont="1"/>
    <xf numFmtId="0" fontId="12" fillId="0" borderId="0" xfId="151" applyFont="1" applyAlignment="1">
      <alignment vertical="center"/>
    </xf>
    <xf numFmtId="0" fontId="12" fillId="0" borderId="0" xfId="156" applyFont="1" applyAlignment="1">
      <alignment vertical="center"/>
    </xf>
    <xf numFmtId="166" fontId="6" fillId="0" borderId="0" xfId="147" applyFont="1" applyAlignment="1">
      <alignment vertical="center"/>
    </xf>
    <xf numFmtId="166" fontId="2" fillId="0" borderId="0" xfId="147" applyFont="1" applyAlignment="1">
      <alignment vertical="center"/>
    </xf>
    <xf numFmtId="166" fontId="8" fillId="0" borderId="0" xfId="147" applyFont="1" applyAlignment="1">
      <alignment horizontal="right" vertical="center"/>
    </xf>
    <xf numFmtId="0" fontId="10" fillId="0" borderId="0" xfId="108" applyFont="1" applyAlignment="1">
      <alignment horizontal="left"/>
    </xf>
    <xf numFmtId="166" fontId="6" fillId="0" borderId="0" xfId="150" applyFont="1" applyAlignment="1">
      <alignment horizontal="left" vertical="center"/>
    </xf>
    <xf numFmtId="182" fontId="8" fillId="0" borderId="0" xfId="105" applyFont="1" applyAlignment="1">
      <alignment horizontal="left"/>
    </xf>
    <xf numFmtId="1" fontId="8" fillId="0" borderId="0" xfId="150" applyNumberFormat="1" applyFont="1" applyAlignment="1">
      <alignment horizontal="left" vertical="center"/>
    </xf>
    <xf numFmtId="177" fontId="6" fillId="0" borderId="0" xfId="108" applyNumberFormat="1" applyFont="1" applyAlignment="1">
      <alignment horizontal="left" vertical="center"/>
    </xf>
    <xf numFmtId="177" fontId="6" fillId="0" borderId="0" xfId="109" applyNumberFormat="1" applyFont="1" applyFill="1" applyAlignment="1">
      <alignment horizontal="left" vertical="center"/>
    </xf>
    <xf numFmtId="0" fontId="8" fillId="0" borderId="0" xfId="108" applyFont="1" applyAlignment="1">
      <alignment horizontal="left" indent="4"/>
    </xf>
    <xf numFmtId="177" fontId="12" fillId="0" borderId="0" xfId="151" applyNumberFormat="1" applyFont="1" applyAlignment="1">
      <alignment vertical="center"/>
    </xf>
    <xf numFmtId="0" fontId="12" fillId="2" borderId="0" xfId="151" applyFont="1" applyFill="1" applyAlignment="1">
      <alignment vertical="center"/>
    </xf>
    <xf numFmtId="0" fontId="2" fillId="0" borderId="0" xfId="151" applyFont="1"/>
    <xf numFmtId="0" fontId="6" fillId="0" borderId="0" xfId="151" applyFont="1" applyAlignment="1">
      <alignment horizontal="right"/>
    </xf>
    <xf numFmtId="0" fontId="3" fillId="0" borderId="0" xfId="151" applyFont="1" applyAlignment="1">
      <alignment horizontal="right" vertical="center"/>
    </xf>
    <xf numFmtId="0" fontId="3" fillId="0" borderId="0" xfId="157" applyFont="1" applyAlignment="1">
      <alignment horizontal="left" vertical="center"/>
    </xf>
    <xf numFmtId="0" fontId="3" fillId="0" borderId="0" xfId="158" applyFont="1" applyAlignment="1">
      <alignment vertical="center"/>
    </xf>
    <xf numFmtId="0" fontId="5" fillId="0" borderId="0" xfId="151" applyFont="1" applyAlignment="1">
      <alignment horizontal="right" vertical="center"/>
    </xf>
    <xf numFmtId="0" fontId="5" fillId="0" borderId="0" xfId="157" applyFont="1" applyAlignment="1">
      <alignment horizontal="left" vertical="center"/>
    </xf>
    <xf numFmtId="0" fontId="5" fillId="0" borderId="0" xfId="158" applyFont="1" applyAlignment="1">
      <alignment vertical="center"/>
    </xf>
    <xf numFmtId="0" fontId="6" fillId="0" borderId="1" xfId="152" applyFont="1" applyBorder="1"/>
    <xf numFmtId="174" fontId="8" fillId="0" borderId="2" xfId="26" applyFont="1" applyBorder="1" applyAlignment="1">
      <alignment horizontal="right" vertical="top" wrapText="1"/>
    </xf>
    <xf numFmtId="0" fontId="6" fillId="0" borderId="2" xfId="151" applyFont="1" applyBorder="1"/>
    <xf numFmtId="0" fontId="8" fillId="0" borderId="0" xfId="152" applyFont="1" applyAlignment="1">
      <alignment horizontal="right" vertical="center" indent="1"/>
    </xf>
    <xf numFmtId="0" fontId="6" fillId="0" borderId="0" xfId="152" applyFont="1" applyAlignment="1">
      <alignment horizontal="center" vertical="center"/>
    </xf>
    <xf numFmtId="177" fontId="6" fillId="0" borderId="0" xfId="151" applyNumberFormat="1" applyFont="1"/>
    <xf numFmtId="177" fontId="8" fillId="0" borderId="0" xfId="152" applyNumberFormat="1" applyFont="1" applyAlignment="1">
      <alignment horizontal="right" vertical="center" indent="1"/>
    </xf>
    <xf numFmtId="0" fontId="8" fillId="0" borderId="0" xfId="152" applyFont="1" applyAlignment="1">
      <alignment horizontal="left" vertical="center"/>
    </xf>
    <xf numFmtId="177" fontId="6" fillId="0" borderId="0" xfId="152" applyNumberFormat="1" applyFont="1" applyAlignment="1">
      <alignment vertical="center"/>
    </xf>
    <xf numFmtId="177" fontId="6" fillId="0" borderId="0" xfId="152" applyNumberFormat="1" applyFont="1" applyAlignment="1">
      <alignment horizontal="right" vertical="center" indent="1"/>
    </xf>
    <xf numFmtId="177" fontId="6" fillId="0" borderId="0" xfId="152" applyNumberFormat="1" applyFont="1" applyAlignment="1">
      <alignment horizontal="left"/>
    </xf>
    <xf numFmtId="177" fontId="6" fillId="0" borderId="0" xfId="151" applyNumberFormat="1" applyFont="1" applyAlignment="1">
      <alignment horizontal="right"/>
    </xf>
    <xf numFmtId="0" fontId="12" fillId="0" borderId="0" xfId="152" applyFont="1" applyAlignment="1">
      <alignment vertical="center"/>
    </xf>
    <xf numFmtId="0" fontId="6" fillId="0" borderId="4" xfId="152" applyFont="1" applyBorder="1" applyAlignment="1">
      <alignment vertical="center"/>
    </xf>
    <xf numFmtId="0" fontId="18" fillId="0" borderId="0" xfId="151" applyFont="1" applyAlignment="1">
      <alignment horizontal="left" vertical="center"/>
    </xf>
    <xf numFmtId="0" fontId="18" fillId="0" borderId="0" xfId="146" applyFont="1" applyAlignment="1">
      <alignment horizontal="left" vertical="center"/>
    </xf>
    <xf numFmtId="0" fontId="14" fillId="0" borderId="0" xfId="152" applyFont="1" applyAlignment="1">
      <alignment vertical="center"/>
    </xf>
    <xf numFmtId="0" fontId="14" fillId="0" borderId="0" xfId="151" applyFont="1" applyAlignment="1">
      <alignment vertical="center"/>
    </xf>
    <xf numFmtId="166" fontId="13" fillId="0" borderId="0" xfId="147" applyFont="1" applyAlignment="1">
      <alignment horizontal="left" vertical="center"/>
    </xf>
    <xf numFmtId="0" fontId="12" fillId="0" borderId="0" xfId="151" applyFont="1"/>
    <xf numFmtId="0" fontId="3" fillId="0" borderId="0" xfId="158" applyFont="1" applyAlignment="1">
      <alignment horizontal="left" vertical="center"/>
    </xf>
    <xf numFmtId="0" fontId="2" fillId="2" borderId="0" xfId="151" applyFont="1" applyFill="1"/>
    <xf numFmtId="0" fontId="88" fillId="0" borderId="0" xfId="151" applyFont="1" applyAlignment="1">
      <alignment horizontal="right" vertical="center"/>
    </xf>
    <xf numFmtId="0" fontId="5" fillId="0" borderId="0" xfId="158" applyFont="1" applyAlignment="1">
      <alignment horizontal="left" vertical="center"/>
    </xf>
    <xf numFmtId="164" fontId="8" fillId="0" borderId="0" xfId="129" applyNumberFormat="1" applyFont="1" applyFill="1" applyBorder="1" applyAlignment="1" applyProtection="1">
      <alignment horizontal="right" vertical="center"/>
    </xf>
    <xf numFmtId="2" fontId="6" fillId="0" borderId="0" xfId="152" applyNumberFormat="1" applyFont="1" applyAlignment="1">
      <alignment horizontal="left"/>
    </xf>
    <xf numFmtId="0" fontId="34" fillId="0" borderId="0" xfId="152" applyFont="1" applyAlignment="1">
      <alignment horizontal="left" vertical="center" indent="2"/>
    </xf>
    <xf numFmtId="0" fontId="35" fillId="0" borderId="0" xfId="0" applyFont="1" applyAlignment="1">
      <alignment horizontal="left" vertical="center" indent="2"/>
    </xf>
    <xf numFmtId="0" fontId="35" fillId="0" borderId="0" xfId="152" applyFont="1" applyAlignment="1">
      <alignment horizontal="left" vertical="center" indent="2"/>
    </xf>
    <xf numFmtId="0" fontId="10" fillId="0" borderId="0" xfId="152" applyFont="1" applyAlignment="1">
      <alignment horizontal="left" vertical="center" indent="2"/>
    </xf>
    <xf numFmtId="0" fontId="2" fillId="0" borderId="4" xfId="151" applyFont="1" applyBorder="1"/>
    <xf numFmtId="0" fontId="14" fillId="0" borderId="0" xfId="159" applyFont="1" applyAlignment="1">
      <alignment horizontal="left" vertical="center"/>
    </xf>
    <xf numFmtId="0" fontId="13" fillId="0" borderId="0" xfId="159" applyFont="1" applyAlignment="1">
      <alignment vertical="center"/>
    </xf>
    <xf numFmtId="0" fontId="12" fillId="0" borderId="0" xfId="159" applyFont="1" applyAlignment="1">
      <alignment vertical="center"/>
    </xf>
    <xf numFmtId="0" fontId="12" fillId="0" borderId="0" xfId="159" applyFont="1" applyAlignment="1">
      <alignment horizontal="right" vertical="center"/>
    </xf>
    <xf numFmtId="0" fontId="6" fillId="0" borderId="0" xfId="152" applyFont="1" applyAlignment="1">
      <alignment vertical="center"/>
    </xf>
    <xf numFmtId="0" fontId="8" fillId="0" borderId="0" xfId="152" applyFont="1" applyAlignment="1">
      <alignment horizontal="left" vertical="center" indent="2"/>
    </xf>
    <xf numFmtId="0" fontId="8" fillId="0" borderId="0" xfId="152" applyFont="1" applyAlignment="1">
      <alignment horizontal="left" vertical="center" indent="4"/>
    </xf>
    <xf numFmtId="0" fontId="10" fillId="0" borderId="0" xfId="140" applyFont="1" applyAlignment="1">
      <alignment horizontal="left" vertical="center" indent="1"/>
    </xf>
    <xf numFmtId="0" fontId="10" fillId="0" borderId="0" xfId="140" applyFont="1" applyAlignment="1">
      <alignment horizontal="left" vertical="center" indent="2"/>
    </xf>
    <xf numFmtId="167" fontId="6" fillId="0" borderId="0" xfId="140" applyNumberFormat="1" applyFont="1" applyAlignment="1">
      <alignment horizontal="right" vertical="center" indent="1"/>
    </xf>
    <xf numFmtId="167" fontId="8" fillId="0" borderId="0" xfId="152" applyNumberFormat="1" applyFont="1" applyAlignment="1">
      <alignment horizontal="right" vertical="center" indent="1"/>
    </xf>
    <xf numFmtId="167" fontId="10" fillId="0" borderId="0" xfId="152" applyNumberFormat="1" applyFont="1" applyAlignment="1">
      <alignment horizontal="right" vertical="center" indent="1"/>
    </xf>
    <xf numFmtId="0" fontId="13" fillId="0" borderId="0" xfId="152" quotePrefix="1" applyFont="1" applyAlignment="1">
      <alignment vertical="center"/>
    </xf>
    <xf numFmtId="0" fontId="19" fillId="0" borderId="1" xfId="86" applyFont="1" applyBorder="1" applyAlignment="1">
      <alignment horizontal="center" vertical="center"/>
    </xf>
    <xf numFmtId="0" fontId="8" fillId="0" borderId="1" xfId="0" applyFont="1" applyBorder="1" applyAlignment="1">
      <alignment horizontal="center" vertical="center" wrapText="1"/>
    </xf>
    <xf numFmtId="0" fontId="8" fillId="0" borderId="3" xfId="0" applyFont="1" applyBorder="1" applyAlignment="1">
      <alignment horizontal="right" vertical="center" wrapText="1"/>
    </xf>
    <xf numFmtId="0" fontId="62" fillId="0" borderId="1" xfId="17" applyFont="1" applyBorder="1" applyAlignment="1">
      <alignment vertical="center"/>
    </xf>
    <xf numFmtId="167" fontId="6" fillId="0" borderId="0" xfId="102" applyNumberFormat="1" applyFont="1" applyAlignment="1">
      <alignment horizontal="right" vertical="center"/>
    </xf>
    <xf numFmtId="3" fontId="6" fillId="0" borderId="0" xfId="102" applyNumberFormat="1" applyFont="1" applyAlignment="1">
      <alignment horizontal="right" vertical="center"/>
    </xf>
    <xf numFmtId="0" fontId="5" fillId="0" borderId="0" xfId="47" applyFont="1" applyAlignment="1">
      <alignment horizontal="right" vertical="center"/>
    </xf>
    <xf numFmtId="0" fontId="3" fillId="0" borderId="0" xfId="47" applyFont="1" applyAlignment="1">
      <alignment vertical="center"/>
    </xf>
    <xf numFmtId="0" fontId="8" fillId="0" borderId="1" xfId="4" applyFont="1" applyBorder="1" applyAlignment="1">
      <alignment horizontal="right" vertical="center" wrapText="1"/>
    </xf>
    <xf numFmtId="0" fontId="19" fillId="0" borderId="2" xfId="0" applyFont="1" applyBorder="1" applyAlignment="1">
      <alignment vertical="center" wrapText="1"/>
    </xf>
    <xf numFmtId="0" fontId="62" fillId="0" borderId="0" xfId="17" applyFont="1" applyAlignment="1">
      <alignment vertical="center" wrapText="1"/>
    </xf>
    <xf numFmtId="0" fontId="54" fillId="0" borderId="1" xfId="17" applyFont="1" applyBorder="1"/>
    <xf numFmtId="0" fontId="23" fillId="0" borderId="3" xfId="0" applyFont="1" applyBorder="1" applyAlignment="1">
      <alignment horizontal="right" vertical="center" wrapText="1"/>
    </xf>
    <xf numFmtId="0" fontId="6" fillId="0" borderId="0" xfId="65" applyFont="1" applyAlignment="1">
      <alignment horizontal="left" indent="1"/>
    </xf>
    <xf numFmtId="0" fontId="28" fillId="0" borderId="0" xfId="0" applyFont="1" applyAlignment="1">
      <alignment horizontal="left" vertical="center" indent="2"/>
    </xf>
    <xf numFmtId="0" fontId="82" fillId="0" borderId="0" xfId="89" applyFont="1" applyAlignment="1">
      <alignment horizontal="left" vertical="center" indent="1"/>
    </xf>
    <xf numFmtId="3" fontId="6" fillId="0" borderId="0" xfId="109" applyNumberFormat="1" applyFont="1" applyAlignment="1">
      <alignment horizontal="right" vertical="center"/>
    </xf>
    <xf numFmtId="3" fontId="6" fillId="0" borderId="0" xfId="110" applyNumberFormat="1" applyFont="1" applyFill="1" applyBorder="1" applyAlignment="1" applyProtection="1">
      <alignment horizontal="right" vertical="center"/>
    </xf>
    <xf numFmtId="167" fontId="8" fillId="0" borderId="0" xfId="109" applyNumberFormat="1" applyFont="1" applyAlignment="1">
      <alignment horizontal="right" vertical="center"/>
    </xf>
    <xf numFmtId="167" fontId="6" fillId="0" borderId="0" xfId="109" applyNumberFormat="1" applyFont="1" applyAlignment="1">
      <alignment horizontal="right" vertical="center"/>
    </xf>
    <xf numFmtId="167" fontId="6" fillId="0" borderId="0" xfId="110" applyNumberFormat="1" applyFont="1" applyFill="1" applyBorder="1" applyAlignment="1" applyProtection="1">
      <alignment horizontal="right" vertical="center"/>
    </xf>
    <xf numFmtId="167" fontId="2" fillId="0" borderId="1" xfId="108" applyNumberFormat="1" applyFont="1" applyBorder="1" applyAlignment="1">
      <alignment vertical="center"/>
    </xf>
    <xf numFmtId="167" fontId="2" fillId="0" borderId="0" xfId="111" applyNumberFormat="1" applyFont="1" applyAlignment="1">
      <alignment horizontal="right" vertical="center"/>
    </xf>
    <xf numFmtId="167" fontId="8" fillId="0" borderId="0" xfId="0" applyNumberFormat="1" applyFont="1" applyAlignment="1">
      <alignment horizontal="right" vertical="center"/>
    </xf>
    <xf numFmtId="167" fontId="6" fillId="0" borderId="0" xfId="58" applyNumberFormat="1" applyFont="1" applyAlignment="1">
      <alignment horizontal="right" vertical="center"/>
    </xf>
    <xf numFmtId="3" fontId="6" fillId="0" borderId="0" xfId="126" applyNumberFormat="1" applyFont="1" applyAlignment="1">
      <alignment horizontal="right" vertical="center"/>
    </xf>
    <xf numFmtId="3" fontId="6" fillId="0" borderId="0" xfId="127" applyNumberFormat="1" applyFont="1" applyFill="1" applyAlignment="1">
      <alignment horizontal="right" vertical="center" wrapText="1"/>
    </xf>
    <xf numFmtId="3" fontId="8" fillId="0" borderId="0" xfId="0" applyNumberFormat="1" applyFont="1" applyAlignment="1">
      <alignment horizontal="right" vertical="center" wrapText="1"/>
    </xf>
    <xf numFmtId="178" fontId="6" fillId="0" borderId="0" xfId="122" applyNumberFormat="1" applyFont="1" applyAlignment="1">
      <alignment horizontal="right" vertical="center" wrapText="1"/>
    </xf>
    <xf numFmtId="3" fontId="8" fillId="0" borderId="0" xfId="120" applyNumberFormat="1" applyFont="1" applyAlignment="1">
      <alignment horizontal="right" vertical="center"/>
    </xf>
    <xf numFmtId="3" fontId="8" fillId="0" borderId="0" xfId="120" applyNumberFormat="1" applyFont="1" applyAlignment="1">
      <alignment horizontal="right" vertical="center" wrapText="1"/>
    </xf>
    <xf numFmtId="3" fontId="8" fillId="0" borderId="0" xfId="128" applyNumberFormat="1" applyFont="1" applyAlignment="1">
      <alignment horizontal="right" vertical="center"/>
    </xf>
    <xf numFmtId="3" fontId="6" fillId="0" borderId="0" xfId="128" applyNumberFormat="1" applyFont="1" applyAlignment="1">
      <alignment horizontal="right" vertical="center"/>
    </xf>
    <xf numFmtId="3" fontId="10" fillId="0" borderId="0" xfId="120" applyNumberFormat="1" applyFont="1" applyAlignment="1">
      <alignment horizontal="right" vertical="center"/>
    </xf>
    <xf numFmtId="3" fontId="10" fillId="0" borderId="0" xfId="130" applyNumberFormat="1" applyFont="1" applyFill="1" applyBorder="1" applyAlignment="1">
      <alignment horizontal="right" vertical="center" wrapText="1"/>
    </xf>
    <xf numFmtId="3" fontId="6" fillId="0" borderId="0" xfId="132" applyNumberFormat="1" applyFont="1" applyAlignment="1">
      <alignment horizontal="right" vertical="center"/>
    </xf>
    <xf numFmtId="3" fontId="8" fillId="0" borderId="0" xfId="132" applyNumberFormat="1" applyFont="1" applyAlignment="1">
      <alignment horizontal="right" vertical="center"/>
    </xf>
    <xf numFmtId="3" fontId="6" fillId="0" borderId="0" xfId="28" applyNumberFormat="1" applyFont="1" applyAlignment="1">
      <alignment horizontal="right" vertical="center"/>
    </xf>
    <xf numFmtId="3" fontId="8" fillId="0" borderId="0" xfId="132" applyNumberFormat="1" applyFont="1" applyAlignment="1">
      <alignment horizontal="right" vertical="center" wrapText="1"/>
    </xf>
    <xf numFmtId="3" fontId="6" fillId="0" borderId="0" xfId="134" applyNumberFormat="1" applyFont="1" applyAlignment="1">
      <alignment horizontal="right" vertical="center"/>
    </xf>
    <xf numFmtId="3" fontId="10" fillId="0" borderId="0" xfId="132" applyNumberFormat="1" applyFont="1" applyAlignment="1">
      <alignment horizontal="right" vertical="center"/>
    </xf>
    <xf numFmtId="3" fontId="8" fillId="0" borderId="0" xfId="28" applyNumberFormat="1" applyFont="1" applyAlignment="1">
      <alignment horizontal="right" vertical="center"/>
    </xf>
    <xf numFmtId="3" fontId="8" fillId="0" borderId="0" xfId="137" applyNumberFormat="1" applyFont="1" applyAlignment="1">
      <alignment horizontal="right" vertical="center" wrapText="1"/>
    </xf>
    <xf numFmtId="3" fontId="8" fillId="0" borderId="0" xfId="137" applyNumberFormat="1" applyFont="1" applyAlignment="1">
      <alignment horizontal="right" vertical="center"/>
    </xf>
    <xf numFmtId="3" fontId="6" fillId="0" borderId="0" xfId="137" applyNumberFormat="1" applyFont="1" applyAlignment="1">
      <alignment horizontal="right" vertical="center"/>
    </xf>
    <xf numFmtId="3" fontId="6" fillId="0" borderId="0" xfId="34" applyNumberFormat="1" applyFont="1" applyAlignment="1">
      <alignment horizontal="right" vertical="center" wrapText="1"/>
    </xf>
    <xf numFmtId="3" fontId="6" fillId="0" borderId="0" xfId="139" quotePrefix="1" applyNumberFormat="1" applyFont="1" applyAlignment="1">
      <alignment horizontal="right" vertical="center"/>
    </xf>
    <xf numFmtId="3" fontId="6" fillId="0" borderId="0" xfId="137" applyNumberFormat="1" applyFont="1" applyAlignment="1">
      <alignment horizontal="right" vertical="center" wrapText="1"/>
    </xf>
    <xf numFmtId="3" fontId="2" fillId="0" borderId="0" xfId="0" applyNumberFormat="1" applyFont="1" applyAlignment="1">
      <alignment horizontal="right" vertical="center"/>
    </xf>
    <xf numFmtId="3" fontId="8" fillId="0" borderId="0" xfId="129" applyNumberFormat="1" applyFont="1" applyFill="1" applyBorder="1" applyAlignment="1" applyProtection="1">
      <alignment horizontal="right" vertical="center"/>
    </xf>
    <xf numFmtId="3" fontId="6" fillId="0" borderId="0" xfId="128" applyNumberFormat="1" applyFont="1" applyBorder="1" applyAlignment="1">
      <alignment horizontal="right" vertical="center"/>
    </xf>
    <xf numFmtId="3" fontId="8" fillId="0" borderId="0" xfId="138" applyNumberFormat="1" applyFont="1" applyAlignment="1">
      <alignment horizontal="right" vertical="center"/>
    </xf>
    <xf numFmtId="3" fontId="6" fillId="0" borderId="0" xfId="25" applyNumberFormat="1" applyFont="1" applyFill="1" applyBorder="1" applyAlignment="1">
      <alignment horizontal="right" vertical="center"/>
    </xf>
    <xf numFmtId="3" fontId="6" fillId="0" borderId="4" xfId="138" applyNumberFormat="1" applyFont="1" applyBorder="1" applyAlignment="1">
      <alignment horizontal="right" vertical="center"/>
    </xf>
    <xf numFmtId="3" fontId="2" fillId="0" borderId="4" xfId="0" applyNumberFormat="1" applyFont="1" applyBorder="1" applyAlignment="1">
      <alignment horizontal="right" vertical="center"/>
    </xf>
    <xf numFmtId="167" fontId="6" fillId="0" borderId="0" xfId="144" applyNumberFormat="1" applyFont="1" applyAlignment="1">
      <alignment horizontal="right" vertical="center"/>
    </xf>
    <xf numFmtId="167" fontId="10" fillId="0" borderId="0" xfId="144" applyNumberFormat="1" applyFont="1" applyAlignment="1">
      <alignment horizontal="right" vertical="center" wrapText="1"/>
    </xf>
    <xf numFmtId="167" fontId="6" fillId="0" borderId="0" xfId="30" applyNumberFormat="1" applyFont="1" applyAlignment="1">
      <alignment horizontal="right" vertical="center"/>
    </xf>
    <xf numFmtId="167" fontId="10" fillId="0" borderId="0" xfId="144" applyNumberFormat="1" applyFont="1" applyAlignment="1">
      <alignment horizontal="right" vertical="center"/>
    </xf>
    <xf numFmtId="167" fontId="6" fillId="0" borderId="0" xfId="129" applyNumberFormat="1" applyFont="1" applyFill="1" applyBorder="1" applyAlignment="1" applyProtection="1">
      <alignment horizontal="right" vertical="center"/>
    </xf>
    <xf numFmtId="167" fontId="8" fillId="0" borderId="0" xfId="144" applyNumberFormat="1" applyFont="1" applyAlignment="1">
      <alignment horizontal="right" vertical="center"/>
    </xf>
    <xf numFmtId="167" fontId="12" fillId="0" borderId="0" xfId="0" applyNumberFormat="1" applyFont="1" applyAlignment="1">
      <alignment horizontal="right" vertical="center"/>
    </xf>
    <xf numFmtId="167" fontId="12" fillId="0" borderId="0" xfId="144" applyNumberFormat="1" applyFont="1" applyAlignment="1">
      <alignment horizontal="right" vertical="center"/>
    </xf>
    <xf numFmtId="167" fontId="2" fillId="0" borderId="0" xfId="0" applyNumberFormat="1" applyFont="1" applyAlignment="1">
      <alignment horizontal="right" vertical="center"/>
    </xf>
    <xf numFmtId="3" fontId="6" fillId="0" borderId="0" xfId="148" applyNumberFormat="1" applyFont="1" applyAlignment="1">
      <alignment horizontal="right" vertical="center"/>
    </xf>
    <xf numFmtId="3" fontId="6" fillId="0" borderId="0" xfId="146" applyNumberFormat="1" applyFont="1" applyAlignment="1">
      <alignment horizontal="right" vertical="center"/>
    </xf>
    <xf numFmtId="3" fontId="8" fillId="0" borderId="0" xfId="148" applyNumberFormat="1" applyFont="1" applyAlignment="1">
      <alignment horizontal="right" vertical="center"/>
    </xf>
    <xf numFmtId="3" fontId="6" fillId="0" borderId="0" xfId="152" applyNumberFormat="1" applyFont="1" applyAlignment="1">
      <alignment horizontal="right" vertical="center"/>
    </xf>
    <xf numFmtId="3" fontId="6" fillId="0" borderId="0" xfId="109" applyNumberFormat="1" applyFont="1" applyFill="1" applyAlignment="1">
      <alignment horizontal="right" vertical="center"/>
    </xf>
    <xf numFmtId="3" fontId="6" fillId="0" borderId="1" xfId="108" applyNumberFormat="1" applyFont="1" applyBorder="1" applyAlignment="1">
      <alignment horizontal="right" vertical="center"/>
    </xf>
    <xf numFmtId="3" fontId="12" fillId="0" borderId="0" xfId="151" applyNumberFormat="1" applyFont="1" applyAlignment="1">
      <alignment horizontal="right" vertical="center"/>
    </xf>
    <xf numFmtId="3" fontId="6" fillId="0" borderId="0" xfId="151" applyNumberFormat="1" applyFont="1" applyAlignment="1">
      <alignment horizontal="right" vertical="center"/>
    </xf>
    <xf numFmtId="3" fontId="6" fillId="0" borderId="4" xfId="152" applyNumberFormat="1" applyFont="1" applyBorder="1" applyAlignment="1">
      <alignment horizontal="right" vertical="center"/>
    </xf>
    <xf numFmtId="3" fontId="8" fillId="0" borderId="0" xfId="152" applyNumberFormat="1" applyFont="1" applyAlignment="1">
      <alignment horizontal="right" vertical="center"/>
    </xf>
    <xf numFmtId="3" fontId="2" fillId="0" borderId="4" xfId="151" applyNumberFormat="1" applyFont="1" applyBorder="1" applyAlignment="1">
      <alignment horizontal="right" vertical="center"/>
    </xf>
    <xf numFmtId="3" fontId="6" fillId="0" borderId="0" xfId="69" applyNumberFormat="1" applyFont="1" applyAlignment="1">
      <alignment horizontal="right" vertical="center"/>
    </xf>
    <xf numFmtId="3" fontId="6" fillId="0" borderId="0" xfId="67" applyNumberFormat="1" applyFont="1" applyAlignment="1">
      <alignment horizontal="right" vertical="center"/>
    </xf>
    <xf numFmtId="167" fontId="28" fillId="0" borderId="0" xfId="69" applyNumberFormat="1" applyFont="1" applyFill="1" applyBorder="1" applyAlignment="1">
      <alignment horizontal="right" vertical="center"/>
    </xf>
    <xf numFmtId="3" fontId="28" fillId="0" borderId="0" xfId="69" applyNumberFormat="1" applyFont="1" applyFill="1" applyBorder="1" applyAlignment="1">
      <alignment horizontal="right" vertical="center"/>
    </xf>
    <xf numFmtId="3" fontId="28" fillId="0" borderId="0" xfId="6" applyNumberFormat="1" applyFont="1" applyFill="1" applyBorder="1" applyAlignment="1">
      <alignment horizontal="right" vertical="center"/>
    </xf>
    <xf numFmtId="167" fontId="28" fillId="0" borderId="0" xfId="6" applyNumberFormat="1" applyFont="1" applyFill="1" applyBorder="1" applyAlignment="1">
      <alignment horizontal="right" vertical="center"/>
    </xf>
    <xf numFmtId="3" fontId="8" fillId="0" borderId="0" xfId="5" applyNumberFormat="1" applyFont="1" applyFill="1" applyAlignment="1">
      <alignment horizontal="right" vertical="center"/>
    </xf>
    <xf numFmtId="3" fontId="6" fillId="0" borderId="0" xfId="5" applyNumberFormat="1" applyFont="1" applyFill="1" applyAlignment="1">
      <alignment horizontal="right" vertical="center"/>
    </xf>
    <xf numFmtId="167" fontId="8" fillId="0" borderId="0" xfId="6" applyNumberFormat="1" applyFont="1" applyFill="1" applyBorder="1" applyAlignment="1">
      <alignment horizontal="right" vertical="center"/>
    </xf>
    <xf numFmtId="167" fontId="6" fillId="0" borderId="0" xfId="6" applyNumberFormat="1" applyFont="1" applyFill="1" applyBorder="1" applyAlignment="1">
      <alignment horizontal="right" vertical="center"/>
    </xf>
    <xf numFmtId="167" fontId="8" fillId="0" borderId="0" xfId="5" applyNumberFormat="1" applyFont="1" applyAlignment="1">
      <alignment horizontal="right" vertical="center"/>
    </xf>
    <xf numFmtId="167" fontId="6" fillId="0" borderId="0" xfId="5" applyNumberFormat="1" applyFont="1" applyAlignment="1">
      <alignment horizontal="right" vertical="center"/>
    </xf>
    <xf numFmtId="179" fontId="6" fillId="0" borderId="0" xfId="5" applyNumberFormat="1" applyFont="1" applyFill="1" applyAlignment="1">
      <alignment horizontal="right" vertical="center"/>
    </xf>
    <xf numFmtId="180" fontId="6" fillId="0" borderId="0" xfId="5" applyNumberFormat="1" applyFont="1" applyFill="1" applyAlignment="1">
      <alignment horizontal="right" vertical="center"/>
    </xf>
    <xf numFmtId="179" fontId="8" fillId="0" borderId="0" xfId="5" applyNumberFormat="1" applyFont="1" applyFill="1" applyAlignment="1">
      <alignment horizontal="right" vertical="center"/>
    </xf>
    <xf numFmtId="167" fontId="6" fillId="0" borderId="0" xfId="71" applyNumberFormat="1" applyFont="1" applyFill="1" applyBorder="1" applyAlignment="1">
      <alignment horizontal="right" vertical="center"/>
    </xf>
    <xf numFmtId="167" fontId="6" fillId="0" borderId="0" xfId="72" applyNumberFormat="1" applyFont="1" applyFill="1" applyBorder="1" applyAlignment="1">
      <alignment horizontal="right" vertical="center"/>
    </xf>
    <xf numFmtId="167" fontId="6" fillId="0" borderId="0" xfId="73" applyNumberFormat="1" applyFont="1" applyFill="1" applyAlignment="1">
      <alignment horizontal="right" vertical="center"/>
    </xf>
    <xf numFmtId="3" fontId="6" fillId="0" borderId="0" xfId="6" applyNumberFormat="1" applyFont="1" applyBorder="1" applyAlignment="1">
      <alignment horizontal="right" vertical="center"/>
    </xf>
    <xf numFmtId="3" fontId="8" fillId="0" borderId="0" xfId="6" applyNumberFormat="1" applyFont="1" applyBorder="1" applyAlignment="1">
      <alignment horizontal="right" vertical="center"/>
    </xf>
    <xf numFmtId="167" fontId="6" fillId="0" borderId="0" xfId="6" applyNumberFormat="1" applyFont="1" applyBorder="1" applyAlignment="1">
      <alignment horizontal="right" vertical="center"/>
    </xf>
    <xf numFmtId="167" fontId="8" fillId="0" borderId="0" xfId="6" applyNumberFormat="1" applyFont="1" applyBorder="1" applyAlignment="1">
      <alignment horizontal="right" vertical="center"/>
    </xf>
    <xf numFmtId="3" fontId="6" fillId="0" borderId="0" xfId="69" applyNumberFormat="1" applyFont="1" applyBorder="1" applyAlignment="1">
      <alignment horizontal="right" vertical="center"/>
    </xf>
    <xf numFmtId="167" fontId="6" fillId="0" borderId="0" xfId="69" applyNumberFormat="1" applyFont="1" applyBorder="1" applyAlignment="1">
      <alignment horizontal="right" vertical="center"/>
    </xf>
    <xf numFmtId="167" fontId="6" fillId="0" borderId="0" xfId="69" applyNumberFormat="1" applyFont="1" applyAlignment="1">
      <alignment horizontal="right" vertical="center"/>
    </xf>
    <xf numFmtId="3" fontId="8" fillId="0" borderId="0" xfId="67" applyNumberFormat="1" applyFont="1" applyAlignment="1">
      <alignment horizontal="right" vertical="center"/>
    </xf>
    <xf numFmtId="3" fontId="12" fillId="0" borderId="1" xfId="18" applyNumberFormat="1" applyFont="1" applyBorder="1" applyAlignment="1">
      <alignment horizontal="right" vertical="center"/>
    </xf>
    <xf numFmtId="3" fontId="23" fillId="0" borderId="0" xfId="0" applyNumberFormat="1" applyFont="1" applyAlignment="1">
      <alignment horizontal="right" vertical="center" wrapText="1"/>
    </xf>
    <xf numFmtId="3" fontId="26" fillId="0" borderId="0" xfId="0" applyNumberFormat="1" applyFont="1" applyAlignment="1">
      <alignment horizontal="right" vertical="center" wrapText="1"/>
    </xf>
    <xf numFmtId="3" fontId="6" fillId="0" borderId="0" xfId="0" applyNumberFormat="1" applyFont="1" applyAlignment="1">
      <alignment horizontal="right" vertical="center" wrapText="1"/>
    </xf>
    <xf numFmtId="167" fontId="19" fillId="0" borderId="0" xfId="0" applyNumberFormat="1" applyFont="1" applyAlignment="1">
      <alignment horizontal="right" vertical="center"/>
    </xf>
    <xf numFmtId="167" fontId="28" fillId="0" borderId="0" xfId="24" applyNumberFormat="1" applyFont="1" applyFill="1" applyBorder="1" applyAlignment="1">
      <alignment horizontal="right" vertical="center"/>
    </xf>
    <xf numFmtId="167" fontId="19" fillId="0" borderId="0" xfId="24" applyNumberFormat="1" applyFont="1" applyFill="1" applyBorder="1" applyAlignment="1">
      <alignment horizontal="right" vertical="center"/>
    </xf>
    <xf numFmtId="167" fontId="32" fillId="0" borderId="0" xfId="24" applyNumberFormat="1" applyFont="1" applyFill="1" applyBorder="1" applyAlignment="1">
      <alignment horizontal="right" vertical="center"/>
    </xf>
    <xf numFmtId="3" fontId="28" fillId="0" borderId="0" xfId="24" applyNumberFormat="1" applyFont="1" applyFill="1" applyBorder="1" applyAlignment="1">
      <alignment horizontal="right" vertical="center"/>
    </xf>
    <xf numFmtId="3" fontId="28" fillId="0" borderId="1" xfId="24" applyNumberFormat="1" applyFont="1" applyFill="1" applyBorder="1" applyAlignment="1">
      <alignment horizontal="right" vertical="center"/>
    </xf>
    <xf numFmtId="3" fontId="33" fillId="0" borderId="0" xfId="24" applyNumberFormat="1" applyFont="1" applyFill="1" applyBorder="1" applyAlignment="1">
      <alignment horizontal="right" vertical="center"/>
    </xf>
    <xf numFmtId="3" fontId="32" fillId="0" borderId="0" xfId="24" applyNumberFormat="1" applyFont="1" applyFill="1" applyBorder="1" applyAlignment="1">
      <alignment horizontal="right" vertical="center"/>
    </xf>
    <xf numFmtId="3" fontId="32" fillId="0" borderId="1" xfId="24" applyNumberFormat="1" applyFont="1" applyFill="1" applyBorder="1" applyAlignment="1">
      <alignment horizontal="right" vertical="center"/>
    </xf>
    <xf numFmtId="167" fontId="23" fillId="0" borderId="0" xfId="0" applyNumberFormat="1" applyFont="1" applyAlignment="1">
      <alignment horizontal="right" vertical="center" wrapText="1"/>
    </xf>
    <xf numFmtId="167" fontId="8" fillId="0" borderId="0" xfId="0" applyNumberFormat="1" applyFont="1" applyAlignment="1">
      <alignment horizontal="right" vertical="center" wrapText="1"/>
    </xf>
    <xf numFmtId="167" fontId="19" fillId="0" borderId="0" xfId="0" applyNumberFormat="1" applyFont="1" applyAlignment="1">
      <alignment horizontal="right" vertical="center" wrapText="1"/>
    </xf>
    <xf numFmtId="167" fontId="28" fillId="0" borderId="0" xfId="0" applyNumberFormat="1" applyFont="1" applyAlignment="1">
      <alignment horizontal="right" vertical="center" wrapText="1"/>
    </xf>
    <xf numFmtId="167" fontId="6" fillId="0" borderId="0" xfId="0" applyNumberFormat="1" applyFont="1" applyAlignment="1">
      <alignment horizontal="right" vertical="center" wrapText="1"/>
    </xf>
    <xf numFmtId="167" fontId="26" fillId="0" borderId="0" xfId="0" applyNumberFormat="1" applyFont="1" applyAlignment="1">
      <alignment horizontal="right" vertical="center"/>
    </xf>
    <xf numFmtId="167" fontId="23" fillId="0" borderId="0" xfId="0" applyNumberFormat="1" applyFont="1" applyAlignment="1">
      <alignment horizontal="right" vertical="center"/>
    </xf>
    <xf numFmtId="4" fontId="28" fillId="0" borderId="0" xfId="86" applyNumberFormat="1" applyFont="1" applyAlignment="1">
      <alignment horizontal="right" vertical="center" wrapText="1"/>
    </xf>
    <xf numFmtId="4" fontId="6" fillId="0" borderId="0" xfId="86" applyNumberFormat="1" applyFont="1" applyAlignment="1">
      <alignment horizontal="right" vertical="center"/>
    </xf>
    <xf numFmtId="4" fontId="28" fillId="0" borderId="0" xfId="86" applyNumberFormat="1" applyFont="1" applyAlignment="1">
      <alignment horizontal="right" vertical="center"/>
    </xf>
    <xf numFmtId="4" fontId="6" fillId="0" borderId="0" xfId="87" applyNumberFormat="1" applyFont="1" applyAlignment="1">
      <alignment horizontal="right" vertical="center"/>
    </xf>
    <xf numFmtId="167" fontId="78" fillId="0" borderId="0" xfId="0" applyNumberFormat="1" applyFont="1" applyAlignment="1">
      <alignment horizontal="right" vertical="center" wrapText="1"/>
    </xf>
    <xf numFmtId="3" fontId="8" fillId="0" borderId="0" xfId="42" applyNumberFormat="1" applyFont="1" applyAlignment="1">
      <alignment horizontal="right" vertical="center"/>
    </xf>
    <xf numFmtId="3" fontId="8" fillId="0" borderId="0" xfId="34" applyNumberFormat="1" applyFont="1" applyAlignment="1">
      <alignment horizontal="right" vertical="center"/>
    </xf>
    <xf numFmtId="3" fontId="6" fillId="0" borderId="0" xfId="42" applyNumberFormat="1" applyFont="1" applyAlignment="1">
      <alignment horizontal="right" vertical="center"/>
    </xf>
    <xf numFmtId="3" fontId="6" fillId="0" borderId="0" xfId="34" applyNumberFormat="1" applyFont="1" applyAlignment="1">
      <alignment horizontal="right" vertical="center"/>
    </xf>
    <xf numFmtId="3" fontId="2" fillId="0" borderId="0" xfId="18" applyNumberFormat="1" applyFont="1" applyAlignment="1">
      <alignment horizontal="right" vertical="center"/>
    </xf>
    <xf numFmtId="3" fontId="6" fillId="0" borderId="3" xfId="18" applyNumberFormat="1" applyFont="1" applyBorder="1" applyAlignment="1">
      <alignment horizontal="right" vertical="center"/>
    </xf>
    <xf numFmtId="3" fontId="2" fillId="0" borderId="3" xfId="18" applyNumberFormat="1" applyFont="1" applyBorder="1" applyAlignment="1">
      <alignment horizontal="right" vertical="center"/>
    </xf>
    <xf numFmtId="3" fontId="10" fillId="0" borderId="0" xfId="67" applyNumberFormat="1" applyFont="1" applyAlignment="1">
      <alignment horizontal="right" vertical="center"/>
    </xf>
    <xf numFmtId="4" fontId="8" fillId="0" borderId="0" xfId="5" applyNumberFormat="1" applyFont="1" applyAlignment="1">
      <alignment horizontal="right" vertical="center"/>
    </xf>
    <xf numFmtId="4" fontId="10" fillId="0" borderId="0" xfId="5" applyNumberFormat="1" applyFont="1" applyAlignment="1">
      <alignment horizontal="right" vertical="center"/>
    </xf>
    <xf numFmtId="4" fontId="10" fillId="0" borderId="0" xfId="18" applyNumberFormat="1" applyFont="1" applyAlignment="1">
      <alignment horizontal="right" vertical="center"/>
    </xf>
    <xf numFmtId="4" fontId="2" fillId="0" borderId="1" xfId="18" applyNumberFormat="1" applyFont="1" applyBorder="1" applyAlignment="1">
      <alignment horizontal="right" vertical="center"/>
    </xf>
    <xf numFmtId="4" fontId="8" fillId="0" borderId="0" xfId="14" applyNumberFormat="1" applyFont="1" applyAlignment="1">
      <alignment horizontal="right" vertical="center"/>
    </xf>
    <xf numFmtId="4" fontId="10" fillId="0" borderId="0" xfId="14" applyNumberFormat="1" applyFont="1" applyAlignment="1">
      <alignment horizontal="right" vertical="center"/>
    </xf>
    <xf numFmtId="4" fontId="11" fillId="0" borderId="0" xfId="18" applyNumberFormat="1" applyFont="1" applyAlignment="1">
      <alignment horizontal="right" vertical="center"/>
    </xf>
    <xf numFmtId="3" fontId="6" fillId="0" borderId="0" xfId="12" quotePrefix="1" applyNumberFormat="1" applyFont="1" applyAlignment="1">
      <alignment horizontal="right" vertical="center"/>
    </xf>
    <xf numFmtId="3" fontId="6" fillId="0" borderId="0" xfId="2" quotePrefix="1" applyNumberFormat="1" applyFont="1" applyAlignment="1">
      <alignment horizontal="right" vertical="center"/>
    </xf>
    <xf numFmtId="3" fontId="2" fillId="0" borderId="0" xfId="12" applyNumberFormat="1" applyFont="1" applyAlignment="1">
      <alignment horizontal="right" vertical="center"/>
    </xf>
    <xf numFmtId="3" fontId="6" fillId="0" borderId="0" xfId="5" applyNumberFormat="1" applyFont="1" applyAlignment="1">
      <alignment horizontal="right" vertical="center" wrapText="1"/>
    </xf>
    <xf numFmtId="3" fontId="10" fillId="0" borderId="0" xfId="5" applyNumberFormat="1" applyFont="1" applyAlignment="1">
      <alignment horizontal="right" vertical="center" wrapText="1"/>
    </xf>
    <xf numFmtId="3" fontId="6" fillId="0" borderId="0" xfId="47" applyNumberFormat="1" applyFont="1" applyAlignment="1">
      <alignment horizontal="right" vertical="center" wrapText="1"/>
    </xf>
    <xf numFmtId="3" fontId="10" fillId="0" borderId="0" xfId="47" applyNumberFormat="1" applyFont="1" applyAlignment="1">
      <alignment horizontal="right" vertical="center" wrapText="1"/>
    </xf>
    <xf numFmtId="3" fontId="39" fillId="0" borderId="0" xfId="5" applyNumberFormat="1" applyFont="1" applyAlignment="1">
      <alignment horizontal="right" vertical="center" wrapText="1"/>
    </xf>
    <xf numFmtId="3" fontId="10" fillId="0" borderId="0" xfId="0" applyNumberFormat="1" applyFont="1" applyAlignment="1">
      <alignment horizontal="right" vertical="center"/>
    </xf>
    <xf numFmtId="3" fontId="28" fillId="0" borderId="1" xfId="0" applyNumberFormat="1" applyFont="1" applyBorder="1" applyAlignment="1">
      <alignment horizontal="right" vertical="center"/>
    </xf>
    <xf numFmtId="3" fontId="6" fillId="0" borderId="0" xfId="6" applyNumberFormat="1" applyFont="1" applyFill="1" applyBorder="1" applyAlignment="1">
      <alignment horizontal="right" vertical="center"/>
    </xf>
    <xf numFmtId="3" fontId="6" fillId="0" borderId="0" xfId="6" applyNumberFormat="1" applyFont="1" applyFill="1" applyAlignment="1">
      <alignment horizontal="right" vertical="center"/>
    </xf>
    <xf numFmtId="3" fontId="8" fillId="0" borderId="0" xfId="94" applyNumberFormat="1" applyFont="1" applyFill="1" applyBorder="1" applyAlignment="1">
      <alignment horizontal="right" vertical="center"/>
    </xf>
    <xf numFmtId="3" fontId="6" fillId="0" borderId="0" xfId="94" applyNumberFormat="1" applyFont="1" applyFill="1" applyBorder="1" applyAlignment="1">
      <alignment horizontal="right" vertical="center"/>
    </xf>
    <xf numFmtId="3" fontId="6" fillId="0" borderId="0" xfId="65" applyNumberFormat="1" applyFont="1" applyAlignment="1">
      <alignment horizontal="right" vertical="center"/>
    </xf>
    <xf numFmtId="3" fontId="28" fillId="0" borderId="0" xfId="65" applyNumberFormat="1" applyFont="1" applyAlignment="1">
      <alignment horizontal="right" vertical="center"/>
    </xf>
    <xf numFmtId="167" fontId="6" fillId="0" borderId="7" xfId="53" applyNumberFormat="1" applyFont="1" applyBorder="1" applyAlignment="1">
      <alignment horizontal="right" vertical="center"/>
    </xf>
    <xf numFmtId="167" fontId="6" fillId="0" borderId="0" xfId="53" applyNumberFormat="1" applyFont="1" applyAlignment="1">
      <alignment horizontal="right" vertical="center"/>
    </xf>
    <xf numFmtId="3" fontId="28" fillId="0" borderId="0" xfId="35" applyNumberFormat="1" applyFont="1" applyAlignment="1">
      <alignment horizontal="right" vertical="center"/>
    </xf>
    <xf numFmtId="3" fontId="6" fillId="0" borderId="0" xfId="22" quotePrefix="1" applyNumberFormat="1" applyFont="1" applyFill="1" applyBorder="1" applyAlignment="1">
      <alignment horizontal="right" vertical="center"/>
    </xf>
    <xf numFmtId="167" fontId="28" fillId="0" borderId="0" xfId="22" applyNumberFormat="1" applyFont="1" applyFill="1" applyAlignment="1">
      <alignment horizontal="right" vertical="center"/>
    </xf>
    <xf numFmtId="167" fontId="28" fillId="0" borderId="0" xfId="35" applyNumberFormat="1" applyFont="1" applyAlignment="1">
      <alignment horizontal="right" vertical="center"/>
    </xf>
    <xf numFmtId="178" fontId="6" fillId="0" borderId="0" xfId="17" applyNumberFormat="1" applyFont="1" applyAlignment="1">
      <alignment horizontal="right" vertical="center"/>
    </xf>
    <xf numFmtId="178" fontId="28" fillId="0" borderId="0" xfId="35" applyNumberFormat="1" applyFont="1" applyAlignment="1">
      <alignment horizontal="right" vertical="center"/>
    </xf>
    <xf numFmtId="3" fontId="8" fillId="0" borderId="0" xfId="22" applyNumberFormat="1" applyFont="1" applyFill="1" applyBorder="1" applyAlignment="1">
      <alignment horizontal="right" vertical="center"/>
    </xf>
    <xf numFmtId="167" fontId="19" fillId="0" borderId="0" xfId="22" applyNumberFormat="1" applyFont="1" applyFill="1" applyAlignment="1">
      <alignment horizontal="right" vertical="center"/>
    </xf>
    <xf numFmtId="178" fontId="8" fillId="0" borderId="0" xfId="17" applyNumberFormat="1" applyFont="1" applyAlignment="1">
      <alignment horizontal="right" vertical="center"/>
    </xf>
    <xf numFmtId="0" fontId="8" fillId="0" borderId="0" xfId="140" applyFont="1" applyAlignment="1">
      <alignment vertical="center"/>
    </xf>
    <xf numFmtId="0" fontId="10" fillId="0" borderId="4" xfId="140" applyFont="1" applyBorder="1" applyAlignment="1">
      <alignment vertical="center"/>
    </xf>
    <xf numFmtId="0" fontId="10" fillId="0" borderId="0" xfId="140" applyFont="1" applyAlignment="1">
      <alignment vertical="center"/>
    </xf>
    <xf numFmtId="0" fontId="14" fillId="0" borderId="0" xfId="0" applyFont="1" applyAlignment="1">
      <alignment horizontal="left" vertical="top" wrapText="1"/>
    </xf>
    <xf numFmtId="174" fontId="8" fillId="0" borderId="0" xfId="101" applyNumberFormat="1" applyFont="1" applyAlignment="1">
      <alignment horizontal="center" vertical="center" wrapText="1"/>
    </xf>
    <xf numFmtId="0" fontId="53" fillId="0" borderId="0" xfId="35" applyFont="1"/>
    <xf numFmtId="1" fontId="6" fillId="0" borderId="0" xfId="102" applyNumberFormat="1" applyFont="1" applyAlignment="1">
      <alignment horizontal="center" vertical="center"/>
    </xf>
    <xf numFmtId="166" fontId="92" fillId="0" borderId="0" xfId="21" applyFont="1"/>
    <xf numFmtId="166" fontId="92" fillId="0" borderId="0" xfId="21" applyFont="1" applyAlignment="1">
      <alignment horizontal="center"/>
    </xf>
    <xf numFmtId="169" fontId="92" fillId="0" borderId="0" xfId="21" applyNumberFormat="1" applyFont="1"/>
    <xf numFmtId="0" fontId="16" fillId="0" borderId="0" xfId="10" applyNumberFormat="1" applyFont="1" applyAlignment="1">
      <alignment horizontal="left" vertical="center"/>
    </xf>
    <xf numFmtId="0" fontId="57" fillId="0" borderId="0" xfId="137" applyFont="1" applyAlignment="1">
      <alignment horizontal="left" vertical="center"/>
    </xf>
    <xf numFmtId="166" fontId="13" fillId="0" borderId="0" xfId="21" applyFont="1"/>
    <xf numFmtId="166" fontId="12" fillId="0" borderId="0" xfId="21" applyFont="1"/>
    <xf numFmtId="166" fontId="12" fillId="0" borderId="0" xfId="21" applyFont="1" applyAlignment="1">
      <alignment horizontal="center"/>
    </xf>
    <xf numFmtId="169" fontId="12" fillId="0" borderId="0" xfId="21" applyNumberFormat="1" applyFont="1"/>
    <xf numFmtId="166" fontId="14" fillId="0" borderId="0" xfId="21" applyFont="1" applyAlignment="1">
      <alignment horizontal="left" vertical="top"/>
    </xf>
    <xf numFmtId="166" fontId="13" fillId="0" borderId="0" xfId="21" applyFont="1" applyAlignment="1">
      <alignment horizontal="left" vertical="center"/>
    </xf>
    <xf numFmtId="175" fontId="6" fillId="0" borderId="9" xfId="53" applyFont="1" applyBorder="1" applyAlignment="1">
      <alignment horizontal="left" vertical="center" wrapText="1"/>
    </xf>
    <xf numFmtId="175" fontId="6" fillId="0" borderId="10" xfId="53" applyFont="1" applyBorder="1" applyAlignment="1">
      <alignment horizontal="left" vertical="center" wrapText="1"/>
    </xf>
    <xf numFmtId="0" fontId="53" fillId="0" borderId="0" xfId="35" applyFont="1" applyAlignment="1">
      <alignment horizontal="left"/>
    </xf>
    <xf numFmtId="0" fontId="41" fillId="0" borderId="0" xfId="35" applyFont="1" applyAlignment="1">
      <alignment horizontal="left"/>
    </xf>
    <xf numFmtId="0" fontId="28" fillId="0" borderId="2" xfId="0" applyFont="1" applyBorder="1" applyAlignment="1">
      <alignment horizontal="center" vertical="center"/>
    </xf>
    <xf numFmtId="0" fontId="3" fillId="0" borderId="0" xfId="12" applyFont="1" applyAlignment="1">
      <alignment horizontal="right" vertical="top"/>
    </xf>
    <xf numFmtId="0" fontId="5" fillId="0" borderId="0" xfId="12" applyFont="1" applyAlignment="1">
      <alignment horizontal="right" vertical="top"/>
    </xf>
    <xf numFmtId="166" fontId="5" fillId="0" borderId="0" xfId="3" applyFont="1" applyAlignment="1">
      <alignment vertical="top"/>
    </xf>
    <xf numFmtId="0" fontId="41" fillId="0" borderId="0" xfId="0" applyFont="1"/>
    <xf numFmtId="0" fontId="3" fillId="0" borderId="0" xfId="18" applyFont="1" applyAlignment="1">
      <alignment horizontal="left" vertical="center"/>
    </xf>
    <xf numFmtId="0" fontId="5" fillId="0" borderId="0" xfId="0" applyFont="1" applyAlignment="1">
      <alignment horizontal="left" vertical="top"/>
    </xf>
    <xf numFmtId="175" fontId="8" fillId="0" borderId="1" xfId="53" applyFont="1" applyBorder="1" applyAlignment="1">
      <alignment vertical="center"/>
    </xf>
    <xf numFmtId="175" fontId="3" fillId="0" borderId="0" xfId="53" applyFont="1" applyAlignment="1">
      <alignment horizontal="center" vertical="center"/>
    </xf>
    <xf numFmtId="164" fontId="12" fillId="0" borderId="0" xfId="24" applyFont="1" applyFill="1" applyBorder="1" applyAlignment="1">
      <alignment vertical="center"/>
    </xf>
    <xf numFmtId="0" fontId="13" fillId="0" borderId="0" xfId="27" applyFont="1"/>
    <xf numFmtId="164" fontId="45" fillId="0" borderId="0" xfId="24" applyFont="1" applyFill="1" applyBorder="1" applyAlignment="1">
      <alignment vertical="center"/>
    </xf>
    <xf numFmtId="0" fontId="41" fillId="0" borderId="0" xfId="35" applyFont="1"/>
    <xf numFmtId="0" fontId="53" fillId="0" borderId="0" xfId="35" applyFont="1" applyAlignment="1">
      <alignment horizontal="right"/>
    </xf>
    <xf numFmtId="0" fontId="41" fillId="0" borderId="0" xfId="35" applyFont="1" applyAlignment="1">
      <alignment horizontal="right"/>
    </xf>
    <xf numFmtId="0" fontId="13" fillId="0" borderId="0" xfId="11" applyFont="1" applyAlignment="1">
      <alignment vertical="center"/>
    </xf>
    <xf numFmtId="0" fontId="8" fillId="0" borderId="2" xfId="138" applyFont="1" applyBorder="1" applyAlignment="1">
      <alignment horizontal="center" vertical="center" wrapText="1"/>
    </xf>
    <xf numFmtId="0" fontId="13" fillId="0" borderId="0" xfId="0" quotePrefix="1" applyFont="1" applyAlignment="1">
      <alignment horizontal="right" vertical="top"/>
    </xf>
    <xf numFmtId="0" fontId="10" fillId="0" borderId="0" xfId="0" applyFont="1" applyAlignment="1">
      <alignment horizontal="right" vertical="top" wrapText="1"/>
    </xf>
    <xf numFmtId="0" fontId="10" fillId="0" borderId="0" xfId="0" applyFont="1" applyAlignment="1">
      <alignment vertical="top"/>
    </xf>
    <xf numFmtId="0" fontId="79" fillId="0" borderId="0" xfId="2" applyFont="1"/>
    <xf numFmtId="0" fontId="79" fillId="2" borderId="0" xfId="2" applyFont="1" applyFill="1"/>
    <xf numFmtId="0" fontId="79" fillId="0" borderId="0" xfId="2" applyFont="1" applyAlignment="1">
      <alignment vertical="center"/>
    </xf>
    <xf numFmtId="0" fontId="22" fillId="0" borderId="0" xfId="2" applyFont="1" applyAlignment="1">
      <alignment vertical="center" wrapText="1"/>
    </xf>
    <xf numFmtId="0" fontId="39" fillId="0" borderId="0" xfId="2" applyFont="1" applyAlignment="1">
      <alignment vertical="center"/>
    </xf>
    <xf numFmtId="0" fontId="94" fillId="0" borderId="0" xfId="2" applyFont="1" applyAlignment="1">
      <alignment vertical="center"/>
    </xf>
    <xf numFmtId="0" fontId="24" fillId="0" borderId="0" xfId="2" applyFont="1" applyAlignment="1">
      <alignment vertical="center"/>
    </xf>
    <xf numFmtId="0" fontId="22" fillId="2" borderId="0" xfId="2" applyFont="1" applyFill="1"/>
    <xf numFmtId="0" fontId="22" fillId="0" borderId="0" xfId="2" applyFont="1"/>
    <xf numFmtId="0" fontId="22" fillId="0" borderId="0" xfId="2" applyFont="1" applyAlignment="1">
      <alignment vertical="center"/>
    </xf>
    <xf numFmtId="0" fontId="22" fillId="0" borderId="0" xfId="2" applyFont="1" applyAlignment="1">
      <alignment horizontal="left"/>
    </xf>
    <xf numFmtId="0" fontId="24" fillId="0" borderId="0" xfId="8" applyFont="1" applyAlignment="1">
      <alignment vertical="center"/>
    </xf>
    <xf numFmtId="0" fontId="22" fillId="0" borderId="0" xfId="16" applyFont="1" applyAlignment="1">
      <alignment vertical="center"/>
    </xf>
    <xf numFmtId="0" fontId="2" fillId="0" borderId="4" xfId="2" applyFont="1" applyBorder="1" applyAlignment="1">
      <alignment vertical="center"/>
    </xf>
    <xf numFmtId="0" fontId="79" fillId="0" borderId="4" xfId="2" applyFont="1" applyBorder="1" applyAlignment="1">
      <alignment vertical="center"/>
    </xf>
    <xf numFmtId="3" fontId="39" fillId="0" borderId="0" xfId="12" applyNumberFormat="1" applyFont="1" applyAlignment="1">
      <alignment horizontal="right" vertical="center"/>
    </xf>
    <xf numFmtId="171" fontId="6" fillId="0" borderId="0" xfId="6" applyNumberFormat="1" applyFont="1" applyFill="1" applyAlignment="1">
      <alignment vertical="center"/>
    </xf>
    <xf numFmtId="0" fontId="95" fillId="0" borderId="0" xfId="2" applyFont="1" applyAlignment="1">
      <alignment vertical="center"/>
    </xf>
    <xf numFmtId="3" fontId="95" fillId="0" borderId="0" xfId="12" applyNumberFormat="1" applyFont="1" applyAlignment="1">
      <alignment horizontal="right" vertical="center"/>
    </xf>
    <xf numFmtId="0" fontId="95" fillId="0" borderId="0" xfId="2" applyFont="1" applyAlignment="1">
      <alignment horizontal="center" vertical="center"/>
    </xf>
    <xf numFmtId="0" fontId="95" fillId="0" borderId="0" xfId="2" applyFont="1" applyAlignment="1">
      <alignment horizontal="left" vertical="center"/>
    </xf>
    <xf numFmtId="43" fontId="6" fillId="0" borderId="0" xfId="163" applyFont="1" applyFill="1" applyAlignment="1">
      <alignment vertical="center"/>
    </xf>
    <xf numFmtId="171" fontId="6" fillId="0" borderId="0" xfId="39" applyNumberFormat="1" applyFont="1" applyAlignment="1">
      <alignment vertical="center"/>
    </xf>
    <xf numFmtId="0" fontId="6" fillId="0" borderId="0" xfId="2" applyFont="1" applyAlignment="1">
      <alignment horizontal="left" vertical="center"/>
    </xf>
    <xf numFmtId="0" fontId="56" fillId="0" borderId="0" xfId="2" applyFont="1" applyAlignment="1">
      <alignment horizontal="right" vertical="center"/>
    </xf>
    <xf numFmtId="0" fontId="10" fillId="0" borderId="0" xfId="2" applyFont="1" applyAlignment="1">
      <alignment vertical="center"/>
    </xf>
    <xf numFmtId="43" fontId="39" fillId="0" borderId="0" xfId="163" applyFont="1" applyAlignment="1">
      <alignment vertical="center"/>
    </xf>
    <xf numFmtId="43" fontId="95" fillId="0" borderId="0" xfId="163" applyFont="1" applyAlignment="1">
      <alignment vertical="center"/>
    </xf>
    <xf numFmtId="43" fontId="96" fillId="0" borderId="0" xfId="163" applyFont="1" applyAlignment="1">
      <alignment horizontal="right" vertical="center"/>
    </xf>
    <xf numFmtId="0" fontId="10" fillId="0" borderId="0" xfId="2" applyFont="1" applyAlignment="1">
      <alignment horizontal="left" vertical="center"/>
    </xf>
    <xf numFmtId="0" fontId="39" fillId="0" borderId="0" xfId="2" applyFont="1"/>
    <xf numFmtId="0" fontId="6" fillId="0" borderId="0" xfId="2" applyFont="1" applyAlignment="1">
      <alignment horizontal="right"/>
    </xf>
    <xf numFmtId="0" fontId="95" fillId="0" borderId="0" xfId="2" applyFont="1" applyAlignment="1">
      <alignment horizontal="right" vertical="center"/>
    </xf>
    <xf numFmtId="167" fontId="95" fillId="0" borderId="0" xfId="2" applyNumberFormat="1" applyFont="1" applyAlignment="1">
      <alignment horizontal="right" vertical="center"/>
    </xf>
    <xf numFmtId="0" fontId="39" fillId="0" borderId="0" xfId="2" applyFont="1" applyAlignment="1">
      <alignment horizontal="center" vertical="center"/>
    </xf>
    <xf numFmtId="0" fontId="95" fillId="0" borderId="1" xfId="4" applyFont="1" applyBorder="1" applyAlignment="1">
      <alignment horizontal="right" vertical="center"/>
    </xf>
    <xf numFmtId="0" fontId="39" fillId="0" borderId="0" xfId="2" applyFont="1" applyAlignment="1">
      <alignment vertical="top"/>
    </xf>
    <xf numFmtId="0" fontId="6" fillId="0" borderId="0" xfId="2" applyFont="1" applyAlignment="1">
      <alignment vertical="top"/>
    </xf>
    <xf numFmtId="0" fontId="39" fillId="0" borderId="1" xfId="2" applyFont="1" applyBorder="1" applyAlignment="1">
      <alignment vertical="top"/>
    </xf>
    <xf numFmtId="0" fontId="6" fillId="0" borderId="0" xfId="2" applyFont="1" applyAlignment="1">
      <alignment vertical="center" wrapText="1"/>
    </xf>
    <xf numFmtId="171" fontId="39" fillId="0" borderId="0" xfId="6" applyNumberFormat="1" applyFont="1" applyFill="1" applyAlignment="1">
      <alignment vertical="center"/>
    </xf>
    <xf numFmtId="43" fontId="65" fillId="0" borderId="0" xfId="163" applyFont="1" applyFill="1" applyAlignment="1">
      <alignment horizontal="right" vertical="center"/>
    </xf>
    <xf numFmtId="171" fontId="39" fillId="0" borderId="0" xfId="39" applyNumberFormat="1" applyFont="1" applyAlignment="1">
      <alignment vertical="center"/>
    </xf>
    <xf numFmtId="166" fontId="5" fillId="0" borderId="0" xfId="3" applyFont="1" applyAlignment="1">
      <alignment horizontal="left" vertical="top" indent="1"/>
    </xf>
    <xf numFmtId="166" fontId="3" fillId="0" borderId="0" xfId="3" applyFont="1" applyAlignment="1">
      <alignment horizontal="left" vertical="top"/>
    </xf>
    <xf numFmtId="166" fontId="5" fillId="0" borderId="0" xfId="3" applyFont="1" applyAlignment="1">
      <alignment horizontal="right" vertical="top"/>
    </xf>
    <xf numFmtId="166" fontId="3" fillId="0" borderId="0" xfId="3" applyFont="1" applyAlignment="1">
      <alignment horizontal="right"/>
    </xf>
    <xf numFmtId="4" fontId="28" fillId="0" borderId="1" xfId="86" applyNumberFormat="1" applyFont="1" applyBorder="1" applyAlignment="1">
      <alignment horizontal="right"/>
    </xf>
    <xf numFmtId="0" fontId="46" fillId="0" borderId="0" xfId="86" applyFont="1" applyAlignment="1">
      <alignment horizontal="right" vertical="center"/>
    </xf>
    <xf numFmtId="0" fontId="8" fillId="0" borderId="2" xfId="138" applyFont="1" applyBorder="1" applyAlignment="1">
      <alignment horizontal="left" vertical="center" wrapText="1"/>
    </xf>
    <xf numFmtId="0" fontId="14" fillId="0" borderId="0" xfId="115" applyFont="1" applyAlignment="1">
      <alignment horizontal="justify" vertical="top" wrapText="1"/>
    </xf>
    <xf numFmtId="3" fontId="6" fillId="0" borderId="0" xfId="26" applyNumberFormat="1" applyFont="1" applyAlignment="1">
      <alignment horizontal="right" vertical="center" wrapText="1"/>
    </xf>
    <xf numFmtId="0" fontId="8" fillId="0" borderId="0" xfId="99" quotePrefix="1" applyNumberFormat="1" applyFont="1" applyAlignment="1">
      <alignment vertical="top"/>
    </xf>
    <xf numFmtId="0" fontId="6" fillId="0" borderId="0" xfId="99" applyNumberFormat="1" applyFont="1" applyAlignment="1">
      <alignment vertical="top"/>
    </xf>
    <xf numFmtId="0" fontId="14" fillId="0" borderId="0" xfId="11" applyFont="1"/>
    <xf numFmtId="0" fontId="8" fillId="0" borderId="1" xfId="2" applyFont="1" applyBorder="1" applyAlignment="1">
      <alignment vertical="center"/>
    </xf>
    <xf numFmtId="0" fontId="61" fillId="0" borderId="1" xfId="17" applyFont="1" applyBorder="1" applyAlignment="1">
      <alignment vertical="center"/>
    </xf>
    <xf numFmtId="171" fontId="62" fillId="0" borderId="1" xfId="22" applyNumberFormat="1" applyFont="1" applyFill="1" applyBorder="1" applyAlignment="1">
      <alignment vertical="center"/>
    </xf>
    <xf numFmtId="0" fontId="0" fillId="0" borderId="1" xfId="0" applyBorder="1"/>
    <xf numFmtId="0" fontId="14" fillId="0" borderId="0" xfId="11" applyFont="1" applyAlignment="1">
      <alignment vertical="center"/>
    </xf>
    <xf numFmtId="0" fontId="2" fillId="0" borderId="0" xfId="111" applyFont="1" applyAlignment="1">
      <alignment vertical="top"/>
    </xf>
    <xf numFmtId="0" fontId="13" fillId="0" borderId="0" xfId="64" applyFont="1" applyAlignment="1">
      <alignment horizontal="left" vertical="top"/>
    </xf>
    <xf numFmtId="166" fontId="3" fillId="0" borderId="0" xfId="3" applyFont="1" applyAlignment="1"/>
    <xf numFmtId="166" fontId="5" fillId="0" borderId="0" xfId="3" applyFont="1" applyAlignment="1">
      <alignment horizontal="left"/>
    </xf>
    <xf numFmtId="169" fontId="8" fillId="0" borderId="0" xfId="163" applyNumberFormat="1" applyFont="1" applyAlignment="1">
      <alignment horizontal="right" vertical="center"/>
    </xf>
    <xf numFmtId="169" fontId="6" fillId="0" borderId="0" xfId="163" applyNumberFormat="1" applyFont="1" applyAlignment="1">
      <alignment horizontal="right" vertical="center"/>
    </xf>
    <xf numFmtId="169" fontId="6" fillId="0" borderId="1" xfId="163" applyNumberFormat="1" applyFont="1" applyBorder="1" applyAlignment="1">
      <alignment horizontal="right" vertical="center"/>
    </xf>
    <xf numFmtId="173" fontId="8" fillId="0" borderId="0" xfId="163" applyNumberFormat="1" applyFont="1" applyAlignment="1">
      <alignment horizontal="right" vertical="center"/>
    </xf>
    <xf numFmtId="173" fontId="97" fillId="0" borderId="0" xfId="163" applyNumberFormat="1" applyFont="1" applyAlignment="1">
      <alignment vertical="center"/>
    </xf>
    <xf numFmtId="173" fontId="39" fillId="0" borderId="0" xfId="163" applyNumberFormat="1" applyFont="1" applyAlignment="1">
      <alignment horizontal="right" vertical="center"/>
    </xf>
    <xf numFmtId="173" fontId="79" fillId="0" borderId="0" xfId="163" applyNumberFormat="1" applyFont="1" applyAlignment="1">
      <alignment vertical="center"/>
    </xf>
    <xf numFmtId="173" fontId="6" fillId="0" borderId="0" xfId="163" applyNumberFormat="1" applyFont="1" applyAlignment="1">
      <alignment horizontal="right" vertical="center"/>
    </xf>
    <xf numFmtId="173" fontId="95" fillId="0" borderId="0" xfId="163" applyNumberFormat="1" applyFont="1" applyAlignment="1">
      <alignment horizontal="right" vertical="center"/>
    </xf>
    <xf numFmtId="173" fontId="2" fillId="0" borderId="0" xfId="163" applyNumberFormat="1" applyFont="1" applyAlignment="1">
      <alignment vertical="center"/>
    </xf>
    <xf numFmtId="173" fontId="39" fillId="0" borderId="1" xfId="163" applyNumberFormat="1" applyFont="1" applyBorder="1" applyAlignment="1">
      <alignment horizontal="right" vertical="center"/>
    </xf>
    <xf numFmtId="173" fontId="39" fillId="0" borderId="0" xfId="163" applyNumberFormat="1" applyFont="1" applyFill="1" applyAlignment="1">
      <alignment vertical="center"/>
    </xf>
    <xf numFmtId="171" fontId="8" fillId="0" borderId="0" xfId="163" applyNumberFormat="1" applyFont="1" applyAlignment="1">
      <alignment horizontal="right" vertical="center"/>
    </xf>
    <xf numFmtId="171" fontId="39" fillId="0" borderId="0" xfId="163" applyNumberFormat="1" applyFont="1" applyAlignment="1">
      <alignment horizontal="right" vertical="center"/>
    </xf>
    <xf numFmtId="171" fontId="6" fillId="0" borderId="0" xfId="163" applyNumberFormat="1" applyFont="1" applyAlignment="1">
      <alignment vertical="center"/>
    </xf>
    <xf numFmtId="171" fontId="96" fillId="0" borderId="0" xfId="163" applyNumberFormat="1" applyFont="1" applyFill="1" applyAlignment="1">
      <alignment horizontal="right" vertical="center"/>
    </xf>
    <xf numFmtId="171" fontId="39" fillId="0" borderId="0" xfId="163" applyNumberFormat="1" applyFont="1" applyAlignment="1">
      <alignment vertical="center"/>
    </xf>
    <xf numFmtId="171" fontId="6" fillId="0" borderId="0" xfId="163" applyNumberFormat="1" applyFont="1" applyAlignment="1">
      <alignment horizontal="right" vertical="center"/>
    </xf>
    <xf numFmtId="171" fontId="65" fillId="0" borderId="0" xfId="163" applyNumberFormat="1" applyFont="1" applyFill="1" applyAlignment="1">
      <alignment horizontal="right" vertical="center"/>
    </xf>
    <xf numFmtId="171" fontId="95" fillId="0" borderId="0" xfId="163" applyNumberFormat="1" applyFont="1" applyAlignment="1">
      <alignment horizontal="right" vertical="center"/>
    </xf>
    <xf numFmtId="171" fontId="6" fillId="0" borderId="0" xfId="163" applyNumberFormat="1" applyFont="1" applyFill="1" applyAlignment="1">
      <alignment vertical="center"/>
    </xf>
    <xf numFmtId="171" fontId="6" fillId="0" borderId="1" xfId="163" applyNumberFormat="1" applyFont="1" applyFill="1" applyBorder="1" applyAlignment="1">
      <alignment vertical="center"/>
    </xf>
    <xf numFmtId="0" fontId="5" fillId="0" borderId="0" xfId="108" applyFont="1" applyAlignment="1">
      <alignment horizontal="right"/>
    </xf>
    <xf numFmtId="0" fontId="3" fillId="0" borderId="0" xfId="108" applyFont="1" applyAlignment="1">
      <alignment horizontal="right"/>
    </xf>
    <xf numFmtId="0" fontId="2" fillId="0" borderId="0" xfId="108" applyFont="1" applyAlignment="1">
      <alignment vertical="top"/>
    </xf>
    <xf numFmtId="177" fontId="8" fillId="0" borderId="0" xfId="102" applyNumberFormat="1" applyFont="1" applyAlignment="1">
      <alignment horizontal="right" vertical="center"/>
    </xf>
    <xf numFmtId="3" fontId="8" fillId="0" borderId="0" xfId="102" applyNumberFormat="1" applyFont="1" applyAlignment="1">
      <alignment horizontal="right" vertical="center"/>
    </xf>
    <xf numFmtId="182" fontId="8" fillId="0" borderId="0" xfId="105" applyFont="1" applyAlignment="1">
      <alignment horizontal="left" vertical="center"/>
    </xf>
    <xf numFmtId="1" fontId="8" fillId="0" borderId="0" xfId="102" applyNumberFormat="1" applyFont="1" applyAlignment="1">
      <alignment horizontal="center" vertical="top"/>
    </xf>
    <xf numFmtId="3" fontId="6" fillId="0" borderId="0" xfId="102" applyNumberFormat="1" applyFont="1" applyAlignment="1">
      <alignment horizontal="right" vertical="top"/>
    </xf>
    <xf numFmtId="166" fontId="5" fillId="0" borderId="0" xfId="3" applyFont="1" applyAlignment="1">
      <alignment horizontal="left" vertical="center"/>
    </xf>
    <xf numFmtId="0" fontId="19" fillId="0" borderId="0" xfId="0" applyFont="1" applyAlignment="1">
      <alignment horizontal="left" vertical="center" wrapText="1"/>
    </xf>
    <xf numFmtId="0" fontId="8" fillId="0" borderId="0" xfId="0" applyFont="1" applyAlignment="1">
      <alignment horizontal="left" vertical="center" wrapText="1"/>
    </xf>
    <xf numFmtId="175" fontId="8" fillId="0" borderId="0" xfId="53" applyFont="1" applyAlignment="1">
      <alignment horizontal="right" vertical="center" wrapText="1"/>
    </xf>
    <xf numFmtId="0" fontId="0" fillId="0" borderId="0" xfId="0" applyAlignment="1">
      <alignment horizontal="right"/>
    </xf>
    <xf numFmtId="0" fontId="47" fillId="0" borderId="0" xfId="0" applyFont="1" applyAlignment="1">
      <alignment horizontal="left" vertical="top" wrapText="1"/>
    </xf>
    <xf numFmtId="0" fontId="47" fillId="0" borderId="0" xfId="0" applyFont="1" applyAlignment="1">
      <alignment horizontal="right" vertical="top" wrapText="1"/>
    </xf>
    <xf numFmtId="166" fontId="47" fillId="0" borderId="0" xfId="0" applyNumberFormat="1" applyFont="1" applyAlignment="1">
      <alignment horizontal="left" vertical="top"/>
    </xf>
    <xf numFmtId="166" fontId="47" fillId="0" borderId="0" xfId="0" applyNumberFormat="1" applyFont="1" applyAlignment="1">
      <alignment horizontal="right" vertical="top"/>
    </xf>
    <xf numFmtId="0" fontId="45" fillId="0" borderId="0" xfId="0" applyFont="1" applyAlignment="1">
      <alignment horizontal="right" vertical="center"/>
    </xf>
    <xf numFmtId="0" fontId="99" fillId="0" borderId="0" xfId="0" applyFont="1"/>
    <xf numFmtId="166" fontId="46" fillId="0" borderId="0" xfId="0" applyNumberFormat="1" applyFont="1" applyAlignment="1">
      <alignment vertical="center"/>
    </xf>
    <xf numFmtId="166" fontId="47" fillId="0" borderId="0" xfId="0" applyNumberFormat="1" applyFont="1" applyAlignment="1">
      <alignment vertical="center"/>
    </xf>
    <xf numFmtId="0" fontId="47" fillId="0" borderId="0" xfId="0" applyFont="1" applyAlignment="1">
      <alignment horizontal="right" vertical="center"/>
    </xf>
    <xf numFmtId="0" fontId="46" fillId="0" borderId="0" xfId="0" applyFont="1" applyAlignment="1">
      <alignment vertical="center"/>
    </xf>
    <xf numFmtId="0" fontId="47" fillId="0" borderId="0" xfId="0" applyFont="1" applyAlignment="1">
      <alignment vertical="center"/>
    </xf>
    <xf numFmtId="0" fontId="28" fillId="0" borderId="12" xfId="0" applyFont="1" applyBorder="1" applyAlignment="1">
      <alignment vertical="center"/>
    </xf>
    <xf numFmtId="0" fontId="28" fillId="0" borderId="12" xfId="0" applyFont="1" applyBorder="1" applyAlignment="1">
      <alignment horizontal="right" vertical="center"/>
    </xf>
    <xf numFmtId="2" fontId="28" fillId="0" borderId="0" xfId="0" applyNumberFormat="1" applyFont="1" applyAlignment="1">
      <alignment horizontal="left"/>
    </xf>
    <xf numFmtId="2" fontId="28" fillId="0" borderId="0" xfId="0" applyNumberFormat="1" applyFont="1" applyAlignment="1">
      <alignment horizontal="right" vertical="center"/>
    </xf>
    <xf numFmtId="167" fontId="28" fillId="0" borderId="0" xfId="0" applyNumberFormat="1" applyFont="1" applyAlignment="1">
      <alignment horizontal="center" vertical="center"/>
    </xf>
    <xf numFmtId="0" fontId="19" fillId="0" borderId="0" xfId="0" applyFont="1" applyAlignment="1">
      <alignment horizontal="left" vertical="center"/>
    </xf>
    <xf numFmtId="0" fontId="21" fillId="0" borderId="0" xfId="0" applyFont="1" applyAlignment="1">
      <alignment horizontal="left" vertical="center"/>
    </xf>
    <xf numFmtId="2" fontId="6" fillId="0" borderId="0" xfId="0" applyNumberFormat="1" applyFont="1" applyAlignment="1">
      <alignment horizontal="left"/>
    </xf>
    <xf numFmtId="2" fontId="6" fillId="0" borderId="0" xfId="0" applyNumberFormat="1" applyFont="1" applyAlignment="1">
      <alignment horizontal="right" vertical="center"/>
    </xf>
    <xf numFmtId="167" fontId="6" fillId="0" borderId="0" xfId="0" applyNumberFormat="1" applyFont="1" applyAlignment="1">
      <alignment horizontal="center" vertical="center"/>
    </xf>
    <xf numFmtId="167" fontId="49" fillId="0" borderId="0" xfId="0" applyNumberFormat="1" applyFont="1" applyAlignment="1">
      <alignment horizontal="right" vertical="center"/>
    </xf>
    <xf numFmtId="167" fontId="28" fillId="0" borderId="0" xfId="0" applyNumberFormat="1" applyFont="1" applyAlignment="1">
      <alignment horizontal="right"/>
    </xf>
    <xf numFmtId="0" fontId="98" fillId="0" borderId="0" xfId="140" applyFont="1" applyAlignment="1">
      <alignment horizontal="left" vertical="center"/>
    </xf>
    <xf numFmtId="0" fontId="19" fillId="0" borderId="0" xfId="0" applyFont="1" applyAlignment="1">
      <alignment horizontal="right" vertical="center"/>
    </xf>
    <xf numFmtId="174" fontId="28" fillId="0" borderId="0" xfId="0" applyNumberFormat="1" applyFont="1" applyAlignment="1">
      <alignment horizontal="right" vertical="top" wrapText="1"/>
    </xf>
    <xf numFmtId="174" fontId="19" fillId="0" borderId="0" xfId="0" applyNumberFormat="1" applyFont="1" applyAlignment="1">
      <alignment horizontal="right" vertical="top" wrapText="1"/>
    </xf>
    <xf numFmtId="0" fontId="49" fillId="0" borderId="0" xfId="0" applyFont="1" applyAlignment="1">
      <alignment vertical="center"/>
    </xf>
    <xf numFmtId="0" fontId="28" fillId="0" borderId="6" xfId="0" applyFont="1" applyBorder="1" applyAlignment="1">
      <alignment horizontal="right" vertical="center"/>
    </xf>
    <xf numFmtId="174" fontId="19" fillId="0" borderId="6" xfId="0" applyNumberFormat="1" applyFont="1" applyBorder="1" applyAlignment="1">
      <alignment vertical="center" wrapText="1"/>
    </xf>
    <xf numFmtId="174" fontId="19" fillId="0" borderId="6" xfId="0" applyNumberFormat="1" applyFont="1" applyBorder="1" applyAlignment="1">
      <alignment horizontal="right" vertical="top" wrapText="1"/>
    </xf>
    <xf numFmtId="0" fontId="19" fillId="0" borderId="0" xfId="0" applyFont="1" applyAlignment="1">
      <alignment vertical="center" wrapText="1"/>
    </xf>
    <xf numFmtId="0" fontId="28" fillId="0" borderId="6" xfId="0" applyFont="1" applyBorder="1"/>
    <xf numFmtId="0" fontId="28" fillId="0" borderId="6" xfId="0" applyFont="1" applyBorder="1" applyAlignment="1">
      <alignment horizontal="right"/>
    </xf>
    <xf numFmtId="0" fontId="5" fillId="0" borderId="0" xfId="0" applyFont="1" applyAlignment="1">
      <alignment vertical="top" wrapText="1"/>
    </xf>
    <xf numFmtId="0" fontId="5" fillId="0" borderId="0" xfId="0" applyFont="1" applyAlignment="1">
      <alignment horizontal="right" vertical="top" wrapText="1"/>
    </xf>
    <xf numFmtId="0" fontId="3" fillId="0" borderId="0" xfId="0" applyFont="1" applyAlignment="1">
      <alignment horizontal="right" vertical="top" wrapText="1"/>
    </xf>
    <xf numFmtId="0" fontId="3" fillId="0" borderId="0" xfId="0" applyFont="1" applyAlignment="1">
      <alignment horizontal="left" vertical="center"/>
    </xf>
    <xf numFmtId="0" fontId="29" fillId="0" borderId="0" xfId="0" applyFont="1" applyAlignment="1">
      <alignment horizontal="right"/>
    </xf>
    <xf numFmtId="0" fontId="101" fillId="0" borderId="0" xfId="0" applyFont="1"/>
    <xf numFmtId="166" fontId="14" fillId="0" borderId="0" xfId="0" applyNumberFormat="1" applyFont="1" applyAlignment="1">
      <alignment wrapText="1"/>
    </xf>
    <xf numFmtId="166" fontId="14" fillId="0" borderId="0" xfId="0" applyNumberFormat="1" applyFont="1"/>
    <xf numFmtId="166" fontId="13" fillId="0" borderId="0" xfId="0" applyNumberFormat="1" applyFont="1" applyAlignment="1">
      <alignment vertical="center"/>
    </xf>
    <xf numFmtId="0" fontId="10" fillId="0" borderId="0" xfId="0" applyFont="1" applyAlignment="1">
      <alignment horizontal="right" vertical="center"/>
    </xf>
    <xf numFmtId="166" fontId="12" fillId="0" borderId="0" xfId="0" applyNumberFormat="1" applyFont="1"/>
    <xf numFmtId="166" fontId="13" fillId="0" borderId="0" xfId="0" applyNumberFormat="1" applyFont="1"/>
    <xf numFmtId="0" fontId="14" fillId="0" borderId="0" xfId="0" applyFont="1" applyAlignment="1">
      <alignment vertical="center"/>
    </xf>
    <xf numFmtId="0" fontId="13" fillId="0" borderId="11" xfId="0" applyFont="1" applyBorder="1" applyAlignment="1">
      <alignment horizontal="right" vertical="center"/>
    </xf>
    <xf numFmtId="0" fontId="6" fillId="0" borderId="12" xfId="0" applyFont="1" applyBorder="1" applyAlignment="1">
      <alignment vertical="center"/>
    </xf>
    <xf numFmtId="0" fontId="102" fillId="0" borderId="0" xfId="0" applyFont="1" applyAlignment="1">
      <alignment horizontal="left" indent="1"/>
    </xf>
    <xf numFmtId="0" fontId="102" fillId="0" borderId="0" xfId="0" applyFont="1"/>
    <xf numFmtId="174" fontId="6" fillId="0" borderId="0" xfId="0" applyNumberFormat="1" applyFont="1" applyAlignment="1">
      <alignment horizontal="right" vertical="top" wrapText="1"/>
    </xf>
    <xf numFmtId="174" fontId="8" fillId="0" borderId="0" xfId="0" applyNumberFormat="1" applyFont="1" applyAlignment="1">
      <alignment horizontal="right" vertical="top" wrapText="1"/>
    </xf>
    <xf numFmtId="0" fontId="103" fillId="0" borderId="0" xfId="0" applyFont="1" applyAlignment="1">
      <alignment vertical="center"/>
    </xf>
    <xf numFmtId="0" fontId="10" fillId="0" borderId="6" xfId="0" applyFont="1" applyBorder="1" applyAlignment="1">
      <alignment horizontal="right" vertical="top"/>
    </xf>
    <xf numFmtId="0" fontId="6" fillId="0" borderId="6" xfId="0" applyFont="1" applyBorder="1" applyAlignment="1">
      <alignment horizontal="right" vertical="top"/>
    </xf>
    <xf numFmtId="0" fontId="10" fillId="0" borderId="6" xfId="0" applyFont="1" applyBorder="1" applyAlignment="1">
      <alignment horizontal="right" vertical="top" wrapText="1"/>
    </xf>
    <xf numFmtId="174" fontId="8" fillId="0" borderId="6" xfId="0" applyNumberFormat="1" applyFont="1" applyBorder="1" applyAlignment="1">
      <alignment horizontal="right" vertical="top" wrapText="1"/>
    </xf>
    <xf numFmtId="0" fontId="8" fillId="0" borderId="0" xfId="0" applyFont="1" applyAlignment="1">
      <alignment horizontal="right" vertical="top"/>
    </xf>
    <xf numFmtId="0" fontId="6" fillId="0" borderId="6" xfId="0" applyFont="1" applyBorder="1"/>
    <xf numFmtId="0" fontId="47" fillId="0" borderId="0" xfId="0" applyFont="1"/>
    <xf numFmtId="0" fontId="47" fillId="0" borderId="0" xfId="0" applyFont="1" applyAlignment="1">
      <alignment vertical="top"/>
    </xf>
    <xf numFmtId="0" fontId="98" fillId="0" borderId="0" xfId="0" quotePrefix="1" applyFont="1"/>
    <xf numFmtId="173" fontId="6" fillId="0" borderId="0" xfId="22" applyNumberFormat="1" applyFont="1"/>
    <xf numFmtId="173" fontId="28" fillId="0" borderId="0" xfId="22" applyNumberFormat="1" applyFont="1"/>
    <xf numFmtId="0" fontId="19" fillId="0" borderId="0" xfId="0" quotePrefix="1" applyFont="1"/>
    <xf numFmtId="0" fontId="10" fillId="0" borderId="0" xfId="0" applyFont="1" applyAlignment="1">
      <alignment horizontal="right"/>
    </xf>
    <xf numFmtId="180" fontId="6" fillId="0" borderId="1" xfId="22" applyNumberFormat="1" applyFont="1" applyBorder="1" applyAlignment="1">
      <alignment horizontal="right" vertical="top" wrapText="1"/>
    </xf>
    <xf numFmtId="173" fontId="6" fillId="0" borderId="1" xfId="22" applyNumberFormat="1" applyFont="1" applyBorder="1" applyAlignment="1">
      <alignment horizontal="right" vertical="top" wrapText="1"/>
    </xf>
    <xf numFmtId="173" fontId="28" fillId="0" borderId="1" xfId="22" applyNumberFormat="1" applyFont="1" applyBorder="1" applyAlignment="1">
      <alignment horizontal="right" vertical="top" wrapText="1"/>
    </xf>
    <xf numFmtId="0" fontId="28" fillId="0" borderId="1" xfId="0" applyFont="1" applyBorder="1" applyAlignment="1">
      <alignment vertical="top" wrapText="1"/>
    </xf>
    <xf numFmtId="180" fontId="6" fillId="0" borderId="0" xfId="22" applyNumberFormat="1" applyFont="1" applyBorder="1" applyAlignment="1">
      <alignment horizontal="right" vertical="top" wrapText="1"/>
    </xf>
    <xf numFmtId="173" fontId="6" fillId="0" borderId="0" xfId="22" applyNumberFormat="1" applyFont="1" applyBorder="1" applyAlignment="1">
      <alignment horizontal="right" vertical="top" wrapText="1"/>
    </xf>
    <xf numFmtId="173" fontId="28" fillId="0" borderId="0" xfId="22" applyNumberFormat="1" applyFont="1" applyBorder="1" applyAlignment="1">
      <alignment horizontal="right" vertical="top" wrapText="1"/>
    </xf>
    <xf numFmtId="0" fontId="28" fillId="0" borderId="0" xfId="65" applyFont="1" applyAlignment="1">
      <alignment horizontal="left" vertical="top" wrapText="1"/>
    </xf>
    <xf numFmtId="180" fontId="6" fillId="0" borderId="0" xfId="22" applyNumberFormat="1" applyFont="1" applyFill="1" applyBorder="1" applyAlignment="1">
      <alignment horizontal="right" vertical="top" wrapText="1"/>
    </xf>
    <xf numFmtId="173" fontId="6" fillId="0" borderId="0" xfId="22" applyNumberFormat="1" applyFont="1" applyFill="1" applyBorder="1" applyAlignment="1">
      <alignment vertical="top" wrapText="1"/>
    </xf>
    <xf numFmtId="173" fontId="28" fillId="0" borderId="0" xfId="22" applyNumberFormat="1" applyFont="1" applyFill="1" applyBorder="1" applyAlignment="1">
      <alignment vertical="top" wrapText="1"/>
    </xf>
    <xf numFmtId="0" fontId="19" fillId="0" borderId="0" xfId="0" applyFont="1" applyAlignment="1">
      <alignment vertical="top" wrapText="1"/>
    </xf>
    <xf numFmtId="173" fontId="6" fillId="0" borderId="0" xfId="22" applyNumberFormat="1" applyFont="1" applyFill="1" applyBorder="1" applyAlignment="1">
      <alignment horizontal="right" vertical="center" wrapText="1"/>
    </xf>
    <xf numFmtId="173" fontId="28" fillId="0" borderId="0" xfId="22" applyNumberFormat="1" applyFont="1" applyFill="1" applyBorder="1" applyAlignment="1">
      <alignment horizontal="right" vertical="center" wrapText="1"/>
    </xf>
    <xf numFmtId="173" fontId="28" fillId="0" borderId="0" xfId="22" applyNumberFormat="1" applyFont="1" applyFill="1" applyBorder="1" applyAlignment="1">
      <alignment vertical="center" wrapText="1"/>
    </xf>
    <xf numFmtId="0" fontId="8" fillId="0" borderId="2" xfId="22" applyNumberFormat="1" applyFont="1" applyBorder="1" applyAlignment="1">
      <alignment horizontal="right" vertical="center" wrapText="1"/>
    </xf>
    <xf numFmtId="0" fontId="19" fillId="0" borderId="2" xfId="22" applyNumberFormat="1" applyFont="1" applyBorder="1" applyAlignment="1">
      <alignment horizontal="right" vertical="center" wrapText="1"/>
    </xf>
    <xf numFmtId="0" fontId="28" fillId="0" borderId="2" xfId="22" applyNumberFormat="1" applyFont="1" applyBorder="1" applyAlignment="1">
      <alignment vertical="center" wrapText="1"/>
    </xf>
    <xf numFmtId="0" fontId="28" fillId="0" borderId="2" xfId="0" applyFont="1" applyBorder="1" applyAlignment="1">
      <alignment horizontal="left" vertical="center" wrapText="1"/>
    </xf>
    <xf numFmtId="173" fontId="28" fillId="0" borderId="0" xfId="22" applyNumberFormat="1" applyFont="1" applyAlignment="1">
      <alignment horizontal="right"/>
    </xf>
    <xf numFmtId="0" fontId="28" fillId="0" borderId="0" xfId="0" applyFont="1" applyAlignment="1">
      <alignment horizontal="left"/>
    </xf>
    <xf numFmtId="0" fontId="5" fillId="0" borderId="0" xfId="0" applyFont="1" applyAlignment="1">
      <alignment horizontal="left" vertical="center"/>
    </xf>
    <xf numFmtId="0" fontId="41" fillId="0" borderId="0" xfId="0" applyFont="1" applyAlignment="1">
      <alignment horizontal="left" vertical="center"/>
    </xf>
    <xf numFmtId="0" fontId="41" fillId="0" borderId="0" xfId="0" applyFont="1" applyAlignment="1">
      <alignment horizontal="left"/>
    </xf>
    <xf numFmtId="0" fontId="41" fillId="0" borderId="0" xfId="0" applyFont="1" applyAlignment="1">
      <alignment horizontal="right"/>
    </xf>
    <xf numFmtId="0" fontId="28" fillId="0" borderId="0" xfId="0" applyFont="1" applyAlignment="1">
      <alignment horizontal="left" vertical="top"/>
    </xf>
    <xf numFmtId="0" fontId="3" fillId="0" borderId="0" xfId="0" applyFont="1" applyAlignment="1">
      <alignment horizontal="left" vertical="top"/>
    </xf>
    <xf numFmtId="0" fontId="53" fillId="0" borderId="0" xfId="0" applyFont="1" applyAlignment="1">
      <alignment horizontal="left" vertical="top"/>
    </xf>
    <xf numFmtId="0" fontId="53" fillId="0" borderId="0" xfId="0" applyFont="1" applyAlignment="1">
      <alignment horizontal="left"/>
    </xf>
    <xf numFmtId="180" fontId="6" fillId="0" borderId="0" xfId="22" applyNumberFormat="1" applyFont="1" applyBorder="1" applyAlignment="1">
      <alignment horizontal="right" vertical="center" wrapText="1"/>
    </xf>
    <xf numFmtId="0" fontId="19" fillId="0" borderId="1" xfId="0" applyFont="1" applyBorder="1" applyAlignment="1">
      <alignment vertical="top" wrapText="1"/>
    </xf>
    <xf numFmtId="180" fontId="6" fillId="0" borderId="0" xfId="22" applyNumberFormat="1" applyFont="1" applyFill="1" applyBorder="1" applyAlignment="1">
      <alignment horizontal="right" vertical="center" wrapText="1"/>
    </xf>
    <xf numFmtId="0" fontId="28" fillId="0" borderId="2" xfId="0" applyFont="1" applyBorder="1" applyAlignment="1">
      <alignment vertical="center" wrapText="1"/>
    </xf>
    <xf numFmtId="0" fontId="53" fillId="0" borderId="0" xfId="0" applyFont="1" applyAlignment="1">
      <alignment horizontal="left" vertical="center"/>
    </xf>
    <xf numFmtId="0" fontId="98" fillId="0" borderId="0" xfId="0" quotePrefix="1" applyFont="1" applyAlignment="1">
      <alignment vertical="top"/>
    </xf>
    <xf numFmtId="173" fontId="6" fillId="0" borderId="1" xfId="22" applyNumberFormat="1" applyFont="1" applyBorder="1" applyAlignment="1">
      <alignment horizontal="right" vertical="center" wrapText="1"/>
    </xf>
    <xf numFmtId="173" fontId="28" fillId="0" borderId="1" xfId="22" applyNumberFormat="1" applyFont="1" applyBorder="1" applyAlignment="1">
      <alignment horizontal="right" vertical="center" wrapText="1"/>
    </xf>
    <xf numFmtId="0" fontId="28" fillId="0" borderId="1" xfId="0" applyFont="1" applyBorder="1" applyAlignment="1">
      <alignment vertical="center" wrapText="1"/>
    </xf>
    <xf numFmtId="173" fontId="0" fillId="0" borderId="0" xfId="96" applyNumberFormat="1" applyFont="1" applyFill="1" applyBorder="1"/>
    <xf numFmtId="0" fontId="0" fillId="0" borderId="0" xfId="0" applyAlignment="1">
      <alignment horizontal="left" vertical="center"/>
    </xf>
    <xf numFmtId="0" fontId="1" fillId="0" borderId="0" xfId="65"/>
    <xf numFmtId="0" fontId="47" fillId="0" borderId="0" xfId="65" applyFont="1"/>
    <xf numFmtId="0" fontId="47" fillId="0" borderId="0" xfId="65" applyFont="1" applyAlignment="1">
      <alignment vertical="top"/>
    </xf>
    <xf numFmtId="0" fontId="1" fillId="0" borderId="0" xfId="65" applyAlignment="1">
      <alignment horizontal="left" vertical="center"/>
    </xf>
    <xf numFmtId="0" fontId="19" fillId="0" borderId="0" xfId="65" applyFont="1" applyAlignment="1">
      <alignment vertical="center"/>
    </xf>
    <xf numFmtId="0" fontId="46" fillId="0" borderId="0" xfId="65" applyFont="1" applyAlignment="1">
      <alignment vertical="center"/>
    </xf>
    <xf numFmtId="0" fontId="19" fillId="0" borderId="0" xfId="65" applyFont="1"/>
    <xf numFmtId="0" fontId="46" fillId="0" borderId="0" xfId="65" applyFont="1"/>
    <xf numFmtId="0" fontId="47" fillId="0" borderId="0" xfId="65" applyFont="1" applyAlignment="1">
      <alignment horizontal="right"/>
    </xf>
    <xf numFmtId="0" fontId="46" fillId="0" borderId="0" xfId="65" applyFont="1" applyAlignment="1">
      <alignment horizontal="right"/>
    </xf>
    <xf numFmtId="167" fontId="28" fillId="0" borderId="1" xfId="96" applyNumberFormat="1" applyFont="1" applyFill="1" applyBorder="1" applyAlignment="1">
      <alignment horizontal="right" vertical="top" wrapText="1"/>
    </xf>
    <xf numFmtId="167" fontId="28" fillId="0" borderId="1" xfId="96" applyNumberFormat="1" applyFont="1" applyFill="1" applyBorder="1" applyAlignment="1">
      <alignment horizontal="right" vertical="center" wrapText="1"/>
    </xf>
    <xf numFmtId="171" fontId="28" fillId="0" borderId="1" xfId="96" applyNumberFormat="1" applyFont="1" applyFill="1" applyBorder="1" applyAlignment="1">
      <alignment horizontal="right" vertical="top" wrapText="1"/>
    </xf>
    <xf numFmtId="0" fontId="28" fillId="0" borderId="1" xfId="65" applyFont="1" applyBorder="1" applyAlignment="1">
      <alignment horizontal="left" vertical="top" wrapText="1"/>
    </xf>
    <xf numFmtId="167" fontId="28" fillId="0" borderId="0" xfId="96" applyNumberFormat="1" applyFont="1" applyFill="1" applyBorder="1" applyAlignment="1">
      <alignment horizontal="right" vertical="top" wrapText="1"/>
    </xf>
    <xf numFmtId="167" fontId="28" fillId="0" borderId="0" xfId="96" applyNumberFormat="1" applyFont="1" applyFill="1" applyBorder="1" applyAlignment="1">
      <alignment horizontal="right" vertical="center" wrapText="1"/>
    </xf>
    <xf numFmtId="173" fontId="28" fillId="0" borderId="0" xfId="96" applyNumberFormat="1" applyFont="1" applyFill="1" applyBorder="1" applyAlignment="1">
      <alignment horizontal="right" vertical="top" wrapText="1"/>
    </xf>
    <xf numFmtId="0" fontId="19" fillId="0" borderId="0" xfId="65" applyFont="1" applyAlignment="1">
      <alignment horizontal="left" vertical="top" wrapText="1"/>
    </xf>
    <xf numFmtId="167" fontId="19" fillId="0" borderId="0" xfId="96" applyNumberFormat="1" applyFont="1" applyFill="1" applyBorder="1" applyAlignment="1">
      <alignment horizontal="right" vertical="top" wrapText="1"/>
    </xf>
    <xf numFmtId="173" fontId="19" fillId="0" borderId="0" xfId="96" applyNumberFormat="1" applyFont="1" applyFill="1" applyBorder="1" applyAlignment="1">
      <alignment horizontal="right" vertical="top" wrapText="1"/>
    </xf>
    <xf numFmtId="0" fontId="19" fillId="0" borderId="0" xfId="0" applyFont="1" applyAlignment="1">
      <alignment horizontal="left" vertical="top" wrapText="1"/>
    </xf>
    <xf numFmtId="173" fontId="28" fillId="0" borderId="0" xfId="96" applyNumberFormat="1" applyFont="1" applyBorder="1" applyAlignment="1">
      <alignment horizontal="right" vertical="top" wrapText="1"/>
    </xf>
    <xf numFmtId="0" fontId="28" fillId="0" borderId="0" xfId="0" applyFont="1" applyAlignment="1">
      <alignment horizontal="left" vertical="top" wrapText="1"/>
    </xf>
    <xf numFmtId="171" fontId="28" fillId="0" borderId="0" xfId="96" applyNumberFormat="1" applyFont="1" applyFill="1" applyBorder="1" applyAlignment="1">
      <alignment horizontal="right" vertical="top" wrapText="1"/>
    </xf>
    <xf numFmtId="0" fontId="19" fillId="0" borderId="0" xfId="0" applyFont="1" applyAlignment="1">
      <alignment horizontal="left" vertical="top"/>
    </xf>
    <xf numFmtId="173" fontId="19" fillId="0" borderId="0" xfId="96" applyNumberFormat="1" applyFont="1" applyFill="1" applyBorder="1" applyAlignment="1">
      <alignment horizontal="right" vertical="center" wrapText="1"/>
    </xf>
    <xf numFmtId="173" fontId="19" fillId="0" borderId="0" xfId="96" applyNumberFormat="1" applyFont="1" applyFill="1" applyBorder="1" applyAlignment="1">
      <alignment vertical="center" wrapText="1"/>
    </xf>
    <xf numFmtId="0" fontId="19" fillId="0" borderId="2" xfId="22" applyNumberFormat="1" applyFont="1" applyBorder="1" applyAlignment="1">
      <alignment vertical="center" wrapText="1"/>
    </xf>
    <xf numFmtId="0" fontId="28" fillId="0" borderId="2" xfId="96" applyNumberFormat="1" applyFont="1" applyFill="1" applyBorder="1" applyAlignment="1">
      <alignment vertical="center" wrapText="1"/>
    </xf>
    <xf numFmtId="173" fontId="0" fillId="0" borderId="0" xfId="96" applyNumberFormat="1" applyFont="1" applyFill="1" applyBorder="1" applyAlignment="1">
      <alignment horizontal="right"/>
    </xf>
    <xf numFmtId="0" fontId="41" fillId="0" borderId="0" xfId="0" applyFont="1" applyAlignment="1">
      <alignment horizontal="right" vertical="top"/>
    </xf>
    <xf numFmtId="0" fontId="53" fillId="0" borderId="0" xfId="0" applyFont="1" applyAlignment="1">
      <alignment horizontal="right" vertical="center"/>
    </xf>
    <xf numFmtId="0" fontId="28" fillId="0" borderId="0" xfId="65" applyFont="1" applyAlignment="1">
      <alignment horizontal="left" vertical="center" wrapText="1"/>
    </xf>
    <xf numFmtId="0" fontId="19" fillId="0" borderId="0" xfId="65" applyFont="1" applyAlignment="1">
      <alignment horizontal="left" vertical="center" wrapText="1"/>
    </xf>
    <xf numFmtId="0" fontId="28" fillId="0" borderId="0" xfId="65" applyFont="1" applyAlignment="1">
      <alignment vertical="center" wrapText="1"/>
    </xf>
    <xf numFmtId="0" fontId="19" fillId="0" borderId="0" xfId="65" applyFont="1" applyAlignment="1">
      <alignment horizontal="left" vertical="top"/>
    </xf>
    <xf numFmtId="0" fontId="28" fillId="0" borderId="2" xfId="65" applyFont="1" applyBorder="1" applyAlignment="1">
      <alignment vertical="center" wrapText="1"/>
    </xf>
    <xf numFmtId="0" fontId="28" fillId="0" borderId="2" xfId="65" applyFont="1" applyBorder="1" applyAlignment="1">
      <alignment horizontal="left" vertical="center" wrapText="1"/>
    </xf>
    <xf numFmtId="0" fontId="1" fillId="0" borderId="0" xfId="65" applyAlignment="1">
      <alignment horizontal="right"/>
    </xf>
    <xf numFmtId="0" fontId="41" fillId="0" borderId="0" xfId="65" applyFont="1" applyAlignment="1">
      <alignment horizontal="left" vertical="center"/>
    </xf>
    <xf numFmtId="0" fontId="41" fillId="0" borderId="0" xfId="65" applyFont="1" applyAlignment="1">
      <alignment horizontal="right" vertical="top"/>
    </xf>
    <xf numFmtId="0" fontId="53" fillId="0" borderId="0" xfId="65" applyFont="1" applyAlignment="1">
      <alignment horizontal="left" vertical="center"/>
    </xf>
    <xf numFmtId="0" fontId="53" fillId="0" borderId="0" xfId="65" applyFont="1" applyAlignment="1">
      <alignment horizontal="right" vertical="center"/>
    </xf>
    <xf numFmtId="0" fontId="28" fillId="0" borderId="0" xfId="65" applyFont="1" applyAlignment="1">
      <alignment vertical="top" wrapText="1"/>
    </xf>
    <xf numFmtId="173" fontId="28" fillId="0" borderId="1" xfId="96" applyNumberFormat="1" applyFont="1" applyFill="1" applyBorder="1" applyAlignment="1">
      <alignment horizontal="right" vertical="center" wrapText="1"/>
    </xf>
    <xf numFmtId="0" fontId="1" fillId="0" borderId="1" xfId="65" applyBorder="1" applyAlignment="1">
      <alignment horizontal="left" vertical="center"/>
    </xf>
    <xf numFmtId="0" fontId="28" fillId="0" borderId="1" xfId="65" applyFont="1" applyBorder="1" applyAlignment="1">
      <alignment horizontal="left" vertical="center" wrapText="1"/>
    </xf>
    <xf numFmtId="173" fontId="28" fillId="0" borderId="0" xfId="96" applyNumberFormat="1" applyFont="1"/>
    <xf numFmtId="0" fontId="105" fillId="0" borderId="0" xfId="65" applyFont="1"/>
    <xf numFmtId="173" fontId="45" fillId="0" borderId="0" xfId="96" applyNumberFormat="1" applyFont="1"/>
    <xf numFmtId="0" fontId="21" fillId="0" borderId="0" xfId="65" applyFont="1" applyAlignment="1">
      <alignment horizontal="right"/>
    </xf>
    <xf numFmtId="0" fontId="19" fillId="0" borderId="0" xfId="65" applyFont="1" applyAlignment="1">
      <alignment horizontal="right"/>
    </xf>
    <xf numFmtId="180" fontId="28" fillId="0" borderId="1" xfId="96" applyNumberFormat="1" applyFont="1" applyBorder="1" applyAlignment="1">
      <alignment horizontal="right" vertical="top" wrapText="1"/>
    </xf>
    <xf numFmtId="0" fontId="28" fillId="0" borderId="1" xfId="65" applyFont="1" applyBorder="1" applyAlignment="1">
      <alignment vertical="top" wrapText="1"/>
    </xf>
    <xf numFmtId="0" fontId="105" fillId="0" borderId="0" xfId="65" applyFont="1" applyAlignment="1">
      <alignment vertical="center" wrapText="1"/>
    </xf>
    <xf numFmtId="180" fontId="28" fillId="0" borderId="0" xfId="96" applyNumberFormat="1" applyFont="1" applyBorder="1" applyAlignment="1">
      <alignment horizontal="right" vertical="top" wrapText="1"/>
    </xf>
    <xf numFmtId="173" fontId="28" fillId="0" borderId="0" xfId="96" applyNumberFormat="1" applyFont="1" applyFill="1" applyBorder="1" applyAlignment="1">
      <alignment vertical="top" wrapText="1"/>
    </xf>
    <xf numFmtId="0" fontId="19" fillId="0" borderId="0" xfId="65" applyFont="1" applyAlignment="1">
      <alignment vertical="center" wrapText="1"/>
    </xf>
    <xf numFmtId="180" fontId="28" fillId="0" borderId="0" xfId="96" applyNumberFormat="1" applyFont="1" applyFill="1" applyBorder="1" applyAlignment="1">
      <alignment horizontal="right" vertical="top" wrapText="1"/>
    </xf>
    <xf numFmtId="0" fontId="19" fillId="0" borderId="0" xfId="65" applyFont="1" applyAlignment="1">
      <alignment vertical="top" wrapText="1"/>
    </xf>
    <xf numFmtId="0" fontId="105" fillId="0" borderId="0" xfId="65" applyFont="1" applyAlignment="1">
      <alignment horizontal="left" vertical="center" wrapText="1"/>
    </xf>
    <xf numFmtId="173" fontId="28" fillId="0" borderId="3" xfId="96" applyNumberFormat="1" applyFont="1" applyFill="1" applyBorder="1" applyAlignment="1">
      <alignment horizontal="right" vertical="center" wrapText="1"/>
    </xf>
    <xf numFmtId="173" fontId="28" fillId="0" borderId="0" xfId="96" applyNumberFormat="1" applyFont="1" applyFill="1" applyBorder="1" applyAlignment="1">
      <alignment vertical="center" wrapText="1"/>
    </xf>
    <xf numFmtId="0" fontId="19" fillId="0" borderId="1" xfId="96" applyNumberFormat="1" applyFont="1" applyBorder="1" applyAlignment="1">
      <alignment horizontal="right" vertical="center" wrapText="1"/>
    </xf>
    <xf numFmtId="0" fontId="28" fillId="0" borderId="1" xfId="65" applyFont="1" applyBorder="1" applyAlignment="1">
      <alignment vertical="center" wrapText="1"/>
    </xf>
    <xf numFmtId="0" fontId="28" fillId="0" borderId="3" xfId="65" applyFont="1" applyBorder="1" applyAlignment="1">
      <alignment vertical="center" wrapText="1"/>
    </xf>
    <xf numFmtId="173" fontId="19" fillId="0" borderId="1" xfId="96" applyNumberFormat="1" applyFont="1" applyBorder="1" applyAlignment="1">
      <alignment horizontal="right" vertical="center" wrapText="1"/>
    </xf>
    <xf numFmtId="173" fontId="28" fillId="0" borderId="1" xfId="96" applyNumberFormat="1" applyFont="1" applyBorder="1" applyAlignment="1">
      <alignment horizontal="right"/>
    </xf>
    <xf numFmtId="0" fontId="41" fillId="0" borderId="0" xfId="65" applyFont="1" applyAlignment="1">
      <alignment vertical="center"/>
    </xf>
    <xf numFmtId="0" fontId="53" fillId="0" borderId="0" xfId="65" applyFont="1" applyAlignment="1">
      <alignment vertical="center"/>
    </xf>
    <xf numFmtId="173" fontId="28" fillId="0" borderId="1" xfId="96" applyNumberFormat="1" applyFont="1" applyBorder="1" applyAlignment="1">
      <alignment horizontal="right" vertical="center" wrapText="1"/>
    </xf>
    <xf numFmtId="0" fontId="28" fillId="0" borderId="1" xfId="65" applyFont="1" applyBorder="1" applyAlignment="1">
      <alignment wrapText="1"/>
    </xf>
    <xf numFmtId="180" fontId="28" fillId="0" borderId="0" xfId="96" applyNumberFormat="1" applyFont="1" applyFill="1" applyBorder="1" applyAlignment="1">
      <alignment horizontal="right" vertical="center" wrapText="1"/>
    </xf>
    <xf numFmtId="174" fontId="12" fillId="0" borderId="0" xfId="26" applyFont="1"/>
    <xf numFmtId="0" fontId="12" fillId="0" borderId="0" xfId="97" applyFont="1"/>
    <xf numFmtId="0" fontId="14" fillId="0" borderId="0" xfId="97" applyFont="1" applyAlignment="1">
      <alignment vertical="center"/>
    </xf>
    <xf numFmtId="0" fontId="13" fillId="0" borderId="0" xfId="97" applyFont="1"/>
    <xf numFmtId="0" fontId="13" fillId="0" borderId="0" xfId="97" applyFont="1" applyAlignment="1">
      <alignment vertical="center"/>
    </xf>
    <xf numFmtId="0" fontId="6" fillId="0" borderId="0" xfId="97" applyFont="1"/>
    <xf numFmtId="0" fontId="6" fillId="0" borderId="0" xfId="97" applyFont="1" applyAlignment="1">
      <alignment horizontal="right"/>
    </xf>
    <xf numFmtId="167" fontId="6" fillId="0" borderId="1" xfId="97" applyNumberFormat="1" applyFont="1" applyBorder="1" applyAlignment="1">
      <alignment horizontal="right"/>
    </xf>
    <xf numFmtId="0" fontId="6" fillId="0" borderId="1" xfId="97" applyFont="1" applyBorder="1"/>
    <xf numFmtId="3" fontId="6" fillId="0" borderId="0" xfId="97" applyNumberFormat="1" applyFont="1" applyAlignment="1">
      <alignment horizontal="right" vertical="center"/>
    </xf>
    <xf numFmtId="0" fontId="6" fillId="0" borderId="0" xfId="97" applyFont="1" applyAlignment="1">
      <alignment vertical="center"/>
    </xf>
    <xf numFmtId="3" fontId="8" fillId="0" borderId="0" xfId="52" applyNumberFormat="1" applyFont="1"/>
    <xf numFmtId="174" fontId="6" fillId="0" borderId="0" xfId="31" applyNumberFormat="1" applyFont="1"/>
    <xf numFmtId="174" fontId="6" fillId="0" borderId="0" xfId="31" applyNumberFormat="1" applyFont="1" applyAlignment="1">
      <alignment horizontal="left" indent="1"/>
    </xf>
    <xf numFmtId="3" fontId="6" fillId="0" borderId="0" xfId="97" quotePrefix="1" applyNumberFormat="1" applyFont="1" applyAlignment="1">
      <alignment horizontal="right" vertical="center"/>
    </xf>
    <xf numFmtId="0" fontId="10" fillId="0" borderId="0" xfId="97" applyFont="1" applyAlignment="1">
      <alignment horizontal="right" vertical="top" wrapText="1"/>
    </xf>
    <xf numFmtId="3" fontId="10" fillId="0" borderId="0" xfId="97" applyNumberFormat="1" applyFont="1" applyAlignment="1">
      <alignment horizontal="right" vertical="center" wrapText="1"/>
    </xf>
    <xf numFmtId="0" fontId="10" fillId="0" borderId="0" xfId="97" applyFont="1" applyAlignment="1">
      <alignment horizontal="left" vertical="top" wrapText="1"/>
    </xf>
    <xf numFmtId="0" fontId="10" fillId="0" borderId="0" xfId="97" applyFont="1" applyAlignment="1">
      <alignment horizontal="left" vertical="top" wrapText="1" indent="1"/>
    </xf>
    <xf numFmtId="177" fontId="6" fillId="0" borderId="0" xfId="98" applyNumberFormat="1" applyFont="1" applyBorder="1" applyAlignment="1">
      <alignment horizontal="right" vertical="center" wrapText="1"/>
    </xf>
    <xf numFmtId="174" fontId="6" fillId="0" borderId="0" xfId="26" applyFont="1"/>
    <xf numFmtId="3" fontId="6" fillId="0" borderId="0" xfId="98" applyNumberFormat="1" applyFont="1" applyBorder="1" applyAlignment="1">
      <alignment horizontal="right" vertical="center" wrapText="1"/>
    </xf>
    <xf numFmtId="0" fontId="6" fillId="0" borderId="0" xfId="97" applyFont="1" applyAlignment="1">
      <alignment horizontal="left" indent="1"/>
    </xf>
    <xf numFmtId="0" fontId="106" fillId="0" borderId="0" xfId="97" applyFont="1" applyAlignment="1">
      <alignment vertical="center"/>
    </xf>
    <xf numFmtId="0" fontId="107" fillId="0" borderId="0" xfId="97" applyFont="1" applyAlignment="1">
      <alignment vertical="center"/>
    </xf>
    <xf numFmtId="0" fontId="6" fillId="0" borderId="0" xfId="97" applyFont="1" applyAlignment="1">
      <alignment horizontal="right" vertical="center"/>
    </xf>
    <xf numFmtId="0" fontId="6" fillId="0" borderId="0" xfId="97" applyFont="1" applyAlignment="1">
      <alignment horizontal="left" vertical="center" indent="1"/>
    </xf>
    <xf numFmtId="0" fontId="8" fillId="0" borderId="0" xfId="97" applyFont="1" applyAlignment="1">
      <alignment horizontal="right" vertical="center"/>
    </xf>
    <xf numFmtId="0" fontId="8" fillId="0" borderId="0" xfId="97" applyFont="1" applyAlignment="1">
      <alignment vertical="center"/>
    </xf>
    <xf numFmtId="3" fontId="8" fillId="0" borderId="0" xfId="97" applyNumberFormat="1" applyFont="1" applyAlignment="1">
      <alignment horizontal="right" vertical="center"/>
    </xf>
    <xf numFmtId="3" fontId="8" fillId="0" borderId="0" xfId="52" applyNumberFormat="1" applyFont="1" applyAlignment="1">
      <alignment vertical="center"/>
    </xf>
    <xf numFmtId="0" fontId="8" fillId="0" borderId="0" xfId="97" applyFont="1" applyAlignment="1">
      <alignment horizontal="right"/>
    </xf>
    <xf numFmtId="167" fontId="10" fillId="0" borderId="0" xfId="97" applyNumberFormat="1" applyFont="1" applyAlignment="1">
      <alignment horizontal="right" vertical="top" wrapText="1"/>
    </xf>
    <xf numFmtId="167" fontId="10" fillId="0" borderId="1" xfId="97" applyNumberFormat="1" applyFont="1" applyBorder="1" applyAlignment="1">
      <alignment horizontal="right" vertical="top" wrapText="1"/>
    </xf>
    <xf numFmtId="0" fontId="10" fillId="0" borderId="1" xfId="97" applyFont="1" applyBorder="1" applyAlignment="1">
      <alignment horizontal="left" vertical="top" wrapText="1"/>
    </xf>
    <xf numFmtId="0" fontId="10" fillId="0" borderId="1" xfId="97" applyFont="1" applyBorder="1" applyAlignment="1">
      <alignment vertical="top" wrapText="1"/>
    </xf>
    <xf numFmtId="0" fontId="6" fillId="0" borderId="0" xfId="97" applyFont="1" applyAlignment="1">
      <alignment horizontal="right" wrapText="1"/>
    </xf>
    <xf numFmtId="167" fontId="8" fillId="0" borderId="3" xfId="97" applyNumberFormat="1" applyFont="1" applyBorder="1" applyAlignment="1">
      <alignment horizontal="right" wrapText="1"/>
    </xf>
    <xf numFmtId="0" fontId="6" fillId="0" borderId="3" xfId="97" applyFont="1" applyBorder="1" applyAlignment="1">
      <alignment horizontal="left" vertical="top" wrapText="1"/>
    </xf>
    <xf numFmtId="0" fontId="8" fillId="0" borderId="3" xfId="97" applyFont="1" applyBorder="1" applyAlignment="1">
      <alignment wrapText="1"/>
    </xf>
    <xf numFmtId="0" fontId="6" fillId="0" borderId="3" xfId="97" applyFont="1" applyBorder="1" applyAlignment="1">
      <alignment wrapText="1"/>
    </xf>
    <xf numFmtId="167" fontId="6" fillId="0" borderId="0" xfId="97" applyNumberFormat="1" applyFont="1" applyAlignment="1">
      <alignment horizontal="right"/>
    </xf>
    <xf numFmtId="0" fontId="2" fillId="0" borderId="0" xfId="97" applyFont="1" applyAlignment="1">
      <alignment vertical="top"/>
    </xf>
    <xf numFmtId="0" fontId="3" fillId="0" borderId="0" xfId="93" applyFont="1" applyAlignment="1">
      <alignment horizontal="right" vertical="top"/>
    </xf>
    <xf numFmtId="167" fontId="3" fillId="0" borderId="0" xfId="93" applyNumberFormat="1" applyFont="1" applyAlignment="1">
      <alignment horizontal="right" vertical="top"/>
    </xf>
    <xf numFmtId="0" fontId="5" fillId="0" borderId="0" xfId="93" applyFont="1" applyAlignment="1">
      <alignment vertical="top"/>
    </xf>
    <xf numFmtId="0" fontId="5" fillId="0" borderId="0" xfId="93" applyFont="1" applyAlignment="1">
      <alignment horizontal="right" vertical="top"/>
    </xf>
    <xf numFmtId="0" fontId="2" fillId="0" borderId="0" xfId="97" applyFont="1"/>
    <xf numFmtId="167" fontId="3" fillId="0" borderId="0" xfId="93" applyNumberFormat="1" applyFont="1" applyAlignment="1">
      <alignment horizontal="right"/>
    </xf>
    <xf numFmtId="3" fontId="6" fillId="0" borderId="1" xfId="0" applyNumberFormat="1" applyFont="1" applyBorder="1" applyAlignment="1">
      <alignment horizontal="right" vertical="center"/>
    </xf>
    <xf numFmtId="177" fontId="6" fillId="0" borderId="1" xfId="6" applyNumberFormat="1" applyFont="1" applyFill="1" applyBorder="1" applyAlignment="1">
      <alignment horizontal="right"/>
    </xf>
    <xf numFmtId="0" fontId="6" fillId="0" borderId="1" xfId="0" applyFont="1" applyBorder="1" applyAlignment="1">
      <alignment horizontal="left"/>
    </xf>
    <xf numFmtId="177" fontId="28" fillId="0" borderId="0" xfId="6" applyNumberFormat="1" applyFont="1" applyFill="1"/>
    <xf numFmtId="3" fontId="28" fillId="0" borderId="0" xfId="6" applyNumberFormat="1" applyFont="1" applyFill="1" applyAlignment="1">
      <alignment horizontal="right" vertical="center" wrapText="1"/>
    </xf>
    <xf numFmtId="3" fontId="20" fillId="0" borderId="0" xfId="6" applyNumberFormat="1" applyFont="1" applyAlignment="1">
      <alignment horizontal="right" vertical="center" wrapText="1"/>
    </xf>
    <xf numFmtId="0" fontId="26" fillId="0" borderId="0" xfId="62" applyFont="1" applyAlignment="1">
      <alignment horizontal="left" vertical="center" wrapText="1" indent="1"/>
    </xf>
    <xf numFmtId="3" fontId="6" fillId="0" borderId="0" xfId="33" applyNumberFormat="1" applyFont="1" applyAlignment="1">
      <alignment horizontal="right" vertical="center"/>
    </xf>
    <xf numFmtId="3" fontId="26" fillId="0" borderId="0" xfId="49" applyNumberFormat="1" applyFont="1" applyAlignment="1">
      <alignment horizontal="right" vertical="center"/>
    </xf>
    <xf numFmtId="3" fontId="26" fillId="0" borderId="0" xfId="62" applyNumberFormat="1" applyFont="1" applyAlignment="1">
      <alignment horizontal="right" vertical="center" wrapText="1"/>
    </xf>
    <xf numFmtId="0" fontId="26" fillId="0" borderId="0" xfId="62" applyFont="1" applyAlignment="1">
      <alignment horizontal="center" wrapText="1"/>
    </xf>
    <xf numFmtId="0" fontId="6" fillId="0" borderId="0" xfId="33" applyFont="1" applyAlignment="1">
      <alignment vertical="center"/>
    </xf>
    <xf numFmtId="0" fontId="6" fillId="0" borderId="0" xfId="33" applyFont="1" applyAlignment="1">
      <alignment horizontal="left" vertical="center"/>
    </xf>
    <xf numFmtId="3" fontId="26" fillId="0" borderId="0" xfId="49" applyNumberFormat="1" applyFont="1" applyAlignment="1">
      <alignment horizontal="right" vertical="center" wrapText="1"/>
    </xf>
    <xf numFmtId="166" fontId="26" fillId="0" borderId="0" xfId="49" applyFont="1" applyAlignment="1">
      <alignment vertical="center" wrapText="1"/>
    </xf>
    <xf numFmtId="3" fontId="49" fillId="0" borderId="0" xfId="0" applyNumberFormat="1" applyFont="1" applyAlignment="1">
      <alignment horizontal="right" vertical="center"/>
    </xf>
    <xf numFmtId="0" fontId="6" fillId="0" borderId="0" xfId="33" applyFont="1" applyAlignment="1">
      <alignment horizontal="left" vertical="center" indent="1"/>
    </xf>
    <xf numFmtId="166" fontId="26" fillId="0" borderId="0" xfId="49" applyFont="1" applyAlignment="1">
      <alignment vertical="center"/>
    </xf>
    <xf numFmtId="0" fontId="8" fillId="0" borderId="0" xfId="33" applyFont="1" applyAlignment="1">
      <alignment vertical="center"/>
    </xf>
    <xf numFmtId="3" fontId="8" fillId="0" borderId="0" xfId="33" applyNumberFormat="1" applyFont="1" applyAlignment="1">
      <alignment horizontal="right" vertical="center"/>
    </xf>
    <xf numFmtId="0" fontId="8" fillId="0" borderId="0" xfId="33" applyFont="1" applyAlignment="1">
      <alignment horizontal="left" vertical="center"/>
    </xf>
    <xf numFmtId="0" fontId="8" fillId="0" borderId="0" xfId="0" applyFont="1" applyAlignment="1">
      <alignment vertical="top" wrapText="1"/>
    </xf>
    <xf numFmtId="0" fontId="6" fillId="0" borderId="1" xfId="60" applyFont="1" applyBorder="1" applyAlignment="1">
      <alignment horizontal="right" vertical="top" wrapText="1"/>
    </xf>
    <xf numFmtId="0" fontId="6" fillId="0" borderId="1" xfId="0" applyFont="1" applyBorder="1" applyAlignment="1">
      <alignment horizontal="right" vertical="top" wrapText="1"/>
    </xf>
    <xf numFmtId="0" fontId="6" fillId="0" borderId="1" xfId="0" applyFont="1" applyBorder="1" applyAlignment="1">
      <alignment horizontal="center" vertical="top" wrapText="1"/>
    </xf>
    <xf numFmtId="0" fontId="8" fillId="0" borderId="1" xfId="0" applyFont="1" applyBorder="1" applyAlignment="1">
      <alignment vertical="center"/>
    </xf>
    <xf numFmtId="3" fontId="10" fillId="0" borderId="1" xfId="52" applyNumberFormat="1" applyFont="1" applyBorder="1" applyAlignment="1">
      <alignment vertical="top"/>
    </xf>
    <xf numFmtId="0" fontId="21" fillId="0" borderId="1" xfId="0" applyFont="1" applyBorder="1" applyAlignment="1">
      <alignment horizontal="right"/>
    </xf>
    <xf numFmtId="0" fontId="21" fillId="0" borderId="1" xfId="0" applyFont="1" applyBorder="1"/>
    <xf numFmtId="0" fontId="6" fillId="0" borderId="1" xfId="0" applyFont="1" applyBorder="1" applyAlignment="1">
      <alignment horizontal="center"/>
    </xf>
    <xf numFmtId="0" fontId="21" fillId="0" borderId="0" xfId="0" applyFont="1" applyAlignment="1">
      <alignment horizontal="right"/>
    </xf>
    <xf numFmtId="0" fontId="21" fillId="0" borderId="0" xfId="0" applyFont="1"/>
    <xf numFmtId="0" fontId="6" fillId="0" borderId="0" xfId="0" applyFont="1" applyAlignment="1">
      <alignment horizontal="center"/>
    </xf>
    <xf numFmtId="0" fontId="5" fillId="0" borderId="0" xfId="0" applyFont="1" applyAlignment="1">
      <alignment horizontal="center" vertical="center"/>
    </xf>
    <xf numFmtId="0" fontId="3" fillId="0" borderId="0" xfId="0" applyFont="1" applyAlignment="1">
      <alignment vertical="center"/>
    </xf>
    <xf numFmtId="0" fontId="53" fillId="0" borderId="0" xfId="0" applyFont="1" applyAlignment="1">
      <alignment vertical="center"/>
    </xf>
    <xf numFmtId="0" fontId="2" fillId="0" borderId="0" xfId="0" applyFont="1" applyAlignment="1">
      <alignment horizontal="center" vertical="center"/>
    </xf>
    <xf numFmtId="0" fontId="20" fillId="0" borderId="0" xfId="0" applyFont="1" applyAlignment="1">
      <alignment horizontal="right"/>
    </xf>
    <xf numFmtId="0" fontId="14" fillId="0" borderId="0" xfId="12" applyFont="1" applyAlignment="1">
      <alignment vertical="center"/>
    </xf>
    <xf numFmtId="0" fontId="3" fillId="0" borderId="0" xfId="12" quotePrefix="1" applyFont="1"/>
    <xf numFmtId="3" fontId="6" fillId="0" borderId="0" xfId="22" applyNumberFormat="1" applyFont="1" applyAlignment="1">
      <alignment horizontal="right" vertical="center"/>
    </xf>
    <xf numFmtId="171" fontId="6" fillId="0" borderId="0" xfId="22" applyNumberFormat="1" applyFont="1" applyAlignment="1">
      <alignment horizontal="right" vertical="center"/>
    </xf>
    <xf numFmtId="171" fontId="6" fillId="0" borderId="0" xfId="22" applyNumberFormat="1" applyFont="1" applyAlignment="1">
      <alignment horizontal="right"/>
    </xf>
    <xf numFmtId="0" fontId="6" fillId="0" borderId="0" xfId="12" applyFont="1" applyAlignment="1">
      <alignment horizontal="left" vertical="center" indent="2"/>
    </xf>
    <xf numFmtId="0" fontId="10" fillId="0" borderId="0" xfId="12" applyFont="1"/>
    <xf numFmtId="0" fontId="8" fillId="0" borderId="0" xfId="12" applyFont="1"/>
    <xf numFmtId="168" fontId="8" fillId="0" borderId="0" xfId="14" applyNumberFormat="1" applyFont="1" applyBorder="1" applyAlignment="1">
      <alignment horizontal="right" vertical="center"/>
    </xf>
    <xf numFmtId="0" fontId="3" fillId="0" borderId="0" xfId="2" applyFont="1"/>
    <xf numFmtId="0" fontId="13" fillId="0" borderId="0" xfId="2" applyFont="1" applyAlignment="1">
      <alignment vertical="center"/>
    </xf>
    <xf numFmtId="0" fontId="2" fillId="0" borderId="1" xfId="2" applyFont="1" applyBorder="1" applyAlignment="1">
      <alignment vertical="center"/>
    </xf>
    <xf numFmtId="0" fontId="6" fillId="0" borderId="0" xfId="2" applyFont="1" applyAlignment="1">
      <alignment horizontal="right" vertical="center" indent="1"/>
    </xf>
    <xf numFmtId="0" fontId="8" fillId="0" borderId="0" xfId="2" applyFont="1" applyAlignment="1">
      <alignment horizontal="left" vertical="center" indent="2"/>
    </xf>
    <xf numFmtId="0" fontId="6" fillId="0" borderId="0" xfId="2" applyFont="1" applyAlignment="1">
      <alignment horizontal="right" vertical="center"/>
    </xf>
    <xf numFmtId="167" fontId="8" fillId="0" borderId="0" xfId="2" applyNumberFormat="1" applyFont="1" applyAlignment="1">
      <alignment horizontal="right" vertical="center"/>
    </xf>
    <xf numFmtId="0" fontId="11" fillId="0" borderId="0" xfId="2" applyFont="1" applyAlignment="1">
      <alignment vertical="center"/>
    </xf>
    <xf numFmtId="167" fontId="6" fillId="0" borderId="0" xfId="6" quotePrefix="1" applyNumberFormat="1" applyFont="1" applyAlignment="1">
      <alignment horizontal="right" vertical="center"/>
    </xf>
    <xf numFmtId="167" fontId="8" fillId="0" borderId="0" xfId="6" quotePrefix="1" applyNumberFormat="1" applyFont="1" applyAlignment="1">
      <alignment horizontal="right" vertical="center"/>
    </xf>
    <xf numFmtId="167" fontId="8" fillId="0" borderId="0" xfId="6" applyNumberFormat="1" applyFont="1" applyAlignment="1">
      <alignment horizontal="right" vertical="center"/>
    </xf>
    <xf numFmtId="0" fontId="6" fillId="0" borderId="0" xfId="2" applyFont="1" applyAlignment="1">
      <alignment horizontal="center" vertical="center"/>
    </xf>
    <xf numFmtId="0" fontId="6" fillId="0" borderId="2" xfId="2" applyFont="1" applyBorder="1"/>
    <xf numFmtId="0" fontId="2" fillId="0" borderId="1" xfId="2" applyFont="1" applyBorder="1"/>
    <xf numFmtId="0" fontId="5" fillId="0" borderId="0" xfId="2" applyFont="1" applyAlignment="1">
      <alignment horizontal="right" vertical="center"/>
    </xf>
    <xf numFmtId="0" fontId="3" fillId="0" borderId="0" xfId="2" applyFont="1" applyAlignment="1">
      <alignment horizontal="right" vertical="center"/>
    </xf>
    <xf numFmtId="0" fontId="1" fillId="0" borderId="0" xfId="28"/>
    <xf numFmtId="0" fontId="6" fillId="0" borderId="0" xfId="33" applyFont="1" applyAlignment="1">
      <alignment horizontal="left" vertical="center" indent="2"/>
    </xf>
    <xf numFmtId="0" fontId="45" fillId="0" borderId="0" xfId="28" applyFont="1" applyAlignment="1">
      <alignment horizontal="left"/>
    </xf>
    <xf numFmtId="0" fontId="45" fillId="0" borderId="0" xfId="28" applyFont="1" applyAlignment="1">
      <alignment horizontal="left" indent="5"/>
    </xf>
    <xf numFmtId="0" fontId="45" fillId="0" borderId="0" xfId="28" applyFont="1" applyAlignment="1">
      <alignment horizontal="center"/>
    </xf>
    <xf numFmtId="0" fontId="45" fillId="0" borderId="0" xfId="28" applyFont="1" applyAlignment="1">
      <alignment horizontal="left" indent="2"/>
    </xf>
    <xf numFmtId="0" fontId="28" fillId="0" borderId="0" xfId="28" applyFont="1" applyAlignment="1">
      <alignment horizontal="left"/>
    </xf>
    <xf numFmtId="0" fontId="47" fillId="0" borderId="0" xfId="28" applyFont="1" applyAlignment="1">
      <alignment horizontal="right"/>
    </xf>
    <xf numFmtId="176" fontId="12" fillId="0" borderId="0" xfId="34" applyNumberFormat="1" applyFont="1" applyFill="1" applyBorder="1" applyAlignment="1">
      <alignment horizontal="left" vertical="center" indent="5"/>
    </xf>
    <xf numFmtId="0" fontId="12" fillId="0" borderId="0" xfId="28" applyFont="1" applyAlignment="1">
      <alignment horizontal="center" vertical="center"/>
    </xf>
    <xf numFmtId="0" fontId="45" fillId="0" borderId="0" xfId="28" applyFont="1"/>
    <xf numFmtId="0" fontId="12" fillId="0" borderId="0" xfId="28" applyFont="1" applyAlignment="1">
      <alignment horizontal="left" indent="2"/>
    </xf>
    <xf numFmtId="0" fontId="49" fillId="0" borderId="0" xfId="28" applyFont="1" applyAlignment="1">
      <alignment horizontal="left"/>
    </xf>
    <xf numFmtId="0" fontId="20" fillId="0" borderId="1" xfId="28" applyFont="1" applyBorder="1"/>
    <xf numFmtId="174" fontId="6" fillId="0" borderId="1" xfId="31" applyNumberFormat="1" applyFont="1" applyBorder="1" applyAlignment="1">
      <alignment horizontal="center" vertical="top"/>
    </xf>
    <xf numFmtId="167" fontId="28" fillId="0" borderId="0" xfId="32" applyNumberFormat="1" applyFont="1" applyFill="1" applyAlignment="1">
      <alignment horizontal="right" vertical="center"/>
    </xf>
    <xf numFmtId="0" fontId="6" fillId="0" borderId="0" xfId="28" applyFont="1" applyAlignment="1">
      <alignment horizontal="center"/>
    </xf>
    <xf numFmtId="174" fontId="28" fillId="0" borderId="0" xfId="26" applyFont="1" applyAlignment="1">
      <alignment horizontal="left" vertical="center" indent="1"/>
    </xf>
    <xf numFmtId="0" fontId="28" fillId="0" borderId="0" xfId="28" applyFont="1"/>
    <xf numFmtId="0" fontId="28" fillId="0" borderId="0" xfId="28" applyFont="1" applyAlignment="1">
      <alignment horizontal="left" indent="1"/>
    </xf>
    <xf numFmtId="167" fontId="28" fillId="0" borderId="0" xfId="32" applyNumberFormat="1" applyFont="1" applyFill="1" applyBorder="1" applyAlignment="1">
      <alignment horizontal="right" vertical="center"/>
    </xf>
    <xf numFmtId="167" fontId="28" fillId="0" borderId="0" xfId="32" applyNumberFormat="1" applyFont="1" applyFill="1" applyBorder="1" applyAlignment="1">
      <alignment horizontal="right" vertical="center" wrapText="1"/>
    </xf>
    <xf numFmtId="174" fontId="6" fillId="0" borderId="0" xfId="31" applyNumberFormat="1" applyFont="1" applyAlignment="1">
      <alignment horizontal="center" vertical="top"/>
    </xf>
    <xf numFmtId="0" fontId="20" fillId="0" borderId="0" xfId="28" applyFont="1"/>
    <xf numFmtId="169" fontId="28" fillId="0" borderId="0" xfId="28" applyNumberFormat="1" applyFont="1"/>
    <xf numFmtId="176" fontId="28" fillId="0" borderId="0" xfId="32" applyNumberFormat="1" applyFont="1" applyFill="1" applyBorder="1" applyAlignment="1">
      <alignment horizontal="right" vertical="center" wrapText="1"/>
    </xf>
    <xf numFmtId="175" fontId="6" fillId="0" borderId="5" xfId="30" applyFont="1" applyBorder="1" applyAlignment="1">
      <alignment horizontal="left"/>
    </xf>
    <xf numFmtId="175" fontId="6" fillId="0" borderId="0" xfId="30" applyFont="1" applyAlignment="1">
      <alignment horizontal="left"/>
    </xf>
    <xf numFmtId="175" fontId="10" fillId="0" borderId="0" xfId="30" applyFont="1" applyAlignment="1">
      <alignment horizontal="left"/>
    </xf>
    <xf numFmtId="175" fontId="10" fillId="0" borderId="1" xfId="30" applyFont="1" applyBorder="1" applyAlignment="1">
      <alignment horizontal="left"/>
    </xf>
    <xf numFmtId="175" fontId="10" fillId="0" borderId="1" xfId="30" applyFont="1" applyBorder="1" applyAlignment="1">
      <alignment horizontal="center"/>
    </xf>
    <xf numFmtId="175" fontId="10" fillId="0" borderId="1" xfId="30" applyFont="1" applyBorder="1"/>
    <xf numFmtId="175" fontId="10" fillId="0" borderId="0" xfId="30" applyFont="1" applyAlignment="1">
      <alignment horizontal="right"/>
    </xf>
    <xf numFmtId="175" fontId="8" fillId="0" borderId="0" xfId="30" applyFont="1" applyAlignment="1">
      <alignment horizontal="center"/>
    </xf>
    <xf numFmtId="175" fontId="10" fillId="0" borderId="0" xfId="30" applyFont="1" applyAlignment="1">
      <alignment horizontal="center" vertical="top"/>
    </xf>
    <xf numFmtId="175" fontId="8" fillId="0" borderId="0" xfId="30" applyFont="1" applyAlignment="1">
      <alignment horizontal="right" wrapText="1"/>
    </xf>
    <xf numFmtId="175" fontId="10" fillId="0" borderId="0" xfId="30" applyFont="1" applyAlignment="1">
      <alignment horizontal="center"/>
    </xf>
    <xf numFmtId="175" fontId="8" fillId="0" borderId="0" xfId="30" applyFont="1" applyAlignment="1">
      <alignment horizontal="left"/>
    </xf>
    <xf numFmtId="175" fontId="8" fillId="0" borderId="0" xfId="30" applyFont="1" applyAlignment="1">
      <alignment wrapText="1"/>
    </xf>
    <xf numFmtId="175" fontId="8" fillId="0" borderId="0" xfId="30" applyFont="1" applyAlignment="1">
      <alignment horizontal="right"/>
    </xf>
    <xf numFmtId="175" fontId="8" fillId="0" borderId="0" xfId="30" applyFont="1"/>
    <xf numFmtId="0" fontId="28" fillId="0" borderId="1" xfId="28" applyFont="1" applyBorder="1"/>
    <xf numFmtId="0" fontId="28" fillId="0" borderId="1" xfId="28" applyFont="1" applyBorder="1" applyAlignment="1">
      <alignment horizontal="center"/>
    </xf>
    <xf numFmtId="0" fontId="21" fillId="0" borderId="1" xfId="28" applyFont="1" applyBorder="1"/>
    <xf numFmtId="0" fontId="21" fillId="0" borderId="1" xfId="28" applyFont="1" applyBorder="1" applyAlignment="1">
      <alignment horizontal="right"/>
    </xf>
    <xf numFmtId="0" fontId="20" fillId="0" borderId="0" xfId="28" applyFont="1" applyAlignment="1">
      <alignment horizontal="center"/>
    </xf>
    <xf numFmtId="0" fontId="5" fillId="0" borderId="0" xfId="28" applyFont="1" applyAlignment="1">
      <alignment horizontal="left" vertical="center"/>
    </xf>
    <xf numFmtId="0" fontId="41" fillId="0" borderId="0" xfId="28" applyFont="1" applyAlignment="1">
      <alignment horizontal="right" vertical="center"/>
    </xf>
    <xf numFmtId="0" fontId="41" fillId="0" borderId="0" xfId="28" applyFont="1" applyAlignment="1">
      <alignment horizontal="right"/>
    </xf>
    <xf numFmtId="0" fontId="3" fillId="0" borderId="0" xfId="28" applyFont="1" applyAlignment="1">
      <alignment horizontal="left" vertical="center"/>
    </xf>
    <xf numFmtId="3" fontId="3" fillId="0" borderId="0" xfId="29" applyNumberFormat="1" applyFont="1" applyAlignment="1">
      <alignment horizontal="right" vertical="center"/>
    </xf>
    <xf numFmtId="3" fontId="3" fillId="0" borderId="0" xfId="29" applyNumberFormat="1" applyFont="1" applyAlignment="1">
      <alignment horizontal="right"/>
    </xf>
    <xf numFmtId="167" fontId="28" fillId="0" borderId="0" xfId="32" applyNumberFormat="1" applyFont="1" applyFill="1" applyAlignment="1">
      <alignment horizontal="center" vertical="center"/>
    </xf>
    <xf numFmtId="0" fontId="1" fillId="0" borderId="0" xfId="28" applyAlignment="1">
      <alignment horizontal="left" indent="1"/>
    </xf>
    <xf numFmtId="167" fontId="28" fillId="0" borderId="0" xfId="32" applyNumberFormat="1" applyFont="1" applyFill="1" applyBorder="1" applyAlignment="1">
      <alignment horizontal="center" vertical="center"/>
    </xf>
    <xf numFmtId="167" fontId="28" fillId="0" borderId="0" xfId="32" applyNumberFormat="1" applyFont="1" applyFill="1" applyBorder="1" applyAlignment="1">
      <alignment horizontal="center" vertical="center" wrapText="1"/>
    </xf>
    <xf numFmtId="167" fontId="19" fillId="0" borderId="0" xfId="32" applyNumberFormat="1" applyFont="1" applyFill="1" applyAlignment="1">
      <alignment horizontal="right" vertical="center"/>
    </xf>
    <xf numFmtId="167" fontId="19" fillId="0" borderId="0" xfId="32" applyNumberFormat="1" applyFont="1" applyFill="1" applyAlignment="1">
      <alignment horizontal="center" vertical="center"/>
    </xf>
    <xf numFmtId="0" fontId="8" fillId="0" borderId="0" xfId="28" applyFont="1" applyAlignment="1">
      <alignment horizontal="center"/>
    </xf>
    <xf numFmtId="174" fontId="8" fillId="0" borderId="0" xfId="31" applyNumberFormat="1" applyFont="1" applyAlignment="1">
      <alignment horizontal="left" vertical="center"/>
    </xf>
    <xf numFmtId="0" fontId="19" fillId="0" borderId="0" xfId="28" applyFont="1"/>
    <xf numFmtId="0" fontId="3" fillId="0" borderId="0" xfId="12" quotePrefix="1" applyFont="1" applyAlignment="1">
      <alignment horizontal="left"/>
    </xf>
    <xf numFmtId="0" fontId="13" fillId="0" borderId="0" xfId="17" applyFont="1" applyAlignment="1">
      <alignment vertical="center"/>
    </xf>
    <xf numFmtId="167" fontId="6" fillId="0" borderId="0" xfId="15" applyNumberFormat="1" applyFont="1" applyAlignment="1">
      <alignment horizontal="right" vertical="center"/>
    </xf>
    <xf numFmtId="169" fontId="6" fillId="0" borderId="0" xfId="15" applyNumberFormat="1" applyFont="1" applyAlignment="1">
      <alignment horizontal="right"/>
    </xf>
    <xf numFmtId="0" fontId="10" fillId="0" borderId="0" xfId="12" applyFont="1" applyAlignment="1">
      <alignment horizontal="left" vertical="center"/>
    </xf>
    <xf numFmtId="167" fontId="6" fillId="0" borderId="0" xfId="15" applyNumberFormat="1" applyFont="1" applyAlignment="1">
      <alignment horizontal="right"/>
    </xf>
    <xf numFmtId="167" fontId="6" fillId="0" borderId="0" xfId="15" applyNumberFormat="1" applyFont="1" applyAlignment="1">
      <alignment horizontal="right" vertical="center" indent="1"/>
    </xf>
    <xf numFmtId="0" fontId="6" fillId="0" borderId="0" xfId="15" applyFont="1" applyAlignment="1">
      <alignment horizontal="right"/>
    </xf>
    <xf numFmtId="3" fontId="6" fillId="0" borderId="0" xfId="15" applyNumberFormat="1" applyFont="1" applyAlignment="1">
      <alignment horizontal="right" vertical="center"/>
    </xf>
    <xf numFmtId="0" fontId="2" fillId="0" borderId="1" xfId="12" applyFont="1" applyBorder="1"/>
    <xf numFmtId="0" fontId="5" fillId="0" borderId="0" xfId="13" applyFont="1" applyAlignment="1">
      <alignment horizontal="right" vertical="center"/>
    </xf>
    <xf numFmtId="0" fontId="3" fillId="0" borderId="0" xfId="13" applyFont="1" applyAlignment="1">
      <alignment horizontal="right" vertical="center"/>
    </xf>
    <xf numFmtId="171" fontId="27" fillId="0" borderId="0" xfId="6" applyNumberFormat="1" applyFont="1" applyFill="1" applyAlignment="1">
      <alignment horizontal="right" vertical="center" wrapText="1" readingOrder="1"/>
    </xf>
    <xf numFmtId="0" fontId="6" fillId="0" borderId="0" xfId="20" applyFont="1" applyAlignment="1">
      <alignment horizontal="right" vertical="top" wrapText="1"/>
    </xf>
    <xf numFmtId="0" fontId="6" fillId="0" borderId="0" xfId="0" applyFont="1" applyAlignment="1">
      <alignment horizontal="right" vertical="top" wrapText="1"/>
    </xf>
    <xf numFmtId="3" fontId="8" fillId="0" borderId="0" xfId="20" applyNumberFormat="1" applyFont="1" applyAlignment="1">
      <alignment horizontal="right" vertical="top" wrapText="1"/>
    </xf>
    <xf numFmtId="3" fontId="8" fillId="0" borderId="0" xfId="20" applyNumberFormat="1" applyFont="1" applyAlignment="1">
      <alignment horizontal="right" vertical="center" wrapText="1"/>
    </xf>
    <xf numFmtId="3" fontId="6" fillId="0" borderId="0" xfId="20" applyNumberFormat="1" applyFont="1" applyAlignment="1">
      <alignment horizontal="right" vertical="center" wrapText="1"/>
    </xf>
    <xf numFmtId="3" fontId="6" fillId="0" borderId="0" xfId="20" applyNumberFormat="1" applyFont="1" applyAlignment="1">
      <alignment horizontal="right" vertical="center"/>
    </xf>
    <xf numFmtId="0" fontId="39" fillId="0" borderId="0" xfId="0" applyFont="1" applyAlignment="1">
      <alignment vertical="center"/>
    </xf>
    <xf numFmtId="0" fontId="39" fillId="0" borderId="0" xfId="0" applyFont="1" applyAlignment="1">
      <alignment vertical="center" wrapText="1"/>
    </xf>
    <xf numFmtId="0" fontId="108" fillId="0" borderId="0" xfId="27" applyFont="1" applyAlignment="1">
      <alignment horizontal="left"/>
    </xf>
    <xf numFmtId="0" fontId="109" fillId="0" borderId="0" xfId="27" applyFont="1" applyAlignment="1">
      <alignment horizontal="left"/>
    </xf>
    <xf numFmtId="0" fontId="110" fillId="0" borderId="0" xfId="27" applyFont="1" applyAlignment="1">
      <alignment horizontal="left"/>
    </xf>
    <xf numFmtId="0" fontId="112" fillId="0" borderId="0" xfId="27" applyFont="1" applyAlignment="1">
      <alignment horizontal="left"/>
    </xf>
    <xf numFmtId="0" fontId="32" fillId="0" borderId="0" xfId="15" applyFont="1" applyAlignment="1">
      <alignment horizontal="left" wrapText="1" indent="2"/>
    </xf>
    <xf numFmtId="3" fontId="28" fillId="0" borderId="1" xfId="5" applyNumberFormat="1" applyFont="1" applyBorder="1" applyAlignment="1">
      <alignment horizontal="right" vertical="center"/>
    </xf>
    <xf numFmtId="164" fontId="6" fillId="0" borderId="1" xfId="24" applyFont="1" applyFill="1" applyBorder="1" applyAlignment="1">
      <alignment vertical="center"/>
    </xf>
    <xf numFmtId="3" fontId="28" fillId="0" borderId="0" xfId="5" applyNumberFormat="1" applyFont="1" applyAlignment="1">
      <alignment horizontal="right" vertical="center"/>
    </xf>
    <xf numFmtId="167" fontId="28" fillId="0" borderId="0" xfId="5" applyNumberFormat="1" applyFont="1" applyAlignment="1">
      <alignment horizontal="right" vertical="center"/>
    </xf>
    <xf numFmtId="167" fontId="6" fillId="0" borderId="0" xfId="25" applyNumberFormat="1" applyFont="1" applyBorder="1" applyAlignment="1">
      <alignment horizontal="right" vertical="center"/>
    </xf>
    <xf numFmtId="173" fontId="28" fillId="0" borderId="0" xfId="22" applyNumberFormat="1" applyFont="1" applyFill="1" applyBorder="1" applyAlignment="1">
      <alignment vertical="center"/>
    </xf>
    <xf numFmtId="167" fontId="28" fillId="0" borderId="0" xfId="22" applyNumberFormat="1" applyFont="1" applyFill="1" applyBorder="1" applyAlignment="1">
      <alignment horizontal="right" vertical="center"/>
    </xf>
    <xf numFmtId="167" fontId="6" fillId="0" borderId="0" xfId="164" applyNumberFormat="1" applyFont="1" applyAlignment="1">
      <alignment horizontal="right" vertical="center"/>
    </xf>
    <xf numFmtId="167" fontId="6" fillId="0" borderId="0" xfId="23" applyNumberFormat="1" applyFont="1" applyFill="1" applyBorder="1" applyAlignment="1">
      <alignment horizontal="right" vertical="center"/>
    </xf>
    <xf numFmtId="0" fontId="41" fillId="0" borderId="0" xfId="0" applyFont="1" applyAlignment="1">
      <alignment horizontal="left" vertical="center" wrapText="1"/>
    </xf>
    <xf numFmtId="166" fontId="5" fillId="0" borderId="0" xfId="21" quotePrefix="1" applyFont="1" applyAlignment="1">
      <alignment horizontal="right" vertical="center"/>
    </xf>
    <xf numFmtId="166" fontId="3" fillId="0" borderId="0" xfId="21" applyFont="1" applyAlignment="1">
      <alignment vertical="center"/>
    </xf>
    <xf numFmtId="0" fontId="113" fillId="0" borderId="0" xfId="27" applyFont="1" applyAlignment="1">
      <alignment horizontal="left"/>
    </xf>
    <xf numFmtId="0" fontId="32" fillId="0" borderId="0" xfId="15" applyFont="1" applyAlignment="1">
      <alignment horizontal="left" indent="1"/>
    </xf>
    <xf numFmtId="0" fontId="1" fillId="0" borderId="0" xfId="35"/>
    <xf numFmtId="0" fontId="98" fillId="0" borderId="0" xfId="35" quotePrefix="1" applyFont="1"/>
    <xf numFmtId="0" fontId="47" fillId="0" borderId="0" xfId="35" applyFont="1" applyAlignment="1">
      <alignment vertical="top"/>
    </xf>
    <xf numFmtId="0" fontId="98" fillId="0" borderId="0" xfId="35" applyFont="1"/>
    <xf numFmtId="0" fontId="46" fillId="0" borderId="0" xfId="36" applyFont="1"/>
    <xf numFmtId="0" fontId="47" fillId="0" borderId="0" xfId="35" applyFont="1" applyAlignment="1">
      <alignment horizontal="left" vertical="top"/>
    </xf>
    <xf numFmtId="0" fontId="46" fillId="0" borderId="0" xfId="35" applyFont="1" applyAlignment="1">
      <alignment horizontal="left" vertical="center"/>
    </xf>
    <xf numFmtId="0" fontId="45" fillId="0" borderId="0" xfId="35" applyFont="1"/>
    <xf numFmtId="167" fontId="28" fillId="0" borderId="0" xfId="32" applyNumberFormat="1" applyFont="1" applyFill="1" applyAlignment="1">
      <alignment horizontal="right" vertical="center" wrapText="1"/>
    </xf>
    <xf numFmtId="175" fontId="6" fillId="0" borderId="0" xfId="30" applyFont="1" applyAlignment="1">
      <alignment horizontal="right"/>
    </xf>
    <xf numFmtId="175" fontId="6" fillId="0" borderId="0" xfId="30" applyFont="1" applyAlignment="1">
      <alignment horizontal="center"/>
    </xf>
    <xf numFmtId="175" fontId="6" fillId="0" borderId="0" xfId="30" applyFont="1"/>
    <xf numFmtId="175" fontId="10" fillId="0" borderId="0" xfId="30" applyFont="1"/>
    <xf numFmtId="167" fontId="19" fillId="0" borderId="0" xfId="32" applyNumberFormat="1" applyFont="1" applyFill="1" applyAlignment="1">
      <alignment horizontal="right" vertical="center" wrapText="1"/>
    </xf>
    <xf numFmtId="169" fontId="23" fillId="0" borderId="0" xfId="0" applyNumberFormat="1" applyFont="1" applyAlignment="1">
      <alignment horizontal="center" vertical="center"/>
    </xf>
    <xf numFmtId="0" fontId="23" fillId="0" borderId="0" xfId="0" applyFont="1" applyAlignment="1">
      <alignment horizontal="left" vertical="center"/>
    </xf>
    <xf numFmtId="0" fontId="28" fillId="0" borderId="3" xfId="0" applyFont="1" applyBorder="1" applyAlignment="1">
      <alignment vertical="top" wrapText="1"/>
    </xf>
    <xf numFmtId="0" fontId="28" fillId="0" borderId="0" xfId="37" applyFont="1"/>
    <xf numFmtId="0" fontId="6" fillId="0" borderId="1" xfId="37" applyFont="1" applyBorder="1"/>
    <xf numFmtId="2" fontId="54" fillId="0" borderId="1" xfId="37" applyNumberFormat="1" applyFont="1" applyBorder="1" applyAlignment="1">
      <alignment horizontal="right" vertical="center"/>
    </xf>
    <xf numFmtId="0" fontId="19" fillId="0" borderId="1" xfId="37" applyFont="1" applyBorder="1"/>
    <xf numFmtId="0" fontId="28" fillId="0" borderId="1" xfId="37" applyFont="1" applyBorder="1"/>
    <xf numFmtId="4" fontId="6" fillId="0" borderId="0" xfId="38" applyNumberFormat="1" applyFont="1" applyAlignment="1">
      <alignment horizontal="right" vertical="center"/>
    </xf>
    <xf numFmtId="4" fontId="54" fillId="0" borderId="0" xfId="37" applyNumberFormat="1" applyFont="1" applyAlignment="1">
      <alignment horizontal="right" vertical="center"/>
    </xf>
    <xf numFmtId="0" fontId="19" fillId="0" borderId="0" xfId="37" applyFont="1" applyAlignment="1">
      <alignment horizontal="center" vertical="center"/>
    </xf>
    <xf numFmtId="0" fontId="19" fillId="0" borderId="0" xfId="37" applyFont="1"/>
    <xf numFmtId="0" fontId="28" fillId="0" borderId="0" xfId="37" applyFont="1" applyAlignment="1">
      <alignment vertical="center"/>
    </xf>
    <xf numFmtId="0" fontId="28" fillId="0" borderId="0" xfId="37" applyFont="1" applyAlignment="1">
      <alignment horizontal="right" vertical="center"/>
    </xf>
    <xf numFmtId="0" fontId="21" fillId="0" borderId="0" xfId="37" applyFont="1" applyAlignment="1">
      <alignment horizontal="right" vertical="center"/>
    </xf>
    <xf numFmtId="2" fontId="28" fillId="0" borderId="0" xfId="37" applyNumberFormat="1" applyFont="1" applyAlignment="1">
      <alignment horizontal="left"/>
    </xf>
    <xf numFmtId="2" fontId="28" fillId="0" borderId="0" xfId="37" applyNumberFormat="1" applyFont="1" applyAlignment="1">
      <alignment horizontal="right" vertical="center"/>
    </xf>
    <xf numFmtId="167" fontId="19" fillId="0" borderId="0" xfId="37" applyNumberFormat="1" applyFont="1" applyAlignment="1">
      <alignment horizontal="right" vertical="center"/>
    </xf>
    <xf numFmtId="0" fontId="21" fillId="0" borderId="0" xfId="37" applyFont="1" applyAlignment="1">
      <alignment horizontal="left" vertical="center"/>
    </xf>
    <xf numFmtId="0" fontId="19" fillId="0" borderId="0" xfId="37" applyFont="1" applyAlignment="1">
      <alignment horizontal="right" vertical="center"/>
    </xf>
    <xf numFmtId="0" fontId="6" fillId="0" borderId="0" xfId="37" applyFont="1"/>
    <xf numFmtId="174" fontId="28" fillId="0" borderId="0" xfId="37" applyNumberFormat="1" applyFont="1" applyAlignment="1">
      <alignment horizontal="right" vertical="top" wrapText="1"/>
    </xf>
    <xf numFmtId="0" fontId="28" fillId="0" borderId="0" xfId="37" applyFont="1" applyAlignment="1">
      <alignment horizontal="center" vertical="center"/>
    </xf>
    <xf numFmtId="0" fontId="6" fillId="0" borderId="6" xfId="37" applyFont="1" applyBorder="1" applyAlignment="1">
      <alignment vertical="center"/>
    </xf>
    <xf numFmtId="0" fontId="28" fillId="0" borderId="6" xfId="37" applyFont="1" applyBorder="1" applyAlignment="1">
      <alignment horizontal="right" vertical="center"/>
    </xf>
    <xf numFmtId="0" fontId="19" fillId="0" borderId="6" xfId="37" applyFont="1" applyBorder="1" applyAlignment="1">
      <alignment horizontal="right" vertical="center"/>
    </xf>
    <xf numFmtId="174" fontId="19" fillId="0" borderId="6" xfId="37" applyNumberFormat="1" applyFont="1" applyBorder="1" applyAlignment="1">
      <alignment horizontal="right" vertical="top" wrapText="1"/>
    </xf>
    <xf numFmtId="0" fontId="6" fillId="0" borderId="0" xfId="37" applyFont="1" applyAlignment="1">
      <alignment vertical="center"/>
    </xf>
    <xf numFmtId="0" fontId="19" fillId="0" borderId="0" xfId="37" applyFont="1" applyAlignment="1">
      <alignment horizontal="right" vertical="center" wrapText="1"/>
    </xf>
    <xf numFmtId="0" fontId="19" fillId="0" borderId="0" xfId="37" applyFont="1" applyAlignment="1">
      <alignment vertical="center" wrapText="1"/>
    </xf>
    <xf numFmtId="174" fontId="19" fillId="0" borderId="0" xfId="37" applyNumberFormat="1" applyFont="1" applyAlignment="1">
      <alignment horizontal="right" vertical="top" wrapText="1"/>
    </xf>
    <xf numFmtId="0" fontId="8" fillId="0" borderId="0" xfId="37" applyFont="1" applyAlignment="1">
      <alignment horizontal="right" vertical="center" wrapText="1"/>
    </xf>
    <xf numFmtId="0" fontId="28" fillId="0" borderId="0" xfId="37" applyFont="1" applyAlignment="1">
      <alignment horizontal="right"/>
    </xf>
    <xf numFmtId="0" fontId="20" fillId="0" borderId="0" xfId="37" applyFont="1"/>
    <xf numFmtId="0" fontId="2" fillId="0" borderId="6" xfId="37" applyFont="1" applyBorder="1"/>
    <xf numFmtId="0" fontId="20" fillId="0" borderId="6" xfId="37" applyFont="1" applyBorder="1" applyAlignment="1">
      <alignment horizontal="right"/>
    </xf>
    <xf numFmtId="0" fontId="53" fillId="0" borderId="6" xfId="37" applyFont="1" applyBorder="1"/>
    <xf numFmtId="0" fontId="20" fillId="0" borderId="6" xfId="37" applyFont="1" applyBorder="1"/>
    <xf numFmtId="0" fontId="2" fillId="0" borderId="0" xfId="37" applyFont="1"/>
    <xf numFmtId="0" fontId="41" fillId="0" borderId="0" xfId="37" applyFont="1" applyAlignment="1">
      <alignment horizontal="right" vertical="center"/>
    </xf>
    <xf numFmtId="0" fontId="53" fillId="0" borderId="0" xfId="37" applyFont="1" applyAlignment="1">
      <alignment horizontal="right" vertical="top"/>
    </xf>
    <xf numFmtId="0" fontId="20" fillId="0" borderId="0" xfId="37" applyFont="1" applyAlignment="1">
      <alignment horizontal="right"/>
    </xf>
    <xf numFmtId="0" fontId="10" fillId="0" borderId="0" xfId="37" applyFont="1" applyAlignment="1">
      <alignment horizontal="right" vertical="center"/>
    </xf>
    <xf numFmtId="0" fontId="53" fillId="0" borderId="0" xfId="37" applyFont="1"/>
    <xf numFmtId="0" fontId="8" fillId="0" borderId="0" xfId="37" applyFont="1" applyAlignment="1">
      <alignment horizontal="right" vertical="center"/>
    </xf>
    <xf numFmtId="0" fontId="10" fillId="0" borderId="1" xfId="37" applyFont="1" applyBorder="1" applyAlignment="1">
      <alignment horizontal="left" vertical="center" indent="2"/>
    </xf>
    <xf numFmtId="0" fontId="28" fillId="0" borderId="1" xfId="37" applyFont="1" applyBorder="1" applyAlignment="1">
      <alignment horizontal="right" vertical="center"/>
    </xf>
    <xf numFmtId="0" fontId="28" fillId="0" borderId="1" xfId="37" applyFont="1" applyBorder="1" applyAlignment="1">
      <alignment horizontal="center" vertical="center"/>
    </xf>
    <xf numFmtId="0" fontId="19" fillId="0" borderId="1" xfId="37" applyFont="1" applyBorder="1" applyAlignment="1">
      <alignment horizontal="center" vertical="center"/>
    </xf>
    <xf numFmtId="0" fontId="54" fillId="0" borderId="0" xfId="37" applyFont="1" applyAlignment="1">
      <alignment horizontal="right" vertical="center"/>
    </xf>
    <xf numFmtId="4" fontId="6" fillId="0" borderId="0" xfId="38" applyNumberFormat="1" applyFont="1" applyAlignment="1">
      <alignment horizontal="right" vertical="center" wrapText="1"/>
    </xf>
    <xf numFmtId="4" fontId="54" fillId="0" borderId="0" xfId="37" applyNumberFormat="1" applyFont="1" applyAlignment="1">
      <alignment horizontal="right" vertical="center" wrapText="1"/>
    </xf>
    <xf numFmtId="2" fontId="54" fillId="0" borderId="0" xfId="37" applyNumberFormat="1" applyFont="1" applyAlignment="1">
      <alignment horizontal="right" vertical="center"/>
    </xf>
    <xf numFmtId="0" fontId="53" fillId="0" borderId="0" xfId="37" applyFont="1" applyAlignment="1">
      <alignment horizontal="right" vertical="center"/>
    </xf>
    <xf numFmtId="0" fontId="14" fillId="0" borderId="0" xfId="15" applyFont="1" applyAlignment="1">
      <alignment horizontal="right" vertical="center"/>
    </xf>
    <xf numFmtId="0" fontId="12" fillId="0" borderId="0" xfId="18" applyFont="1" applyAlignment="1">
      <alignment horizontal="right" vertical="center"/>
    </xf>
    <xf numFmtId="0" fontId="12" fillId="0" borderId="0" xfId="15" applyFont="1" applyAlignment="1">
      <alignment vertical="center"/>
    </xf>
    <xf numFmtId="0" fontId="13" fillId="0" borderId="0" xfId="15" applyFont="1" applyAlignment="1">
      <alignment horizontal="right" vertical="center"/>
    </xf>
    <xf numFmtId="0" fontId="12" fillId="0" borderId="0" xfId="45" applyFont="1" applyAlignment="1">
      <alignment vertical="center"/>
    </xf>
    <xf numFmtId="0" fontId="2" fillId="0" borderId="1" xfId="18" applyFont="1" applyBorder="1" applyAlignment="1">
      <alignment horizontal="right" vertical="center"/>
    </xf>
    <xf numFmtId="0" fontId="10" fillId="0" borderId="0" xfId="19" applyFont="1" applyAlignment="1">
      <alignment horizontal="left" vertical="center" indent="3"/>
    </xf>
    <xf numFmtId="3" fontId="6" fillId="0" borderId="0" xfId="40" applyNumberFormat="1" applyFont="1" applyAlignment="1">
      <alignment horizontal="right" vertical="center"/>
    </xf>
    <xf numFmtId="172" fontId="28" fillId="0" borderId="0" xfId="24" applyNumberFormat="1" applyFont="1" applyFill="1" applyBorder="1" applyAlignment="1">
      <alignment horizontal="right" vertical="center"/>
    </xf>
    <xf numFmtId="0" fontId="8" fillId="0" borderId="0" xfId="19" applyFont="1" applyAlignment="1">
      <alignment horizontal="left" vertical="center" indent="4"/>
    </xf>
    <xf numFmtId="3" fontId="6" fillId="0" borderId="0" xfId="44" applyNumberFormat="1" applyFont="1" applyAlignment="1">
      <alignment horizontal="right" vertical="center"/>
    </xf>
    <xf numFmtId="0" fontId="10" fillId="0" borderId="0" xfId="19" applyFont="1" applyAlignment="1">
      <alignment horizontal="left" vertical="center" indent="4"/>
    </xf>
    <xf numFmtId="0" fontId="8" fillId="0" borderId="0" xfId="15" applyFont="1" applyAlignment="1">
      <alignment horizontal="left" vertical="center" indent="4"/>
    </xf>
    <xf numFmtId="43" fontId="6" fillId="0" borderId="0" xfId="42" applyFont="1" applyAlignment="1">
      <alignment vertical="center"/>
    </xf>
    <xf numFmtId="3" fontId="6" fillId="0" borderId="0" xfId="43" applyNumberFormat="1" applyFont="1" applyAlignment="1">
      <alignment horizontal="right" vertical="center"/>
    </xf>
    <xf numFmtId="3" fontId="6" fillId="0" borderId="0" xfId="14" applyNumberFormat="1" applyFont="1" applyAlignment="1">
      <alignment horizontal="right" vertical="center"/>
    </xf>
    <xf numFmtId="3" fontId="6" fillId="0" borderId="0" xfId="41" applyNumberFormat="1" applyFont="1" applyAlignment="1">
      <alignment horizontal="right" vertical="center"/>
    </xf>
    <xf numFmtId="177" fontId="6" fillId="0" borderId="0" xfId="14" applyNumberFormat="1" applyFont="1" applyAlignment="1">
      <alignment horizontal="right" vertical="top"/>
    </xf>
    <xf numFmtId="3" fontId="6" fillId="0" borderId="0" xfId="14" applyNumberFormat="1" applyFont="1" applyAlignment="1">
      <alignment horizontal="right" vertical="top"/>
    </xf>
    <xf numFmtId="3" fontId="8" fillId="0" borderId="0" xfId="41" applyNumberFormat="1" applyFont="1" applyAlignment="1">
      <alignment horizontal="right" vertical="center"/>
    </xf>
    <xf numFmtId="3" fontId="19" fillId="0" borderId="0" xfId="24" applyNumberFormat="1" applyFont="1" applyFill="1" applyBorder="1" applyAlignment="1">
      <alignment horizontal="right" vertical="center"/>
    </xf>
    <xf numFmtId="3" fontId="8" fillId="0" borderId="0" xfId="40" applyNumberFormat="1" applyFont="1" applyAlignment="1">
      <alignment horizontal="right" vertical="center"/>
    </xf>
    <xf numFmtId="3" fontId="10" fillId="0" borderId="0" xfId="41" applyNumberFormat="1" applyFont="1" applyAlignment="1">
      <alignment horizontal="right" vertical="center"/>
    </xf>
    <xf numFmtId="3" fontId="6" fillId="0" borderId="1" xfId="18" applyNumberFormat="1" applyFont="1" applyBorder="1" applyAlignment="1">
      <alignment horizontal="right" vertical="center"/>
    </xf>
    <xf numFmtId="3" fontId="6" fillId="0" borderId="1" xfId="43" applyNumberFormat="1" applyFont="1" applyBorder="1" applyAlignment="1">
      <alignment horizontal="right" vertical="center"/>
    </xf>
    <xf numFmtId="177" fontId="10" fillId="0" borderId="0" xfId="14" applyNumberFormat="1" applyFont="1" applyAlignment="1">
      <alignment horizontal="right" vertical="top"/>
    </xf>
    <xf numFmtId="3" fontId="8" fillId="0" borderId="0" xfId="14" applyNumberFormat="1" applyFont="1" applyAlignment="1">
      <alignment horizontal="right" vertical="top"/>
    </xf>
    <xf numFmtId="0" fontId="6" fillId="0" borderId="0" xfId="18" applyFont="1" applyAlignment="1">
      <alignment horizontal="right"/>
    </xf>
    <xf numFmtId="0" fontId="8" fillId="0" borderId="2" xfId="18" applyFont="1" applyBorder="1" applyAlignment="1">
      <alignment horizontal="right" vertical="center"/>
    </xf>
    <xf numFmtId="0" fontId="6" fillId="0" borderId="0" xfId="19" applyFont="1" applyAlignment="1">
      <alignment horizontal="right" vertical="center"/>
    </xf>
    <xf numFmtId="167" fontId="3" fillId="0" borderId="0" xfId="18" applyNumberFormat="1" applyFont="1" applyAlignment="1">
      <alignment horizontal="right"/>
    </xf>
    <xf numFmtId="166" fontId="41" fillId="0" borderId="0" xfId="39" applyFont="1" applyAlignment="1">
      <alignment horizontal="right" vertical="top"/>
    </xf>
    <xf numFmtId="166" fontId="53" fillId="0" borderId="0" xfId="39" applyFont="1" applyAlignment="1">
      <alignment horizontal="right" vertical="center"/>
    </xf>
    <xf numFmtId="0" fontId="10" fillId="0" borderId="0" xfId="15" applyFont="1" applyAlignment="1">
      <alignment horizontal="left" vertical="center" indent="3"/>
    </xf>
    <xf numFmtId="4" fontId="28" fillId="0" borderId="0" xfId="24" applyNumberFormat="1" applyFont="1" applyFill="1" applyBorder="1" applyAlignment="1">
      <alignment horizontal="right" vertical="center"/>
    </xf>
    <xf numFmtId="4" fontId="6" fillId="0" borderId="0" xfId="44" applyNumberFormat="1" applyFont="1" applyAlignment="1">
      <alignment horizontal="right" vertical="center"/>
    </xf>
    <xf numFmtId="0" fontId="10" fillId="0" borderId="0" xfId="15" applyFont="1" applyAlignment="1">
      <alignment horizontal="left" vertical="center" indent="4"/>
    </xf>
    <xf numFmtId="167" fontId="6" fillId="0" borderId="0" xfId="14" applyNumberFormat="1" applyFont="1" applyAlignment="1">
      <alignment horizontal="right" vertical="top"/>
    </xf>
    <xf numFmtId="4" fontId="6" fillId="0" borderId="0" xfId="14" applyNumberFormat="1" applyFont="1" applyAlignment="1">
      <alignment horizontal="right" vertical="center"/>
    </xf>
    <xf numFmtId="4" fontId="19" fillId="0" borderId="0" xfId="24" applyNumberFormat="1" applyFont="1" applyFill="1" applyBorder="1" applyAlignment="1">
      <alignment horizontal="right" vertical="center"/>
    </xf>
    <xf numFmtId="4" fontId="8" fillId="0" borderId="0" xfId="44" applyNumberFormat="1" applyFont="1" applyAlignment="1">
      <alignment horizontal="right" vertical="center"/>
    </xf>
    <xf numFmtId="4" fontId="10" fillId="0" borderId="0" xfId="46" applyNumberFormat="1" applyFont="1" applyAlignment="1">
      <alignment horizontal="right" vertical="center"/>
    </xf>
    <xf numFmtId="4" fontId="8" fillId="0" borderId="0" xfId="46" applyNumberFormat="1" applyFont="1" applyAlignment="1">
      <alignment horizontal="right" vertical="center"/>
    </xf>
    <xf numFmtId="4" fontId="6" fillId="0" borderId="1" xfId="18" applyNumberFormat="1" applyFont="1" applyBorder="1" applyAlignment="1">
      <alignment horizontal="right" vertical="center"/>
    </xf>
    <xf numFmtId="4" fontId="6" fillId="0" borderId="1" xfId="44" applyNumberFormat="1" applyFont="1" applyBorder="1" applyAlignment="1">
      <alignment horizontal="right" vertical="center"/>
    </xf>
    <xf numFmtId="3" fontId="2" fillId="0" borderId="1" xfId="18" applyNumberFormat="1" applyFont="1" applyBorder="1" applyAlignment="1">
      <alignment horizontal="right" vertical="center"/>
    </xf>
    <xf numFmtId="168" fontId="8" fillId="0" borderId="2" xfId="14" applyNumberFormat="1" applyFont="1" applyBorder="1" applyAlignment="1">
      <alignment horizontal="center" vertical="center"/>
    </xf>
    <xf numFmtId="0" fontId="3" fillId="0" borderId="0" xfId="47" applyFont="1" applyAlignment="1">
      <alignment horizontal="right"/>
    </xf>
    <xf numFmtId="0" fontId="45" fillId="0" borderId="0" xfId="33" applyFont="1"/>
    <xf numFmtId="0" fontId="45" fillId="0" borderId="0" xfId="33" applyFont="1" applyAlignment="1">
      <alignment horizontal="right"/>
    </xf>
    <xf numFmtId="0" fontId="46" fillId="0" borderId="0" xfId="33" applyFont="1" applyAlignment="1">
      <alignment horizontal="right" vertical="center"/>
    </xf>
    <xf numFmtId="0" fontId="45" fillId="0" borderId="0" xfId="33" applyFont="1" applyAlignment="1">
      <alignment horizontal="center" vertical="center"/>
    </xf>
    <xf numFmtId="0" fontId="47" fillId="0" borderId="0" xfId="33" applyFont="1" applyAlignment="1">
      <alignment horizontal="left" vertical="center"/>
    </xf>
    <xf numFmtId="0" fontId="45" fillId="0" borderId="0" xfId="33" applyFont="1" applyAlignment="1">
      <alignment horizontal="right" indent="1"/>
    </xf>
    <xf numFmtId="0" fontId="45" fillId="0" borderId="0" xfId="33" applyFont="1" applyAlignment="1">
      <alignment horizontal="right" indent="2"/>
    </xf>
    <xf numFmtId="0" fontId="46" fillId="0" borderId="0" xfId="33" applyFont="1"/>
    <xf numFmtId="0" fontId="47" fillId="0" borderId="0" xfId="33" applyFont="1" applyAlignment="1">
      <alignment horizontal="center" vertical="top"/>
    </xf>
    <xf numFmtId="0" fontId="46" fillId="0" borderId="0" xfId="33" applyFont="1" applyAlignment="1">
      <alignment horizontal="left" vertical="top"/>
    </xf>
    <xf numFmtId="0" fontId="46" fillId="0" borderId="0" xfId="33" quotePrefix="1" applyFont="1"/>
    <xf numFmtId="0" fontId="14" fillId="0" borderId="0" xfId="50" applyFont="1" applyAlignment="1">
      <alignment vertical="center"/>
    </xf>
    <xf numFmtId="0" fontId="45" fillId="0" borderId="0" xfId="35" applyFont="1" applyAlignment="1">
      <alignment horizontal="left" vertical="top"/>
    </xf>
    <xf numFmtId="0" fontId="45" fillId="0" borderId="0" xfId="35" applyFont="1" applyAlignment="1">
      <alignment horizontal="right" vertical="top"/>
    </xf>
    <xf numFmtId="0" fontId="45" fillId="0" borderId="0" xfId="35" applyFont="1" applyAlignment="1">
      <alignment horizontal="left" vertical="top" wrapText="1"/>
    </xf>
    <xf numFmtId="0" fontId="13" fillId="0" borderId="0" xfId="50" applyFont="1" applyAlignment="1">
      <alignment vertical="center"/>
    </xf>
    <xf numFmtId="0" fontId="46" fillId="0" borderId="0" xfId="35" quotePrefix="1" applyFont="1" applyAlignment="1">
      <alignment horizontal="left" vertical="top"/>
    </xf>
    <xf numFmtId="175" fontId="14" fillId="0" borderId="0" xfId="48" applyFont="1" applyAlignment="1">
      <alignment horizontal="right" vertical="center"/>
    </xf>
    <xf numFmtId="0" fontId="45" fillId="0" borderId="0" xfId="50" applyFont="1" applyAlignment="1">
      <alignment vertical="center"/>
    </xf>
    <xf numFmtId="0" fontId="6" fillId="0" borderId="1" xfId="33" applyFont="1" applyBorder="1" applyAlignment="1">
      <alignment vertical="center"/>
    </xf>
    <xf numFmtId="3" fontId="6" fillId="0" borderId="1" xfId="33" applyNumberFormat="1" applyFont="1" applyBorder="1" applyAlignment="1">
      <alignment horizontal="right" vertical="center"/>
    </xf>
    <xf numFmtId="0" fontId="6" fillId="0" borderId="1" xfId="33" applyFont="1" applyBorder="1" applyAlignment="1">
      <alignment horizontal="center" vertical="center"/>
    </xf>
    <xf numFmtId="0" fontId="6" fillId="0" borderId="1" xfId="33" applyFont="1" applyBorder="1" applyAlignment="1">
      <alignment horizontal="left" vertical="center"/>
    </xf>
    <xf numFmtId="0" fontId="6" fillId="0" borderId="1" xfId="33" applyFont="1" applyBorder="1" applyAlignment="1">
      <alignment horizontal="left" vertical="center" indent="1"/>
    </xf>
    <xf numFmtId="0" fontId="6" fillId="0" borderId="0" xfId="33" applyFont="1" applyAlignment="1">
      <alignment horizontal="center" vertical="center"/>
    </xf>
    <xf numFmtId="0" fontId="6" fillId="0" borderId="0" xfId="35" applyFont="1" applyAlignment="1">
      <alignment horizontal="left" vertical="top"/>
    </xf>
    <xf numFmtId="3" fontId="26" fillId="0" borderId="0" xfId="0" applyNumberFormat="1" applyFont="1" applyAlignment="1">
      <alignment horizontal="right" vertical="center"/>
    </xf>
    <xf numFmtId="0" fontId="28" fillId="0" borderId="0" xfId="35" applyFont="1" applyAlignment="1">
      <alignment horizontal="left" indent="1"/>
    </xf>
    <xf numFmtId="0" fontId="6" fillId="0" borderId="0" xfId="33" applyFont="1" applyAlignment="1">
      <alignment horizontal="left" vertical="center" indent="3"/>
    </xf>
    <xf numFmtId="3" fontId="6" fillId="0" borderId="0" xfId="35" applyNumberFormat="1" applyFont="1" applyAlignment="1">
      <alignment horizontal="right" vertical="center"/>
    </xf>
    <xf numFmtId="0" fontId="28" fillId="0" borderId="0" xfId="35" applyFont="1" applyAlignment="1">
      <alignment vertical="top"/>
    </xf>
    <xf numFmtId="0" fontId="6" fillId="0" borderId="0" xfId="33" applyFont="1" applyAlignment="1">
      <alignment horizontal="right" vertical="center"/>
    </xf>
    <xf numFmtId="0" fontId="8" fillId="0" borderId="0" xfId="33" applyFont="1" applyAlignment="1">
      <alignment horizontal="right" vertical="center"/>
    </xf>
    <xf numFmtId="0" fontId="8" fillId="0" borderId="0" xfId="33" applyFont="1" applyAlignment="1">
      <alignment horizontal="center" vertical="center"/>
    </xf>
    <xf numFmtId="0" fontId="8" fillId="0" borderId="2" xfId="33" applyFont="1" applyBorder="1" applyAlignment="1">
      <alignment horizontal="right" vertical="center" wrapText="1"/>
    </xf>
    <xf numFmtId="0" fontId="6" fillId="0" borderId="2" xfId="33" applyFont="1" applyBorder="1" applyAlignment="1">
      <alignment horizontal="right" vertical="center" wrapText="1"/>
    </xf>
    <xf numFmtId="0" fontId="2" fillId="0" borderId="0" xfId="33" applyFont="1" applyAlignment="1">
      <alignment vertical="center"/>
    </xf>
    <xf numFmtId="0" fontId="2" fillId="0" borderId="1" xfId="33" applyFont="1" applyBorder="1" applyAlignment="1">
      <alignment vertical="center"/>
    </xf>
    <xf numFmtId="0" fontId="2" fillId="0" borderId="1" xfId="33" applyFont="1" applyBorder="1" applyAlignment="1">
      <alignment horizontal="right" vertical="center"/>
    </xf>
    <xf numFmtId="0" fontId="3" fillId="0" borderId="1" xfId="33" applyFont="1" applyBorder="1" applyAlignment="1">
      <alignment horizontal="right" vertical="center"/>
    </xf>
    <xf numFmtId="0" fontId="2" fillId="0" borderId="1" xfId="33" applyFont="1" applyBorder="1" applyAlignment="1">
      <alignment horizontal="center" vertical="center"/>
    </xf>
    <xf numFmtId="0" fontId="2" fillId="0" borderId="1" xfId="33" applyFont="1" applyBorder="1" applyAlignment="1">
      <alignment horizontal="left" vertical="center"/>
    </xf>
    <xf numFmtId="0" fontId="5" fillId="0" borderId="0" xfId="33" applyFont="1" applyAlignment="1">
      <alignment vertical="top"/>
    </xf>
    <xf numFmtId="0" fontId="5" fillId="0" borderId="0" xfId="33" applyFont="1" applyAlignment="1">
      <alignment vertical="top" wrapText="1"/>
    </xf>
    <xf numFmtId="0" fontId="5" fillId="0" borderId="0" xfId="33" applyFont="1" applyAlignment="1">
      <alignment horizontal="center" vertical="center"/>
    </xf>
    <xf numFmtId="0" fontId="3" fillId="0" borderId="0" xfId="33" applyFont="1" applyAlignment="1">
      <alignment vertical="center"/>
    </xf>
    <xf numFmtId="0" fontId="3" fillId="0" borderId="0" xfId="33" applyFont="1" applyAlignment="1">
      <alignment horizontal="center" vertical="center"/>
    </xf>
    <xf numFmtId="0" fontId="3" fillId="0" borderId="0" xfId="33" applyFont="1" applyAlignment="1">
      <alignment horizontal="right" vertical="center"/>
    </xf>
    <xf numFmtId="0" fontId="45" fillId="0" borderId="0" xfId="33" applyFont="1" applyAlignment="1">
      <alignment horizontal="left" vertical="center"/>
    </xf>
    <xf numFmtId="3" fontId="19" fillId="0" borderId="0" xfId="4" applyNumberFormat="1" applyFont="1" applyAlignment="1">
      <alignment horizontal="right" vertical="center"/>
    </xf>
    <xf numFmtId="0" fontId="115" fillId="0" borderId="0" xfId="4" applyFont="1"/>
    <xf numFmtId="0" fontId="10" fillId="0" borderId="0" xfId="33" applyFont="1" applyAlignment="1">
      <alignment horizontal="left" vertical="center"/>
    </xf>
    <xf numFmtId="0" fontId="11" fillId="0" borderId="0" xfId="33" applyFont="1" applyAlignment="1">
      <alignment vertical="center"/>
    </xf>
    <xf numFmtId="0" fontId="5" fillId="0" borderId="0" xfId="33" applyFont="1" applyAlignment="1">
      <alignment horizontal="right" vertical="center"/>
    </xf>
    <xf numFmtId="0" fontId="5" fillId="0" borderId="0" xfId="33" applyFont="1" applyAlignment="1">
      <alignment horizontal="right" vertical="center" wrapText="1"/>
    </xf>
    <xf numFmtId="0" fontId="45" fillId="0" borderId="0" xfId="35" applyFont="1" applyAlignment="1">
      <alignment horizontal="right" indent="1"/>
    </xf>
    <xf numFmtId="0" fontId="45" fillId="0" borderId="0" xfId="35" applyFont="1" applyAlignment="1">
      <alignment horizontal="right" indent="2"/>
    </xf>
    <xf numFmtId="0" fontId="46" fillId="0" borderId="0" xfId="35" applyFont="1"/>
    <xf numFmtId="0" fontId="47" fillId="0" borderId="0" xfId="35" applyFont="1" applyAlignment="1">
      <alignment horizontal="center" vertical="top"/>
    </xf>
    <xf numFmtId="0" fontId="47" fillId="0" borderId="0" xfId="35" applyFont="1" applyAlignment="1">
      <alignment horizontal="left" vertical="top" indent="1"/>
    </xf>
    <xf numFmtId="0" fontId="12" fillId="0" borderId="0" xfId="35" applyFont="1"/>
    <xf numFmtId="0" fontId="14" fillId="0" borderId="0" xfId="35" applyFont="1" applyAlignment="1">
      <alignment horizontal="right" vertical="top"/>
    </xf>
    <xf numFmtId="0" fontId="12" fillId="0" borderId="0" xfId="35" applyFont="1" applyAlignment="1">
      <alignment horizontal="right" indent="1"/>
    </xf>
    <xf numFmtId="0" fontId="12" fillId="0" borderId="0" xfId="35" applyFont="1" applyAlignment="1">
      <alignment horizontal="right"/>
    </xf>
    <xf numFmtId="0" fontId="13" fillId="0" borderId="0" xfId="35" applyFont="1" applyAlignment="1">
      <alignment horizontal="right"/>
    </xf>
    <xf numFmtId="0" fontId="12" fillId="0" borderId="0" xfId="35" applyFont="1" applyAlignment="1">
      <alignment horizontal="center"/>
    </xf>
    <xf numFmtId="0" fontId="12" fillId="0" borderId="0" xfId="35" applyFont="1" applyAlignment="1">
      <alignment horizontal="left" indent="1"/>
    </xf>
    <xf numFmtId="0" fontId="6" fillId="0" borderId="0" xfId="35" applyFont="1"/>
    <xf numFmtId="0" fontId="6" fillId="0" borderId="1" xfId="35" applyFont="1" applyBorder="1"/>
    <xf numFmtId="41" fontId="6" fillId="0" borderId="1" xfId="35" applyNumberFormat="1" applyFont="1" applyBorder="1"/>
    <xf numFmtId="0" fontId="6" fillId="0" borderId="1" xfId="35" applyFont="1" applyBorder="1" applyAlignment="1">
      <alignment horizontal="center"/>
    </xf>
    <xf numFmtId="0" fontId="6" fillId="0" borderId="1" xfId="35" applyFont="1" applyBorder="1" applyAlignment="1">
      <alignment horizontal="left" vertical="center"/>
    </xf>
    <xf numFmtId="0" fontId="6" fillId="0" borderId="1" xfId="35" applyFont="1" applyBorder="1" applyAlignment="1">
      <alignment vertical="center"/>
    </xf>
    <xf numFmtId="41" fontId="6" fillId="0" borderId="0" xfId="35" applyNumberFormat="1" applyFont="1"/>
    <xf numFmtId="0" fontId="6" fillId="0" borderId="0" xfId="35" applyFont="1" applyAlignment="1">
      <alignment horizontal="center"/>
    </xf>
    <xf numFmtId="0" fontId="6" fillId="0" borderId="0" xfId="35" applyFont="1" applyAlignment="1">
      <alignment horizontal="left" vertical="center"/>
    </xf>
    <xf numFmtId="0" fontId="6" fillId="0" borderId="0" xfId="35" applyFont="1" applyAlignment="1">
      <alignment vertical="center"/>
    </xf>
    <xf numFmtId="177" fontId="28" fillId="0" borderId="0" xfId="51" applyNumberFormat="1" applyFont="1" applyFill="1" applyAlignment="1"/>
    <xf numFmtId="177" fontId="28" fillId="0" borderId="0" xfId="51" applyNumberFormat="1" applyFont="1" applyFill="1" applyBorder="1" applyAlignment="1">
      <alignment horizontal="right" wrapText="1"/>
    </xf>
    <xf numFmtId="177" fontId="28" fillId="0" borderId="0" xfId="51" applyNumberFormat="1" applyFont="1" applyFill="1" applyAlignment="1">
      <alignment horizontal="right" wrapText="1"/>
    </xf>
    <xf numFmtId="1" fontId="26" fillId="0" borderId="0" xfId="49" applyNumberFormat="1" applyFont="1" applyAlignment="1">
      <alignment horizontal="center" wrapText="1"/>
    </xf>
    <xf numFmtId="166" fontId="26" fillId="0" borderId="0" xfId="49" applyFont="1" applyAlignment="1">
      <alignment horizontal="left" vertical="center" wrapText="1" indent="1"/>
    </xf>
    <xf numFmtId="166" fontId="26" fillId="0" borderId="0" xfId="49" applyFont="1" applyAlignment="1">
      <alignment horizontal="left" vertical="center" indent="1"/>
    </xf>
    <xf numFmtId="3" fontId="28" fillId="0" borderId="0" xfId="51" applyNumberFormat="1" applyFont="1" applyFill="1" applyAlignment="1">
      <alignment horizontal="right" vertical="center" wrapText="1"/>
    </xf>
    <xf numFmtId="3" fontId="6" fillId="0" borderId="0" xfId="51" applyNumberFormat="1" applyFont="1" applyFill="1" applyBorder="1" applyAlignment="1">
      <alignment horizontal="right" vertical="center" wrapText="1"/>
    </xf>
    <xf numFmtId="3" fontId="28" fillId="0" borderId="0" xfId="51" applyNumberFormat="1" applyFont="1" applyFill="1" applyBorder="1" applyAlignment="1">
      <alignment horizontal="right" vertical="center" wrapText="1"/>
    </xf>
    <xf numFmtId="177" fontId="6" fillId="0" borderId="0" xfId="51" applyNumberFormat="1" applyFont="1" applyFill="1" applyAlignment="1">
      <alignment horizontal="right" wrapText="1"/>
    </xf>
    <xf numFmtId="177" fontId="6" fillId="0" borderId="0" xfId="51" applyNumberFormat="1" applyFont="1" applyFill="1" applyBorder="1" applyAlignment="1">
      <alignment horizontal="right" wrapText="1"/>
    </xf>
    <xf numFmtId="0" fontId="6" fillId="0" borderId="0" xfId="35" applyFont="1" applyAlignment="1">
      <alignment horizontal="left" vertical="top" indent="1"/>
    </xf>
    <xf numFmtId="0" fontId="6" fillId="0" borderId="0" xfId="35" applyFont="1" applyAlignment="1">
      <alignment horizontal="left" indent="1"/>
    </xf>
    <xf numFmtId="177" fontId="6" fillId="0" borderId="0" xfId="51" applyNumberFormat="1" applyFont="1" applyFill="1" applyBorder="1" applyAlignment="1">
      <alignment horizontal="right" vertical="top"/>
    </xf>
    <xf numFmtId="177" fontId="8" fillId="0" borderId="0" xfId="51" applyNumberFormat="1" applyFont="1" applyFill="1" applyBorder="1" applyAlignment="1">
      <alignment horizontal="right"/>
    </xf>
    <xf numFmtId="177" fontId="6" fillId="0" borderId="0" xfId="51" applyNumberFormat="1" applyFont="1" applyFill="1" applyBorder="1" applyAlignment="1">
      <alignment horizontal="right" vertical="center" wrapText="1"/>
    </xf>
    <xf numFmtId="0" fontId="28" fillId="0" borderId="0" xfId="35" applyFont="1" applyAlignment="1">
      <alignment horizontal="left" vertical="top" indent="1"/>
    </xf>
    <xf numFmtId="177" fontId="6" fillId="0" borderId="0" xfId="51" applyNumberFormat="1" applyFont="1" applyFill="1" applyBorder="1" applyAlignment="1"/>
    <xf numFmtId="0" fontId="6" fillId="0" borderId="0" xfId="35" applyFont="1" applyAlignment="1">
      <alignment horizontal="left"/>
    </xf>
    <xf numFmtId="177" fontId="6" fillId="0" borderId="0" xfId="51" applyNumberFormat="1" applyFont="1" applyFill="1" applyAlignment="1"/>
    <xf numFmtId="0" fontId="6" fillId="0" borderId="0" xfId="35" applyFont="1" applyAlignment="1">
      <alignment horizontal="right" indent="1"/>
    </xf>
    <xf numFmtId="0" fontId="6" fillId="0" borderId="0" xfId="35" applyFont="1" applyAlignment="1">
      <alignment horizontal="right"/>
    </xf>
    <xf numFmtId="0" fontId="8" fillId="0" borderId="0" xfId="35" applyFont="1" applyAlignment="1">
      <alignment horizontal="right"/>
    </xf>
    <xf numFmtId="0" fontId="8" fillId="0" borderId="0" xfId="35" applyFont="1" applyAlignment="1">
      <alignment horizontal="center"/>
    </xf>
    <xf numFmtId="0" fontId="6" fillId="0" borderId="1" xfId="35" applyFont="1" applyBorder="1" applyAlignment="1">
      <alignment vertical="top" wrapText="1"/>
    </xf>
    <xf numFmtId="0" fontId="8" fillId="0" borderId="1" xfId="35" applyFont="1" applyBorder="1" applyAlignment="1">
      <alignment horizontal="right" vertical="top" wrapText="1"/>
    </xf>
    <xf numFmtId="0" fontId="6" fillId="0" borderId="0" xfId="35" applyFont="1" applyAlignment="1">
      <alignment vertical="top" wrapText="1"/>
    </xf>
    <xf numFmtId="0" fontId="6" fillId="0" borderId="0" xfId="35" applyFont="1" applyAlignment="1">
      <alignment horizontal="right" vertical="top" wrapText="1"/>
    </xf>
    <xf numFmtId="0" fontId="8" fillId="0" borderId="0" xfId="35" applyFont="1" applyAlignment="1">
      <alignment horizontal="right" vertical="top" wrapText="1"/>
    </xf>
    <xf numFmtId="0" fontId="8" fillId="0" borderId="0" xfId="35" applyFont="1" applyAlignment="1">
      <alignment horizontal="center" vertical="top" wrapText="1"/>
    </xf>
    <xf numFmtId="0" fontId="8" fillId="0" borderId="0" xfId="35" applyFont="1" applyAlignment="1">
      <alignment vertical="top" wrapText="1"/>
    </xf>
    <xf numFmtId="0" fontId="6" fillId="0" borderId="0" xfId="35" applyFont="1" applyAlignment="1">
      <alignment vertical="top"/>
    </xf>
    <xf numFmtId="0" fontId="6" fillId="0" borderId="1" xfId="35" applyFont="1" applyBorder="1" applyAlignment="1">
      <alignment horizontal="right" indent="1"/>
    </xf>
    <xf numFmtId="0" fontId="6" fillId="0" borderId="1" xfId="35" applyFont="1" applyBorder="1" applyAlignment="1">
      <alignment horizontal="right"/>
    </xf>
    <xf numFmtId="0" fontId="8" fillId="0" borderId="1" xfId="35" applyFont="1" applyBorder="1" applyAlignment="1">
      <alignment horizontal="right"/>
    </xf>
    <xf numFmtId="0" fontId="10" fillId="0" borderId="1" xfId="35" applyFont="1" applyBorder="1" applyAlignment="1">
      <alignment horizontal="left" indent="1"/>
    </xf>
    <xf numFmtId="0" fontId="6" fillId="0" borderId="1" xfId="35" applyFont="1" applyBorder="1" applyAlignment="1">
      <alignment horizontal="left" indent="1"/>
    </xf>
    <xf numFmtId="0" fontId="5" fillId="0" borderId="0" xfId="35" applyFont="1"/>
    <xf numFmtId="0" fontId="5" fillId="0" borderId="0" xfId="35" applyFont="1" applyAlignment="1">
      <alignment vertical="top"/>
    </xf>
    <xf numFmtId="0" fontId="5" fillId="0" borderId="0" xfId="35" applyFont="1" applyAlignment="1">
      <alignment horizontal="right" vertical="top"/>
    </xf>
    <xf numFmtId="0" fontId="2" fillId="0" borderId="0" xfId="35" applyFont="1"/>
    <xf numFmtId="0" fontId="3" fillId="0" borderId="0" xfId="35" applyFont="1"/>
    <xf numFmtId="0" fontId="2" fillId="0" borderId="0" xfId="35" applyFont="1" applyAlignment="1">
      <alignment horizontal="center"/>
    </xf>
    <xf numFmtId="0" fontId="3" fillId="0" borderId="0" xfId="35" applyFont="1" applyAlignment="1">
      <alignment horizontal="right" vertical="top"/>
    </xf>
    <xf numFmtId="1" fontId="28" fillId="0" borderId="0" xfId="35" applyNumberFormat="1" applyFont="1" applyAlignment="1">
      <alignment horizontal="center"/>
    </xf>
    <xf numFmtId="3" fontId="8" fillId="0" borderId="0" xfId="35" applyNumberFormat="1" applyFont="1" applyAlignment="1">
      <alignment horizontal="right" vertical="center"/>
    </xf>
    <xf numFmtId="0" fontId="8" fillId="0" borderId="0" xfId="35" applyFont="1" applyAlignment="1">
      <alignment horizontal="center" vertical="center"/>
    </xf>
    <xf numFmtId="0" fontId="8" fillId="0" borderId="0" xfId="35" applyFont="1" applyAlignment="1">
      <alignment horizontal="left" vertical="center"/>
    </xf>
    <xf numFmtId="0" fontId="8" fillId="0" borderId="0" xfId="35" applyFont="1" applyAlignment="1">
      <alignment vertical="center"/>
    </xf>
    <xf numFmtId="0" fontId="8" fillId="0" borderId="0" xfId="35" applyFont="1"/>
    <xf numFmtId="3" fontId="23" fillId="0" borderId="0" xfId="0" applyNumberFormat="1" applyFont="1" applyAlignment="1">
      <alignment horizontal="right" vertical="center"/>
    </xf>
    <xf numFmtId="0" fontId="3" fillId="0" borderId="0" xfId="35" applyFont="1" applyAlignment="1">
      <alignment vertical="center"/>
    </xf>
    <xf numFmtId="0" fontId="3" fillId="0" borderId="0" xfId="35" applyFont="1" applyAlignment="1">
      <alignment horizontal="right" vertical="center"/>
    </xf>
    <xf numFmtId="0" fontId="12" fillId="0" borderId="0" xfId="35" applyFont="1" applyAlignment="1">
      <alignment horizontal="right" indent="2"/>
    </xf>
    <xf numFmtId="0" fontId="13" fillId="0" borderId="0" xfId="35" applyFont="1" applyAlignment="1">
      <alignment horizontal="right" indent="1"/>
    </xf>
    <xf numFmtId="3" fontId="6" fillId="0" borderId="1" xfId="35" applyNumberFormat="1" applyFont="1" applyBorder="1" applyAlignment="1">
      <alignment horizontal="right" vertical="center" indent="1"/>
    </xf>
    <xf numFmtId="0" fontId="8" fillId="0" borderId="1" xfId="35" applyFont="1" applyBorder="1" applyAlignment="1">
      <alignment horizontal="center" vertical="center"/>
    </xf>
    <xf numFmtId="0" fontId="6" fillId="0" borderId="1" xfId="35" applyFont="1" applyBorder="1" applyAlignment="1">
      <alignment horizontal="left" vertical="center" indent="1"/>
    </xf>
    <xf numFmtId="0" fontId="6" fillId="0" borderId="0" xfId="35" applyFont="1" applyAlignment="1">
      <alignment horizontal="left" vertical="center" indent="1"/>
    </xf>
    <xf numFmtId="0" fontId="8" fillId="0" borderId="0" xfId="35" applyFont="1" applyAlignment="1">
      <alignment horizontal="right" vertical="top" wrapText="1" indent="1"/>
    </xf>
    <xf numFmtId="0" fontId="6" fillId="0" borderId="0" xfId="35" applyFont="1" applyAlignment="1">
      <alignment horizontal="center" vertical="center" wrapText="1"/>
    </xf>
    <xf numFmtId="0" fontId="8" fillId="0" borderId="0" xfId="35" applyFont="1" applyAlignment="1">
      <alignment horizontal="left" vertical="top" wrapText="1"/>
    </xf>
    <xf numFmtId="0" fontId="8" fillId="0" borderId="1" xfId="35" applyFont="1" applyBorder="1"/>
    <xf numFmtId="0" fontId="6" fillId="0" borderId="1" xfId="35" applyFont="1" applyBorder="1" applyAlignment="1">
      <alignment horizontal="center" vertical="center" wrapText="1"/>
    </xf>
    <xf numFmtId="0" fontId="6" fillId="0" borderId="0" xfId="35" applyFont="1" applyAlignment="1">
      <alignment horizontal="right" indent="2"/>
    </xf>
    <xf numFmtId="0" fontId="8" fillId="0" borderId="0" xfId="35" applyFont="1" applyAlignment="1">
      <alignment horizontal="right" indent="1"/>
    </xf>
    <xf numFmtId="0" fontId="6" fillId="0" borderId="1" xfId="35" applyFont="1" applyBorder="1" applyAlignment="1">
      <alignment horizontal="right" indent="2"/>
    </xf>
    <xf numFmtId="0" fontId="8" fillId="0" borderId="1" xfId="35" applyFont="1" applyBorder="1" applyAlignment="1">
      <alignment horizontal="right" indent="1"/>
    </xf>
    <xf numFmtId="0" fontId="2" fillId="0" borderId="0" xfId="35" applyFont="1" applyAlignment="1">
      <alignment vertical="top"/>
    </xf>
    <xf numFmtId="0" fontId="3" fillId="0" borderId="0" xfId="35" applyFont="1" applyAlignment="1">
      <alignment vertical="top" wrapText="1"/>
    </xf>
    <xf numFmtId="0" fontId="2" fillId="0" borderId="0" xfId="35" applyFont="1" applyAlignment="1">
      <alignment horizontal="center" vertical="top"/>
    </xf>
    <xf numFmtId="0" fontId="3" fillId="0" borderId="0" xfId="35" applyFont="1" applyAlignment="1">
      <alignment wrapText="1"/>
    </xf>
    <xf numFmtId="0" fontId="3" fillId="0" borderId="0" xfId="35" applyFont="1" applyAlignment="1">
      <alignment horizontal="right"/>
    </xf>
    <xf numFmtId="41" fontId="6" fillId="0" borderId="0" xfId="35" applyNumberFormat="1" applyFont="1" applyAlignment="1">
      <alignment horizontal="right"/>
    </xf>
    <xf numFmtId="41" fontId="6" fillId="0" borderId="0" xfId="35" applyNumberFormat="1" applyFont="1" applyAlignment="1">
      <alignment vertical="center"/>
    </xf>
    <xf numFmtId="0" fontId="8" fillId="0" borderId="0" xfId="35" applyFont="1" applyAlignment="1">
      <alignment horizontal="left" vertical="center" indent="1"/>
    </xf>
    <xf numFmtId="0" fontId="29" fillId="0" borderId="0" xfId="35" applyFont="1"/>
    <xf numFmtId="0" fontId="14" fillId="0" borderId="0" xfId="35" applyFont="1" applyAlignment="1">
      <alignment vertical="top"/>
    </xf>
    <xf numFmtId="0" fontId="13" fillId="0" borderId="0" xfId="35" applyFont="1"/>
    <xf numFmtId="177" fontId="6" fillId="0" borderId="0" xfId="51" applyNumberFormat="1" applyFont="1" applyFill="1" applyAlignment="1">
      <alignment horizontal="right"/>
    </xf>
    <xf numFmtId="3" fontId="6" fillId="0" borderId="1" xfId="35" applyNumberFormat="1" applyFont="1" applyBorder="1" applyAlignment="1">
      <alignment horizontal="right" vertical="center"/>
    </xf>
    <xf numFmtId="177" fontId="6" fillId="0" borderId="1" xfId="51" applyNumberFormat="1" applyFont="1" applyFill="1" applyBorder="1" applyAlignment="1">
      <alignment horizontal="right"/>
    </xf>
    <xf numFmtId="0" fontId="6" fillId="0" borderId="1" xfId="35" applyFont="1" applyBorder="1" applyAlignment="1">
      <alignment horizontal="left"/>
    </xf>
    <xf numFmtId="1" fontId="6" fillId="0" borderId="0" xfId="49" applyNumberFormat="1" applyFont="1" applyAlignment="1">
      <alignment horizontal="center" vertical="center" wrapText="1"/>
    </xf>
    <xf numFmtId="166" fontId="6" fillId="0" borderId="0" xfId="49" applyFont="1" applyAlignment="1">
      <alignment horizontal="left" vertical="center" wrapText="1" indent="1"/>
    </xf>
    <xf numFmtId="177" fontId="20" fillId="0" borderId="0" xfId="51" applyNumberFormat="1" applyFont="1" applyAlignment="1">
      <alignment horizontal="right" wrapText="1"/>
    </xf>
    <xf numFmtId="166" fontId="26" fillId="0" borderId="0" xfId="49" applyFont="1" applyAlignment="1">
      <alignment horizontal="center" wrapText="1"/>
    </xf>
    <xf numFmtId="0" fontId="6" fillId="0" borderId="0" xfId="35" applyFont="1" applyAlignment="1">
      <alignment horizontal="center" vertical="center"/>
    </xf>
    <xf numFmtId="0" fontId="10" fillId="0" borderId="1" xfId="35" applyFont="1" applyBorder="1" applyAlignment="1">
      <alignment horizontal="right" vertical="center"/>
    </xf>
    <xf numFmtId="0" fontId="10" fillId="0" borderId="1" xfId="35" applyFont="1" applyBorder="1" applyAlignment="1">
      <alignment horizontal="center" vertical="center"/>
    </xf>
    <xf numFmtId="0" fontId="8" fillId="0" borderId="1" xfId="35" applyFont="1" applyBorder="1" applyAlignment="1">
      <alignment vertical="center"/>
    </xf>
    <xf numFmtId="0" fontId="10" fillId="0" borderId="0" xfId="35" applyFont="1" applyAlignment="1">
      <alignment vertical="center"/>
    </xf>
    <xf numFmtId="0" fontId="10" fillId="0" borderId="0" xfId="35" applyFont="1" applyAlignment="1">
      <alignment horizontal="right" vertical="center"/>
    </xf>
    <xf numFmtId="0" fontId="8" fillId="0" borderId="0" xfId="35" applyFont="1" applyAlignment="1">
      <alignment horizontal="right" vertical="center"/>
    </xf>
    <xf numFmtId="0" fontId="10" fillId="0" borderId="0" xfId="35" applyFont="1" applyAlignment="1">
      <alignment horizontal="center" vertical="center"/>
    </xf>
    <xf numFmtId="3" fontId="10" fillId="0" borderId="0" xfId="52" applyNumberFormat="1" applyFont="1" applyAlignment="1">
      <alignment vertical="top"/>
    </xf>
    <xf numFmtId="0" fontId="8" fillId="0" borderId="0" xfId="35" applyFont="1" applyAlignment="1">
      <alignment horizontal="left"/>
    </xf>
    <xf numFmtId="0" fontId="10" fillId="0" borderId="1" xfId="35" applyFont="1" applyBorder="1" applyAlignment="1">
      <alignment horizontal="right"/>
    </xf>
    <xf numFmtId="0" fontId="10" fillId="0" borderId="1" xfId="35" applyFont="1" applyBorder="1"/>
    <xf numFmtId="0" fontId="5" fillId="0" borderId="0" xfId="35" applyFont="1" applyAlignment="1">
      <alignment vertical="center"/>
    </xf>
    <xf numFmtId="0" fontId="5" fillId="0" borderId="0" xfId="35" applyFont="1" applyAlignment="1">
      <alignment horizontal="center" vertical="center"/>
    </xf>
    <xf numFmtId="0" fontId="5" fillId="0" borderId="0" xfId="35" applyFont="1" applyAlignment="1">
      <alignment horizontal="left" vertical="center"/>
    </xf>
    <xf numFmtId="0" fontId="2" fillId="0" borderId="0" xfId="35" applyFont="1" applyAlignment="1">
      <alignment vertical="center"/>
    </xf>
    <xf numFmtId="0" fontId="2" fillId="0" borderId="0" xfId="35" applyFont="1" applyAlignment="1">
      <alignment horizontal="center" vertical="center"/>
    </xf>
    <xf numFmtId="0" fontId="3" fillId="0" borderId="0" xfId="35" applyFont="1" applyAlignment="1">
      <alignment horizontal="left" vertical="center"/>
    </xf>
    <xf numFmtId="0" fontId="2" fillId="0" borderId="0" xfId="35" applyFont="1" applyAlignment="1">
      <alignment horizontal="right"/>
    </xf>
    <xf numFmtId="177" fontId="6" fillId="0" borderId="0" xfId="35" applyNumberFormat="1" applyFont="1"/>
    <xf numFmtId="0" fontId="116" fillId="2" borderId="0" xfId="35" applyFont="1" applyFill="1"/>
    <xf numFmtId="3" fontId="6" fillId="0" borderId="0" xfId="51" applyNumberFormat="1" applyFont="1" applyFill="1" applyBorder="1" applyAlignment="1">
      <alignment horizontal="right" vertical="center"/>
    </xf>
    <xf numFmtId="1" fontId="8" fillId="0" borderId="0" xfId="49" applyNumberFormat="1" applyFont="1" applyAlignment="1">
      <alignment horizontal="center" vertical="center" wrapText="1"/>
    </xf>
    <xf numFmtId="166" fontId="8" fillId="0" borderId="0" xfId="49" applyFont="1" applyAlignment="1">
      <alignment horizontal="left" vertical="center" wrapText="1"/>
    </xf>
    <xf numFmtId="166" fontId="8" fillId="0" borderId="0" xfId="49" applyFont="1" applyAlignment="1">
      <alignment vertical="center"/>
    </xf>
    <xf numFmtId="3" fontId="8" fillId="0" borderId="0" xfId="51" applyNumberFormat="1" applyFont="1" applyFill="1" applyBorder="1" applyAlignment="1">
      <alignment horizontal="right" vertical="center" wrapText="1"/>
    </xf>
    <xf numFmtId="0" fontId="5" fillId="0" borderId="0" xfId="35" applyFont="1" applyAlignment="1">
      <alignment horizontal="left"/>
    </xf>
    <xf numFmtId="0" fontId="5" fillId="0" borderId="0" xfId="35" applyFont="1" applyAlignment="1">
      <alignment horizontal="right"/>
    </xf>
    <xf numFmtId="175" fontId="6" fillId="0" borderId="0" xfId="53" applyFont="1" applyAlignment="1">
      <alignment horizontal="right" vertical="center"/>
    </xf>
    <xf numFmtId="169" fontId="8" fillId="0" borderId="0" xfId="53" applyNumberFormat="1" applyFont="1" applyAlignment="1">
      <alignment vertical="center"/>
    </xf>
    <xf numFmtId="169" fontId="6" fillId="0" borderId="1" xfId="53" applyNumberFormat="1" applyFont="1" applyBorder="1" applyAlignment="1">
      <alignment horizontal="right" vertical="center"/>
    </xf>
    <xf numFmtId="169" fontId="6" fillId="0" borderId="1" xfId="53" applyNumberFormat="1" applyFont="1" applyBorder="1" applyAlignment="1">
      <alignment horizontal="center" vertical="top"/>
    </xf>
    <xf numFmtId="169" fontId="6" fillId="0" borderId="0" xfId="53" applyNumberFormat="1" applyFont="1" applyAlignment="1">
      <alignment vertical="center"/>
    </xf>
    <xf numFmtId="175" fontId="6" fillId="0" borderId="0" xfId="53" applyFont="1" applyAlignment="1">
      <alignment vertical="top"/>
    </xf>
    <xf numFmtId="169" fontId="6" fillId="0" borderId="0" xfId="53" applyNumberFormat="1" applyFont="1" applyAlignment="1">
      <alignment horizontal="center" vertical="top"/>
    </xf>
    <xf numFmtId="1" fontId="8" fillId="0" borderId="0" xfId="53" applyNumberFormat="1" applyFont="1" applyAlignment="1">
      <alignment horizontal="right" vertical="top"/>
    </xf>
    <xf numFmtId="169" fontId="6" fillId="0" borderId="7" xfId="53" applyNumberFormat="1" applyFont="1" applyBorder="1" applyAlignment="1">
      <alignment horizontal="center" vertical="top"/>
    </xf>
    <xf numFmtId="169" fontId="8" fillId="0" borderId="7" xfId="53" applyNumberFormat="1" applyFont="1" applyBorder="1" applyAlignment="1">
      <alignment horizontal="right" vertical="top"/>
    </xf>
    <xf numFmtId="175" fontId="8" fillId="0" borderId="0" xfId="53" applyFont="1" applyAlignment="1">
      <alignment horizontal="left" vertical="top" wrapText="1"/>
    </xf>
    <xf numFmtId="169" fontId="8" fillId="0" borderId="0" xfId="53" applyNumberFormat="1" applyFont="1" applyAlignment="1">
      <alignment horizontal="right" vertical="top"/>
    </xf>
    <xf numFmtId="175" fontId="8" fillId="0" borderId="1" xfId="53" applyFont="1" applyBorder="1" applyAlignment="1">
      <alignment horizontal="right" vertical="center" wrapText="1"/>
    </xf>
    <xf numFmtId="175" fontId="8" fillId="0" borderId="1" xfId="53" applyFont="1" applyBorder="1" applyAlignment="1">
      <alignment horizontal="center" vertical="center" wrapText="1"/>
    </xf>
    <xf numFmtId="175" fontId="8" fillId="0" borderId="1" xfId="53" applyFont="1" applyBorder="1" applyAlignment="1">
      <alignment vertical="center" wrapText="1"/>
    </xf>
    <xf numFmtId="175" fontId="8" fillId="0" borderId="0" xfId="53" applyFont="1" applyAlignment="1">
      <alignment vertical="center" wrapText="1"/>
    </xf>
    <xf numFmtId="175" fontId="10" fillId="0" borderId="0" xfId="53" applyFont="1" applyAlignment="1">
      <alignment vertical="center" wrapText="1"/>
    </xf>
    <xf numFmtId="175" fontId="10" fillId="0" borderId="0" xfId="53" applyFont="1" applyAlignment="1">
      <alignment horizontal="right" vertical="center" wrapText="1"/>
    </xf>
    <xf numFmtId="175" fontId="3" fillId="0" borderId="1" xfId="53" applyFont="1" applyBorder="1" applyAlignment="1">
      <alignment horizontal="right" vertical="center"/>
    </xf>
    <xf numFmtId="175" fontId="3" fillId="0" borderId="1" xfId="53" applyFont="1" applyBorder="1" applyAlignment="1">
      <alignment vertical="center"/>
    </xf>
    <xf numFmtId="175" fontId="2" fillId="0" borderId="0" xfId="53" applyFont="1" applyAlignment="1">
      <alignment vertical="center"/>
    </xf>
    <xf numFmtId="175" fontId="2" fillId="0" borderId="0" xfId="53" applyFont="1" applyAlignment="1">
      <alignment horizontal="right" vertical="center"/>
    </xf>
    <xf numFmtId="175" fontId="5" fillId="0" borderId="0" xfId="53" applyFont="1" applyAlignment="1">
      <alignment vertical="center"/>
    </xf>
    <xf numFmtId="175" fontId="5" fillId="0" borderId="0" xfId="53" applyFont="1" applyAlignment="1">
      <alignment horizontal="right" vertical="center"/>
    </xf>
    <xf numFmtId="0" fontId="14" fillId="0" borderId="0" xfId="60" applyFont="1" applyAlignment="1">
      <alignment horizontal="right" vertical="center"/>
    </xf>
    <xf numFmtId="171" fontId="28" fillId="0" borderId="0" xfId="32" applyNumberFormat="1" applyFont="1" applyFill="1" applyAlignment="1"/>
    <xf numFmtId="0" fontId="13" fillId="0" borderId="0" xfId="60" applyFont="1" applyAlignment="1">
      <alignment horizontal="right" vertical="center"/>
    </xf>
    <xf numFmtId="178" fontId="6" fillId="0" borderId="1" xfId="36" applyNumberFormat="1" applyFont="1" applyBorder="1" applyAlignment="1">
      <alignment vertical="center"/>
    </xf>
    <xf numFmtId="167" fontId="6" fillId="0" borderId="1" xfId="36" applyNumberFormat="1" applyFont="1" applyBorder="1" applyAlignment="1">
      <alignment vertical="center"/>
    </xf>
    <xf numFmtId="167" fontId="28" fillId="0" borderId="1" xfId="32" applyNumberFormat="1" applyFont="1" applyFill="1" applyBorder="1" applyAlignment="1">
      <alignment vertical="center"/>
    </xf>
    <xf numFmtId="3" fontId="6" fillId="0" borderId="1" xfId="32" applyNumberFormat="1" applyFont="1" applyFill="1" applyBorder="1" applyAlignment="1">
      <alignment vertical="center"/>
    </xf>
    <xf numFmtId="178" fontId="6" fillId="0" borderId="0" xfId="33" applyNumberFormat="1" applyFont="1" applyAlignment="1">
      <alignment horizontal="right" vertical="center"/>
    </xf>
    <xf numFmtId="167" fontId="6" fillId="0" borderId="0" xfId="33" applyNumberFormat="1" applyFont="1" applyAlignment="1">
      <alignment horizontal="right" vertical="center"/>
    </xf>
    <xf numFmtId="3" fontId="28" fillId="0" borderId="0" xfId="59" applyNumberFormat="1" applyFont="1" applyFill="1" applyBorder="1" applyAlignment="1">
      <alignment horizontal="right" vertical="center"/>
    </xf>
    <xf numFmtId="3" fontId="6" fillId="0" borderId="0" xfId="59" quotePrefix="1" applyNumberFormat="1" applyFont="1" applyFill="1" applyBorder="1" applyAlignment="1">
      <alignment horizontal="right" vertical="center"/>
    </xf>
    <xf numFmtId="0" fontId="28" fillId="0" borderId="0" xfId="33" applyFont="1" applyAlignment="1">
      <alignment horizontal="left" vertical="center" indent="1"/>
    </xf>
    <xf numFmtId="0" fontId="28" fillId="0" borderId="0" xfId="36" applyFont="1" applyAlignment="1">
      <alignment horizontal="right" vertical="center"/>
    </xf>
    <xf numFmtId="0" fontId="28" fillId="0" borderId="3" xfId="35" applyFont="1" applyBorder="1" applyAlignment="1">
      <alignment horizontal="right" vertical="center"/>
    </xf>
    <xf numFmtId="0" fontId="28" fillId="0" borderId="0" xfId="32" applyNumberFormat="1" applyFont="1" applyFill="1" applyAlignment="1">
      <alignment horizontal="right" vertical="center"/>
    </xf>
    <xf numFmtId="0" fontId="28" fillId="0" borderId="0" xfId="36" applyFont="1"/>
    <xf numFmtId="0" fontId="19" fillId="0" borderId="1" xfId="36" applyFont="1" applyBorder="1" applyAlignment="1">
      <alignment horizontal="right" vertical="center" wrapText="1"/>
    </xf>
    <xf numFmtId="0" fontId="54" fillId="0" borderId="1" xfId="36" applyFont="1" applyBorder="1"/>
    <xf numFmtId="175" fontId="8" fillId="0" borderId="3" xfId="57" applyFont="1" applyBorder="1" applyAlignment="1">
      <alignment horizontal="left" vertical="center" wrapText="1"/>
    </xf>
    <xf numFmtId="0" fontId="62" fillId="0" borderId="1" xfId="36" applyFont="1" applyBorder="1" applyAlignment="1">
      <alignment vertical="center"/>
    </xf>
    <xf numFmtId="0" fontId="62" fillId="0" borderId="0" xfId="36" applyFont="1" applyAlignment="1">
      <alignment vertical="center"/>
    </xf>
    <xf numFmtId="0" fontId="1" fillId="0" borderId="1" xfId="35" applyBorder="1"/>
    <xf numFmtId="171" fontId="62" fillId="0" borderId="1" xfId="32" applyNumberFormat="1" applyFont="1" applyFill="1" applyBorder="1" applyAlignment="1">
      <alignment vertical="center"/>
    </xf>
    <xf numFmtId="0" fontId="61" fillId="0" borderId="1" xfId="36" applyFont="1" applyBorder="1" applyAlignment="1">
      <alignment vertical="center"/>
    </xf>
    <xf numFmtId="178" fontId="6" fillId="0" borderId="0" xfId="36" applyNumberFormat="1" applyFont="1" applyAlignment="1">
      <alignment horizontal="right" vertical="center"/>
    </xf>
    <xf numFmtId="167" fontId="6" fillId="0" borderId="0" xfId="36" applyNumberFormat="1" applyFont="1" applyAlignment="1">
      <alignment horizontal="right" vertical="center"/>
    </xf>
    <xf numFmtId="3" fontId="28" fillId="0" borderId="0" xfId="32" applyNumberFormat="1" applyFont="1" applyFill="1" applyAlignment="1">
      <alignment horizontal="right" vertical="center"/>
    </xf>
    <xf numFmtId="3" fontId="6" fillId="0" borderId="0" xfId="32" applyNumberFormat="1" applyFont="1" applyFill="1" applyBorder="1" applyAlignment="1">
      <alignment horizontal="right" vertical="center"/>
    </xf>
    <xf numFmtId="0" fontId="63" fillId="0" borderId="0" xfId="36" applyFont="1" applyAlignment="1">
      <alignment vertical="center"/>
    </xf>
    <xf numFmtId="178" fontId="8" fillId="0" borderId="0" xfId="33" applyNumberFormat="1" applyFont="1" applyAlignment="1">
      <alignment horizontal="right" vertical="center"/>
    </xf>
    <xf numFmtId="167" fontId="8" fillId="0" borderId="0" xfId="33" applyNumberFormat="1" applyFont="1" applyAlignment="1">
      <alignment horizontal="right" vertical="center"/>
    </xf>
    <xf numFmtId="3" fontId="19" fillId="0" borderId="0" xfId="59" applyNumberFormat="1" applyFont="1" applyFill="1" applyBorder="1" applyAlignment="1">
      <alignment horizontal="right" vertical="center"/>
    </xf>
    <xf numFmtId="3" fontId="8" fillId="0" borderId="0" xfId="59" quotePrefix="1" applyNumberFormat="1" applyFont="1" applyFill="1" applyBorder="1" applyAlignment="1">
      <alignment horizontal="right" vertical="center"/>
    </xf>
    <xf numFmtId="0" fontId="19" fillId="0" borderId="0" xfId="60" applyFont="1" applyAlignment="1">
      <alignment vertical="top"/>
    </xf>
    <xf numFmtId="0" fontId="19" fillId="0" borderId="0" xfId="35" applyFont="1"/>
    <xf numFmtId="178" fontId="8" fillId="0" borderId="3" xfId="33" applyNumberFormat="1" applyFont="1" applyBorder="1" applyAlignment="1">
      <alignment horizontal="right" vertical="center"/>
    </xf>
    <xf numFmtId="3" fontId="19" fillId="0" borderId="3" xfId="59" applyNumberFormat="1" applyFont="1" applyFill="1" applyBorder="1" applyAlignment="1">
      <alignment horizontal="right" vertical="center"/>
    </xf>
    <xf numFmtId="3" fontId="8" fillId="0" borderId="3" xfId="59" quotePrefix="1" applyNumberFormat="1" applyFont="1" applyFill="1" applyBorder="1" applyAlignment="1">
      <alignment horizontal="right" vertical="center"/>
    </xf>
    <xf numFmtId="0" fontId="19" fillId="0" borderId="3" xfId="36" applyFont="1" applyBorder="1" applyAlignment="1">
      <alignment horizontal="left" vertical="center" indent="1"/>
    </xf>
    <xf numFmtId="0" fontId="54" fillId="0" borderId="0" xfId="36" applyFont="1"/>
    <xf numFmtId="0" fontId="1" fillId="0" borderId="0" xfId="60"/>
    <xf numFmtId="166" fontId="1" fillId="0" borderId="0" xfId="61"/>
    <xf numFmtId="166" fontId="47" fillId="0" borderId="0" xfId="61" applyFont="1"/>
    <xf numFmtId="166" fontId="46" fillId="0" borderId="0" xfId="61" applyFont="1"/>
    <xf numFmtId="166" fontId="98" fillId="0" borderId="0" xfId="61" quotePrefix="1" applyFont="1"/>
    <xf numFmtId="166" fontId="98" fillId="0" borderId="0" xfId="61" applyFont="1"/>
    <xf numFmtId="166" fontId="99" fillId="0" borderId="0" xfId="61" applyFont="1"/>
    <xf numFmtId="166" fontId="28" fillId="0" borderId="0" xfId="61" applyFont="1" applyAlignment="1">
      <alignment vertical="center"/>
    </xf>
    <xf numFmtId="166" fontId="28" fillId="0" borderId="0" xfId="61" applyFont="1" applyAlignment="1">
      <alignment horizontal="right" vertical="center"/>
    </xf>
    <xf numFmtId="166" fontId="45" fillId="0" borderId="0" xfId="61" applyFont="1" applyAlignment="1">
      <alignment vertical="center"/>
    </xf>
    <xf numFmtId="166" fontId="46" fillId="0" borderId="0" xfId="61" applyFont="1" applyAlignment="1">
      <alignment vertical="center"/>
    </xf>
    <xf numFmtId="166" fontId="21" fillId="0" borderId="0" xfId="61" applyFont="1" applyAlignment="1">
      <alignment horizontal="right" vertical="center"/>
    </xf>
    <xf numFmtId="166" fontId="45" fillId="0" borderId="0" xfId="61" applyFont="1" applyAlignment="1">
      <alignment horizontal="right" vertical="center"/>
    </xf>
    <xf numFmtId="166" fontId="46" fillId="0" borderId="0" xfId="61" quotePrefix="1" applyFont="1"/>
    <xf numFmtId="166" fontId="45" fillId="0" borderId="0" xfId="61" applyFont="1"/>
    <xf numFmtId="166" fontId="47" fillId="0" borderId="0" xfId="61" applyFont="1" applyAlignment="1">
      <alignment vertical="center"/>
    </xf>
    <xf numFmtId="166" fontId="28" fillId="0" borderId="12" xfId="61" applyFont="1" applyBorder="1" applyAlignment="1">
      <alignment vertical="center"/>
    </xf>
    <xf numFmtId="2" fontId="28" fillId="0" borderId="0" xfId="61" applyNumberFormat="1" applyFont="1" applyAlignment="1">
      <alignment horizontal="left"/>
    </xf>
    <xf numFmtId="2" fontId="28" fillId="0" borderId="0" xfId="61" applyNumberFormat="1" applyFont="1" applyAlignment="1">
      <alignment horizontal="right" vertical="center"/>
    </xf>
    <xf numFmtId="167" fontId="28" fillId="0" borderId="0" xfId="61" applyNumberFormat="1" applyFont="1" applyAlignment="1">
      <alignment horizontal="right" vertical="center"/>
    </xf>
    <xf numFmtId="166" fontId="28" fillId="0" borderId="0" xfId="61" applyFont="1" applyAlignment="1">
      <alignment horizontal="right"/>
    </xf>
    <xf numFmtId="166" fontId="28" fillId="0" borderId="0" xfId="61" applyFont="1"/>
    <xf numFmtId="166" fontId="28" fillId="0" borderId="0" xfId="61" applyFont="1" applyAlignment="1">
      <alignment horizontal="left" vertical="center"/>
    </xf>
    <xf numFmtId="167" fontId="28" fillId="0" borderId="0" xfId="61" applyNumberFormat="1" applyFont="1" applyAlignment="1">
      <alignment horizontal="right" vertical="center" wrapText="1"/>
    </xf>
    <xf numFmtId="0" fontId="28" fillId="0" borderId="0" xfId="60" applyFont="1" applyAlignment="1">
      <alignment horizontal="left" indent="1"/>
    </xf>
    <xf numFmtId="167" fontId="28" fillId="0" borderId="0" xfId="60" applyNumberFormat="1" applyFont="1" applyAlignment="1">
      <alignment horizontal="right" vertical="center"/>
    </xf>
    <xf numFmtId="167" fontId="6" fillId="0" borderId="0" xfId="60" applyNumberFormat="1" applyFont="1" applyAlignment="1">
      <alignment horizontal="right" vertical="center"/>
    </xf>
    <xf numFmtId="167" fontId="26" fillId="0" borderId="0" xfId="49" applyNumberFormat="1" applyFont="1" applyAlignment="1">
      <alignment horizontal="right" vertical="center"/>
    </xf>
    <xf numFmtId="167" fontId="26" fillId="0" borderId="0" xfId="49" applyNumberFormat="1" applyFont="1" applyAlignment="1">
      <alignment horizontal="right" vertical="center" wrapText="1"/>
    </xf>
    <xf numFmtId="166" fontId="19" fillId="0" borderId="0" xfId="61" applyFont="1" applyAlignment="1">
      <alignment horizontal="right" vertical="center"/>
    </xf>
    <xf numFmtId="174" fontId="28" fillId="0" borderId="0" xfId="61" applyNumberFormat="1" applyFont="1" applyAlignment="1">
      <alignment horizontal="right" vertical="top" wrapText="1"/>
    </xf>
    <xf numFmtId="174" fontId="19" fillId="0" borderId="0" xfId="61" applyNumberFormat="1" applyFont="1" applyAlignment="1">
      <alignment horizontal="right" vertical="top" wrapText="1"/>
    </xf>
    <xf numFmtId="166" fontId="28" fillId="0" borderId="0" xfId="61" applyFont="1" applyAlignment="1">
      <alignment horizontal="center" vertical="center"/>
    </xf>
    <xf numFmtId="166" fontId="1" fillId="0" borderId="0" xfId="61" applyAlignment="1">
      <alignment vertical="center"/>
    </xf>
    <xf numFmtId="166" fontId="21" fillId="0" borderId="6" xfId="61" applyFont="1" applyBorder="1" applyAlignment="1">
      <alignment horizontal="right" vertical="top"/>
    </xf>
    <xf numFmtId="166" fontId="28" fillId="0" borderId="6" xfId="61" applyFont="1" applyBorder="1" applyAlignment="1">
      <alignment horizontal="right" vertical="top"/>
    </xf>
    <xf numFmtId="166" fontId="21" fillId="0" borderId="6" xfId="61" applyFont="1" applyBorder="1" applyAlignment="1">
      <alignment horizontal="right" vertical="top" wrapText="1"/>
    </xf>
    <xf numFmtId="174" fontId="19" fillId="0" borderId="6" xfId="61" applyNumberFormat="1" applyFont="1" applyBorder="1" applyAlignment="1">
      <alignment horizontal="right" vertical="top" wrapText="1"/>
    </xf>
    <xf numFmtId="166" fontId="19" fillId="0" borderId="0" xfId="61" applyFont="1" applyAlignment="1">
      <alignment horizontal="right" vertical="top"/>
    </xf>
    <xf numFmtId="166" fontId="28" fillId="0" borderId="0" xfId="61" applyFont="1" applyAlignment="1">
      <alignment horizontal="right" vertical="top"/>
    </xf>
    <xf numFmtId="166" fontId="28" fillId="0" borderId="6" xfId="61" applyFont="1" applyBorder="1"/>
    <xf numFmtId="166" fontId="41" fillId="0" borderId="0" xfId="61" applyFont="1" applyAlignment="1">
      <alignment horizontal="right" vertical="top"/>
    </xf>
    <xf numFmtId="166" fontId="53" fillId="0" borderId="0" xfId="61" applyFont="1" applyAlignment="1">
      <alignment horizontal="right" vertical="top"/>
    </xf>
    <xf numFmtId="167" fontId="28" fillId="0" borderId="0" xfId="61" applyNumberFormat="1" applyFont="1" applyAlignment="1">
      <alignment horizontal="right"/>
    </xf>
    <xf numFmtId="167" fontId="19" fillId="0" borderId="0" xfId="61" applyNumberFormat="1" applyFont="1" applyAlignment="1">
      <alignment horizontal="right" vertical="center" wrapText="1"/>
    </xf>
    <xf numFmtId="167" fontId="19" fillId="0" borderId="0" xfId="61" applyNumberFormat="1" applyFont="1" applyAlignment="1">
      <alignment horizontal="right" vertical="center"/>
    </xf>
    <xf numFmtId="166" fontId="19" fillId="0" borderId="0" xfId="61" applyFont="1" applyAlignment="1">
      <alignment horizontal="left" vertical="center"/>
    </xf>
    <xf numFmtId="0" fontId="1" fillId="0" borderId="0" xfId="60" applyAlignment="1">
      <alignment horizontal="right"/>
    </xf>
    <xf numFmtId="171" fontId="28" fillId="0" borderId="0" xfId="32" applyNumberFormat="1" applyFont="1" applyAlignment="1"/>
    <xf numFmtId="0" fontId="12" fillId="0" borderId="0" xfId="60" applyFont="1"/>
    <xf numFmtId="0" fontId="12" fillId="0" borderId="1" xfId="60" applyFont="1" applyBorder="1"/>
    <xf numFmtId="0" fontId="6" fillId="0" borderId="1" xfId="60" applyFont="1" applyBorder="1" applyAlignment="1">
      <alignment horizontal="right"/>
    </xf>
    <xf numFmtId="3" fontId="6" fillId="0" borderId="1" xfId="60" applyNumberFormat="1" applyFont="1" applyBorder="1" applyAlignment="1">
      <alignment horizontal="right" vertical="center"/>
    </xf>
    <xf numFmtId="177" fontId="6" fillId="0" borderId="1" xfId="63" applyNumberFormat="1" applyFont="1" applyFill="1" applyBorder="1" applyAlignment="1">
      <alignment horizontal="right"/>
    </xf>
    <xf numFmtId="0" fontId="6" fillId="0" borderId="1" xfId="60" applyFont="1" applyBorder="1"/>
    <xf numFmtId="0" fontId="6" fillId="0" borderId="1" xfId="60" applyFont="1" applyBorder="1" applyAlignment="1">
      <alignment horizontal="left" vertical="center"/>
    </xf>
    <xf numFmtId="0" fontId="6" fillId="0" borderId="1" xfId="60" applyFont="1" applyBorder="1" applyAlignment="1">
      <alignment horizontal="left"/>
    </xf>
    <xf numFmtId="0" fontId="6" fillId="0" borderId="0" xfId="60" applyFont="1"/>
    <xf numFmtId="0" fontId="28" fillId="0" borderId="0" xfId="60" applyFont="1"/>
    <xf numFmtId="177" fontId="28" fillId="0" borderId="0" xfId="63" applyNumberFormat="1" applyFont="1" applyFill="1" applyAlignment="1">
      <alignment horizontal="right" wrapText="1"/>
    </xf>
    <xf numFmtId="177" fontId="20" fillId="0" borderId="0" xfId="63" applyNumberFormat="1" applyFont="1" applyAlignment="1">
      <alignment horizontal="right" wrapText="1"/>
    </xf>
    <xf numFmtId="0" fontId="26" fillId="0" borderId="0" xfId="62" applyFont="1" applyAlignment="1">
      <alignment horizontal="right" wrapText="1"/>
    </xf>
    <xf numFmtId="0" fontId="26" fillId="0" borderId="0" xfId="62" applyFont="1" applyAlignment="1">
      <alignment vertical="center" wrapText="1"/>
    </xf>
    <xf numFmtId="3" fontId="28" fillId="0" borderId="0" xfId="60" applyNumberFormat="1" applyFont="1" applyAlignment="1">
      <alignment horizontal="right" vertical="center"/>
    </xf>
    <xf numFmtId="3" fontId="6" fillId="0" borderId="0" xfId="60" applyNumberFormat="1" applyFont="1" applyAlignment="1">
      <alignment horizontal="right" vertical="center"/>
    </xf>
    <xf numFmtId="0" fontId="6" fillId="0" borderId="0" xfId="60" applyFont="1" applyAlignment="1">
      <alignment horizontal="left" vertical="top"/>
    </xf>
    <xf numFmtId="0" fontId="28" fillId="0" borderId="0" xfId="60" applyFont="1" applyAlignment="1">
      <alignment vertical="top"/>
    </xf>
    <xf numFmtId="3" fontId="8" fillId="0" borderId="0" xfId="60" applyNumberFormat="1" applyFont="1" applyAlignment="1">
      <alignment horizontal="right" vertical="center"/>
    </xf>
    <xf numFmtId="0" fontId="8" fillId="0" borderId="0" xfId="60" applyFont="1" applyAlignment="1">
      <alignment horizontal="right" vertical="top" wrapText="1"/>
    </xf>
    <xf numFmtId="0" fontId="8" fillId="0" borderId="0" xfId="60" applyFont="1" applyAlignment="1">
      <alignment horizontal="center" vertical="top" wrapText="1"/>
    </xf>
    <xf numFmtId="0" fontId="8" fillId="0" borderId="0" xfId="60" applyFont="1" applyAlignment="1">
      <alignment vertical="top" wrapText="1"/>
    </xf>
    <xf numFmtId="0" fontId="6" fillId="0" borderId="0" xfId="60" applyFont="1" applyAlignment="1">
      <alignment vertical="center"/>
    </xf>
    <xf numFmtId="0" fontId="6" fillId="0" borderId="1" xfId="60" applyFont="1" applyBorder="1" applyAlignment="1">
      <alignment horizontal="center" vertical="center"/>
    </xf>
    <xf numFmtId="0" fontId="8" fillId="0" borderId="1" xfId="60" applyFont="1" applyBorder="1" applyAlignment="1">
      <alignment vertical="center"/>
    </xf>
    <xf numFmtId="0" fontId="6" fillId="0" borderId="1" xfId="60" applyFont="1" applyBorder="1" applyAlignment="1">
      <alignment vertical="center"/>
    </xf>
    <xf numFmtId="0" fontId="8" fillId="0" borderId="0" xfId="60" applyFont="1" applyAlignment="1">
      <alignment horizontal="center" vertical="center" wrapText="1"/>
    </xf>
    <xf numFmtId="0" fontId="8" fillId="0" borderId="0" xfId="60" applyFont="1" applyAlignment="1">
      <alignment horizontal="center" vertical="center"/>
    </xf>
    <xf numFmtId="0" fontId="8" fillId="0" borderId="0" xfId="60" applyFont="1" applyAlignment="1">
      <alignment vertical="center"/>
    </xf>
    <xf numFmtId="0" fontId="10" fillId="0" borderId="0" xfId="60" applyFont="1" applyAlignment="1">
      <alignment horizontal="right" vertical="center"/>
    </xf>
    <xf numFmtId="0" fontId="10" fillId="0" borderId="0" xfId="60" applyFont="1" applyAlignment="1">
      <alignment vertical="center"/>
    </xf>
    <xf numFmtId="0" fontId="6" fillId="0" borderId="0" xfId="60" applyFont="1" applyAlignment="1">
      <alignment horizontal="right" vertical="center"/>
    </xf>
    <xf numFmtId="0" fontId="6" fillId="0" borderId="0" xfId="60" applyFont="1" applyAlignment="1">
      <alignment horizontal="center" vertical="center"/>
    </xf>
    <xf numFmtId="0" fontId="21" fillId="0" borderId="1" xfId="60" applyFont="1" applyBorder="1" applyAlignment="1">
      <alignment horizontal="right"/>
    </xf>
    <xf numFmtId="0" fontId="21" fillId="0" borderId="1" xfId="60" applyFont="1" applyBorder="1"/>
    <xf numFmtId="0" fontId="6" fillId="0" borderId="1" xfId="60" applyFont="1" applyBorder="1" applyAlignment="1">
      <alignment horizontal="center"/>
    </xf>
    <xf numFmtId="0" fontId="6" fillId="0" borderId="1" xfId="60" applyFont="1" applyBorder="1" applyAlignment="1">
      <alignment horizontal="left" indent="1"/>
    </xf>
    <xf numFmtId="0" fontId="21" fillId="0" borderId="0" xfId="60" applyFont="1" applyAlignment="1">
      <alignment horizontal="right"/>
    </xf>
    <xf numFmtId="0" fontId="21" fillId="0" borderId="0" xfId="60" applyFont="1"/>
    <xf numFmtId="0" fontId="6" fillId="0" borderId="0" xfId="60" applyFont="1" applyAlignment="1">
      <alignment horizontal="right"/>
    </xf>
    <xf numFmtId="0" fontId="6" fillId="0" borderId="0" xfId="60" applyFont="1" applyAlignment="1">
      <alignment horizontal="center"/>
    </xf>
    <xf numFmtId="0" fontId="6" fillId="0" borderId="0" xfId="60" applyFont="1" applyAlignment="1">
      <alignment horizontal="left" indent="1"/>
    </xf>
    <xf numFmtId="0" fontId="5" fillId="0" borderId="0" xfId="60" applyFont="1" applyAlignment="1">
      <alignment vertical="center"/>
    </xf>
    <xf numFmtId="0" fontId="5" fillId="0" borderId="0" xfId="60" applyFont="1" applyAlignment="1">
      <alignment horizontal="right" vertical="center"/>
    </xf>
    <xf numFmtId="0" fontId="5" fillId="0" borderId="0" xfId="60" applyFont="1" applyAlignment="1">
      <alignment horizontal="center" vertical="center"/>
    </xf>
    <xf numFmtId="0" fontId="5" fillId="0" borderId="0" xfId="60" applyFont="1" applyAlignment="1">
      <alignment horizontal="left" vertical="center"/>
    </xf>
    <xf numFmtId="0" fontId="5" fillId="0" borderId="0" xfId="60" applyFont="1" applyAlignment="1">
      <alignment horizontal="right" vertical="top"/>
    </xf>
    <xf numFmtId="0" fontId="2" fillId="0" borderId="0" xfId="60" applyFont="1" applyAlignment="1">
      <alignment vertical="center"/>
    </xf>
    <xf numFmtId="0" fontId="3" fillId="0" borderId="0" xfId="60" applyFont="1" applyAlignment="1">
      <alignment vertical="center"/>
    </xf>
    <xf numFmtId="0" fontId="53" fillId="0" borderId="0" xfId="60" applyFont="1" applyAlignment="1">
      <alignment horizontal="right" vertical="center"/>
    </xf>
    <xf numFmtId="0" fontId="53" fillId="0" borderId="0" xfId="60" applyFont="1" applyAlignment="1">
      <alignment vertical="center"/>
    </xf>
    <xf numFmtId="0" fontId="2" fillId="0" borderId="0" xfId="60" applyFont="1" applyAlignment="1">
      <alignment horizontal="right" vertical="center"/>
    </xf>
    <xf numFmtId="0" fontId="2" fillId="0" borderId="0" xfId="60" applyFont="1" applyAlignment="1">
      <alignment horizontal="center" vertical="center"/>
    </xf>
    <xf numFmtId="0" fontId="3" fillId="0" borderId="0" xfId="60" applyFont="1" applyAlignment="1">
      <alignment horizontal="left" vertical="center"/>
    </xf>
    <xf numFmtId="0" fontId="3" fillId="0" borderId="0" xfId="60" applyFont="1" applyAlignment="1">
      <alignment horizontal="right" vertical="top"/>
    </xf>
    <xf numFmtId="0" fontId="45" fillId="0" borderId="0" xfId="60" applyFont="1" applyAlignment="1">
      <alignment horizontal="right"/>
    </xf>
    <xf numFmtId="0" fontId="45" fillId="0" borderId="0" xfId="60" applyFont="1"/>
    <xf numFmtId="0" fontId="47" fillId="0" borderId="0" xfId="60" applyFont="1" applyAlignment="1">
      <alignment horizontal="right" vertical="top"/>
    </xf>
    <xf numFmtId="0" fontId="47" fillId="0" borderId="0" xfId="60" applyFont="1" applyAlignment="1">
      <alignment horizontal="center" vertical="top"/>
    </xf>
    <xf numFmtId="0" fontId="47" fillId="0" borderId="0" xfId="60" applyFont="1" applyAlignment="1">
      <alignment horizontal="left" vertical="top"/>
    </xf>
    <xf numFmtId="0" fontId="47" fillId="0" borderId="0" xfId="60" applyFont="1" applyAlignment="1">
      <alignment horizontal="left" vertical="top" indent="1"/>
    </xf>
    <xf numFmtId="177" fontId="28" fillId="0" borderId="0" xfId="63" applyNumberFormat="1" applyFont="1" applyFill="1"/>
    <xf numFmtId="0" fontId="6" fillId="0" borderId="0" xfId="60" applyFont="1" applyAlignment="1">
      <alignment horizontal="right" vertical="top"/>
    </xf>
    <xf numFmtId="166" fontId="26" fillId="0" borderId="0" xfId="49" applyFont="1" applyAlignment="1">
      <alignment horizontal="right" vertical="center" wrapText="1"/>
    </xf>
    <xf numFmtId="0" fontId="28" fillId="0" borderId="0" xfId="60" applyFont="1" applyAlignment="1">
      <alignment horizontal="right" vertical="top"/>
    </xf>
    <xf numFmtId="166" fontId="26" fillId="0" borderId="0" xfId="49" applyFont="1" applyAlignment="1">
      <alignment horizontal="right" vertical="center"/>
    </xf>
    <xf numFmtId="0" fontId="20" fillId="0" borderId="0" xfId="60" applyFont="1" applyAlignment="1">
      <alignment horizontal="right"/>
    </xf>
    <xf numFmtId="0" fontId="20" fillId="0" borderId="0" xfId="60" applyFont="1"/>
    <xf numFmtId="0" fontId="8" fillId="0" borderId="0" xfId="18" applyFont="1" applyAlignment="1">
      <alignment horizontal="left" vertical="top"/>
    </xf>
    <xf numFmtId="167" fontId="6" fillId="0" borderId="0" xfId="18" applyNumberFormat="1" applyFont="1" applyAlignment="1">
      <alignment horizontal="right" vertical="top"/>
    </xf>
    <xf numFmtId="3" fontId="6" fillId="0" borderId="0" xfId="18" applyNumberFormat="1" applyFont="1" applyAlignment="1">
      <alignment horizontal="right" vertical="top"/>
    </xf>
    <xf numFmtId="3" fontId="6" fillId="0" borderId="0" xfId="75" applyNumberFormat="1" applyFont="1" applyAlignment="1">
      <alignment horizontal="right" vertical="center"/>
    </xf>
    <xf numFmtId="177" fontId="6" fillId="0" borderId="0" xfId="75" applyNumberFormat="1" applyFont="1" applyAlignment="1">
      <alignment horizontal="right" vertical="top"/>
    </xf>
    <xf numFmtId="167" fontId="6" fillId="0" borderId="0" xfId="75" applyNumberFormat="1" applyFont="1" applyAlignment="1">
      <alignment horizontal="right" vertical="top"/>
    </xf>
    <xf numFmtId="3" fontId="6" fillId="0" borderId="0" xfId="75" applyNumberFormat="1" applyFont="1" applyAlignment="1">
      <alignment horizontal="right" vertical="top"/>
    </xf>
    <xf numFmtId="0" fontId="53" fillId="0" borderId="0" xfId="37" applyFont="1" applyAlignment="1">
      <alignment horizontal="left" vertical="top" wrapText="1"/>
    </xf>
    <xf numFmtId="0" fontId="41" fillId="0" borderId="0" xfId="37" applyFont="1" applyAlignment="1">
      <alignment horizontal="left" vertical="top" wrapText="1"/>
    </xf>
    <xf numFmtId="174" fontId="19" fillId="0" borderId="0" xfId="37" applyNumberFormat="1" applyFont="1" applyAlignment="1">
      <alignment vertical="center" wrapText="1"/>
    </xf>
    <xf numFmtId="174" fontId="19" fillId="0" borderId="6" xfId="37" applyNumberFormat="1" applyFont="1" applyBorder="1" applyAlignment="1">
      <alignment vertical="center" wrapText="1"/>
    </xf>
    <xf numFmtId="0" fontId="21" fillId="0" borderId="0" xfId="86" applyFont="1" applyAlignment="1">
      <alignment horizontal="left" vertical="center" wrapText="1" indent="2"/>
    </xf>
    <xf numFmtId="0" fontId="13" fillId="0" borderId="0" xfId="10" applyNumberFormat="1" applyFont="1" applyAlignment="1">
      <alignment horizontal="left" vertical="top" wrapText="1"/>
    </xf>
    <xf numFmtId="0" fontId="14" fillId="0" borderId="0" xfId="10" applyNumberFormat="1" applyFont="1" applyAlignment="1">
      <alignment horizontal="left" vertical="top" wrapText="1"/>
    </xf>
    <xf numFmtId="0" fontId="8" fillId="0" borderId="2" xfId="4" applyFont="1" applyBorder="1" applyAlignment="1">
      <alignment horizontal="left" vertical="center" wrapText="1"/>
    </xf>
    <xf numFmtId="0" fontId="13" fillId="0" borderId="8" xfId="99" applyNumberFormat="1" applyFont="1" applyBorder="1" applyAlignment="1">
      <alignment horizontal="right" vertical="center"/>
    </xf>
    <xf numFmtId="0" fontId="13" fillId="0" borderId="0" xfId="99" applyNumberFormat="1" applyFont="1" applyAlignment="1">
      <alignment horizontal="right" vertical="center"/>
    </xf>
    <xf numFmtId="0" fontId="14" fillId="0" borderId="0" xfId="99" applyNumberFormat="1" applyFont="1" applyAlignment="1">
      <alignment horizontal="right" vertical="center"/>
    </xf>
    <xf numFmtId="182" fontId="10" fillId="0" borderId="0" xfId="105" applyFont="1" applyAlignment="1">
      <alignment horizontal="left" vertical="center" wrapText="1"/>
    </xf>
    <xf numFmtId="182" fontId="8" fillId="0" borderId="0" xfId="105" applyFont="1" applyAlignment="1">
      <alignment horizontal="left" vertical="top" wrapText="1"/>
    </xf>
    <xf numFmtId="182" fontId="10" fillId="0" borderId="0" xfId="105" applyFont="1" applyAlignment="1">
      <alignment horizontal="left" vertical="top" wrapText="1"/>
    </xf>
    <xf numFmtId="0" fontId="13" fillId="0" borderId="3" xfId="111" applyFont="1" applyBorder="1" applyAlignment="1">
      <alignment horizontal="right" vertical="center"/>
    </xf>
    <xf numFmtId="0" fontId="14" fillId="0" borderId="0" xfId="111" applyFont="1" applyAlignment="1">
      <alignment horizontal="right" vertical="center"/>
    </xf>
    <xf numFmtId="0" fontId="8" fillId="0" borderId="2" xfId="4" applyFont="1" applyBorder="1" applyAlignment="1">
      <alignment horizontal="left" vertical="center"/>
    </xf>
    <xf numFmtId="166" fontId="3" fillId="0" borderId="0" xfId="3" applyFont="1" applyAlignment="1">
      <alignment horizontal="left" vertical="center"/>
    </xf>
    <xf numFmtId="166" fontId="5" fillId="0" borderId="0" xfId="3" applyFont="1" applyAlignment="1">
      <alignment horizontal="left" vertical="center"/>
    </xf>
    <xf numFmtId="0" fontId="8" fillId="0" borderId="3" xfId="4" applyFont="1" applyBorder="1" applyAlignment="1">
      <alignment horizontal="left" vertical="center" wrapText="1"/>
    </xf>
    <xf numFmtId="174" fontId="8" fillId="0" borderId="2" xfId="26" applyFont="1" applyBorder="1" applyAlignment="1">
      <alignment horizontal="left" vertical="center" wrapText="1"/>
    </xf>
    <xf numFmtId="0" fontId="14" fillId="0" borderId="0" xfId="0" applyFont="1" applyAlignment="1">
      <alignment horizontal="left" vertical="top" wrapText="1"/>
    </xf>
    <xf numFmtId="0" fontId="13" fillId="0" borderId="0" xfId="0" applyFont="1" applyAlignment="1">
      <alignment horizontal="left" vertical="top" wrapText="1"/>
    </xf>
    <xf numFmtId="0" fontId="8" fillId="0" borderId="0" xfId="58" applyFont="1" applyAlignment="1">
      <alignment horizontal="left" vertical="center" wrapText="1"/>
    </xf>
    <xf numFmtId="0" fontId="10" fillId="0" borderId="0" xfId="58" applyFont="1" applyAlignment="1">
      <alignment horizontal="left" vertical="center" wrapText="1"/>
    </xf>
    <xf numFmtId="0" fontId="13" fillId="0" borderId="0" xfId="125" applyFont="1" applyAlignment="1">
      <alignment horizontal="left" vertical="top" wrapText="1"/>
    </xf>
    <xf numFmtId="0" fontId="14" fillId="0" borderId="0" xfId="125" applyFont="1" applyAlignment="1">
      <alignment horizontal="left" vertical="top" wrapText="1"/>
    </xf>
    <xf numFmtId="0" fontId="8" fillId="0" borderId="2" xfId="126" applyFont="1" applyBorder="1" applyAlignment="1">
      <alignment vertical="center" wrapText="1"/>
    </xf>
    <xf numFmtId="0" fontId="8" fillId="0" borderId="0" xfId="126" applyFont="1" applyAlignment="1">
      <alignment horizontal="center" vertical="center" wrapText="1"/>
    </xf>
    <xf numFmtId="0" fontId="8" fillId="0" borderId="0" xfId="126" applyFont="1" applyAlignment="1">
      <alignment horizontal="left" vertical="center" wrapText="1"/>
    </xf>
    <xf numFmtId="0" fontId="10" fillId="0" borderId="0" xfId="126" applyFont="1" applyAlignment="1">
      <alignment horizontal="left" vertical="center" wrapText="1"/>
    </xf>
    <xf numFmtId="0" fontId="8" fillId="0" borderId="0" xfId="126" applyFont="1" applyAlignment="1">
      <alignment horizontal="left" vertical="top" wrapText="1"/>
    </xf>
    <xf numFmtId="0" fontId="8" fillId="0" borderId="2" xfId="138" applyFont="1" applyBorder="1" applyAlignment="1">
      <alignment horizontal="left" vertical="center" wrapText="1"/>
    </xf>
    <xf numFmtId="0" fontId="13" fillId="0" borderId="0" xfId="138" applyFont="1" applyAlignment="1">
      <alignment horizontal="justify" vertical="top" wrapText="1"/>
    </xf>
    <xf numFmtId="0" fontId="14" fillId="0" borderId="0" xfId="115" applyFont="1" applyAlignment="1">
      <alignment horizontal="justify" vertical="top" wrapText="1"/>
    </xf>
    <xf numFmtId="0" fontId="13" fillId="0" borderId="8" xfId="0" applyFont="1" applyBorder="1" applyAlignment="1">
      <alignment horizontal="right" vertical="center"/>
    </xf>
    <xf numFmtId="0" fontId="14" fillId="0" borderId="0" xfId="0" applyFont="1" applyAlignment="1">
      <alignment horizontal="right" vertical="center"/>
    </xf>
    <xf numFmtId="167" fontId="13" fillId="0" borderId="0" xfId="131" applyNumberFormat="1" applyFont="1" applyAlignment="1">
      <alignment horizontal="right" vertical="center"/>
    </xf>
    <xf numFmtId="0" fontId="13" fillId="0" borderId="0" xfId="131" applyFont="1" applyAlignment="1">
      <alignment horizontal="left"/>
    </xf>
    <xf numFmtId="0" fontId="13" fillId="0" borderId="0" xfId="151" applyFont="1" applyAlignment="1">
      <alignment horizontal="right" vertical="center"/>
    </xf>
    <xf numFmtId="0" fontId="14" fillId="0" borderId="0" xfId="151" applyFont="1" applyAlignment="1">
      <alignment horizontal="right" vertical="center"/>
    </xf>
    <xf numFmtId="0" fontId="8" fillId="0" borderId="0" xfId="108" applyFont="1" applyAlignment="1">
      <alignment horizontal="center" wrapText="1"/>
    </xf>
    <xf numFmtId="0" fontId="12" fillId="0" borderId="0" xfId="151" applyFont="1" applyAlignment="1">
      <alignment horizontal="right" vertical="center"/>
    </xf>
    <xf numFmtId="0" fontId="13" fillId="0" borderId="8" xfId="151" applyFont="1" applyBorder="1" applyAlignment="1">
      <alignment horizontal="right" vertical="center"/>
    </xf>
    <xf numFmtId="11" fontId="8" fillId="0" borderId="0" xfId="152" applyNumberFormat="1" applyFont="1" applyAlignment="1">
      <alignment horizontal="left" vertical="center"/>
    </xf>
    <xf numFmtId="0" fontId="8" fillId="0" borderId="0" xfId="152" applyFont="1" applyAlignment="1">
      <alignment horizontal="left" vertical="center"/>
    </xf>
    <xf numFmtId="0" fontId="19" fillId="0" borderId="0" xfId="0" applyFont="1" applyAlignment="1">
      <alignment horizontal="left" vertical="center" wrapText="1"/>
    </xf>
    <xf numFmtId="0" fontId="8" fillId="0" borderId="1" xfId="19" applyFont="1" applyBorder="1" applyAlignment="1">
      <alignment horizontal="right" vertical="center"/>
    </xf>
    <xf numFmtId="0" fontId="19" fillId="0" borderId="3" xfId="68" applyFont="1" applyBorder="1" applyAlignment="1">
      <alignment horizontal="left" vertical="center"/>
    </xf>
    <xf numFmtId="0" fontId="21" fillId="0" borderId="0" xfId="0" applyFont="1" applyAlignment="1">
      <alignment horizontal="left" vertical="top"/>
    </xf>
    <xf numFmtId="0" fontId="8" fillId="0" borderId="0" xfId="19" applyFont="1" applyAlignment="1">
      <alignment horizontal="right" vertical="center"/>
    </xf>
    <xf numFmtId="0" fontId="19" fillId="0" borderId="0" xfId="0" applyFont="1" applyAlignment="1">
      <alignment horizontal="left" vertical="top" wrapText="1" indent="2"/>
    </xf>
    <xf numFmtId="0" fontId="19" fillId="0" borderId="0" xfId="68" applyFont="1" applyAlignment="1">
      <alignment horizontal="left" vertical="center" wrapText="1"/>
    </xf>
    <xf numFmtId="3" fontId="53" fillId="0" borderId="0" xfId="68" applyNumberFormat="1" applyFont="1" applyAlignment="1">
      <alignment horizontal="right" vertical="center" wrapText="1"/>
    </xf>
    <xf numFmtId="0" fontId="21" fillId="0" borderId="0" xfId="0" applyFont="1" applyAlignment="1">
      <alignment horizontal="left" vertical="top" wrapText="1"/>
    </xf>
    <xf numFmtId="3" fontId="41" fillId="0" borderId="0" xfId="0" applyNumberFormat="1" applyFont="1" applyAlignment="1">
      <alignment horizontal="right" vertical="center" wrapText="1"/>
    </xf>
    <xf numFmtId="3" fontId="19" fillId="0" borderId="0" xfId="0" applyNumberFormat="1" applyFont="1" applyAlignment="1">
      <alignment horizontal="left" vertical="top" wrapText="1" indent="2"/>
    </xf>
    <xf numFmtId="0" fontId="53" fillId="0" borderId="0" xfId="68" applyFont="1" applyAlignment="1">
      <alignment horizontal="left" wrapText="1"/>
    </xf>
    <xf numFmtId="0" fontId="41" fillId="0" borderId="0" xfId="0" applyFont="1" applyAlignment="1">
      <alignment horizontal="left" wrapText="1"/>
    </xf>
    <xf numFmtId="0" fontId="8" fillId="0" borderId="0" xfId="19" applyFont="1" applyAlignment="1">
      <alignment horizontal="left" vertical="center" wrapText="1"/>
    </xf>
    <xf numFmtId="0" fontId="19" fillId="0" borderId="0" xfId="68" applyFont="1" applyAlignment="1">
      <alignment horizontal="left" wrapText="1"/>
    </xf>
    <xf numFmtId="0" fontId="68" fillId="0" borderId="0" xfId="0" quotePrefix="1" applyFont="1" applyAlignment="1">
      <alignment horizontal="right" vertical="center"/>
    </xf>
    <xf numFmtId="0" fontId="68" fillId="0" borderId="0" xfId="0" applyFont="1" applyAlignment="1">
      <alignment horizontal="right" vertical="center"/>
    </xf>
    <xf numFmtId="0" fontId="19" fillId="0" borderId="3" xfId="0" quotePrefix="1" applyFont="1" applyBorder="1" applyAlignment="1">
      <alignment horizontal="left"/>
    </xf>
    <xf numFmtId="0" fontId="21" fillId="0" borderId="0" xfId="0" quotePrefix="1" applyFont="1" applyAlignment="1">
      <alignment horizontal="left" vertical="top"/>
    </xf>
    <xf numFmtId="0" fontId="41" fillId="0" borderId="0" xfId="0" applyFont="1" applyAlignment="1">
      <alignment horizontal="left" vertical="top" wrapText="1"/>
    </xf>
    <xf numFmtId="0" fontId="21" fillId="0" borderId="0" xfId="0" applyFont="1" applyAlignment="1">
      <alignment horizontal="left" vertical="center" wrapText="1"/>
    </xf>
    <xf numFmtId="168" fontId="8" fillId="0" borderId="0" xfId="70" applyFont="1" applyAlignment="1">
      <alignment horizontal="left" vertical="top" indent="2"/>
    </xf>
    <xf numFmtId="0" fontId="6" fillId="0" borderId="0" xfId="2" applyFont="1" applyAlignment="1">
      <alignment horizontal="left" vertical="center" wrapText="1"/>
    </xf>
    <xf numFmtId="0" fontId="6" fillId="0" borderId="0" xfId="2" applyFont="1" applyAlignment="1">
      <alignment horizontal="left" wrapText="1" indent="2"/>
    </xf>
    <xf numFmtId="0" fontId="8" fillId="0" borderId="0" xfId="2" applyFont="1" applyAlignment="1">
      <alignment horizontal="left" vertical="center" wrapText="1" indent="1"/>
    </xf>
    <xf numFmtId="0" fontId="6" fillId="0" borderId="0" xfId="2" applyFont="1" applyAlignment="1">
      <alignment horizontal="left" vertical="center" wrapText="1" indent="2"/>
    </xf>
    <xf numFmtId="168" fontId="8" fillId="0" borderId="0" xfId="70" applyFont="1" applyAlignment="1">
      <alignment horizontal="left" vertical="center"/>
    </xf>
    <xf numFmtId="0" fontId="14" fillId="0" borderId="0" xfId="18" applyFont="1" applyAlignment="1">
      <alignment horizontal="right" vertical="center"/>
    </xf>
    <xf numFmtId="168" fontId="6" fillId="0" borderId="0" xfId="70" applyFont="1" applyAlignment="1">
      <alignment horizontal="left" vertical="top" wrapText="1" indent="2"/>
    </xf>
    <xf numFmtId="168" fontId="6" fillId="0" borderId="0" xfId="70" applyFont="1" applyAlignment="1">
      <alignment horizontal="left" vertical="top" indent="2"/>
    </xf>
    <xf numFmtId="0" fontId="13" fillId="0" borderId="8" xfId="18" applyFont="1" applyBorder="1" applyAlignment="1">
      <alignment horizontal="right" vertical="center"/>
    </xf>
    <xf numFmtId="0" fontId="13" fillId="0" borderId="0" xfId="18" applyFont="1" applyAlignment="1">
      <alignment horizontal="right" vertical="center"/>
    </xf>
    <xf numFmtId="0" fontId="10" fillId="0" borderId="0" xfId="19" applyFont="1" applyAlignment="1">
      <alignment horizontal="left" vertical="center" wrapText="1" indent="2"/>
    </xf>
    <xf numFmtId="0" fontId="8" fillId="0" borderId="0" xfId="19" applyFont="1" applyAlignment="1">
      <alignment horizontal="left" vertical="top" wrapText="1"/>
    </xf>
    <xf numFmtId="0" fontId="8" fillId="0" borderId="0" xfId="18" applyFont="1" applyAlignment="1">
      <alignment horizontal="left" vertical="top" wrapText="1"/>
    </xf>
    <xf numFmtId="0" fontId="10" fillId="0" borderId="0" xfId="2" applyFont="1" applyAlignment="1">
      <alignment horizontal="left" vertical="center" wrapText="1"/>
    </xf>
    <xf numFmtId="0" fontId="8" fillId="0" borderId="1" xfId="2" applyFont="1" applyBorder="1" applyAlignment="1">
      <alignment horizontal="right" vertical="top" wrapText="1"/>
    </xf>
    <xf numFmtId="0" fontId="23" fillId="0" borderId="0" xfId="0" applyFont="1" applyAlignment="1">
      <alignment horizontal="left" vertical="top" wrapText="1" indent="2"/>
    </xf>
    <xf numFmtId="0" fontId="8" fillId="0" borderId="2" xfId="0" applyFont="1" applyBorder="1" applyAlignment="1">
      <alignment horizontal="left" wrapText="1"/>
    </xf>
    <xf numFmtId="0" fontId="23" fillId="0" borderId="0" xfId="18" applyFont="1" applyAlignment="1">
      <alignment horizontal="left" vertical="top" wrapText="1" indent="2"/>
    </xf>
    <xf numFmtId="0" fontId="8" fillId="0" borderId="0" xfId="18" applyFont="1" applyAlignment="1">
      <alignment horizontal="left" vertical="top" wrapText="1" indent="2"/>
    </xf>
    <xf numFmtId="0" fontId="10" fillId="0" borderId="0" xfId="18" applyFont="1" applyAlignment="1">
      <alignment horizontal="left" vertical="center" wrapText="1" indent="2"/>
    </xf>
    <xf numFmtId="0" fontId="8" fillId="0" borderId="0" xfId="19" applyFont="1" applyAlignment="1">
      <alignment horizontal="left" wrapText="1"/>
    </xf>
    <xf numFmtId="0" fontId="14" fillId="0" borderId="0" xfId="27" applyFont="1" applyAlignment="1">
      <alignment horizontal="left"/>
    </xf>
    <xf numFmtId="0" fontId="8" fillId="0" borderId="0" xfId="0" applyFont="1" applyAlignment="1">
      <alignment horizontal="center" vertical="center" wrapText="1"/>
    </xf>
    <xf numFmtId="0" fontId="8" fillId="0" borderId="0" xfId="0" applyFont="1" applyAlignment="1">
      <alignment horizontal="center" vertical="center"/>
    </xf>
    <xf numFmtId="0" fontId="19" fillId="0" borderId="2" xfId="0" applyFont="1" applyBorder="1" applyAlignment="1">
      <alignment horizontal="left" vertical="center" wrapText="1"/>
    </xf>
    <xf numFmtId="0" fontId="3" fillId="0" borderId="0" xfId="18" applyFont="1" applyAlignment="1">
      <alignment horizontal="right" vertical="center"/>
    </xf>
    <xf numFmtId="0" fontId="5" fillId="0" borderId="0" xfId="18" applyFont="1" applyAlignment="1">
      <alignment horizontal="right" vertical="center"/>
    </xf>
    <xf numFmtId="0" fontId="12" fillId="0" borderId="0" xfId="27" applyFont="1" applyAlignment="1">
      <alignment horizontal="left"/>
    </xf>
    <xf numFmtId="0" fontId="47" fillId="0" borderId="0" xfId="27" applyFont="1" applyAlignment="1">
      <alignment horizontal="left" vertical="center"/>
    </xf>
    <xf numFmtId="0" fontId="45" fillId="0" borderId="0" xfId="27" applyFont="1" applyAlignment="1">
      <alignment horizontal="left" vertical="center"/>
    </xf>
    <xf numFmtId="0" fontId="46" fillId="0" borderId="0" xfId="27" applyFont="1" applyAlignment="1">
      <alignment horizontal="left" vertical="center"/>
    </xf>
    <xf numFmtId="0" fontId="23" fillId="0" borderId="1" xfId="0" applyFont="1" applyBorder="1" applyAlignment="1">
      <alignment horizontal="center" vertical="center" wrapText="1"/>
    </xf>
    <xf numFmtId="0" fontId="23" fillId="0" borderId="3" xfId="0" applyFont="1" applyBorder="1" applyAlignment="1">
      <alignment horizontal="left" vertical="center" wrapText="1"/>
    </xf>
    <xf numFmtId="0" fontId="25" fillId="0" borderId="1" xfId="0" applyFont="1" applyBorder="1" applyAlignment="1">
      <alignment horizontal="left" vertical="center" wrapText="1"/>
    </xf>
    <xf numFmtId="0" fontId="53" fillId="0" borderId="0" xfId="86" applyFont="1" applyAlignment="1">
      <alignment horizontal="left" vertical="top" wrapText="1"/>
    </xf>
    <xf numFmtId="0" fontId="41" fillId="0" borderId="0" xfId="86" applyFont="1" applyAlignment="1">
      <alignment horizontal="left" vertical="top" wrapText="1"/>
    </xf>
    <xf numFmtId="174" fontId="19" fillId="0" borderId="0" xfId="86" applyNumberFormat="1" applyFont="1" applyAlignment="1">
      <alignment vertical="center" wrapText="1"/>
    </xf>
    <xf numFmtId="174" fontId="19" fillId="0" borderId="6" xfId="86" applyNumberFormat="1" applyFont="1" applyBorder="1" applyAlignment="1">
      <alignment vertical="center" wrapText="1"/>
    </xf>
    <xf numFmtId="0" fontId="46" fillId="0" borderId="3" xfId="86" applyFont="1" applyBorder="1" applyAlignment="1">
      <alignment horizontal="right" vertical="center"/>
    </xf>
    <xf numFmtId="0" fontId="47" fillId="0" borderId="0" xfId="86" applyFont="1" applyAlignment="1">
      <alignment horizontal="right" vertical="center"/>
    </xf>
    <xf numFmtId="0" fontId="8" fillId="0" borderId="0" xfId="0" applyFont="1" applyAlignment="1">
      <alignment horizontal="left" vertical="center" wrapText="1"/>
    </xf>
    <xf numFmtId="0" fontId="10" fillId="0" borderId="0" xfId="0" applyFont="1" applyAlignment="1">
      <alignment horizontal="left" vertical="center" wrapText="1"/>
    </xf>
    <xf numFmtId="0" fontId="8" fillId="0" borderId="0" xfId="0" applyFont="1" applyAlignment="1">
      <alignment horizontal="left" wrapText="1" indent="2"/>
    </xf>
    <xf numFmtId="0" fontId="8" fillId="0" borderId="3" xfId="0" applyFont="1" applyBorder="1" applyAlignment="1">
      <alignment horizontal="left" vertical="center" wrapText="1"/>
    </xf>
    <xf numFmtId="0" fontId="10" fillId="0" borderId="1" xfId="0" applyFont="1" applyBorder="1" applyAlignment="1">
      <alignment horizontal="left" vertical="center" wrapText="1"/>
    </xf>
    <xf numFmtId="0" fontId="14" fillId="0" borderId="0" xfId="12" applyFont="1" applyAlignment="1">
      <alignment horizontal="right" vertical="center"/>
    </xf>
    <xf numFmtId="0" fontId="13" fillId="0" borderId="3" xfId="12" applyFont="1" applyBorder="1" applyAlignment="1">
      <alignment horizontal="right" vertical="center"/>
    </xf>
    <xf numFmtId="0" fontId="13" fillId="0" borderId="0" xfId="12" applyFont="1" applyAlignment="1">
      <alignment horizontal="right" vertical="center"/>
    </xf>
    <xf numFmtId="0" fontId="3" fillId="0" borderId="0" xfId="12" applyFont="1" applyAlignment="1">
      <alignment horizontal="right" vertical="center"/>
    </xf>
    <xf numFmtId="0" fontId="5" fillId="0" borderId="0" xfId="12" applyFont="1" applyAlignment="1">
      <alignment horizontal="right" vertical="center"/>
    </xf>
    <xf numFmtId="166" fontId="13" fillId="0" borderId="0" xfId="21" applyFont="1" applyAlignment="1">
      <alignment horizontal="left" wrapText="1"/>
    </xf>
    <xf numFmtId="166" fontId="14" fillId="0" borderId="0" xfId="21" applyFont="1" applyAlignment="1">
      <alignment horizontal="left" vertical="top" wrapText="1"/>
    </xf>
    <xf numFmtId="0" fontId="12" fillId="0" borderId="0" xfId="12" applyFont="1" applyAlignment="1">
      <alignment horizontal="left" vertical="center"/>
    </xf>
    <xf numFmtId="166" fontId="3" fillId="0" borderId="0" xfId="3" applyFont="1" applyAlignment="1">
      <alignment horizontal="left" vertical="top" wrapText="1"/>
    </xf>
    <xf numFmtId="166" fontId="5" fillId="0" borderId="0" xfId="3" applyFont="1" applyAlignment="1">
      <alignment horizontal="left" vertical="top" wrapText="1"/>
    </xf>
    <xf numFmtId="0" fontId="6" fillId="0" borderId="0" xfId="0" applyFont="1" applyAlignment="1">
      <alignment horizontal="left" vertical="top" indent="2"/>
    </xf>
    <xf numFmtId="0" fontId="8" fillId="0" borderId="1" xfId="47" applyFont="1" applyBorder="1" applyAlignment="1">
      <alignment horizontal="center" vertical="center"/>
    </xf>
    <xf numFmtId="0" fontId="8" fillId="0" borderId="0" xfId="47" applyFont="1" applyAlignment="1">
      <alignment horizontal="center" vertical="center" wrapText="1"/>
    </xf>
    <xf numFmtId="0" fontId="8" fillId="0" borderId="1" xfId="47" applyFont="1" applyBorder="1" applyAlignment="1">
      <alignment horizontal="left" vertical="center" wrapText="1"/>
    </xf>
    <xf numFmtId="0" fontId="6" fillId="0" borderId="3" xfId="0" applyFont="1" applyBorder="1" applyAlignment="1">
      <alignment horizontal="center"/>
    </xf>
    <xf numFmtId="0" fontId="8" fillId="0" borderId="0" xfId="0" applyFont="1" applyAlignment="1">
      <alignment horizontal="left" wrapText="1"/>
    </xf>
    <xf numFmtId="0" fontId="10" fillId="0" borderId="0" xfId="0" applyFont="1" applyAlignment="1">
      <alignment horizontal="left" vertical="top"/>
    </xf>
    <xf numFmtId="0" fontId="10" fillId="0" borderId="0" xfId="0" applyFont="1" applyAlignment="1">
      <alignment horizontal="left" vertical="top" wrapText="1" indent="2"/>
    </xf>
    <xf numFmtId="0" fontId="8" fillId="0" borderId="0" xfId="0" applyFont="1" applyAlignment="1">
      <alignment horizontal="left" vertical="top" wrapText="1" indent="2"/>
    </xf>
    <xf numFmtId="0" fontId="6" fillId="0" borderId="0" xfId="0" applyFont="1" applyAlignment="1">
      <alignment horizontal="left" vertical="top"/>
    </xf>
    <xf numFmtId="0" fontId="8" fillId="0" borderId="0" xfId="0" applyFont="1" applyAlignment="1">
      <alignment horizontal="left" vertical="top" wrapText="1"/>
    </xf>
    <xf numFmtId="175" fontId="14" fillId="0" borderId="0" xfId="48" applyFont="1" applyAlignment="1">
      <alignment horizontal="right" vertical="top"/>
    </xf>
    <xf numFmtId="0" fontId="12" fillId="0" borderId="1" xfId="0" applyFont="1" applyBorder="1" applyAlignment="1">
      <alignment horizontal="left" vertical="top"/>
    </xf>
    <xf numFmtId="175" fontId="13" fillId="0" borderId="3" xfId="48" applyFont="1" applyBorder="1" applyAlignment="1">
      <alignment horizontal="right" vertical="center"/>
    </xf>
    <xf numFmtId="175" fontId="13" fillId="0" borderId="0" xfId="48" applyFont="1" applyAlignment="1">
      <alignment horizontal="right" vertical="top"/>
    </xf>
    <xf numFmtId="0" fontId="5" fillId="0" borderId="0" xfId="0" applyFont="1" applyAlignment="1">
      <alignment horizontal="left" vertical="top" wrapText="1"/>
    </xf>
    <xf numFmtId="0" fontId="19" fillId="0" borderId="0" xfId="0" applyFont="1" applyAlignment="1">
      <alignment horizontal="center" wrapText="1"/>
    </xf>
    <xf numFmtId="0" fontId="21" fillId="0" borderId="0" xfId="0" applyFont="1" applyAlignment="1">
      <alignment horizontal="right" vertical="top" wrapText="1"/>
    </xf>
    <xf numFmtId="0" fontId="20" fillId="0" borderId="0" xfId="0" applyFont="1" applyAlignment="1">
      <alignment horizontal="right" wrapText="1"/>
    </xf>
    <xf numFmtId="0" fontId="21" fillId="0" borderId="1" xfId="0" applyFont="1" applyBorder="1" applyAlignment="1">
      <alignment horizontal="center" vertical="top"/>
    </xf>
    <xf numFmtId="0" fontId="8" fillId="0" borderId="3" xfId="0" applyFont="1" applyBorder="1" applyAlignment="1">
      <alignment horizontal="center" vertical="center" wrapText="1"/>
    </xf>
    <xf numFmtId="174" fontId="13" fillId="0" borderId="3" xfId="27" applyNumberFormat="1" applyFont="1" applyBorder="1" applyAlignment="1">
      <alignment horizontal="right"/>
    </xf>
    <xf numFmtId="174" fontId="13" fillId="0" borderId="0" xfId="27" applyNumberFormat="1" applyFont="1" applyAlignment="1">
      <alignment horizontal="right"/>
    </xf>
    <xf numFmtId="174" fontId="14" fillId="0" borderId="0" xfId="27" applyNumberFormat="1" applyFont="1" applyAlignment="1">
      <alignment horizontal="right"/>
    </xf>
    <xf numFmtId="175" fontId="10" fillId="0" borderId="0" xfId="53" applyFont="1" applyAlignment="1">
      <alignment horizontal="left" vertical="center" wrapText="1"/>
    </xf>
    <xf numFmtId="175" fontId="8" fillId="0" borderId="0" xfId="53" applyFont="1" applyAlignment="1">
      <alignment horizontal="left" vertical="center" wrapText="1"/>
    </xf>
    <xf numFmtId="175" fontId="3" fillId="0" borderId="10" xfId="53" applyFont="1" applyBorder="1" applyAlignment="1">
      <alignment horizontal="center" vertical="center"/>
    </xf>
    <xf numFmtId="175" fontId="6" fillId="0" borderId="9" xfId="53" applyFont="1" applyBorder="1" applyAlignment="1">
      <alignment horizontal="left" vertical="center" wrapText="1"/>
    </xf>
    <xf numFmtId="175" fontId="6" fillId="0" borderId="0" xfId="53" applyFont="1" applyAlignment="1">
      <alignment horizontal="left" vertical="center" wrapText="1"/>
    </xf>
    <xf numFmtId="175" fontId="6" fillId="0" borderId="10" xfId="53" applyFont="1" applyBorder="1" applyAlignment="1">
      <alignment horizontal="left" vertical="center" wrapText="1"/>
    </xf>
    <xf numFmtId="175" fontId="8" fillId="0" borderId="9" xfId="53" applyFont="1" applyBorder="1" applyAlignment="1">
      <alignment horizontal="right" vertical="center" wrapText="1"/>
    </xf>
    <xf numFmtId="175" fontId="8" fillId="0" borderId="0" xfId="53" applyFont="1" applyAlignment="1">
      <alignment horizontal="right" vertical="center" wrapText="1"/>
    </xf>
    <xf numFmtId="175" fontId="8" fillId="0" borderId="10" xfId="53" applyFont="1" applyBorder="1" applyAlignment="1">
      <alignment horizontal="right" vertical="center" wrapText="1"/>
    </xf>
    <xf numFmtId="175" fontId="8" fillId="0" borderId="9" xfId="53" applyFont="1" applyBorder="1" applyAlignment="1">
      <alignment horizontal="center" vertical="center" wrapText="1"/>
    </xf>
    <xf numFmtId="175" fontId="10" fillId="0" borderId="9" xfId="53" applyFont="1" applyBorder="1" applyAlignment="1">
      <alignment horizontal="center" vertical="center" wrapText="1"/>
    </xf>
    <xf numFmtId="175" fontId="8" fillId="0" borderId="0" xfId="57" applyFont="1" applyAlignment="1">
      <alignment horizontal="center" vertical="center" wrapText="1"/>
    </xf>
    <xf numFmtId="175" fontId="8" fillId="0" borderId="0" xfId="57" applyFont="1" applyAlignment="1">
      <alignment horizontal="center" vertical="center"/>
    </xf>
    <xf numFmtId="175" fontId="8" fillId="0" borderId="1" xfId="57" applyFont="1" applyBorder="1" applyAlignment="1">
      <alignment horizontal="center" vertical="center"/>
    </xf>
    <xf numFmtId="175" fontId="8" fillId="0" borderId="1" xfId="57" applyFont="1" applyBorder="1" applyAlignment="1">
      <alignment horizontal="center" vertical="center" wrapText="1"/>
    </xf>
    <xf numFmtId="0" fontId="46" fillId="0" borderId="11" xfId="0" applyFont="1" applyBorder="1" applyAlignment="1">
      <alignment horizontal="right" vertical="center"/>
    </xf>
    <xf numFmtId="174" fontId="19" fillId="0" borderId="0" xfId="0" applyNumberFormat="1" applyFont="1" applyAlignment="1">
      <alignment horizontal="left" vertical="center" wrapText="1"/>
    </xf>
    <xf numFmtId="0" fontId="19" fillId="0" borderId="0" xfId="0" applyFont="1" applyAlignment="1">
      <alignment horizontal="right" vertical="center" wrapText="1"/>
    </xf>
    <xf numFmtId="0" fontId="47" fillId="0" borderId="0" xfId="0" applyFont="1" applyAlignment="1">
      <alignment horizontal="left" vertical="top" wrapText="1"/>
    </xf>
    <xf numFmtId="0" fontId="47" fillId="0" borderId="0" xfId="0" applyFont="1" applyAlignment="1">
      <alignment horizontal="right" vertical="center"/>
    </xf>
    <xf numFmtId="166" fontId="46" fillId="0" borderId="0" xfId="0" applyNumberFormat="1" applyFont="1" applyAlignment="1">
      <alignment horizontal="left" vertical="top"/>
    </xf>
    <xf numFmtId="166" fontId="47" fillId="0" borderId="0" xfId="0" applyNumberFormat="1" applyFont="1" applyAlignment="1">
      <alignment horizontal="left" vertical="top"/>
    </xf>
    <xf numFmtId="0" fontId="46" fillId="0" borderId="0" xfId="0" applyFont="1" applyAlignment="1">
      <alignment horizontal="left" vertical="top" wrapText="1"/>
    </xf>
    <xf numFmtId="0" fontId="3" fillId="0" borderId="0" xfId="0" applyFont="1" applyAlignment="1">
      <alignment horizontal="left" vertical="top" wrapText="1"/>
    </xf>
    <xf numFmtId="0" fontId="6" fillId="0" borderId="0" xfId="0" applyFont="1" applyAlignment="1">
      <alignment horizontal="left" vertical="center" wrapText="1"/>
    </xf>
    <xf numFmtId="0" fontId="6" fillId="0" borderId="6" xfId="0" applyFont="1" applyBorder="1" applyAlignment="1">
      <alignment horizontal="left" vertical="center" wrapText="1"/>
    </xf>
    <xf numFmtId="174" fontId="8" fillId="0" borderId="0" xfId="0" applyNumberFormat="1" applyFont="1" applyAlignment="1">
      <alignment horizontal="center" vertical="center" wrapText="1"/>
    </xf>
    <xf numFmtId="0" fontId="8" fillId="0" borderId="0" xfId="0" applyFont="1" applyAlignment="1">
      <alignment horizontal="right" vertical="top"/>
    </xf>
    <xf numFmtId="0" fontId="8" fillId="0" borderId="6" xfId="0" applyFont="1" applyBorder="1" applyAlignment="1">
      <alignment horizontal="right" vertical="top"/>
    </xf>
    <xf numFmtId="0" fontId="28" fillId="0" borderId="0" xfId="65" applyFont="1" applyAlignment="1">
      <alignment horizontal="left" vertical="top" wrapText="1"/>
    </xf>
    <xf numFmtId="0" fontId="28" fillId="0" borderId="0" xfId="0" applyFont="1" applyAlignment="1">
      <alignment vertical="top" wrapText="1"/>
    </xf>
    <xf numFmtId="0" fontId="28" fillId="0" borderId="1" xfId="0" applyFont="1" applyBorder="1" applyAlignment="1">
      <alignment vertical="top" wrapText="1"/>
    </xf>
    <xf numFmtId="0" fontId="46" fillId="0" borderId="0" xfId="0" applyFont="1" applyAlignment="1">
      <alignment vertical="center" wrapText="1"/>
    </xf>
    <xf numFmtId="0" fontId="19" fillId="0" borderId="0" xfId="22" applyNumberFormat="1" applyFont="1" applyBorder="1" applyAlignment="1">
      <alignment horizontal="right" vertical="center" wrapText="1"/>
    </xf>
    <xf numFmtId="0" fontId="28" fillId="0" borderId="0" xfId="0" applyFont="1" applyAlignment="1">
      <alignment vertical="top"/>
    </xf>
    <xf numFmtId="0" fontId="46" fillId="0" borderId="0" xfId="0" applyFont="1" applyAlignment="1">
      <alignment vertical="top" wrapText="1"/>
    </xf>
    <xf numFmtId="0" fontId="46" fillId="0" borderId="0" xfId="65" applyFont="1" applyAlignment="1">
      <alignment horizontal="left" vertical="top" wrapText="1"/>
    </xf>
    <xf numFmtId="0" fontId="28" fillId="0" borderId="0" xfId="0" applyFont="1" applyAlignment="1">
      <alignment horizontal="left" vertical="center" wrapText="1"/>
    </xf>
    <xf numFmtId="0" fontId="28" fillId="0" borderId="0" xfId="0" applyFont="1" applyAlignment="1">
      <alignment horizontal="left" vertical="top" wrapText="1"/>
    </xf>
    <xf numFmtId="0" fontId="28" fillId="0" borderId="1" xfId="65" applyFont="1" applyBorder="1" applyAlignment="1">
      <alignment horizontal="left" vertical="top" wrapText="1"/>
    </xf>
    <xf numFmtId="0" fontId="28" fillId="0" borderId="0" xfId="0" applyFont="1" applyAlignment="1">
      <alignment vertical="center" wrapText="1"/>
    </xf>
    <xf numFmtId="173" fontId="28" fillId="0" borderId="0" xfId="96" applyNumberFormat="1" applyFont="1" applyFill="1" applyBorder="1" applyAlignment="1">
      <alignment horizontal="center" vertical="center" wrapText="1"/>
    </xf>
    <xf numFmtId="0" fontId="28" fillId="0" borderId="0" xfId="0" applyFont="1" applyAlignment="1">
      <alignment horizontal="left" vertical="center"/>
    </xf>
    <xf numFmtId="0" fontId="28" fillId="0" borderId="0" xfId="0" applyFont="1" applyAlignment="1">
      <alignment horizontal="left" vertical="top"/>
    </xf>
    <xf numFmtId="0" fontId="28" fillId="0" borderId="0" xfId="65" applyFont="1" applyAlignment="1">
      <alignment horizontal="left" vertical="center" wrapText="1"/>
    </xf>
    <xf numFmtId="0" fontId="28" fillId="0" borderId="0" xfId="65" applyFont="1" applyAlignment="1">
      <alignment vertical="center"/>
    </xf>
    <xf numFmtId="0" fontId="28" fillId="0" borderId="0" xfId="65" applyFont="1" applyAlignment="1">
      <alignment horizontal="left" vertical="top"/>
    </xf>
    <xf numFmtId="0" fontId="28" fillId="0" borderId="0" xfId="65" applyFont="1" applyAlignment="1">
      <alignment horizontal="left" vertical="center"/>
    </xf>
    <xf numFmtId="0" fontId="19" fillId="0" borderId="2" xfId="65" applyFont="1" applyBorder="1" applyAlignment="1">
      <alignment horizontal="left" vertical="center" wrapText="1"/>
    </xf>
    <xf numFmtId="0" fontId="28" fillId="0" borderId="0" xfId="65" applyFont="1" applyAlignment="1">
      <alignment vertical="top" wrapText="1"/>
    </xf>
    <xf numFmtId="0" fontId="28" fillId="0" borderId="0" xfId="65" applyFont="1" applyAlignment="1">
      <alignment vertical="center" wrapText="1"/>
    </xf>
    <xf numFmtId="0" fontId="28" fillId="0" borderId="0" xfId="65" applyFont="1" applyAlignment="1">
      <alignment horizontal="center" vertical="center" wrapText="1"/>
    </xf>
    <xf numFmtId="0" fontId="19" fillId="0" borderId="0" xfId="65" applyFont="1" applyAlignment="1">
      <alignment horizontal="left" vertical="center" wrapText="1"/>
    </xf>
    <xf numFmtId="173" fontId="19" fillId="0" borderId="1" xfId="96" applyNumberFormat="1" applyFont="1" applyBorder="1" applyAlignment="1">
      <alignment horizontal="right" vertical="center" wrapText="1"/>
    </xf>
    <xf numFmtId="0" fontId="19" fillId="0" borderId="3" xfId="65" applyFont="1" applyBorder="1" applyAlignment="1">
      <alignment horizontal="left" vertical="center" wrapText="1"/>
    </xf>
    <xf numFmtId="0" fontId="19" fillId="0" borderId="1" xfId="65" applyFont="1" applyBorder="1" applyAlignment="1">
      <alignment horizontal="left" vertical="center" wrapText="1"/>
    </xf>
    <xf numFmtId="0" fontId="28" fillId="0" borderId="3" xfId="65" applyFont="1" applyBorder="1" applyAlignment="1">
      <alignment vertical="center" wrapText="1"/>
    </xf>
    <xf numFmtId="0" fontId="28" fillId="0" borderId="1" xfId="65" applyFont="1" applyBorder="1" applyAlignment="1">
      <alignment vertical="center" wrapText="1"/>
    </xf>
    <xf numFmtId="0" fontId="19" fillId="0" borderId="3" xfId="96" applyNumberFormat="1" applyFont="1" applyBorder="1" applyAlignment="1">
      <alignment horizontal="center" vertical="center" wrapText="1"/>
    </xf>
    <xf numFmtId="0" fontId="13" fillId="0" borderId="3" xfId="97" applyFont="1" applyBorder="1" applyAlignment="1">
      <alignment horizontal="right" vertical="center"/>
    </xf>
    <xf numFmtId="0" fontId="14" fillId="0" borderId="0" xfId="97" applyFont="1" applyAlignment="1">
      <alignment horizontal="right" vertical="center"/>
    </xf>
    <xf numFmtId="0" fontId="6" fillId="0" borderId="3" xfId="97" applyFont="1" applyBorder="1" applyAlignment="1">
      <alignment horizontal="right" vertical="center" wrapText="1"/>
    </xf>
    <xf numFmtId="0" fontId="6" fillId="0" borderId="1" xfId="97" applyFont="1" applyBorder="1" applyAlignment="1">
      <alignment horizontal="right" vertical="center" wrapText="1"/>
    </xf>
    <xf numFmtId="0" fontId="8" fillId="0" borderId="1" xfId="60" applyFont="1" applyBorder="1" applyAlignment="1">
      <alignment horizontal="center" vertical="center" wrapText="1"/>
    </xf>
    <xf numFmtId="0" fontId="8" fillId="0" borderId="1" xfId="0" applyFont="1" applyBorder="1" applyAlignment="1">
      <alignment horizontal="center" vertical="center" wrapText="1"/>
    </xf>
    <xf numFmtId="0" fontId="13" fillId="0" borderId="8" xfId="12" applyFont="1" applyBorder="1" applyAlignment="1">
      <alignment horizontal="right" vertical="center"/>
    </xf>
    <xf numFmtId="0" fontId="8" fillId="0" borderId="0" xfId="2" applyFont="1" applyAlignment="1">
      <alignment horizontal="left" vertical="center" wrapText="1"/>
    </xf>
    <xf numFmtId="0" fontId="13" fillId="0" borderId="3" xfId="2" applyFont="1" applyBorder="1" applyAlignment="1">
      <alignment horizontal="right" vertical="center"/>
    </xf>
    <xf numFmtId="0" fontId="14" fillId="0" borderId="0" xfId="2" applyFont="1" applyAlignment="1">
      <alignment horizontal="right" vertical="center"/>
    </xf>
    <xf numFmtId="0" fontId="46" fillId="0" borderId="0" xfId="28" applyFont="1" applyAlignment="1">
      <alignment horizontal="right"/>
    </xf>
    <xf numFmtId="0" fontId="47" fillId="0" borderId="0" xfId="28" applyFont="1" applyAlignment="1">
      <alignment horizontal="right"/>
    </xf>
    <xf numFmtId="175" fontId="8" fillId="0" borderId="0" xfId="30" applyFont="1" applyAlignment="1">
      <alignment horizontal="right" wrapText="1"/>
    </xf>
    <xf numFmtId="0" fontId="46" fillId="0" borderId="3" xfId="28" applyFont="1" applyBorder="1" applyAlignment="1">
      <alignment horizontal="right"/>
    </xf>
    <xf numFmtId="175" fontId="10" fillId="0" borderId="0" xfId="30" applyFont="1" applyAlignment="1">
      <alignment horizontal="left" vertical="top" wrapText="1"/>
    </xf>
    <xf numFmtId="175" fontId="10" fillId="0" borderId="0" xfId="30" applyFont="1" applyAlignment="1">
      <alignment horizontal="left" vertical="top"/>
    </xf>
    <xf numFmtId="175" fontId="10" fillId="0" borderId="0" xfId="30" applyFont="1" applyAlignment="1">
      <alignment horizontal="right" vertical="top" wrapText="1"/>
    </xf>
    <xf numFmtId="0" fontId="13" fillId="0" borderId="0" xfId="12" applyFont="1" applyAlignment="1">
      <alignment horizontal="left" vertical="center"/>
    </xf>
    <xf numFmtId="0" fontId="14" fillId="0" borderId="0" xfId="12" applyFont="1" applyAlignment="1">
      <alignment horizontal="left" vertical="center"/>
    </xf>
    <xf numFmtId="0" fontId="8" fillId="0" borderId="3" xfId="0" applyFont="1" applyBorder="1" applyAlignment="1">
      <alignment horizontal="left" wrapText="1"/>
    </xf>
    <xf numFmtId="0" fontId="19" fillId="0" borderId="3" xfId="0" applyFont="1" applyBorder="1" applyAlignment="1">
      <alignment horizontal="right" vertical="center" wrapText="1"/>
    </xf>
    <xf numFmtId="0" fontId="19" fillId="0" borderId="1" xfId="0" applyFont="1" applyBorder="1" applyAlignment="1">
      <alignment horizontal="right" vertical="center" wrapText="1"/>
    </xf>
    <xf numFmtId="0" fontId="8" fillId="0" borderId="3" xfId="0" applyFont="1" applyBorder="1" applyAlignment="1">
      <alignment horizontal="right" vertical="center" wrapText="1"/>
    </xf>
    <xf numFmtId="0" fontId="8" fillId="0" borderId="1" xfId="0" applyFont="1" applyBorder="1" applyAlignment="1">
      <alignment horizontal="right" vertical="center" wrapText="1"/>
    </xf>
    <xf numFmtId="0" fontId="10" fillId="0" borderId="1" xfId="0" applyFont="1" applyBorder="1" applyAlignment="1">
      <alignment horizontal="left" vertical="top" wrapText="1"/>
    </xf>
    <xf numFmtId="0" fontId="32" fillId="0" borderId="0" xfId="12" applyFont="1" applyAlignment="1">
      <alignment horizontal="left" vertical="center" wrapText="1" indent="4"/>
    </xf>
    <xf numFmtId="0" fontId="32" fillId="0" borderId="0" xfId="12" applyFont="1" applyAlignment="1">
      <alignment horizontal="left" vertical="center" wrapText="1"/>
    </xf>
    <xf numFmtId="0" fontId="34" fillId="0" borderId="0" xfId="12" applyFont="1" applyAlignment="1">
      <alignment horizontal="left" vertical="center" wrapText="1" indent="4"/>
    </xf>
    <xf numFmtId="0" fontId="34" fillId="0" borderId="1" xfId="12" applyFont="1" applyBorder="1" applyAlignment="1">
      <alignment horizontal="left" vertical="center" wrapText="1" indent="4"/>
    </xf>
    <xf numFmtId="0" fontId="34" fillId="0" borderId="0" xfId="12" applyFont="1" applyAlignment="1">
      <alignment horizontal="left" vertical="center" wrapText="1"/>
    </xf>
    <xf numFmtId="166" fontId="3" fillId="0" borderId="0" xfId="21" applyFont="1" applyAlignment="1">
      <alignment horizontal="left" vertical="center"/>
    </xf>
    <xf numFmtId="0" fontId="28" fillId="0" borderId="0" xfId="12" applyFont="1" applyAlignment="1">
      <alignment horizontal="left" vertical="center" wrapText="1" indent="4"/>
    </xf>
    <xf numFmtId="0" fontId="19" fillId="0" borderId="2" xfId="0" applyFont="1" applyBorder="1" applyAlignment="1">
      <alignment horizontal="left" vertical="center"/>
    </xf>
    <xf numFmtId="166" fontId="3" fillId="0" borderId="0" xfId="21" applyFont="1" applyAlignment="1">
      <alignment vertical="center"/>
    </xf>
    <xf numFmtId="0" fontId="33" fillId="0" borderId="0" xfId="12" applyFont="1" applyAlignment="1">
      <alignment horizontal="left" vertical="center" wrapText="1"/>
    </xf>
    <xf numFmtId="0" fontId="32" fillId="0" borderId="1" xfId="12" applyFont="1" applyBorder="1" applyAlignment="1">
      <alignment horizontal="left" vertical="center" wrapText="1" indent="4"/>
    </xf>
    <xf numFmtId="0" fontId="23" fillId="0" borderId="3" xfId="0" applyFont="1" applyBorder="1" applyAlignment="1">
      <alignment horizontal="left" vertical="center"/>
    </xf>
    <xf numFmtId="0" fontId="23" fillId="0" borderId="1" xfId="0" applyFont="1" applyBorder="1" applyAlignment="1">
      <alignment horizontal="left" vertical="center"/>
    </xf>
    <xf numFmtId="0" fontId="8" fillId="0" borderId="1" xfId="47" applyFont="1" applyBorder="1" applyAlignment="1">
      <alignment horizontal="left" vertical="top" wrapText="1"/>
    </xf>
    <xf numFmtId="0" fontId="8" fillId="0" borderId="2" xfId="33" applyFont="1" applyBorder="1" applyAlignment="1">
      <alignment horizontal="left" vertical="center" wrapText="1"/>
    </xf>
    <xf numFmtId="175" fontId="14" fillId="0" borderId="0" xfId="48" applyFont="1" applyAlignment="1">
      <alignment horizontal="right" vertical="center"/>
    </xf>
    <xf numFmtId="0" fontId="5" fillId="0" borderId="0" xfId="35" applyFont="1" applyAlignment="1">
      <alignment horizontal="left" vertical="top" wrapText="1"/>
    </xf>
    <xf numFmtId="0" fontId="8" fillId="0" borderId="0" xfId="35" applyFont="1" applyAlignment="1">
      <alignment vertical="top" wrapText="1"/>
    </xf>
    <xf numFmtId="0" fontId="8" fillId="0" borderId="1" xfId="35" applyFont="1" applyBorder="1" applyAlignment="1">
      <alignment vertical="top" wrapText="1"/>
    </xf>
    <xf numFmtId="0" fontId="8" fillId="0" borderId="0" xfId="35" applyFont="1" applyAlignment="1">
      <alignment horizontal="center" vertical="top" wrapText="1"/>
    </xf>
    <xf numFmtId="0" fontId="8" fillId="0" borderId="1" xfId="35" applyFont="1" applyBorder="1" applyAlignment="1">
      <alignment horizontal="center" vertical="top" wrapText="1"/>
    </xf>
    <xf numFmtId="0" fontId="8" fillId="0" borderId="0" xfId="35" applyFont="1" applyAlignment="1">
      <alignment horizontal="right" vertical="top" wrapText="1"/>
    </xf>
    <xf numFmtId="0" fontId="8" fillId="0" borderId="1" xfId="35" applyFont="1" applyBorder="1" applyAlignment="1">
      <alignment horizontal="right" vertical="top" wrapText="1"/>
    </xf>
    <xf numFmtId="0" fontId="6" fillId="0" borderId="0" xfId="35" applyFont="1" applyAlignment="1">
      <alignment horizontal="right" vertical="top" wrapText="1"/>
    </xf>
    <xf numFmtId="0" fontId="6" fillId="0" borderId="1" xfId="35" applyFont="1" applyBorder="1" applyAlignment="1">
      <alignment horizontal="right" vertical="top" wrapText="1"/>
    </xf>
    <xf numFmtId="0" fontId="46" fillId="0" borderId="0" xfId="35" applyFont="1" applyAlignment="1">
      <alignment horizontal="left"/>
    </xf>
    <xf numFmtId="0" fontId="47" fillId="0" borderId="0" xfId="35" applyFont="1" applyAlignment="1">
      <alignment horizontal="left" vertical="top"/>
    </xf>
    <xf numFmtId="0" fontId="8" fillId="0" borderId="1" xfId="35" applyFont="1" applyBorder="1" applyAlignment="1">
      <alignment horizontal="center" vertical="center" wrapText="1"/>
    </xf>
    <xf numFmtId="0" fontId="3" fillId="0" borderId="0" xfId="35" applyFont="1" applyAlignment="1">
      <alignment horizontal="left" vertical="center"/>
    </xf>
    <xf numFmtId="0" fontId="3" fillId="0" borderId="0" xfId="35" applyFont="1" applyAlignment="1">
      <alignment horizontal="left"/>
    </xf>
    <xf numFmtId="0" fontId="8" fillId="0" borderId="0" xfId="35" applyFont="1" applyAlignment="1">
      <alignment horizontal="center" vertical="center"/>
    </xf>
    <xf numFmtId="0" fontId="10" fillId="0" borderId="1" xfId="35" applyFont="1" applyBorder="1" applyAlignment="1">
      <alignment horizontal="center" vertical="center"/>
    </xf>
    <xf numFmtId="0" fontId="13" fillId="0" borderId="3" xfId="35" applyFont="1" applyBorder="1" applyAlignment="1">
      <alignment horizontal="right"/>
    </xf>
    <xf numFmtId="0" fontId="14" fillId="0" borderId="0" xfId="35" applyFont="1" applyAlignment="1">
      <alignment horizontal="right" vertical="top"/>
    </xf>
    <xf numFmtId="175" fontId="8" fillId="0" borderId="1" xfId="53" applyFont="1" applyBorder="1" applyAlignment="1">
      <alignment horizontal="right" vertical="center" wrapText="1"/>
    </xf>
    <xf numFmtId="175" fontId="8" fillId="0" borderId="0" xfId="53" applyFont="1" applyAlignment="1">
      <alignment horizontal="center" vertical="center" wrapText="1"/>
    </xf>
    <xf numFmtId="175" fontId="10" fillId="0" borderId="0" xfId="53" applyFont="1" applyAlignment="1">
      <alignment horizontal="center" vertical="center" wrapText="1"/>
    </xf>
    <xf numFmtId="175" fontId="8" fillId="0" borderId="1" xfId="53" applyFont="1" applyBorder="1" applyAlignment="1">
      <alignment horizontal="center" vertical="center" wrapText="1"/>
    </xf>
    <xf numFmtId="175" fontId="6" fillId="0" borderId="3" xfId="53" applyFont="1" applyBorder="1" applyAlignment="1">
      <alignment horizontal="left" vertical="center" wrapText="1"/>
    </xf>
    <xf numFmtId="175" fontId="6" fillId="0" borderId="1" xfId="53" applyFont="1" applyBorder="1" applyAlignment="1">
      <alignment horizontal="left" vertical="center" wrapText="1"/>
    </xf>
    <xf numFmtId="166" fontId="47" fillId="0" borderId="0" xfId="61" applyFont="1" applyAlignment="1">
      <alignment horizontal="left" wrapText="1"/>
    </xf>
    <xf numFmtId="166" fontId="53" fillId="0" borderId="0" xfId="61" applyFont="1" applyAlignment="1">
      <alignment horizontal="left" vertical="top" wrapText="1"/>
    </xf>
    <xf numFmtId="166" fontId="41" fillId="0" borderId="0" xfId="61" applyFont="1" applyAlignment="1">
      <alignment horizontal="left" vertical="top" wrapText="1"/>
    </xf>
    <xf numFmtId="166" fontId="28" fillId="0" borderId="0" xfId="61" applyFont="1" applyAlignment="1">
      <alignment horizontal="left" vertical="center" wrapText="1"/>
    </xf>
    <xf numFmtId="166" fontId="28" fillId="0" borderId="6" xfId="61" applyFont="1" applyBorder="1" applyAlignment="1">
      <alignment horizontal="left" vertical="center" wrapText="1"/>
    </xf>
    <xf numFmtId="174" fontId="19" fillId="0" borderId="0" xfId="61" applyNumberFormat="1" applyFont="1" applyAlignment="1">
      <alignment horizontal="center" vertical="center" wrapText="1"/>
    </xf>
    <xf numFmtId="166" fontId="19" fillId="0" borderId="0" xfId="61" applyFont="1" applyAlignment="1">
      <alignment horizontal="right" vertical="top"/>
    </xf>
    <xf numFmtId="166" fontId="19" fillId="0" borderId="6" xfId="61" applyFont="1" applyBorder="1" applyAlignment="1">
      <alignment horizontal="right" vertical="top"/>
    </xf>
    <xf numFmtId="166" fontId="46" fillId="0" borderId="11" xfId="61" applyFont="1" applyBorder="1" applyAlignment="1">
      <alignment horizontal="right" vertical="center"/>
    </xf>
    <xf numFmtId="166" fontId="47" fillId="0" borderId="0" xfId="61" applyFont="1" applyAlignment="1">
      <alignment horizontal="right" vertical="center"/>
    </xf>
    <xf numFmtId="166" fontId="46" fillId="0" borderId="0" xfId="61" applyFont="1" applyAlignment="1">
      <alignment horizontal="left" vertical="center" wrapText="1"/>
    </xf>
    <xf numFmtId="0" fontId="8" fillId="0" borderId="0" xfId="60" applyFont="1" applyAlignment="1">
      <alignment horizontal="left" vertical="center" wrapText="1"/>
    </xf>
    <xf numFmtId="0" fontId="8" fillId="0" borderId="1" xfId="60" applyFont="1" applyBorder="1" applyAlignment="1">
      <alignment horizontal="left" vertical="center" wrapText="1"/>
    </xf>
    <xf numFmtId="0" fontId="13" fillId="0" borderId="3" xfId="60" applyFont="1" applyBorder="1" applyAlignment="1">
      <alignment horizontal="right" vertical="center"/>
    </xf>
    <xf numFmtId="0" fontId="14" fillId="0" borderId="0" xfId="60" applyFont="1" applyAlignment="1">
      <alignment horizontal="right" vertical="center"/>
    </xf>
  </cellXfs>
  <cellStyles count="165">
    <cellStyle name="Comma" xfId="163" builtinId="3"/>
    <cellStyle name="Comma [0] 14" xfId="95" xr:uid="{00000000-0005-0000-0000-000001000000}"/>
    <cellStyle name="Comma [0] 2" xfId="24" xr:uid="{00000000-0005-0000-0000-000002000000}"/>
    <cellStyle name="Comma [0] 2 2" xfId="71" xr:uid="{00000000-0005-0000-0000-000003000000}"/>
    <cellStyle name="Comma [0] 2 2 6" xfId="72" xr:uid="{00000000-0005-0000-0000-000004000000}"/>
    <cellStyle name="Comma 10" xfId="23" xr:uid="{00000000-0005-0000-0000-000005000000}"/>
    <cellStyle name="Comma 2" xfId="6" xr:uid="{00000000-0005-0000-0000-000006000000}"/>
    <cellStyle name="Comma 2 147 2 2" xfId="85" xr:uid="{00000000-0005-0000-0000-000007000000}"/>
    <cellStyle name="Comma 2 2 10 3" xfId="25" xr:uid="{00000000-0005-0000-0000-000008000000}"/>
    <cellStyle name="Comma 2 2 2 265" xfId="129" xr:uid="{00000000-0005-0000-0000-000009000000}"/>
    <cellStyle name="Comma 2 2 257 2" xfId="127" xr:uid="{00000000-0005-0000-0000-00000A000000}"/>
    <cellStyle name="Comma 2 2 260 2" xfId="117" xr:uid="{00000000-0005-0000-0000-00000B000000}"/>
    <cellStyle name="Comma 2 2 262" xfId="69" xr:uid="{00000000-0005-0000-0000-00000C000000}"/>
    <cellStyle name="Comma 2 2 262 3" xfId="110" xr:uid="{00000000-0005-0000-0000-00000D000000}"/>
    <cellStyle name="Comma 2 2 263" xfId="22" xr:uid="{00000000-0005-0000-0000-00000E000000}"/>
    <cellStyle name="Comma 2 2 263 2" xfId="32" xr:uid="{00000000-0005-0000-0000-00000F000000}"/>
    <cellStyle name="Comma 2 2 264 2" xfId="59" xr:uid="{00000000-0005-0000-0000-000010000000}"/>
    <cellStyle name="Comma 2 2 265" xfId="96" xr:uid="{00000000-0005-0000-0000-000011000000}"/>
    <cellStyle name="Comma 2 277" xfId="81" xr:uid="{00000000-0005-0000-0000-000012000000}"/>
    <cellStyle name="Comma 2 278" xfId="63" xr:uid="{00000000-0005-0000-0000-000013000000}"/>
    <cellStyle name="Comma 3 200" xfId="34" xr:uid="{00000000-0005-0000-0000-000014000000}"/>
    <cellStyle name="Comma 3 201" xfId="40" xr:uid="{00000000-0005-0000-0000-000015000000}"/>
    <cellStyle name="Comma 3 202" xfId="42" xr:uid="{00000000-0005-0000-0000-000016000000}"/>
    <cellStyle name="Comma 4 2" xfId="162" xr:uid="{00000000-0005-0000-0000-000017000000}"/>
    <cellStyle name="Comma 4 91" xfId="123" xr:uid="{00000000-0005-0000-0000-000018000000}"/>
    <cellStyle name="Comma 5 79" xfId="130" xr:uid="{00000000-0005-0000-0000-000019000000}"/>
    <cellStyle name="Comma 857" xfId="98" xr:uid="{00000000-0005-0000-0000-00001A000000}"/>
    <cellStyle name="Comma 857 3" xfId="128" xr:uid="{00000000-0005-0000-0000-00001B000000}"/>
    <cellStyle name="Comma 857 3 2" xfId="134" xr:uid="{00000000-0005-0000-0000-00001C000000}"/>
    <cellStyle name="Comma 870" xfId="5" xr:uid="{00000000-0005-0000-0000-00001D000000}"/>
    <cellStyle name="Comma 870 2" xfId="14" xr:uid="{00000000-0005-0000-0000-00001E000000}"/>
    <cellStyle name="Comma 870 2 2" xfId="67" xr:uid="{00000000-0005-0000-0000-00001F000000}"/>
    <cellStyle name="Comma 870 2 2 2" xfId="75" xr:uid="{00000000-0005-0000-0000-000020000000}"/>
    <cellStyle name="Comma 870 2 2 3" xfId="73" xr:uid="{00000000-0005-0000-0000-000021000000}"/>
    <cellStyle name="Comma 870 2 3" xfId="46" xr:uid="{00000000-0005-0000-0000-000022000000}"/>
    <cellStyle name="Comma 870 3" xfId="41" xr:uid="{00000000-0005-0000-0000-000023000000}"/>
    <cellStyle name="Comma 870 4" xfId="77" xr:uid="{00000000-0005-0000-0000-000024000000}"/>
    <cellStyle name="Comma 870 5" xfId="109" xr:uid="{00000000-0005-0000-0000-000025000000}"/>
    <cellStyle name="Comma 873" xfId="88" xr:uid="{00000000-0005-0000-0000-000026000000}"/>
    <cellStyle name="Comma 875" xfId="79" xr:uid="{00000000-0005-0000-0000-000027000000}"/>
    <cellStyle name="Comma 876" xfId="94" xr:uid="{00000000-0005-0000-0000-000028000000}"/>
    <cellStyle name="Comma 877" xfId="104" xr:uid="{00000000-0005-0000-0000-000029000000}"/>
    <cellStyle name="Comma 878" xfId="51" xr:uid="{00000000-0005-0000-0000-00002A000000}"/>
    <cellStyle name="Normal" xfId="0" builtinId="0"/>
    <cellStyle name="Normal 10 11 2 2 2 2 2" xfId="125" xr:uid="{00000000-0005-0000-0000-00002C000000}"/>
    <cellStyle name="Normal 10 11 2 2 2 3" xfId="2" xr:uid="{00000000-0005-0000-0000-00002D000000}"/>
    <cellStyle name="Normal 10 11 2 2 2 3 2" xfId="12" xr:uid="{00000000-0005-0000-0000-00002E000000}"/>
    <cellStyle name="Normal 10 11 2 2 2 3 2 2" xfId="15" xr:uid="{00000000-0005-0000-0000-00002F000000}"/>
    <cellStyle name="Normal 10 11 2 2 2 3 2 4" xfId="78" xr:uid="{00000000-0005-0000-0000-000030000000}"/>
    <cellStyle name="Normal 10 11 2 2 2 3 2 5" xfId="60" xr:uid="{00000000-0005-0000-0000-000031000000}"/>
    <cellStyle name="Normal 10 11 2 2 2 3 3" xfId="13" xr:uid="{00000000-0005-0000-0000-000032000000}"/>
    <cellStyle name="Normal 10 11 2 2 2 3 5" xfId="76" xr:uid="{00000000-0005-0000-0000-000033000000}"/>
    <cellStyle name="Normal 10 11 2 2 2 3 6" xfId="111" xr:uid="{00000000-0005-0000-0000-000034000000}"/>
    <cellStyle name="Normal 10 11 2 3 2 2" xfId="115" xr:uid="{00000000-0005-0000-0000-000035000000}"/>
    <cellStyle name="Normal 10 11 2 3 3 2 2" xfId="148" xr:uid="{00000000-0005-0000-0000-000036000000}"/>
    <cellStyle name="Normal 10 11 2 3 4 2" xfId="156" xr:uid="{00000000-0005-0000-0000-000037000000}"/>
    <cellStyle name="Normal 10 11 2 5 2" xfId="106" xr:uid="{00000000-0005-0000-0000-000038000000}"/>
    <cellStyle name="Normal 10 11 2 7 3 2" xfId="159" xr:uid="{00000000-0005-0000-0000-000039000000}"/>
    <cellStyle name="Normal 10 11 2 7 4" xfId="143" xr:uid="{00000000-0005-0000-0000-00003A000000}"/>
    <cellStyle name="Normal 10 11 2 8 2" xfId="19" xr:uid="{00000000-0005-0000-0000-00003B000000}"/>
    <cellStyle name="Normal 10 11 2 8 3" xfId="20" xr:uid="{00000000-0005-0000-0000-00003C000000}"/>
    <cellStyle name="Normal 10 11 2 8 5" xfId="107" xr:uid="{00000000-0005-0000-0000-00003D000000}"/>
    <cellStyle name="Normal 10 11 2 9" xfId="103" xr:uid="{00000000-0005-0000-0000-00003E000000}"/>
    <cellStyle name="Normal 10 2" xfId="70" xr:uid="{00000000-0005-0000-0000-00003F000000}"/>
    <cellStyle name="Normal 11" xfId="66" xr:uid="{00000000-0005-0000-0000-000040000000}"/>
    <cellStyle name="Normal 13" xfId="55" xr:uid="{00000000-0005-0000-0000-000041000000}"/>
    <cellStyle name="Normal 13 2" xfId="9" xr:uid="{00000000-0005-0000-0000-000042000000}"/>
    <cellStyle name="Normal 13 2 2" xfId="74" xr:uid="{00000000-0005-0000-0000-000043000000}"/>
    <cellStyle name="Normal 13 2 5" xfId="92" xr:uid="{00000000-0005-0000-0000-000044000000}"/>
    <cellStyle name="Normal 17" xfId="139" xr:uid="{00000000-0005-0000-0000-000045000000}"/>
    <cellStyle name="Normal 17 2" xfId="136" xr:uid="{00000000-0005-0000-0000-000046000000}"/>
    <cellStyle name="Normal 18 2 2 3" xfId="29" xr:uid="{00000000-0005-0000-0000-000047000000}"/>
    <cellStyle name="Normal 2" xfId="39" xr:uid="{00000000-0005-0000-0000-000048000000}"/>
    <cellStyle name="Normal 2 2 2 2 2 4 2 2 5" xfId="140" xr:uid="{00000000-0005-0000-0000-000049000000}"/>
    <cellStyle name="Normal 2 2 2 2 2 4 2 4 2 3 2" xfId="152" xr:uid="{00000000-0005-0000-0000-00004A000000}"/>
    <cellStyle name="Normal 2 2 2 2 2 4 2 4 2 4" xfId="141" xr:uid="{00000000-0005-0000-0000-00004B000000}"/>
    <cellStyle name="Normal 2 2 2 2 2 4 2 4 3 2" xfId="138" xr:uid="{00000000-0005-0000-0000-00004C000000}"/>
    <cellStyle name="Normal 2 2 2 2 2 4 4 2" xfId="16" xr:uid="{00000000-0005-0000-0000-00004D000000}"/>
    <cellStyle name="Normal 2 2 2 2 2 4 4 2 2" xfId="45" xr:uid="{00000000-0005-0000-0000-00004E000000}"/>
    <cellStyle name="Normal 2 2 2 2 2 4 4 2 4" xfId="83" xr:uid="{00000000-0005-0000-0000-00004F000000}"/>
    <cellStyle name="Normal 2 2 2 2 2 4 4 3" xfId="120" xr:uid="{00000000-0005-0000-0000-000050000000}"/>
    <cellStyle name="Normal 2 2 2 2 2 4 4 3 2" xfId="132" xr:uid="{00000000-0005-0000-0000-000051000000}"/>
    <cellStyle name="Normal 2 2 2 2 2 4 6 3" xfId="137" xr:uid="{00000000-0005-0000-0000-000052000000}"/>
    <cellStyle name="Normal 2 2 2 2 2 4 7" xfId="118" xr:uid="{00000000-0005-0000-0000-000053000000}"/>
    <cellStyle name="Normal 2 2 2 7" xfId="64" xr:uid="{00000000-0005-0000-0000-000054000000}"/>
    <cellStyle name="Normal 2 2 85 2 2 2 2 3 2" xfId="158" xr:uid="{00000000-0005-0000-0000-000055000000}"/>
    <cellStyle name="Normal 2 2 85 2 2 2 2 4" xfId="145" xr:uid="{00000000-0005-0000-0000-000056000000}"/>
    <cellStyle name="Normal 2 2 85 2 2 2 4 2" xfId="157" xr:uid="{00000000-0005-0000-0000-000057000000}"/>
    <cellStyle name="Normal 2 2 85 2 3 3 2" xfId="35" xr:uid="{00000000-0005-0000-0000-000058000000}"/>
    <cellStyle name="Normal 2 2 85 2 7" xfId="144" xr:uid="{00000000-0005-0000-0000-000059000000}"/>
    <cellStyle name="Normal 2 2 88" xfId="100" xr:uid="{00000000-0005-0000-0000-00005A000000}"/>
    <cellStyle name="Normal 2 258" xfId="58" xr:uid="{00000000-0005-0000-0000-00005B000000}"/>
    <cellStyle name="Normal 2 258 2 3" xfId="126" xr:uid="{00000000-0005-0000-0000-00005C000000}"/>
    <cellStyle name="Normal 2 261 2" xfId="114" xr:uid="{00000000-0005-0000-0000-00005D000000}"/>
    <cellStyle name="Normal 2 262 3" xfId="56" xr:uid="{00000000-0005-0000-0000-00005E000000}"/>
    <cellStyle name="Normal 2 262 3 2" xfId="151" xr:uid="{00000000-0005-0000-0000-00005F000000}"/>
    <cellStyle name="Normal 2 262 4" xfId="142" xr:uid="{00000000-0005-0000-0000-000060000000}"/>
    <cellStyle name="Normal 2 263 3 2" xfId="147" xr:uid="{00000000-0005-0000-0000-000061000000}"/>
    <cellStyle name="Normal 2 265" xfId="38" xr:uid="{00000000-0005-0000-0000-000062000000}"/>
    <cellStyle name="Normal 2 268" xfId="80" xr:uid="{00000000-0005-0000-0000-000063000000}"/>
    <cellStyle name="Normal 2 269" xfId="99" xr:uid="{00000000-0005-0000-0000-000064000000}"/>
    <cellStyle name="Normal 2 270" xfId="61" xr:uid="{00000000-0005-0000-0000-000065000000}"/>
    <cellStyle name="Normal 2 3" xfId="52" xr:uid="{00000000-0005-0000-0000-000066000000}"/>
    <cellStyle name="Normal 2 3 2" xfId="161" xr:uid="{00000000-0005-0000-0000-000067000000}"/>
    <cellStyle name="Normal 27" xfId="54" xr:uid="{00000000-0005-0000-0000-000068000000}"/>
    <cellStyle name="Normal 3" xfId="21" xr:uid="{00000000-0005-0000-0000-000069000000}"/>
    <cellStyle name="Normal 3 2" xfId="160" xr:uid="{00000000-0005-0000-0000-00006A000000}"/>
    <cellStyle name="Normal 3 2 3 13" xfId="8" xr:uid="{00000000-0005-0000-0000-00006B000000}"/>
    <cellStyle name="Normal 3 2 3 13 2" xfId="17" xr:uid="{00000000-0005-0000-0000-00006C000000}"/>
    <cellStyle name="Normal 3 2 3 13 2 3" xfId="36" xr:uid="{00000000-0005-0000-0000-00006D000000}"/>
    <cellStyle name="Normal 3 2 3 13 3 2" xfId="33" xr:uid="{00000000-0005-0000-0000-00006E000000}"/>
    <cellStyle name="Normal 3 2 3 13 5" xfId="84" xr:uid="{00000000-0005-0000-0000-00006F000000}"/>
    <cellStyle name="Normal 3 2 3 14" xfId="122" xr:uid="{00000000-0005-0000-0000-000070000000}"/>
    <cellStyle name="Normal 3 2 3 3" xfId="10" xr:uid="{00000000-0005-0000-0000-000071000000}"/>
    <cellStyle name="Normal 3 2 3 3 2 3" xfId="131" xr:uid="{00000000-0005-0000-0000-000072000000}"/>
    <cellStyle name="Normal 3 2 3 3 2 3 2" xfId="135" xr:uid="{00000000-0005-0000-0000-000073000000}"/>
    <cellStyle name="Normal 3 3 10" xfId="93" xr:uid="{00000000-0005-0000-0000-000074000000}"/>
    <cellStyle name="Normal 3 3 3" xfId="3" xr:uid="{00000000-0005-0000-0000-000075000000}"/>
    <cellStyle name="Normal 3 3 3 8" xfId="155" xr:uid="{00000000-0005-0000-0000-000076000000}"/>
    <cellStyle name="Normal 3 5 2 5 5 2 2 2" xfId="119" xr:uid="{00000000-0005-0000-0000-000077000000}"/>
    <cellStyle name="Normal 3 5 2 5 5 2 3 2" xfId="153" xr:uid="{00000000-0005-0000-0000-000078000000}"/>
    <cellStyle name="Normal 3 5 2 5 6" xfId="62" xr:uid="{00000000-0005-0000-0000-000079000000}"/>
    <cellStyle name="Normal 3 5 8" xfId="49" xr:uid="{00000000-0005-0000-0000-00007A000000}"/>
    <cellStyle name="Normal 3 85" xfId="4" xr:uid="{00000000-0005-0000-0000-00007B000000}"/>
    <cellStyle name="Normal 3 86 3 2" xfId="146" xr:uid="{00000000-0005-0000-0000-00007C000000}"/>
    <cellStyle name="Normal 4 2" xfId="27" xr:uid="{00000000-0005-0000-0000-00007D000000}"/>
    <cellStyle name="Normal 4 2 10 2" xfId="31" xr:uid="{00000000-0005-0000-0000-00007E000000}"/>
    <cellStyle name="Normal 4 2 9 2 3" xfId="101" xr:uid="{00000000-0005-0000-0000-00007F000000}"/>
    <cellStyle name="Normal 4 2 9 2 3 2" xfId="133" xr:uid="{00000000-0005-0000-0000-000080000000}"/>
    <cellStyle name="Normal 4 4 2 2" xfId="91" xr:uid="{00000000-0005-0000-0000-000081000000}"/>
    <cellStyle name="Normal 4 4 2 5 2" xfId="116" xr:uid="{00000000-0005-0000-0000-000082000000}"/>
    <cellStyle name="Normal 4 4 2 6 2 2" xfId="149" xr:uid="{00000000-0005-0000-0000-000083000000}"/>
    <cellStyle name="Normal 4 4 2 7 2" xfId="150" xr:uid="{00000000-0005-0000-0000-000084000000}"/>
    <cellStyle name="Normal 4 4 2 8" xfId="102" xr:uid="{00000000-0005-0000-0000-000085000000}"/>
    <cellStyle name="Normal 5" xfId="37" xr:uid="{00000000-0005-0000-0000-000086000000}"/>
    <cellStyle name="Normal 5 13" xfId="90" xr:uid="{00000000-0005-0000-0000-000087000000}"/>
    <cellStyle name="Normal 6" xfId="53" xr:uid="{00000000-0005-0000-0000-000088000000}"/>
    <cellStyle name="Normal 6 57" xfId="89" xr:uid="{00000000-0005-0000-0000-000089000000}"/>
    <cellStyle name="Normal 7" xfId="30" xr:uid="{00000000-0005-0000-0000-00008A000000}"/>
    <cellStyle name="Normal 7 2 9" xfId="57" xr:uid="{00000000-0005-0000-0000-00008B000000}"/>
    <cellStyle name="Normal 7 54" xfId="105" xr:uid="{00000000-0005-0000-0000-00008C000000}"/>
    <cellStyle name="Normal 724 2" xfId="26" xr:uid="{00000000-0005-0000-0000-00008D000000}"/>
    <cellStyle name="Normal 725" xfId="97" xr:uid="{00000000-0005-0000-0000-00008E000000}"/>
    <cellStyle name="Normal 8" xfId="48" xr:uid="{00000000-0005-0000-0000-00008F000000}"/>
    <cellStyle name="Normal 8 45" xfId="47" xr:uid="{00000000-0005-0000-0000-000090000000}"/>
    <cellStyle name="Normal 8 45 2" xfId="50" xr:uid="{00000000-0005-0000-0000-000091000000}"/>
    <cellStyle name="Normal 800 2 2 2 2" xfId="124" xr:uid="{00000000-0005-0000-0000-000092000000}"/>
    <cellStyle name="Normal 804 2" xfId="113" xr:uid="{00000000-0005-0000-0000-000093000000}"/>
    <cellStyle name="Normal 805 2" xfId="18" xr:uid="{00000000-0005-0000-0000-000094000000}"/>
    <cellStyle name="Normal 805 2 2" xfId="44" xr:uid="{00000000-0005-0000-0000-000095000000}"/>
    <cellStyle name="Normal 805 3" xfId="43" xr:uid="{00000000-0005-0000-0000-000096000000}"/>
    <cellStyle name="Normal 805 4" xfId="108" xr:uid="{00000000-0005-0000-0000-000097000000}"/>
    <cellStyle name="Normal 808" xfId="86" xr:uid="{00000000-0005-0000-0000-000098000000}"/>
    <cellStyle name="Normal 808 2" xfId="87" xr:uid="{00000000-0005-0000-0000-000099000000}"/>
    <cellStyle name="Normal 809 2" xfId="65" xr:uid="{00000000-0005-0000-0000-00009A000000}"/>
    <cellStyle name="Normal 810" xfId="28" xr:uid="{00000000-0005-0000-0000-00009B000000}"/>
    <cellStyle name="Normal 816 3 2 2 2" xfId="154" xr:uid="{00000000-0005-0000-0000-00009C000000}"/>
    <cellStyle name="Normal 816 3 3" xfId="121" xr:uid="{00000000-0005-0000-0000-00009D000000}"/>
    <cellStyle name="Normal_C1" xfId="164" xr:uid="{320864D5-0117-4190-90AD-88BFF3D98D6A}"/>
    <cellStyle name="Normal_TABLE1A" xfId="68" xr:uid="{00000000-0005-0000-0000-00009F000000}"/>
    <cellStyle name="Normal_TABLE5(A),(B)&amp;(C)" xfId="11" xr:uid="{00000000-0005-0000-0000-0000A0000000}"/>
    <cellStyle name="Percent" xfId="1" builtinId="5"/>
    <cellStyle name="Percent 16" xfId="7" xr:uid="{00000000-0005-0000-0000-0000A2000000}"/>
    <cellStyle name="Percent 16 3" xfId="112" xr:uid="{00000000-0005-0000-0000-0000A3000000}"/>
    <cellStyle name="Percent 17" xfId="82" xr:uid="{00000000-0005-0000-0000-0000A4000000}"/>
  </cellStyles>
  <dxfs count="131">
    <dxf>
      <font>
        <b/>
        <color rgb="FFFF0000"/>
      </font>
      <fill>
        <patternFill patternType="none"/>
      </fill>
    </dxf>
    <dxf>
      <font>
        <b/>
        <color rgb="FFFF0000"/>
      </font>
      <fill>
        <patternFill patternType="none"/>
      </fill>
    </dxf>
    <dxf>
      <font>
        <b/>
        <color rgb="FFFF0000"/>
      </font>
      <fill>
        <patternFill patternType="none"/>
      </fill>
    </dxf>
    <dxf>
      <font>
        <b/>
        <color rgb="FFFF0000"/>
      </font>
      <fill>
        <patternFill patternType="none"/>
      </fill>
    </dxf>
    <dxf>
      <font>
        <b/>
        <color rgb="FFFF0000"/>
      </font>
      <fill>
        <patternFill patternType="none"/>
      </fill>
    </dxf>
    <dxf>
      <font>
        <b/>
        <color rgb="FFFF000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color rgb="FFFF0000"/>
      </font>
      <fill>
        <patternFill patternType="none"/>
      </fill>
    </dxf>
    <dxf>
      <font>
        <b/>
        <color rgb="FFFF0000"/>
      </font>
      <fill>
        <patternFill patternType="none"/>
      </fill>
    </dxf>
    <dxf>
      <font>
        <b/>
        <color rgb="FFFF0000"/>
      </font>
      <fill>
        <patternFill patternType="none"/>
      </fill>
    </dxf>
    <dxf>
      <numFmt numFmtId="186" formatCode="#,##0_);[Red]\(#,##0\)"/>
      <fill>
        <patternFill patternType="solid">
          <bgColor theme="3" tint="0.39991454817346722"/>
        </patternFill>
      </fill>
    </dxf>
    <dxf>
      <numFmt numFmtId="186" formatCode="#,##0_);[Red]\(#,##0\)"/>
      <fill>
        <patternFill patternType="solid">
          <bgColor theme="3" tint="0.39991454817346722"/>
        </patternFill>
      </fill>
    </dxf>
    <dxf>
      <numFmt numFmtId="186" formatCode="#,##0_);[Red]\(#,##0\)"/>
      <fill>
        <patternFill patternType="solid">
          <bgColor theme="3" tint="0.39991454817346722"/>
        </patternFill>
      </fill>
    </dxf>
    <dxf>
      <font>
        <b/>
        <i val="0"/>
        <color indexed="10"/>
      </font>
      <fill>
        <patternFill patternType="none"/>
      </fill>
    </dxf>
    <dxf>
      <numFmt numFmtId="186" formatCode="#,##0_);[Red]\(#,##0\)"/>
      <fill>
        <patternFill patternType="solid">
          <bgColor theme="3" tint="0.39991454817346722"/>
        </patternFill>
      </fill>
    </dxf>
    <dxf>
      <numFmt numFmtId="186" formatCode="#,##0_);[Red]\(#,##0\)"/>
      <fill>
        <patternFill patternType="solid">
          <bgColor theme="3" tint="0.39991454817346722"/>
        </patternFill>
      </fill>
    </dxf>
    <dxf>
      <numFmt numFmtId="186" formatCode="#,##0_);[Red]\(#,##0\)"/>
      <fill>
        <patternFill patternType="solid">
          <bgColor theme="3" tint="0.39991454817346722"/>
        </patternFill>
      </fill>
    </dxf>
    <dxf>
      <font>
        <b/>
        <i val="0"/>
        <color indexed="10"/>
      </font>
      <fill>
        <patternFill patternType="none"/>
      </fill>
    </dxf>
    <dxf>
      <font>
        <b/>
        <i val="0"/>
        <color indexed="10"/>
      </font>
      <fill>
        <patternFill patternType="none"/>
      </fill>
    </dxf>
    <dxf>
      <font>
        <b/>
        <color rgb="FFFF0000"/>
      </font>
      <fill>
        <patternFill patternType="none"/>
      </fill>
    </dxf>
    <dxf>
      <font>
        <b/>
        <color rgb="FFFF000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color rgb="FFFF0000"/>
      </font>
      <fill>
        <patternFill patternType="none"/>
      </fill>
    </dxf>
    <dxf>
      <font>
        <b/>
        <color rgb="FFFF0000"/>
      </font>
      <fill>
        <patternFill patternType="none"/>
      </fill>
    </dxf>
    <dxf>
      <font>
        <b/>
        <color rgb="FFFF000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dxf>
    <dxf>
      <font>
        <b/>
        <i val="0"/>
        <color indexed="10"/>
      </font>
    </dxf>
    <dxf>
      <font>
        <b/>
        <i val="0"/>
        <color indexed="10"/>
      </font>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25.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externalLink" Target="externalLinks/externalLink46.xml"/><Relationship Id="rId107" Type="http://schemas.openxmlformats.org/officeDocument/2006/relationships/externalLink" Target="externalLinks/externalLink15.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externalLink" Target="externalLinks/externalLink36.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externalLink" Target="externalLinks/externalLink3.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externalLink" Target="externalLinks/externalLink21.xml"/><Relationship Id="rId118" Type="http://schemas.openxmlformats.org/officeDocument/2006/relationships/externalLink" Target="externalLinks/externalLink26.xml"/><Relationship Id="rId134" Type="http://schemas.openxmlformats.org/officeDocument/2006/relationships/externalLink" Target="externalLinks/externalLink42.xml"/><Relationship Id="rId139" Type="http://schemas.openxmlformats.org/officeDocument/2006/relationships/externalLink" Target="externalLinks/externalLink47.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11.xml"/><Relationship Id="rId108" Type="http://schemas.openxmlformats.org/officeDocument/2006/relationships/externalLink" Target="externalLinks/externalLink16.xml"/><Relationship Id="rId124" Type="http://schemas.openxmlformats.org/officeDocument/2006/relationships/externalLink" Target="externalLinks/externalLink32.xml"/><Relationship Id="rId129" Type="http://schemas.openxmlformats.org/officeDocument/2006/relationships/externalLink" Target="externalLinks/externalLink37.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externalLink" Target="externalLinks/externalLink4.xml"/><Relationship Id="rId140" Type="http://schemas.openxmlformats.org/officeDocument/2006/relationships/externalLink" Target="externalLinks/externalLink48.xml"/><Relationship Id="rId145"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22.xml"/><Relationship Id="rId119" Type="http://schemas.openxmlformats.org/officeDocument/2006/relationships/externalLink" Target="externalLinks/externalLink27.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externalLink" Target="externalLinks/externalLink38.xml"/><Relationship Id="rId135" Type="http://schemas.openxmlformats.org/officeDocument/2006/relationships/externalLink" Target="externalLinks/externalLink43.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17.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externalLink" Target="externalLinks/externalLink5.xml"/><Relationship Id="rId104" Type="http://schemas.openxmlformats.org/officeDocument/2006/relationships/externalLink" Target="externalLinks/externalLink12.xml"/><Relationship Id="rId120" Type="http://schemas.openxmlformats.org/officeDocument/2006/relationships/externalLink" Target="externalLinks/externalLink28.xml"/><Relationship Id="rId125" Type="http://schemas.openxmlformats.org/officeDocument/2006/relationships/externalLink" Target="externalLinks/externalLink33.xml"/><Relationship Id="rId141" Type="http://schemas.openxmlformats.org/officeDocument/2006/relationships/externalLink" Target="externalLinks/externalLink49.xml"/><Relationship Id="rId146"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externalLink" Target="externalLinks/externalLink18.xml"/><Relationship Id="rId115" Type="http://schemas.openxmlformats.org/officeDocument/2006/relationships/externalLink" Target="externalLinks/externalLink23.xml"/><Relationship Id="rId131" Type="http://schemas.openxmlformats.org/officeDocument/2006/relationships/externalLink" Target="externalLinks/externalLink39.xml"/><Relationship Id="rId136" Type="http://schemas.openxmlformats.org/officeDocument/2006/relationships/externalLink" Target="externalLinks/externalLink44.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8.xml"/><Relationship Id="rId105" Type="http://schemas.openxmlformats.org/officeDocument/2006/relationships/externalLink" Target="externalLinks/externalLink13.xml"/><Relationship Id="rId126" Type="http://schemas.openxmlformats.org/officeDocument/2006/relationships/externalLink" Target="externalLinks/externalLink34.xml"/><Relationship Id="rId147"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externalLink" Target="externalLinks/externalLink1.xml"/><Relationship Id="rId98" Type="http://schemas.openxmlformats.org/officeDocument/2006/relationships/externalLink" Target="externalLinks/externalLink6.xml"/><Relationship Id="rId121" Type="http://schemas.openxmlformats.org/officeDocument/2006/relationships/externalLink" Target="externalLinks/externalLink29.xml"/><Relationship Id="rId142" Type="http://schemas.openxmlformats.org/officeDocument/2006/relationships/externalLink" Target="externalLinks/externalLink50.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externalLink" Target="externalLinks/externalLink24.xml"/><Relationship Id="rId137" Type="http://schemas.openxmlformats.org/officeDocument/2006/relationships/externalLink" Target="externalLinks/externalLink45.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externalLink" Target="externalLinks/externalLink19.xml"/><Relationship Id="rId132" Type="http://schemas.openxmlformats.org/officeDocument/2006/relationships/externalLink" Target="externalLinks/externalLink40.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14.xml"/><Relationship Id="rId127" Type="http://schemas.openxmlformats.org/officeDocument/2006/relationships/externalLink" Target="externalLinks/externalLink35.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externalLink" Target="externalLinks/externalLink2.xml"/><Relationship Id="rId99" Type="http://schemas.openxmlformats.org/officeDocument/2006/relationships/externalLink" Target="externalLinks/externalLink7.xml"/><Relationship Id="rId101" Type="http://schemas.openxmlformats.org/officeDocument/2006/relationships/externalLink" Target="externalLinks/externalLink9.xml"/><Relationship Id="rId122" Type="http://schemas.openxmlformats.org/officeDocument/2006/relationships/externalLink" Target="externalLinks/externalLink30.xml"/><Relationship Id="rId143" Type="http://schemas.openxmlformats.org/officeDocument/2006/relationships/externalLink" Target="externalLinks/externalLink51.xml"/><Relationship Id="rId148"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externalLink" Target="externalLinks/externalLink20.xml"/><Relationship Id="rId133" Type="http://schemas.openxmlformats.org/officeDocument/2006/relationships/externalLink" Target="externalLinks/externalLink41.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externalLink" Target="externalLinks/externalLink10.xml"/><Relationship Id="rId123" Type="http://schemas.openxmlformats.org/officeDocument/2006/relationships/externalLink" Target="externalLinks/externalLink31.xml"/><Relationship Id="rId144" Type="http://schemas.openxmlformats.org/officeDocument/2006/relationships/externalLink" Target="externalLinks/externalLink5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JOHOR/compile/SAS%20State/compile/SAS%20State/compile/SAS%20State/Users/nurul.iman/Desktop/buku%20sas/Documents%20and%20Settings/nurdiyana/My%20Documents/BPS%202012/Tab4-1--4.18-ne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21.45.70\Parlimen%202024\JOHOR\compile\SAS%20State\compile\SAS%20State\compile\SAS%20State\Users\nurul.iman\Desktop\buku%20sas\Documents%20and%20Settings\nurdiyana\My%20Documents\BPS%202012\Tab4-1--4.18-new.xls" TargetMode="External"/></Relationships>
</file>

<file path=xl/externalLinks/_rels/externalLink3.xml.rels><?xml version="1.0" encoding="UTF-8" standalone="yes"?>
<Relationships xmlns="http://schemas.openxmlformats.org/package/2006/relationships"><Relationship Id="rId2" Type="http://schemas.microsoft.com/office/2019/04/relationships/externalLinkLongPath" Target="file:///G:\9%20JAnuari%202018\JOHOR%2026.11.2017\FULL%20MALAYSIA-SAS\JOHOR\compile\SAS%20State\compile\SAS%20State\compile\SAS%20State\Users\nurul.iman\Desktop\buku%20sas\Documents%20and%20Settings\nurdiyana\My%20Documents\BPS%202012\Tab4-1--4.18-new.xls?94627D91" TargetMode="External"/><Relationship Id="rId1" Type="http://schemas.openxmlformats.org/officeDocument/2006/relationships/externalLinkPath" Target="file:///\\94627D91\Tab4-1--4.18-new.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d.docs.live.net/A706BAD5/Jad.%205.10-5.11-new.xls" TargetMode="External"/></Relationships>
</file>

<file path=xl/externalLinks/_rels/externalLink5.xml.rels><?xml version="1.0" encoding="UTF-8" standalone="yes"?>
<Relationships xmlns="http://schemas.openxmlformats.org/package/2006/relationships"><Relationship Id="rId2" Type="http://schemas.microsoft.com/office/2019/04/relationships/externalLinkLongPath" Target="file:///\\10.21.45.70\Parlimen%202024\Users\nurdiyana\AppData\Local\Microsoft\Windows\Temporary%20Internet%20Files\Content.Outlook\6TCJTEX0\Documents%20and%20Settings\nurdiyana\My%20Documents\BANK%20DATA%202012\JADUAL-%20PERKHIDMATAN%20KEBAJIKAN\5.2-5.20.xls?3AE38973" TargetMode="External"/><Relationship Id="rId1" Type="http://schemas.openxmlformats.org/officeDocument/2006/relationships/externalLinkPath" Target="file:///\\3AE38973\5.2-5.2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8D4E18AA/Jad.%205.10-5.11-new.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Users\nurdiyana\AppData\Local\Microsoft\Windows\Temporary%20Internet%20Files\Content.Outlook\6TCJTEX0\Documents%20and%20Settings\nurdiyana\My%20Documents\BANK%20DATA%202012\JADUAL%205-KESIHATAN%20(BPS)\4.4-4.18.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0.21.45.70\Parlimen%202024\Documents%20and%20Settings\nurdiyana\My%20Documents\BANK%20DATA%202012\JADUAL%205-KESIHATAN%20(BPS)\4.4-4.18.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d.docs.live.net/Documents%20and%20Settings/nurdiyana/My%20Documents/BANK%20DATA%202012/JADUAL%205-KESIHATAN%20(BPS)/4.4-4.18.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d.docs.live.net/2013/4-5%20kesihatan/Bab%204%20-%20Kesihatan%202013(TAB%204%201-4%2011)%20hantar%20DOSM.xl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RecoveredExternalLink5"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10.21.45.70\Parlimen%202024\2013\4-5%20kesihatan\Bab%204%20-%20Kesihatan%202013(TAB%204%201-4%2011)%20hantar%20DOSM.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d.docs.live.net/94627D91/Tab4-1--4.18-new.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d.docs.live.net/AC87E6DC/Tab4-1--4.18-new.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d.docs.live.net/44DAF542/Tab4-1--4.18-new.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d.docs.live.net/858A0F4E/Tab4-1--4.18-new.xls"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RecoveredExternalLink9"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RecoveredExternalLink7"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d.docs.live.net/D5928CBB/Tab4-1--4.18-new.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d.docs.live.net/Users/nuruljamilah/AppData/Local/Microsoft/Windows/Temporary%20Internet%20Files/Content.Outlook/YMUCZMU8/Documents%20and%20Settings/nurdiyana/My%20Documents/BPS%202012/Tab4-1--4.18-new.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10.21.45.70\Parlimen%202024\Users\nuruljamilah\AppData\Local\Microsoft\Windows\Temporary%20Internet%20Files\Content.Outlook\YMUCZMU8\Documents%20and%20Settings\nurdiyana\My%20Documents\BPS%202012\Tab4-1--4.18-new.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d.docs.live.net/Users/nurul.iman/Desktop/buku%20sas/Mastercopy%20Penerbitan%20KDNK%20Negeri%202015/Mastercopy%20Publication%20KDNK%20Negeri%202010-2014/Table%20Publication%20of%20GDP%202013p_100914.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H:\utk%20email\2013\4-5%20kesihatan\Bab%204%20-%20Kesihatan%202013(TAB%204%201-4%2011)%20hantar%20DOSM.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DAB320F7\Table%20Publication%20of%20GDP%202013p_100914.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d.docs.live.net/A4BE5473/Table%20Publication%20of%20GDP%202013p_100914.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10.21.45.70\Parlimen%202024\Johor\Documents%20and%20Settings\rosnani\Local%20Settings\Temporary%20Internet%20Files\Content.Outlook\NRZDZE5N\Buletin%20Perangkaan%20Sosial,%20Malaysia%202013\Jadual\Jadual\Bab%207-%20Guna%20Tenaga%202013.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E6E60695/Table%20Publication%20of%20GDP%202013p_100914.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DF4AAA00\Table%20Publication%20of%20GDP%202013p_100914.xlsx"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RecoveredExternalLink14"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10.21.45.70\Parlimen%202024\Users\nurul.iman\Desktop\buku%20sas\Mastercopy%20Penerbitan%20KDNK%20Negeri%202015\Mastercopy%20Publication%20KDNK%20Negeri%202010-2014\Table%20Publication%20of%20GDP%202013p_100914.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10.21.45.70\Parlimen%202024\Users\nurdiyana\AppData\Local\Microsoft\Windows\Temporary%20Internet%20Files\Content.Outlook\6TCJTEX0\2013\4-5%20kesihatan\Bab%204%20-%20Kesihatan%202013(TAB%204%201-4%2011)%20hantar%20DOSM.xls"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RecoveredExternalLink11"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10.21.45.70\Parlimen%202024\utk%20email\2013\4-5%20kesihatan\Bab%204%20-%20Kesihatan%202013(TAB%204%201-4%2011)%20hantar%20DOSM.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s://d.docs.live.net/9AE45C1D/Tab4-1--4.18-new.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C:\Johor\Documents%20and%20Settings\rosnani\Local%20Settings\Temporary%20Internet%20Files\Content.Outlook\NRZDZE5N\Buletin%20Perangkaan%20Sosial,%20Malaysia%202013\Jadual\Jadual\Bab%207-%20Guna%20Tenaga%202013.xlsx" TargetMode="External"/></Relationships>
</file>

<file path=xl/externalLinks/_rels/externalLink36.xml.rels><?xml version="1.0" encoding="UTF-8" standalone="yes"?>
<Relationships xmlns="http://schemas.openxmlformats.org/package/2006/relationships"><Relationship Id="rId1" Type="http://schemas.microsoft.com/office/2006/relationships/xlExternalLinkPath/xlPathMissing" Target="RecoveredExternalLink16"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https://d.docs.live.net/5D7FC19C/Malaysia%20HES%202014.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https://d.docs.live.net/BCB005A4/Tab4-1--4.18-new.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C:\9%20JAnuari%202018\JOHOR%2026.11.2017\FULL%20MALAYSIA-SAS\JOHOR\compile\SAS%20State\compile\SAS%20State\compile\SAS%20State\Documents%20and%20Settings\nurdiyana\My%20Documents\BPS%202012\Tab4-1--4.18-new.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https://d.docs.live.net/E56BD6E9/Malaysia%20HES%202014.xlsx"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10.21.45.70\Parlimen%202024\9%20JAnuari%202018\JOHOR%2026.11.2017\FULL%20MALAYSIA-SAS\JOHOR\compile\SAS%20State\compile\SAS%20State\compile\SAS%20State\Documents%20and%20Settings\nurdiyana\My%20Documents\BPS%202012\Tab4-1--4.18-new.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https://d.docs.live.net/5D7FC19C/7.1%20&amp;%207.4_MSIA.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https://d.docs.live.net/Documents%20and%20Settings/jamilah.rahim/Local%20Settings/Temporary%20Internet%20Files/Content.Outlook/J5S9MX0N/7.1%20&amp;%207.4_MSIA.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https://d.docs.live.net/30C2DD45/Malaysia%20HES%202014.xlsx" TargetMode="External"/></Relationships>
</file>

<file path=xl/externalLinks/_rels/externalLink45.xml.rels><?xml version="1.0" encoding="UTF-8" standalone="yes"?>
<Relationships xmlns="http://schemas.openxmlformats.org/package/2006/relationships"><Relationship Id="rId2" Type="http://schemas.microsoft.com/office/2019/04/relationships/externalLinkLongPath" Target="file:///F:\Users\nurdiyana\AppData\Local\Microsoft\Windows\Temporary%20Internet%20Files\Content.Outlook\6TCJTEX0\Documents%20and%20Settings\jamilah.rahim\Local%20Settings\Temporary%20Internet%20Files\Content.Outlook\J5S9MX0N\Malaysia%20HES%202014.xlsx?30C2DD45" TargetMode="External"/><Relationship Id="rId1" Type="http://schemas.openxmlformats.org/officeDocument/2006/relationships/externalLinkPath" Target="file:///\\30C2DD45\Malaysia%20HES%202014.xlsx" TargetMode="External"/></Relationships>
</file>

<file path=xl/externalLinks/_rels/externalLink46.xml.rels><?xml version="1.0" encoding="UTF-8" standalone="yes"?>
<Relationships xmlns="http://schemas.openxmlformats.org/package/2006/relationships"><Relationship Id="rId1" Type="http://schemas.microsoft.com/office/2006/relationships/xlExternalLinkPath/xlPathMissing" Target="RecoveredExternalLink22"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10.21.45.70\Parlimen%202024\Users\ADMINI~1.ICU\AppData\Local\Temp\Rar$DI00.384\Mastercopy%20Penerbitan%20KDNK%20Negeri%202015\Mastercopy%20Publication%20KDNK%20Negeri%202010-2014\Table%20Publication%20of%20GDP%202013p_100914.xlsx"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https://d.docs.live.net/30C2DD45/7.1%20&amp;%207.4_MSIA.xls" TargetMode="External"/></Relationships>
</file>

<file path=xl/externalLinks/_rels/externalLink49.xml.rels><?xml version="1.0" encoding="UTF-8" standalone="yes"?>
<Relationships xmlns="http://schemas.openxmlformats.org/package/2006/relationships"><Relationship Id="rId2" Type="http://schemas.microsoft.com/office/2019/04/relationships/externalLinkLongPath" Target="file:///F:\Users\nurdiyana\AppData\Local\Microsoft\Windows\Temporary%20Internet%20Files\Content.Outlook\6TCJTEX0\Documents%20and%20Settings\jamilah.rahim\Local%20Settings\Temporary%20Internet%20Files\Content.Outlook\J5S9MX0N\7.1%20&amp;%207.4_MSIA.xls?30C2DD45" TargetMode="External"/><Relationship Id="rId1" Type="http://schemas.openxmlformats.org/officeDocument/2006/relationships/externalLinkPath" Target="file:///\\30C2DD45\7.1%20&amp;%207.4_MSIA.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C:\Users\ADMINI~1.ICU\AppData\Local\Temp\Rar$DI00.384\Mastercopy%20Penerbitan%20KDNK%20Negeri%202015\Mastercopy%20Publication%20KDNK%20Negeri%202010-2014\Table%20Publication%20of%20GDP%202013p_100914.xlsx"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C:\Users\norul.aziemah\Desktop\buku%20sas\Users\roziana\AppData\Local\Microsoft\Windows\Temporary%20Internet%20Files\Content.Outlook\OXSTD2JP\Jad.%205.10-5.11-new.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10.21.45.70\Parlimen%202024\Users\norul.aziemah\Desktop\buku%20sas\Users\roziana\AppData\Local\Microsoft\Windows\Temporary%20Internet%20Files\Content.Outlook\OXSTD2JP\Jad.%205.10-5.11-new.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2"/>
      <sheetName val="4.3"/>
      <sheetName val="4.4"/>
      <sheetName val="4.5"/>
      <sheetName val="4.6"/>
      <sheetName val="4.7"/>
      <sheetName val="4.7samb"/>
      <sheetName val="4.9"/>
      <sheetName val="4.10"/>
      <sheetName val="4.11"/>
      <sheetName val="4.12"/>
      <sheetName val="4.13"/>
      <sheetName val="Sheet1"/>
      <sheetName val="VA_CONSTANT"/>
      <sheetName val="ref"/>
      <sheetName val="4.8"/>
      <sheetName val="5.11"/>
      <sheetName val="DataInRow"/>
      <sheetName val="7.6"/>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2"/>
      <sheetName val="4.3"/>
      <sheetName val="4.4"/>
      <sheetName val="4.5"/>
      <sheetName val="4.6"/>
      <sheetName val="4.7"/>
      <sheetName val="4.7samb"/>
      <sheetName val="4.9"/>
      <sheetName val="4.10"/>
      <sheetName val="4.11"/>
      <sheetName val="4.12"/>
      <sheetName val="4.13"/>
      <sheetName val="Sheet1"/>
      <sheetName val="VA_CONSTANT"/>
      <sheetName val="ref"/>
      <sheetName val="4.8"/>
      <sheetName val="DataInRow"/>
      <sheetName val="7.6"/>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2"/>
      <sheetName val="4.3"/>
      <sheetName val="4.4"/>
      <sheetName val="4.5"/>
      <sheetName val="4.6"/>
      <sheetName val="4.7"/>
      <sheetName val="4.7samb"/>
      <sheetName val="4.9"/>
      <sheetName val="4.10"/>
      <sheetName val="4.11"/>
      <sheetName val="4.12"/>
      <sheetName val="4.13"/>
      <sheetName val="Sheet1"/>
      <sheetName val="4.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5.11"/>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5.2A (2)"/>
      <sheetName val="5.2B (2)"/>
      <sheetName val="5.2C (2)"/>
      <sheetName val="5.2D (2)"/>
      <sheetName val="5.5"/>
      <sheetName val="5.7"/>
      <sheetName val="5.8 (2)"/>
      <sheetName val="5.9"/>
      <sheetName val="5.10"/>
      <sheetName val="5.11"/>
      <sheetName val="5.12"/>
      <sheetName val="5.13"/>
      <sheetName val="5.15"/>
      <sheetName val="5.16"/>
      <sheetName val="5.17 "/>
      <sheetName val="5.18"/>
      <sheetName val="5.19"/>
      <sheetName val="5.20"/>
      <sheetName val="5.21"/>
      <sheetName val="5.22"/>
    </sheetNames>
    <sheetDataSet>
      <sheetData sheetId="0" refreshError="1"/>
      <sheetData sheetId="1" refreshError="1"/>
      <sheetData sheetId="2"/>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sheetData sheetId="17"/>
      <sheetData sheetId="18" refreshError="1"/>
      <sheetData sheetId="1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5.11"/>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4 (2)"/>
      <sheetName val="4.3 (2)"/>
      <sheetName val="4.6"/>
      <sheetName val="4.7"/>
      <sheetName val="4.8"/>
      <sheetName val="4.13"/>
      <sheetName val="4.14"/>
      <sheetName val="4.16"/>
      <sheetName val="4.18"/>
      <sheetName val="5.11"/>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4 (2)"/>
      <sheetName val="4.3 (2)"/>
      <sheetName val="4.6"/>
      <sheetName val="4.7"/>
      <sheetName val="4.8"/>
      <sheetName val="4.13"/>
      <sheetName val="4.14"/>
      <sheetName val="4.16"/>
      <sheetName val="4.18"/>
    </sheetNames>
    <sheetDataSet>
      <sheetData sheetId="0"/>
      <sheetData sheetId="1"/>
      <sheetData sheetId="2"/>
      <sheetData sheetId="3"/>
      <sheetData sheetId="4"/>
      <sheetData sheetId="5"/>
      <sheetData sheetId="6"/>
      <sheetData sheetId="7"/>
      <sheetData sheetId="8"/>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4 (2)"/>
      <sheetName val="4.3 (2)"/>
      <sheetName val="4.6"/>
      <sheetName val="4.7"/>
      <sheetName val="4.8"/>
      <sheetName val="4.13"/>
      <sheetName val="4.14"/>
      <sheetName val="4.16"/>
      <sheetName val="4.18"/>
    </sheetNames>
    <sheetDataSet>
      <sheetData sheetId="0"/>
      <sheetData sheetId="1"/>
      <sheetData sheetId="2"/>
      <sheetData sheetId="3"/>
      <sheetData sheetId="4"/>
      <sheetData sheetId="5"/>
      <sheetData sheetId="6"/>
      <sheetData sheetId="7"/>
      <sheetData sheetId="8"/>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3"/>
      <sheetName val="4.4"/>
      <sheetName val="4.5"/>
      <sheetName val="4.6"/>
      <sheetName val="4.7"/>
      <sheetName val="4.7 samb"/>
      <sheetName val="4.8"/>
      <sheetName val="4.10"/>
      <sheetName val="4.9"/>
      <sheetName val="4.13"/>
      <sheetName val="VA_CONSTANT"/>
      <sheetName val="ref"/>
      <sheetName val="5.11"/>
      <sheetName val="bysector"/>
      <sheetName val="JAD_A5"/>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3"/>
      <sheetName val="4.4"/>
      <sheetName val="4.5"/>
      <sheetName val="4.6"/>
      <sheetName val="4.7"/>
      <sheetName val="4.7 samb"/>
      <sheetName val="4.8"/>
      <sheetName val="4.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3"/>
      <sheetName val="4.4"/>
      <sheetName val="4.5"/>
      <sheetName val="4.6"/>
      <sheetName val="4.7"/>
      <sheetName val="4.7 samb"/>
      <sheetName val="4.8"/>
      <sheetName val="4.10"/>
      <sheetName val="4.9"/>
      <sheetName val="4.13"/>
      <sheetName val="VA_CONSTANT"/>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3"/>
      <sheetName val="4.9"/>
    </sheetNames>
    <sheetDataSet>
      <sheetData sheetId="0" refreshError="1"/>
      <sheetData sheetId="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3"/>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9"/>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2"/>
      <sheetName val="4.3"/>
      <sheetName val="4.4"/>
      <sheetName val="4.5"/>
      <sheetName val="4.6"/>
      <sheetName val="4.7"/>
      <sheetName val="4.7samb"/>
      <sheetName val="4.9"/>
      <sheetName val="4.10"/>
      <sheetName val="4.11"/>
      <sheetName val="4.12"/>
      <sheetName val="4.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2"/>
      <sheetName val="4.3"/>
      <sheetName val="4.4"/>
      <sheetName val="4.5"/>
      <sheetName val="4.6"/>
      <sheetName val="4.7"/>
      <sheetName val="4.7samb"/>
      <sheetName val="4.9"/>
      <sheetName val="4.10"/>
      <sheetName val="4.11"/>
      <sheetName val="4.12"/>
      <sheetName val="4.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2"/>
      <sheetName val="4.3"/>
      <sheetName val="4.4"/>
      <sheetName val="4.5"/>
      <sheetName val="4.6"/>
      <sheetName val="4.7"/>
      <sheetName val="4.7samb"/>
      <sheetName val="4.9"/>
      <sheetName val="4.10"/>
      <sheetName val="4.11"/>
      <sheetName val="4.12"/>
      <sheetName val="4.13"/>
      <sheetName val="Sheet1"/>
      <sheetName val="STATE FINAL"/>
      <sheetName val="Perl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9"/>
      <sheetName val="4.3"/>
    </sheetNames>
    <sheetDataSet>
      <sheetData sheetId="0" refreshError="1"/>
      <sheetData sheetId="1"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2"/>
      <sheetName val="4.3"/>
      <sheetName val="4.4"/>
      <sheetName val="4.5"/>
      <sheetName val="4.6"/>
      <sheetName val="4.7"/>
      <sheetName val="4.7samb"/>
      <sheetName val="4.9"/>
      <sheetName val="4.10"/>
      <sheetName val="4.11"/>
      <sheetName val="4.12"/>
      <sheetName val="4.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2"/>
      <sheetName val="4.3"/>
      <sheetName val="4.4"/>
      <sheetName val="4.5"/>
      <sheetName val="4.6"/>
      <sheetName val="4.7"/>
      <sheetName val="4.7samb"/>
      <sheetName val="4.9"/>
      <sheetName val="4.10"/>
      <sheetName val="4.11"/>
      <sheetName val="4.12"/>
      <sheetName val="4.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VA-curr"/>
      <sheetName val="VA-cons"/>
      <sheetName val="VA_CONSTANT"/>
      <sheetName val="ref"/>
      <sheetName val="Tbl1_Msia"/>
      <sheetName val="Tbl3_05"/>
      <sheetName val="Tbl5_06"/>
      <sheetName val="Tbl7_06"/>
      <sheetName val="Tbl8_07"/>
      <sheetName val="Tbl10_07"/>
      <sheetName val="Tbl11_08"/>
      <sheetName val="Tbl13_08"/>
      <sheetName val="Tbl14_09"/>
      <sheetName val="Tbl16_09"/>
      <sheetName val="Tbl17_10"/>
      <sheetName val="Tbl19_10"/>
      <sheetName val="Tbl20_11"/>
      <sheetName val="Tbl22_11"/>
      <sheetName val="Tbl23_12"/>
      <sheetName val="Tbl25_12"/>
      <sheetName val="Tbl26_13"/>
      <sheetName val="Tbl28_13"/>
      <sheetName val="Tbl29_Curr&amp;perCapita"/>
      <sheetName val="JHR"/>
      <sheetName val="KDH"/>
      <sheetName val="KLTN"/>
      <sheetName val="MLK"/>
      <sheetName val="N9"/>
      <sheetName val="PHG"/>
      <sheetName val="PP"/>
      <sheetName val="PRK"/>
      <sheetName val="PRLS"/>
      <sheetName val="SLGR"/>
      <sheetName val="TRGN"/>
      <sheetName val="SBH"/>
      <sheetName val="SRWK"/>
      <sheetName val="WPKL"/>
      <sheetName val="WPL"/>
      <sheetName val="Sheet2"/>
      <sheetName val="Sheet3"/>
      <sheetName val="Sheet6"/>
      <sheetName val="Sheet4"/>
      <sheetName val="Sheet4 (2)"/>
      <sheetName val="Sheet5"/>
      <sheetName val="Sheet7"/>
      <sheetName val="7.6"/>
      <sheetName val="4.9"/>
      <sheetName val="4.8"/>
    </sheetNames>
    <sheetDataSet>
      <sheetData sheetId="0">
        <row r="1">
          <cell r="C1" t="str">
            <v>agri</v>
          </cell>
        </row>
      </sheetData>
      <sheetData sheetId="1">
        <row r="1">
          <cell r="C1" t="str">
            <v>agri</v>
          </cell>
        </row>
      </sheetData>
      <sheetData sheetId="2">
        <row r="3">
          <cell r="B3" t="str">
            <v>row</v>
          </cell>
        </row>
      </sheetData>
      <sheetData sheetId="3">
        <row r="1">
          <cell r="C1" t="str">
            <v>agri</v>
          </cell>
        </row>
      </sheetData>
      <sheetData sheetId="4">
        <row r="3">
          <cell r="B3" t="str">
            <v>row</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3"/>
      <sheetName val="4.4"/>
      <sheetName val="4.5"/>
      <sheetName val="4.6"/>
      <sheetName val="4.7"/>
      <sheetName val="4.7 samb"/>
      <sheetName val="4.8"/>
      <sheetName val="4.10"/>
      <sheetName val="5.11"/>
      <sheetName val="4.9"/>
      <sheetName val="7.6"/>
      <sheetName val="VA_CONSTANT"/>
      <sheetName val="ref"/>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VA-curr"/>
      <sheetName val="VA-cons"/>
      <sheetName val="VA_CONSTANT"/>
      <sheetName val="ref"/>
      <sheetName val="Tbl1_Msia"/>
      <sheetName val="Tbl3_05"/>
      <sheetName val="Tbl5_06"/>
      <sheetName val="Tbl7_06"/>
      <sheetName val="Tbl8_07"/>
      <sheetName val="Tbl10_07"/>
      <sheetName val="Tbl11_08"/>
      <sheetName val="Tbl13_08"/>
      <sheetName val="Tbl14_09"/>
      <sheetName val="Tbl16_09"/>
      <sheetName val="Tbl17_10"/>
      <sheetName val="Tbl19_10"/>
      <sheetName val="Tbl20_11"/>
      <sheetName val="Tbl22_11"/>
      <sheetName val="Tbl23_12"/>
      <sheetName val="Tbl25_12"/>
      <sheetName val="Tbl26_13"/>
      <sheetName val="Tbl28_13"/>
      <sheetName val="Tbl29_Curr&amp;perCapita"/>
      <sheetName val="JHR"/>
      <sheetName val="KDH"/>
      <sheetName val="KLTN"/>
      <sheetName val="MLK"/>
      <sheetName val="N9"/>
      <sheetName val="PHG"/>
      <sheetName val="PP"/>
      <sheetName val="PRK"/>
      <sheetName val="PRLS"/>
      <sheetName val="SLGR"/>
      <sheetName val="TRGN"/>
      <sheetName val="SBH"/>
      <sheetName val="SRWK"/>
      <sheetName val="WPKL"/>
      <sheetName val="WPL"/>
      <sheetName val="Sheet2"/>
      <sheetName val="Sheet3"/>
      <sheetName val="Sheet6"/>
      <sheetName val="Sheet4"/>
      <sheetName val="Sheet4 (2)"/>
      <sheetName val="Sheet5"/>
      <sheetName val="Sheet7"/>
      <sheetName val="7.6"/>
      <sheetName val="4.8"/>
      <sheetName val="4.9"/>
      <sheetName val="4.3"/>
    </sheetNames>
    <sheetDataSet>
      <sheetData sheetId="0"/>
      <sheetData sheetId="1"/>
      <sheetData sheetId="2"/>
      <sheetData sheetId="3">
        <row r="1">
          <cell r="C1" t="str">
            <v>agri</v>
          </cell>
          <cell r="D1" t="str">
            <v>a1</v>
          </cell>
          <cell r="E1" t="str">
            <v>a2</v>
          </cell>
          <cell r="F1" t="str">
            <v>a3</v>
          </cell>
          <cell r="I1" t="str">
            <v>mq</v>
          </cell>
          <cell r="J1" t="str">
            <v>mfg</v>
          </cell>
          <cell r="R1" t="str">
            <v>c</v>
          </cell>
          <cell r="S1" t="str">
            <v>svs</v>
          </cell>
          <cell r="T1" t="str">
            <v>s1</v>
          </cell>
          <cell r="U1" t="str">
            <v>s2</v>
          </cell>
          <cell r="V1" t="str">
            <v>s3</v>
          </cell>
          <cell r="W1" t="str">
            <v>s4</v>
          </cell>
          <cell r="X1" t="str">
            <v>s5</v>
          </cell>
          <cell r="Y1" t="str">
            <v>di</v>
          </cell>
        </row>
        <row r="2">
          <cell r="A2" t="str">
            <v>CONSTANT</v>
          </cell>
          <cell r="B2" t="str">
            <v>Industry</v>
          </cell>
          <cell r="D2">
            <v>1</v>
          </cell>
          <cell r="E2">
            <v>2</v>
          </cell>
          <cell r="F2">
            <v>3</v>
          </cell>
          <cell r="I2">
            <v>4</v>
          </cell>
          <cell r="K2">
            <v>6</v>
          </cell>
          <cell r="L2">
            <v>7</v>
          </cell>
          <cell r="M2">
            <v>8</v>
          </cell>
          <cell r="N2">
            <v>9</v>
          </cell>
          <cell r="O2">
            <v>10</v>
          </cell>
          <cell r="P2">
            <v>11</v>
          </cell>
          <cell r="Q2">
            <v>12</v>
          </cell>
          <cell r="R2">
            <v>5</v>
          </cell>
          <cell r="T2">
            <v>13</v>
          </cell>
          <cell r="U2">
            <v>14</v>
          </cell>
          <cell r="V2">
            <v>15</v>
          </cell>
          <cell r="W2">
            <v>16</v>
          </cell>
        </row>
        <row r="3">
          <cell r="A3">
            <v>2005</v>
          </cell>
          <cell r="B3" t="str">
            <v>I</v>
          </cell>
          <cell r="C3" t="str">
            <v>Agriculture</v>
          </cell>
          <cell r="D3" t="str">
            <v>Tanaman</v>
          </cell>
          <cell r="E3" t="str">
            <v>Pembalakan</v>
          </cell>
          <cell r="F3" t="str">
            <v>Perikanan</v>
          </cell>
          <cell r="I3" t="str">
            <v>Mining andQuarrying</v>
          </cell>
          <cell r="J3" t="str">
            <v>Manufacturing</v>
          </cell>
          <cell r="K3" t="str">
            <v>Prosesan Makanan, Minuman dan Produk Tembakau</v>
          </cell>
          <cell r="L3" t="str">
            <v>Tekstil, Pakaian, Kulit dan Kasut</v>
          </cell>
          <cell r="M3" t="str">
            <v>Keluaran Kayu, Perabot, Produk Kertas, Percetakan dan Penerbitan</v>
          </cell>
          <cell r="N3" t="str">
            <v>Produk Petroleum, Bahan kimia, Getah dan Plastik</v>
          </cell>
          <cell r="O3" t="str">
            <v>Produk Mineral Bukan Logam, Logam Asli dan Produk Logam Yang Direka</v>
          </cell>
          <cell r="P3" t="str">
            <v>Elektrik dan Elektronik</v>
          </cell>
          <cell r="Q3" t="str">
            <v>Kelengkapan Pengangkutan dan Pembuatan Lain</v>
          </cell>
          <cell r="R3" t="str">
            <v>Construction</v>
          </cell>
          <cell r="S3" t="str">
            <v>Services</v>
          </cell>
          <cell r="T3" t="str">
            <v>Utiliti, Transport &amp; Communication</v>
          </cell>
          <cell r="U3" t="str">
            <v>WRT, Accomm &amp; Restaurant</v>
          </cell>
          <cell r="V3" t="str">
            <v>Finance &amp; Insurance, Real Estate &amp; Business Services</v>
          </cell>
          <cell r="W3" t="str">
            <v>Other Services</v>
          </cell>
          <cell r="X3" t="str">
            <v>Government Services</v>
          </cell>
          <cell r="Y3" t="str">
            <v>Plus :Import Duties</v>
          </cell>
          <cell r="Z3" t="str">
            <v>GDP atPurchasers' Prices</v>
          </cell>
        </row>
        <row r="4">
          <cell r="A4" t="str">
            <v>States</v>
          </cell>
          <cell r="B4" t="str">
            <v>Converter</v>
          </cell>
        </row>
        <row r="5">
          <cell r="A5" t="str">
            <v>Johor</v>
          </cell>
          <cell r="B5" t="str">
            <v>01</v>
          </cell>
          <cell r="C5">
            <v>6188.6869740789298</v>
          </cell>
          <cell r="D5">
            <v>5669.7259013497996</v>
          </cell>
          <cell r="E5">
            <v>45.404660919470203</v>
          </cell>
          <cell r="F5">
            <v>473.55641180965398</v>
          </cell>
          <cell r="I5">
            <v>50.620516345188399</v>
          </cell>
          <cell r="J5">
            <v>19313.560805921999</v>
          </cell>
          <cell r="K5">
            <v>1888.2624376276301</v>
          </cell>
          <cell r="L5">
            <v>1149.0903681325999</v>
          </cell>
          <cell r="M5">
            <v>1714.3932465764999</v>
          </cell>
          <cell r="N5">
            <v>2991.2672766727201</v>
          </cell>
          <cell r="O5">
            <v>2006.31809600568</v>
          </cell>
          <cell r="P5">
            <v>8059.1865180237201</v>
          </cell>
          <cell r="Q5">
            <v>1505.0428628831401</v>
          </cell>
          <cell r="R5">
            <v>1670.54664818574</v>
          </cell>
          <cell r="S5">
            <v>22105.495280909901</v>
          </cell>
          <cell r="T5">
            <v>5121.6287950521801</v>
          </cell>
          <cell r="U5">
            <v>4738.8112307610199</v>
          </cell>
          <cell r="V5">
            <v>6491.4735762118498</v>
          </cell>
          <cell r="W5">
            <v>2496.7540465810398</v>
          </cell>
          <cell r="X5">
            <v>3256.8276323038199</v>
          </cell>
          <cell r="Y5">
            <v>728.65346871345605</v>
          </cell>
          <cell r="Z5">
            <v>50057.5636941552</v>
          </cell>
        </row>
        <row r="6">
          <cell r="A6" t="str">
            <v>Kedah</v>
          </cell>
          <cell r="B6" t="str">
            <v>02</v>
          </cell>
          <cell r="C6">
            <v>2205.86141292909</v>
          </cell>
          <cell r="D6">
            <v>1914.1195857136699</v>
          </cell>
          <cell r="E6">
            <v>48.185576857368801</v>
          </cell>
          <cell r="F6">
            <v>243.55625035804999</v>
          </cell>
          <cell r="I6">
            <v>16.798627679947501</v>
          </cell>
          <cell r="J6">
            <v>6439.0935720568305</v>
          </cell>
          <cell r="K6">
            <v>281.20731449561799</v>
          </cell>
          <cell r="L6">
            <v>96.930988138971202</v>
          </cell>
          <cell r="M6">
            <v>440.53144658206003</v>
          </cell>
          <cell r="N6">
            <v>1243.63644861429</v>
          </cell>
          <cell r="O6">
            <v>1069.4520876377201</v>
          </cell>
          <cell r="P6">
            <v>2468.58309146803</v>
          </cell>
          <cell r="Q6">
            <v>838.75219512014905</v>
          </cell>
          <cell r="R6">
            <v>479.920265520209</v>
          </cell>
          <cell r="S6">
            <v>8577.0303768635804</v>
          </cell>
          <cell r="T6">
            <v>1286.23198685443</v>
          </cell>
          <cell r="U6">
            <v>2023.71962814313</v>
          </cell>
          <cell r="V6">
            <v>1562.0316095077601</v>
          </cell>
          <cell r="W6">
            <v>1614.1054910212999</v>
          </cell>
          <cell r="X6">
            <v>2090.9416613369599</v>
          </cell>
          <cell r="Y6">
            <v>109.9703374261</v>
          </cell>
          <cell r="Z6">
            <v>17828.6745924758</v>
          </cell>
        </row>
        <row r="7">
          <cell r="A7" t="str">
            <v>Kelantan</v>
          </cell>
          <cell r="B7" t="str">
            <v>03</v>
          </cell>
          <cell r="C7">
            <v>2344.5991933385599</v>
          </cell>
          <cell r="D7">
            <v>1883.75251168818</v>
          </cell>
          <cell r="E7">
            <v>292.99724383027001</v>
          </cell>
          <cell r="F7">
            <v>167.84943782010399</v>
          </cell>
          <cell r="I7">
            <v>16.786386316163199</v>
          </cell>
          <cell r="J7">
            <v>546.021104581906</v>
          </cell>
          <cell r="K7">
            <v>133.716111525911</v>
          </cell>
          <cell r="L7">
            <v>82.117642096891799</v>
          </cell>
          <cell r="M7">
            <v>99.548580440402105</v>
          </cell>
          <cell r="N7">
            <v>77.427332457531506</v>
          </cell>
          <cell r="O7">
            <v>34.503208304897598</v>
          </cell>
          <cell r="P7">
            <v>114.890064756613</v>
          </cell>
          <cell r="Q7">
            <v>3.8181649996589799</v>
          </cell>
          <cell r="R7">
            <v>177.04286407597399</v>
          </cell>
          <cell r="S7">
            <v>5935.6247485070598</v>
          </cell>
          <cell r="T7">
            <v>723.53971458984802</v>
          </cell>
          <cell r="U7">
            <v>1624.3435341894599</v>
          </cell>
          <cell r="V7">
            <v>647.72293706302503</v>
          </cell>
          <cell r="W7">
            <v>1141.9703719863901</v>
          </cell>
          <cell r="X7">
            <v>1798.04819067834</v>
          </cell>
          <cell r="Y7">
            <v>11.1525705205711</v>
          </cell>
          <cell r="Z7">
            <v>9031.2268673402305</v>
          </cell>
        </row>
        <row r="8">
          <cell r="A8" t="str">
            <v>Melaka</v>
          </cell>
          <cell r="B8" t="str">
            <v>04</v>
          </cell>
          <cell r="C8">
            <v>813.34341062993201</v>
          </cell>
          <cell r="D8">
            <v>799.24648329818001</v>
          </cell>
          <cell r="E8">
            <v>4.0672606939171997E-2</v>
          </cell>
          <cell r="F8">
            <v>14.0562547248129</v>
          </cell>
          <cell r="I8">
            <v>7.9443777633508503</v>
          </cell>
          <cell r="J8">
            <v>7593.5701683297902</v>
          </cell>
          <cell r="K8">
            <v>229.645071173025</v>
          </cell>
          <cell r="L8">
            <v>98.459729658165202</v>
          </cell>
          <cell r="M8">
            <v>411.14213293316999</v>
          </cell>
          <cell r="N8">
            <v>2862.92900939939</v>
          </cell>
          <cell r="O8">
            <v>611.91226312907202</v>
          </cell>
          <cell r="P8">
            <v>2167.05771523879</v>
          </cell>
          <cell r="Q8">
            <v>1212.4242467981801</v>
          </cell>
          <cell r="R8">
            <v>340.14170407848502</v>
          </cell>
          <cell r="S8">
            <v>6281.4052104497096</v>
          </cell>
          <cell r="T8">
            <v>1256.6868027578</v>
          </cell>
          <cell r="U8">
            <v>1861.2386838883499</v>
          </cell>
          <cell r="V8">
            <v>1276.8413914809501</v>
          </cell>
          <cell r="W8">
            <v>959.94229629765505</v>
          </cell>
          <cell r="X8">
            <v>926.69603602494703</v>
          </cell>
          <cell r="Y8">
            <v>12.647305123930799</v>
          </cell>
          <cell r="Z8">
            <v>15049.0521763752</v>
          </cell>
        </row>
        <row r="9">
          <cell r="A9" t="str">
            <v>Negeri Sembilan</v>
          </cell>
          <cell r="B9" t="str">
            <v>05</v>
          </cell>
          <cell r="C9">
            <v>1638.4824392743301</v>
          </cell>
          <cell r="D9">
            <v>1577.11907276651</v>
          </cell>
          <cell r="E9">
            <v>36.968810853014197</v>
          </cell>
          <cell r="F9">
            <v>24.394555654808499</v>
          </cell>
          <cell r="I9">
            <v>17.8073562157117</v>
          </cell>
          <cell r="J9">
            <v>10528.084675726601</v>
          </cell>
          <cell r="K9">
            <v>1056.1793738148799</v>
          </cell>
          <cell r="L9">
            <v>396.31895420225999</v>
          </cell>
          <cell r="M9">
            <v>371.14684069650701</v>
          </cell>
          <cell r="N9">
            <v>2262.04761504506</v>
          </cell>
          <cell r="O9">
            <v>723.17558514235202</v>
          </cell>
          <cell r="P9">
            <v>4681.3968444028596</v>
          </cell>
          <cell r="Q9">
            <v>1037.8194624227001</v>
          </cell>
          <cell r="R9">
            <v>411.71665288432098</v>
          </cell>
          <cell r="S9">
            <v>7045.2758865559599</v>
          </cell>
          <cell r="T9">
            <v>1564.2072475928301</v>
          </cell>
          <cell r="U9">
            <v>1685.5216305358299</v>
          </cell>
          <cell r="V9">
            <v>1465.2132277160799</v>
          </cell>
          <cell r="W9">
            <v>1045.59591398047</v>
          </cell>
          <cell r="X9">
            <v>1284.7378667307601</v>
          </cell>
          <cell r="Y9">
            <v>94.643394910766901</v>
          </cell>
          <cell r="Z9">
            <v>19736.0104055677</v>
          </cell>
        </row>
        <row r="10">
          <cell r="A10" t="str">
            <v>Pahang</v>
          </cell>
          <cell r="B10" t="str">
            <v>06</v>
          </cell>
          <cell r="C10">
            <v>5408.1524182366702</v>
          </cell>
          <cell r="D10">
            <v>4247.9775913840704</v>
          </cell>
          <cell r="E10">
            <v>700.02655418262998</v>
          </cell>
          <cell r="F10">
            <v>460.14827266996701</v>
          </cell>
          <cell r="I10">
            <v>100.97265852557599</v>
          </cell>
          <cell r="J10">
            <v>6422.5911004641202</v>
          </cell>
          <cell r="K10">
            <v>496.46787956383002</v>
          </cell>
          <cell r="L10">
            <v>17.898124393975099</v>
          </cell>
          <cell r="M10">
            <v>571.63532464968898</v>
          </cell>
          <cell r="N10">
            <v>3138.7165912176501</v>
          </cell>
          <cell r="O10">
            <v>579.36037098090799</v>
          </cell>
          <cell r="P10">
            <v>155.79759004910699</v>
          </cell>
          <cell r="Q10">
            <v>1462.7152196089601</v>
          </cell>
          <cell r="R10">
            <v>575.26311602041301</v>
          </cell>
          <cell r="S10">
            <v>10514.660589892301</v>
          </cell>
          <cell r="T10">
            <v>1182.4679888487699</v>
          </cell>
          <cell r="U10">
            <v>3212.7132296569698</v>
          </cell>
          <cell r="V10">
            <v>1370.6219651210999</v>
          </cell>
          <cell r="W10">
            <v>2811.54899205008</v>
          </cell>
          <cell r="X10">
            <v>1937.30841421541</v>
          </cell>
          <cell r="Y10">
            <v>39.701491019977198</v>
          </cell>
          <cell r="Z10">
            <v>23061.341374159099</v>
          </cell>
        </row>
        <row r="11">
          <cell r="A11" t="str">
            <v>Pulau Pinang</v>
          </cell>
          <cell r="B11" t="str">
            <v>07</v>
          </cell>
          <cell r="C11">
            <v>633.88290365591899</v>
          </cell>
          <cell r="D11">
            <v>486.018817116371</v>
          </cell>
          <cell r="E11">
            <v>0</v>
          </cell>
          <cell r="F11">
            <v>147.86408653954899</v>
          </cell>
          <cell r="I11">
            <v>17.481763989479099</v>
          </cell>
          <cell r="J11">
            <v>21249.074678795201</v>
          </cell>
          <cell r="K11">
            <v>593.55731447201003</v>
          </cell>
          <cell r="L11">
            <v>586.91874447794896</v>
          </cell>
          <cell r="M11">
            <v>620.24819278525695</v>
          </cell>
          <cell r="N11">
            <v>1660.50973175387</v>
          </cell>
          <cell r="O11">
            <v>1319.6283323750499</v>
          </cell>
          <cell r="P11">
            <v>15385.732970271099</v>
          </cell>
          <cell r="Q11">
            <v>1082.4793926599</v>
          </cell>
          <cell r="R11">
            <v>844.03512199132797</v>
          </cell>
          <cell r="S11">
            <v>16137.5740257668</v>
          </cell>
          <cell r="T11">
            <v>3422.52377358782</v>
          </cell>
          <cell r="U11">
            <v>4377.50240669906</v>
          </cell>
          <cell r="V11">
            <v>4705.9583963055902</v>
          </cell>
          <cell r="W11">
            <v>1743.76443271893</v>
          </cell>
          <cell r="X11">
            <v>1887.8250164554099</v>
          </cell>
          <cell r="Y11">
            <v>303.93796150801199</v>
          </cell>
          <cell r="Z11">
            <v>39185.986455706698</v>
          </cell>
        </row>
        <row r="12">
          <cell r="A12" t="str">
            <v>Perak</v>
          </cell>
          <cell r="B12" t="str">
            <v>08</v>
          </cell>
          <cell r="C12">
            <v>4685.9803496023796</v>
          </cell>
          <cell r="D12">
            <v>3298.0502540899201</v>
          </cell>
          <cell r="E12">
            <v>406.45567201757098</v>
          </cell>
          <cell r="F12">
            <v>981.47442349488597</v>
          </cell>
          <cell r="I12">
            <v>91.091266776845004</v>
          </cell>
          <cell r="J12">
            <v>5548.31659775966</v>
          </cell>
          <cell r="K12">
            <v>765.12245350003798</v>
          </cell>
          <cell r="L12">
            <v>265.726435190225</v>
          </cell>
          <cell r="M12">
            <v>338.617127108055</v>
          </cell>
          <cell r="N12">
            <v>1389.44580012133</v>
          </cell>
          <cell r="O12">
            <v>1099.7346644869101</v>
          </cell>
          <cell r="P12">
            <v>1503.72828676476</v>
          </cell>
          <cell r="Q12">
            <v>185.94183058834599</v>
          </cell>
          <cell r="R12">
            <v>703.66473522178899</v>
          </cell>
          <cell r="S12">
            <v>16636.6462646972</v>
          </cell>
          <cell r="T12">
            <v>5265.6380011209203</v>
          </cell>
          <cell r="U12">
            <v>3383.9586427775098</v>
          </cell>
          <cell r="V12">
            <v>2990.64760046632</v>
          </cell>
          <cell r="W12">
            <v>2275.7173696558698</v>
          </cell>
          <cell r="X12">
            <v>2720.6846506766201</v>
          </cell>
          <cell r="Y12">
            <v>67.206208322212206</v>
          </cell>
          <cell r="Z12">
            <v>27732.905422380099</v>
          </cell>
        </row>
        <row r="13">
          <cell r="A13" t="str">
            <v>Perlis</v>
          </cell>
          <cell r="B13" t="str">
            <v>09</v>
          </cell>
          <cell r="C13">
            <v>725.89663866670503</v>
          </cell>
          <cell r="D13">
            <v>278.91880025355698</v>
          </cell>
          <cell r="E13">
            <v>0</v>
          </cell>
          <cell r="F13">
            <v>446.97783841314799</v>
          </cell>
          <cell r="I13">
            <v>6.9470361339644002</v>
          </cell>
          <cell r="J13">
            <v>351.52005627757399</v>
          </cell>
          <cell r="K13">
            <v>44.269024490114496</v>
          </cell>
          <cell r="L13">
            <v>60.578535001281097</v>
          </cell>
          <cell r="M13">
            <v>6.5541373030035297</v>
          </cell>
          <cell r="N13">
            <v>168.24860846190299</v>
          </cell>
          <cell r="O13">
            <v>70.705771288334802</v>
          </cell>
          <cell r="P13">
            <v>0.92189678059466695</v>
          </cell>
          <cell r="Q13">
            <v>0.24208295234268001</v>
          </cell>
          <cell r="R13">
            <v>103.337365275102</v>
          </cell>
          <cell r="S13">
            <v>1525.83336834177</v>
          </cell>
          <cell r="T13">
            <v>546.75645965767706</v>
          </cell>
          <cell r="U13">
            <v>180.331110330911</v>
          </cell>
          <cell r="V13">
            <v>185.90757136182501</v>
          </cell>
          <cell r="W13">
            <v>220.28500223045799</v>
          </cell>
          <cell r="X13">
            <v>392.55322476089799</v>
          </cell>
          <cell r="Y13">
            <v>131.38239279555199</v>
          </cell>
          <cell r="Z13">
            <v>2844.9168574906698</v>
          </cell>
        </row>
        <row r="14">
          <cell r="A14" t="str">
            <v>Selangor</v>
          </cell>
          <cell r="B14">
            <v>10</v>
          </cell>
          <cell r="C14">
            <v>1700.94850627546</v>
          </cell>
          <cell r="D14">
            <v>1249.83756190091</v>
          </cell>
          <cell r="E14">
            <v>16.9925384062762</v>
          </cell>
          <cell r="F14">
            <v>434.11840596827602</v>
          </cell>
          <cell r="I14">
            <v>110.675543265549</v>
          </cell>
          <cell r="J14">
            <v>41647.757199532098</v>
          </cell>
          <cell r="K14">
            <v>5731.0679308809504</v>
          </cell>
          <cell r="L14">
            <v>380.54330017951997</v>
          </cell>
          <cell r="M14">
            <v>2421.2223443857401</v>
          </cell>
          <cell r="N14">
            <v>4938.7307381500304</v>
          </cell>
          <cell r="O14">
            <v>4365.0052055072902</v>
          </cell>
          <cell r="P14">
            <v>12415.9563022166</v>
          </cell>
          <cell r="Q14">
            <v>11395.231378212</v>
          </cell>
          <cell r="R14">
            <v>5046.5629932728398</v>
          </cell>
          <cell r="S14">
            <v>60916.670571898598</v>
          </cell>
          <cell r="T14">
            <v>16201.6721678055</v>
          </cell>
          <cell r="U14">
            <v>20229.6977731402</v>
          </cell>
          <cell r="V14">
            <v>14073.437855992701</v>
          </cell>
          <cell r="W14">
            <v>5684.9188574445898</v>
          </cell>
          <cell r="X14">
            <v>4726.9439175156504</v>
          </cell>
          <cell r="Y14">
            <v>3762.1254486965399</v>
          </cell>
          <cell r="Z14">
            <v>113184.74026294101</v>
          </cell>
        </row>
        <row r="15">
          <cell r="A15" t="str">
            <v>Terengganu</v>
          </cell>
          <cell r="B15">
            <v>11</v>
          </cell>
          <cell r="C15">
            <v>1565.5290648018599</v>
          </cell>
          <cell r="D15">
            <v>1073.6706009096399</v>
          </cell>
          <cell r="E15">
            <v>153.17327892166099</v>
          </cell>
          <cell r="F15">
            <v>338.68518497056101</v>
          </cell>
          <cell r="I15">
            <v>10.4755656271611</v>
          </cell>
          <cell r="J15">
            <v>6476.2641170741999</v>
          </cell>
          <cell r="K15">
            <v>97.305363964005096</v>
          </cell>
          <cell r="L15">
            <v>27.908073639538699</v>
          </cell>
          <cell r="M15">
            <v>145.959550427875</v>
          </cell>
          <cell r="N15">
            <v>5737.3221183033302</v>
          </cell>
          <cell r="O15">
            <v>399.11324204521202</v>
          </cell>
          <cell r="P15">
            <v>5.0954298774075903</v>
          </cell>
          <cell r="Q15">
            <v>63.560338816834197</v>
          </cell>
          <cell r="R15">
            <v>413.540567422283</v>
          </cell>
          <cell r="S15">
            <v>7087.1959635036601</v>
          </cell>
          <cell r="T15">
            <v>2938.6086555571401</v>
          </cell>
          <cell r="U15">
            <v>1189.81752500624</v>
          </cell>
          <cell r="V15">
            <v>544.83815395728197</v>
          </cell>
          <cell r="W15">
            <v>762.75474874239501</v>
          </cell>
          <cell r="X15">
            <v>1651.1768802406</v>
          </cell>
          <cell r="Y15">
            <v>9.2395649206271493</v>
          </cell>
          <cell r="Z15">
            <v>15562.244843349799</v>
          </cell>
        </row>
        <row r="16">
          <cell r="A16" t="str">
            <v>Sabah</v>
          </cell>
          <cell r="B16">
            <v>12</v>
          </cell>
          <cell r="C16">
            <v>9647.3803529176894</v>
          </cell>
          <cell r="D16">
            <v>6318.3875139191196</v>
          </cell>
          <cell r="E16">
            <v>2265.7688590278499</v>
          </cell>
          <cell r="F16">
            <v>1063.2239799707199</v>
          </cell>
          <cell r="I16">
            <v>5132.6603951794996</v>
          </cell>
          <cell r="J16">
            <v>3148.6969028643598</v>
          </cell>
          <cell r="K16">
            <v>1760.7973808909701</v>
          </cell>
          <cell r="L16">
            <v>25.268410039433601</v>
          </cell>
          <cell r="M16">
            <v>910.40826712844898</v>
          </cell>
          <cell r="N16">
            <v>110.404578133225</v>
          </cell>
          <cell r="O16">
            <v>190.22212738276301</v>
          </cell>
          <cell r="P16">
            <v>5.9322727378743503</v>
          </cell>
          <cell r="Q16">
            <v>145.66386655164101</v>
          </cell>
          <cell r="R16">
            <v>950.17214652152404</v>
          </cell>
          <cell r="S16">
            <v>13421.123082458</v>
          </cell>
          <cell r="T16">
            <v>2601.18674242421</v>
          </cell>
          <cell r="U16">
            <v>3787.1510727289601</v>
          </cell>
          <cell r="V16">
            <v>2791.7752197510199</v>
          </cell>
          <cell r="W16">
            <v>1439.16800893804</v>
          </cell>
          <cell r="X16">
            <v>2801.84203861574</v>
          </cell>
          <cell r="Y16">
            <v>126.63967503849101</v>
          </cell>
          <cell r="Z16">
            <v>32426.672554979501</v>
          </cell>
        </row>
        <row r="17">
          <cell r="A17" t="str">
            <v>Sarawak</v>
          </cell>
          <cell r="B17">
            <v>13</v>
          </cell>
          <cell r="C17">
            <v>7277.5600092764498</v>
          </cell>
          <cell r="D17">
            <v>2688.1252017148199</v>
          </cell>
          <cell r="E17">
            <v>3980.5306111598502</v>
          </cell>
          <cell r="F17">
            <v>608.904196401783</v>
          </cell>
          <cell r="I17">
            <v>15492.7551275153</v>
          </cell>
          <cell r="J17">
            <v>15986.7967793149</v>
          </cell>
          <cell r="K17">
            <v>577.80423886552705</v>
          </cell>
          <cell r="L17">
            <v>18.816444659134401</v>
          </cell>
          <cell r="M17">
            <v>1591.1434893918499</v>
          </cell>
          <cell r="N17">
            <v>12491.029111321701</v>
          </cell>
          <cell r="O17">
            <v>465.65915069333499</v>
          </cell>
          <cell r="P17">
            <v>610.89899601884804</v>
          </cell>
          <cell r="Q17">
            <v>231.44534836451899</v>
          </cell>
          <cell r="R17">
            <v>1368.2228298833199</v>
          </cell>
          <cell r="S17">
            <v>17345.898143881801</v>
          </cell>
          <cell r="T17">
            <v>4159.0955870482303</v>
          </cell>
          <cell r="U17">
            <v>4254.8856685601104</v>
          </cell>
          <cell r="V17">
            <v>4220.5458403617604</v>
          </cell>
          <cell r="W17">
            <v>1900.1070644228801</v>
          </cell>
          <cell r="X17">
            <v>2811.26398348885</v>
          </cell>
          <cell r="Y17">
            <v>229.13657208042</v>
          </cell>
          <cell r="Z17">
            <v>57700.369461952301</v>
          </cell>
        </row>
        <row r="18">
          <cell r="A18" t="str">
            <v>WP Kuala Lumpur</v>
          </cell>
          <cell r="B18">
            <v>14</v>
          </cell>
          <cell r="C18">
            <v>2.1689198892843402</v>
          </cell>
          <cell r="D18">
            <v>2.1689198892843402</v>
          </cell>
          <cell r="E18">
            <v>0</v>
          </cell>
          <cell r="F18">
            <v>0</v>
          </cell>
          <cell r="I18">
            <v>24.8085170014017</v>
          </cell>
          <cell r="J18">
            <v>3907.8977998006098</v>
          </cell>
          <cell r="K18">
            <v>460.74423564599903</v>
          </cell>
          <cell r="L18">
            <v>295.220099718342</v>
          </cell>
          <cell r="M18">
            <v>1056.44641275192</v>
          </cell>
          <cell r="N18">
            <v>577.84337992862697</v>
          </cell>
          <cell r="O18">
            <v>462.74103243345598</v>
          </cell>
          <cell r="P18">
            <v>482.255021393606</v>
          </cell>
          <cell r="Q18">
            <v>572.64761792866295</v>
          </cell>
          <cell r="R18">
            <v>2998.0714186278701</v>
          </cell>
          <cell r="S18">
            <v>59372.634297558601</v>
          </cell>
          <cell r="T18">
            <v>4062.56745868399</v>
          </cell>
          <cell r="U18">
            <v>21923.565608608798</v>
          </cell>
          <cell r="V18">
            <v>22714.2177897578</v>
          </cell>
          <cell r="W18">
            <v>3342.8796808709599</v>
          </cell>
          <cell r="X18">
            <v>7329.4037596370499</v>
          </cell>
          <cell r="Y18">
            <v>711.37331333309896</v>
          </cell>
          <cell r="Z18">
            <v>67016.954266210902</v>
          </cell>
        </row>
        <row r="19">
          <cell r="A19" t="str">
            <v>WP Labuan</v>
          </cell>
          <cell r="B19">
            <v>15</v>
          </cell>
          <cell r="C19">
            <v>73.771698700430406</v>
          </cell>
          <cell r="D19">
            <v>6.79363146008754</v>
          </cell>
          <cell r="E19">
            <v>0</v>
          </cell>
          <cell r="F19">
            <v>66.978067240342796</v>
          </cell>
          <cell r="I19">
            <v>0</v>
          </cell>
          <cell r="J19">
            <v>595.108748200533</v>
          </cell>
          <cell r="K19">
            <v>24.0042477805912</v>
          </cell>
          <cell r="L19">
            <v>2.2342777848289801</v>
          </cell>
          <cell r="M19">
            <v>1.57515183952991</v>
          </cell>
          <cell r="N19">
            <v>468.53098511556101</v>
          </cell>
          <cell r="O19">
            <v>90.166862587020205</v>
          </cell>
          <cell r="P19">
            <v>0</v>
          </cell>
          <cell r="Q19">
            <v>8.5972230930015403</v>
          </cell>
          <cell r="R19">
            <v>24.3120582451525</v>
          </cell>
          <cell r="S19">
            <v>1419.04543309839</v>
          </cell>
          <cell r="T19">
            <v>176.82434864987599</v>
          </cell>
          <cell r="U19">
            <v>168.241821884486</v>
          </cell>
          <cell r="V19">
            <v>973.75818969116494</v>
          </cell>
          <cell r="W19">
            <v>60.281927196105002</v>
          </cell>
          <cell r="X19">
            <v>39.939145676755501</v>
          </cell>
          <cell r="Y19">
            <v>33.8454851802448</v>
          </cell>
          <cell r="Z19">
            <v>2146.08342342475</v>
          </cell>
        </row>
        <row r="20">
          <cell r="A20" t="str">
            <v>Supra1</v>
          </cell>
          <cell r="C20">
            <v>0</v>
          </cell>
          <cell r="D20">
            <v>0</v>
          </cell>
          <cell r="E20">
            <v>0</v>
          </cell>
          <cell r="F20">
            <v>0</v>
          </cell>
          <cell r="I20">
            <v>51013.064607915097</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51013.064607915097</v>
          </cell>
        </row>
        <row r="21">
          <cell r="A21" t="str">
            <v>MALAYSIA</v>
          </cell>
          <cell r="C21">
            <v>44912.244292273703</v>
          </cell>
          <cell r="D21">
            <v>31493.912447454099</v>
          </cell>
          <cell r="E21">
            <v>7946.5444787829001</v>
          </cell>
          <cell r="F21">
            <v>5471.7873660366604</v>
          </cell>
          <cell r="I21">
            <v>72110.889746250294</v>
          </cell>
          <cell r="J21">
            <v>149754.3543067</v>
          </cell>
          <cell r="K21">
            <v>14140.1503786911</v>
          </cell>
          <cell r="L21">
            <v>3504.0301273131199</v>
          </cell>
          <cell r="M21">
            <v>10700.572244999999</v>
          </cell>
          <cell r="N21">
            <v>40118.0893246962</v>
          </cell>
          <cell r="O21">
            <v>13487.698</v>
          </cell>
          <cell r="P21">
            <v>48057.432999999997</v>
          </cell>
          <cell r="Q21">
            <v>19746.381230999999</v>
          </cell>
          <cell r="R21">
            <v>16106.550487226301</v>
          </cell>
          <cell r="S21">
            <v>254322.11324438301</v>
          </cell>
          <cell r="T21">
            <v>50509.635730231297</v>
          </cell>
          <cell r="U21">
            <v>74641.499566911007</v>
          </cell>
          <cell r="V21">
            <v>66014.991324746195</v>
          </cell>
          <cell r="W21">
            <v>27499.794204137201</v>
          </cell>
          <cell r="X21">
            <v>35656.192418357801</v>
          </cell>
          <cell r="Y21">
            <v>6371.6551895900002</v>
          </cell>
          <cell r="Z21">
            <v>543577.80726642394</v>
          </cell>
        </row>
        <row r="24">
          <cell r="A24" t="str">
            <v>CONSTANT</v>
          </cell>
          <cell r="B24" t="str">
            <v>Industry</v>
          </cell>
          <cell r="D24">
            <v>1</v>
          </cell>
          <cell r="E24">
            <v>2</v>
          </cell>
          <cell r="F24">
            <v>3</v>
          </cell>
          <cell r="I24">
            <v>4</v>
          </cell>
          <cell r="K24">
            <v>6</v>
          </cell>
          <cell r="L24">
            <v>7</v>
          </cell>
          <cell r="M24">
            <v>8</v>
          </cell>
          <cell r="N24">
            <v>9</v>
          </cell>
          <cell r="O24">
            <v>10</v>
          </cell>
          <cell r="P24">
            <v>11</v>
          </cell>
          <cell r="Q24">
            <v>12</v>
          </cell>
          <cell r="R24">
            <v>5</v>
          </cell>
          <cell r="T24">
            <v>13</v>
          </cell>
          <cell r="U24">
            <v>14</v>
          </cell>
          <cell r="V24">
            <v>15</v>
          </cell>
          <cell r="W24">
            <v>16</v>
          </cell>
        </row>
        <row r="25">
          <cell r="A25">
            <v>2006</v>
          </cell>
          <cell r="B25" t="str">
            <v>I</v>
          </cell>
          <cell r="C25" t="str">
            <v>Agriculture</v>
          </cell>
          <cell r="D25" t="str">
            <v>Tanaman</v>
          </cell>
          <cell r="E25" t="str">
            <v>Pembalakan</v>
          </cell>
          <cell r="F25" t="str">
            <v>Perikanan</v>
          </cell>
          <cell r="I25" t="str">
            <v>Mining andQuarrying</v>
          </cell>
          <cell r="J25" t="str">
            <v>Manufacturing</v>
          </cell>
          <cell r="K25" t="str">
            <v>Prosesan Makanan, Minuman dan Produk Tembakau</v>
          </cell>
          <cell r="L25" t="str">
            <v>Tekstil, Pakaian, Kulit dan Kasut</v>
          </cell>
          <cell r="M25" t="str">
            <v>Keluaran Kayu, Perabot, Produk Kertas, Percetakan dan Penerbitan</v>
          </cell>
          <cell r="N25" t="str">
            <v>Produk Petroleum, Bahan kimia, Getah dan Plastik</v>
          </cell>
          <cell r="O25" t="str">
            <v>Produk Mineral Bukan Logam, Logam Asli dan Produk Logam Yang Direka</v>
          </cell>
          <cell r="P25" t="str">
            <v>Elektrik dan Elektronik</v>
          </cell>
          <cell r="Q25" t="str">
            <v>Kelengkapan Pengangkutan dan Pembuatan Lain</v>
          </cell>
          <cell r="R25" t="str">
            <v>Construction</v>
          </cell>
          <cell r="S25" t="str">
            <v>Services</v>
          </cell>
          <cell r="T25" t="str">
            <v>Utiliti, Transport &amp; Communication</v>
          </cell>
          <cell r="U25" t="str">
            <v>WRT, Accomm &amp; Restaurant</v>
          </cell>
          <cell r="V25" t="str">
            <v>Finance &amp; Insurance, Real Estate &amp; Business Services</v>
          </cell>
          <cell r="W25" t="str">
            <v>Other Services</v>
          </cell>
          <cell r="X25" t="str">
            <v>Government Services</v>
          </cell>
          <cell r="Y25" t="str">
            <v>Plus :Import Duties</v>
          </cell>
          <cell r="Z25" t="str">
            <v>GDP atPurchasers' Prices</v>
          </cell>
        </row>
        <row r="26">
          <cell r="A26" t="str">
            <v>States</v>
          </cell>
          <cell r="B26" t="str">
            <v>Converter</v>
          </cell>
        </row>
        <row r="27">
          <cell r="A27" t="str">
            <v>Johor</v>
          </cell>
          <cell r="B27" t="str">
            <v>01</v>
          </cell>
          <cell r="C27">
            <v>6654.2396491146401</v>
          </cell>
          <cell r="D27">
            <v>5977.43668348548</v>
          </cell>
          <cell r="E27">
            <v>102.45171403581401</v>
          </cell>
          <cell r="F27">
            <v>574.351251593347</v>
          </cell>
          <cell r="I27">
            <v>48.2440928592018</v>
          </cell>
          <cell r="J27">
            <v>20066.005193343699</v>
          </cell>
          <cell r="K27">
            <v>1587.0553593141101</v>
          </cell>
          <cell r="L27">
            <v>1079.6354715331299</v>
          </cell>
          <cell r="M27">
            <v>1491.8417091542101</v>
          </cell>
          <cell r="N27">
            <v>3753.2871051659699</v>
          </cell>
          <cell r="O27">
            <v>2371.92938811051</v>
          </cell>
          <cell r="P27">
            <v>8364.2660230885595</v>
          </cell>
          <cell r="Q27">
            <v>1417.9901369772199</v>
          </cell>
          <cell r="R27">
            <v>1568.45996558397</v>
          </cell>
          <cell r="S27">
            <v>23481.829570811798</v>
          </cell>
          <cell r="T27">
            <v>5430.9591622893204</v>
          </cell>
          <cell r="U27">
            <v>5091.9409273339097</v>
          </cell>
          <cell r="V27">
            <v>6795.4771230062597</v>
          </cell>
          <cell r="W27">
            <v>2531.2759057048002</v>
          </cell>
          <cell r="X27">
            <v>3632.1764524775099</v>
          </cell>
          <cell r="Y27">
            <v>720.39271590590999</v>
          </cell>
          <cell r="Z27">
            <v>52539.171187619198</v>
          </cell>
        </row>
        <row r="28">
          <cell r="A28" t="str">
            <v>Kedah</v>
          </cell>
          <cell r="B28" t="str">
            <v>02</v>
          </cell>
          <cell r="C28">
            <v>2416.9332573101001</v>
          </cell>
          <cell r="D28">
            <v>2060.9680526072898</v>
          </cell>
          <cell r="E28">
            <v>80.483431624916705</v>
          </cell>
          <cell r="F28">
            <v>275.48177307788598</v>
          </cell>
          <cell r="I28">
            <v>16.5266256769922</v>
          </cell>
          <cell r="J28">
            <v>6984.3359707004201</v>
          </cell>
          <cell r="K28">
            <v>276.28719718090599</v>
          </cell>
          <cell r="L28">
            <v>69.637096233941406</v>
          </cell>
          <cell r="M28">
            <v>472.22697892102002</v>
          </cell>
          <cell r="N28">
            <v>1168.3168660113399</v>
          </cell>
          <cell r="O28">
            <v>1326.57567433551</v>
          </cell>
          <cell r="P28">
            <v>2784.3407263300001</v>
          </cell>
          <cell r="Q28">
            <v>886.95143168770198</v>
          </cell>
          <cell r="R28">
            <v>453.96999135908499</v>
          </cell>
          <cell r="S28">
            <v>9248.8233385255007</v>
          </cell>
          <cell r="T28">
            <v>1359.7214274135199</v>
          </cell>
          <cell r="U28">
            <v>2144.99827280614</v>
          </cell>
          <cell r="V28">
            <v>1764.2756371395401</v>
          </cell>
          <cell r="W28">
            <v>1652.1409922943201</v>
          </cell>
          <cell r="X28">
            <v>2327.6870088719702</v>
          </cell>
          <cell r="Y28">
            <v>134.45064089028699</v>
          </cell>
          <cell r="Z28">
            <v>19255.039824462401</v>
          </cell>
        </row>
        <row r="29">
          <cell r="A29" t="str">
            <v>Kelantan</v>
          </cell>
          <cell r="B29" t="str">
            <v>03</v>
          </cell>
          <cell r="C29">
            <v>2617.7804497956299</v>
          </cell>
          <cell r="D29">
            <v>1942.4817276997501</v>
          </cell>
          <cell r="E29">
            <v>416.49956725049998</v>
          </cell>
          <cell r="F29">
            <v>258.79915484537702</v>
          </cell>
          <cell r="I29">
            <v>14.4181754742871</v>
          </cell>
          <cell r="J29">
            <v>510.70083418754098</v>
          </cell>
          <cell r="K29">
            <v>138.341438523666</v>
          </cell>
          <cell r="L29">
            <v>28.742611609802001</v>
          </cell>
          <cell r="M29">
            <v>73.505500890016407</v>
          </cell>
          <cell r="N29">
            <v>68.319025944010207</v>
          </cell>
          <cell r="O29">
            <v>27.574781203743701</v>
          </cell>
          <cell r="P29">
            <v>166.28079755626999</v>
          </cell>
          <cell r="Q29">
            <v>7.9366784600321303</v>
          </cell>
          <cell r="R29">
            <v>169.46443534701299</v>
          </cell>
          <cell r="S29">
            <v>6335.7900702748702</v>
          </cell>
          <cell r="T29">
            <v>743.703512481487</v>
          </cell>
          <cell r="U29">
            <v>1681.2531728200699</v>
          </cell>
          <cell r="V29">
            <v>733.54320103359203</v>
          </cell>
          <cell r="W29">
            <v>1174.0590217900599</v>
          </cell>
          <cell r="X29">
            <v>2003.2311621496599</v>
          </cell>
          <cell r="Y29">
            <v>10.1210965389053</v>
          </cell>
          <cell r="Z29">
            <v>9658.2750616182493</v>
          </cell>
        </row>
        <row r="30">
          <cell r="A30" t="str">
            <v>Melaka</v>
          </cell>
          <cell r="B30" t="str">
            <v>04</v>
          </cell>
          <cell r="C30">
            <v>961.73329875419302</v>
          </cell>
          <cell r="D30">
            <v>946.90645762184204</v>
          </cell>
          <cell r="E30">
            <v>0.56006563844926804</v>
          </cell>
          <cell r="F30">
            <v>14.2667754939018</v>
          </cell>
          <cell r="I30">
            <v>7.2982247814966499</v>
          </cell>
          <cell r="J30">
            <v>8312.7953274922893</v>
          </cell>
          <cell r="K30">
            <v>279.76590521138502</v>
          </cell>
          <cell r="L30">
            <v>123.176742626142</v>
          </cell>
          <cell r="M30">
            <v>442.37175795455897</v>
          </cell>
          <cell r="N30">
            <v>3086.4389693970802</v>
          </cell>
          <cell r="O30">
            <v>544.35209201866803</v>
          </cell>
          <cell r="P30">
            <v>2439.4310327828998</v>
          </cell>
          <cell r="Q30">
            <v>1397.2588275015601</v>
          </cell>
          <cell r="R30">
            <v>314.481252041853</v>
          </cell>
          <cell r="S30">
            <v>6723.3246634145798</v>
          </cell>
          <cell r="T30">
            <v>1310.63766722995</v>
          </cell>
          <cell r="U30">
            <v>2030.95637384611</v>
          </cell>
          <cell r="V30">
            <v>1363.28402879383</v>
          </cell>
          <cell r="W30">
            <v>941.08484483895404</v>
          </cell>
          <cell r="X30">
            <v>1077.36174870574</v>
          </cell>
          <cell r="Y30">
            <v>13.5031970924452</v>
          </cell>
          <cell r="Z30">
            <v>16333.1359635769</v>
          </cell>
        </row>
        <row r="31">
          <cell r="A31" t="str">
            <v>Negeri Sembilan</v>
          </cell>
          <cell r="B31" t="str">
            <v>05</v>
          </cell>
          <cell r="C31">
            <v>1816.8817302615</v>
          </cell>
          <cell r="D31">
            <v>1755.0937258404799</v>
          </cell>
          <cell r="E31">
            <v>34.323036923676298</v>
          </cell>
          <cell r="F31">
            <v>27.4649674973491</v>
          </cell>
          <cell r="I31">
            <v>17.521266820900799</v>
          </cell>
          <cell r="J31">
            <v>11476.808555940101</v>
          </cell>
          <cell r="K31">
            <v>1046.3834184627799</v>
          </cell>
          <cell r="L31">
            <v>436.74818218174102</v>
          </cell>
          <cell r="M31">
            <v>350.543940464765</v>
          </cell>
          <cell r="N31">
            <v>2567.4890385008798</v>
          </cell>
          <cell r="O31">
            <v>727.23829080610096</v>
          </cell>
          <cell r="P31">
            <v>5219.1744241468195</v>
          </cell>
          <cell r="Q31">
            <v>1129.23126137699</v>
          </cell>
          <cell r="R31">
            <v>402.713166861057</v>
          </cell>
          <cell r="S31">
            <v>7770.8126822294198</v>
          </cell>
          <cell r="T31">
            <v>1942.77472567326</v>
          </cell>
          <cell r="U31">
            <v>1768.0648375599601</v>
          </cell>
          <cell r="V31">
            <v>1615.4923418825299</v>
          </cell>
          <cell r="W31">
            <v>1013.4833123183799</v>
          </cell>
          <cell r="X31">
            <v>1430.9974647952999</v>
          </cell>
          <cell r="Y31">
            <v>69.357214698448203</v>
          </cell>
          <cell r="Z31">
            <v>21554.094616811399</v>
          </cell>
        </row>
        <row r="32">
          <cell r="A32" t="str">
            <v>Pahang</v>
          </cell>
          <cell r="B32" t="str">
            <v>06</v>
          </cell>
          <cell r="C32">
            <v>5770.1410985738403</v>
          </cell>
          <cell r="D32">
            <v>4670.4509523632396</v>
          </cell>
          <cell r="E32">
            <v>601.50505578969899</v>
          </cell>
          <cell r="F32">
            <v>498.18509042089698</v>
          </cell>
          <cell r="I32">
            <v>80.273290052901302</v>
          </cell>
          <cell r="J32">
            <v>7110.56842070932</v>
          </cell>
          <cell r="K32">
            <v>705.05093354776295</v>
          </cell>
          <cell r="L32">
            <v>16.2012290888499</v>
          </cell>
          <cell r="M32">
            <v>575.46873181503702</v>
          </cell>
          <cell r="N32">
            <v>3388.2393176946598</v>
          </cell>
          <cell r="O32">
            <v>821.98883967955101</v>
          </cell>
          <cell r="P32">
            <v>156.633803980365</v>
          </cell>
          <cell r="Q32">
            <v>1446.9855649031001</v>
          </cell>
          <cell r="R32">
            <v>571.58063128502101</v>
          </cell>
          <cell r="S32">
            <v>11138.208615434</v>
          </cell>
          <cell r="T32">
            <v>1193.2923306241</v>
          </cell>
          <cell r="U32">
            <v>3344.69661445665</v>
          </cell>
          <cell r="V32">
            <v>1442.7687051277801</v>
          </cell>
          <cell r="W32">
            <v>2847.8550902402999</v>
          </cell>
          <cell r="X32">
            <v>2309.5958749852098</v>
          </cell>
          <cell r="Y32">
            <v>22.447246895454899</v>
          </cell>
          <cell r="Z32">
            <v>24693.219302950602</v>
          </cell>
        </row>
        <row r="33">
          <cell r="A33" t="str">
            <v>Pulau Pinang</v>
          </cell>
          <cell r="B33" t="str">
            <v>07</v>
          </cell>
          <cell r="C33">
            <v>700.37903219198802</v>
          </cell>
          <cell r="D33">
            <v>509.13645040512699</v>
          </cell>
          <cell r="E33">
            <v>0</v>
          </cell>
          <cell r="F33">
            <v>191.242581786861</v>
          </cell>
          <cell r="I33">
            <v>17.069804358913899</v>
          </cell>
          <cell r="J33">
            <v>24429.468358772901</v>
          </cell>
          <cell r="K33">
            <v>654.61044932812695</v>
          </cell>
          <cell r="L33">
            <v>612.56336167766096</v>
          </cell>
          <cell r="M33">
            <v>659.10544401958396</v>
          </cell>
          <cell r="N33">
            <v>1525.35515757352</v>
          </cell>
          <cell r="O33">
            <v>1448.2715015645299</v>
          </cell>
          <cell r="P33">
            <v>18169.729390371002</v>
          </cell>
          <cell r="Q33">
            <v>1359.8330542385499</v>
          </cell>
          <cell r="R33">
            <v>812.77198186290195</v>
          </cell>
          <cell r="S33">
            <v>17152.767881577001</v>
          </cell>
          <cell r="T33">
            <v>3594.64591975957</v>
          </cell>
          <cell r="U33">
            <v>4716.9243092330598</v>
          </cell>
          <cell r="V33">
            <v>4974.7578420442396</v>
          </cell>
          <cell r="W33">
            <v>1790.5109599922</v>
          </cell>
          <cell r="X33">
            <v>2075.9288505479299</v>
          </cell>
          <cell r="Y33">
            <v>288.17007924230597</v>
          </cell>
          <cell r="Z33">
            <v>43400.627138005999</v>
          </cell>
        </row>
        <row r="34">
          <cell r="A34" t="str">
            <v>Perak</v>
          </cell>
          <cell r="B34" t="str">
            <v>08</v>
          </cell>
          <cell r="C34">
            <v>4841.0016055975502</v>
          </cell>
          <cell r="D34">
            <v>3421.0083503465798</v>
          </cell>
          <cell r="E34">
            <v>437.91478096930803</v>
          </cell>
          <cell r="F34">
            <v>982.07847428165701</v>
          </cell>
          <cell r="I34">
            <v>96.861769646077704</v>
          </cell>
          <cell r="J34">
            <v>6254.8965298297999</v>
          </cell>
          <cell r="K34">
            <v>1097.4020779704699</v>
          </cell>
          <cell r="L34">
            <v>241.59735163935599</v>
          </cell>
          <cell r="M34">
            <v>280.87450900017001</v>
          </cell>
          <cell r="N34">
            <v>1450.6703072558901</v>
          </cell>
          <cell r="O34">
            <v>1237.64135666889</v>
          </cell>
          <cell r="P34">
            <v>1827.0408066418499</v>
          </cell>
          <cell r="Q34">
            <v>119.670120653178</v>
          </cell>
          <cell r="R34">
            <v>675.10509915070998</v>
          </cell>
          <cell r="S34">
            <v>17636.900254423301</v>
          </cell>
          <cell r="T34">
            <v>5560.2253040654696</v>
          </cell>
          <cell r="U34">
            <v>3586.6042339098699</v>
          </cell>
          <cell r="V34">
            <v>3145.8265380559301</v>
          </cell>
          <cell r="W34">
            <v>2325.5727982825902</v>
          </cell>
          <cell r="X34">
            <v>3018.6713801094002</v>
          </cell>
          <cell r="Y34">
            <v>53.537682655929402</v>
          </cell>
          <cell r="Z34">
            <v>29558.3029413033</v>
          </cell>
        </row>
        <row r="35">
          <cell r="A35" t="str">
            <v>Perlis</v>
          </cell>
          <cell r="B35" t="str">
            <v>09</v>
          </cell>
          <cell r="C35">
            <v>808.72593428289599</v>
          </cell>
          <cell r="D35">
            <v>259.95321692836001</v>
          </cell>
          <cell r="E35">
            <v>0</v>
          </cell>
          <cell r="F35">
            <v>548.77271735453598</v>
          </cell>
          <cell r="I35">
            <v>6.8446087585817601</v>
          </cell>
          <cell r="J35">
            <v>345.19007959309801</v>
          </cell>
          <cell r="K35">
            <v>49.105577399240801</v>
          </cell>
          <cell r="L35">
            <v>57.869775833981798</v>
          </cell>
          <cell r="M35">
            <v>10.7097310719837</v>
          </cell>
          <cell r="N35">
            <v>134.12184479401901</v>
          </cell>
          <cell r="O35">
            <v>91.561314600732601</v>
          </cell>
          <cell r="P35">
            <v>1.82183589313928</v>
          </cell>
          <cell r="Q35">
            <v>0</v>
          </cell>
          <cell r="R35">
            <v>100.551566370809</v>
          </cell>
          <cell r="S35">
            <v>1582.3990231601699</v>
          </cell>
          <cell r="T35">
            <v>577.20764750010005</v>
          </cell>
          <cell r="U35">
            <v>188.404257331791</v>
          </cell>
          <cell r="V35">
            <v>171.20532999452499</v>
          </cell>
          <cell r="W35">
            <v>212.591718700168</v>
          </cell>
          <cell r="X35">
            <v>432.99006963358198</v>
          </cell>
          <cell r="Y35">
            <v>101.23279260701401</v>
          </cell>
          <cell r="Z35">
            <v>2944.9440047725602</v>
          </cell>
        </row>
        <row r="36">
          <cell r="A36" t="str">
            <v>Selangor</v>
          </cell>
          <cell r="B36">
            <v>10</v>
          </cell>
          <cell r="C36">
            <v>2049.1856888432299</v>
          </cell>
          <cell r="D36">
            <v>1418.7881169792599</v>
          </cell>
          <cell r="E36">
            <v>21.357617395231301</v>
          </cell>
          <cell r="F36">
            <v>609.03995446874501</v>
          </cell>
          <cell r="I36">
            <v>115.923261490992</v>
          </cell>
          <cell r="J36">
            <v>42583.807815050401</v>
          </cell>
          <cell r="K36">
            <v>5756.4238309847797</v>
          </cell>
          <cell r="L36">
            <v>614.27157414379201</v>
          </cell>
          <cell r="M36">
            <v>2856.3799168124101</v>
          </cell>
          <cell r="N36">
            <v>5395.0294542236597</v>
          </cell>
          <cell r="O36">
            <v>4661.1959621419001</v>
          </cell>
          <cell r="P36">
            <v>12424.3394810104</v>
          </cell>
          <cell r="Q36">
            <v>10876.167595733399</v>
          </cell>
          <cell r="R36">
            <v>5028.2701061917796</v>
          </cell>
          <cell r="S36">
            <v>65860.627293376194</v>
          </cell>
          <cell r="T36">
            <v>17165.996852116899</v>
          </cell>
          <cell r="U36">
            <v>21832.576270203601</v>
          </cell>
          <cell r="V36">
            <v>15239.550775515099</v>
          </cell>
          <cell r="W36">
            <v>6011.4828157116899</v>
          </cell>
          <cell r="X36">
            <v>5611.0205798289599</v>
          </cell>
          <cell r="Y36">
            <v>3181.1442089161201</v>
          </cell>
          <cell r="Z36">
            <v>118818.958373869</v>
          </cell>
        </row>
        <row r="37">
          <cell r="A37" t="str">
            <v>Terengganu</v>
          </cell>
          <cell r="B37">
            <v>11</v>
          </cell>
          <cell r="C37">
            <v>1683.1505690450799</v>
          </cell>
          <cell r="D37">
            <v>1129.86941122743</v>
          </cell>
          <cell r="E37">
            <v>143.52582285294201</v>
          </cell>
          <cell r="F37">
            <v>409.75533496470302</v>
          </cell>
          <cell r="I37">
            <v>8.7208165317790698</v>
          </cell>
          <cell r="J37">
            <v>7204.11271890841</v>
          </cell>
          <cell r="K37">
            <v>109.900175749368</v>
          </cell>
          <cell r="L37">
            <v>38.718538882359503</v>
          </cell>
          <cell r="M37">
            <v>120.03498202535999</v>
          </cell>
          <cell r="N37">
            <v>6528.4075797325704</v>
          </cell>
          <cell r="O37">
            <v>339.52317352760701</v>
          </cell>
          <cell r="P37">
            <v>1.4653545058975499</v>
          </cell>
          <cell r="Q37">
            <v>66.062914485247902</v>
          </cell>
          <cell r="R37">
            <v>454.564489676601</v>
          </cell>
          <cell r="S37">
            <v>7506.7095052003197</v>
          </cell>
          <cell r="T37">
            <v>3085.6722565039299</v>
          </cell>
          <cell r="U37">
            <v>1228.0367088068199</v>
          </cell>
          <cell r="V37">
            <v>565.84594036372698</v>
          </cell>
          <cell r="W37">
            <v>781.99954839759596</v>
          </cell>
          <cell r="X37">
            <v>1845.1550511282401</v>
          </cell>
          <cell r="Y37">
            <v>9.9507637807276392</v>
          </cell>
          <cell r="Z37">
            <v>16867.2088631429</v>
          </cell>
        </row>
        <row r="38">
          <cell r="A38" t="str">
            <v>Sabah</v>
          </cell>
          <cell r="B38">
            <v>12</v>
          </cell>
          <cell r="C38">
            <v>9907.9170891016201</v>
          </cell>
          <cell r="D38">
            <v>6505.0982064938398</v>
          </cell>
          <cell r="E38">
            <v>2201.6043196693099</v>
          </cell>
          <cell r="F38">
            <v>1201.21456293847</v>
          </cell>
          <cell r="I38">
            <v>5305.0188119066497</v>
          </cell>
          <cell r="J38">
            <v>3307.5639633117398</v>
          </cell>
          <cell r="K38">
            <v>1889.13581074173</v>
          </cell>
          <cell r="L38">
            <v>24.127588758054799</v>
          </cell>
          <cell r="M38">
            <v>875.72966932760596</v>
          </cell>
          <cell r="N38">
            <v>149.62708489826301</v>
          </cell>
          <cell r="O38">
            <v>214.799905708566</v>
          </cell>
          <cell r="P38">
            <v>7.2733148875337399</v>
          </cell>
          <cell r="Q38">
            <v>146.870588989981</v>
          </cell>
          <cell r="R38">
            <v>1049.9768020543299</v>
          </cell>
          <cell r="S38">
            <v>14536.659166623</v>
          </cell>
          <cell r="T38">
            <v>2740.4160274405099</v>
          </cell>
          <cell r="U38">
            <v>4323.3190045830797</v>
          </cell>
          <cell r="V38">
            <v>2985.63191230641</v>
          </cell>
          <cell r="W38">
            <v>1459.17015657037</v>
          </cell>
          <cell r="X38">
            <v>3028.1220657225899</v>
          </cell>
          <cell r="Y38">
            <v>113.93748440474199</v>
          </cell>
          <cell r="Z38">
            <v>34221.073317401999</v>
          </cell>
        </row>
        <row r="39">
          <cell r="A39" t="str">
            <v>Sarawak</v>
          </cell>
          <cell r="B39">
            <v>13</v>
          </cell>
          <cell r="C39">
            <v>7199.0461539385096</v>
          </cell>
          <cell r="D39">
            <v>2809.2687090730301</v>
          </cell>
          <cell r="E39">
            <v>3857.7784715405</v>
          </cell>
          <cell r="F39">
            <v>531.99897332498699</v>
          </cell>
          <cell r="I39">
            <v>16135.5628417272</v>
          </cell>
          <cell r="J39">
            <v>17374.660156991398</v>
          </cell>
          <cell r="K39">
            <v>689.99300758824199</v>
          </cell>
          <cell r="L39">
            <v>18.856981073143999</v>
          </cell>
          <cell r="M39">
            <v>1992.7771856494801</v>
          </cell>
          <cell r="N39">
            <v>13294.2672517314</v>
          </cell>
          <cell r="O39">
            <v>519.52466204974598</v>
          </cell>
          <cell r="P39">
            <v>585.48442688070998</v>
          </cell>
          <cell r="Q39">
            <v>273.756642018695</v>
          </cell>
          <cell r="R39">
            <v>1387.0757866608401</v>
          </cell>
          <cell r="S39">
            <v>17981.701899829699</v>
          </cell>
          <cell r="T39">
            <v>4194.8712786423803</v>
          </cell>
          <cell r="U39">
            <v>4431.1308051959204</v>
          </cell>
          <cell r="V39">
            <v>4403.37435028035</v>
          </cell>
          <cell r="W39">
            <v>1969.7894143067099</v>
          </cell>
          <cell r="X39">
            <v>2982.53605140432</v>
          </cell>
          <cell r="Y39">
            <v>187.133438110855</v>
          </cell>
          <cell r="Z39">
            <v>60265.1802772585</v>
          </cell>
        </row>
        <row r="40">
          <cell r="A40" t="str">
            <v>WP Kuala Lumpur</v>
          </cell>
          <cell r="B40">
            <v>14</v>
          </cell>
          <cell r="C40">
            <v>1.70063142405226</v>
          </cell>
          <cell r="D40">
            <v>1.70063142405226</v>
          </cell>
          <cell r="E40">
            <v>0</v>
          </cell>
          <cell r="F40">
            <v>0</v>
          </cell>
          <cell r="I40">
            <v>23.872994104275399</v>
          </cell>
          <cell r="J40">
            <v>4024.4684763293899</v>
          </cell>
          <cell r="K40">
            <v>453.95250047359502</v>
          </cell>
          <cell r="L40">
            <v>223.80249625796401</v>
          </cell>
          <cell r="M40">
            <v>1148.2049337393801</v>
          </cell>
          <cell r="N40">
            <v>577.88508111527199</v>
          </cell>
          <cell r="O40">
            <v>511.31032182226397</v>
          </cell>
          <cell r="P40">
            <v>464.36602674966701</v>
          </cell>
          <cell r="Q40">
            <v>644.94711617124199</v>
          </cell>
          <cell r="R40">
            <v>3009.2664749812802</v>
          </cell>
          <cell r="S40">
            <v>64090.007640177297</v>
          </cell>
          <cell r="T40">
            <v>4428.1872575324196</v>
          </cell>
          <cell r="U40">
            <v>23061.162235989301</v>
          </cell>
          <cell r="V40">
            <v>25111.537298388201</v>
          </cell>
          <cell r="W40">
            <v>3505.66588895109</v>
          </cell>
          <cell r="X40">
            <v>7983.4549593162801</v>
          </cell>
          <cell r="Y40">
            <v>744.533168414785</v>
          </cell>
          <cell r="Z40">
            <v>71893.849385431007</v>
          </cell>
        </row>
        <row r="41">
          <cell r="A41" t="str">
            <v>WP Labuan</v>
          </cell>
          <cell r="B41">
            <v>15</v>
          </cell>
          <cell r="C41">
            <v>103.91787953249801</v>
          </cell>
          <cell r="D41">
            <v>4.9123802163404697</v>
          </cell>
          <cell r="E41">
            <v>0</v>
          </cell>
          <cell r="F41">
            <v>99.005499316157298</v>
          </cell>
          <cell r="I41">
            <v>0</v>
          </cell>
          <cell r="J41">
            <v>894.48269140067805</v>
          </cell>
          <cell r="K41">
            <v>32.070921759535203</v>
          </cell>
          <cell r="L41">
            <v>2.81236661394703</v>
          </cell>
          <cell r="M41">
            <v>3.2203052445276801</v>
          </cell>
          <cell r="N41">
            <v>531.60726643463101</v>
          </cell>
          <cell r="O41">
            <v>316.49947159849501</v>
          </cell>
          <cell r="P41">
            <v>0</v>
          </cell>
          <cell r="Q41">
            <v>8.2723597495418009</v>
          </cell>
          <cell r="R41">
            <v>23.7878027087405</v>
          </cell>
          <cell r="S41">
            <v>1508.1454902620301</v>
          </cell>
          <cell r="T41">
            <v>189.15208696111199</v>
          </cell>
          <cell r="U41">
            <v>177.25286846969701</v>
          </cell>
          <cell r="V41">
            <v>1031.7168973313801</v>
          </cell>
          <cell r="W41">
            <v>63.092041229435203</v>
          </cell>
          <cell r="X41">
            <v>46.931596270406601</v>
          </cell>
          <cell r="Y41">
            <v>20.861388581171902</v>
          </cell>
          <cell r="Z41">
            <v>2551.1952524851099</v>
          </cell>
        </row>
        <row r="42">
          <cell r="A42" t="str">
            <v>Supra1</v>
          </cell>
          <cell r="C42">
            <v>0</v>
          </cell>
          <cell r="D42">
            <v>0</v>
          </cell>
          <cell r="E42">
            <v>0</v>
          </cell>
          <cell r="F42">
            <v>0</v>
          </cell>
          <cell r="I42">
            <v>49381.376278548603</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49381.376278548603</v>
          </cell>
        </row>
        <row r="43">
          <cell r="A43" t="str">
            <v>MALAYSIA</v>
          </cell>
          <cell r="C43">
            <v>47532.734067767298</v>
          </cell>
          <cell r="D43">
            <v>33413.073072712097</v>
          </cell>
          <cell r="E43">
            <v>7898.0038836903404</v>
          </cell>
          <cell r="F43">
            <v>6221.6571113648797</v>
          </cell>
          <cell r="I43">
            <v>71275.532862738895</v>
          </cell>
          <cell r="J43">
            <v>160879.865092561</v>
          </cell>
          <cell r="K43">
            <v>14765.478604235699</v>
          </cell>
          <cell r="L43">
            <v>3588.7613681538701</v>
          </cell>
          <cell r="M43">
            <v>11352.995296090099</v>
          </cell>
          <cell r="N43">
            <v>43619.061350473203</v>
          </cell>
          <cell r="O43">
            <v>15159.986735836799</v>
          </cell>
          <cell r="P43">
            <v>52611.647444825103</v>
          </cell>
          <cell r="Q43">
            <v>19781.934292946498</v>
          </cell>
          <cell r="R43">
            <v>16022.039552136001</v>
          </cell>
          <cell r="S43">
            <v>272554.707095319</v>
          </cell>
          <cell r="T43">
            <v>53517.463456234102</v>
          </cell>
          <cell r="U43">
            <v>79607.320892545904</v>
          </cell>
          <cell r="V43">
            <v>71344.287921263298</v>
          </cell>
          <cell r="W43">
            <v>28279.774509328701</v>
          </cell>
          <cell r="X43">
            <v>39805.860315947102</v>
          </cell>
          <cell r="Y43">
            <v>5670.7731187351001</v>
          </cell>
          <cell r="Z43">
            <v>573935.651789258</v>
          </cell>
        </row>
        <row r="46">
          <cell r="A46" t="str">
            <v>CONSTANT</v>
          </cell>
          <cell r="B46" t="str">
            <v>Industry</v>
          </cell>
          <cell r="D46">
            <v>1</v>
          </cell>
          <cell r="E46">
            <v>2</v>
          </cell>
          <cell r="F46">
            <v>3</v>
          </cell>
          <cell r="I46">
            <v>4</v>
          </cell>
          <cell r="K46">
            <v>6</v>
          </cell>
          <cell r="L46">
            <v>7</v>
          </cell>
          <cell r="M46">
            <v>8</v>
          </cell>
          <cell r="N46">
            <v>9</v>
          </cell>
          <cell r="O46">
            <v>10</v>
          </cell>
          <cell r="P46">
            <v>11</v>
          </cell>
          <cell r="Q46">
            <v>12</v>
          </cell>
          <cell r="R46">
            <v>5</v>
          </cell>
          <cell r="T46">
            <v>13</v>
          </cell>
          <cell r="U46">
            <v>14</v>
          </cell>
          <cell r="V46">
            <v>15</v>
          </cell>
          <cell r="W46">
            <v>16</v>
          </cell>
        </row>
        <row r="47">
          <cell r="A47">
            <v>2007</v>
          </cell>
          <cell r="B47" t="str">
            <v>I</v>
          </cell>
          <cell r="C47" t="str">
            <v>Agriculture</v>
          </cell>
          <cell r="D47" t="str">
            <v>Tanaman</v>
          </cell>
          <cell r="E47" t="str">
            <v>Pembalakan</v>
          </cell>
          <cell r="F47" t="str">
            <v>Perikanan</v>
          </cell>
          <cell r="I47" t="str">
            <v>Mining andQuarrying</v>
          </cell>
          <cell r="J47" t="str">
            <v>Manufacturing</v>
          </cell>
          <cell r="K47" t="str">
            <v>Prosesan Makanan, Minuman dan Produk Tembakau</v>
          </cell>
          <cell r="L47" t="str">
            <v>Tekstil, Pakaian, Kulit dan Kasut</v>
          </cell>
          <cell r="M47" t="str">
            <v>Keluaran Kayu, Perabot, Produk Kertas, Percetakan dan Penerbitan</v>
          </cell>
          <cell r="N47" t="str">
            <v>Produk Petroleum, Bahan kimia, Getah dan Plastik</v>
          </cell>
          <cell r="O47" t="str">
            <v>Produk Mineral Bukan Logam, Logam Asli dan Produk Logam Yang Direka</v>
          </cell>
          <cell r="P47" t="str">
            <v>Elektrik dan Elektronik</v>
          </cell>
          <cell r="Q47" t="str">
            <v>Kelengkapan Pengangkutan dan Pembuatan Lain</v>
          </cell>
          <cell r="R47" t="str">
            <v>Construction</v>
          </cell>
          <cell r="S47" t="str">
            <v>Services</v>
          </cell>
          <cell r="T47" t="str">
            <v>Utiliti, Transport &amp; Communication</v>
          </cell>
          <cell r="U47" t="str">
            <v>WRT, Accomm &amp; Restaurant</v>
          </cell>
          <cell r="V47" t="str">
            <v>Finance &amp; Insurance, Real Estate &amp; Business Services</v>
          </cell>
          <cell r="W47" t="str">
            <v>Other Services</v>
          </cell>
          <cell r="X47" t="str">
            <v>Government Services</v>
          </cell>
          <cell r="Y47" t="str">
            <v>Plus :Import Duties</v>
          </cell>
          <cell r="Z47" t="str">
            <v>GDP atPurchasers' Prices</v>
          </cell>
        </row>
        <row r="48">
          <cell r="A48" t="str">
            <v>States</v>
          </cell>
          <cell r="B48" t="str">
            <v>Converter</v>
          </cell>
        </row>
        <row r="49">
          <cell r="A49" t="str">
            <v>Johor</v>
          </cell>
          <cell r="B49" t="str">
            <v>01</v>
          </cell>
          <cell r="C49">
            <v>6349.3657705242103</v>
          </cell>
          <cell r="D49">
            <v>5808.2699370519003</v>
          </cell>
          <cell r="E49">
            <v>79.0792125512952</v>
          </cell>
          <cell r="F49">
            <v>462.016620921016</v>
          </cell>
          <cell r="I49">
            <v>50.308114023991401</v>
          </cell>
          <cell r="J49">
            <v>20662.955740858899</v>
          </cell>
          <cell r="K49">
            <v>1756.72876883768</v>
          </cell>
          <cell r="L49">
            <v>988.853119106073</v>
          </cell>
          <cell r="M49">
            <v>1698.78094702049</v>
          </cell>
          <cell r="N49">
            <v>3430.0560311125801</v>
          </cell>
          <cell r="O49">
            <v>2602.9705222851899</v>
          </cell>
          <cell r="P49">
            <v>8115.1828990002996</v>
          </cell>
          <cell r="Q49">
            <v>2070.3834534965899</v>
          </cell>
          <cell r="R49">
            <v>1578.3579918855301</v>
          </cell>
          <cell r="S49">
            <v>25304.853962464898</v>
          </cell>
          <cell r="T49">
            <v>5839.4454546452498</v>
          </cell>
          <cell r="U49">
            <v>5811.8755763071604</v>
          </cell>
          <cell r="V49">
            <v>7251.4063081114</v>
          </cell>
          <cell r="W49">
            <v>2598.36899031545</v>
          </cell>
          <cell r="X49">
            <v>3803.75763308568</v>
          </cell>
          <cell r="Y49">
            <v>739.59222796745803</v>
          </cell>
          <cell r="Z49">
            <v>54685.433807724999</v>
          </cell>
        </row>
        <row r="50">
          <cell r="A50" t="str">
            <v>Kedah</v>
          </cell>
          <cell r="B50" t="str">
            <v>02</v>
          </cell>
          <cell r="C50">
            <v>2681.6603907225199</v>
          </cell>
          <cell r="D50">
            <v>2281.3547506852001</v>
          </cell>
          <cell r="E50">
            <v>79.154656509836201</v>
          </cell>
          <cell r="F50">
            <v>321.15098352748799</v>
          </cell>
          <cell r="I50">
            <v>18.048528269871898</v>
          </cell>
          <cell r="J50">
            <v>7717.7993422172503</v>
          </cell>
          <cell r="K50">
            <v>252.925225481008</v>
          </cell>
          <cell r="L50">
            <v>118.930796638589</v>
          </cell>
          <cell r="M50">
            <v>485.85067829856001</v>
          </cell>
          <cell r="N50">
            <v>1496.75131325198</v>
          </cell>
          <cell r="O50">
            <v>1922.74280889636</v>
          </cell>
          <cell r="P50">
            <v>2349.8292298206802</v>
          </cell>
          <cell r="Q50">
            <v>1090.76928983007</v>
          </cell>
          <cell r="R50">
            <v>521.15096311709794</v>
          </cell>
          <cell r="S50">
            <v>9968.1473960035892</v>
          </cell>
          <cell r="T50">
            <v>1465.2200967916699</v>
          </cell>
          <cell r="U50">
            <v>2500.0247093693201</v>
          </cell>
          <cell r="V50">
            <v>1870.7963414210999</v>
          </cell>
          <cell r="W50">
            <v>1688.8790381625899</v>
          </cell>
          <cell r="X50">
            <v>2443.22721025891</v>
          </cell>
          <cell r="Y50">
            <v>126.538108157175</v>
          </cell>
          <cell r="Z50">
            <v>21033.3447284875</v>
          </cell>
        </row>
        <row r="51">
          <cell r="A51" t="str">
            <v>Kelantan</v>
          </cell>
          <cell r="B51" t="str">
            <v>03</v>
          </cell>
          <cell r="C51">
            <v>2988.7129664602498</v>
          </cell>
          <cell r="D51">
            <v>2097.8035475390798</v>
          </cell>
          <cell r="E51">
            <v>572.17552894220898</v>
          </cell>
          <cell r="F51">
            <v>318.73388997897001</v>
          </cell>
          <cell r="I51">
            <v>15.710270641353601</v>
          </cell>
          <cell r="J51">
            <v>537.90648847254704</v>
          </cell>
          <cell r="K51">
            <v>96.399194471998797</v>
          </cell>
          <cell r="L51">
            <v>46.681899118575501</v>
          </cell>
          <cell r="M51">
            <v>78.934399314953197</v>
          </cell>
          <cell r="N51">
            <v>83.535215787313703</v>
          </cell>
          <cell r="O51">
            <v>69.699584234307693</v>
          </cell>
          <cell r="P51">
            <v>156.971996648622</v>
          </cell>
          <cell r="Q51">
            <v>5.6841988967758397</v>
          </cell>
          <cell r="R51">
            <v>159.05485305821901</v>
          </cell>
          <cell r="S51">
            <v>6766.5601079339303</v>
          </cell>
          <cell r="T51">
            <v>786.65685698242498</v>
          </cell>
          <cell r="U51">
            <v>1883.1208029351501</v>
          </cell>
          <cell r="V51">
            <v>786.64393343559505</v>
          </cell>
          <cell r="W51">
            <v>1204.0097242068</v>
          </cell>
          <cell r="X51">
            <v>2106.1287903739599</v>
          </cell>
          <cell r="Y51">
            <v>14.4581579747896</v>
          </cell>
          <cell r="Z51">
            <v>10482.4028445411</v>
          </cell>
        </row>
        <row r="52">
          <cell r="A52" t="str">
            <v>Melaka</v>
          </cell>
          <cell r="B52" t="str">
            <v>04</v>
          </cell>
          <cell r="C52">
            <v>1049.9837590642601</v>
          </cell>
          <cell r="D52">
            <v>1036.4500888858199</v>
          </cell>
          <cell r="E52">
            <v>0.58264125883405904</v>
          </cell>
          <cell r="F52">
            <v>12.9510289196058</v>
          </cell>
          <cell r="I52">
            <v>7.98779466684553</v>
          </cell>
          <cell r="J52">
            <v>8495.9522896870403</v>
          </cell>
          <cell r="K52">
            <v>265.28598560224799</v>
          </cell>
          <cell r="L52">
            <v>93.947205754062097</v>
          </cell>
          <cell r="M52">
            <v>401.35151395285902</v>
          </cell>
          <cell r="N52">
            <v>3658.3887184694499</v>
          </cell>
          <cell r="O52">
            <v>546.88640353950905</v>
          </cell>
          <cell r="P52">
            <v>2514.1167378508499</v>
          </cell>
          <cell r="Q52">
            <v>1015.97572451806</v>
          </cell>
          <cell r="R52">
            <v>486.11974578698698</v>
          </cell>
          <cell r="S52">
            <v>7350.2047891623797</v>
          </cell>
          <cell r="T52">
            <v>1371.85733650064</v>
          </cell>
          <cell r="U52">
            <v>2351.0636468129901</v>
          </cell>
          <cell r="V52">
            <v>1496.3650172185701</v>
          </cell>
          <cell r="W52">
            <v>1007.31359768512</v>
          </cell>
          <cell r="X52">
            <v>1123.60519094505</v>
          </cell>
          <cell r="Y52">
            <v>31.9292935891485</v>
          </cell>
          <cell r="Z52">
            <v>17422.177671956699</v>
          </cell>
        </row>
        <row r="53">
          <cell r="A53" t="str">
            <v>Negeri Sembilan</v>
          </cell>
          <cell r="B53" t="str">
            <v>05</v>
          </cell>
          <cell r="C53">
            <v>1770.6233661952101</v>
          </cell>
          <cell r="D53">
            <v>1702.80162306191</v>
          </cell>
          <cell r="E53">
            <v>41.518276393251803</v>
          </cell>
          <cell r="F53">
            <v>26.303466740056901</v>
          </cell>
          <cell r="I53">
            <v>19.103149644530198</v>
          </cell>
          <cell r="J53">
            <v>11876.644437962301</v>
          </cell>
          <cell r="K53">
            <v>1118.78312439362</v>
          </cell>
          <cell r="L53">
            <v>406.62483738666202</v>
          </cell>
          <cell r="M53">
            <v>291.25893633818401</v>
          </cell>
          <cell r="N53">
            <v>3281.3416445077401</v>
          </cell>
          <cell r="O53">
            <v>686.51747334415302</v>
          </cell>
          <cell r="P53">
            <v>5160.4372561523696</v>
          </cell>
          <cell r="Q53">
            <v>931.68116583958601</v>
          </cell>
          <cell r="R53">
            <v>436.29066325689598</v>
          </cell>
          <cell r="S53">
            <v>8498.4753985162897</v>
          </cell>
          <cell r="T53">
            <v>2047.1081753559299</v>
          </cell>
          <cell r="U53">
            <v>2033.4067647075999</v>
          </cell>
          <cell r="V53">
            <v>1784.82670661518</v>
          </cell>
          <cell r="W53">
            <v>1138.59781318774</v>
          </cell>
          <cell r="X53">
            <v>1494.5359386498501</v>
          </cell>
          <cell r="Y53">
            <v>78.836902799825495</v>
          </cell>
          <cell r="Z53">
            <v>22679.973918375101</v>
          </cell>
        </row>
        <row r="54">
          <cell r="A54" t="str">
            <v>Pahang</v>
          </cell>
          <cell r="B54" t="str">
            <v>06</v>
          </cell>
          <cell r="C54">
            <v>5207.54037658779</v>
          </cell>
          <cell r="D54">
            <v>4368.3243974929601</v>
          </cell>
          <cell r="E54">
            <v>400.01817065452002</v>
          </cell>
          <cell r="F54">
            <v>439.19780844030601</v>
          </cell>
          <cell r="I54">
            <v>110.407340119764</v>
          </cell>
          <cell r="J54">
            <v>7052.7335097852501</v>
          </cell>
          <cell r="K54">
            <v>793.67946193545697</v>
          </cell>
          <cell r="L54">
            <v>13.2098045795034</v>
          </cell>
          <cell r="M54">
            <v>511.57602066974903</v>
          </cell>
          <cell r="N54">
            <v>3542.19593617597</v>
          </cell>
          <cell r="O54">
            <v>870.32067885000401</v>
          </cell>
          <cell r="P54">
            <v>93.829584834300505</v>
          </cell>
          <cell r="Q54">
            <v>1227.92202274027</v>
          </cell>
          <cell r="R54">
            <v>575.74558463116296</v>
          </cell>
          <cell r="S54">
            <v>12236.1682959067</v>
          </cell>
          <cell r="T54">
            <v>1281.8832281131999</v>
          </cell>
          <cell r="U54">
            <v>3866.03114623686</v>
          </cell>
          <cell r="V54">
            <v>1604.46618497587</v>
          </cell>
          <cell r="W54">
            <v>3077.50138415018</v>
          </cell>
          <cell r="X54">
            <v>2406.2863524306299</v>
          </cell>
          <cell r="Y54">
            <v>23.630568770153999</v>
          </cell>
          <cell r="Z54">
            <v>25206.225675800899</v>
          </cell>
        </row>
        <row r="55">
          <cell r="A55" t="str">
            <v>Pulau Pinang</v>
          </cell>
          <cell r="B55" t="str">
            <v>07</v>
          </cell>
          <cell r="C55">
            <v>721.068295417321</v>
          </cell>
          <cell r="D55">
            <v>528.12971383671402</v>
          </cell>
          <cell r="E55">
            <v>0</v>
          </cell>
          <cell r="F55">
            <v>192.93858158060701</v>
          </cell>
          <cell r="I55">
            <v>18.698428464636802</v>
          </cell>
          <cell r="J55">
            <v>25374.425811071502</v>
          </cell>
          <cell r="K55">
            <v>725.79384748207804</v>
          </cell>
          <cell r="L55">
            <v>464.03104921610401</v>
          </cell>
          <cell r="M55">
            <v>690.11560317322505</v>
          </cell>
          <cell r="N55">
            <v>1425.81977742506</v>
          </cell>
          <cell r="O55">
            <v>1800.06727154696</v>
          </cell>
          <cell r="P55">
            <v>18771.124317587</v>
          </cell>
          <cell r="Q55">
            <v>1497.4739446410399</v>
          </cell>
          <cell r="R55">
            <v>923.972218119172</v>
          </cell>
          <cell r="S55">
            <v>18924.920131515799</v>
          </cell>
          <cell r="T55">
            <v>3973.0755685437698</v>
          </cell>
          <cell r="U55">
            <v>5392.7054314427696</v>
          </cell>
          <cell r="V55">
            <v>5508.7005816316196</v>
          </cell>
          <cell r="W55">
            <v>1911.5996518095899</v>
          </cell>
          <cell r="X55">
            <v>2138.83889808807</v>
          </cell>
          <cell r="Y55">
            <v>262.77374224584599</v>
          </cell>
          <cell r="Z55">
            <v>46225.858626834299</v>
          </cell>
        </row>
        <row r="56">
          <cell r="A56" t="str">
            <v>Perak</v>
          </cell>
          <cell r="B56" t="str">
            <v>08</v>
          </cell>
          <cell r="C56">
            <v>5003.4977094698897</v>
          </cell>
          <cell r="D56">
            <v>3577.4709326095599</v>
          </cell>
          <cell r="E56">
            <v>382.87724616087002</v>
          </cell>
          <cell r="F56">
            <v>1043.14953069946</v>
          </cell>
          <cell r="I56">
            <v>105.414134490443</v>
          </cell>
          <cell r="J56">
            <v>6342.8197348897502</v>
          </cell>
          <cell r="K56">
            <v>1120.9841164311499</v>
          </cell>
          <cell r="L56">
            <v>199.42829060343499</v>
          </cell>
          <cell r="M56">
            <v>361.40863547805401</v>
          </cell>
          <cell r="N56">
            <v>1406.8212619763201</v>
          </cell>
          <cell r="O56">
            <v>1246.3615341428499</v>
          </cell>
          <cell r="P56">
            <v>1810.5647554305899</v>
          </cell>
          <cell r="Q56">
            <v>197.25114082734001</v>
          </cell>
          <cell r="R56">
            <v>555.25395563238396</v>
          </cell>
          <cell r="S56">
            <v>19017.035418304898</v>
          </cell>
          <cell r="T56">
            <v>5697.3911822560704</v>
          </cell>
          <cell r="U56">
            <v>4166.3452481063896</v>
          </cell>
          <cell r="V56">
            <v>3485.6780340405498</v>
          </cell>
          <cell r="W56">
            <v>2500.7837572722001</v>
          </cell>
          <cell r="X56">
            <v>3166.83719662971</v>
          </cell>
          <cell r="Y56">
            <v>24.3253411075065</v>
          </cell>
          <cell r="Z56">
            <v>31048.346293894901</v>
          </cell>
        </row>
        <row r="57">
          <cell r="A57" t="str">
            <v>Perlis</v>
          </cell>
          <cell r="B57" t="str">
            <v>09</v>
          </cell>
          <cell r="C57">
            <v>931.79704357876005</v>
          </cell>
          <cell r="D57">
            <v>248.23547787447899</v>
          </cell>
          <cell r="E57">
            <v>0</v>
          </cell>
          <cell r="F57">
            <v>683.56156570428095</v>
          </cell>
          <cell r="I57">
            <v>7.4425580879539597</v>
          </cell>
          <cell r="J57">
            <v>323.54139109524999</v>
          </cell>
          <cell r="K57">
            <v>66.078185598306703</v>
          </cell>
          <cell r="L57">
            <v>54.4519823296705</v>
          </cell>
          <cell r="M57">
            <v>2.9248195937792199</v>
          </cell>
          <cell r="N57">
            <v>101.233212222342</v>
          </cell>
          <cell r="O57">
            <v>98.320881505098797</v>
          </cell>
          <cell r="P57">
            <v>0.49688848380050199</v>
          </cell>
          <cell r="Q57">
            <v>3.5421362252201397E-2</v>
          </cell>
          <cell r="R57">
            <v>100.16881163801</v>
          </cell>
          <cell r="S57">
            <v>1700.29697532553</v>
          </cell>
          <cell r="T57">
            <v>604.087228728686</v>
          </cell>
          <cell r="U57">
            <v>226.621894294848</v>
          </cell>
          <cell r="V57">
            <v>194.98952736590999</v>
          </cell>
          <cell r="W57">
            <v>229.415892507992</v>
          </cell>
          <cell r="X57">
            <v>445.18243242809399</v>
          </cell>
          <cell r="Y57">
            <v>93.609572609995396</v>
          </cell>
          <cell r="Z57">
            <v>3156.8563523355001</v>
          </cell>
        </row>
        <row r="58">
          <cell r="A58" t="str">
            <v>Selangor</v>
          </cell>
          <cell r="B58">
            <v>10</v>
          </cell>
          <cell r="C58">
            <v>1926.0780961645701</v>
          </cell>
          <cell r="D58">
            <v>1398.0401864160799</v>
          </cell>
          <cell r="E58">
            <v>16.198665220584299</v>
          </cell>
          <cell r="F58">
            <v>511.83924452790802</v>
          </cell>
          <cell r="I58">
            <v>120.5394268836</v>
          </cell>
          <cell r="J58">
            <v>42879.553169723098</v>
          </cell>
          <cell r="K58">
            <v>6111.6100244311201</v>
          </cell>
          <cell r="L58">
            <v>391.82056836067602</v>
          </cell>
          <cell r="M58">
            <v>3468.01000850225</v>
          </cell>
          <cell r="N58">
            <v>4981.8207564943596</v>
          </cell>
          <cell r="O58">
            <v>5479.2930119938301</v>
          </cell>
          <cell r="P58">
            <v>12587.810554621499</v>
          </cell>
          <cell r="Q58">
            <v>9859.1882453193593</v>
          </cell>
          <cell r="R58">
            <v>5962.5217317796596</v>
          </cell>
          <cell r="S58">
            <v>74001.307601711698</v>
          </cell>
          <cell r="T58">
            <v>18524.120851202999</v>
          </cell>
          <cell r="U58">
            <v>24902.310037468</v>
          </cell>
          <cell r="V58">
            <v>18393.353533098099</v>
          </cell>
          <cell r="W58">
            <v>6368.1460691981501</v>
          </cell>
          <cell r="X58">
            <v>5813.3771107443699</v>
          </cell>
          <cell r="Y58">
            <v>3278.9835681526201</v>
          </cell>
          <cell r="Z58">
            <v>128168.983594415</v>
          </cell>
        </row>
        <row r="59">
          <cell r="A59" t="str">
            <v>Terengganu</v>
          </cell>
          <cell r="B59">
            <v>11</v>
          </cell>
          <cell r="C59">
            <v>1632.03023518903</v>
          </cell>
          <cell r="D59">
            <v>1213.60403151183</v>
          </cell>
          <cell r="E59">
            <v>115.89749741553899</v>
          </cell>
          <cell r="F59">
            <v>302.52870626165799</v>
          </cell>
          <cell r="I59">
            <v>8.4853156375849998</v>
          </cell>
          <cell r="J59">
            <v>7757.7226199588704</v>
          </cell>
          <cell r="K59">
            <v>88.477375724607299</v>
          </cell>
          <cell r="L59">
            <v>30.998203227151102</v>
          </cell>
          <cell r="M59">
            <v>159.00427529570399</v>
          </cell>
          <cell r="N59">
            <v>6889.1668489984704</v>
          </cell>
          <cell r="O59">
            <v>518.66213133559404</v>
          </cell>
          <cell r="P59">
            <v>2.1352792242413798</v>
          </cell>
          <cell r="Q59">
            <v>69.2785061531022</v>
          </cell>
          <cell r="R59">
            <v>603.41107275533398</v>
          </cell>
          <cell r="S59">
            <v>8102.3395455419704</v>
          </cell>
          <cell r="T59">
            <v>3243.2024056691098</v>
          </cell>
          <cell r="U59">
            <v>1394.7085072134</v>
          </cell>
          <cell r="V59">
            <v>694.77328642060502</v>
          </cell>
          <cell r="W59">
            <v>811.97478768015003</v>
          </cell>
          <cell r="X59">
            <v>1957.6805585587099</v>
          </cell>
          <cell r="Y59">
            <v>18.347235427577601</v>
          </cell>
          <cell r="Z59">
            <v>18122.336024510401</v>
          </cell>
        </row>
        <row r="60">
          <cell r="A60" t="str">
            <v>Sabah</v>
          </cell>
          <cell r="B60">
            <v>12</v>
          </cell>
          <cell r="C60">
            <v>10473.6851868717</v>
          </cell>
          <cell r="D60">
            <v>6649.4434108846299</v>
          </cell>
          <cell r="E60">
            <v>2350.7109363234599</v>
          </cell>
          <cell r="F60">
            <v>1473.5308396635801</v>
          </cell>
          <cell r="I60">
            <v>4337.8093032542602</v>
          </cell>
          <cell r="J60">
            <v>3333.3739198400399</v>
          </cell>
          <cell r="K60">
            <v>1798.1778391012499</v>
          </cell>
          <cell r="L60">
            <v>25.6433466475467</v>
          </cell>
          <cell r="M60">
            <v>951.56155341564397</v>
          </cell>
          <cell r="N60">
            <v>135.53863364202101</v>
          </cell>
          <cell r="O60">
            <v>271.05142728774501</v>
          </cell>
          <cell r="P60">
            <v>5.4930951319208701</v>
          </cell>
          <cell r="Q60">
            <v>145.908024613919</v>
          </cell>
          <cell r="R60">
            <v>840.29687091461801</v>
          </cell>
          <cell r="S60">
            <v>16185.047988680901</v>
          </cell>
          <cell r="T60">
            <v>2960.43603328276</v>
          </cell>
          <cell r="U60">
            <v>4960.1351085597598</v>
          </cell>
          <cell r="V60">
            <v>3615.4442009204899</v>
          </cell>
          <cell r="W60">
            <v>1512.9524147253101</v>
          </cell>
          <cell r="X60">
            <v>3136.08023119257</v>
          </cell>
          <cell r="Y60">
            <v>147.46786560562299</v>
          </cell>
          <cell r="Z60">
            <v>35317.681135167099</v>
          </cell>
        </row>
        <row r="61">
          <cell r="A61" t="str">
            <v>Sarawak</v>
          </cell>
          <cell r="B61">
            <v>13</v>
          </cell>
          <cell r="C61">
            <v>7345.8647333568897</v>
          </cell>
          <cell r="D61">
            <v>3002.2261686759002</v>
          </cell>
          <cell r="E61">
            <v>3887.7395540604298</v>
          </cell>
          <cell r="F61">
            <v>455.89901062055998</v>
          </cell>
          <cell r="I61">
            <v>17638.187917930001</v>
          </cell>
          <cell r="J61">
            <v>18773.714830696699</v>
          </cell>
          <cell r="K61">
            <v>546.06391167258596</v>
          </cell>
          <cell r="L61">
            <v>18.795457030879</v>
          </cell>
          <cell r="M61">
            <v>2067.6013768422699</v>
          </cell>
          <cell r="N61">
            <v>14494.2306334652</v>
          </cell>
          <cell r="O61">
            <v>512.61185664636503</v>
          </cell>
          <cell r="P61">
            <v>561.256735586579</v>
          </cell>
          <cell r="Q61">
            <v>573.15485945285502</v>
          </cell>
          <cell r="R61">
            <v>1622.8423701986801</v>
          </cell>
          <cell r="S61">
            <v>19659.2988161182</v>
          </cell>
          <cell r="T61">
            <v>4623.3250709520198</v>
          </cell>
          <cell r="U61">
            <v>5117.2655804817005</v>
          </cell>
          <cell r="V61">
            <v>4783.3485571312603</v>
          </cell>
          <cell r="W61">
            <v>2046.85884014463</v>
          </cell>
          <cell r="X61">
            <v>3088.50076740861</v>
          </cell>
          <cell r="Y61">
            <v>243.33206775263201</v>
          </cell>
          <cell r="Z61">
            <v>65283.2407360531</v>
          </cell>
        </row>
        <row r="62">
          <cell r="A62" t="str">
            <v>WP Kuala Lumpur</v>
          </cell>
          <cell r="B62">
            <v>14</v>
          </cell>
          <cell r="C62">
            <v>2.10811167021367</v>
          </cell>
          <cell r="D62">
            <v>2.10811167021367</v>
          </cell>
          <cell r="E62">
            <v>0</v>
          </cell>
          <cell r="F62">
            <v>0</v>
          </cell>
          <cell r="I62">
            <v>26.115905406038401</v>
          </cell>
          <cell r="J62">
            <v>3910.5714731828598</v>
          </cell>
          <cell r="K62">
            <v>386.20834435930999</v>
          </cell>
          <cell r="L62">
            <v>405.675185998367</v>
          </cell>
          <cell r="M62">
            <v>1120.099688883</v>
          </cell>
          <cell r="N62">
            <v>488.72544545218102</v>
          </cell>
          <cell r="O62">
            <v>579.28053505736602</v>
          </cell>
          <cell r="P62">
            <v>403.047947818924</v>
          </cell>
          <cell r="Q62">
            <v>527.53432561371005</v>
          </cell>
          <cell r="R62">
            <v>3007.1003220847301</v>
          </cell>
          <cell r="S62">
            <v>70519.619051935195</v>
          </cell>
          <cell r="T62">
            <v>4793.4802553273303</v>
          </cell>
          <cell r="U62">
            <v>26592.6088788696</v>
          </cell>
          <cell r="V62">
            <v>27016.7380854943</v>
          </cell>
          <cell r="W62">
            <v>3798.2641140737701</v>
          </cell>
          <cell r="X62">
            <v>8318.5277181701003</v>
          </cell>
          <cell r="Y62">
            <v>836.53238728178405</v>
          </cell>
          <cell r="Z62">
            <v>78302.047251560798</v>
          </cell>
        </row>
        <row r="63">
          <cell r="A63" t="str">
            <v>WP Labuan</v>
          </cell>
          <cell r="B63">
            <v>15</v>
          </cell>
          <cell r="C63">
            <v>103.865070873119</v>
          </cell>
          <cell r="D63">
            <v>6.7124170983965996</v>
          </cell>
          <cell r="E63">
            <v>0</v>
          </cell>
          <cell r="F63">
            <v>97.152653774722395</v>
          </cell>
          <cell r="I63">
            <v>0</v>
          </cell>
          <cell r="J63">
            <v>839.74064273709098</v>
          </cell>
          <cell r="K63">
            <v>22.786079043617999</v>
          </cell>
          <cell r="L63">
            <v>2.3822621176249501</v>
          </cell>
          <cell r="M63">
            <v>1.6646989143698101</v>
          </cell>
          <cell r="N63">
            <v>386.54407577023301</v>
          </cell>
          <cell r="O63">
            <v>413.81621392384602</v>
          </cell>
          <cell r="P63">
            <v>0</v>
          </cell>
          <cell r="Q63">
            <v>12.547312967399</v>
          </cell>
          <cell r="R63">
            <v>18.286791709978299</v>
          </cell>
          <cell r="S63">
            <v>1699.0669193485401</v>
          </cell>
          <cell r="T63">
            <v>191.114127334313</v>
          </cell>
          <cell r="U63">
            <v>206.74804917637601</v>
          </cell>
          <cell r="V63">
            <v>1185.6698268964899</v>
          </cell>
          <cell r="W63">
            <v>63.861886646380597</v>
          </cell>
          <cell r="X63">
            <v>51.673029294981802</v>
          </cell>
          <cell r="Y63">
            <v>17.074881227044699</v>
          </cell>
          <cell r="Z63">
            <v>2678.0343058957801</v>
          </cell>
        </row>
        <row r="64">
          <cell r="A64" t="str">
            <v>Supra1</v>
          </cell>
          <cell r="C64">
            <v>0</v>
          </cell>
          <cell r="D64">
            <v>0</v>
          </cell>
          <cell r="E64">
            <v>0</v>
          </cell>
          <cell r="F64">
            <v>0</v>
          </cell>
          <cell r="I64">
            <v>50274.226086704599</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50274.226086704599</v>
          </cell>
        </row>
        <row r="65">
          <cell r="A65" t="str">
            <v>MALAYSIA</v>
          </cell>
          <cell r="C65">
            <v>48187.881112145697</v>
          </cell>
          <cell r="D65">
            <v>33920.9747952947</v>
          </cell>
          <cell r="E65">
            <v>7925.9523854908302</v>
          </cell>
          <cell r="F65">
            <v>6340.9539313602199</v>
          </cell>
          <cell r="I65">
            <v>72758.484274225499</v>
          </cell>
          <cell r="J65">
            <v>165879.45540217799</v>
          </cell>
          <cell r="K65">
            <v>15149.981484566</v>
          </cell>
          <cell r="L65">
            <v>3261.4740081149198</v>
          </cell>
          <cell r="M65">
            <v>12290.1431556931</v>
          </cell>
          <cell r="N65">
            <v>45802.169504751197</v>
          </cell>
          <cell r="O65">
            <v>17618.602334589199</v>
          </cell>
          <cell r="P65">
            <v>52532.297278191698</v>
          </cell>
          <cell r="Q65">
            <v>19224.7876362723</v>
          </cell>
          <cell r="R65">
            <v>17390.5739465685</v>
          </cell>
          <cell r="S65">
            <v>299933.34239847102</v>
          </cell>
          <cell r="T65">
            <v>57402.403871686198</v>
          </cell>
          <cell r="U65">
            <v>91404.971381981901</v>
          </cell>
          <cell r="V65">
            <v>79673.200124777097</v>
          </cell>
          <cell r="W65">
            <v>29958.5279617661</v>
          </cell>
          <cell r="X65">
            <v>41494.2390582593</v>
          </cell>
          <cell r="Y65">
            <v>5937.4319206691798</v>
          </cell>
          <cell r="Z65">
            <v>610087.16905425803</v>
          </cell>
        </row>
        <row r="68">
          <cell r="A68" t="str">
            <v>CONSTANT</v>
          </cell>
          <cell r="B68" t="str">
            <v>Industry</v>
          </cell>
          <cell r="D68">
            <v>1</v>
          </cell>
          <cell r="E68">
            <v>2</v>
          </cell>
          <cell r="F68">
            <v>3</v>
          </cell>
          <cell r="I68">
            <v>4</v>
          </cell>
          <cell r="K68">
            <v>6</v>
          </cell>
          <cell r="L68">
            <v>7</v>
          </cell>
          <cell r="M68">
            <v>8</v>
          </cell>
          <cell r="N68">
            <v>9</v>
          </cell>
          <cell r="O68">
            <v>10</v>
          </cell>
          <cell r="P68">
            <v>11</v>
          </cell>
          <cell r="Q68">
            <v>12</v>
          </cell>
          <cell r="R68">
            <v>5</v>
          </cell>
          <cell r="T68">
            <v>13</v>
          </cell>
          <cell r="U68">
            <v>14</v>
          </cell>
          <cell r="V68">
            <v>15</v>
          </cell>
          <cell r="W68">
            <v>16</v>
          </cell>
        </row>
        <row r="69">
          <cell r="A69">
            <v>2008</v>
          </cell>
          <cell r="B69" t="str">
            <v>I</v>
          </cell>
          <cell r="C69" t="str">
            <v>Agriculture</v>
          </cell>
          <cell r="D69" t="str">
            <v>Tanaman</v>
          </cell>
          <cell r="E69" t="str">
            <v>Pembalakan</v>
          </cell>
          <cell r="F69" t="str">
            <v>Perikanan</v>
          </cell>
          <cell r="I69" t="str">
            <v>Mining andQuarrying</v>
          </cell>
          <cell r="J69" t="str">
            <v>Manufacturing</v>
          </cell>
          <cell r="K69" t="str">
            <v>Prosesan Makanan, Minuman dan Produk Tembakau</v>
          </cell>
          <cell r="L69" t="str">
            <v>Tekstil, Pakaian, Kulit dan Kasut</v>
          </cell>
          <cell r="M69" t="str">
            <v>Keluaran Kayu, Perabot, Produk Kertas, Percetakan dan Penerbitan</v>
          </cell>
          <cell r="N69" t="str">
            <v>Produk Petroleum, Bahan kimia, Getah dan Plastik</v>
          </cell>
          <cell r="O69" t="str">
            <v>Produk Mineral Bukan Logam, Logam Asli dan Produk Logam Yang Direka</v>
          </cell>
          <cell r="P69" t="str">
            <v>Elektrik dan Elektronik</v>
          </cell>
          <cell r="Q69" t="str">
            <v>Kelengkapan Pengangkutan dan Pembuatan Lain</v>
          </cell>
          <cell r="R69" t="str">
            <v>Construction</v>
          </cell>
          <cell r="S69" t="str">
            <v>Services</v>
          </cell>
          <cell r="T69" t="str">
            <v>Utiliti, Transport &amp; Communication</v>
          </cell>
          <cell r="U69" t="str">
            <v>WRT, Accomm &amp; Restaurant</v>
          </cell>
          <cell r="V69" t="str">
            <v>Finance &amp; Insurance, Real Estate &amp; Business Services</v>
          </cell>
          <cell r="W69" t="str">
            <v>Other Services</v>
          </cell>
          <cell r="X69" t="str">
            <v>Government Services</v>
          </cell>
          <cell r="Y69" t="str">
            <v>Plus :Import Duties</v>
          </cell>
          <cell r="Z69" t="str">
            <v>GDP atPurchasers' Prices</v>
          </cell>
        </row>
        <row r="70">
          <cell r="A70" t="str">
            <v>States</v>
          </cell>
          <cell r="B70" t="str">
            <v>Converter</v>
          </cell>
        </row>
        <row r="71">
          <cell r="A71" t="str">
            <v>Johor</v>
          </cell>
          <cell r="B71" t="str">
            <v>01</v>
          </cell>
          <cell r="C71">
            <v>7170.5642833848297</v>
          </cell>
          <cell r="D71">
            <v>6552.3323969553603</v>
          </cell>
          <cell r="E71">
            <v>53.570652274507502</v>
          </cell>
          <cell r="F71">
            <v>564.66123415495804</v>
          </cell>
          <cell r="I71">
            <v>53.974312406284497</v>
          </cell>
          <cell r="J71">
            <v>20027.698931422499</v>
          </cell>
          <cell r="K71">
            <v>2237.44821476371</v>
          </cell>
          <cell r="L71">
            <v>886.10036568846795</v>
          </cell>
          <cell r="M71">
            <v>1629.6346386585401</v>
          </cell>
          <cell r="N71">
            <v>3795.0370578501402</v>
          </cell>
          <cell r="O71">
            <v>2785.61796350646</v>
          </cell>
          <cell r="P71">
            <v>6962.8762218903703</v>
          </cell>
          <cell r="Q71">
            <v>1730.9844690647899</v>
          </cell>
          <cell r="R71">
            <v>1597.09857176644</v>
          </cell>
          <cell r="S71">
            <v>27296.435615271399</v>
          </cell>
          <cell r="T71">
            <v>6090.7424245899101</v>
          </cell>
          <cell r="U71">
            <v>6594.7816774399598</v>
          </cell>
          <cell r="V71">
            <v>7868.2839034950102</v>
          </cell>
          <cell r="W71">
            <v>2685.0853995655002</v>
          </cell>
          <cell r="X71">
            <v>4057.54221018098</v>
          </cell>
          <cell r="Y71">
            <v>844.05037865614395</v>
          </cell>
          <cell r="Z71">
            <v>56989.822092907503</v>
          </cell>
        </row>
        <row r="72">
          <cell r="A72" t="str">
            <v>Kedah</v>
          </cell>
          <cell r="B72" t="str">
            <v>02</v>
          </cell>
          <cell r="C72">
            <v>2748.1771608968802</v>
          </cell>
          <cell r="D72">
            <v>2288.3694176890999</v>
          </cell>
          <cell r="E72">
            <v>111.010602879665</v>
          </cell>
          <cell r="F72">
            <v>348.797140328117</v>
          </cell>
          <cell r="I72">
            <v>18.239695550862301</v>
          </cell>
          <cell r="J72">
            <v>6957.01496376864</v>
          </cell>
          <cell r="K72">
            <v>312.23867581872599</v>
          </cell>
          <cell r="L72">
            <v>58.534298160208799</v>
          </cell>
          <cell r="M72">
            <v>433.20309421368199</v>
          </cell>
          <cell r="N72">
            <v>1355.4752458636899</v>
          </cell>
          <cell r="O72">
            <v>2010.05922817587</v>
          </cell>
          <cell r="P72">
            <v>1883.5947183666101</v>
          </cell>
          <cell r="Q72">
            <v>903.90970316987</v>
          </cell>
          <cell r="R72">
            <v>571.38911527631399</v>
          </cell>
          <cell r="S72">
            <v>10774.2800166954</v>
          </cell>
          <cell r="T72">
            <v>1586.08816408142</v>
          </cell>
          <cell r="U72">
            <v>2801.87031589756</v>
          </cell>
          <cell r="V72">
            <v>2035.2337212831801</v>
          </cell>
          <cell r="W72">
            <v>1798.1172809443001</v>
          </cell>
          <cell r="X72">
            <v>2552.9705344889198</v>
          </cell>
          <cell r="Y72">
            <v>139.64890039374501</v>
          </cell>
          <cell r="Z72">
            <v>21208.749852581801</v>
          </cell>
        </row>
        <row r="73">
          <cell r="A73" t="str">
            <v>Kelantan</v>
          </cell>
          <cell r="B73" t="str">
            <v>03</v>
          </cell>
          <cell r="C73">
            <v>3027.6310674799702</v>
          </cell>
          <cell r="D73">
            <v>2152.0116431654001</v>
          </cell>
          <cell r="E73">
            <v>606.16328206114895</v>
          </cell>
          <cell r="F73">
            <v>269.45614225342302</v>
          </cell>
          <cell r="I73">
            <v>15.925022656613001</v>
          </cell>
          <cell r="J73">
            <v>572.15677675997199</v>
          </cell>
          <cell r="K73">
            <v>99.081637376973802</v>
          </cell>
          <cell r="L73">
            <v>51.710970220077101</v>
          </cell>
          <cell r="M73">
            <v>72.546847023653996</v>
          </cell>
          <cell r="N73">
            <v>83.620713062007098</v>
          </cell>
          <cell r="O73">
            <v>54.650643089896597</v>
          </cell>
          <cell r="P73">
            <v>201.49060798824399</v>
          </cell>
          <cell r="Q73">
            <v>9.0553579991195896</v>
          </cell>
          <cell r="R73">
            <v>175.86575138221801</v>
          </cell>
          <cell r="S73">
            <v>7393.6547099700801</v>
          </cell>
          <cell r="T73">
            <v>824.08031562158999</v>
          </cell>
          <cell r="U73">
            <v>2057.9749224587299</v>
          </cell>
          <cell r="V73">
            <v>920.86422992535597</v>
          </cell>
          <cell r="W73">
            <v>1262.6577309111999</v>
          </cell>
          <cell r="X73">
            <v>2328.0775110531999</v>
          </cell>
          <cell r="Y73">
            <v>18.0995391250277</v>
          </cell>
          <cell r="Z73">
            <v>11203.3328673739</v>
          </cell>
        </row>
        <row r="74">
          <cell r="A74" t="str">
            <v>Melaka</v>
          </cell>
          <cell r="B74" t="str">
            <v>04</v>
          </cell>
          <cell r="C74">
            <v>1252.3213332514199</v>
          </cell>
          <cell r="D74">
            <v>1225.31767718993</v>
          </cell>
          <cell r="E74">
            <v>0.27325933110072698</v>
          </cell>
          <cell r="F74">
            <v>26.730396730389899</v>
          </cell>
          <cell r="I74">
            <v>8.1132989453658606</v>
          </cell>
          <cell r="J74">
            <v>8527.0481185479202</v>
          </cell>
          <cell r="K74">
            <v>342.85015923026702</v>
          </cell>
          <cell r="L74">
            <v>189.85552542873799</v>
          </cell>
          <cell r="M74">
            <v>401.68897417256602</v>
          </cell>
          <cell r="N74">
            <v>3249.9228676149</v>
          </cell>
          <cell r="O74">
            <v>594.37140616983504</v>
          </cell>
          <cell r="P74">
            <v>2223.9017940836602</v>
          </cell>
          <cell r="Q74">
            <v>1524.45739184795</v>
          </cell>
          <cell r="R74">
            <v>523.57995395986302</v>
          </cell>
          <cell r="S74">
            <v>7927.08095236587</v>
          </cell>
          <cell r="T74">
            <v>1453.1112885344901</v>
          </cell>
          <cell r="U74">
            <v>2669.98556973717</v>
          </cell>
          <cell r="V74">
            <v>1568.19399157097</v>
          </cell>
          <cell r="W74">
            <v>1051.7554282571</v>
          </cell>
          <cell r="X74">
            <v>1184.03467426615</v>
          </cell>
          <cell r="Y74">
            <v>11.4618260640027</v>
          </cell>
          <cell r="Z74">
            <v>18249.605483134401</v>
          </cell>
        </row>
        <row r="75">
          <cell r="A75" t="str">
            <v>Negeri Sembilan</v>
          </cell>
          <cell r="B75" t="str">
            <v>05</v>
          </cell>
          <cell r="C75">
            <v>1832.08891157927</v>
          </cell>
          <cell r="D75">
            <v>1773.65348057865</v>
          </cell>
          <cell r="E75">
            <v>31.470822994454402</v>
          </cell>
          <cell r="F75">
            <v>26.964608006166099</v>
          </cell>
          <cell r="I75">
            <v>19.239437471789</v>
          </cell>
          <cell r="J75">
            <v>12037.523484368199</v>
          </cell>
          <cell r="K75">
            <v>1157.1717543028701</v>
          </cell>
          <cell r="L75">
            <v>468.15762514419498</v>
          </cell>
          <cell r="M75">
            <v>321.67196918713699</v>
          </cell>
          <cell r="N75">
            <v>2993.8336955334898</v>
          </cell>
          <cell r="O75">
            <v>934.14198202758598</v>
          </cell>
          <cell r="P75">
            <v>5126.0242008203104</v>
          </cell>
          <cell r="Q75">
            <v>1036.5222573526401</v>
          </cell>
          <cell r="R75">
            <v>495.027490900494</v>
          </cell>
          <cell r="S75">
            <v>9154.7227376740193</v>
          </cell>
          <cell r="T75">
            <v>2141.9358079268</v>
          </cell>
          <cell r="U75">
            <v>2308.7027253908</v>
          </cell>
          <cell r="V75">
            <v>1927.19666318128</v>
          </cell>
          <cell r="W75">
            <v>1202.93770936334</v>
          </cell>
          <cell r="X75">
            <v>1573.9498318117901</v>
          </cell>
          <cell r="Y75">
            <v>117.980859251675</v>
          </cell>
          <cell r="Z75">
            <v>23656.582921245499</v>
          </cell>
        </row>
        <row r="76">
          <cell r="A76" t="str">
            <v>Pahang</v>
          </cell>
          <cell r="B76" t="str">
            <v>06</v>
          </cell>
          <cell r="C76">
            <v>5455.0762771085901</v>
          </cell>
          <cell r="D76">
            <v>4452.4266430297102</v>
          </cell>
          <cell r="E76">
            <v>470.116956441659</v>
          </cell>
          <cell r="F76">
            <v>532.53267763721999</v>
          </cell>
          <cell r="I76">
            <v>100.36584932021999</v>
          </cell>
          <cell r="J76">
            <v>7210.2004057692702</v>
          </cell>
          <cell r="K76">
            <v>769.87151506442399</v>
          </cell>
          <cell r="L76">
            <v>12.385865540607201</v>
          </cell>
          <cell r="M76">
            <v>413.97902222490598</v>
          </cell>
          <cell r="N76">
            <v>3068.0492317742501</v>
          </cell>
          <cell r="O76">
            <v>769.63818148399798</v>
          </cell>
          <cell r="P76">
            <v>51.3753888189731</v>
          </cell>
          <cell r="Q76">
            <v>2124.9012008621198</v>
          </cell>
          <cell r="R76">
            <v>661.57161300783503</v>
          </cell>
          <cell r="S76">
            <v>12973.6076465391</v>
          </cell>
          <cell r="T76">
            <v>1378.1853080583901</v>
          </cell>
          <cell r="U76">
            <v>4148.2442956492296</v>
          </cell>
          <cell r="V76">
            <v>1753.4240565396999</v>
          </cell>
          <cell r="W76">
            <v>3208.2121272485101</v>
          </cell>
          <cell r="X76">
            <v>2485.5418590432901</v>
          </cell>
          <cell r="Y76">
            <v>63.757302087708602</v>
          </cell>
          <cell r="Z76">
            <v>26464.579093832799</v>
          </cell>
        </row>
        <row r="77">
          <cell r="A77" t="str">
            <v>Pulau Pinang</v>
          </cell>
          <cell r="B77" t="str">
            <v>07</v>
          </cell>
          <cell r="C77">
            <v>749.94035118466797</v>
          </cell>
          <cell r="D77">
            <v>526.21122120474399</v>
          </cell>
          <cell r="E77">
            <v>0</v>
          </cell>
          <cell r="F77">
            <v>223.72912997992401</v>
          </cell>
          <cell r="I77">
            <v>18.986404553479499</v>
          </cell>
          <cell r="J77">
            <v>26348.444882624201</v>
          </cell>
          <cell r="K77">
            <v>689.29693633182296</v>
          </cell>
          <cell r="L77">
            <v>490.58533614708301</v>
          </cell>
          <cell r="M77">
            <v>767.56532285628998</v>
          </cell>
          <cell r="N77">
            <v>1888.14782222227</v>
          </cell>
          <cell r="O77">
            <v>1809.1693963134801</v>
          </cell>
          <cell r="P77">
            <v>19072.286939373898</v>
          </cell>
          <cell r="Q77">
            <v>1631.39312937931</v>
          </cell>
          <cell r="R77">
            <v>1004.94153188345</v>
          </cell>
          <cell r="S77">
            <v>20266.906143440901</v>
          </cell>
          <cell r="T77">
            <v>4211.9582272429398</v>
          </cell>
          <cell r="U77">
            <v>5915.1172258340403</v>
          </cell>
          <cell r="V77">
            <v>5883.18430518072</v>
          </cell>
          <cell r="W77">
            <v>2013.78632840968</v>
          </cell>
          <cell r="X77">
            <v>2242.8600567734702</v>
          </cell>
          <cell r="Y77">
            <v>359.64911542058502</v>
          </cell>
          <cell r="Z77">
            <v>48748.868429107199</v>
          </cell>
        </row>
        <row r="78">
          <cell r="A78" t="str">
            <v>Perak</v>
          </cell>
          <cell r="B78" t="str">
            <v>08</v>
          </cell>
          <cell r="C78">
            <v>5067.8059180852897</v>
          </cell>
          <cell r="D78">
            <v>3719.44414090086</v>
          </cell>
          <cell r="E78">
            <v>368.25569428126801</v>
          </cell>
          <cell r="F78">
            <v>980.10608290315702</v>
          </cell>
          <cell r="I78">
            <v>103.184457255374</v>
          </cell>
          <cell r="J78">
            <v>6605.2252252100297</v>
          </cell>
          <cell r="K78">
            <v>869.57174628031896</v>
          </cell>
          <cell r="L78">
            <v>197.240495601915</v>
          </cell>
          <cell r="M78">
            <v>312.94982545181699</v>
          </cell>
          <cell r="N78">
            <v>1474.0761624444301</v>
          </cell>
          <cell r="O78">
            <v>1534.8566587800401</v>
          </cell>
          <cell r="P78">
            <v>1699.8833316723999</v>
          </cell>
          <cell r="Q78">
            <v>516.64700497911201</v>
          </cell>
          <cell r="R78">
            <v>582.50096026431402</v>
          </cell>
          <cell r="S78">
            <v>20679.2256318416</v>
          </cell>
          <cell r="T78">
            <v>5833.6995245607004</v>
          </cell>
          <cell r="U78">
            <v>4823.5297935970402</v>
          </cell>
          <cell r="V78">
            <v>3897.9275608838998</v>
          </cell>
          <cell r="W78">
            <v>2642.6796385010898</v>
          </cell>
          <cell r="X78">
            <v>3481.38911429888</v>
          </cell>
          <cell r="Y78">
            <v>21.596787120596598</v>
          </cell>
          <cell r="Z78">
            <v>33059.5389797772</v>
          </cell>
        </row>
        <row r="79">
          <cell r="A79" t="str">
            <v>Perlis</v>
          </cell>
          <cell r="B79" t="str">
            <v>09</v>
          </cell>
          <cell r="C79">
            <v>935.57928140876095</v>
          </cell>
          <cell r="D79">
            <v>268.76405732769098</v>
          </cell>
          <cell r="E79">
            <v>0</v>
          </cell>
          <cell r="F79">
            <v>666.81522408107003</v>
          </cell>
          <cell r="I79">
            <v>7.8015227651921801</v>
          </cell>
          <cell r="J79">
            <v>349.32019348366998</v>
          </cell>
          <cell r="K79">
            <v>54.502227089057698</v>
          </cell>
          <cell r="L79">
            <v>51.629230750296998</v>
          </cell>
          <cell r="M79">
            <v>4.1927671943535598</v>
          </cell>
          <cell r="N79">
            <v>95.164894575306803</v>
          </cell>
          <cell r="O79">
            <v>142.89041771363799</v>
          </cell>
          <cell r="P79">
            <v>0.41720944774469298</v>
          </cell>
          <cell r="Q79">
            <v>0.52344671327310199</v>
          </cell>
          <cell r="R79">
            <v>101.26540747310899</v>
          </cell>
          <cell r="S79">
            <v>1789.43683170176</v>
          </cell>
          <cell r="T79">
            <v>618.26873703333501</v>
          </cell>
          <cell r="U79">
            <v>250.42582661869599</v>
          </cell>
          <cell r="V79">
            <v>229.64700012768901</v>
          </cell>
          <cell r="W79">
            <v>238.11756091022201</v>
          </cell>
          <cell r="X79">
            <v>452.97770701181599</v>
          </cell>
          <cell r="Y79">
            <v>66.343859851239401</v>
          </cell>
          <cell r="Z79">
            <v>3249.74709668373</v>
          </cell>
        </row>
        <row r="80">
          <cell r="A80" t="str">
            <v>Selangor</v>
          </cell>
          <cell r="B80">
            <v>10</v>
          </cell>
          <cell r="C80">
            <v>2306.4004204636199</v>
          </cell>
          <cell r="D80">
            <v>1636.27720951693</v>
          </cell>
          <cell r="E80">
            <v>13.6682036104921</v>
          </cell>
          <cell r="F80">
            <v>656.45500733619497</v>
          </cell>
          <cell r="I80">
            <v>121.688062496567</v>
          </cell>
          <cell r="J80">
            <v>44795.331237077102</v>
          </cell>
          <cell r="K80">
            <v>6715.4856658059798</v>
          </cell>
          <cell r="L80">
            <v>528.29252835263401</v>
          </cell>
          <cell r="M80">
            <v>3810.00459350437</v>
          </cell>
          <cell r="N80">
            <v>5878.6944612834995</v>
          </cell>
          <cell r="O80">
            <v>5875.0931975616904</v>
          </cell>
          <cell r="P80">
            <v>11039.3291554592</v>
          </cell>
          <cell r="Q80">
            <v>10948.4316351097</v>
          </cell>
          <cell r="R80">
            <v>6243.9686026801</v>
          </cell>
          <cell r="S80">
            <v>81917.655086211103</v>
          </cell>
          <cell r="T80">
            <v>19834.486867533</v>
          </cell>
          <cell r="U80">
            <v>27732.002140549001</v>
          </cell>
          <cell r="V80">
            <v>21135.3151207962</v>
          </cell>
          <cell r="W80">
            <v>6917.3595796658901</v>
          </cell>
          <cell r="X80">
            <v>6298.4913776670401</v>
          </cell>
          <cell r="Y80">
            <v>4492.0200225018598</v>
          </cell>
          <cell r="Z80">
            <v>139877.06343143</v>
          </cell>
        </row>
        <row r="81">
          <cell r="A81" t="str">
            <v>Terengganu</v>
          </cell>
          <cell r="B81">
            <v>11</v>
          </cell>
          <cell r="C81">
            <v>1868.7466500673299</v>
          </cell>
          <cell r="D81">
            <v>1376.63104168482</v>
          </cell>
          <cell r="E81">
            <v>123.549504003599</v>
          </cell>
          <cell r="F81">
            <v>368.56610437891601</v>
          </cell>
          <cell r="I81">
            <v>9.5909415136728509</v>
          </cell>
          <cell r="J81">
            <v>7568.4216460510097</v>
          </cell>
          <cell r="K81">
            <v>60.844329089771499</v>
          </cell>
          <cell r="L81">
            <v>30.1785211503163</v>
          </cell>
          <cell r="M81">
            <v>108.103254450601</v>
          </cell>
          <cell r="N81">
            <v>6666.2671079688998</v>
          </cell>
          <cell r="O81">
            <v>590.64019872650704</v>
          </cell>
          <cell r="P81">
            <v>2.89261597011456</v>
          </cell>
          <cell r="Q81">
            <v>109.49561869479101</v>
          </cell>
          <cell r="R81">
            <v>571.792479817051</v>
          </cell>
          <cell r="S81">
            <v>8459.2870635188992</v>
          </cell>
          <cell r="T81">
            <v>3335.1416614582399</v>
          </cell>
          <cell r="U81">
            <v>1527.3126581572801</v>
          </cell>
          <cell r="V81">
            <v>753.40514713643597</v>
          </cell>
          <cell r="W81">
            <v>853.55315647359896</v>
          </cell>
          <cell r="X81">
            <v>1989.8744402933401</v>
          </cell>
          <cell r="Y81">
            <v>22.352791701644001</v>
          </cell>
          <cell r="Z81">
            <v>18500.191572669599</v>
          </cell>
        </row>
        <row r="82">
          <cell r="A82" t="str">
            <v>Sabah</v>
          </cell>
          <cell r="B82">
            <v>12</v>
          </cell>
          <cell r="C82">
            <v>10094.902381182599</v>
          </cell>
          <cell r="D82">
            <v>6662.8019414520804</v>
          </cell>
          <cell r="E82">
            <v>1916.47704071711</v>
          </cell>
          <cell r="F82">
            <v>1515.6233990134201</v>
          </cell>
          <cell r="I82">
            <v>8037.0394100663098</v>
          </cell>
          <cell r="J82">
            <v>3412.1274698001698</v>
          </cell>
          <cell r="K82">
            <v>1951.46261811467</v>
          </cell>
          <cell r="L82">
            <v>30.8890325568645</v>
          </cell>
          <cell r="M82">
            <v>896.60369368980196</v>
          </cell>
          <cell r="N82">
            <v>130.35469092791101</v>
          </cell>
          <cell r="O82">
            <v>264.13360365970101</v>
          </cell>
          <cell r="P82">
            <v>7.1228420514294299</v>
          </cell>
          <cell r="Q82">
            <v>131.56098879979601</v>
          </cell>
          <cell r="R82">
            <v>823.31542778865503</v>
          </cell>
          <cell r="S82">
            <v>16548.3369776412</v>
          </cell>
          <cell r="T82">
            <v>3155.34217557493</v>
          </cell>
          <cell r="U82">
            <v>5386.8789916800997</v>
          </cell>
          <cell r="V82">
            <v>3170.1727072173899</v>
          </cell>
          <cell r="W82">
            <v>1600.27552420761</v>
          </cell>
          <cell r="X82">
            <v>3235.66757896117</v>
          </cell>
          <cell r="Y82">
            <v>198.26699960755701</v>
          </cell>
          <cell r="Z82">
            <v>39113.988666086501</v>
          </cell>
        </row>
        <row r="83">
          <cell r="A83" t="str">
            <v>Sarawak</v>
          </cell>
          <cell r="B83">
            <v>13</v>
          </cell>
          <cell r="C83">
            <v>7415.2679328992299</v>
          </cell>
          <cell r="D83">
            <v>3152.3724412413499</v>
          </cell>
          <cell r="E83">
            <v>3831.8281290446598</v>
          </cell>
          <cell r="F83">
            <v>431.06736261321799</v>
          </cell>
          <cell r="I83">
            <v>16465.054567110299</v>
          </cell>
          <cell r="J83">
            <v>18472.101260906202</v>
          </cell>
          <cell r="K83">
            <v>587.73011486882899</v>
          </cell>
          <cell r="L83">
            <v>20.5740816912508</v>
          </cell>
          <cell r="M83">
            <v>1478.17446056941</v>
          </cell>
          <cell r="N83">
            <v>14918.7790363242</v>
          </cell>
          <cell r="O83">
            <v>462.07136159612202</v>
          </cell>
          <cell r="P83">
            <v>489.41684695457099</v>
          </cell>
          <cell r="Q83">
            <v>515.35535890174697</v>
          </cell>
          <cell r="R83">
            <v>1584.5546063460699</v>
          </cell>
          <cell r="S83">
            <v>21221.6999350355</v>
          </cell>
          <cell r="T83">
            <v>4928.2390888015098</v>
          </cell>
          <cell r="U83">
            <v>5752.67169501841</v>
          </cell>
          <cell r="V83">
            <v>5260.6696718154899</v>
          </cell>
          <cell r="W83">
            <v>2131.7620709674802</v>
          </cell>
          <cell r="X83">
            <v>3148.3574084326401</v>
          </cell>
          <cell r="Y83">
            <v>311.57940890856401</v>
          </cell>
          <cell r="Z83">
            <v>65470.257711205901</v>
          </cell>
        </row>
        <row r="84">
          <cell r="A84" t="str">
            <v>WP Kuala Lumpur</v>
          </cell>
          <cell r="B84">
            <v>14</v>
          </cell>
          <cell r="C84">
            <v>1.8243439513005599</v>
          </cell>
          <cell r="D84">
            <v>1.8243439513005599</v>
          </cell>
          <cell r="E84">
            <v>0</v>
          </cell>
          <cell r="F84">
            <v>0</v>
          </cell>
          <cell r="I84">
            <v>26.4050261874564</v>
          </cell>
          <cell r="J84">
            <v>3672.1549682251498</v>
          </cell>
          <cell r="K84">
            <v>432.68358955642702</v>
          </cell>
          <cell r="L84">
            <v>296.30800336994702</v>
          </cell>
          <cell r="M84">
            <v>1036.5487339948099</v>
          </cell>
          <cell r="N84">
            <v>589.69570351422101</v>
          </cell>
          <cell r="O84">
            <v>501.07118610173001</v>
          </cell>
          <cell r="P84">
            <v>241.79047869049501</v>
          </cell>
          <cell r="Q84">
            <v>574.05727299752505</v>
          </cell>
          <cell r="R84">
            <v>3193.9793919204899</v>
          </cell>
          <cell r="S84">
            <v>77689.654913025704</v>
          </cell>
          <cell r="T84">
            <v>5215.9939333560897</v>
          </cell>
          <cell r="U84">
            <v>29153.1803434828</v>
          </cell>
          <cell r="V84">
            <v>29696.389046616001</v>
          </cell>
          <cell r="W84">
            <v>4092.2781887101501</v>
          </cell>
          <cell r="X84">
            <v>9531.8134008606503</v>
          </cell>
          <cell r="Y84">
            <v>829.82722957740998</v>
          </cell>
          <cell r="Z84">
            <v>85413.845872887498</v>
          </cell>
        </row>
        <row r="85">
          <cell r="A85" t="str">
            <v>WP Labuan</v>
          </cell>
          <cell r="B85">
            <v>15</v>
          </cell>
          <cell r="C85">
            <v>109.50032694180101</v>
          </cell>
          <cell r="D85">
            <v>9.0733866410139097</v>
          </cell>
          <cell r="E85">
            <v>0</v>
          </cell>
          <cell r="F85">
            <v>100.426940300787</v>
          </cell>
          <cell r="I85">
            <v>0</v>
          </cell>
          <cell r="J85">
            <v>593.17885993159598</v>
          </cell>
          <cell r="K85">
            <v>23.962238160576899</v>
          </cell>
          <cell r="L85">
            <v>2.4967399763865399</v>
          </cell>
          <cell r="M85">
            <v>1.50252930750069</v>
          </cell>
          <cell r="N85">
            <v>298.46286538655602</v>
          </cell>
          <cell r="O85">
            <v>256.38808224051598</v>
          </cell>
          <cell r="P85">
            <v>0</v>
          </cell>
          <cell r="Q85">
            <v>10.366404860059401</v>
          </cell>
          <cell r="R85">
            <v>20.509544214180899</v>
          </cell>
          <cell r="S85">
            <v>1619.7325058092599</v>
          </cell>
          <cell r="T85">
            <v>208.12885045006999</v>
          </cell>
          <cell r="U85">
            <v>220.514676171806</v>
          </cell>
          <cell r="V85">
            <v>1057.60027749454</v>
          </cell>
          <cell r="W85">
            <v>64.388805102398393</v>
          </cell>
          <cell r="X85">
            <v>69.099896590450001</v>
          </cell>
          <cell r="Y85">
            <v>26.174126121139601</v>
          </cell>
          <cell r="Z85">
            <v>2369.0953630179802</v>
          </cell>
        </row>
        <row r="86">
          <cell r="A86" t="str">
            <v>Supra1</v>
          </cell>
          <cell r="C86">
            <v>0</v>
          </cell>
          <cell r="D86">
            <v>0</v>
          </cell>
          <cell r="E86">
            <v>0</v>
          </cell>
          <cell r="F86">
            <v>0</v>
          </cell>
          <cell r="I86">
            <v>45989.894528632904</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45989.894528632904</v>
          </cell>
        </row>
        <row r="87">
          <cell r="A87" t="str">
            <v>MALAYSIA</v>
          </cell>
          <cell r="C87">
            <v>50035.826639885599</v>
          </cell>
          <cell r="D87">
            <v>35797.511042528997</v>
          </cell>
          <cell r="E87">
            <v>7526.3841476396701</v>
          </cell>
          <cell r="F87">
            <v>6711.9314497169698</v>
          </cell>
          <cell r="I87">
            <v>70995.502536932399</v>
          </cell>
          <cell r="J87">
            <v>167147.94842394601</v>
          </cell>
          <cell r="K87">
            <v>16304.201421854401</v>
          </cell>
          <cell r="L87">
            <v>3314.93861977899</v>
          </cell>
          <cell r="M87">
            <v>11688.369726499401</v>
          </cell>
          <cell r="N87">
            <v>46485.581556345802</v>
          </cell>
          <cell r="O87">
            <v>18584.7935071471</v>
          </cell>
          <cell r="P87">
            <v>49002.402351588098</v>
          </cell>
          <cell r="Q87">
            <v>21767.661240731799</v>
          </cell>
          <cell r="R87">
            <v>18151.3604486806</v>
          </cell>
          <cell r="S87">
            <v>325711.716766742</v>
          </cell>
          <cell r="T87">
            <v>60815.402374823403</v>
          </cell>
          <cell r="U87">
            <v>101343.192857683</v>
          </cell>
          <cell r="V87">
            <v>87157.507403263895</v>
          </cell>
          <cell r="W87">
            <v>31762.9665292381</v>
          </cell>
          <cell r="X87">
            <v>44632.647601733799</v>
          </cell>
          <cell r="Y87">
            <v>7522.8091463889004</v>
          </cell>
          <cell r="Z87">
            <v>639565.16396257502</v>
          </cell>
        </row>
        <row r="90">
          <cell r="A90" t="str">
            <v>CONSTANT</v>
          </cell>
          <cell r="B90" t="str">
            <v>Industry</v>
          </cell>
          <cell r="D90">
            <v>1</v>
          </cell>
          <cell r="E90">
            <v>2</v>
          </cell>
          <cell r="F90">
            <v>3</v>
          </cell>
          <cell r="I90">
            <v>4</v>
          </cell>
          <cell r="K90">
            <v>6</v>
          </cell>
          <cell r="L90">
            <v>7</v>
          </cell>
          <cell r="M90">
            <v>8</v>
          </cell>
          <cell r="N90">
            <v>9</v>
          </cell>
          <cell r="O90">
            <v>10</v>
          </cell>
          <cell r="P90">
            <v>11</v>
          </cell>
          <cell r="Q90">
            <v>12</v>
          </cell>
          <cell r="R90">
            <v>5</v>
          </cell>
          <cell r="T90">
            <v>13</v>
          </cell>
          <cell r="U90">
            <v>14</v>
          </cell>
          <cell r="V90">
            <v>15</v>
          </cell>
          <cell r="W90">
            <v>16</v>
          </cell>
        </row>
        <row r="91">
          <cell r="A91">
            <v>2009</v>
          </cell>
          <cell r="B91" t="str">
            <v>I</v>
          </cell>
          <cell r="C91" t="str">
            <v>Agriculture</v>
          </cell>
          <cell r="D91" t="str">
            <v>Tanaman</v>
          </cell>
          <cell r="E91" t="str">
            <v>Pembalakan</v>
          </cell>
          <cell r="F91" t="str">
            <v>Perikanan</v>
          </cell>
          <cell r="I91" t="str">
            <v>Mining andQuarrying</v>
          </cell>
          <cell r="J91" t="str">
            <v>Manufacturing</v>
          </cell>
          <cell r="K91" t="str">
            <v>Prosesan Makanan, Minuman dan Produk Tembakau</v>
          </cell>
          <cell r="L91" t="str">
            <v>Tekstil, Pakaian, Kulit dan Kasut</v>
          </cell>
          <cell r="M91" t="str">
            <v>Keluaran Kayu, Perabot, Produk Kertas, Percetakan dan Penerbitan</v>
          </cell>
          <cell r="N91" t="str">
            <v>Produk Petroleum, Bahan kimia, Getah dan Plastik</v>
          </cell>
          <cell r="O91" t="str">
            <v>Produk Mineral Bukan Logam, Logam Asli dan Produk Logam Yang Direka</v>
          </cell>
          <cell r="P91" t="str">
            <v>Elektrik dan Elektronik</v>
          </cell>
          <cell r="Q91" t="str">
            <v>Kelengkapan Pengangkutan dan Pembuatan Lain</v>
          </cell>
          <cell r="R91" t="str">
            <v>Construction</v>
          </cell>
          <cell r="S91" t="str">
            <v>Services</v>
          </cell>
          <cell r="T91" t="str">
            <v>Utiliti, Transport &amp; Communication</v>
          </cell>
          <cell r="U91" t="str">
            <v>WRT, Accomm &amp; Restaurant</v>
          </cell>
          <cell r="V91" t="str">
            <v>Finance &amp; Insurance, Real Estate &amp; Business Services</v>
          </cell>
          <cell r="W91" t="str">
            <v>Other Services</v>
          </cell>
          <cell r="X91" t="str">
            <v>Government Services</v>
          </cell>
          <cell r="Y91" t="str">
            <v>Plus :Import Duties</v>
          </cell>
          <cell r="Z91" t="str">
            <v>GDP atPurchasers' Prices</v>
          </cell>
        </row>
        <row r="92">
          <cell r="A92" t="str">
            <v>States</v>
          </cell>
          <cell r="B92" t="str">
            <v>Converter</v>
          </cell>
        </row>
        <row r="93">
          <cell r="A93" t="str">
            <v>Johor</v>
          </cell>
          <cell r="B93" t="str">
            <v>01</v>
          </cell>
          <cell r="C93">
            <v>7448.2393672682201</v>
          </cell>
          <cell r="D93">
            <v>6847.5819260768603</v>
          </cell>
          <cell r="E93">
            <v>43.148358243858802</v>
          </cell>
          <cell r="F93">
            <v>557.50908294750695</v>
          </cell>
          <cell r="I93">
            <v>59.342094682436503</v>
          </cell>
          <cell r="J93">
            <v>17649.556571429999</v>
          </cell>
          <cell r="K93">
            <v>2196.4159051557499</v>
          </cell>
          <cell r="L93">
            <v>691.51393536519902</v>
          </cell>
          <cell r="M93">
            <v>1559.7683565330301</v>
          </cell>
          <cell r="N93">
            <v>3946.1300152973099</v>
          </cell>
          <cell r="O93">
            <v>2493.6886518238498</v>
          </cell>
          <cell r="P93">
            <v>5311.1443811066201</v>
          </cell>
          <cell r="Q93">
            <v>1450.89532614825</v>
          </cell>
          <cell r="R93">
            <v>1816.64880833851</v>
          </cell>
          <cell r="S93">
            <v>27526.586490464801</v>
          </cell>
          <cell r="T93">
            <v>6167.6168495386601</v>
          </cell>
          <cell r="U93">
            <v>6632.5592981160198</v>
          </cell>
          <cell r="V93">
            <v>7738.6868869909704</v>
          </cell>
          <cell r="W93">
            <v>2764.9668714607701</v>
          </cell>
          <cell r="X93">
            <v>4222.7565843583598</v>
          </cell>
          <cell r="Y93">
            <v>767.47506695744096</v>
          </cell>
          <cell r="Z93">
            <v>55267.848399141403</v>
          </cell>
        </row>
        <row r="94">
          <cell r="A94" t="str">
            <v>Kedah</v>
          </cell>
          <cell r="B94" t="str">
            <v>02</v>
          </cell>
          <cell r="C94">
            <v>2758.2466806103798</v>
          </cell>
          <cell r="D94">
            <v>2251.4234052946399</v>
          </cell>
          <cell r="E94">
            <v>104.165916289599</v>
          </cell>
          <cell r="F94">
            <v>402.65735902614199</v>
          </cell>
          <cell r="I94">
            <v>18.631589802193599</v>
          </cell>
          <cell r="J94">
            <v>6416.4595205222204</v>
          </cell>
          <cell r="K94">
            <v>373.18348412210599</v>
          </cell>
          <cell r="L94">
            <v>40.195309863188797</v>
          </cell>
          <cell r="M94">
            <v>420.14065608985402</v>
          </cell>
          <cell r="N94">
            <v>1228.0792978196801</v>
          </cell>
          <cell r="O94">
            <v>1995.4499576558001</v>
          </cell>
          <cell r="P94">
            <v>1413.8721194346299</v>
          </cell>
          <cell r="Q94">
            <v>945.53869553696495</v>
          </cell>
          <cell r="R94">
            <v>537.85453019238503</v>
          </cell>
          <cell r="S94">
            <v>11219.4476437249</v>
          </cell>
          <cell r="T94">
            <v>1645.6856669840099</v>
          </cell>
          <cell r="U94">
            <v>2905.2059907768898</v>
          </cell>
          <cell r="V94">
            <v>2160.5122537944899</v>
          </cell>
          <cell r="W94">
            <v>1867.4952127220899</v>
          </cell>
          <cell r="X94">
            <v>2640.54851944743</v>
          </cell>
          <cell r="Y94">
            <v>141.57557088106299</v>
          </cell>
          <cell r="Z94">
            <v>21092.215535733201</v>
          </cell>
        </row>
        <row r="95">
          <cell r="A95" t="str">
            <v>Kelantan</v>
          </cell>
          <cell r="B95" t="str">
            <v>03</v>
          </cell>
          <cell r="C95">
            <v>2941.22276221126</v>
          </cell>
          <cell r="D95">
            <v>2115.0946784125699</v>
          </cell>
          <cell r="E95">
            <v>566.63856621470404</v>
          </cell>
          <cell r="F95">
            <v>259.48951758398402</v>
          </cell>
          <cell r="I95">
            <v>15.5417131500511</v>
          </cell>
          <cell r="J95">
            <v>570.19132221257803</v>
          </cell>
          <cell r="K95">
            <v>95.063509363671599</v>
          </cell>
          <cell r="L95">
            <v>36.909770915918301</v>
          </cell>
          <cell r="M95">
            <v>82.378781758752595</v>
          </cell>
          <cell r="N95">
            <v>116.89805089305101</v>
          </cell>
          <cell r="O95">
            <v>53.048505274004</v>
          </cell>
          <cell r="P95">
            <v>184.40779175180299</v>
          </cell>
          <cell r="Q95">
            <v>1.4849122553777401</v>
          </cell>
          <cell r="R95">
            <v>194.69024914371201</v>
          </cell>
          <cell r="S95">
            <v>7691.6052078932298</v>
          </cell>
          <cell r="T95">
            <v>853.71938564774598</v>
          </cell>
          <cell r="U95">
            <v>2163.9913890348798</v>
          </cell>
          <cell r="V95">
            <v>923.363792555136</v>
          </cell>
          <cell r="W95">
            <v>1312.97958660467</v>
          </cell>
          <cell r="X95">
            <v>2437.5510540507998</v>
          </cell>
          <cell r="Y95">
            <v>22.333543688409499</v>
          </cell>
          <cell r="Z95">
            <v>11435.5847982992</v>
          </cell>
        </row>
        <row r="96">
          <cell r="A96" t="str">
            <v>Melaka</v>
          </cell>
          <cell r="B96" t="str">
            <v>04</v>
          </cell>
          <cell r="C96">
            <v>1450.4260346342901</v>
          </cell>
          <cell r="D96">
            <v>1388.6747278498301</v>
          </cell>
          <cell r="E96">
            <v>0.28009801921627803</v>
          </cell>
          <cell r="F96">
            <v>61.471208765242203</v>
          </cell>
          <cell r="I96">
            <v>8.1987127144183596</v>
          </cell>
          <cell r="J96">
            <v>7991.90725017554</v>
          </cell>
          <cell r="K96">
            <v>414.25856716021002</v>
          </cell>
          <cell r="L96">
            <v>398.89885533485898</v>
          </cell>
          <cell r="M96">
            <v>344.32798449330801</v>
          </cell>
          <cell r="N96">
            <v>3186.5854198623801</v>
          </cell>
          <cell r="O96">
            <v>453.648174284481</v>
          </cell>
          <cell r="P96">
            <v>1937.16833414899</v>
          </cell>
          <cell r="Q96">
            <v>1257.01991489131</v>
          </cell>
          <cell r="R96">
            <v>552.77123224812306</v>
          </cell>
          <cell r="S96">
            <v>8439.3870313320203</v>
          </cell>
          <cell r="T96">
            <v>1502.9839705316399</v>
          </cell>
          <cell r="U96">
            <v>2965.2681929628302</v>
          </cell>
          <cell r="V96">
            <v>1680.8466576718299</v>
          </cell>
          <cell r="W96">
            <v>1088.14308542496</v>
          </cell>
          <cell r="X96">
            <v>1202.1451247407699</v>
          </cell>
          <cell r="Y96">
            <v>29.250242803987099</v>
          </cell>
          <cell r="Z96">
            <v>18471.940503908401</v>
          </cell>
        </row>
        <row r="97">
          <cell r="A97" t="str">
            <v>Negeri Sembilan</v>
          </cell>
          <cell r="B97" t="str">
            <v>05</v>
          </cell>
          <cell r="C97">
            <v>1940.9740480425501</v>
          </cell>
          <cell r="D97">
            <v>1848.1125391855401</v>
          </cell>
          <cell r="E97">
            <v>43.860180059602001</v>
          </cell>
          <cell r="F97">
            <v>49.001328797404199</v>
          </cell>
          <cell r="I97">
            <v>19.709346359609601</v>
          </cell>
          <cell r="J97">
            <v>11754.5614493828</v>
          </cell>
          <cell r="K97">
            <v>1183.6487267144</v>
          </cell>
          <cell r="L97">
            <v>199.59867464977199</v>
          </cell>
          <cell r="M97">
            <v>419.81542116238597</v>
          </cell>
          <cell r="N97">
            <v>2865.7049015280199</v>
          </cell>
          <cell r="O97">
            <v>775.054410338558</v>
          </cell>
          <cell r="P97">
            <v>5252.2287881359098</v>
          </cell>
          <cell r="Q97">
            <v>1058.51052685373</v>
          </cell>
          <cell r="R97">
            <v>540.01245793723899</v>
          </cell>
          <cell r="S97">
            <v>9448.1363606929608</v>
          </cell>
          <cell r="T97">
            <v>2177.59084282803</v>
          </cell>
          <cell r="U97">
            <v>2427.9733948401599</v>
          </cell>
          <cell r="V97">
            <v>1950.7443660906799</v>
          </cell>
          <cell r="W97">
            <v>1302.6649209969901</v>
          </cell>
          <cell r="X97">
            <v>1589.16283593711</v>
          </cell>
          <cell r="Y97">
            <v>101.036055844161</v>
          </cell>
          <cell r="Z97">
            <v>23804.4297182593</v>
          </cell>
        </row>
        <row r="98">
          <cell r="A98" t="str">
            <v>Pahang</v>
          </cell>
          <cell r="B98" t="str">
            <v>06</v>
          </cell>
          <cell r="C98">
            <v>5448.7557613188101</v>
          </cell>
          <cell r="D98">
            <v>4351.7341587302499</v>
          </cell>
          <cell r="E98">
            <v>516.04939006706502</v>
          </cell>
          <cell r="F98">
            <v>580.97221252150405</v>
          </cell>
          <cell r="I98">
            <v>120.520991408657</v>
          </cell>
          <cell r="J98">
            <v>6693.1528010757602</v>
          </cell>
          <cell r="K98">
            <v>905.54943457192701</v>
          </cell>
          <cell r="L98">
            <v>18.6839133639496</v>
          </cell>
          <cell r="M98">
            <v>616.37562339827502</v>
          </cell>
          <cell r="N98">
            <v>2356.3451647142901</v>
          </cell>
          <cell r="O98">
            <v>766.944488352029</v>
          </cell>
          <cell r="P98">
            <v>72.607403193855205</v>
          </cell>
          <cell r="Q98">
            <v>1956.64677348143</v>
          </cell>
          <cell r="R98">
            <v>695.712970014495</v>
          </cell>
          <cell r="S98">
            <v>13162.5095935134</v>
          </cell>
          <cell r="T98">
            <v>1378.18486041099</v>
          </cell>
          <cell r="U98">
            <v>4180.2363868887896</v>
          </cell>
          <cell r="V98">
            <v>1803.1656065488</v>
          </cell>
          <cell r="W98">
            <v>3279.35485286429</v>
          </cell>
          <cell r="X98">
            <v>2521.5678868005102</v>
          </cell>
          <cell r="Y98">
            <v>81.981542456041296</v>
          </cell>
          <cell r="Z98">
            <v>26202.633659787101</v>
          </cell>
        </row>
        <row r="99">
          <cell r="A99" t="str">
            <v>Pulau Pinang</v>
          </cell>
          <cell r="B99" t="str">
            <v>07</v>
          </cell>
          <cell r="C99">
            <v>760.45823108994296</v>
          </cell>
          <cell r="D99">
            <v>556.40464337404705</v>
          </cell>
          <cell r="E99">
            <v>0</v>
          </cell>
          <cell r="F99">
            <v>204.05358771589499</v>
          </cell>
          <cell r="I99">
            <v>19.213514991072799</v>
          </cell>
          <cell r="J99">
            <v>21239.073100997601</v>
          </cell>
          <cell r="K99">
            <v>982.92422091185301</v>
          </cell>
          <cell r="L99">
            <v>552.75623813298603</v>
          </cell>
          <cell r="M99">
            <v>774.48276590116996</v>
          </cell>
          <cell r="N99">
            <v>2095.2872914520299</v>
          </cell>
          <cell r="O99">
            <v>1691.35688069411</v>
          </cell>
          <cell r="P99">
            <v>13864.7852074903</v>
          </cell>
          <cell r="Q99">
            <v>1277.4804964151599</v>
          </cell>
          <cell r="R99">
            <v>982.067989201606</v>
          </cell>
          <cell r="S99">
            <v>20242.238702797898</v>
          </cell>
          <cell r="T99">
            <v>4235.4657328392104</v>
          </cell>
          <cell r="U99">
            <v>5735.73402479367</v>
          </cell>
          <cell r="V99">
            <v>5912.4537506202996</v>
          </cell>
          <cell r="W99">
            <v>2094.26034232861</v>
          </cell>
          <cell r="X99">
            <v>2264.3248522161002</v>
          </cell>
          <cell r="Y99">
            <v>382.67817457429697</v>
          </cell>
          <cell r="Z99">
            <v>43625.729713652399</v>
          </cell>
        </row>
        <row r="100">
          <cell r="A100" t="str">
            <v>Perak</v>
          </cell>
          <cell r="B100" t="str">
            <v>08</v>
          </cell>
          <cell r="C100">
            <v>5195.6453420371299</v>
          </cell>
          <cell r="D100">
            <v>3694.3496667969598</v>
          </cell>
          <cell r="E100">
            <v>320.29585199149301</v>
          </cell>
          <cell r="F100">
            <v>1180.9998232486701</v>
          </cell>
          <cell r="I100">
            <v>101.748443876794</v>
          </cell>
          <cell r="J100">
            <v>5799.8650797147502</v>
          </cell>
          <cell r="K100">
            <v>1022.7663468441</v>
          </cell>
          <cell r="L100">
            <v>203.66761974537599</v>
          </cell>
          <cell r="M100">
            <v>314.384749109903</v>
          </cell>
          <cell r="N100">
            <v>1186.8438698376499</v>
          </cell>
          <cell r="O100">
            <v>1285.4189208999401</v>
          </cell>
          <cell r="P100">
            <v>1466.70218889477</v>
          </cell>
          <cell r="Q100">
            <v>320.08138438301199</v>
          </cell>
          <cell r="R100">
            <v>643.07315093760405</v>
          </cell>
          <cell r="S100">
            <v>20942.200305656399</v>
          </cell>
          <cell r="T100">
            <v>5950.0209451234296</v>
          </cell>
          <cell r="U100">
            <v>4779.4408546935301</v>
          </cell>
          <cell r="V100">
            <v>3914.2929824284602</v>
          </cell>
          <cell r="W100">
            <v>2746.7080411910101</v>
          </cell>
          <cell r="X100">
            <v>3551.7374822199299</v>
          </cell>
          <cell r="Y100">
            <v>17.204002111897999</v>
          </cell>
          <cell r="Z100">
            <v>32699.736324334499</v>
          </cell>
        </row>
        <row r="101">
          <cell r="A101" t="str">
            <v>Perlis</v>
          </cell>
          <cell r="B101" t="str">
            <v>09</v>
          </cell>
          <cell r="C101">
            <v>855.94136300638695</v>
          </cell>
          <cell r="D101">
            <v>237.171898706826</v>
          </cell>
          <cell r="E101">
            <v>0</v>
          </cell>
          <cell r="F101">
            <v>618.76946429956104</v>
          </cell>
          <cell r="I101">
            <v>6.3613021227580102</v>
          </cell>
          <cell r="J101">
            <v>290.33726582942302</v>
          </cell>
          <cell r="K101">
            <v>46.3800290816353</v>
          </cell>
          <cell r="L101">
            <v>43.969966531878001</v>
          </cell>
          <cell r="M101">
            <v>2.2695514934505399</v>
          </cell>
          <cell r="N101">
            <v>57.303193483204801</v>
          </cell>
          <cell r="O101">
            <v>136.519930080736</v>
          </cell>
          <cell r="P101">
            <v>0.40585250788745098</v>
          </cell>
          <cell r="Q101">
            <v>3.4887426506302899</v>
          </cell>
          <cell r="R101">
            <v>92.266488889557607</v>
          </cell>
          <cell r="S101">
            <v>1840.83119998098</v>
          </cell>
          <cell r="T101">
            <v>634.20499143323195</v>
          </cell>
          <cell r="U101">
            <v>260.214491841322</v>
          </cell>
          <cell r="V101">
            <v>237.30316809444801</v>
          </cell>
          <cell r="W101">
            <v>245.17411016459801</v>
          </cell>
          <cell r="X101">
            <v>463.93443844737999</v>
          </cell>
          <cell r="Y101">
            <v>80.567988496580298</v>
          </cell>
          <cell r="Z101">
            <v>3166.3056083256902</v>
          </cell>
        </row>
        <row r="102">
          <cell r="A102" t="str">
            <v>Selangor</v>
          </cell>
          <cell r="B102">
            <v>10</v>
          </cell>
          <cell r="C102">
            <v>2518.6829196444201</v>
          </cell>
          <cell r="D102">
            <v>1690.37124293447</v>
          </cell>
          <cell r="E102">
            <v>5.71291207858948</v>
          </cell>
          <cell r="F102">
            <v>822.598764631368</v>
          </cell>
          <cell r="I102">
            <v>124.907911414483</v>
          </cell>
          <cell r="J102">
            <v>41857.923252740497</v>
          </cell>
          <cell r="K102">
            <v>7204.2984131473404</v>
          </cell>
          <cell r="L102">
            <v>453.55278926993498</v>
          </cell>
          <cell r="M102">
            <v>2784.0545540461799</v>
          </cell>
          <cell r="N102">
            <v>6205.9585366351703</v>
          </cell>
          <cell r="O102">
            <v>5379.3328661184596</v>
          </cell>
          <cell r="P102">
            <v>9321.4292031808709</v>
          </cell>
          <cell r="Q102">
            <v>10509.296890342601</v>
          </cell>
          <cell r="R102">
            <v>6585.2738869667801</v>
          </cell>
          <cell r="S102">
            <v>84233.245537549796</v>
          </cell>
          <cell r="T102">
            <v>20143.435683380401</v>
          </cell>
          <cell r="U102">
            <v>28412.062509855899</v>
          </cell>
          <cell r="V102">
            <v>22090.140213677802</v>
          </cell>
          <cell r="W102">
            <v>7155.4523885788403</v>
          </cell>
          <cell r="X102">
            <v>6432.1547420568904</v>
          </cell>
          <cell r="Y102">
            <v>3916.8641011417799</v>
          </cell>
          <cell r="Z102">
            <v>139236.89760945801</v>
          </cell>
        </row>
        <row r="103">
          <cell r="A103" t="str">
            <v>Terengganu</v>
          </cell>
          <cell r="B103">
            <v>11</v>
          </cell>
          <cell r="C103">
            <v>1497.0701462888401</v>
          </cell>
          <cell r="D103">
            <v>1088.2326195303001</v>
          </cell>
          <cell r="E103">
            <v>101.185068411603</v>
          </cell>
          <cell r="F103">
            <v>307.65245834693502</v>
          </cell>
          <cell r="I103">
            <v>11.287569132204499</v>
          </cell>
          <cell r="J103">
            <v>6917.5455478694603</v>
          </cell>
          <cell r="K103">
            <v>57.516524271048397</v>
          </cell>
          <cell r="L103">
            <v>30.8147495503298</v>
          </cell>
          <cell r="M103">
            <v>142.70023551107101</v>
          </cell>
          <cell r="N103">
            <v>6234.0091445171101</v>
          </cell>
          <cell r="O103">
            <v>358.68135768466402</v>
          </cell>
          <cell r="P103">
            <v>3.1956744783733702</v>
          </cell>
          <cell r="Q103">
            <v>90.627861856870794</v>
          </cell>
          <cell r="R103">
            <v>609.96531941738499</v>
          </cell>
          <cell r="S103">
            <v>8672.0307115899905</v>
          </cell>
          <cell r="T103">
            <v>3383.2885527660301</v>
          </cell>
          <cell r="U103">
            <v>1563.96626004773</v>
          </cell>
          <cell r="V103">
            <v>800.41282468834902</v>
          </cell>
          <cell r="W103">
            <v>878.11901118975902</v>
          </cell>
          <cell r="X103">
            <v>2046.2440628981101</v>
          </cell>
          <cell r="Y103">
            <v>12.123481342461901</v>
          </cell>
          <cell r="Z103">
            <v>17720.0227756403</v>
          </cell>
        </row>
        <row r="104">
          <cell r="A104" t="str">
            <v>Sabah</v>
          </cell>
          <cell r="B104">
            <v>12</v>
          </cell>
          <cell r="C104">
            <v>9713.3903443599993</v>
          </cell>
          <cell r="D104">
            <v>6299.8769264508601</v>
          </cell>
          <cell r="E104">
            <v>1805.28959081471</v>
          </cell>
          <cell r="F104">
            <v>1608.2238270944299</v>
          </cell>
          <cell r="I104">
            <v>9635.4945723087403</v>
          </cell>
          <cell r="J104">
            <v>3148.9112203916402</v>
          </cell>
          <cell r="K104">
            <v>1783.56777271338</v>
          </cell>
          <cell r="L104">
            <v>29.323852780804099</v>
          </cell>
          <cell r="M104">
            <v>773.095703826815</v>
          </cell>
          <cell r="N104">
            <v>156.429635270712</v>
          </cell>
          <cell r="O104">
            <v>273.98302829756199</v>
          </cell>
          <cell r="P104">
            <v>9.4266812413817203</v>
          </cell>
          <cell r="Q104">
            <v>123.08454626098801</v>
          </cell>
          <cell r="R104">
            <v>879.89427674993897</v>
          </cell>
          <cell r="S104">
            <v>17371.0956016374</v>
          </cell>
          <cell r="T104">
            <v>3176.2043169885301</v>
          </cell>
          <cell r="U104">
            <v>5770.4508168054499</v>
          </cell>
          <cell r="V104">
            <v>3399.47309710118</v>
          </cell>
          <cell r="W104">
            <v>1661.0586756467401</v>
          </cell>
          <cell r="X104">
            <v>3363.9086950955302</v>
          </cell>
          <cell r="Y104">
            <v>237.35617513626599</v>
          </cell>
          <cell r="Z104">
            <v>40986.142190584003</v>
          </cell>
        </row>
        <row r="105">
          <cell r="A105" t="str">
            <v>Sarawak</v>
          </cell>
          <cell r="B105">
            <v>13</v>
          </cell>
          <cell r="C105">
            <v>7423.3487811591403</v>
          </cell>
          <cell r="D105">
            <v>3376.2084165532101</v>
          </cell>
          <cell r="E105">
            <v>3633.6436039553801</v>
          </cell>
          <cell r="F105">
            <v>413.49676065054899</v>
          </cell>
          <cell r="I105">
            <v>15190.385219756899</v>
          </cell>
          <cell r="J105">
            <v>17489.664096002802</v>
          </cell>
          <cell r="K105">
            <v>649.61627832822603</v>
          </cell>
          <cell r="L105">
            <v>21.123538334001999</v>
          </cell>
          <cell r="M105">
            <v>1276.5601104841201</v>
          </cell>
          <cell r="N105">
            <v>14389.2906008469</v>
          </cell>
          <cell r="O105">
            <v>439.63487483453298</v>
          </cell>
          <cell r="P105">
            <v>404.06632266829098</v>
          </cell>
          <cell r="Q105">
            <v>309.37237050676998</v>
          </cell>
          <cell r="R105">
            <v>1707.6051549998101</v>
          </cell>
          <cell r="S105">
            <v>22073.6282723236</v>
          </cell>
          <cell r="T105">
            <v>4917.1430889086996</v>
          </cell>
          <cell r="U105">
            <v>6025.7961815075096</v>
          </cell>
          <cell r="V105">
            <v>5548.3319813805902</v>
          </cell>
          <cell r="W105">
            <v>2212.4021524638401</v>
          </cell>
          <cell r="X105">
            <v>3369.95486806297</v>
          </cell>
          <cell r="Y105">
            <v>288.34661091429598</v>
          </cell>
          <cell r="Z105">
            <v>64172.978135156503</v>
          </cell>
        </row>
        <row r="106">
          <cell r="A106" t="str">
            <v>WP Kuala Lumpur</v>
          </cell>
          <cell r="B106">
            <v>14</v>
          </cell>
          <cell r="C106">
            <v>1.49048293648672</v>
          </cell>
          <cell r="D106">
            <v>1.49048293648672</v>
          </cell>
          <cell r="E106">
            <v>0</v>
          </cell>
          <cell r="F106">
            <v>0</v>
          </cell>
          <cell r="I106">
            <v>27.061636691734002</v>
          </cell>
          <cell r="J106">
            <v>3762.5971418345698</v>
          </cell>
          <cell r="K106">
            <v>384.790527493941</v>
          </cell>
          <cell r="L106">
            <v>287.14052843379199</v>
          </cell>
          <cell r="M106">
            <v>614.59519662953596</v>
          </cell>
          <cell r="N106">
            <v>598.36941794115398</v>
          </cell>
          <cell r="O106">
            <v>755.03083305177302</v>
          </cell>
          <cell r="P106">
            <v>349.22450122459799</v>
          </cell>
          <cell r="Q106">
            <v>773.44613705977497</v>
          </cell>
          <cell r="R106">
            <v>3412.78006618976</v>
          </cell>
          <cell r="S106">
            <v>80428.112303750298</v>
          </cell>
          <cell r="T106">
            <v>5361.8248620208497</v>
          </cell>
          <cell r="U106">
            <v>29395.334292616801</v>
          </cell>
          <cell r="V106">
            <v>31416.748948139099</v>
          </cell>
          <cell r="W106">
            <v>4289.2037761325801</v>
          </cell>
          <cell r="X106">
            <v>9965.0004248409896</v>
          </cell>
          <cell r="Y106">
            <v>856.04858875953198</v>
          </cell>
          <cell r="Z106">
            <v>88488.090220162398</v>
          </cell>
        </row>
        <row r="107">
          <cell r="A107" t="str">
            <v>WP Labuan</v>
          </cell>
          <cell r="B107">
            <v>15</v>
          </cell>
          <cell r="C107">
            <v>109.15187498592</v>
          </cell>
          <cell r="D107">
            <v>6.9926628621778297</v>
          </cell>
          <cell r="E107">
            <v>0</v>
          </cell>
          <cell r="F107">
            <v>102.15921212374199</v>
          </cell>
          <cell r="I107">
            <v>0</v>
          </cell>
          <cell r="J107">
            <v>568.44061893037701</v>
          </cell>
          <cell r="K107">
            <v>23.036492580242101</v>
          </cell>
          <cell r="L107">
            <v>2.46637843430236</v>
          </cell>
          <cell r="M107">
            <v>1.8981935009655799</v>
          </cell>
          <cell r="N107">
            <v>276.98159076014099</v>
          </cell>
          <cell r="O107">
            <v>241.801718201141</v>
          </cell>
          <cell r="P107">
            <v>1.7960584604948</v>
          </cell>
          <cell r="Q107">
            <v>20.460186993089799</v>
          </cell>
          <cell r="R107">
            <v>19.3396332659709</v>
          </cell>
          <cell r="S107">
            <v>1735.4823394617099</v>
          </cell>
          <cell r="T107">
            <v>201.91644918304399</v>
          </cell>
          <cell r="U107">
            <v>226.15958548261401</v>
          </cell>
          <cell r="V107">
            <v>1167.0320576837501</v>
          </cell>
          <cell r="W107">
            <v>66.765818284342203</v>
          </cell>
          <cell r="X107">
            <v>73.608428827962797</v>
          </cell>
          <cell r="Y107">
            <v>53.848551887076397</v>
          </cell>
          <cell r="Z107">
            <v>2486.26301853105</v>
          </cell>
        </row>
        <row r="108">
          <cell r="A108" t="str">
            <v>Supra1</v>
          </cell>
          <cell r="C108">
            <v>0</v>
          </cell>
          <cell r="D108">
            <v>0</v>
          </cell>
          <cell r="E108">
            <v>0</v>
          </cell>
          <cell r="F108">
            <v>0</v>
          </cell>
          <cell r="I108">
            <v>41027.965029888001</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41027.965029888001</v>
          </cell>
        </row>
        <row r="109">
          <cell r="A109" t="str">
            <v>MALAYSIA</v>
          </cell>
          <cell r="C109">
            <v>50063.044139593803</v>
          </cell>
          <cell r="D109">
            <v>35753.719995694999</v>
          </cell>
          <cell r="E109">
            <v>7140.26953614582</v>
          </cell>
          <cell r="F109">
            <v>7169.0546077529298</v>
          </cell>
          <cell r="I109">
            <v>66386.369648300097</v>
          </cell>
          <cell r="J109">
            <v>152150.18623910999</v>
          </cell>
          <cell r="K109">
            <v>17323.016232459799</v>
          </cell>
          <cell r="L109">
            <v>3010.6161207062901</v>
          </cell>
          <cell r="M109">
            <v>10126.847883938801</v>
          </cell>
          <cell r="N109">
            <v>44900.216130858797</v>
          </cell>
          <cell r="O109">
            <v>17099.5945975916</v>
          </cell>
          <cell r="P109">
            <v>39592.460507918797</v>
          </cell>
          <cell r="Q109">
            <v>20097.434765635899</v>
          </cell>
          <cell r="R109">
            <v>19269.9562144929</v>
          </cell>
          <cell r="S109">
            <v>335026.53730236902</v>
          </cell>
          <cell r="T109">
            <v>61729.286198584501</v>
          </cell>
          <cell r="U109">
            <v>103444.39367026401</v>
          </cell>
          <cell r="V109">
            <v>90743.508587465898</v>
          </cell>
          <cell r="W109">
            <v>32964.748846054099</v>
          </cell>
          <cell r="X109">
            <v>46144.600000000901</v>
          </cell>
          <cell r="Y109">
            <v>6988.6896969952904</v>
          </cell>
          <cell r="Z109">
            <v>629884.78324086103</v>
          </cell>
        </row>
        <row r="112">
          <cell r="A112" t="str">
            <v>CONSTANT</v>
          </cell>
          <cell r="B112" t="str">
            <v>Industry</v>
          </cell>
          <cell r="D112">
            <v>1</v>
          </cell>
          <cell r="E112">
            <v>2</v>
          </cell>
          <cell r="F112">
            <v>3</v>
          </cell>
          <cell r="I112">
            <v>4</v>
          </cell>
          <cell r="K112">
            <v>6</v>
          </cell>
          <cell r="L112">
            <v>7</v>
          </cell>
          <cell r="M112">
            <v>8</v>
          </cell>
          <cell r="N112">
            <v>9</v>
          </cell>
          <cell r="O112">
            <v>10</v>
          </cell>
          <cell r="P112">
            <v>11</v>
          </cell>
          <cell r="Q112">
            <v>12</v>
          </cell>
          <cell r="R112">
            <v>5</v>
          </cell>
          <cell r="T112">
            <v>13</v>
          </cell>
          <cell r="U112">
            <v>14</v>
          </cell>
          <cell r="V112">
            <v>15</v>
          </cell>
          <cell r="W112">
            <v>16</v>
          </cell>
        </row>
        <row r="113">
          <cell r="A113">
            <v>2010</v>
          </cell>
          <cell r="B113" t="str">
            <v>I</v>
          </cell>
          <cell r="C113" t="str">
            <v>Agriculture</v>
          </cell>
          <cell r="D113" t="str">
            <v>Tanaman</v>
          </cell>
          <cell r="E113" t="str">
            <v>Pembalakan</v>
          </cell>
          <cell r="F113" t="str">
            <v>Perikanan</v>
          </cell>
          <cell r="I113" t="str">
            <v>Mining andQuarrying</v>
          </cell>
          <cell r="J113" t="str">
            <v>Manufacturing</v>
          </cell>
          <cell r="K113" t="str">
            <v>Prosesan Makanan, Minuman dan Produk Tembakau</v>
          </cell>
          <cell r="L113" t="str">
            <v>Tekstil, Pakaian, Kulit dan Kasut</v>
          </cell>
          <cell r="M113" t="str">
            <v>Keluaran Kayu, Perabot, Produk Kertas, Percetakan dan Penerbitan</v>
          </cell>
          <cell r="N113" t="str">
            <v>Produk Petroleum, Bahan kimia, Getah dan Plastik</v>
          </cell>
          <cell r="O113" t="str">
            <v>Produk Mineral Bukan Logam, Logam Asli dan Produk Logam Yang Direka</v>
          </cell>
          <cell r="P113" t="str">
            <v>Elektrik dan Elektronik</v>
          </cell>
          <cell r="Q113" t="str">
            <v>Kelengkapan Pengangkutan dan Pembuatan Lain</v>
          </cell>
          <cell r="R113" t="str">
            <v>Construction</v>
          </cell>
          <cell r="S113" t="str">
            <v>Services</v>
          </cell>
          <cell r="T113" t="str">
            <v>Utiliti, Transport &amp; Communication</v>
          </cell>
          <cell r="U113" t="str">
            <v>WRT, Accomm &amp; Restaurant</v>
          </cell>
          <cell r="V113" t="str">
            <v>Finance &amp; Insurance, Real Estate &amp; Business Services</v>
          </cell>
          <cell r="W113" t="str">
            <v>Other Services</v>
          </cell>
          <cell r="X113" t="str">
            <v>Government Services</v>
          </cell>
          <cell r="Y113" t="str">
            <v>Plus :Import Duties</v>
          </cell>
          <cell r="Z113" t="str">
            <v>GDP atPurchasers' Prices</v>
          </cell>
        </row>
        <row r="114">
          <cell r="A114" t="str">
            <v>States</v>
          </cell>
          <cell r="B114" t="str">
            <v>Converter</v>
          </cell>
        </row>
        <row r="115">
          <cell r="A115" t="str">
            <v>Johor</v>
          </cell>
          <cell r="B115" t="str">
            <v>01</v>
          </cell>
          <cell r="C115">
            <v>7598.3543408902397</v>
          </cell>
          <cell r="D115">
            <v>6885.6648870220697</v>
          </cell>
          <cell r="E115">
            <v>43.823814344275902</v>
          </cell>
          <cell r="F115">
            <v>668.86563952388894</v>
          </cell>
          <cell r="I115">
            <v>68.259644021538804</v>
          </cell>
          <cell r="J115">
            <v>21037.313603969102</v>
          </cell>
          <cell r="K115">
            <v>2187.2292613146801</v>
          </cell>
          <cell r="L115">
            <v>782.93802206389603</v>
          </cell>
          <cell r="M115">
            <v>1747.60399801933</v>
          </cell>
          <cell r="N115">
            <v>4433.0014906127099</v>
          </cell>
          <cell r="O115">
            <v>2959.6749816146098</v>
          </cell>
          <cell r="P115">
            <v>6941.3134983836399</v>
          </cell>
          <cell r="Q115">
            <v>1985.55235196027</v>
          </cell>
          <cell r="R115">
            <v>2045.38296810252</v>
          </cell>
          <cell r="S115">
            <v>29236.170725071999</v>
          </cell>
          <cell r="T115">
            <v>6750.9132856328797</v>
          </cell>
          <cell r="U115">
            <v>7180.5102023690997</v>
          </cell>
          <cell r="V115">
            <v>8074.0493215517099</v>
          </cell>
          <cell r="W115">
            <v>2904.8927319689701</v>
          </cell>
          <cell r="X115">
            <v>4325.8051835493197</v>
          </cell>
          <cell r="Y115">
            <v>693.70557827933703</v>
          </cell>
          <cell r="Z115">
            <v>60679.186860334798</v>
          </cell>
        </row>
        <row r="116">
          <cell r="A116" t="str">
            <v>Kedah</v>
          </cell>
          <cell r="B116" t="str">
            <v>02</v>
          </cell>
          <cell r="C116">
            <v>2733.6853254788998</v>
          </cell>
          <cell r="D116">
            <v>2308.3442133418998</v>
          </cell>
          <cell r="E116">
            <v>106.97883406489299</v>
          </cell>
          <cell r="F116">
            <v>318.36227807210599</v>
          </cell>
          <cell r="I116">
            <v>18.8280174413953</v>
          </cell>
          <cell r="J116">
            <v>6638.3881956961504</v>
          </cell>
          <cell r="K116">
            <v>368.07677588906398</v>
          </cell>
          <cell r="L116">
            <v>79.920685607240998</v>
          </cell>
          <cell r="M116">
            <v>421.50205793573798</v>
          </cell>
          <cell r="N116">
            <v>1226.4484563983999</v>
          </cell>
          <cell r="O116">
            <v>2054.4917254218699</v>
          </cell>
          <cell r="P116">
            <v>1504.7518518571701</v>
          </cell>
          <cell r="Q116">
            <v>983.19664258666205</v>
          </cell>
          <cell r="R116">
            <v>541.14547700276</v>
          </cell>
          <cell r="S116">
            <v>11936.442698701499</v>
          </cell>
          <cell r="T116">
            <v>1778.81390395945</v>
          </cell>
          <cell r="U116">
            <v>3163.5617114593601</v>
          </cell>
          <cell r="V116">
            <v>2279.1921108864599</v>
          </cell>
          <cell r="W116">
            <v>1926.04713569193</v>
          </cell>
          <cell r="X116">
            <v>2788.8278367043399</v>
          </cell>
          <cell r="Y116">
            <v>129.724135599721</v>
          </cell>
          <cell r="Z116">
            <v>21998.213849920499</v>
          </cell>
        </row>
        <row r="117">
          <cell r="A117" t="str">
            <v>Kelantan</v>
          </cell>
          <cell r="B117" t="str">
            <v>03</v>
          </cell>
          <cell r="C117">
            <v>3071.0633660276799</v>
          </cell>
          <cell r="D117">
            <v>2107.22436031492</v>
          </cell>
          <cell r="E117">
            <v>677.61362545535803</v>
          </cell>
          <cell r="F117">
            <v>286.22538025740499</v>
          </cell>
          <cell r="I117">
            <v>16.4378560717517</v>
          </cell>
          <cell r="J117">
            <v>690.81245984655595</v>
          </cell>
          <cell r="K117">
            <v>112.532619967388</v>
          </cell>
          <cell r="L117">
            <v>35.7228602577026</v>
          </cell>
          <cell r="M117">
            <v>89.073919865818695</v>
          </cell>
          <cell r="N117">
            <v>104.74641691462701</v>
          </cell>
          <cell r="O117">
            <v>71.385453074973398</v>
          </cell>
          <cell r="P117">
            <v>270.27664391315801</v>
          </cell>
          <cell r="Q117">
            <v>7.0745458528880798</v>
          </cell>
          <cell r="R117">
            <v>207.32611766380199</v>
          </cell>
          <cell r="S117">
            <v>7984.6164700812596</v>
          </cell>
          <cell r="T117">
            <v>935.50644685774705</v>
          </cell>
          <cell r="U117">
            <v>2199.32428096787</v>
          </cell>
          <cell r="V117">
            <v>992.01616868978499</v>
          </cell>
          <cell r="W117">
            <v>1356.6305514989001</v>
          </cell>
          <cell r="X117">
            <v>2501.13902206696</v>
          </cell>
          <cell r="Y117">
            <v>20.899161344310301</v>
          </cell>
          <cell r="Z117">
            <v>11991.1554310354</v>
          </cell>
        </row>
        <row r="118">
          <cell r="A118" t="str">
            <v>Melaka</v>
          </cell>
          <cell r="B118" t="str">
            <v>04</v>
          </cell>
          <cell r="C118">
            <v>1794.48560733984</v>
          </cell>
          <cell r="D118">
            <v>1764.4620477127301</v>
          </cell>
          <cell r="E118">
            <v>0.31645724155756999</v>
          </cell>
          <cell r="F118">
            <v>29.707102385548001</v>
          </cell>
          <cell r="I118">
            <v>8.2353402428863607</v>
          </cell>
          <cell r="J118">
            <v>8440.5084099046398</v>
          </cell>
          <cell r="K118">
            <v>367.85516788304602</v>
          </cell>
          <cell r="L118">
            <v>326.50618006210198</v>
          </cell>
          <cell r="M118">
            <v>303.160804991139</v>
          </cell>
          <cell r="N118">
            <v>3390.00490527082</v>
          </cell>
          <cell r="O118">
            <v>536.70441442619801</v>
          </cell>
          <cell r="P118">
            <v>2175.3453643369098</v>
          </cell>
          <cell r="Q118">
            <v>1340.9315729344301</v>
          </cell>
          <cell r="R118">
            <v>569.91112597647498</v>
          </cell>
          <cell r="S118">
            <v>8868.4123399378295</v>
          </cell>
          <cell r="T118">
            <v>1618.0934367930899</v>
          </cell>
          <cell r="U118">
            <v>3040.1483285732702</v>
          </cell>
          <cell r="V118">
            <v>1814.16879793615</v>
          </cell>
          <cell r="W118">
            <v>1130.94667073967</v>
          </cell>
          <cell r="X118">
            <v>1265.0551058956601</v>
          </cell>
          <cell r="Y118">
            <v>7.8042403562103599</v>
          </cell>
          <cell r="Z118">
            <v>19689.3570637579</v>
          </cell>
        </row>
        <row r="119">
          <cell r="A119" t="str">
            <v>Negeri Sembilan</v>
          </cell>
          <cell r="B119" t="str">
            <v>05</v>
          </cell>
          <cell r="C119">
            <v>2015.9306547180799</v>
          </cell>
          <cell r="D119">
            <v>1930.33247837055</v>
          </cell>
          <cell r="E119">
            <v>48.214528414990703</v>
          </cell>
          <cell r="F119">
            <v>37.3836479325401</v>
          </cell>
          <cell r="I119">
            <v>20.531206444456998</v>
          </cell>
          <cell r="J119">
            <v>12289.029198689799</v>
          </cell>
          <cell r="K119">
            <v>1265.4247888038401</v>
          </cell>
          <cell r="L119">
            <v>169.811946399276</v>
          </cell>
          <cell r="M119">
            <v>413.12574398847102</v>
          </cell>
          <cell r="N119">
            <v>3438.3800519340998</v>
          </cell>
          <cell r="O119">
            <v>934.058282358876</v>
          </cell>
          <cell r="P119">
            <v>5029.5214315784297</v>
          </cell>
          <cell r="Q119">
            <v>1038.7069536268</v>
          </cell>
          <cell r="R119">
            <v>583.15016914262105</v>
          </cell>
          <cell r="S119">
            <v>10039.968852706999</v>
          </cell>
          <cell r="T119">
            <v>2380.09261256539</v>
          </cell>
          <cell r="U119">
            <v>2618.9256670966502</v>
          </cell>
          <cell r="V119">
            <v>2048.7909989050199</v>
          </cell>
          <cell r="W119">
            <v>1376.27261475061</v>
          </cell>
          <cell r="X119">
            <v>1615.8869593893801</v>
          </cell>
          <cell r="Y119">
            <v>228.799916956543</v>
          </cell>
          <cell r="Z119">
            <v>25177.409998658499</v>
          </cell>
        </row>
        <row r="120">
          <cell r="A120" t="str">
            <v>Pahang</v>
          </cell>
          <cell r="B120" t="str">
            <v>06</v>
          </cell>
          <cell r="C120">
            <v>5672.8495426607196</v>
          </cell>
          <cell r="D120">
            <v>4511.6503307216099</v>
          </cell>
          <cell r="E120">
            <v>529.44191823602398</v>
          </cell>
          <cell r="F120">
            <v>631.75729370308704</v>
          </cell>
          <cell r="I120">
            <v>178.566419495975</v>
          </cell>
          <cell r="J120">
            <v>6899.3228196329201</v>
          </cell>
          <cell r="K120">
            <v>925.49422077744396</v>
          </cell>
          <cell r="L120">
            <v>21.3974917177141</v>
          </cell>
          <cell r="M120">
            <v>659.90788050961805</v>
          </cell>
          <cell r="N120">
            <v>3062.4981567292598</v>
          </cell>
          <cell r="O120">
            <v>671.98675060911796</v>
          </cell>
          <cell r="P120">
            <v>106.82078047637</v>
          </cell>
          <cell r="Q120">
            <v>1451.2175388133901</v>
          </cell>
          <cell r="R120">
            <v>782.11758540868504</v>
          </cell>
          <cell r="S120">
            <v>13941.070831927</v>
          </cell>
          <cell r="T120">
            <v>1477.06391407244</v>
          </cell>
          <cell r="U120">
            <v>4534.5843284699504</v>
          </cell>
          <cell r="V120">
            <v>1906.0234107915401</v>
          </cell>
          <cell r="W120">
            <v>3422.8515809365499</v>
          </cell>
          <cell r="X120">
            <v>2600.5475976564999</v>
          </cell>
          <cell r="Y120">
            <v>10.4708739581983</v>
          </cell>
          <cell r="Z120">
            <v>27484.398073083499</v>
          </cell>
        </row>
        <row r="121">
          <cell r="A121" t="str">
            <v>Pulau Pinang</v>
          </cell>
          <cell r="B121" t="str">
            <v>07</v>
          </cell>
          <cell r="C121">
            <v>888.99094852272901</v>
          </cell>
          <cell r="D121">
            <v>651.22159236704397</v>
          </cell>
          <cell r="E121">
            <v>0</v>
          </cell>
          <cell r="F121">
            <v>237.76935615568499</v>
          </cell>
          <cell r="I121">
            <v>19.1246938869308</v>
          </cell>
          <cell r="J121">
            <v>24263.659327634199</v>
          </cell>
          <cell r="K121">
            <v>1041.08277393871</v>
          </cell>
          <cell r="L121">
            <v>534.89790830765605</v>
          </cell>
          <cell r="M121">
            <v>906.37835707932197</v>
          </cell>
          <cell r="N121">
            <v>2696.4460690588899</v>
          </cell>
          <cell r="O121">
            <v>2163.8530109986</v>
          </cell>
          <cell r="P121">
            <v>15140.1465095285</v>
          </cell>
          <cell r="Q121">
            <v>1780.85469872253</v>
          </cell>
          <cell r="R121">
            <v>1021.91977091495</v>
          </cell>
          <cell r="S121">
            <v>21688.303059001199</v>
          </cell>
          <cell r="T121">
            <v>4570.3375136091699</v>
          </cell>
          <cell r="U121">
            <v>6218.3805585190403</v>
          </cell>
          <cell r="V121">
            <v>6402.6290576771098</v>
          </cell>
          <cell r="W121">
            <v>2201.0409483533199</v>
          </cell>
          <cell r="X121">
            <v>2295.91498084252</v>
          </cell>
          <cell r="Y121">
            <v>279.09817634319398</v>
          </cell>
          <cell r="Z121">
            <v>48161.095976303201</v>
          </cell>
        </row>
        <row r="122">
          <cell r="A122" t="str">
            <v>Perak</v>
          </cell>
          <cell r="B122" t="str">
            <v>08</v>
          </cell>
          <cell r="C122">
            <v>5241.3585679134603</v>
          </cell>
          <cell r="D122">
            <v>3490.3978906095599</v>
          </cell>
          <cell r="E122">
            <v>397.45434840437503</v>
          </cell>
          <cell r="F122">
            <v>1353.50632889952</v>
          </cell>
          <cell r="I122">
            <v>111.552905846865</v>
          </cell>
          <cell r="J122">
            <v>6549.0848263154103</v>
          </cell>
          <cell r="K122">
            <v>1037.5191619500999</v>
          </cell>
          <cell r="L122">
            <v>187.95000729593201</v>
          </cell>
          <cell r="M122">
            <v>331.45052802276899</v>
          </cell>
          <cell r="N122">
            <v>1294.74421541383</v>
          </cell>
          <cell r="O122">
            <v>1620.3543362374301</v>
          </cell>
          <cell r="P122">
            <v>1611.9499042448001</v>
          </cell>
          <cell r="Q122">
            <v>465.11667315054001</v>
          </cell>
          <cell r="R122">
            <v>717.19374778978397</v>
          </cell>
          <cell r="S122">
            <v>21941.387676528699</v>
          </cell>
          <cell r="T122">
            <v>6444.7229043016596</v>
          </cell>
          <cell r="U122">
            <v>5194.1865508002802</v>
          </cell>
          <cell r="V122">
            <v>3897.0308124437602</v>
          </cell>
          <cell r="W122">
            <v>2753.62435652473</v>
          </cell>
          <cell r="X122">
            <v>3651.8230524583</v>
          </cell>
          <cell r="Y122">
            <v>15.391061046690901</v>
          </cell>
          <cell r="Z122">
            <v>34575.968785440899</v>
          </cell>
        </row>
        <row r="123">
          <cell r="A123" t="str">
            <v>Perlis</v>
          </cell>
          <cell r="B123" t="str">
            <v>09</v>
          </cell>
          <cell r="C123">
            <v>890.253977413808</v>
          </cell>
          <cell r="D123">
            <v>250.038227188164</v>
          </cell>
          <cell r="E123">
            <v>0</v>
          </cell>
          <cell r="F123">
            <v>640.215750225644</v>
          </cell>
          <cell r="I123">
            <v>6.3552696173596797</v>
          </cell>
          <cell r="J123">
            <v>302.11336558226998</v>
          </cell>
          <cell r="K123">
            <v>52.451226974228597</v>
          </cell>
          <cell r="L123">
            <v>41.430334462900099</v>
          </cell>
          <cell r="M123">
            <v>5.1199116479700102</v>
          </cell>
          <cell r="N123">
            <v>61.248855934673102</v>
          </cell>
          <cell r="O123">
            <v>138.71952423795801</v>
          </cell>
          <cell r="P123">
            <v>0.56475732443658899</v>
          </cell>
          <cell r="Q123">
            <v>2.5787550001031798</v>
          </cell>
          <cell r="R123">
            <v>108.664065708869</v>
          </cell>
          <cell r="S123">
            <v>1937.3440641202401</v>
          </cell>
          <cell r="T123">
            <v>677.02078287461802</v>
          </cell>
          <cell r="U123">
            <v>282.88980003650198</v>
          </cell>
          <cell r="V123">
            <v>253.67699812060499</v>
          </cell>
          <cell r="W123">
            <v>256.31133519920502</v>
          </cell>
          <cell r="X123">
            <v>467.44514788931002</v>
          </cell>
          <cell r="Y123">
            <v>73.299611950522902</v>
          </cell>
          <cell r="Z123">
            <v>3318.03035439307</v>
          </cell>
        </row>
        <row r="124">
          <cell r="A124" t="str">
            <v>Selangor</v>
          </cell>
          <cell r="B124">
            <v>10</v>
          </cell>
          <cell r="C124">
            <v>2706.54572787396</v>
          </cell>
          <cell r="D124">
            <v>1778.1379792200801</v>
          </cell>
          <cell r="E124">
            <v>3.4337174438734501</v>
          </cell>
          <cell r="F124">
            <v>924.97403121000798</v>
          </cell>
          <cell r="I124">
            <v>127.244240156123</v>
          </cell>
          <cell r="J124">
            <v>50189.2496835778</v>
          </cell>
          <cell r="K124">
            <v>7955.0931080243399</v>
          </cell>
          <cell r="L124">
            <v>531.41727182738396</v>
          </cell>
          <cell r="M124">
            <v>2995.0687524483401</v>
          </cell>
          <cell r="N124">
            <v>7040.3779359457303</v>
          </cell>
          <cell r="O124">
            <v>6453.92059306993</v>
          </cell>
          <cell r="P124">
            <v>12092.630973113301</v>
          </cell>
          <cell r="Q124">
            <v>13120.741049148801</v>
          </cell>
          <cell r="R124">
            <v>7248.0361555894597</v>
          </cell>
          <cell r="S124">
            <v>90799.867556183905</v>
          </cell>
          <cell r="T124">
            <v>21753.1414275928</v>
          </cell>
          <cell r="U124">
            <v>29898.888005700599</v>
          </cell>
          <cell r="V124">
            <v>24579.777021532798</v>
          </cell>
          <cell r="W124">
            <v>7542.24113877529</v>
          </cell>
          <cell r="X124">
            <v>7025.81996258247</v>
          </cell>
          <cell r="Y124">
            <v>4667.9359911748797</v>
          </cell>
          <cell r="Z124">
            <v>155738.879354556</v>
          </cell>
        </row>
        <row r="125">
          <cell r="A125" t="str">
            <v>Terengganu</v>
          </cell>
          <cell r="B125">
            <v>11</v>
          </cell>
          <cell r="C125">
            <v>1502.42703928226</v>
          </cell>
          <cell r="D125">
            <v>1145.04075419776</v>
          </cell>
          <cell r="E125">
            <v>108.922814844762</v>
          </cell>
          <cell r="F125">
            <v>248.463470239733</v>
          </cell>
          <cell r="I125">
            <v>14.3354558514615</v>
          </cell>
          <cell r="J125">
            <v>7214.7000354725296</v>
          </cell>
          <cell r="K125">
            <v>66.728878161678693</v>
          </cell>
          <cell r="L125">
            <v>44.048798066171003</v>
          </cell>
          <cell r="M125">
            <v>101.77840981852199</v>
          </cell>
          <cell r="N125">
            <v>6596.5370587211601</v>
          </cell>
          <cell r="O125">
            <v>338.26986463669903</v>
          </cell>
          <cell r="P125">
            <v>2.3404493387629799</v>
          </cell>
          <cell r="Q125">
            <v>64.996576729532705</v>
          </cell>
          <cell r="R125">
            <v>648.48607448725102</v>
          </cell>
          <cell r="S125">
            <v>9093.8914214729393</v>
          </cell>
          <cell r="T125">
            <v>3627.3338756503599</v>
          </cell>
          <cell r="U125">
            <v>1653.0362401719699</v>
          </cell>
          <cell r="V125">
            <v>837.27481127513101</v>
          </cell>
          <cell r="W125">
            <v>888.09695694086497</v>
          </cell>
          <cell r="X125">
            <v>2088.14953743461</v>
          </cell>
          <cell r="Y125">
            <v>13.4239951153119</v>
          </cell>
          <cell r="Z125">
            <v>18487.264021681702</v>
          </cell>
        </row>
        <row r="126">
          <cell r="A126" t="str">
            <v>Sabah</v>
          </cell>
          <cell r="B126">
            <v>12</v>
          </cell>
          <cell r="C126">
            <v>9333.0021421278598</v>
          </cell>
          <cell r="D126">
            <v>6100.7278202973503</v>
          </cell>
          <cell r="E126">
            <v>1494.15173959661</v>
          </cell>
          <cell r="F126">
            <v>1738.1225822338999</v>
          </cell>
          <cell r="I126">
            <v>9981.4576113374696</v>
          </cell>
          <cell r="J126">
            <v>3296.1000083382501</v>
          </cell>
          <cell r="K126">
            <v>1779.1503845996899</v>
          </cell>
          <cell r="L126">
            <v>35.183050821935502</v>
          </cell>
          <cell r="M126">
            <v>825.74608328706199</v>
          </cell>
          <cell r="N126">
            <v>164.51613490018701</v>
          </cell>
          <cell r="O126">
            <v>329.33465262169199</v>
          </cell>
          <cell r="P126">
            <v>9.6836285176547197</v>
          </cell>
          <cell r="Q126">
            <v>152.486073590019</v>
          </cell>
          <cell r="R126">
            <v>1048.32131495573</v>
          </cell>
          <cell r="S126">
            <v>18249.0380787022</v>
          </cell>
          <cell r="T126">
            <v>3461.1455486172499</v>
          </cell>
          <cell r="U126">
            <v>6027.3226036168899</v>
          </cell>
          <cell r="V126">
            <v>3661.9798489268401</v>
          </cell>
          <cell r="W126">
            <v>1705.5620623341599</v>
          </cell>
          <cell r="X126">
            <v>3393.02801520702</v>
          </cell>
          <cell r="Y126">
            <v>193.38277115297299</v>
          </cell>
          <cell r="Z126">
            <v>42101.301926614397</v>
          </cell>
        </row>
        <row r="127">
          <cell r="A127" t="str">
            <v>Sarawak</v>
          </cell>
          <cell r="B127">
            <v>13</v>
          </cell>
          <cell r="C127">
            <v>7694.6268346018496</v>
          </cell>
          <cell r="D127">
            <v>3743.7971310764401</v>
          </cell>
          <cell r="E127">
            <v>3512.6235058080101</v>
          </cell>
          <cell r="F127">
            <v>438.20619771739302</v>
          </cell>
          <cell r="I127">
            <v>15757.0015301638</v>
          </cell>
          <cell r="J127">
            <v>18116.8093202567</v>
          </cell>
          <cell r="K127">
            <v>663.697594744968</v>
          </cell>
          <cell r="L127">
            <v>15.0311885489606</v>
          </cell>
          <cell r="M127">
            <v>1502.3919041398201</v>
          </cell>
          <cell r="N127">
            <v>14580.9532505529</v>
          </cell>
          <cell r="O127">
            <v>466.14674304866998</v>
          </cell>
          <cell r="P127">
            <v>520.84665857406503</v>
          </cell>
          <cell r="Q127">
            <v>367.74198064728199</v>
          </cell>
          <cell r="R127">
            <v>1877.0483570021199</v>
          </cell>
          <cell r="S127">
            <v>23200.6558210517</v>
          </cell>
          <cell r="T127">
            <v>5246.0543498770203</v>
          </cell>
          <cell r="U127">
            <v>6280.5784683472802</v>
          </cell>
          <cell r="V127">
            <v>5981.4911503486201</v>
          </cell>
          <cell r="W127">
            <v>2294.15121074228</v>
          </cell>
          <cell r="X127">
            <v>3398.3806417365499</v>
          </cell>
          <cell r="Y127">
            <v>301.068958955516</v>
          </cell>
          <cell r="Z127">
            <v>66947.210822031702</v>
          </cell>
        </row>
        <row r="128">
          <cell r="A128" t="str">
            <v>WP Kuala Lumpur</v>
          </cell>
          <cell r="B128">
            <v>14</v>
          </cell>
          <cell r="C128">
            <v>1.17572172328511</v>
          </cell>
          <cell r="D128">
            <v>1.17572172328511</v>
          </cell>
          <cell r="E128">
            <v>0</v>
          </cell>
          <cell r="F128">
            <v>0</v>
          </cell>
          <cell r="I128">
            <v>27.291962033823101</v>
          </cell>
          <cell r="J128">
            <v>3757.3330725698902</v>
          </cell>
          <cell r="K128">
            <v>435.95852116711302</v>
          </cell>
          <cell r="L128">
            <v>311.82545341745299</v>
          </cell>
          <cell r="M128">
            <v>558.86987045419903</v>
          </cell>
          <cell r="N128">
            <v>562.95918164167699</v>
          </cell>
          <cell r="O128">
            <v>615.833407859423</v>
          </cell>
          <cell r="P128">
            <v>565.42640847014002</v>
          </cell>
          <cell r="Q128">
            <v>706.46022955988599</v>
          </cell>
          <cell r="R128">
            <v>4039.3162243751299</v>
          </cell>
          <cell r="S128">
            <v>88999.185666447098</v>
          </cell>
          <cell r="T128">
            <v>5859.4981354623997</v>
          </cell>
          <cell r="U128">
            <v>33263.711150495801</v>
          </cell>
          <cell r="V128">
            <v>33928.255428053999</v>
          </cell>
          <cell r="W128">
            <v>4586.0170306022601</v>
          </cell>
          <cell r="X128">
            <v>11361.703921832601</v>
          </cell>
          <cell r="Y128">
            <v>1005.54682827907</v>
          </cell>
          <cell r="Z128">
            <v>97829.849475428302</v>
          </cell>
        </row>
        <row r="129">
          <cell r="A129" t="str">
            <v>WP Labuan</v>
          </cell>
          <cell r="B129">
            <v>15</v>
          </cell>
          <cell r="C129">
            <v>117.835512878771</v>
          </cell>
          <cell r="D129">
            <v>7.4245397112611</v>
          </cell>
          <cell r="E129">
            <v>0</v>
          </cell>
          <cell r="F129">
            <v>110.41097316750999</v>
          </cell>
          <cell r="I129">
            <v>0</v>
          </cell>
          <cell r="J129">
            <v>576.19529319268997</v>
          </cell>
          <cell r="K129">
            <v>11.6146768482245</v>
          </cell>
          <cell r="L129">
            <v>2.75964839768156</v>
          </cell>
          <cell r="M129">
            <v>1.41659429612576</v>
          </cell>
          <cell r="N129">
            <v>257.48306212891299</v>
          </cell>
          <cell r="O129">
            <v>273.525809078002</v>
          </cell>
          <cell r="P129">
            <v>1.0281257709365199</v>
          </cell>
          <cell r="Q129">
            <v>28.367376672806301</v>
          </cell>
          <cell r="R129">
            <v>20.557724287622801</v>
          </cell>
          <cell r="S129">
            <v>1912.81908981113</v>
          </cell>
          <cell r="T129">
            <v>202.44696601929701</v>
          </cell>
          <cell r="U129">
            <v>240.06121027596001</v>
          </cell>
          <cell r="V129">
            <v>1313.4462330045201</v>
          </cell>
          <cell r="W129">
            <v>68.710276306096105</v>
          </cell>
          <cell r="X129">
            <v>88.154404205260093</v>
          </cell>
          <cell r="Y129">
            <v>19.052607394355999</v>
          </cell>
          <cell r="Z129">
            <v>2646.4602275645698</v>
          </cell>
        </row>
        <row r="130">
          <cell r="A130" t="str">
            <v>Supra1</v>
          </cell>
          <cell r="C130">
            <v>0</v>
          </cell>
          <cell r="D130">
            <v>0</v>
          </cell>
          <cell r="E130">
            <v>0</v>
          </cell>
          <cell r="F130">
            <v>0</v>
          </cell>
          <cell r="I130">
            <v>39827.220356516496</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39827.220356516496</v>
          </cell>
        </row>
        <row r="131">
          <cell r="A131" t="str">
            <v>MALAYSIA</v>
          </cell>
          <cell r="C131">
            <v>51262.585309453403</v>
          </cell>
          <cell r="D131">
            <v>36675.639973874699</v>
          </cell>
          <cell r="E131">
            <v>6922.9753038547296</v>
          </cell>
          <cell r="F131">
            <v>7663.9700317239704</v>
          </cell>
          <cell r="I131">
            <v>66182.442509128305</v>
          </cell>
          <cell r="J131">
            <v>170260.619620679</v>
          </cell>
          <cell r="K131">
            <v>18269.909161044499</v>
          </cell>
          <cell r="L131">
            <v>3120.84084725401</v>
          </cell>
          <cell r="M131">
            <v>10862.594816504199</v>
          </cell>
          <cell r="N131">
            <v>48910.345242157899</v>
          </cell>
          <cell r="O131">
            <v>19628.259549294002</v>
          </cell>
          <cell r="P131">
            <v>45972.646985428299</v>
          </cell>
          <cell r="Q131">
            <v>23496.023018995998</v>
          </cell>
          <cell r="R131">
            <v>21458.576878407799</v>
          </cell>
          <cell r="S131">
            <v>359829.17435174598</v>
          </cell>
          <cell r="T131">
            <v>66782.185103885597</v>
          </cell>
          <cell r="U131">
            <v>111796.109106901</v>
          </cell>
          <cell r="V131">
            <v>97969.802170144001</v>
          </cell>
          <cell r="W131">
            <v>34413.396601364802</v>
          </cell>
          <cell r="X131">
            <v>48867.681369450802</v>
          </cell>
          <cell r="Y131">
            <v>7659.6039079068296</v>
          </cell>
          <cell r="Z131">
            <v>676653.00257732102</v>
          </cell>
        </row>
        <row r="134">
          <cell r="A134" t="str">
            <v>CONSTANT</v>
          </cell>
          <cell r="B134" t="str">
            <v>Industry</v>
          </cell>
          <cell r="D134">
            <v>1</v>
          </cell>
          <cell r="E134">
            <v>2</v>
          </cell>
          <cell r="F134">
            <v>3</v>
          </cell>
          <cell r="I134">
            <v>4</v>
          </cell>
          <cell r="K134">
            <v>6</v>
          </cell>
          <cell r="L134">
            <v>7</v>
          </cell>
          <cell r="M134">
            <v>8</v>
          </cell>
          <cell r="N134">
            <v>9</v>
          </cell>
          <cell r="O134">
            <v>10</v>
          </cell>
          <cell r="P134">
            <v>11</v>
          </cell>
          <cell r="Q134">
            <v>12</v>
          </cell>
          <cell r="R134">
            <v>5</v>
          </cell>
          <cell r="T134">
            <v>13</v>
          </cell>
          <cell r="U134">
            <v>14</v>
          </cell>
          <cell r="V134">
            <v>15</v>
          </cell>
          <cell r="W134">
            <v>16</v>
          </cell>
        </row>
        <row r="135">
          <cell r="A135">
            <v>2011</v>
          </cell>
          <cell r="B135" t="str">
            <v>I</v>
          </cell>
          <cell r="C135" t="str">
            <v>Agriculture</v>
          </cell>
          <cell r="D135" t="str">
            <v>Tanaman</v>
          </cell>
          <cell r="E135" t="str">
            <v>Pembalakan</v>
          </cell>
          <cell r="F135" t="str">
            <v>Perikanan</v>
          </cell>
          <cell r="I135" t="str">
            <v>Mining andQuarrying</v>
          </cell>
          <cell r="J135" t="str">
            <v>Manufacturing</v>
          </cell>
          <cell r="K135" t="str">
            <v>Prosesan Makanan, Minuman dan Produk Tembakau</v>
          </cell>
          <cell r="L135" t="str">
            <v>Tekstil, Pakaian, Kulit dan Kasut</v>
          </cell>
          <cell r="M135" t="str">
            <v>Keluaran Kayu, Perabot, Produk Kertas, Percetakan dan Penerbitan</v>
          </cell>
          <cell r="N135" t="str">
            <v>Produk Petroleum, Bahan kimia, Getah dan Plastik</v>
          </cell>
          <cell r="O135" t="str">
            <v>Produk Mineral Bukan Logam, Logam Asli dan Produk Logam Yang Direka</v>
          </cell>
          <cell r="P135" t="str">
            <v>Elektrik dan Elektronik</v>
          </cell>
          <cell r="Q135" t="str">
            <v>Kelengkapan Pengangkutan dan Pembuatan Lain</v>
          </cell>
          <cell r="R135" t="str">
            <v>Construction</v>
          </cell>
          <cell r="S135" t="str">
            <v>Services</v>
          </cell>
          <cell r="T135" t="str">
            <v>Utiliti, Transport &amp; Communication</v>
          </cell>
          <cell r="U135" t="str">
            <v>WRT, Accomm &amp; Restaurant</v>
          </cell>
          <cell r="V135" t="str">
            <v>Finance &amp; Insurance, Real Estate &amp; Business Services</v>
          </cell>
          <cell r="W135" t="str">
            <v>Other Services</v>
          </cell>
          <cell r="X135" t="str">
            <v>Government Services</v>
          </cell>
          <cell r="Y135" t="str">
            <v>Plus :Import Duties</v>
          </cell>
          <cell r="Z135" t="str">
            <v>GDP atPurchasers' Prices</v>
          </cell>
        </row>
        <row r="136">
          <cell r="A136" t="str">
            <v>States</v>
          </cell>
          <cell r="B136" t="str">
            <v>Converter</v>
          </cell>
        </row>
        <row r="137">
          <cell r="A137" t="str">
            <v>Johor</v>
          </cell>
          <cell r="B137" t="str">
            <v>01</v>
          </cell>
          <cell r="C137">
            <v>8134.6770207458503</v>
          </cell>
          <cell r="D137">
            <v>7422.0715582305802</v>
          </cell>
          <cell r="E137">
            <v>47.762779025678199</v>
          </cell>
          <cell r="F137">
            <v>664.84268348959301</v>
          </cell>
          <cell r="I137">
            <v>70.624621916013794</v>
          </cell>
          <cell r="J137">
            <v>21994.898483521501</v>
          </cell>
          <cell r="K137">
            <v>2410.6855618292698</v>
          </cell>
          <cell r="L137">
            <v>871.84644902889499</v>
          </cell>
          <cell r="M137">
            <v>1782.4639099186099</v>
          </cell>
          <cell r="N137">
            <v>5230.0964648468298</v>
          </cell>
          <cell r="O137">
            <v>3302.5548771064</v>
          </cell>
          <cell r="P137">
            <v>6458.0726612356502</v>
          </cell>
          <cell r="Q137">
            <v>1939.1785595558499</v>
          </cell>
          <cell r="R137">
            <v>2029.3071001792</v>
          </cell>
          <cell r="S137">
            <v>31642.340433222402</v>
          </cell>
          <cell r="T137">
            <v>7296.5972343024996</v>
          </cell>
          <cell r="U137">
            <v>7682.37373900291</v>
          </cell>
          <cell r="V137">
            <v>8629.8666459142405</v>
          </cell>
          <cell r="W137">
            <v>3096.7312974633601</v>
          </cell>
          <cell r="X137">
            <v>4936.7715165394102</v>
          </cell>
          <cell r="Y137">
            <v>719.74007920346901</v>
          </cell>
          <cell r="Z137">
            <v>64591.587738788403</v>
          </cell>
        </row>
        <row r="138">
          <cell r="A138" t="str">
            <v>Kedah</v>
          </cell>
          <cell r="B138" t="str">
            <v>02</v>
          </cell>
          <cell r="C138">
            <v>2960.6632872735699</v>
          </cell>
          <cell r="D138">
            <v>2540.7729817119698</v>
          </cell>
          <cell r="E138">
            <v>117.22210580143999</v>
          </cell>
          <cell r="F138">
            <v>302.66819976016399</v>
          </cell>
          <cell r="I138">
            <v>20.032884294642901</v>
          </cell>
          <cell r="J138">
            <v>7352.0687446499696</v>
          </cell>
          <cell r="K138">
            <v>383.350799132188</v>
          </cell>
          <cell r="L138">
            <v>81.717323357246499</v>
          </cell>
          <cell r="M138">
            <v>440.09319389067099</v>
          </cell>
          <cell r="N138">
            <v>1412.68923948528</v>
          </cell>
          <cell r="O138">
            <v>2261.31833975989</v>
          </cell>
          <cell r="P138">
            <v>1487.0281647716699</v>
          </cell>
          <cell r="Q138">
            <v>1285.87168425303</v>
          </cell>
          <cell r="R138">
            <v>544.91931712892699</v>
          </cell>
          <cell r="S138">
            <v>12829.536155953399</v>
          </cell>
          <cell r="T138">
            <v>1918.0622325428001</v>
          </cell>
          <cell r="U138">
            <v>3317.3555159477801</v>
          </cell>
          <cell r="V138">
            <v>2490.2016389007299</v>
          </cell>
          <cell r="W138">
            <v>2009.5826020151301</v>
          </cell>
          <cell r="X138">
            <v>3094.3341665469802</v>
          </cell>
          <cell r="Y138">
            <v>129.48746996672901</v>
          </cell>
          <cell r="Z138">
            <v>23836.707859267299</v>
          </cell>
        </row>
        <row r="139">
          <cell r="A139" t="str">
            <v>Kelantan</v>
          </cell>
          <cell r="B139" t="str">
            <v>03</v>
          </cell>
          <cell r="C139">
            <v>3250.3931440866399</v>
          </cell>
          <cell r="D139">
            <v>2307.48252030412</v>
          </cell>
          <cell r="E139">
            <v>686.82311431359699</v>
          </cell>
          <cell r="F139">
            <v>256.08750946892599</v>
          </cell>
          <cell r="I139">
            <v>17.555017875334102</v>
          </cell>
          <cell r="J139">
            <v>720.02379042973098</v>
          </cell>
          <cell r="K139">
            <v>120.480108489873</v>
          </cell>
          <cell r="L139">
            <v>33.115332635042897</v>
          </cell>
          <cell r="M139">
            <v>86.254756643894197</v>
          </cell>
          <cell r="N139">
            <v>125.631643864236</v>
          </cell>
          <cell r="O139">
            <v>81.481969197679106</v>
          </cell>
          <cell r="P139">
            <v>265.79753286347898</v>
          </cell>
          <cell r="Q139">
            <v>7.26244673552634</v>
          </cell>
          <cell r="R139">
            <v>205.35856253309299</v>
          </cell>
          <cell r="S139">
            <v>8563.4068646215401</v>
          </cell>
          <cell r="T139">
            <v>1008.9559015075901</v>
          </cell>
          <cell r="U139">
            <v>2303.81195694282</v>
          </cell>
          <cell r="V139">
            <v>1043.9061010979001</v>
          </cell>
          <cell r="W139">
            <v>1410.4768872443699</v>
          </cell>
          <cell r="X139">
            <v>2796.25601782887</v>
          </cell>
          <cell r="Y139">
            <v>23.1335746334703</v>
          </cell>
          <cell r="Z139">
            <v>12779.8709541798</v>
          </cell>
        </row>
        <row r="140">
          <cell r="A140" t="str">
            <v>Melaka</v>
          </cell>
          <cell r="B140" t="str">
            <v>04</v>
          </cell>
          <cell r="C140">
            <v>1904.4398963829201</v>
          </cell>
          <cell r="D140">
            <v>1875.3104448702099</v>
          </cell>
          <cell r="E140">
            <v>0.34854431854738999</v>
          </cell>
          <cell r="F140">
            <v>28.7809071941657</v>
          </cell>
          <cell r="I140">
            <v>8.7133632236388596</v>
          </cell>
          <cell r="J140">
            <v>8526.6092260537007</v>
          </cell>
          <cell r="K140">
            <v>404.35623405683498</v>
          </cell>
          <cell r="L140">
            <v>371.82640156334901</v>
          </cell>
          <cell r="M140">
            <v>289.34137120731998</v>
          </cell>
          <cell r="N140">
            <v>3915.2355954753298</v>
          </cell>
          <cell r="O140">
            <v>586.39123981980595</v>
          </cell>
          <cell r="P140">
            <v>1917.9929215814</v>
          </cell>
          <cell r="Q140">
            <v>1041.4654623496499</v>
          </cell>
          <cell r="R140">
            <v>578.56670411304901</v>
          </cell>
          <cell r="S140">
            <v>9447.5733618878294</v>
          </cell>
          <cell r="T140">
            <v>1718.8795132765799</v>
          </cell>
          <cell r="U140">
            <v>3241.9358636103698</v>
          </cell>
          <cell r="V140">
            <v>1872.6180711970701</v>
          </cell>
          <cell r="W140">
            <v>1206.3822808283201</v>
          </cell>
          <cell r="X140">
            <v>1407.7576329755</v>
          </cell>
          <cell r="Y140">
            <v>8.4322950552220597</v>
          </cell>
          <cell r="Z140">
            <v>20474.3348467164</v>
          </cell>
        </row>
        <row r="141">
          <cell r="A141" t="str">
            <v>Negeri Sembilan</v>
          </cell>
          <cell r="B141" t="str">
            <v>05</v>
          </cell>
          <cell r="C141">
            <v>2126.3575406422601</v>
          </cell>
          <cell r="D141">
            <v>2036.69822993804</v>
          </cell>
          <cell r="E141">
            <v>51.872211126034898</v>
          </cell>
          <cell r="F141">
            <v>37.787099578188702</v>
          </cell>
          <cell r="I141">
            <v>21.145056486151599</v>
          </cell>
          <cell r="J141">
            <v>12894.9399107464</v>
          </cell>
          <cell r="K141">
            <v>1392.6142550950001</v>
          </cell>
          <cell r="L141">
            <v>182.82011147314299</v>
          </cell>
          <cell r="M141">
            <v>396.74162644753102</v>
          </cell>
          <cell r="N141">
            <v>3806.0058318315801</v>
          </cell>
          <cell r="O141">
            <v>1183.1215905153699</v>
          </cell>
          <cell r="P141">
            <v>5033.5464955859998</v>
          </cell>
          <cell r="Q141">
            <v>900.089999797779</v>
          </cell>
          <cell r="R141">
            <v>611.75562451344899</v>
          </cell>
          <cell r="S141">
            <v>10586.379094448601</v>
          </cell>
          <cell r="T141">
            <v>2510.4388442251702</v>
          </cell>
          <cell r="U141">
            <v>2705.1158011420398</v>
          </cell>
          <cell r="V141">
            <v>2162.4276451003998</v>
          </cell>
          <cell r="W141">
            <v>1415.49372916073</v>
          </cell>
          <cell r="X141">
            <v>1792.9030748202899</v>
          </cell>
          <cell r="Y141">
            <v>172.97280325428</v>
          </cell>
          <cell r="Z141">
            <v>26413.550030091199</v>
          </cell>
        </row>
        <row r="142">
          <cell r="A142" t="str">
            <v>Pahang</v>
          </cell>
          <cell r="B142" t="str">
            <v>06</v>
          </cell>
          <cell r="C142">
            <v>6116.6826148353102</v>
          </cell>
          <cell r="D142">
            <v>4876.2907066867701</v>
          </cell>
          <cell r="E142">
            <v>581.04914766295406</v>
          </cell>
          <cell r="F142">
            <v>659.34276048559298</v>
          </cell>
          <cell r="I142">
            <v>197.77283771610999</v>
          </cell>
          <cell r="J142">
            <v>7260.4879476781798</v>
          </cell>
          <cell r="K142">
            <v>1016.56039347948</v>
          </cell>
          <cell r="L142">
            <v>28.841100684370499</v>
          </cell>
          <cell r="M142">
            <v>663.49731876668102</v>
          </cell>
          <cell r="N142">
            <v>3082.3091472992101</v>
          </cell>
          <cell r="O142">
            <v>675.63786091811698</v>
          </cell>
          <cell r="P142">
            <v>120.79217979550501</v>
          </cell>
          <cell r="Q142">
            <v>1672.8499467348099</v>
          </cell>
          <cell r="R142">
            <v>760.95804245120905</v>
          </cell>
          <cell r="S142">
            <v>14857.175356735999</v>
          </cell>
          <cell r="T142">
            <v>1588.7553522870401</v>
          </cell>
          <cell r="U142">
            <v>4712.8127755404103</v>
          </cell>
          <cell r="V142">
            <v>2024.6759611119801</v>
          </cell>
          <cell r="W142">
            <v>3658.8446811840599</v>
          </cell>
          <cell r="X142">
            <v>2872.08658661247</v>
          </cell>
          <cell r="Y142">
            <v>8.1035979179312605</v>
          </cell>
          <cell r="Z142">
            <v>29201.180397334701</v>
          </cell>
        </row>
        <row r="143">
          <cell r="A143" t="str">
            <v>Pulau Pinang</v>
          </cell>
          <cell r="B143" t="str">
            <v>07</v>
          </cell>
          <cell r="C143">
            <v>943.98157091535802</v>
          </cell>
          <cell r="D143">
            <v>691.89542709139801</v>
          </cell>
          <cell r="E143">
            <v>0</v>
          </cell>
          <cell r="F143">
            <v>252.08614382396101</v>
          </cell>
          <cell r="I143">
            <v>20.412292848177401</v>
          </cell>
          <cell r="J143">
            <v>24567.200957016299</v>
          </cell>
          <cell r="K143">
            <v>1025.0814368202</v>
          </cell>
          <cell r="L143">
            <v>620.82769623989998</v>
          </cell>
          <cell r="M143">
            <v>937.54425826509896</v>
          </cell>
          <cell r="N143">
            <v>3033.8457202014401</v>
          </cell>
          <cell r="O143">
            <v>2711.3973129731698</v>
          </cell>
          <cell r="P143">
            <v>14250.225567134999</v>
          </cell>
          <cell r="Q143">
            <v>1988.27896538147</v>
          </cell>
          <cell r="R143">
            <v>1073.9697622496999</v>
          </cell>
          <cell r="S143">
            <v>23107.214875716301</v>
          </cell>
          <cell r="T143">
            <v>4848.8281431502801</v>
          </cell>
          <cell r="U143">
            <v>6544.7360624590601</v>
          </cell>
          <cell r="V143">
            <v>6773.4100588843603</v>
          </cell>
          <cell r="W143">
            <v>2284.3270174064601</v>
          </cell>
          <cell r="X143">
            <v>2655.9135938161498</v>
          </cell>
          <cell r="Y143">
            <v>340.45827634796098</v>
          </cell>
          <cell r="Z143">
            <v>50053.237735093797</v>
          </cell>
        </row>
        <row r="144">
          <cell r="A144" t="str">
            <v>Perak</v>
          </cell>
          <cell r="B144" t="str">
            <v>08</v>
          </cell>
          <cell r="C144">
            <v>5627.2105795027801</v>
          </cell>
          <cell r="D144">
            <v>3735.9622783095001</v>
          </cell>
          <cell r="E144">
            <v>409.87173923597499</v>
          </cell>
          <cell r="F144">
            <v>1481.3765619573001</v>
          </cell>
          <cell r="I144">
            <v>120.25875212874401</v>
          </cell>
          <cell r="J144">
            <v>7268.061069286</v>
          </cell>
          <cell r="K144">
            <v>1151.51899843193</v>
          </cell>
          <cell r="L144">
            <v>181.75845234122301</v>
          </cell>
          <cell r="M144">
            <v>333.998529282964</v>
          </cell>
          <cell r="N144">
            <v>1351.0119551047201</v>
          </cell>
          <cell r="O144">
            <v>1915.4260496440399</v>
          </cell>
          <cell r="P144">
            <v>1853.97778166991</v>
          </cell>
          <cell r="Q144">
            <v>480.36930281122102</v>
          </cell>
          <cell r="R144">
            <v>721.20399693463105</v>
          </cell>
          <cell r="S144">
            <v>23246.9407555014</v>
          </cell>
          <cell r="T144">
            <v>6773.3004810202901</v>
          </cell>
          <cell r="U144">
            <v>5562.0388359467297</v>
          </cell>
          <cell r="V144">
            <v>4021.9619357315</v>
          </cell>
          <cell r="W144">
            <v>2851.47468013759</v>
          </cell>
          <cell r="X144">
            <v>4038.1648226652501</v>
          </cell>
          <cell r="Y144">
            <v>17.576273903996899</v>
          </cell>
          <cell r="Z144">
            <v>37001.251427257499</v>
          </cell>
        </row>
        <row r="145">
          <cell r="A145" t="str">
            <v>Perlis</v>
          </cell>
          <cell r="B145" t="str">
            <v>09</v>
          </cell>
          <cell r="C145">
            <v>827.73384823097501</v>
          </cell>
          <cell r="D145">
            <v>267.55028768946102</v>
          </cell>
          <cell r="E145">
            <v>0</v>
          </cell>
          <cell r="F145">
            <v>560.183560541514</v>
          </cell>
          <cell r="I145">
            <v>6.8440980555753903</v>
          </cell>
          <cell r="J145">
            <v>341.31202616500502</v>
          </cell>
          <cell r="K145">
            <v>55.916553000696197</v>
          </cell>
          <cell r="L145">
            <v>46.901569706717702</v>
          </cell>
          <cell r="M145">
            <v>5.3489647809514098</v>
          </cell>
          <cell r="N145">
            <v>65.394872424891801</v>
          </cell>
          <cell r="O145">
            <v>164.585883281571</v>
          </cell>
          <cell r="P145">
            <v>0.63380209987725999</v>
          </cell>
          <cell r="Q145">
            <v>2.5303808702997199</v>
          </cell>
          <cell r="R145">
            <v>104.527779096072</v>
          </cell>
          <cell r="S145">
            <v>2054.2194129108302</v>
          </cell>
          <cell r="T145">
            <v>709.11684778855999</v>
          </cell>
          <cell r="U145">
            <v>290.57844365090398</v>
          </cell>
          <cell r="V145">
            <v>267.76177137988799</v>
          </cell>
          <cell r="W145">
            <v>266.403762604527</v>
          </cell>
          <cell r="X145">
            <v>520.35858748695296</v>
          </cell>
          <cell r="Y145">
            <v>51.284124517975201</v>
          </cell>
          <cell r="Z145">
            <v>3385.9212889764399</v>
          </cell>
        </row>
        <row r="146">
          <cell r="A146" t="str">
            <v>Selangor</v>
          </cell>
          <cell r="B146">
            <v>10</v>
          </cell>
          <cell r="C146">
            <v>2767.08637642542</v>
          </cell>
          <cell r="D146">
            <v>1820.29293336213</v>
          </cell>
          <cell r="E146">
            <v>4.4435296450322896</v>
          </cell>
          <cell r="F146">
            <v>942.34991341826003</v>
          </cell>
          <cell r="I146">
            <v>131.697998796847</v>
          </cell>
          <cell r="J146">
            <v>52570.440498427997</v>
          </cell>
          <cell r="K146">
            <v>8462.3134701883191</v>
          </cell>
          <cell r="L146">
            <v>588.93175652236403</v>
          </cell>
          <cell r="M146">
            <v>3075.9646553236098</v>
          </cell>
          <cell r="N146">
            <v>7589.64097187274</v>
          </cell>
          <cell r="O146">
            <v>7971.0594568084098</v>
          </cell>
          <cell r="P146">
            <v>12269.9170350355</v>
          </cell>
          <cell r="Q146">
            <v>12612.613152677</v>
          </cell>
          <cell r="R146">
            <v>7881.1943849313302</v>
          </cell>
          <cell r="S146">
            <v>96132.655217595297</v>
          </cell>
          <cell r="T146">
            <v>22998.0823201739</v>
          </cell>
          <cell r="U146">
            <v>31903.082917761101</v>
          </cell>
          <cell r="V146">
            <v>25513.710287414498</v>
          </cell>
          <cell r="W146">
            <v>7886.0997908309901</v>
          </cell>
          <cell r="X146">
            <v>7831.6799014148501</v>
          </cell>
          <cell r="Y146">
            <v>5268.2420999035103</v>
          </cell>
          <cell r="Z146">
            <v>164751.31657607999</v>
          </cell>
        </row>
        <row r="147">
          <cell r="A147" t="str">
            <v>Terengganu</v>
          </cell>
          <cell r="B147">
            <v>11</v>
          </cell>
          <cell r="C147">
            <v>1552.46893375229</v>
          </cell>
          <cell r="D147">
            <v>1208.9483804997501</v>
          </cell>
          <cell r="E147">
            <v>106.315710638803</v>
          </cell>
          <cell r="F147">
            <v>237.20484261373599</v>
          </cell>
          <cell r="I147">
            <v>16.019035491132101</v>
          </cell>
          <cell r="J147">
            <v>7150.1795860023003</v>
          </cell>
          <cell r="K147">
            <v>72.750622101171899</v>
          </cell>
          <cell r="L147">
            <v>49.844395080289402</v>
          </cell>
          <cell r="M147">
            <v>95.600371067727593</v>
          </cell>
          <cell r="N147">
            <v>6431.6391186826704</v>
          </cell>
          <cell r="O147">
            <v>433.51495093672702</v>
          </cell>
          <cell r="P147">
            <v>2.6391065351343701</v>
          </cell>
          <cell r="Q147">
            <v>64.191021598576896</v>
          </cell>
          <cell r="R147">
            <v>630.31504073162705</v>
          </cell>
          <cell r="S147">
            <v>9611.7817101928395</v>
          </cell>
          <cell r="T147">
            <v>3784.4333205268799</v>
          </cell>
          <cell r="U147">
            <v>1716.69282592134</v>
          </cell>
          <cell r="V147">
            <v>872.62195406933404</v>
          </cell>
          <cell r="W147">
            <v>942.05491951014301</v>
          </cell>
          <cell r="X147">
            <v>2295.9786901651401</v>
          </cell>
          <cell r="Y147">
            <v>18.8788935523413</v>
          </cell>
          <cell r="Z147">
            <v>18979.643199722501</v>
          </cell>
        </row>
        <row r="148">
          <cell r="A148" t="str">
            <v>Sabah</v>
          </cell>
          <cell r="B148">
            <v>12</v>
          </cell>
          <cell r="C148">
            <v>9762.6643991100209</v>
          </cell>
          <cell r="D148">
            <v>6808.2818181788698</v>
          </cell>
          <cell r="E148">
            <v>1130.05771756577</v>
          </cell>
          <cell r="F148">
            <v>1824.32486336538</v>
          </cell>
          <cell r="I148">
            <v>8338.7153392117998</v>
          </cell>
          <cell r="J148">
            <v>3485.83513399293</v>
          </cell>
          <cell r="K148">
            <v>1965.3275502660599</v>
          </cell>
          <cell r="L148">
            <v>40.138131403280298</v>
          </cell>
          <cell r="M148">
            <v>751.94990360398799</v>
          </cell>
          <cell r="N148">
            <v>187.20762084578999</v>
          </cell>
          <cell r="O148">
            <v>385.16721142754301</v>
          </cell>
          <cell r="P148">
            <v>11.5935278978917</v>
          </cell>
          <cell r="Q148">
            <v>144.451188548381</v>
          </cell>
          <cell r="R148">
            <v>1126.6769793170699</v>
          </cell>
          <cell r="S148">
            <v>19777.2345872021</v>
          </cell>
          <cell r="T148">
            <v>3692.8363324576499</v>
          </cell>
          <cell r="U148">
            <v>6529.3477103989499</v>
          </cell>
          <cell r="V148">
            <v>3986.4005343040499</v>
          </cell>
          <cell r="W148">
            <v>1779.7816860943699</v>
          </cell>
          <cell r="X148">
            <v>3788.8683239471102</v>
          </cell>
          <cell r="Y148">
            <v>188.95297615947101</v>
          </cell>
          <cell r="Z148">
            <v>42680.079414993401</v>
          </cell>
        </row>
        <row r="149">
          <cell r="A149" t="str">
            <v>Sarawak</v>
          </cell>
          <cell r="B149">
            <v>13</v>
          </cell>
          <cell r="C149">
            <v>8156.8061992557195</v>
          </cell>
          <cell r="D149">
            <v>4421.7470795900499</v>
          </cell>
          <cell r="E149">
            <v>3315.8120835161599</v>
          </cell>
          <cell r="F149">
            <v>419.24703614950897</v>
          </cell>
          <cell r="I149">
            <v>16468.675984960999</v>
          </cell>
          <cell r="J149">
            <v>19237.230994002901</v>
          </cell>
          <cell r="K149">
            <v>743.12154758013605</v>
          </cell>
          <cell r="L149">
            <v>17.2653490955684</v>
          </cell>
          <cell r="M149">
            <v>1460.07702792091</v>
          </cell>
          <cell r="N149">
            <v>15603.075006376799</v>
          </cell>
          <cell r="O149">
            <v>531.43566931436601</v>
          </cell>
          <cell r="P149">
            <v>519.61312274619695</v>
          </cell>
          <cell r="Q149">
            <v>362.64327096890099</v>
          </cell>
          <cell r="R149">
            <v>1853.13827443629</v>
          </cell>
          <cell r="S149">
            <v>24865.690281203799</v>
          </cell>
          <cell r="T149">
            <v>5514.6440295412403</v>
          </cell>
          <cell r="U149">
            <v>6746.93963796966</v>
          </cell>
          <cell r="V149">
            <v>6353.7916732137101</v>
          </cell>
          <cell r="W149">
            <v>2446.2213223705098</v>
          </cell>
          <cell r="X149">
            <v>3804.0936181087</v>
          </cell>
          <cell r="Y149">
            <v>267.73525855394098</v>
          </cell>
          <cell r="Z149">
            <v>70849.276992413696</v>
          </cell>
        </row>
        <row r="150">
          <cell r="A150" t="str">
            <v>WP Kuala Lumpur</v>
          </cell>
          <cell r="B150">
            <v>14</v>
          </cell>
          <cell r="C150">
            <v>1.24387042126951</v>
          </cell>
          <cell r="D150">
            <v>1.24387042126951</v>
          </cell>
          <cell r="E150">
            <v>0</v>
          </cell>
          <cell r="F150">
            <v>0</v>
          </cell>
          <cell r="I150">
            <v>29.177846085608</v>
          </cell>
          <cell r="J150">
            <v>4191.4178190179</v>
          </cell>
          <cell r="K150">
            <v>477.410169366898</v>
          </cell>
          <cell r="L150">
            <v>357.96346168164303</v>
          </cell>
          <cell r="M150">
            <v>651.82256045911004</v>
          </cell>
          <cell r="N150">
            <v>594.49307170547695</v>
          </cell>
          <cell r="O150">
            <v>733.32068762187805</v>
          </cell>
          <cell r="P150">
            <v>590.556975177249</v>
          </cell>
          <cell r="Q150">
            <v>785.85089300564005</v>
          </cell>
          <cell r="R150">
            <v>4319.6268447909597</v>
          </cell>
          <cell r="S150">
            <v>96657.319919448797</v>
          </cell>
          <cell r="T150">
            <v>6210.3238635634698</v>
          </cell>
          <cell r="U150">
            <v>35959.740207130599</v>
          </cell>
          <cell r="V150">
            <v>36665.138082038997</v>
          </cell>
          <cell r="W150">
            <v>4851.3507236140604</v>
          </cell>
          <cell r="X150">
            <v>12970.7670431017</v>
          </cell>
          <cell r="Y150">
            <v>1416.5103889326899</v>
          </cell>
          <cell r="Z150">
            <v>106615.296688697</v>
          </cell>
        </row>
        <row r="151">
          <cell r="A151" t="str">
            <v>WP Labuan</v>
          </cell>
          <cell r="B151">
            <v>15</v>
          </cell>
          <cell r="C151">
            <v>117.11069312423901</v>
          </cell>
          <cell r="D151">
            <v>7.4243868978416998</v>
          </cell>
          <cell r="E151">
            <v>0</v>
          </cell>
          <cell r="F151">
            <v>109.68630622639699</v>
          </cell>
          <cell r="I151">
            <v>0</v>
          </cell>
          <cell r="J151">
            <v>675.99673600364702</v>
          </cell>
          <cell r="K151">
            <v>11.968795512479501</v>
          </cell>
          <cell r="L151">
            <v>3.12302264569517</v>
          </cell>
          <cell r="M151">
            <v>1.0817751066401999</v>
          </cell>
          <cell r="N151">
            <v>384.477929241298</v>
          </cell>
          <cell r="O151">
            <v>245.74246600732599</v>
          </cell>
          <cell r="P151">
            <v>1.16184462992306</v>
          </cell>
          <cell r="Q151">
            <v>28.440902860284702</v>
          </cell>
          <cell r="R151">
            <v>22.3729073478722</v>
          </cell>
          <cell r="S151">
            <v>2170.13164919668</v>
          </cell>
          <cell r="T151">
            <v>212.114420540499</v>
          </cell>
          <cell r="U151">
            <v>249.27503538414001</v>
          </cell>
          <cell r="V151">
            <v>1532.5311261024799</v>
          </cell>
          <cell r="W151">
            <v>70.540807183286006</v>
          </cell>
          <cell r="X151">
            <v>105.670259986275</v>
          </cell>
          <cell r="Y151">
            <v>21.804599511489702</v>
          </cell>
          <cell r="Z151">
            <v>3007.4165851839298</v>
          </cell>
        </row>
        <row r="152">
          <cell r="A152" t="str">
            <v>Supra1</v>
          </cell>
          <cell r="C152">
            <v>0</v>
          </cell>
          <cell r="D152">
            <v>0</v>
          </cell>
          <cell r="E152">
            <v>0</v>
          </cell>
          <cell r="F152">
            <v>0</v>
          </cell>
          <cell r="I152">
            <v>37139.136922086698</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37139.136922086698</v>
          </cell>
        </row>
        <row r="153">
          <cell r="A153" t="str">
            <v>MALAYSIA</v>
          </cell>
          <cell r="C153">
            <v>54249.519974704599</v>
          </cell>
          <cell r="D153">
            <v>40021.972903782</v>
          </cell>
          <cell r="E153">
            <v>6451.5786828500004</v>
          </cell>
          <cell r="F153">
            <v>7775.9683880726898</v>
          </cell>
          <cell r="I153">
            <v>62606.782051177499</v>
          </cell>
          <cell r="J153">
            <v>178236.70292299401</v>
          </cell>
          <cell r="K153">
            <v>19693.4564953505</v>
          </cell>
          <cell r="L153">
            <v>3476.92055345873</v>
          </cell>
          <cell r="M153">
            <v>10971.7802226857</v>
          </cell>
          <cell r="N153">
            <v>52812.754189258303</v>
          </cell>
          <cell r="O153">
            <v>23182.155565332301</v>
          </cell>
          <cell r="P153">
            <v>44783.548718760401</v>
          </cell>
          <cell r="Q153">
            <v>23316.0871781485</v>
          </cell>
          <cell r="R153">
            <v>22463.891320754501</v>
          </cell>
          <cell r="S153">
            <v>385549.59967583802</v>
          </cell>
          <cell r="T153">
            <v>70785.368836904498</v>
          </cell>
          <cell r="U153">
            <v>119465.83732880899</v>
          </cell>
          <cell r="V153">
            <v>104211.023486461</v>
          </cell>
          <cell r="W153">
            <v>36175.766187647903</v>
          </cell>
          <cell r="X153">
            <v>54911.603836015602</v>
          </cell>
          <cell r="Y153">
            <v>8653.31271141447</v>
          </cell>
          <cell r="Z153">
            <v>711759.80865688296</v>
          </cell>
        </row>
        <row r="156">
          <cell r="A156" t="str">
            <v>CONSTANT</v>
          </cell>
          <cell r="B156" t="str">
            <v>Industry</v>
          </cell>
          <cell r="D156">
            <v>1</v>
          </cell>
          <cell r="E156">
            <v>2</v>
          </cell>
          <cell r="F156">
            <v>3</v>
          </cell>
          <cell r="I156">
            <v>4</v>
          </cell>
          <cell r="K156">
            <v>6</v>
          </cell>
          <cell r="L156">
            <v>7</v>
          </cell>
          <cell r="M156">
            <v>8</v>
          </cell>
          <cell r="N156">
            <v>9</v>
          </cell>
          <cell r="O156">
            <v>10</v>
          </cell>
          <cell r="P156">
            <v>11</v>
          </cell>
          <cell r="Q156">
            <v>12</v>
          </cell>
          <cell r="R156">
            <v>5</v>
          </cell>
          <cell r="T156">
            <v>13</v>
          </cell>
          <cell r="U156">
            <v>14</v>
          </cell>
          <cell r="V156">
            <v>15</v>
          </cell>
          <cell r="W156">
            <v>16</v>
          </cell>
        </row>
        <row r="157">
          <cell r="A157">
            <v>2012</v>
          </cell>
          <cell r="B157" t="str">
            <v>I</v>
          </cell>
          <cell r="C157" t="str">
            <v>Agriculture</v>
          </cell>
          <cell r="D157" t="str">
            <v>Tanaman</v>
          </cell>
          <cell r="E157" t="str">
            <v>Pembalakan</v>
          </cell>
          <cell r="F157" t="str">
            <v>Perikanan</v>
          </cell>
          <cell r="I157" t="str">
            <v>Mining andQuarrying</v>
          </cell>
          <cell r="J157" t="str">
            <v>Manufacturing</v>
          </cell>
          <cell r="K157" t="str">
            <v>Prosesan Makanan, Minuman dan Produk Tembakau</v>
          </cell>
          <cell r="L157" t="str">
            <v>Tekstil, Pakaian, Kulit dan Kasut</v>
          </cell>
          <cell r="M157" t="str">
            <v>Keluaran Kayu, Perabot, Produk Kertas, Percetakan dan Penerbitan</v>
          </cell>
          <cell r="N157" t="str">
            <v>Produk Petroleum, Bahan kimia, Getah dan Plastik</v>
          </cell>
          <cell r="O157" t="str">
            <v>Produk Mineral Bukan Logam, Logam Asli dan Produk Logam Yang Direka</v>
          </cell>
          <cell r="P157" t="str">
            <v>Elektrik dan Elektronik</v>
          </cell>
          <cell r="Q157" t="str">
            <v>Kelengkapan Pengangkutan dan Pembuatan Lain</v>
          </cell>
          <cell r="R157" t="str">
            <v>Construction</v>
          </cell>
          <cell r="S157" t="str">
            <v>Services</v>
          </cell>
          <cell r="T157" t="str">
            <v>Utiliti, Transport &amp; Communication</v>
          </cell>
          <cell r="U157" t="str">
            <v>WRT, Accomm &amp; Restaurant</v>
          </cell>
          <cell r="V157" t="str">
            <v>Finance &amp; Insurance, Real Estate &amp; Business Services</v>
          </cell>
          <cell r="W157" t="str">
            <v>Other Services</v>
          </cell>
          <cell r="X157" t="str">
            <v>Government Services</v>
          </cell>
          <cell r="Y157" t="str">
            <v>Plus :Import Duties</v>
          </cell>
          <cell r="Z157" t="str">
            <v>GDP atPurchasers' Prices</v>
          </cell>
        </row>
        <row r="158">
          <cell r="A158" t="str">
            <v>States</v>
          </cell>
          <cell r="B158" t="str">
            <v>Converter</v>
          </cell>
        </row>
        <row r="159">
          <cell r="A159" t="str">
            <v>Johor</v>
          </cell>
          <cell r="B159" t="str">
            <v>01</v>
          </cell>
          <cell r="C159">
            <v>8499.4218517199697</v>
          </cell>
          <cell r="D159">
            <v>7783.5626301690099</v>
          </cell>
          <cell r="E159">
            <v>51.240439222884099</v>
          </cell>
          <cell r="F159">
            <v>664.61878232807805</v>
          </cell>
          <cell r="G159">
            <v>0.15463940606465801</v>
          </cell>
          <cell r="I159">
            <v>83.602205875010398</v>
          </cell>
          <cell r="J159">
            <v>23335.579222503799</v>
          </cell>
          <cell r="K159">
            <v>2384.9944810836</v>
          </cell>
          <cell r="L159">
            <v>803.22775155407896</v>
          </cell>
          <cell r="M159">
            <v>1954.8936695171799</v>
          </cell>
          <cell r="N159">
            <v>5718.6914071588599</v>
          </cell>
          <cell r="O159">
            <v>3447.4076611442301</v>
          </cell>
          <cell r="P159">
            <v>6865.7990857122004</v>
          </cell>
          <cell r="Q159">
            <v>2160.5651663336598</v>
          </cell>
          <cell r="R159">
            <v>2396.8275009154299</v>
          </cell>
          <cell r="S159">
            <v>33782.405338582699</v>
          </cell>
          <cell r="T159">
            <v>7897.7516776400398</v>
          </cell>
          <cell r="U159">
            <v>8012.3480062305498</v>
          </cell>
          <cell r="V159">
            <v>9120.3161603454701</v>
          </cell>
          <cell r="W159">
            <v>3207.6190302516102</v>
          </cell>
          <cell r="X159">
            <v>5544.3704641150098</v>
          </cell>
          <cell r="Y159">
            <v>800.812800413991</v>
          </cell>
          <cell r="Z159">
            <v>68898.648920010906</v>
          </cell>
        </row>
        <row r="160">
          <cell r="A160" t="str">
            <v>Kedah</v>
          </cell>
          <cell r="B160" t="str">
            <v>02</v>
          </cell>
          <cell r="C160">
            <v>3009.94019090659</v>
          </cell>
          <cell r="D160">
            <v>2554.6195932220799</v>
          </cell>
          <cell r="E160">
            <v>123.378197064894</v>
          </cell>
          <cell r="F160">
            <v>331.94240061961898</v>
          </cell>
          <cell r="G160">
            <v>5.4763179370576398E-2</v>
          </cell>
          <cell r="I160">
            <v>23.8407354480149</v>
          </cell>
          <cell r="J160">
            <v>7852.3278784926597</v>
          </cell>
          <cell r="K160">
            <v>417.387571177947</v>
          </cell>
          <cell r="L160">
            <v>69.608720550380596</v>
          </cell>
          <cell r="M160">
            <v>444.22270973482699</v>
          </cell>
          <cell r="N160">
            <v>1532.04141797544</v>
          </cell>
          <cell r="O160">
            <v>2267.31651116794</v>
          </cell>
          <cell r="P160">
            <v>1461.3628673466601</v>
          </cell>
          <cell r="Q160">
            <v>1660.3880805394599</v>
          </cell>
          <cell r="R160">
            <v>608.71591516866397</v>
          </cell>
          <cell r="S160">
            <v>13620.779676312401</v>
          </cell>
          <cell r="T160">
            <v>2071.2184624998099</v>
          </cell>
          <cell r="U160">
            <v>3420.75428742962</v>
          </cell>
          <cell r="V160">
            <v>2708.0878666175499</v>
          </cell>
          <cell r="W160">
            <v>2059.8288262041201</v>
          </cell>
          <cell r="X160">
            <v>3360.8902335612702</v>
          </cell>
          <cell r="Y160">
            <v>162.18437680457501</v>
          </cell>
          <cell r="Z160">
            <v>25277.788773132899</v>
          </cell>
        </row>
        <row r="161">
          <cell r="A161" t="str">
            <v>Kelantan</v>
          </cell>
          <cell r="B161" t="str">
            <v>03</v>
          </cell>
          <cell r="C161">
            <v>3262.4567104921998</v>
          </cell>
          <cell r="D161">
            <v>2250.5871077659899</v>
          </cell>
          <cell r="E161">
            <v>734.76561747199298</v>
          </cell>
          <cell r="F161">
            <v>277.103985254218</v>
          </cell>
          <cell r="G161">
            <v>5.9357492406389697E-2</v>
          </cell>
          <cell r="I161">
            <v>20.8263133276708</v>
          </cell>
          <cell r="J161">
            <v>738.65286341165302</v>
          </cell>
          <cell r="K161">
            <v>121.930680436836</v>
          </cell>
          <cell r="L161">
            <v>34.341427716386399</v>
          </cell>
          <cell r="M161">
            <v>89.344443006500001</v>
          </cell>
          <cell r="N161">
            <v>138.81990381377199</v>
          </cell>
          <cell r="O161">
            <v>82.708519649512596</v>
          </cell>
          <cell r="P161">
            <v>263.84021340804901</v>
          </cell>
          <cell r="Q161">
            <v>7.6676753805969904</v>
          </cell>
          <cell r="R161">
            <v>229.330293967751</v>
          </cell>
          <cell r="S161">
            <v>9200.7164610651598</v>
          </cell>
          <cell r="T161">
            <v>1071.76897967985</v>
          </cell>
          <cell r="U161">
            <v>2405.7632464046701</v>
          </cell>
          <cell r="V161">
            <v>1136.4926705640601</v>
          </cell>
          <cell r="W161">
            <v>1458.1604456141899</v>
          </cell>
          <cell r="X161">
            <v>3128.5311188023802</v>
          </cell>
          <cell r="Y161">
            <v>23.7258058290783</v>
          </cell>
          <cell r="Z161">
            <v>13475.708448093499</v>
          </cell>
        </row>
        <row r="162">
          <cell r="A162" t="str">
            <v>Melaka</v>
          </cell>
          <cell r="B162" t="str">
            <v>04</v>
          </cell>
          <cell r="C162">
            <v>1995.8493017109399</v>
          </cell>
          <cell r="D162">
            <v>1963.31852716869</v>
          </cell>
          <cell r="E162">
            <v>0.39058176207543599</v>
          </cell>
          <cell r="F162">
            <v>32.140192780177998</v>
          </cell>
          <cell r="G162">
            <v>3.6312699380686098E-2</v>
          </cell>
          <cell r="I162">
            <v>10.112475782248399</v>
          </cell>
          <cell r="J162">
            <v>9030.2724552780401</v>
          </cell>
          <cell r="K162">
            <v>434.128731387242</v>
          </cell>
          <cell r="L162">
            <v>318.857407893573</v>
          </cell>
          <cell r="M162">
            <v>310.77061575848802</v>
          </cell>
          <cell r="N162">
            <v>4284.8676574412002</v>
          </cell>
          <cell r="O162">
            <v>603.60247547495601</v>
          </cell>
          <cell r="P162">
            <v>1962.95647946808</v>
          </cell>
          <cell r="Q162">
            <v>1115.0890878544999</v>
          </cell>
          <cell r="R162">
            <v>906.07056889400201</v>
          </cell>
          <cell r="S162">
            <v>9987.0896910489791</v>
          </cell>
          <cell r="T162">
            <v>1798.9941127745799</v>
          </cell>
          <cell r="U162">
            <v>3361.5379170567999</v>
          </cell>
          <cell r="V162">
            <v>2005.7729690097899</v>
          </cell>
          <cell r="W162">
            <v>1242.2031321719701</v>
          </cell>
          <cell r="X162">
            <v>1578.5815600358301</v>
          </cell>
          <cell r="Y162">
            <v>14.9902807526153</v>
          </cell>
          <cell r="Z162">
            <v>21944.384773466802</v>
          </cell>
        </row>
        <row r="163">
          <cell r="A163" t="str">
            <v>Negeri Sembilan</v>
          </cell>
          <cell r="B163" t="str">
            <v>05</v>
          </cell>
          <cell r="C163">
            <v>2178.3218620282901</v>
          </cell>
          <cell r="D163">
            <v>2085.0131844757002</v>
          </cell>
          <cell r="E163">
            <v>55.560231758910902</v>
          </cell>
          <cell r="F163">
            <v>37.748445793678499</v>
          </cell>
          <cell r="G163">
            <v>3.9632624999492903E-2</v>
          </cell>
          <cell r="I163">
            <v>24.547725203308701</v>
          </cell>
          <cell r="J163">
            <v>13395.1562030438</v>
          </cell>
          <cell r="K163">
            <v>1404.23409852379</v>
          </cell>
          <cell r="L163">
            <v>154.13558282628901</v>
          </cell>
          <cell r="M163">
            <v>377.63597594698098</v>
          </cell>
          <cell r="N163">
            <v>4200.1271776031599</v>
          </cell>
          <cell r="O163">
            <v>1376.61332146723</v>
          </cell>
          <cell r="P163">
            <v>4961.4208362988302</v>
          </cell>
          <cell r="Q163">
            <v>920.98921037754201</v>
          </cell>
          <cell r="R163">
            <v>692.98365234048401</v>
          </cell>
          <cell r="S163">
            <v>11246.0146058912</v>
          </cell>
          <cell r="T163">
            <v>2698.3269749730998</v>
          </cell>
          <cell r="U163">
            <v>2829.1290745413799</v>
          </cell>
          <cell r="V163">
            <v>2282.3660477152498</v>
          </cell>
          <cell r="W163">
            <v>1477.5476179959001</v>
          </cell>
          <cell r="X163">
            <v>1958.6448906656001</v>
          </cell>
          <cell r="Y163">
            <v>192.899309524085</v>
          </cell>
          <cell r="Z163">
            <v>27729.923358031199</v>
          </cell>
        </row>
        <row r="164">
          <cell r="A164" t="str">
            <v>Pahang</v>
          </cell>
          <cell r="B164" t="str">
            <v>06</v>
          </cell>
          <cell r="C164">
            <v>6186.9160992104498</v>
          </cell>
          <cell r="D164">
            <v>4853.9136400778098</v>
          </cell>
          <cell r="E164">
            <v>618.26544097006297</v>
          </cell>
          <cell r="F164">
            <v>714.73701816257801</v>
          </cell>
          <cell r="G164">
            <v>0.112565424760057</v>
          </cell>
          <cell r="I164">
            <v>217.359376893844</v>
          </cell>
          <cell r="J164">
            <v>7840.7354493851699</v>
          </cell>
          <cell r="K164">
            <v>921.13494044889899</v>
          </cell>
          <cell r="L164">
            <v>24.5124190688624</v>
          </cell>
          <cell r="M164">
            <v>663.69193611557898</v>
          </cell>
          <cell r="N164">
            <v>3241.8604524095999</v>
          </cell>
          <cell r="O164">
            <v>695.63913978494304</v>
          </cell>
          <cell r="P164">
            <v>111.938733734124</v>
          </cell>
          <cell r="Q164">
            <v>2181.9578278231602</v>
          </cell>
          <cell r="R164">
            <v>873.18496104557403</v>
          </cell>
          <cell r="S164">
            <v>15659.750870359499</v>
          </cell>
          <cell r="T164">
            <v>1691.3184155062499</v>
          </cell>
          <cell r="U164">
            <v>4904.6667933857998</v>
          </cell>
          <cell r="V164">
            <v>2217.20133966291</v>
          </cell>
          <cell r="W164">
            <v>3769.4414987309101</v>
          </cell>
          <cell r="X164">
            <v>3077.1228230736301</v>
          </cell>
          <cell r="Y164">
            <v>13.0358987515222</v>
          </cell>
          <cell r="Z164">
            <v>30790.982655645999</v>
          </cell>
        </row>
        <row r="165">
          <cell r="A165" t="str">
            <v>Pulau Pinang</v>
          </cell>
          <cell r="B165" t="str">
            <v>07</v>
          </cell>
          <cell r="C165">
            <v>989.80258396112697</v>
          </cell>
          <cell r="D165">
            <v>731.18001689310802</v>
          </cell>
          <cell r="E165">
            <v>0</v>
          </cell>
          <cell r="F165">
            <v>258.62256706801901</v>
          </cell>
          <cell r="G165">
            <v>1.80085759214361E-2</v>
          </cell>
          <cell r="I165">
            <v>23.613817931912699</v>
          </cell>
          <cell r="J165">
            <v>25411.130030250599</v>
          </cell>
          <cell r="K165">
            <v>1116.18410179394</v>
          </cell>
          <cell r="L165">
            <v>557.74037962954003</v>
          </cell>
          <cell r="M165">
            <v>941.05670776516104</v>
          </cell>
          <cell r="N165">
            <v>3093.2856699724598</v>
          </cell>
          <cell r="O165">
            <v>2867.05691055339</v>
          </cell>
          <cell r="P165">
            <v>14782.768237495</v>
          </cell>
          <cell r="Q165">
            <v>2053.0380230411101</v>
          </cell>
          <cell r="R165">
            <v>1315.23847144556</v>
          </cell>
          <cell r="S165">
            <v>24422.409262104</v>
          </cell>
          <cell r="T165">
            <v>5238.1382224018898</v>
          </cell>
          <cell r="U165">
            <v>6805.9446619393602</v>
          </cell>
          <cell r="V165">
            <v>7037.9922403077799</v>
          </cell>
          <cell r="W165">
            <v>2400.4074616410999</v>
          </cell>
          <cell r="X165">
            <v>2939.9266758138701</v>
          </cell>
          <cell r="Y165">
            <v>409.251633926681</v>
          </cell>
          <cell r="Z165">
            <v>52571.445799619898</v>
          </cell>
        </row>
        <row r="166">
          <cell r="A166" t="str">
            <v>Perak</v>
          </cell>
          <cell r="B166" t="str">
            <v>08</v>
          </cell>
          <cell r="C166">
            <v>5777.0457466808703</v>
          </cell>
          <cell r="D166">
            <v>3862.19796005239</v>
          </cell>
          <cell r="E166">
            <v>394.62302985883701</v>
          </cell>
          <cell r="F166">
            <v>1520.22475676964</v>
          </cell>
          <cell r="G166">
            <v>0.105108198964651</v>
          </cell>
          <cell r="I166">
            <v>144.193924989701</v>
          </cell>
          <cell r="J166">
            <v>7658.3546612541304</v>
          </cell>
          <cell r="K166">
            <v>1144.3863777085901</v>
          </cell>
          <cell r="L166">
            <v>172.43056360591399</v>
          </cell>
          <cell r="M166">
            <v>358.66049496469998</v>
          </cell>
          <cell r="N166">
            <v>1523.67813732734</v>
          </cell>
          <cell r="O166">
            <v>1987.3948583144499</v>
          </cell>
          <cell r="P166">
            <v>1886.0720866904301</v>
          </cell>
          <cell r="Q166">
            <v>585.73214264271496</v>
          </cell>
          <cell r="R166">
            <v>1094.74508694509</v>
          </cell>
          <cell r="S166">
            <v>24996.424320652299</v>
          </cell>
          <cell r="T166">
            <v>7426.02319259669</v>
          </cell>
          <cell r="U166">
            <v>5813.2685737843503</v>
          </cell>
          <cell r="V166">
            <v>4407.5073150541803</v>
          </cell>
          <cell r="W166">
            <v>2918.08730203393</v>
          </cell>
          <cell r="X166">
            <v>4431.5379371831596</v>
          </cell>
          <cell r="Y166">
            <v>17.4797376965506</v>
          </cell>
          <cell r="Z166">
            <v>39688.243478218603</v>
          </cell>
        </row>
        <row r="167">
          <cell r="A167" t="str">
            <v>Perlis</v>
          </cell>
          <cell r="B167" t="str">
            <v>09</v>
          </cell>
          <cell r="C167">
            <v>840.538276068605</v>
          </cell>
          <cell r="D167">
            <v>270.98791001991299</v>
          </cell>
          <cell r="E167">
            <v>0</v>
          </cell>
          <cell r="F167">
            <v>569.55036604869304</v>
          </cell>
          <cell r="G167">
            <v>1.52928448609192E-2</v>
          </cell>
          <cell r="I167">
            <v>7.8630705016069902</v>
          </cell>
          <cell r="J167">
            <v>352.23233548238699</v>
          </cell>
          <cell r="K167">
            <v>53.017986483786302</v>
          </cell>
          <cell r="L167">
            <v>39.382493442889498</v>
          </cell>
          <cell r="M167">
            <v>5.9428648207202901</v>
          </cell>
          <cell r="N167">
            <v>80.746387238501597</v>
          </cell>
          <cell r="O167">
            <v>169.70931767045701</v>
          </cell>
          <cell r="P167">
            <v>0.69130164414456396</v>
          </cell>
          <cell r="Q167">
            <v>2.7419841818873198</v>
          </cell>
          <cell r="R167">
            <v>96.636789889015802</v>
          </cell>
          <cell r="S167">
            <v>2169.5388495278098</v>
          </cell>
          <cell r="T167">
            <v>714.25395061898701</v>
          </cell>
          <cell r="U167">
            <v>306.55834603921801</v>
          </cell>
          <cell r="V167">
            <v>290.30374323946802</v>
          </cell>
          <cell r="W167">
            <v>271.94986652155899</v>
          </cell>
          <cell r="X167">
            <v>586.47294310857797</v>
          </cell>
          <cell r="Y167">
            <v>70.382385332018401</v>
          </cell>
          <cell r="Z167">
            <v>3537.19170680144</v>
          </cell>
        </row>
        <row r="168">
          <cell r="A168" t="str">
            <v>Selangor</v>
          </cell>
          <cell r="B168">
            <v>10</v>
          </cell>
          <cell r="C168">
            <v>2928.79880005116</v>
          </cell>
          <cell r="D168">
            <v>1971.2635139516201</v>
          </cell>
          <cell r="E168">
            <v>4.8506169140214004</v>
          </cell>
          <cell r="F168">
            <v>952.68466918551405</v>
          </cell>
          <cell r="G168">
            <v>5.3286884075666903E-2</v>
          </cell>
          <cell r="I168">
            <v>153.77570318972201</v>
          </cell>
          <cell r="J168">
            <v>55497.7252193596</v>
          </cell>
          <cell r="K168">
            <v>9159.8025759456996</v>
          </cell>
          <cell r="L168">
            <v>625.767748752545</v>
          </cell>
          <cell r="M168">
            <v>3214.7585001345501</v>
          </cell>
          <cell r="N168">
            <v>8447.6700463326197</v>
          </cell>
          <cell r="O168">
            <v>8951.4411725459795</v>
          </cell>
          <cell r="P168">
            <v>12259.2422725042</v>
          </cell>
          <cell r="Q168">
            <v>12839.042903144</v>
          </cell>
          <cell r="R168">
            <v>8790.1616960969004</v>
          </cell>
          <cell r="S168">
            <v>102760.30219111399</v>
          </cell>
          <cell r="T168">
            <v>24475.201271004498</v>
          </cell>
          <cell r="U168">
            <v>33681.349755677802</v>
          </cell>
          <cell r="V168">
            <v>27814.3804078301</v>
          </cell>
          <cell r="W168">
            <v>8293.8449333607405</v>
          </cell>
          <cell r="X168">
            <v>8495.5258232406104</v>
          </cell>
          <cell r="Y168">
            <v>6246.4646222930396</v>
          </cell>
          <cell r="Z168">
            <v>176377.22823210401</v>
          </cell>
        </row>
        <row r="169">
          <cell r="A169" t="str">
            <v>Terengganu</v>
          </cell>
          <cell r="B169">
            <v>11</v>
          </cell>
          <cell r="C169">
            <v>1531.3159056412901</v>
          </cell>
          <cell r="D169">
            <v>1173.2488906353201</v>
          </cell>
          <cell r="E169">
            <v>105.25399571146001</v>
          </cell>
          <cell r="F169">
            <v>252.81301929451001</v>
          </cell>
          <cell r="G169">
            <v>2.78609282227604E-2</v>
          </cell>
          <cell r="I169">
            <v>19.008965710570099</v>
          </cell>
          <cell r="J169">
            <v>7439.8439621940197</v>
          </cell>
          <cell r="K169">
            <v>69.566267526971004</v>
          </cell>
          <cell r="L169">
            <v>41.994834169779999</v>
          </cell>
          <cell r="M169">
            <v>98.716020292595402</v>
          </cell>
          <cell r="N169">
            <v>6709.35250879049</v>
          </cell>
          <cell r="O169">
            <v>444.64474978085201</v>
          </cell>
          <cell r="P169">
            <v>2.8853506400709299</v>
          </cell>
          <cell r="Q169">
            <v>72.684230993260897</v>
          </cell>
          <cell r="R169">
            <v>757.06310618569501</v>
          </cell>
          <cell r="S169">
            <v>9876.2824065053901</v>
          </cell>
          <cell r="T169">
            <v>3657.82275840804</v>
          </cell>
          <cell r="U169">
            <v>1813.95406392735</v>
          </cell>
          <cell r="V169">
            <v>955.97787766315901</v>
          </cell>
          <cell r="W169">
            <v>974.90481394047504</v>
          </cell>
          <cell r="X169">
            <v>2473.62289256636</v>
          </cell>
          <cell r="Y169">
            <v>18.183226823906502</v>
          </cell>
          <cell r="Z169">
            <v>19641.697573060901</v>
          </cell>
        </row>
        <row r="170">
          <cell r="A170" t="str">
            <v>Sabah</v>
          </cell>
          <cell r="B170">
            <v>12</v>
          </cell>
          <cell r="C170">
            <v>9269.2175249747906</v>
          </cell>
          <cell r="D170">
            <v>6542.96793685586</v>
          </cell>
          <cell r="E170">
            <v>822.61026313053401</v>
          </cell>
          <cell r="F170">
            <v>1903.6393249883899</v>
          </cell>
          <cell r="G170">
            <v>0.16864515231187799</v>
          </cell>
          <cell r="I170">
            <v>9167.1810231602194</v>
          </cell>
          <cell r="J170">
            <v>3495.6402054413902</v>
          </cell>
          <cell r="K170">
            <v>1915.7998950631199</v>
          </cell>
          <cell r="L170">
            <v>35.497282883448698</v>
          </cell>
          <cell r="M170">
            <v>714.88205915253502</v>
          </cell>
          <cell r="N170">
            <v>239.82227626068399</v>
          </cell>
          <cell r="O170">
            <v>426.96689276737902</v>
          </cell>
          <cell r="P170">
            <v>13.0730273936943</v>
          </cell>
          <cell r="Q170">
            <v>149.59877192052801</v>
          </cell>
          <cell r="R170">
            <v>1280.4330211776701</v>
          </cell>
          <cell r="S170">
            <v>21070.636505532999</v>
          </cell>
          <cell r="T170">
            <v>3871.8937146051799</v>
          </cell>
          <cell r="U170">
            <v>6769.5301216211701</v>
          </cell>
          <cell r="V170">
            <v>4371.2484150819801</v>
          </cell>
          <cell r="W170">
            <v>1832.0933363941101</v>
          </cell>
          <cell r="X170">
            <v>4225.8709178305198</v>
          </cell>
          <cell r="Y170">
            <v>185.703599974799</v>
          </cell>
          <cell r="Z170">
            <v>44468.811880261797</v>
          </cell>
        </row>
        <row r="171">
          <cell r="A171" t="str">
            <v>Sarawak</v>
          </cell>
          <cell r="B171">
            <v>13</v>
          </cell>
          <cell r="C171">
            <v>8370.7982938666592</v>
          </cell>
          <cell r="D171">
            <v>4642.6808537868201</v>
          </cell>
          <cell r="E171">
            <v>3247.47202584859</v>
          </cell>
          <cell r="F171">
            <v>480.64541423124399</v>
          </cell>
          <cell r="G171">
            <v>0.15229921505645</v>
          </cell>
          <cell r="I171">
            <v>15154.4470817786</v>
          </cell>
          <cell r="J171">
            <v>19399.666076773599</v>
          </cell>
          <cell r="K171">
            <v>775.58735607610095</v>
          </cell>
          <cell r="L171">
            <v>15.0745317584701</v>
          </cell>
          <cell r="M171">
            <v>1551.29563122071</v>
          </cell>
          <cell r="N171">
            <v>15501.1310661064</v>
          </cell>
          <cell r="O171">
            <v>605.64828917163697</v>
          </cell>
          <cell r="P171">
            <v>541.31617967475097</v>
          </cell>
          <cell r="Q171">
            <v>409.613022765545</v>
          </cell>
          <cell r="R171">
            <v>2262.5501826260202</v>
          </cell>
          <cell r="S171">
            <v>26443.601253813998</v>
          </cell>
          <cell r="T171">
            <v>5820.4846753634802</v>
          </cell>
          <cell r="U171">
            <v>7040.84767516391</v>
          </cell>
          <cell r="V171">
            <v>6879.62447942165</v>
          </cell>
          <cell r="W171">
            <v>2534.16565625769</v>
          </cell>
          <cell r="X171">
            <v>4168.4787676072401</v>
          </cell>
          <cell r="Y171">
            <v>248.11392658100701</v>
          </cell>
          <cell r="Z171">
            <v>71879.176815439801</v>
          </cell>
        </row>
        <row r="172">
          <cell r="A172" t="str">
            <v>WP Kuala Lumpur</v>
          </cell>
          <cell r="B172">
            <v>14</v>
          </cell>
          <cell r="C172">
            <v>1.33811879427992</v>
          </cell>
          <cell r="D172">
            <v>1.33811879427992</v>
          </cell>
          <cell r="E172">
            <v>0</v>
          </cell>
          <cell r="F172">
            <v>0</v>
          </cell>
          <cell r="G172">
            <v>2.4345878955228999E-5</v>
          </cell>
          <cell r="I172">
            <v>33.527386668321199</v>
          </cell>
          <cell r="J172">
            <v>4583.5227902265196</v>
          </cell>
          <cell r="K172">
            <v>511.31546080560298</v>
          </cell>
          <cell r="L172">
            <v>325.880583844309</v>
          </cell>
          <cell r="M172">
            <v>669.66196348636402</v>
          </cell>
          <cell r="N172">
            <v>662.33600246826995</v>
          </cell>
          <cell r="O172">
            <v>802.57089025127095</v>
          </cell>
          <cell r="P172">
            <v>666.73541628887995</v>
          </cell>
          <cell r="Q172">
            <v>945.02247308181995</v>
          </cell>
          <cell r="R172">
            <v>5302.2337156191898</v>
          </cell>
          <cell r="S172">
            <v>102775.57740821601</v>
          </cell>
          <cell r="T172">
            <v>6713.9829563593903</v>
          </cell>
          <cell r="U172">
            <v>37682.895314182198</v>
          </cell>
          <cell r="V172">
            <v>39293.579300299498</v>
          </cell>
          <cell r="W172">
            <v>5073.6181105953901</v>
          </cell>
          <cell r="X172">
            <v>14011.501726779899</v>
          </cell>
          <cell r="Y172">
            <v>1580.4685485513101</v>
          </cell>
          <cell r="Z172">
            <v>114276.667968076</v>
          </cell>
        </row>
        <row r="173">
          <cell r="A173" t="str">
            <v>WP Labuan</v>
          </cell>
          <cell r="B173">
            <v>15</v>
          </cell>
          <cell r="C173">
            <v>121.08467347306799</v>
          </cell>
          <cell r="D173">
            <v>6.7249392836401896</v>
          </cell>
          <cell r="E173">
            <v>0</v>
          </cell>
          <cell r="F173">
            <v>114.359734189428</v>
          </cell>
          <cell r="G173">
            <v>2.20302772542336E-3</v>
          </cell>
          <cell r="I173">
            <v>0</v>
          </cell>
          <cell r="J173">
            <v>717.551482388723</v>
          </cell>
          <cell r="K173">
            <v>9.7330650632984206</v>
          </cell>
          <cell r="L173">
            <v>2.6312175701124301</v>
          </cell>
          <cell r="M173">
            <v>1.12671501031767</v>
          </cell>
          <cell r="N173">
            <v>425.60227142865398</v>
          </cell>
          <cell r="O173">
            <v>247.14952935007</v>
          </cell>
          <cell r="P173">
            <v>1.26678033822109</v>
          </cell>
          <cell r="Q173">
            <v>30.0419036280489</v>
          </cell>
          <cell r="R173">
            <v>33.5881762447627</v>
          </cell>
          <cell r="S173">
            <v>2327.3071407966399</v>
          </cell>
          <cell r="T173">
            <v>222.29550550402701</v>
          </cell>
          <cell r="U173">
            <v>258.795257169612</v>
          </cell>
          <cell r="V173">
            <v>1653.88630010355</v>
          </cell>
          <cell r="W173">
            <v>72.967897534969296</v>
          </cell>
          <cell r="X173">
            <v>119.362180484487</v>
          </cell>
          <cell r="Y173">
            <v>17.693919309888098</v>
          </cell>
          <cell r="Z173">
            <v>3217.2253922130899</v>
          </cell>
        </row>
        <row r="174">
          <cell r="A174" t="str">
            <v>Supra1</v>
          </cell>
          <cell r="C174">
            <v>0</v>
          </cell>
          <cell r="D174">
            <v>0</v>
          </cell>
          <cell r="E174">
            <v>0</v>
          </cell>
          <cell r="F174">
            <v>0</v>
          </cell>
          <cell r="G174">
            <v>0</v>
          </cell>
          <cell r="I174">
            <v>38159.213385185802</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38159.213385185802</v>
          </cell>
        </row>
        <row r="175">
          <cell r="A175" t="str">
            <v>MALAYSIA</v>
          </cell>
          <cell r="C175">
            <v>54962.8459395803</v>
          </cell>
          <cell r="D175">
            <v>40693.6048231522</v>
          </cell>
          <cell r="E175">
            <v>6158.4104397142701</v>
          </cell>
          <cell r="F175">
            <v>8110.8306767137901</v>
          </cell>
          <cell r="G175">
            <v>1</v>
          </cell>
          <cell r="I175">
            <v>63243.113191646502</v>
          </cell>
          <cell r="J175">
            <v>186748.390835486</v>
          </cell>
          <cell r="K175">
            <v>20439.203589525401</v>
          </cell>
          <cell r="L175">
            <v>3221.0829452665798</v>
          </cell>
          <cell r="M175">
            <v>11396.660306927201</v>
          </cell>
          <cell r="N175">
            <v>55800.032382327401</v>
          </cell>
          <cell r="O175">
            <v>24975.8702390943</v>
          </cell>
          <cell r="P175">
            <v>45781.368868637401</v>
          </cell>
          <cell r="Q175">
            <v>25134.172503707799</v>
          </cell>
          <cell r="R175">
            <v>26639.763138561801</v>
          </cell>
          <cell r="S175">
            <v>410338.83598152298</v>
          </cell>
          <cell r="T175">
            <v>75369.474869935802</v>
          </cell>
          <cell r="U175">
            <v>125107.343094554</v>
          </cell>
          <cell r="V175">
            <v>112174.73713291599</v>
          </cell>
          <cell r="W175">
            <v>37586.839929248701</v>
          </cell>
          <cell r="X175">
            <v>60100.440954868398</v>
          </cell>
          <cell r="Y175">
            <v>10001.3900725651</v>
          </cell>
          <cell r="Z175">
            <v>751934.33915936295</v>
          </cell>
        </row>
        <row r="178">
          <cell r="A178" t="str">
            <v>CONSTANT</v>
          </cell>
          <cell r="B178" t="str">
            <v>Industry</v>
          </cell>
          <cell r="D178">
            <v>1</v>
          </cell>
          <cell r="E178">
            <v>2</v>
          </cell>
          <cell r="F178">
            <v>3</v>
          </cell>
          <cell r="I178">
            <v>4</v>
          </cell>
          <cell r="K178">
            <v>6</v>
          </cell>
          <cell r="L178">
            <v>7</v>
          </cell>
          <cell r="M178">
            <v>8</v>
          </cell>
          <cell r="N178">
            <v>9</v>
          </cell>
          <cell r="O178">
            <v>10</v>
          </cell>
          <cell r="P178">
            <v>11</v>
          </cell>
          <cell r="Q178">
            <v>12</v>
          </cell>
          <cell r="R178">
            <v>5</v>
          </cell>
          <cell r="T178">
            <v>13</v>
          </cell>
          <cell r="U178">
            <v>14</v>
          </cell>
          <cell r="V178">
            <v>15</v>
          </cell>
          <cell r="W178">
            <v>16</v>
          </cell>
        </row>
        <row r="179">
          <cell r="A179">
            <v>2013</v>
          </cell>
          <cell r="B179" t="str">
            <v>I</v>
          </cell>
          <cell r="C179" t="str">
            <v>Agriculture</v>
          </cell>
          <cell r="D179" t="str">
            <v>Tanaman</v>
          </cell>
          <cell r="E179" t="str">
            <v>Pembalakan</v>
          </cell>
          <cell r="F179" t="str">
            <v>Perikanan</v>
          </cell>
          <cell r="I179" t="str">
            <v>Mining andQuarrying</v>
          </cell>
          <cell r="J179" t="str">
            <v>Manufacturing</v>
          </cell>
          <cell r="K179" t="str">
            <v>Prosesan Makanan, Minuman dan Produk Tembakau</v>
          </cell>
          <cell r="L179" t="str">
            <v>Tekstil, Pakaian, Kulit dan Kasut</v>
          </cell>
          <cell r="M179" t="str">
            <v>Keluaran Kayu, Perabot, Produk Kertas, Percetakan dan Penerbitan</v>
          </cell>
          <cell r="N179" t="str">
            <v>Produk Petroleum, Bahan kimia, Getah dan Plastik</v>
          </cell>
          <cell r="O179" t="str">
            <v>Produk Mineral Bukan Logam, Logam Asli dan Produk Logam Yang Direka</v>
          </cell>
          <cell r="P179" t="str">
            <v>Elektrik dan Elektronik</v>
          </cell>
          <cell r="Q179" t="str">
            <v>Kelengkapan Pengangkutan dan Pembuatan Lain</v>
          </cell>
          <cell r="R179" t="str">
            <v>Construction</v>
          </cell>
          <cell r="S179" t="str">
            <v>Services</v>
          </cell>
          <cell r="T179" t="str">
            <v>Utiliti, Transport &amp; Communication</v>
          </cell>
          <cell r="U179" t="str">
            <v>WRT, Accomm &amp; Restaurant</v>
          </cell>
          <cell r="V179" t="str">
            <v>Finance &amp; Insurance, Real Estate &amp; Business Services</v>
          </cell>
          <cell r="W179" t="str">
            <v>Other Services</v>
          </cell>
          <cell r="X179" t="str">
            <v>Government Services</v>
          </cell>
          <cell r="Y179" t="str">
            <v>Plus :Import Duties</v>
          </cell>
          <cell r="Z179" t="str">
            <v>GDP atPurchasers' Prices</v>
          </cell>
        </row>
        <row r="180">
          <cell r="A180" t="str">
            <v>States</v>
          </cell>
          <cell r="B180" t="str">
            <v>Converter</v>
          </cell>
        </row>
        <row r="181">
          <cell r="A181" t="str">
            <v>Johor</v>
          </cell>
          <cell r="B181" t="str">
            <v>01</v>
          </cell>
          <cell r="C181">
            <v>8748.7908090068704</v>
          </cell>
          <cell r="D181">
            <v>8036.4950683605202</v>
          </cell>
          <cell r="E181">
            <v>50.351897118266798</v>
          </cell>
          <cell r="F181">
            <v>661.94384352808402</v>
          </cell>
          <cell r="G181">
            <v>0.15917645200949501</v>
          </cell>
          <cell r="I181">
            <v>96.234754698537401</v>
          </cell>
          <cell r="J181">
            <v>24405.091104601001</v>
          </cell>
          <cell r="K181">
            <v>2487.6893945492998</v>
          </cell>
          <cell r="L181">
            <v>849.15390690469599</v>
          </cell>
          <cell r="M181">
            <v>1851.70418317137</v>
          </cell>
          <cell r="N181">
            <v>6327.2266505892203</v>
          </cell>
          <cell r="O181">
            <v>3576.06608010438</v>
          </cell>
          <cell r="P181">
            <v>6921.9470872472903</v>
          </cell>
          <cell r="Q181">
            <v>2391.3038020347899</v>
          </cell>
          <cell r="R181">
            <v>2591.1198371668102</v>
          </cell>
          <cell r="S181">
            <v>35158.481630847004</v>
          </cell>
          <cell r="T181">
            <v>8222.2753111455695</v>
          </cell>
          <cell r="U181">
            <v>8451.3331251300497</v>
          </cell>
          <cell r="V181">
            <v>9370.30747007645</v>
          </cell>
          <cell r="W181">
            <v>3299.11104125783</v>
          </cell>
          <cell r="X181">
            <v>5815.4546832370797</v>
          </cell>
          <cell r="Y181">
            <v>1275.41416982082</v>
          </cell>
          <cell r="Z181">
            <v>72275.132306141095</v>
          </cell>
        </row>
        <row r="182">
          <cell r="A182" t="str">
            <v>Kedah</v>
          </cell>
          <cell r="B182" t="str">
            <v>02</v>
          </cell>
          <cell r="C182">
            <v>3134.4356637680999</v>
          </cell>
          <cell r="D182">
            <v>2642.0112222114399</v>
          </cell>
          <cell r="E182">
            <v>121.18761989214801</v>
          </cell>
          <cell r="F182">
            <v>371.23682166451499</v>
          </cell>
          <cell r="G182">
            <v>5.7028263551231202E-2</v>
          </cell>
          <cell r="I182">
            <v>27.175492254822998</v>
          </cell>
          <cell r="J182">
            <v>8044.74531754082</v>
          </cell>
          <cell r="K182">
            <v>394.21841089785102</v>
          </cell>
          <cell r="L182">
            <v>71.111762684665905</v>
          </cell>
          <cell r="M182">
            <v>445.58436772479303</v>
          </cell>
          <cell r="N182">
            <v>1774.7015736860301</v>
          </cell>
          <cell r="O182">
            <v>2232.73900335606</v>
          </cell>
          <cell r="P182">
            <v>1554.0650173762899</v>
          </cell>
          <cell r="Q182">
            <v>1572.32518181513</v>
          </cell>
          <cell r="R182">
            <v>543.56793260374798</v>
          </cell>
          <cell r="S182">
            <v>14512.2928501926</v>
          </cell>
          <cell r="T182">
            <v>2215.18948845253</v>
          </cell>
          <cell r="U182">
            <v>3716.0779669713702</v>
          </cell>
          <cell r="V182">
            <v>2773.3684723987499</v>
          </cell>
          <cell r="W182">
            <v>2139.8606680274202</v>
          </cell>
          <cell r="X182">
            <v>3667.7962543425801</v>
          </cell>
          <cell r="Y182">
            <v>171.488139160842</v>
          </cell>
          <cell r="Z182">
            <v>26433.705395520999</v>
          </cell>
        </row>
        <row r="183">
          <cell r="A183" t="str">
            <v>Kelantan</v>
          </cell>
          <cell r="B183" t="str">
            <v>03</v>
          </cell>
          <cell r="C183">
            <v>3278.2070083706199</v>
          </cell>
          <cell r="D183">
            <v>2316.7337867512201</v>
          </cell>
          <cell r="E183">
            <v>721.82449280438698</v>
          </cell>
          <cell r="F183">
            <v>239.64872881501501</v>
          </cell>
          <cell r="G183">
            <v>5.9644055039913699E-2</v>
          </cell>
          <cell r="I183">
            <v>23.928708431918501</v>
          </cell>
          <cell r="J183">
            <v>728.41334931284405</v>
          </cell>
          <cell r="K183">
            <v>121.84849218116599</v>
          </cell>
          <cell r="L183">
            <v>37.887261727283303</v>
          </cell>
          <cell r="M183">
            <v>90.040331344982107</v>
          </cell>
          <cell r="N183">
            <v>146.34443200108299</v>
          </cell>
          <cell r="O183">
            <v>77.461632040248602</v>
          </cell>
          <cell r="P183">
            <v>246.43157421922601</v>
          </cell>
          <cell r="Q183">
            <v>8.3996257988556593</v>
          </cell>
          <cell r="R183">
            <v>184.40149107085</v>
          </cell>
          <cell r="S183">
            <v>9720.5054801689002</v>
          </cell>
          <cell r="T183">
            <v>1128.25163187364</v>
          </cell>
          <cell r="U183">
            <v>2509.8444173910798</v>
          </cell>
          <cell r="V183">
            <v>1162.2121930411499</v>
          </cell>
          <cell r="W183">
            <v>1531.4696665264801</v>
          </cell>
          <cell r="X183">
            <v>3388.7275713365502</v>
          </cell>
          <cell r="Y183">
            <v>27.258509501254601</v>
          </cell>
          <cell r="Z183">
            <v>13962.714546856399</v>
          </cell>
        </row>
        <row r="184">
          <cell r="A184" t="str">
            <v>Melaka</v>
          </cell>
          <cell r="B184" t="str">
            <v>04</v>
          </cell>
          <cell r="C184">
            <v>2171.0469426095101</v>
          </cell>
          <cell r="D184">
            <v>2137.9820003771601</v>
          </cell>
          <cell r="E184">
            <v>0.38372537971792697</v>
          </cell>
          <cell r="F184">
            <v>32.681216852634201</v>
          </cell>
          <cell r="G184">
            <v>3.95002643239417E-2</v>
          </cell>
          <cell r="I184">
            <v>11.591103445725601</v>
          </cell>
          <cell r="J184">
            <v>9190.1860404036597</v>
          </cell>
          <cell r="K184">
            <v>439.92529419453803</v>
          </cell>
          <cell r="L184">
            <v>323.13145513812702</v>
          </cell>
          <cell r="M184">
            <v>300.27909684069402</v>
          </cell>
          <cell r="N184">
            <v>3525.3967782201498</v>
          </cell>
          <cell r="O184">
            <v>622.43666930828795</v>
          </cell>
          <cell r="P184">
            <v>2235.08891102693</v>
          </cell>
          <cell r="Q184">
            <v>1743.9278356749401</v>
          </cell>
          <cell r="R184">
            <v>692.92146594357098</v>
          </cell>
          <cell r="S184">
            <v>10560.3179800077</v>
          </cell>
          <cell r="T184">
            <v>1978.7840909982899</v>
          </cell>
          <cell r="U184">
            <v>3541.4714675534401</v>
          </cell>
          <cell r="V184">
            <v>2022.6873549157301</v>
          </cell>
          <cell r="W184">
            <v>1291.10676756355</v>
          </cell>
          <cell r="X184">
            <v>1726.2682989766499</v>
          </cell>
          <cell r="Y184">
            <v>20.244858230933101</v>
          </cell>
          <cell r="Z184">
            <v>22646.308390641101</v>
          </cell>
        </row>
        <row r="185">
          <cell r="A185" t="str">
            <v>Negeri Sembilan</v>
          </cell>
          <cell r="B185" t="str">
            <v>05</v>
          </cell>
          <cell r="C185">
            <v>2177.1023931321502</v>
          </cell>
          <cell r="D185">
            <v>2084.1226660815601</v>
          </cell>
          <cell r="E185">
            <v>54.579197938699799</v>
          </cell>
          <cell r="F185">
            <v>38.400529111885596</v>
          </cell>
          <cell r="G185">
            <v>3.9610437849695798E-2</v>
          </cell>
          <cell r="I185">
            <v>27.9349198765557</v>
          </cell>
          <cell r="J185">
            <v>13482.934373079999</v>
          </cell>
          <cell r="K185">
            <v>1073.51143212127</v>
          </cell>
          <cell r="L185">
            <v>149.48211573688499</v>
          </cell>
          <cell r="M185">
            <v>409.06445384241499</v>
          </cell>
          <cell r="N185">
            <v>4229.78143055286</v>
          </cell>
          <cell r="O185">
            <v>1422.60756007227</v>
          </cell>
          <cell r="P185">
            <v>5239.6258880310597</v>
          </cell>
          <cell r="Q185">
            <v>958.86149272320097</v>
          </cell>
          <cell r="R185">
            <v>711.12297261316098</v>
          </cell>
          <cell r="S185">
            <v>11699.787641275099</v>
          </cell>
          <cell r="T185">
            <v>2723.43609090371</v>
          </cell>
          <cell r="U185">
            <v>2988.6764926708202</v>
          </cell>
          <cell r="V185">
            <v>2333.4203236531898</v>
          </cell>
          <cell r="W185">
            <v>1536.9809950527599</v>
          </cell>
          <cell r="X185">
            <v>2117.2737389946701</v>
          </cell>
          <cell r="Y185">
            <v>591.97883182675503</v>
          </cell>
          <cell r="Z185">
            <v>28690.8611318037</v>
          </cell>
        </row>
        <row r="186">
          <cell r="A186" t="str">
            <v>Pahang</v>
          </cell>
          <cell r="B186" t="str">
            <v>06</v>
          </cell>
          <cell r="C186">
            <v>6495.5884319916304</v>
          </cell>
          <cell r="D186">
            <v>5130.8886455602496</v>
          </cell>
          <cell r="E186">
            <v>607.26593269382295</v>
          </cell>
          <cell r="F186">
            <v>757.43385373755405</v>
          </cell>
          <cell r="G186">
            <v>0.11818144277194299</v>
          </cell>
          <cell r="I186">
            <v>234.637617214561</v>
          </cell>
          <cell r="J186">
            <v>8260.7519226613294</v>
          </cell>
          <cell r="K186">
            <v>1022.37655840198</v>
          </cell>
          <cell r="L186">
            <v>24.944378736767199</v>
          </cell>
          <cell r="M186">
            <v>646.27684577394098</v>
          </cell>
          <cell r="N186">
            <v>2848.8761106411698</v>
          </cell>
          <cell r="O186">
            <v>688.57969868896805</v>
          </cell>
          <cell r="P186">
            <v>113.926478323246</v>
          </cell>
          <cell r="Q186">
            <v>2915.7718520952499</v>
          </cell>
          <cell r="R186">
            <v>926.54904098967097</v>
          </cell>
          <cell r="S186">
            <v>16545.752522713901</v>
          </cell>
          <cell r="T186">
            <v>1786.2366502566499</v>
          </cell>
          <cell r="U186">
            <v>5057.6745861725603</v>
          </cell>
          <cell r="V186">
            <v>2281.7186588714699</v>
          </cell>
          <cell r="W186">
            <v>4027.3848709680901</v>
          </cell>
          <cell r="X186">
            <v>3392.7377564451299</v>
          </cell>
          <cell r="Y186">
            <v>25.951612294820599</v>
          </cell>
          <cell r="Z186">
            <v>32489.231147865899</v>
          </cell>
        </row>
        <row r="187">
          <cell r="A187" t="str">
            <v>Pulau Pinang</v>
          </cell>
          <cell r="B187" t="str">
            <v>07</v>
          </cell>
          <cell r="C187">
            <v>1021.0957839773999</v>
          </cell>
          <cell r="D187">
            <v>758.16760528689701</v>
          </cell>
          <cell r="E187">
            <v>0</v>
          </cell>
          <cell r="F187">
            <v>262.92817869050299</v>
          </cell>
          <cell r="G187">
            <v>1.8577927807811701E-2</v>
          </cell>
          <cell r="I187">
            <v>26.7326725623969</v>
          </cell>
          <cell r="J187">
            <v>26301.2572686202</v>
          </cell>
          <cell r="K187">
            <v>1186.13335334663</v>
          </cell>
          <cell r="L187">
            <v>577.11881207715203</v>
          </cell>
          <cell r="M187">
            <v>927.33094385090396</v>
          </cell>
          <cell r="N187">
            <v>3076.4671167770098</v>
          </cell>
          <cell r="O187">
            <v>2976.3297866633802</v>
          </cell>
          <cell r="P187">
            <v>15388.367361549999</v>
          </cell>
          <cell r="Q187">
            <v>2169.5098943550502</v>
          </cell>
          <cell r="R187">
            <v>1308.2666944063899</v>
          </cell>
          <cell r="S187">
            <v>25831.234097850702</v>
          </cell>
          <cell r="T187">
            <v>5500.6826819693897</v>
          </cell>
          <cell r="U187">
            <v>7280.0789083468699</v>
          </cell>
          <cell r="V187">
            <v>7184.2364387227399</v>
          </cell>
          <cell r="W187">
            <v>2538.1412284069002</v>
          </cell>
          <cell r="X187">
            <v>3328.0948404048499</v>
          </cell>
          <cell r="Y187">
            <v>479.12025591232202</v>
          </cell>
          <cell r="Z187">
            <v>54967.706773329402</v>
          </cell>
        </row>
        <row r="188">
          <cell r="A188" t="str">
            <v>Perak</v>
          </cell>
          <cell r="B188" t="str">
            <v>08</v>
          </cell>
          <cell r="C188">
            <v>5769.6978854849704</v>
          </cell>
          <cell r="D188">
            <v>3875.97029518006</v>
          </cell>
          <cell r="E188">
            <v>387.62683690967799</v>
          </cell>
          <cell r="F188">
            <v>1506.10075339523</v>
          </cell>
          <cell r="G188">
            <v>0.104974511178469</v>
          </cell>
          <cell r="I188">
            <v>160.81691599765799</v>
          </cell>
          <cell r="J188">
            <v>8091.9117850561797</v>
          </cell>
          <cell r="K188">
            <v>1160.96481724502</v>
          </cell>
          <cell r="L188">
            <v>171.25186372072</v>
          </cell>
          <cell r="M188">
            <v>363.56211939631299</v>
          </cell>
          <cell r="N188">
            <v>1553.97182138072</v>
          </cell>
          <cell r="O188">
            <v>1886.8563472396399</v>
          </cell>
          <cell r="P188">
            <v>2067.8582196103498</v>
          </cell>
          <cell r="Q188">
            <v>887.44659646341097</v>
          </cell>
          <cell r="R188">
            <v>1315.5138579433501</v>
          </cell>
          <cell r="S188">
            <v>26425.2482440975</v>
          </cell>
          <cell r="T188">
            <v>8094.2207449247398</v>
          </cell>
          <cell r="U188">
            <v>6149.5975449324096</v>
          </cell>
          <cell r="V188">
            <v>4468.0073264889497</v>
          </cell>
          <cell r="W188">
            <v>3020.86195335604</v>
          </cell>
          <cell r="X188">
            <v>4692.5606743953904</v>
          </cell>
          <cell r="Y188">
            <v>23.3757166071066</v>
          </cell>
          <cell r="Z188">
            <v>41786.5644051868</v>
          </cell>
        </row>
        <row r="189">
          <cell r="A189" t="str">
            <v>Perlis</v>
          </cell>
          <cell r="B189" t="str">
            <v>09</v>
          </cell>
          <cell r="C189">
            <v>818.62725838790595</v>
          </cell>
          <cell r="D189">
            <v>271.46455222490499</v>
          </cell>
          <cell r="E189">
            <v>0</v>
          </cell>
          <cell r="F189">
            <v>547.16270616300096</v>
          </cell>
          <cell r="G189">
            <v>1.4894193420912199E-2</v>
          </cell>
          <cell r="I189">
            <v>7.8513332154068296</v>
          </cell>
          <cell r="J189">
            <v>362.41036102651401</v>
          </cell>
          <cell r="K189">
            <v>53.638273758948998</v>
          </cell>
          <cell r="L189">
            <v>42.021774884030897</v>
          </cell>
          <cell r="M189">
            <v>5.8401637589311397</v>
          </cell>
          <cell r="N189">
            <v>78.988785974380804</v>
          </cell>
          <cell r="O189">
            <v>178.223318920645</v>
          </cell>
          <cell r="P189">
            <v>0.68963994380997895</v>
          </cell>
          <cell r="Q189">
            <v>3.0084037857672898</v>
          </cell>
          <cell r="R189">
            <v>99.772993551221603</v>
          </cell>
          <cell r="S189">
            <v>2274.54725466329</v>
          </cell>
          <cell r="T189">
            <v>721.42277281399902</v>
          </cell>
          <cell r="U189">
            <v>331.29351414421097</v>
          </cell>
          <cell r="V189">
            <v>298.30837412730398</v>
          </cell>
          <cell r="W189">
            <v>280.637554691064</v>
          </cell>
          <cell r="X189">
            <v>642.88503888671505</v>
          </cell>
          <cell r="Y189">
            <v>84.816419751260895</v>
          </cell>
          <cell r="Z189">
            <v>3648.0256205955998</v>
          </cell>
        </row>
        <row r="190">
          <cell r="A190" t="str">
            <v>Selangor</v>
          </cell>
          <cell r="B190">
            <v>10</v>
          </cell>
          <cell r="C190">
            <v>2873.5869735044298</v>
          </cell>
          <cell r="D190">
            <v>1919.87178957015</v>
          </cell>
          <cell r="E190">
            <v>4.7663474021765504</v>
          </cell>
          <cell r="F190">
            <v>948.94883653210195</v>
          </cell>
          <cell r="G190">
            <v>5.2282354095406901E-2</v>
          </cell>
          <cell r="I190">
            <v>173.78388784137201</v>
          </cell>
          <cell r="J190">
            <v>57388.191002190302</v>
          </cell>
          <cell r="K190">
            <v>9145.1344121986695</v>
          </cell>
          <cell r="L190">
            <v>658.68614929752005</v>
          </cell>
          <cell r="M190">
            <v>3205.7740136094299</v>
          </cell>
          <cell r="N190">
            <v>9106.4950050390908</v>
          </cell>
          <cell r="O190">
            <v>9596.8726905711701</v>
          </cell>
          <cell r="P190">
            <v>12120.3435515441</v>
          </cell>
          <cell r="Q190">
            <v>13554.885179930299</v>
          </cell>
          <cell r="R190">
            <v>10144.089580456801</v>
          </cell>
          <cell r="S190">
            <v>109673.337794666</v>
          </cell>
          <cell r="T190">
            <v>26316.5125620527</v>
          </cell>
          <cell r="U190">
            <v>36010.973321654797</v>
          </cell>
          <cell r="V190">
            <v>29168.735580597899</v>
          </cell>
          <cell r="W190">
            <v>8782.4639217673994</v>
          </cell>
          <cell r="X190">
            <v>9394.6524085932597</v>
          </cell>
          <cell r="Y190">
            <v>6295.2281592564996</v>
          </cell>
          <cell r="Z190">
            <v>186548.217397915</v>
          </cell>
        </row>
        <row r="191">
          <cell r="A191" t="str">
            <v>Terengganu</v>
          </cell>
          <cell r="B191">
            <v>11</v>
          </cell>
          <cell r="C191">
            <v>1554.2279757542899</v>
          </cell>
          <cell r="D191">
            <v>1198.20448964097</v>
          </cell>
          <cell r="E191">
            <v>103.412863951137</v>
          </cell>
          <cell r="F191">
            <v>252.61062216218701</v>
          </cell>
          <cell r="G191">
            <v>2.8277792919653901E-2</v>
          </cell>
          <cell r="I191">
            <v>21.902583824948501</v>
          </cell>
          <cell r="J191">
            <v>7670.0923387204703</v>
          </cell>
          <cell r="K191">
            <v>64.322648984943001</v>
          </cell>
          <cell r="L191">
            <v>42.864132053096398</v>
          </cell>
          <cell r="M191">
            <v>97.235170068299993</v>
          </cell>
          <cell r="N191">
            <v>7023.4126857194096</v>
          </cell>
          <cell r="O191">
            <v>364.86600226697902</v>
          </cell>
          <cell r="P191">
            <v>2.8807609174577098</v>
          </cell>
          <cell r="Q191">
            <v>74.510938710281096</v>
          </cell>
          <cell r="R191">
            <v>795.84075558622499</v>
          </cell>
          <cell r="S191">
            <v>10497.527787229001</v>
          </cell>
          <cell r="T191">
            <v>3895.6502935599401</v>
          </cell>
          <cell r="U191">
            <v>1936.3616513498</v>
          </cell>
          <cell r="V191">
            <v>982.59055145654202</v>
          </cell>
          <cell r="W191">
            <v>1012.52988625111</v>
          </cell>
          <cell r="X191">
            <v>2670.3954046116</v>
          </cell>
          <cell r="Y191">
            <v>14.0157405078594</v>
          </cell>
          <cell r="Z191">
            <v>20553.6071816228</v>
          </cell>
        </row>
        <row r="192">
          <cell r="A192" t="str">
            <v>Sabah</v>
          </cell>
          <cell r="B192">
            <v>12</v>
          </cell>
          <cell r="C192">
            <v>9410.6954707572204</v>
          </cell>
          <cell r="D192">
            <v>6788.29327785022</v>
          </cell>
          <cell r="E192">
            <v>701.74899572940399</v>
          </cell>
          <cell r="F192">
            <v>1920.6531971775901</v>
          </cell>
          <cell r="G192">
            <v>0.171219217452863</v>
          </cell>
          <cell r="I192">
            <v>9349.4960306194607</v>
          </cell>
          <cell r="J192">
            <v>3605.2665872625498</v>
          </cell>
          <cell r="K192">
            <v>2006.6271122629</v>
          </cell>
          <cell r="L192">
            <v>35.873470019840099</v>
          </cell>
          <cell r="M192">
            <v>726.236787169575</v>
          </cell>
          <cell r="N192">
            <v>229.85404437143899</v>
          </cell>
          <cell r="O192">
            <v>453.08445668788801</v>
          </cell>
          <cell r="P192">
            <v>13.031717106270399</v>
          </cell>
          <cell r="Q192">
            <v>140.558999644642</v>
          </cell>
          <cell r="R192">
            <v>1106.9610473805201</v>
          </cell>
          <cell r="S192">
            <v>22133.7737827686</v>
          </cell>
          <cell r="T192">
            <v>4100.9525660907102</v>
          </cell>
          <cell r="U192">
            <v>7043.4143607875403</v>
          </cell>
          <cell r="V192">
            <v>4460.10240379273</v>
          </cell>
          <cell r="W192">
            <v>1915.8505499156499</v>
          </cell>
          <cell r="X192">
            <v>4613.4539021819801</v>
          </cell>
          <cell r="Y192">
            <v>184.392118725611</v>
          </cell>
          <cell r="Z192">
            <v>45790.585037514</v>
          </cell>
        </row>
        <row r="193">
          <cell r="A193" t="str">
            <v>Sarawak</v>
          </cell>
          <cell r="B193">
            <v>13</v>
          </cell>
          <cell r="C193">
            <v>8500.9819954592695</v>
          </cell>
          <cell r="D193">
            <v>5007.7009603058596</v>
          </cell>
          <cell r="E193">
            <v>2927.3698797729899</v>
          </cell>
          <cell r="F193">
            <v>565.91115538041095</v>
          </cell>
          <cell r="G193">
            <v>0.15466779148962301</v>
          </cell>
          <cell r="I193">
            <v>16082.7212522643</v>
          </cell>
          <cell r="J193">
            <v>19926.047586987199</v>
          </cell>
          <cell r="K193">
            <v>867.52672601975598</v>
          </cell>
          <cell r="L193">
            <v>15.2615685336468</v>
          </cell>
          <cell r="M193">
            <v>1579.5850175294199</v>
          </cell>
          <cell r="N193">
            <v>15717.725999576</v>
          </cell>
          <cell r="O193">
            <v>641.92543226121495</v>
          </cell>
          <cell r="P193">
            <v>647.00830661870998</v>
          </cell>
          <cell r="Q193">
            <v>457.01453644846498</v>
          </cell>
          <cell r="R193">
            <v>2301.0924495561999</v>
          </cell>
          <cell r="S193">
            <v>27843.5206875031</v>
          </cell>
          <cell r="T193">
            <v>6131.7304483726402</v>
          </cell>
          <cell r="U193">
            <v>7340.1493415198602</v>
          </cell>
          <cell r="V193">
            <v>7138.3263984308596</v>
          </cell>
          <cell r="W193">
            <v>2668.2303733642402</v>
          </cell>
          <cell r="X193">
            <v>4565.0841258155097</v>
          </cell>
          <cell r="Y193">
            <v>232.84176556763501</v>
          </cell>
          <cell r="Z193">
            <v>74887.205737337703</v>
          </cell>
        </row>
        <row r="194">
          <cell r="A194" t="str">
            <v>WP Kuala Lumpur</v>
          </cell>
          <cell r="B194">
            <v>14</v>
          </cell>
          <cell r="C194">
            <v>1.4522015191577999</v>
          </cell>
          <cell r="D194">
            <v>1.4522015191577999</v>
          </cell>
          <cell r="E194">
            <v>0</v>
          </cell>
          <cell r="F194">
            <v>0</v>
          </cell>
          <cell r="G194">
            <v>2.6421512465969799E-5</v>
          </cell>
          <cell r="I194">
            <v>38.115332011266602</v>
          </cell>
          <cell r="J194">
            <v>5028.9893210533601</v>
          </cell>
          <cell r="K194">
            <v>487.25938630193099</v>
          </cell>
          <cell r="L194">
            <v>291.02525022970502</v>
          </cell>
          <cell r="M194">
            <v>682.35266066343604</v>
          </cell>
          <cell r="N194">
            <v>758.09189379295697</v>
          </cell>
          <cell r="O194">
            <v>801.37090367748306</v>
          </cell>
          <cell r="P194">
            <v>843.14870568153697</v>
          </cell>
          <cell r="Q194">
            <v>1165.74052070631</v>
          </cell>
          <cell r="R194">
            <v>6781.6547222751296</v>
          </cell>
          <cell r="S194">
            <v>109069.06637915599</v>
          </cell>
          <cell r="T194">
            <v>7276.13968971135</v>
          </cell>
          <cell r="U194">
            <v>40341.450519275902</v>
          </cell>
          <cell r="V194">
            <v>41086.511367503699</v>
          </cell>
          <cell r="W194">
            <v>5399.2865968689202</v>
          </cell>
          <cell r="X194">
            <v>14965.678205795801</v>
          </cell>
          <cell r="Y194">
            <v>1140.19933738243</v>
          </cell>
          <cell r="Z194">
            <v>122059.47729339699</v>
          </cell>
        </row>
        <row r="195">
          <cell r="A195" t="str">
            <v>WP Labuan</v>
          </cell>
          <cell r="B195">
            <v>15</v>
          </cell>
          <cell r="C195">
            <v>139.32715428529599</v>
          </cell>
          <cell r="D195">
            <v>7.9241830797108799</v>
          </cell>
          <cell r="E195">
            <v>0</v>
          </cell>
          <cell r="F195">
            <v>131.402971205585</v>
          </cell>
          <cell r="G195">
            <v>2.5349334064407002E-3</v>
          </cell>
          <cell r="I195">
            <v>0</v>
          </cell>
          <cell r="J195">
            <v>750.58651940238099</v>
          </cell>
          <cell r="K195">
            <v>9.1777708055619591</v>
          </cell>
          <cell r="L195">
            <v>2.6930070708899798</v>
          </cell>
          <cell r="M195">
            <v>1.15361241202134</v>
          </cell>
          <cell r="N195">
            <v>493.356230079439</v>
          </cell>
          <cell r="O195">
            <v>209.996322507017</v>
          </cell>
          <cell r="P195">
            <v>1.2068615879611899</v>
          </cell>
          <cell r="Q195">
            <v>33.002714939490602</v>
          </cell>
          <cell r="R195">
            <v>51.5224791213004</v>
          </cell>
          <cell r="S195">
            <v>2514.23810393146</v>
          </cell>
          <cell r="T195">
            <v>230.96421000186899</v>
          </cell>
          <cell r="U195">
            <v>280.79011811224899</v>
          </cell>
          <cell r="V195">
            <v>1801.2729670522999</v>
          </cell>
          <cell r="W195">
            <v>75.651371134487405</v>
          </cell>
          <cell r="X195">
            <v>125.559437630563</v>
          </cell>
          <cell r="Y195">
            <v>19.3768432572531</v>
          </cell>
          <cell r="Z195">
            <v>3475.05109999769</v>
          </cell>
        </row>
        <row r="196">
          <cell r="A196" t="str">
            <v>Supra1</v>
          </cell>
          <cell r="C196">
            <v>0</v>
          </cell>
          <cell r="D196">
            <v>0</v>
          </cell>
          <cell r="E196">
            <v>0</v>
          </cell>
          <cell r="F196">
            <v>0</v>
          </cell>
          <cell r="G196">
            <v>0</v>
          </cell>
          <cell r="I196">
            <v>37396.647797976802</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37396.647797976802</v>
          </cell>
        </row>
        <row r="197">
          <cell r="A197" t="str">
            <v>MALAYSIA</v>
          </cell>
          <cell r="C197">
            <v>56094.863948008802</v>
          </cell>
          <cell r="D197">
            <v>42177.282744000098</v>
          </cell>
          <cell r="E197">
            <v>5680.5177895924298</v>
          </cell>
          <cell r="F197">
            <v>8237.0634144162996</v>
          </cell>
          <cell r="G197">
            <v>1.0205960588298699</v>
          </cell>
          <cell r="I197">
            <v>63679.570402235702</v>
          </cell>
          <cell r="J197">
            <v>193236.87487791901</v>
          </cell>
          <cell r="K197">
            <v>20520.3540832705</v>
          </cell>
          <cell r="L197">
            <v>3292.5069088150199</v>
          </cell>
          <cell r="M197">
            <v>11332.0197671565</v>
          </cell>
          <cell r="N197">
            <v>56890.6905584009</v>
          </cell>
          <cell r="O197">
            <v>25729.4159043656</v>
          </cell>
          <cell r="P197">
            <v>47395.620080784298</v>
          </cell>
          <cell r="Q197">
            <v>28076.267575125901</v>
          </cell>
          <cell r="R197">
            <v>29554.397320664899</v>
          </cell>
          <cell r="S197">
            <v>434459.632237071</v>
          </cell>
          <cell r="T197">
            <v>80322.4492331277</v>
          </cell>
          <cell r="U197">
            <v>132979.18733601301</v>
          </cell>
          <cell r="V197">
            <v>116531.80588113</v>
          </cell>
          <cell r="W197">
            <v>39519.567445151901</v>
          </cell>
          <cell r="X197">
            <v>65106.622341648297</v>
          </cell>
          <cell r="Y197">
            <v>10585.702477803399</v>
          </cell>
          <cell r="Z197">
            <v>787611.04126370198</v>
          </cell>
        </row>
      </sheetData>
      <sheetData sheetId="4">
        <row r="3">
          <cell r="B3" t="str">
            <v>row</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7.6"/>
      <sheetName val="Sheet1"/>
      <sheetName val="VA-curr"/>
      <sheetName val="VA-cons"/>
      <sheetName val="VA_CONSTANT"/>
      <sheetName val="ref"/>
      <sheetName val="Tbl1_Msia"/>
      <sheetName val="Tbl3_05"/>
      <sheetName val="Tbl5_06"/>
      <sheetName val="Tbl7_06"/>
      <sheetName val="Tbl8_07"/>
      <sheetName val="Tbl10_07"/>
      <sheetName val="Tbl11_08"/>
      <sheetName val="Tbl13_08"/>
      <sheetName val="Tbl14_09"/>
      <sheetName val="Tbl16_09"/>
      <sheetName val="Tbl17_10"/>
      <sheetName val="Tbl19_10"/>
      <sheetName val="Tbl20_11"/>
      <sheetName val="Tbl22_11"/>
      <sheetName val="Tbl23_12"/>
      <sheetName val="Tbl25_12"/>
      <sheetName val="Tbl26_13"/>
      <sheetName val="Tbl28_13"/>
      <sheetName val="Tbl29_Curr&amp;perCapita"/>
      <sheetName val="JHR"/>
      <sheetName val="KDH"/>
      <sheetName val="KLTN"/>
      <sheetName val="MLK"/>
      <sheetName val="N9"/>
      <sheetName val="PHG"/>
      <sheetName val="PP"/>
      <sheetName val="PRK"/>
      <sheetName val="PRLS"/>
      <sheetName val="SLGR"/>
      <sheetName val="TRGN"/>
      <sheetName val="SBH"/>
      <sheetName val="SRWK"/>
      <sheetName val="WPKL"/>
      <sheetName val="WPL"/>
      <sheetName val="Sheet2"/>
      <sheetName val="Sheet3"/>
      <sheetName val="Sheet6"/>
      <sheetName val="Sheet4"/>
      <sheetName val="Sheet4 (2)"/>
      <sheetName val="Sheet5"/>
      <sheetName val="Sheet7"/>
      <sheetName val="4.8"/>
      <sheetName val="4.9"/>
      <sheetName val="4.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7.1"/>
      <sheetName val="7.2 "/>
      <sheetName val="7.3"/>
      <sheetName val="7.4"/>
      <sheetName val="7.5"/>
      <sheetName val="7.6"/>
      <sheetName val="7.7"/>
      <sheetName val="4.9"/>
      <sheetName val="4.3"/>
      <sheetName val="4.8"/>
      <sheetName val="Sheet1"/>
      <sheetName val="VA_CONSTANT"/>
      <sheetName val="ref"/>
      <sheetName val="Perlis"/>
    </sheetNames>
    <sheetDataSet>
      <sheetData sheetId="0"/>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7.6"/>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VA-curr"/>
      <sheetName val="VA-cons"/>
      <sheetName val="VA_CONSTANT"/>
      <sheetName val="ref"/>
      <sheetName val="Tbl1_Msia"/>
      <sheetName val="Tbl3_05"/>
      <sheetName val="Tbl5_06"/>
      <sheetName val="Tbl7_06"/>
      <sheetName val="Tbl8_07"/>
      <sheetName val="Tbl10_07"/>
      <sheetName val="Tbl11_08"/>
      <sheetName val="Tbl13_08"/>
      <sheetName val="Tbl14_09"/>
      <sheetName val="Tbl16_09"/>
      <sheetName val="Tbl17_10"/>
      <sheetName val="Tbl19_10"/>
      <sheetName val="Tbl20_11"/>
      <sheetName val="Tbl22_11"/>
      <sheetName val="Tbl23_12"/>
      <sheetName val="Tbl25_12"/>
      <sheetName val="Tbl26_13"/>
      <sheetName val="Tbl28_13"/>
      <sheetName val="Tbl29_Curr&amp;perCapita"/>
      <sheetName val="JHR"/>
      <sheetName val="KDH"/>
      <sheetName val="KLTN"/>
      <sheetName val="MLK"/>
      <sheetName val="N9"/>
      <sheetName val="PHG"/>
      <sheetName val="PP"/>
      <sheetName val="PRK"/>
      <sheetName val="PRLS"/>
      <sheetName val="SLGR"/>
      <sheetName val="TRGN"/>
      <sheetName val="SBH"/>
      <sheetName val="SRWK"/>
      <sheetName val="WPKL"/>
      <sheetName val="WPL"/>
      <sheetName val="Sheet2"/>
      <sheetName val="Sheet3"/>
      <sheetName val="Sheet6"/>
      <sheetName val="Sheet4"/>
      <sheetName val="Sheet4 (2)"/>
      <sheetName val="Sheet5"/>
      <sheetName val="Sheet7"/>
      <sheetName val="7.6"/>
      <sheetName val="4.8"/>
      <sheetName val="4.9"/>
      <sheetName val="4.3"/>
    </sheetNames>
    <sheetDataSet>
      <sheetData sheetId="0"/>
      <sheetData sheetId="1"/>
      <sheetData sheetId="2"/>
      <sheetData sheetId="3">
        <row r="1">
          <cell r="C1" t="str">
            <v>agri</v>
          </cell>
          <cell r="D1" t="str">
            <v>a1</v>
          </cell>
          <cell r="E1" t="str">
            <v>a2</v>
          </cell>
          <cell r="F1" t="str">
            <v>a3</v>
          </cell>
          <cell r="I1" t="str">
            <v>mq</v>
          </cell>
          <cell r="J1" t="str">
            <v>mfg</v>
          </cell>
          <cell r="R1" t="str">
            <v>c</v>
          </cell>
          <cell r="S1" t="str">
            <v>svs</v>
          </cell>
          <cell r="T1" t="str">
            <v>s1</v>
          </cell>
          <cell r="U1" t="str">
            <v>s2</v>
          </cell>
          <cell r="V1" t="str">
            <v>s3</v>
          </cell>
          <cell r="W1" t="str">
            <v>s4</v>
          </cell>
          <cell r="X1" t="str">
            <v>s5</v>
          </cell>
          <cell r="Y1" t="str">
            <v>di</v>
          </cell>
        </row>
        <row r="2">
          <cell r="A2" t="str">
            <v>CONSTANT</v>
          </cell>
          <cell r="B2" t="str">
            <v>Industry</v>
          </cell>
          <cell r="D2">
            <v>1</v>
          </cell>
          <cell r="E2">
            <v>2</v>
          </cell>
          <cell r="F2">
            <v>3</v>
          </cell>
          <cell r="I2">
            <v>4</v>
          </cell>
          <cell r="K2">
            <v>6</v>
          </cell>
          <cell r="L2">
            <v>7</v>
          </cell>
          <cell r="M2">
            <v>8</v>
          </cell>
          <cell r="N2">
            <v>9</v>
          </cell>
          <cell r="O2">
            <v>10</v>
          </cell>
          <cell r="P2">
            <v>11</v>
          </cell>
          <cell r="Q2">
            <v>12</v>
          </cell>
          <cell r="R2">
            <v>5</v>
          </cell>
          <cell r="T2">
            <v>13</v>
          </cell>
          <cell r="U2">
            <v>14</v>
          </cell>
          <cell r="V2">
            <v>15</v>
          </cell>
          <cell r="W2">
            <v>16</v>
          </cell>
        </row>
        <row r="3">
          <cell r="A3">
            <v>2005</v>
          </cell>
          <cell r="B3" t="str">
            <v>I</v>
          </cell>
          <cell r="C3" t="str">
            <v>Agriculture</v>
          </cell>
          <cell r="D3" t="str">
            <v>Tanaman</v>
          </cell>
          <cell r="E3" t="str">
            <v>Pembalakan</v>
          </cell>
          <cell r="F3" t="str">
            <v>Perikanan</v>
          </cell>
          <cell r="I3" t="str">
            <v>Mining and
Quarrying</v>
          </cell>
          <cell r="J3" t="str">
            <v>Manufacturing</v>
          </cell>
          <cell r="K3" t="str">
            <v>Prosesan Makanan, Minuman dan Produk Tembakau</v>
          </cell>
          <cell r="L3" t="str">
            <v>Tekstil, Pakaian, Kulit dan Kasut</v>
          </cell>
          <cell r="M3" t="str">
            <v>Keluaran Kayu, Perabot, Produk Kertas, Percetakan dan Penerbitan</v>
          </cell>
          <cell r="N3" t="str">
            <v>Produk Petroleum, Bahan kimia, Getah dan Plastik</v>
          </cell>
          <cell r="O3" t="str">
            <v>Produk Mineral Bukan Logam, Logam Asli dan Produk Logam Yang Direka</v>
          </cell>
          <cell r="P3" t="str">
            <v>Elektrik dan Elektronik</v>
          </cell>
          <cell r="Q3" t="str">
            <v>Kelengkapan Pengangkutan dan Pembuatan Lain</v>
          </cell>
          <cell r="R3" t="str">
            <v>Construction</v>
          </cell>
          <cell r="S3" t="str">
            <v>Services</v>
          </cell>
          <cell r="T3" t="str">
            <v>Utiliti, Transport &amp; Communication</v>
          </cell>
          <cell r="U3" t="str">
            <v>WRT, Accomm &amp; Restaurant</v>
          </cell>
          <cell r="V3" t="str">
            <v>Finance &amp; Insurance, Real Estate &amp; Business Services</v>
          </cell>
          <cell r="W3" t="str">
            <v>Other Services</v>
          </cell>
          <cell r="X3" t="str">
            <v>Government Services</v>
          </cell>
          <cell r="Y3" t="str">
            <v>Plus :
Import Duties</v>
          </cell>
          <cell r="Z3" t="str">
            <v>GDP at
Purchasers' Prices</v>
          </cell>
        </row>
        <row r="4">
          <cell r="A4" t="str">
            <v>States</v>
          </cell>
          <cell r="B4" t="str">
            <v>Converter</v>
          </cell>
        </row>
        <row r="5">
          <cell r="A5" t="str">
            <v>Johor</v>
          </cell>
          <cell r="B5" t="str">
            <v>01</v>
          </cell>
          <cell r="C5">
            <v>6188.6869740789298</v>
          </cell>
          <cell r="D5">
            <v>5669.7259013497996</v>
          </cell>
          <cell r="E5">
            <v>45.404660919470203</v>
          </cell>
          <cell r="F5">
            <v>473.55641180965398</v>
          </cell>
          <cell r="I5">
            <v>50.620516345188399</v>
          </cell>
          <cell r="J5">
            <v>19313.560805921999</v>
          </cell>
          <cell r="K5">
            <v>1888.2624376276301</v>
          </cell>
          <cell r="L5">
            <v>1149.0903681325999</v>
          </cell>
          <cell r="M5">
            <v>1714.3932465764999</v>
          </cell>
          <cell r="N5">
            <v>2991.2672766727201</v>
          </cell>
          <cell r="O5">
            <v>2006.31809600568</v>
          </cell>
          <cell r="P5">
            <v>8059.1865180237201</v>
          </cell>
          <cell r="Q5">
            <v>1505.0428628831401</v>
          </cell>
          <cell r="R5">
            <v>1670.54664818574</v>
          </cell>
          <cell r="S5">
            <v>22105.495280909901</v>
          </cell>
          <cell r="T5">
            <v>5121.6287950521801</v>
          </cell>
          <cell r="U5">
            <v>4738.8112307610199</v>
          </cell>
          <cell r="V5">
            <v>6491.4735762118498</v>
          </cell>
          <cell r="W5">
            <v>2496.7540465810398</v>
          </cell>
          <cell r="X5">
            <v>3256.8276323038199</v>
          </cell>
          <cell r="Y5">
            <v>728.65346871345605</v>
          </cell>
          <cell r="Z5">
            <v>50057.5636941552</v>
          </cell>
        </row>
        <row r="6">
          <cell r="A6" t="str">
            <v>Kedah</v>
          </cell>
          <cell r="B6" t="str">
            <v>02</v>
          </cell>
          <cell r="C6">
            <v>2205.86141292909</v>
          </cell>
          <cell r="D6">
            <v>1914.1195857136699</v>
          </cell>
          <cell r="E6">
            <v>48.185576857368801</v>
          </cell>
          <cell r="F6">
            <v>243.55625035804999</v>
          </cell>
          <cell r="I6">
            <v>16.798627679947501</v>
          </cell>
          <cell r="J6">
            <v>6439.0935720568305</v>
          </cell>
          <cell r="K6">
            <v>281.20731449561799</v>
          </cell>
          <cell r="L6">
            <v>96.930988138971202</v>
          </cell>
          <cell r="M6">
            <v>440.53144658206003</v>
          </cell>
          <cell r="N6">
            <v>1243.63644861429</v>
          </cell>
          <cell r="O6">
            <v>1069.4520876377201</v>
          </cell>
          <cell r="P6">
            <v>2468.58309146803</v>
          </cell>
          <cell r="Q6">
            <v>838.75219512014905</v>
          </cell>
          <cell r="R6">
            <v>479.920265520209</v>
          </cell>
          <cell r="S6">
            <v>8577.0303768635804</v>
          </cell>
          <cell r="T6">
            <v>1286.23198685443</v>
          </cell>
          <cell r="U6">
            <v>2023.71962814313</v>
          </cell>
          <cell r="V6">
            <v>1562.0316095077601</v>
          </cell>
          <cell r="W6">
            <v>1614.1054910212999</v>
          </cell>
          <cell r="X6">
            <v>2090.9416613369599</v>
          </cell>
          <cell r="Y6">
            <v>109.9703374261</v>
          </cell>
          <cell r="Z6">
            <v>17828.6745924758</v>
          </cell>
        </row>
        <row r="7">
          <cell r="A7" t="str">
            <v>Kelantan</v>
          </cell>
          <cell r="B7" t="str">
            <v>03</v>
          </cell>
          <cell r="C7">
            <v>2344.5991933385599</v>
          </cell>
          <cell r="D7">
            <v>1883.75251168818</v>
          </cell>
          <cell r="E7">
            <v>292.99724383027001</v>
          </cell>
          <cell r="F7">
            <v>167.84943782010399</v>
          </cell>
          <cell r="I7">
            <v>16.786386316163199</v>
          </cell>
          <cell r="J7">
            <v>546.021104581906</v>
          </cell>
          <cell r="K7">
            <v>133.716111525911</v>
          </cell>
          <cell r="L7">
            <v>82.117642096891799</v>
          </cell>
          <cell r="M7">
            <v>99.548580440402105</v>
          </cell>
          <cell r="N7">
            <v>77.427332457531506</v>
          </cell>
          <cell r="O7">
            <v>34.503208304897598</v>
          </cell>
          <cell r="P7">
            <v>114.890064756613</v>
          </cell>
          <cell r="Q7">
            <v>3.8181649996589799</v>
          </cell>
          <cell r="R7">
            <v>177.04286407597399</v>
          </cell>
          <cell r="S7">
            <v>5935.6247485070598</v>
          </cell>
          <cell r="T7">
            <v>723.53971458984802</v>
          </cell>
          <cell r="U7">
            <v>1624.3435341894599</v>
          </cell>
          <cell r="V7">
            <v>647.72293706302503</v>
          </cell>
          <cell r="W7">
            <v>1141.9703719863901</v>
          </cell>
          <cell r="X7">
            <v>1798.04819067834</v>
          </cell>
          <cell r="Y7">
            <v>11.1525705205711</v>
          </cell>
          <cell r="Z7">
            <v>9031.2268673402305</v>
          </cell>
        </row>
        <row r="8">
          <cell r="A8" t="str">
            <v>Melaka</v>
          </cell>
          <cell r="B8" t="str">
            <v>04</v>
          </cell>
          <cell r="C8">
            <v>813.34341062993201</v>
          </cell>
          <cell r="D8">
            <v>799.24648329818001</v>
          </cell>
          <cell r="E8">
            <v>4.0672606939171997E-2</v>
          </cell>
          <cell r="F8">
            <v>14.0562547248129</v>
          </cell>
          <cell r="I8">
            <v>7.9443777633508503</v>
          </cell>
          <cell r="J8">
            <v>7593.5701683297902</v>
          </cell>
          <cell r="K8">
            <v>229.645071173025</v>
          </cell>
          <cell r="L8">
            <v>98.459729658165202</v>
          </cell>
          <cell r="M8">
            <v>411.14213293316999</v>
          </cell>
          <cell r="N8">
            <v>2862.92900939939</v>
          </cell>
          <cell r="O8">
            <v>611.91226312907202</v>
          </cell>
          <cell r="P8">
            <v>2167.05771523879</v>
          </cell>
          <cell r="Q8">
            <v>1212.4242467981801</v>
          </cell>
          <cell r="R8">
            <v>340.14170407848502</v>
          </cell>
          <cell r="S8">
            <v>6281.4052104497096</v>
          </cell>
          <cell r="T8">
            <v>1256.6868027578</v>
          </cell>
          <cell r="U8">
            <v>1861.2386838883499</v>
          </cell>
          <cell r="V8">
            <v>1276.8413914809501</v>
          </cell>
          <cell r="W8">
            <v>959.94229629765505</v>
          </cell>
          <cell r="X8">
            <v>926.69603602494703</v>
          </cell>
          <cell r="Y8">
            <v>12.647305123930799</v>
          </cell>
          <cell r="Z8">
            <v>15049.0521763752</v>
          </cell>
        </row>
        <row r="9">
          <cell r="A9" t="str">
            <v>Negeri Sembilan</v>
          </cell>
          <cell r="B9" t="str">
            <v>05</v>
          </cell>
          <cell r="C9">
            <v>1638.4824392743301</v>
          </cell>
          <cell r="D9">
            <v>1577.11907276651</v>
          </cell>
          <cell r="E9">
            <v>36.968810853014197</v>
          </cell>
          <cell r="F9">
            <v>24.394555654808499</v>
          </cell>
          <cell r="I9">
            <v>17.8073562157117</v>
          </cell>
          <cell r="J9">
            <v>10528.084675726601</v>
          </cell>
          <cell r="K9">
            <v>1056.1793738148799</v>
          </cell>
          <cell r="L9">
            <v>396.31895420225999</v>
          </cell>
          <cell r="M9">
            <v>371.14684069650701</v>
          </cell>
          <cell r="N9">
            <v>2262.04761504506</v>
          </cell>
          <cell r="O9">
            <v>723.17558514235202</v>
          </cell>
          <cell r="P9">
            <v>4681.3968444028596</v>
          </cell>
          <cell r="Q9">
            <v>1037.8194624227001</v>
          </cell>
          <cell r="R9">
            <v>411.71665288432098</v>
          </cell>
          <cell r="S9">
            <v>7045.2758865559599</v>
          </cell>
          <cell r="T9">
            <v>1564.2072475928301</v>
          </cell>
          <cell r="U9">
            <v>1685.5216305358299</v>
          </cell>
          <cell r="V9">
            <v>1465.2132277160799</v>
          </cell>
          <cell r="W9">
            <v>1045.59591398047</v>
          </cell>
          <cell r="X9">
            <v>1284.7378667307601</v>
          </cell>
          <cell r="Y9">
            <v>94.643394910766901</v>
          </cell>
          <cell r="Z9">
            <v>19736.0104055677</v>
          </cell>
        </row>
        <row r="10">
          <cell r="A10" t="str">
            <v>Pahang</v>
          </cell>
          <cell r="B10" t="str">
            <v>06</v>
          </cell>
          <cell r="C10">
            <v>5408.1524182366702</v>
          </cell>
          <cell r="D10">
            <v>4247.9775913840704</v>
          </cell>
          <cell r="E10">
            <v>700.02655418262998</v>
          </cell>
          <cell r="F10">
            <v>460.14827266996701</v>
          </cell>
          <cell r="I10">
            <v>100.97265852557599</v>
          </cell>
          <cell r="J10">
            <v>6422.5911004641202</v>
          </cell>
          <cell r="K10">
            <v>496.46787956383002</v>
          </cell>
          <cell r="L10">
            <v>17.898124393975099</v>
          </cell>
          <cell r="M10">
            <v>571.63532464968898</v>
          </cell>
          <cell r="N10">
            <v>3138.7165912176501</v>
          </cell>
          <cell r="O10">
            <v>579.36037098090799</v>
          </cell>
          <cell r="P10">
            <v>155.79759004910699</v>
          </cell>
          <cell r="Q10">
            <v>1462.7152196089601</v>
          </cell>
          <cell r="R10">
            <v>575.26311602041301</v>
          </cell>
          <cell r="S10">
            <v>10514.660589892301</v>
          </cell>
          <cell r="T10">
            <v>1182.4679888487699</v>
          </cell>
          <cell r="U10">
            <v>3212.7132296569698</v>
          </cell>
          <cell r="V10">
            <v>1370.6219651210999</v>
          </cell>
          <cell r="W10">
            <v>2811.54899205008</v>
          </cell>
          <cell r="X10">
            <v>1937.30841421541</v>
          </cell>
          <cell r="Y10">
            <v>39.701491019977198</v>
          </cell>
          <cell r="Z10">
            <v>23061.341374159099</v>
          </cell>
        </row>
        <row r="11">
          <cell r="A11" t="str">
            <v>Pulau Pinang</v>
          </cell>
          <cell r="B11" t="str">
            <v>07</v>
          </cell>
          <cell r="C11">
            <v>633.88290365591899</v>
          </cell>
          <cell r="D11">
            <v>486.018817116371</v>
          </cell>
          <cell r="E11">
            <v>0</v>
          </cell>
          <cell r="F11">
            <v>147.86408653954899</v>
          </cell>
          <cell r="I11">
            <v>17.481763989479099</v>
          </cell>
          <cell r="J11">
            <v>21249.074678795201</v>
          </cell>
          <cell r="K11">
            <v>593.55731447201003</v>
          </cell>
          <cell r="L11">
            <v>586.91874447794896</v>
          </cell>
          <cell r="M11">
            <v>620.24819278525695</v>
          </cell>
          <cell r="N11">
            <v>1660.50973175387</v>
          </cell>
          <cell r="O11">
            <v>1319.6283323750499</v>
          </cell>
          <cell r="P11">
            <v>15385.732970271099</v>
          </cell>
          <cell r="Q11">
            <v>1082.4793926599</v>
          </cell>
          <cell r="R11">
            <v>844.03512199132797</v>
          </cell>
          <cell r="S11">
            <v>16137.5740257668</v>
          </cell>
          <cell r="T11">
            <v>3422.52377358782</v>
          </cell>
          <cell r="U11">
            <v>4377.50240669906</v>
          </cell>
          <cell r="V11">
            <v>4705.9583963055902</v>
          </cell>
          <cell r="W11">
            <v>1743.76443271893</v>
          </cell>
          <cell r="X11">
            <v>1887.8250164554099</v>
          </cell>
          <cell r="Y11">
            <v>303.93796150801199</v>
          </cell>
          <cell r="Z11">
            <v>39185.986455706698</v>
          </cell>
        </row>
        <row r="12">
          <cell r="A12" t="str">
            <v>Perak</v>
          </cell>
          <cell r="B12" t="str">
            <v>08</v>
          </cell>
          <cell r="C12">
            <v>4685.9803496023796</v>
          </cell>
          <cell r="D12">
            <v>3298.0502540899201</v>
          </cell>
          <cell r="E12">
            <v>406.45567201757098</v>
          </cell>
          <cell r="F12">
            <v>981.47442349488597</v>
          </cell>
          <cell r="I12">
            <v>91.091266776845004</v>
          </cell>
          <cell r="J12">
            <v>5548.31659775966</v>
          </cell>
          <cell r="K12">
            <v>765.12245350003798</v>
          </cell>
          <cell r="L12">
            <v>265.726435190225</v>
          </cell>
          <cell r="M12">
            <v>338.617127108055</v>
          </cell>
          <cell r="N12">
            <v>1389.44580012133</v>
          </cell>
          <cell r="O12">
            <v>1099.7346644869101</v>
          </cell>
          <cell r="P12">
            <v>1503.72828676476</v>
          </cell>
          <cell r="Q12">
            <v>185.94183058834599</v>
          </cell>
          <cell r="R12">
            <v>703.66473522178899</v>
          </cell>
          <cell r="S12">
            <v>16636.6462646972</v>
          </cell>
          <cell r="T12">
            <v>5265.6380011209203</v>
          </cell>
          <cell r="U12">
            <v>3383.9586427775098</v>
          </cell>
          <cell r="V12">
            <v>2990.64760046632</v>
          </cell>
          <cell r="W12">
            <v>2275.7173696558698</v>
          </cell>
          <cell r="X12">
            <v>2720.6846506766201</v>
          </cell>
          <cell r="Y12">
            <v>67.206208322212206</v>
          </cell>
          <cell r="Z12">
            <v>27732.905422380099</v>
          </cell>
        </row>
        <row r="13">
          <cell r="A13" t="str">
            <v>Perlis</v>
          </cell>
          <cell r="B13" t="str">
            <v>09</v>
          </cell>
          <cell r="C13">
            <v>725.89663866670503</v>
          </cell>
          <cell r="D13">
            <v>278.91880025355698</v>
          </cell>
          <cell r="E13">
            <v>0</v>
          </cell>
          <cell r="F13">
            <v>446.97783841314799</v>
          </cell>
          <cell r="I13">
            <v>6.9470361339644002</v>
          </cell>
          <cell r="J13">
            <v>351.52005627757399</v>
          </cell>
          <cell r="K13">
            <v>44.269024490114496</v>
          </cell>
          <cell r="L13">
            <v>60.578535001281097</v>
          </cell>
          <cell r="M13">
            <v>6.5541373030035297</v>
          </cell>
          <cell r="N13">
            <v>168.24860846190299</v>
          </cell>
          <cell r="O13">
            <v>70.705771288334802</v>
          </cell>
          <cell r="P13">
            <v>0.92189678059466695</v>
          </cell>
          <cell r="Q13">
            <v>0.24208295234268001</v>
          </cell>
          <cell r="R13">
            <v>103.337365275102</v>
          </cell>
          <cell r="S13">
            <v>1525.83336834177</v>
          </cell>
          <cell r="T13">
            <v>546.75645965767706</v>
          </cell>
          <cell r="U13">
            <v>180.331110330911</v>
          </cell>
          <cell r="V13">
            <v>185.90757136182501</v>
          </cell>
          <cell r="W13">
            <v>220.28500223045799</v>
          </cell>
          <cell r="X13">
            <v>392.55322476089799</v>
          </cell>
          <cell r="Y13">
            <v>131.38239279555199</v>
          </cell>
          <cell r="Z13">
            <v>2844.9168574906698</v>
          </cell>
        </row>
        <row r="14">
          <cell r="A14" t="str">
            <v>Selangor</v>
          </cell>
          <cell r="B14">
            <v>10</v>
          </cell>
          <cell r="C14">
            <v>1700.94850627546</v>
          </cell>
          <cell r="D14">
            <v>1249.83756190091</v>
          </cell>
          <cell r="E14">
            <v>16.9925384062762</v>
          </cell>
          <cell r="F14">
            <v>434.11840596827602</v>
          </cell>
          <cell r="I14">
            <v>110.675543265549</v>
          </cell>
          <cell r="J14">
            <v>41647.757199532098</v>
          </cell>
          <cell r="K14">
            <v>5731.0679308809504</v>
          </cell>
          <cell r="L14">
            <v>380.54330017951997</v>
          </cell>
          <cell r="M14">
            <v>2421.2223443857401</v>
          </cell>
          <cell r="N14">
            <v>4938.7307381500304</v>
          </cell>
          <cell r="O14">
            <v>4365.0052055072902</v>
          </cell>
          <cell r="P14">
            <v>12415.9563022166</v>
          </cell>
          <cell r="Q14">
            <v>11395.231378212</v>
          </cell>
          <cell r="R14">
            <v>5046.5629932728398</v>
          </cell>
          <cell r="S14">
            <v>60916.670571898598</v>
          </cell>
          <cell r="T14">
            <v>16201.6721678055</v>
          </cell>
          <cell r="U14">
            <v>20229.6977731402</v>
          </cell>
          <cell r="V14">
            <v>14073.437855992701</v>
          </cell>
          <cell r="W14">
            <v>5684.9188574445898</v>
          </cell>
          <cell r="X14">
            <v>4726.9439175156504</v>
          </cell>
          <cell r="Y14">
            <v>3762.1254486965399</v>
          </cell>
          <cell r="Z14">
            <v>113184.74026294101</v>
          </cell>
        </row>
        <row r="15">
          <cell r="A15" t="str">
            <v>Terengganu</v>
          </cell>
          <cell r="B15">
            <v>11</v>
          </cell>
          <cell r="C15">
            <v>1565.5290648018599</v>
          </cell>
          <cell r="D15">
            <v>1073.6706009096399</v>
          </cell>
          <cell r="E15">
            <v>153.17327892166099</v>
          </cell>
          <cell r="F15">
            <v>338.68518497056101</v>
          </cell>
          <cell r="I15">
            <v>10.4755656271611</v>
          </cell>
          <cell r="J15">
            <v>6476.2641170741999</v>
          </cell>
          <cell r="K15">
            <v>97.305363964005096</v>
          </cell>
          <cell r="L15">
            <v>27.908073639538699</v>
          </cell>
          <cell r="M15">
            <v>145.959550427875</v>
          </cell>
          <cell r="N15">
            <v>5737.3221183033302</v>
          </cell>
          <cell r="O15">
            <v>399.11324204521202</v>
          </cell>
          <cell r="P15">
            <v>5.0954298774075903</v>
          </cell>
          <cell r="Q15">
            <v>63.560338816834197</v>
          </cell>
          <cell r="R15">
            <v>413.540567422283</v>
          </cell>
          <cell r="S15">
            <v>7087.1959635036601</v>
          </cell>
          <cell r="T15">
            <v>2938.6086555571401</v>
          </cell>
          <cell r="U15">
            <v>1189.81752500624</v>
          </cell>
          <cell r="V15">
            <v>544.83815395728197</v>
          </cell>
          <cell r="W15">
            <v>762.75474874239501</v>
          </cell>
          <cell r="X15">
            <v>1651.1768802406</v>
          </cell>
          <cell r="Y15">
            <v>9.2395649206271493</v>
          </cell>
          <cell r="Z15">
            <v>15562.244843349799</v>
          </cell>
        </row>
        <row r="16">
          <cell r="A16" t="str">
            <v>Sabah</v>
          </cell>
          <cell r="B16">
            <v>12</v>
          </cell>
          <cell r="C16">
            <v>9647.3803529176894</v>
          </cell>
          <cell r="D16">
            <v>6318.3875139191196</v>
          </cell>
          <cell r="E16">
            <v>2265.7688590278499</v>
          </cell>
          <cell r="F16">
            <v>1063.2239799707199</v>
          </cell>
          <cell r="I16">
            <v>5132.6603951794996</v>
          </cell>
          <cell r="J16">
            <v>3148.6969028643598</v>
          </cell>
          <cell r="K16">
            <v>1760.7973808909701</v>
          </cell>
          <cell r="L16">
            <v>25.268410039433601</v>
          </cell>
          <cell r="M16">
            <v>910.40826712844898</v>
          </cell>
          <cell r="N16">
            <v>110.404578133225</v>
          </cell>
          <cell r="O16">
            <v>190.22212738276301</v>
          </cell>
          <cell r="P16">
            <v>5.9322727378743503</v>
          </cell>
          <cell r="Q16">
            <v>145.66386655164101</v>
          </cell>
          <cell r="R16">
            <v>950.17214652152404</v>
          </cell>
          <cell r="S16">
            <v>13421.123082458</v>
          </cell>
          <cell r="T16">
            <v>2601.18674242421</v>
          </cell>
          <cell r="U16">
            <v>3787.1510727289601</v>
          </cell>
          <cell r="V16">
            <v>2791.7752197510199</v>
          </cell>
          <cell r="W16">
            <v>1439.16800893804</v>
          </cell>
          <cell r="X16">
            <v>2801.84203861574</v>
          </cell>
          <cell r="Y16">
            <v>126.63967503849101</v>
          </cell>
          <cell r="Z16">
            <v>32426.672554979501</v>
          </cell>
        </row>
        <row r="17">
          <cell r="A17" t="str">
            <v>Sarawak</v>
          </cell>
          <cell r="B17">
            <v>13</v>
          </cell>
          <cell r="C17">
            <v>7277.5600092764498</v>
          </cell>
          <cell r="D17">
            <v>2688.1252017148199</v>
          </cell>
          <cell r="E17">
            <v>3980.5306111598502</v>
          </cell>
          <cell r="F17">
            <v>608.904196401783</v>
          </cell>
          <cell r="I17">
            <v>15492.7551275153</v>
          </cell>
          <cell r="J17">
            <v>15986.7967793149</v>
          </cell>
          <cell r="K17">
            <v>577.80423886552705</v>
          </cell>
          <cell r="L17">
            <v>18.816444659134401</v>
          </cell>
          <cell r="M17">
            <v>1591.1434893918499</v>
          </cell>
          <cell r="N17">
            <v>12491.029111321701</v>
          </cell>
          <cell r="O17">
            <v>465.65915069333499</v>
          </cell>
          <cell r="P17">
            <v>610.89899601884804</v>
          </cell>
          <cell r="Q17">
            <v>231.44534836451899</v>
          </cell>
          <cell r="R17">
            <v>1368.2228298833199</v>
          </cell>
          <cell r="S17">
            <v>17345.898143881801</v>
          </cell>
          <cell r="T17">
            <v>4159.0955870482303</v>
          </cell>
          <cell r="U17">
            <v>4254.8856685601104</v>
          </cell>
          <cell r="V17">
            <v>4220.5458403617604</v>
          </cell>
          <cell r="W17">
            <v>1900.1070644228801</v>
          </cell>
          <cell r="X17">
            <v>2811.26398348885</v>
          </cell>
          <cell r="Y17">
            <v>229.13657208042</v>
          </cell>
          <cell r="Z17">
            <v>57700.369461952301</v>
          </cell>
        </row>
        <row r="18">
          <cell r="A18" t="str">
            <v>WP Kuala Lumpur</v>
          </cell>
          <cell r="B18">
            <v>14</v>
          </cell>
          <cell r="C18">
            <v>2.1689198892843402</v>
          </cell>
          <cell r="D18">
            <v>2.1689198892843402</v>
          </cell>
          <cell r="E18">
            <v>0</v>
          </cell>
          <cell r="F18">
            <v>0</v>
          </cell>
          <cell r="I18">
            <v>24.8085170014017</v>
          </cell>
          <cell r="J18">
            <v>3907.8977998006098</v>
          </cell>
          <cell r="K18">
            <v>460.74423564599903</v>
          </cell>
          <cell r="L18">
            <v>295.220099718342</v>
          </cell>
          <cell r="M18">
            <v>1056.44641275192</v>
          </cell>
          <cell r="N18">
            <v>577.84337992862697</v>
          </cell>
          <cell r="O18">
            <v>462.74103243345598</v>
          </cell>
          <cell r="P18">
            <v>482.255021393606</v>
          </cell>
          <cell r="Q18">
            <v>572.64761792866295</v>
          </cell>
          <cell r="R18">
            <v>2998.0714186278701</v>
          </cell>
          <cell r="S18">
            <v>59372.634297558601</v>
          </cell>
          <cell r="T18">
            <v>4062.56745868399</v>
          </cell>
          <cell r="U18">
            <v>21923.565608608798</v>
          </cell>
          <cell r="V18">
            <v>22714.2177897578</v>
          </cell>
          <cell r="W18">
            <v>3342.8796808709599</v>
          </cell>
          <cell r="X18">
            <v>7329.4037596370499</v>
          </cell>
          <cell r="Y18">
            <v>711.37331333309896</v>
          </cell>
          <cell r="Z18">
            <v>67016.954266210902</v>
          </cell>
        </row>
        <row r="19">
          <cell r="A19" t="str">
            <v>WP Labuan</v>
          </cell>
          <cell r="B19">
            <v>15</v>
          </cell>
          <cell r="C19">
            <v>73.771698700430406</v>
          </cell>
          <cell r="D19">
            <v>6.79363146008754</v>
          </cell>
          <cell r="E19">
            <v>0</v>
          </cell>
          <cell r="F19">
            <v>66.978067240342796</v>
          </cell>
          <cell r="I19">
            <v>0</v>
          </cell>
          <cell r="J19">
            <v>595.108748200533</v>
          </cell>
          <cell r="K19">
            <v>24.0042477805912</v>
          </cell>
          <cell r="L19">
            <v>2.2342777848289801</v>
          </cell>
          <cell r="M19">
            <v>1.57515183952991</v>
          </cell>
          <cell r="N19">
            <v>468.53098511556101</v>
          </cell>
          <cell r="O19">
            <v>90.166862587020205</v>
          </cell>
          <cell r="P19">
            <v>0</v>
          </cell>
          <cell r="Q19">
            <v>8.5972230930015403</v>
          </cell>
          <cell r="R19">
            <v>24.3120582451525</v>
          </cell>
          <cell r="S19">
            <v>1419.04543309839</v>
          </cell>
          <cell r="T19">
            <v>176.82434864987599</v>
          </cell>
          <cell r="U19">
            <v>168.241821884486</v>
          </cell>
          <cell r="V19">
            <v>973.75818969116494</v>
          </cell>
          <cell r="W19">
            <v>60.281927196105002</v>
          </cell>
          <cell r="X19">
            <v>39.939145676755501</v>
          </cell>
          <cell r="Y19">
            <v>33.8454851802448</v>
          </cell>
          <cell r="Z19">
            <v>2146.08342342475</v>
          </cell>
        </row>
        <row r="20">
          <cell r="A20" t="str">
            <v>Supra1</v>
          </cell>
          <cell r="C20">
            <v>0</v>
          </cell>
          <cell r="D20">
            <v>0</v>
          </cell>
          <cell r="E20">
            <v>0</v>
          </cell>
          <cell r="F20">
            <v>0</v>
          </cell>
          <cell r="I20">
            <v>51013.064607915097</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51013.064607915097</v>
          </cell>
        </row>
        <row r="21">
          <cell r="A21" t="str">
            <v>MALAYSIA</v>
          </cell>
          <cell r="C21">
            <v>44912.244292273703</v>
          </cell>
          <cell r="D21">
            <v>31493.912447454099</v>
          </cell>
          <cell r="E21">
            <v>7946.5444787829001</v>
          </cell>
          <cell r="F21">
            <v>5471.7873660366604</v>
          </cell>
          <cell r="I21">
            <v>72110.889746250294</v>
          </cell>
          <cell r="J21">
            <v>149754.3543067</v>
          </cell>
          <cell r="K21">
            <v>14140.1503786911</v>
          </cell>
          <cell r="L21">
            <v>3504.0301273131199</v>
          </cell>
          <cell r="M21">
            <v>10700.572244999999</v>
          </cell>
          <cell r="N21">
            <v>40118.0893246962</v>
          </cell>
          <cell r="O21">
            <v>13487.698</v>
          </cell>
          <cell r="P21">
            <v>48057.432999999997</v>
          </cell>
          <cell r="Q21">
            <v>19746.381230999999</v>
          </cell>
          <cell r="R21">
            <v>16106.550487226301</v>
          </cell>
          <cell r="S21">
            <v>254322.11324438301</v>
          </cell>
          <cell r="T21">
            <v>50509.635730231297</v>
          </cell>
          <cell r="U21">
            <v>74641.499566911007</v>
          </cell>
          <cell r="V21">
            <v>66014.991324746195</v>
          </cell>
          <cell r="W21">
            <v>27499.794204137201</v>
          </cell>
          <cell r="X21">
            <v>35656.192418357801</v>
          </cell>
          <cell r="Y21">
            <v>6371.6551895900002</v>
          </cell>
          <cell r="Z21">
            <v>543577.80726642394</v>
          </cell>
        </row>
        <row r="24">
          <cell r="A24" t="str">
            <v>CONSTANT</v>
          </cell>
          <cell r="B24" t="str">
            <v>Industry</v>
          </cell>
          <cell r="D24">
            <v>1</v>
          </cell>
          <cell r="E24">
            <v>2</v>
          </cell>
          <cell r="F24">
            <v>3</v>
          </cell>
          <cell r="I24">
            <v>4</v>
          </cell>
          <cell r="K24">
            <v>6</v>
          </cell>
          <cell r="L24">
            <v>7</v>
          </cell>
          <cell r="M24">
            <v>8</v>
          </cell>
          <cell r="N24">
            <v>9</v>
          </cell>
          <cell r="O24">
            <v>10</v>
          </cell>
          <cell r="P24">
            <v>11</v>
          </cell>
          <cell r="Q24">
            <v>12</v>
          </cell>
          <cell r="R24">
            <v>5</v>
          </cell>
          <cell r="T24">
            <v>13</v>
          </cell>
          <cell r="U24">
            <v>14</v>
          </cell>
          <cell r="V24">
            <v>15</v>
          </cell>
          <cell r="W24">
            <v>16</v>
          </cell>
        </row>
        <row r="25">
          <cell r="A25">
            <v>2006</v>
          </cell>
          <cell r="B25" t="str">
            <v>I</v>
          </cell>
          <cell r="C25" t="str">
            <v>Agriculture</v>
          </cell>
          <cell r="D25" t="str">
            <v>Tanaman</v>
          </cell>
          <cell r="E25" t="str">
            <v>Pembalakan</v>
          </cell>
          <cell r="F25" t="str">
            <v>Perikanan</v>
          </cell>
          <cell r="I25" t="str">
            <v>Mining and
Quarrying</v>
          </cell>
          <cell r="J25" t="str">
            <v>Manufacturing</v>
          </cell>
          <cell r="K25" t="str">
            <v>Prosesan Makanan, Minuman dan Produk Tembakau</v>
          </cell>
          <cell r="L25" t="str">
            <v>Tekstil, Pakaian, Kulit dan Kasut</v>
          </cell>
          <cell r="M25" t="str">
            <v>Keluaran Kayu, Perabot, Produk Kertas, Percetakan dan Penerbitan</v>
          </cell>
          <cell r="N25" t="str">
            <v>Produk Petroleum, Bahan kimia, Getah dan Plastik</v>
          </cell>
          <cell r="O25" t="str">
            <v>Produk Mineral Bukan Logam, Logam Asli dan Produk Logam Yang Direka</v>
          </cell>
          <cell r="P25" t="str">
            <v>Elektrik dan Elektronik</v>
          </cell>
          <cell r="Q25" t="str">
            <v>Kelengkapan Pengangkutan dan Pembuatan Lain</v>
          </cell>
          <cell r="R25" t="str">
            <v>Construction</v>
          </cell>
          <cell r="S25" t="str">
            <v>Services</v>
          </cell>
          <cell r="T25" t="str">
            <v>Utiliti, Transport &amp; Communication</v>
          </cell>
          <cell r="U25" t="str">
            <v>WRT, Accomm &amp; Restaurant</v>
          </cell>
          <cell r="V25" t="str">
            <v>Finance &amp; Insurance, Real Estate &amp; Business Services</v>
          </cell>
          <cell r="W25" t="str">
            <v>Other Services</v>
          </cell>
          <cell r="X25" t="str">
            <v>Government Services</v>
          </cell>
          <cell r="Y25" t="str">
            <v>Plus :
Import Duties</v>
          </cell>
          <cell r="Z25" t="str">
            <v>GDP at
Purchasers' Prices</v>
          </cell>
        </row>
        <row r="26">
          <cell r="A26" t="str">
            <v>States</v>
          </cell>
          <cell r="B26" t="str">
            <v>Converter</v>
          </cell>
        </row>
        <row r="27">
          <cell r="A27" t="str">
            <v>Johor</v>
          </cell>
          <cell r="B27" t="str">
            <v>01</v>
          </cell>
          <cell r="C27">
            <v>6654.2396491146401</v>
          </cell>
          <cell r="D27">
            <v>5977.43668348548</v>
          </cell>
          <cell r="E27">
            <v>102.45171403581401</v>
          </cell>
          <cell r="F27">
            <v>574.351251593347</v>
          </cell>
          <cell r="I27">
            <v>48.2440928592018</v>
          </cell>
          <cell r="J27">
            <v>20066.005193343699</v>
          </cell>
          <cell r="K27">
            <v>1587.0553593141101</v>
          </cell>
          <cell r="L27">
            <v>1079.6354715331299</v>
          </cell>
          <cell r="M27">
            <v>1491.8417091542101</v>
          </cell>
          <cell r="N27">
            <v>3753.2871051659699</v>
          </cell>
          <cell r="O27">
            <v>2371.92938811051</v>
          </cell>
          <cell r="P27">
            <v>8364.2660230885595</v>
          </cell>
          <cell r="Q27">
            <v>1417.9901369772199</v>
          </cell>
          <cell r="R27">
            <v>1568.45996558397</v>
          </cell>
          <cell r="S27">
            <v>23481.829570811798</v>
          </cell>
          <cell r="T27">
            <v>5430.9591622893204</v>
          </cell>
          <cell r="U27">
            <v>5091.9409273339097</v>
          </cell>
          <cell r="V27">
            <v>6795.4771230062597</v>
          </cell>
          <cell r="W27">
            <v>2531.2759057048002</v>
          </cell>
          <cell r="X27">
            <v>3632.1764524775099</v>
          </cell>
          <cell r="Y27">
            <v>720.39271590590999</v>
          </cell>
          <cell r="Z27">
            <v>52539.171187619198</v>
          </cell>
        </row>
        <row r="28">
          <cell r="A28" t="str">
            <v>Kedah</v>
          </cell>
          <cell r="B28" t="str">
            <v>02</v>
          </cell>
          <cell r="C28">
            <v>2416.9332573101001</v>
          </cell>
          <cell r="D28">
            <v>2060.9680526072898</v>
          </cell>
          <cell r="E28">
            <v>80.483431624916705</v>
          </cell>
          <cell r="F28">
            <v>275.48177307788598</v>
          </cell>
          <cell r="I28">
            <v>16.5266256769922</v>
          </cell>
          <cell r="J28">
            <v>6984.3359707004201</v>
          </cell>
          <cell r="K28">
            <v>276.28719718090599</v>
          </cell>
          <cell r="L28">
            <v>69.637096233941406</v>
          </cell>
          <cell r="M28">
            <v>472.22697892102002</v>
          </cell>
          <cell r="N28">
            <v>1168.3168660113399</v>
          </cell>
          <cell r="O28">
            <v>1326.57567433551</v>
          </cell>
          <cell r="P28">
            <v>2784.3407263300001</v>
          </cell>
          <cell r="Q28">
            <v>886.95143168770198</v>
          </cell>
          <cell r="R28">
            <v>453.96999135908499</v>
          </cell>
          <cell r="S28">
            <v>9248.8233385255007</v>
          </cell>
          <cell r="T28">
            <v>1359.7214274135199</v>
          </cell>
          <cell r="U28">
            <v>2144.99827280614</v>
          </cell>
          <cell r="V28">
            <v>1764.2756371395401</v>
          </cell>
          <cell r="W28">
            <v>1652.1409922943201</v>
          </cell>
          <cell r="X28">
            <v>2327.6870088719702</v>
          </cell>
          <cell r="Y28">
            <v>134.45064089028699</v>
          </cell>
          <cell r="Z28">
            <v>19255.039824462401</v>
          </cell>
        </row>
        <row r="29">
          <cell r="A29" t="str">
            <v>Kelantan</v>
          </cell>
          <cell r="B29" t="str">
            <v>03</v>
          </cell>
          <cell r="C29">
            <v>2617.7804497956299</v>
          </cell>
          <cell r="D29">
            <v>1942.4817276997501</v>
          </cell>
          <cell r="E29">
            <v>416.49956725049998</v>
          </cell>
          <cell r="F29">
            <v>258.79915484537702</v>
          </cell>
          <cell r="I29">
            <v>14.4181754742871</v>
          </cell>
          <cell r="J29">
            <v>510.70083418754098</v>
          </cell>
          <cell r="K29">
            <v>138.341438523666</v>
          </cell>
          <cell r="L29">
            <v>28.742611609802001</v>
          </cell>
          <cell r="M29">
            <v>73.505500890016407</v>
          </cell>
          <cell r="N29">
            <v>68.319025944010207</v>
          </cell>
          <cell r="O29">
            <v>27.574781203743701</v>
          </cell>
          <cell r="P29">
            <v>166.28079755626999</v>
          </cell>
          <cell r="Q29">
            <v>7.9366784600321303</v>
          </cell>
          <cell r="R29">
            <v>169.46443534701299</v>
          </cell>
          <cell r="S29">
            <v>6335.7900702748702</v>
          </cell>
          <cell r="T29">
            <v>743.703512481487</v>
          </cell>
          <cell r="U29">
            <v>1681.2531728200699</v>
          </cell>
          <cell r="V29">
            <v>733.54320103359203</v>
          </cell>
          <cell r="W29">
            <v>1174.0590217900599</v>
          </cell>
          <cell r="X29">
            <v>2003.2311621496599</v>
          </cell>
          <cell r="Y29">
            <v>10.1210965389053</v>
          </cell>
          <cell r="Z29">
            <v>9658.2750616182493</v>
          </cell>
        </row>
        <row r="30">
          <cell r="A30" t="str">
            <v>Melaka</v>
          </cell>
          <cell r="B30" t="str">
            <v>04</v>
          </cell>
          <cell r="C30">
            <v>961.73329875419302</v>
          </cell>
          <cell r="D30">
            <v>946.90645762184204</v>
          </cell>
          <cell r="E30">
            <v>0.56006563844926804</v>
          </cell>
          <cell r="F30">
            <v>14.2667754939018</v>
          </cell>
          <cell r="I30">
            <v>7.2982247814966499</v>
          </cell>
          <cell r="J30">
            <v>8312.7953274922893</v>
          </cell>
          <cell r="K30">
            <v>279.76590521138502</v>
          </cell>
          <cell r="L30">
            <v>123.176742626142</v>
          </cell>
          <cell r="M30">
            <v>442.37175795455897</v>
          </cell>
          <cell r="N30">
            <v>3086.4389693970802</v>
          </cell>
          <cell r="O30">
            <v>544.35209201866803</v>
          </cell>
          <cell r="P30">
            <v>2439.4310327828998</v>
          </cell>
          <cell r="Q30">
            <v>1397.2588275015601</v>
          </cell>
          <cell r="R30">
            <v>314.481252041853</v>
          </cell>
          <cell r="S30">
            <v>6723.3246634145798</v>
          </cell>
          <cell r="T30">
            <v>1310.63766722995</v>
          </cell>
          <cell r="U30">
            <v>2030.95637384611</v>
          </cell>
          <cell r="V30">
            <v>1363.28402879383</v>
          </cell>
          <cell r="W30">
            <v>941.08484483895404</v>
          </cell>
          <cell r="X30">
            <v>1077.36174870574</v>
          </cell>
          <cell r="Y30">
            <v>13.5031970924452</v>
          </cell>
          <cell r="Z30">
            <v>16333.1359635769</v>
          </cell>
        </row>
        <row r="31">
          <cell r="A31" t="str">
            <v>Negeri Sembilan</v>
          </cell>
          <cell r="B31" t="str">
            <v>05</v>
          </cell>
          <cell r="C31">
            <v>1816.8817302615</v>
          </cell>
          <cell r="D31">
            <v>1755.0937258404799</v>
          </cell>
          <cell r="E31">
            <v>34.323036923676298</v>
          </cell>
          <cell r="F31">
            <v>27.4649674973491</v>
          </cell>
          <cell r="I31">
            <v>17.521266820900799</v>
          </cell>
          <cell r="J31">
            <v>11476.808555940101</v>
          </cell>
          <cell r="K31">
            <v>1046.3834184627799</v>
          </cell>
          <cell r="L31">
            <v>436.74818218174102</v>
          </cell>
          <cell r="M31">
            <v>350.543940464765</v>
          </cell>
          <cell r="N31">
            <v>2567.4890385008798</v>
          </cell>
          <cell r="O31">
            <v>727.23829080610096</v>
          </cell>
          <cell r="P31">
            <v>5219.1744241468195</v>
          </cell>
          <cell r="Q31">
            <v>1129.23126137699</v>
          </cell>
          <cell r="R31">
            <v>402.713166861057</v>
          </cell>
          <cell r="S31">
            <v>7770.8126822294198</v>
          </cell>
          <cell r="T31">
            <v>1942.77472567326</v>
          </cell>
          <cell r="U31">
            <v>1768.0648375599601</v>
          </cell>
          <cell r="V31">
            <v>1615.4923418825299</v>
          </cell>
          <cell r="W31">
            <v>1013.4833123183799</v>
          </cell>
          <cell r="X31">
            <v>1430.9974647952999</v>
          </cell>
          <cell r="Y31">
            <v>69.357214698448203</v>
          </cell>
          <cell r="Z31">
            <v>21554.094616811399</v>
          </cell>
        </row>
        <row r="32">
          <cell r="A32" t="str">
            <v>Pahang</v>
          </cell>
          <cell r="B32" t="str">
            <v>06</v>
          </cell>
          <cell r="C32">
            <v>5770.1410985738403</v>
          </cell>
          <cell r="D32">
            <v>4670.4509523632396</v>
          </cell>
          <cell r="E32">
            <v>601.50505578969899</v>
          </cell>
          <cell r="F32">
            <v>498.18509042089698</v>
          </cell>
          <cell r="I32">
            <v>80.273290052901302</v>
          </cell>
          <cell r="J32">
            <v>7110.56842070932</v>
          </cell>
          <cell r="K32">
            <v>705.05093354776295</v>
          </cell>
          <cell r="L32">
            <v>16.2012290888499</v>
          </cell>
          <cell r="M32">
            <v>575.46873181503702</v>
          </cell>
          <cell r="N32">
            <v>3388.2393176946598</v>
          </cell>
          <cell r="O32">
            <v>821.98883967955101</v>
          </cell>
          <cell r="P32">
            <v>156.633803980365</v>
          </cell>
          <cell r="Q32">
            <v>1446.9855649031001</v>
          </cell>
          <cell r="R32">
            <v>571.58063128502101</v>
          </cell>
          <cell r="S32">
            <v>11138.208615434</v>
          </cell>
          <cell r="T32">
            <v>1193.2923306241</v>
          </cell>
          <cell r="U32">
            <v>3344.69661445665</v>
          </cell>
          <cell r="V32">
            <v>1442.7687051277801</v>
          </cell>
          <cell r="W32">
            <v>2847.8550902402999</v>
          </cell>
          <cell r="X32">
            <v>2309.5958749852098</v>
          </cell>
          <cell r="Y32">
            <v>22.447246895454899</v>
          </cell>
          <cell r="Z32">
            <v>24693.219302950602</v>
          </cell>
        </row>
        <row r="33">
          <cell r="A33" t="str">
            <v>Pulau Pinang</v>
          </cell>
          <cell r="B33" t="str">
            <v>07</v>
          </cell>
          <cell r="C33">
            <v>700.37903219198802</v>
          </cell>
          <cell r="D33">
            <v>509.13645040512699</v>
          </cell>
          <cell r="E33">
            <v>0</v>
          </cell>
          <cell r="F33">
            <v>191.242581786861</v>
          </cell>
          <cell r="I33">
            <v>17.069804358913899</v>
          </cell>
          <cell r="J33">
            <v>24429.468358772901</v>
          </cell>
          <cell r="K33">
            <v>654.61044932812695</v>
          </cell>
          <cell r="L33">
            <v>612.56336167766096</v>
          </cell>
          <cell r="M33">
            <v>659.10544401958396</v>
          </cell>
          <cell r="N33">
            <v>1525.35515757352</v>
          </cell>
          <cell r="O33">
            <v>1448.2715015645299</v>
          </cell>
          <cell r="P33">
            <v>18169.729390371002</v>
          </cell>
          <cell r="Q33">
            <v>1359.8330542385499</v>
          </cell>
          <cell r="R33">
            <v>812.77198186290195</v>
          </cell>
          <cell r="S33">
            <v>17152.767881577001</v>
          </cell>
          <cell r="T33">
            <v>3594.64591975957</v>
          </cell>
          <cell r="U33">
            <v>4716.9243092330598</v>
          </cell>
          <cell r="V33">
            <v>4974.7578420442396</v>
          </cell>
          <cell r="W33">
            <v>1790.5109599922</v>
          </cell>
          <cell r="X33">
            <v>2075.9288505479299</v>
          </cell>
          <cell r="Y33">
            <v>288.17007924230597</v>
          </cell>
          <cell r="Z33">
            <v>43400.627138005999</v>
          </cell>
        </row>
        <row r="34">
          <cell r="A34" t="str">
            <v>Perak</v>
          </cell>
          <cell r="B34" t="str">
            <v>08</v>
          </cell>
          <cell r="C34">
            <v>4841.0016055975502</v>
          </cell>
          <cell r="D34">
            <v>3421.0083503465798</v>
          </cell>
          <cell r="E34">
            <v>437.91478096930803</v>
          </cell>
          <cell r="F34">
            <v>982.07847428165701</v>
          </cell>
          <cell r="I34">
            <v>96.861769646077704</v>
          </cell>
          <cell r="J34">
            <v>6254.8965298297999</v>
          </cell>
          <cell r="K34">
            <v>1097.4020779704699</v>
          </cell>
          <cell r="L34">
            <v>241.59735163935599</v>
          </cell>
          <cell r="M34">
            <v>280.87450900017001</v>
          </cell>
          <cell r="N34">
            <v>1450.6703072558901</v>
          </cell>
          <cell r="O34">
            <v>1237.64135666889</v>
          </cell>
          <cell r="P34">
            <v>1827.0408066418499</v>
          </cell>
          <cell r="Q34">
            <v>119.670120653178</v>
          </cell>
          <cell r="R34">
            <v>675.10509915070998</v>
          </cell>
          <cell r="S34">
            <v>17636.900254423301</v>
          </cell>
          <cell r="T34">
            <v>5560.2253040654696</v>
          </cell>
          <cell r="U34">
            <v>3586.6042339098699</v>
          </cell>
          <cell r="V34">
            <v>3145.8265380559301</v>
          </cell>
          <cell r="W34">
            <v>2325.5727982825902</v>
          </cell>
          <cell r="X34">
            <v>3018.6713801094002</v>
          </cell>
          <cell r="Y34">
            <v>53.537682655929402</v>
          </cell>
          <cell r="Z34">
            <v>29558.3029413033</v>
          </cell>
        </row>
        <row r="35">
          <cell r="A35" t="str">
            <v>Perlis</v>
          </cell>
          <cell r="B35" t="str">
            <v>09</v>
          </cell>
          <cell r="C35">
            <v>808.72593428289599</v>
          </cell>
          <cell r="D35">
            <v>259.95321692836001</v>
          </cell>
          <cell r="E35">
            <v>0</v>
          </cell>
          <cell r="F35">
            <v>548.77271735453598</v>
          </cell>
          <cell r="I35">
            <v>6.8446087585817601</v>
          </cell>
          <cell r="J35">
            <v>345.19007959309801</v>
          </cell>
          <cell r="K35">
            <v>49.105577399240801</v>
          </cell>
          <cell r="L35">
            <v>57.869775833981798</v>
          </cell>
          <cell r="M35">
            <v>10.7097310719837</v>
          </cell>
          <cell r="N35">
            <v>134.12184479401901</v>
          </cell>
          <cell r="O35">
            <v>91.561314600732601</v>
          </cell>
          <cell r="P35">
            <v>1.82183589313928</v>
          </cell>
          <cell r="Q35">
            <v>0</v>
          </cell>
          <cell r="R35">
            <v>100.551566370809</v>
          </cell>
          <cell r="S35">
            <v>1582.3990231601699</v>
          </cell>
          <cell r="T35">
            <v>577.20764750010005</v>
          </cell>
          <cell r="U35">
            <v>188.404257331791</v>
          </cell>
          <cell r="V35">
            <v>171.20532999452499</v>
          </cell>
          <cell r="W35">
            <v>212.591718700168</v>
          </cell>
          <cell r="X35">
            <v>432.99006963358198</v>
          </cell>
          <cell r="Y35">
            <v>101.23279260701401</v>
          </cell>
          <cell r="Z35">
            <v>2944.9440047725602</v>
          </cell>
        </row>
        <row r="36">
          <cell r="A36" t="str">
            <v>Selangor</v>
          </cell>
          <cell r="B36">
            <v>10</v>
          </cell>
          <cell r="C36">
            <v>2049.1856888432299</v>
          </cell>
          <cell r="D36">
            <v>1418.7881169792599</v>
          </cell>
          <cell r="E36">
            <v>21.357617395231301</v>
          </cell>
          <cell r="F36">
            <v>609.03995446874501</v>
          </cell>
          <cell r="I36">
            <v>115.923261490992</v>
          </cell>
          <cell r="J36">
            <v>42583.807815050401</v>
          </cell>
          <cell r="K36">
            <v>5756.4238309847797</v>
          </cell>
          <cell r="L36">
            <v>614.27157414379201</v>
          </cell>
          <cell r="M36">
            <v>2856.3799168124101</v>
          </cell>
          <cell r="N36">
            <v>5395.0294542236597</v>
          </cell>
          <cell r="O36">
            <v>4661.1959621419001</v>
          </cell>
          <cell r="P36">
            <v>12424.3394810104</v>
          </cell>
          <cell r="Q36">
            <v>10876.167595733399</v>
          </cell>
          <cell r="R36">
            <v>5028.2701061917796</v>
          </cell>
          <cell r="S36">
            <v>65860.627293376194</v>
          </cell>
          <cell r="T36">
            <v>17165.996852116899</v>
          </cell>
          <cell r="U36">
            <v>21832.576270203601</v>
          </cell>
          <cell r="V36">
            <v>15239.550775515099</v>
          </cell>
          <cell r="W36">
            <v>6011.4828157116899</v>
          </cell>
          <cell r="X36">
            <v>5611.0205798289599</v>
          </cell>
          <cell r="Y36">
            <v>3181.1442089161201</v>
          </cell>
          <cell r="Z36">
            <v>118818.958373869</v>
          </cell>
        </row>
        <row r="37">
          <cell r="A37" t="str">
            <v>Terengganu</v>
          </cell>
          <cell r="B37">
            <v>11</v>
          </cell>
          <cell r="C37">
            <v>1683.1505690450799</v>
          </cell>
          <cell r="D37">
            <v>1129.86941122743</v>
          </cell>
          <cell r="E37">
            <v>143.52582285294201</v>
          </cell>
          <cell r="F37">
            <v>409.75533496470302</v>
          </cell>
          <cell r="I37">
            <v>8.7208165317790698</v>
          </cell>
          <cell r="J37">
            <v>7204.11271890841</v>
          </cell>
          <cell r="K37">
            <v>109.900175749368</v>
          </cell>
          <cell r="L37">
            <v>38.718538882359503</v>
          </cell>
          <cell r="M37">
            <v>120.03498202535999</v>
          </cell>
          <cell r="N37">
            <v>6528.4075797325704</v>
          </cell>
          <cell r="O37">
            <v>339.52317352760701</v>
          </cell>
          <cell r="P37">
            <v>1.4653545058975499</v>
          </cell>
          <cell r="Q37">
            <v>66.062914485247902</v>
          </cell>
          <cell r="R37">
            <v>454.564489676601</v>
          </cell>
          <cell r="S37">
            <v>7506.7095052003197</v>
          </cell>
          <cell r="T37">
            <v>3085.6722565039299</v>
          </cell>
          <cell r="U37">
            <v>1228.0367088068199</v>
          </cell>
          <cell r="V37">
            <v>565.84594036372698</v>
          </cell>
          <cell r="W37">
            <v>781.99954839759596</v>
          </cell>
          <cell r="X37">
            <v>1845.1550511282401</v>
          </cell>
          <cell r="Y37">
            <v>9.9507637807276392</v>
          </cell>
          <cell r="Z37">
            <v>16867.2088631429</v>
          </cell>
        </row>
        <row r="38">
          <cell r="A38" t="str">
            <v>Sabah</v>
          </cell>
          <cell r="B38">
            <v>12</v>
          </cell>
          <cell r="C38">
            <v>9907.9170891016201</v>
          </cell>
          <cell r="D38">
            <v>6505.0982064938398</v>
          </cell>
          <cell r="E38">
            <v>2201.6043196693099</v>
          </cell>
          <cell r="F38">
            <v>1201.21456293847</v>
          </cell>
          <cell r="I38">
            <v>5305.0188119066497</v>
          </cell>
          <cell r="J38">
            <v>3307.5639633117398</v>
          </cell>
          <cell r="K38">
            <v>1889.13581074173</v>
          </cell>
          <cell r="L38">
            <v>24.127588758054799</v>
          </cell>
          <cell r="M38">
            <v>875.72966932760596</v>
          </cell>
          <cell r="N38">
            <v>149.62708489826301</v>
          </cell>
          <cell r="O38">
            <v>214.799905708566</v>
          </cell>
          <cell r="P38">
            <v>7.2733148875337399</v>
          </cell>
          <cell r="Q38">
            <v>146.870588989981</v>
          </cell>
          <cell r="R38">
            <v>1049.9768020543299</v>
          </cell>
          <cell r="S38">
            <v>14536.659166623</v>
          </cell>
          <cell r="T38">
            <v>2740.4160274405099</v>
          </cell>
          <cell r="U38">
            <v>4323.3190045830797</v>
          </cell>
          <cell r="V38">
            <v>2985.63191230641</v>
          </cell>
          <cell r="W38">
            <v>1459.17015657037</v>
          </cell>
          <cell r="X38">
            <v>3028.1220657225899</v>
          </cell>
          <cell r="Y38">
            <v>113.93748440474199</v>
          </cell>
          <cell r="Z38">
            <v>34221.073317401999</v>
          </cell>
        </row>
        <row r="39">
          <cell r="A39" t="str">
            <v>Sarawak</v>
          </cell>
          <cell r="B39">
            <v>13</v>
          </cell>
          <cell r="C39">
            <v>7199.0461539385096</v>
          </cell>
          <cell r="D39">
            <v>2809.2687090730301</v>
          </cell>
          <cell r="E39">
            <v>3857.7784715405</v>
          </cell>
          <cell r="F39">
            <v>531.99897332498699</v>
          </cell>
          <cell r="I39">
            <v>16135.5628417272</v>
          </cell>
          <cell r="J39">
            <v>17374.660156991398</v>
          </cell>
          <cell r="K39">
            <v>689.99300758824199</v>
          </cell>
          <cell r="L39">
            <v>18.856981073143999</v>
          </cell>
          <cell r="M39">
            <v>1992.7771856494801</v>
          </cell>
          <cell r="N39">
            <v>13294.2672517314</v>
          </cell>
          <cell r="O39">
            <v>519.52466204974598</v>
          </cell>
          <cell r="P39">
            <v>585.48442688070998</v>
          </cell>
          <cell r="Q39">
            <v>273.756642018695</v>
          </cell>
          <cell r="R39">
            <v>1387.0757866608401</v>
          </cell>
          <cell r="S39">
            <v>17981.701899829699</v>
          </cell>
          <cell r="T39">
            <v>4194.8712786423803</v>
          </cell>
          <cell r="U39">
            <v>4431.1308051959204</v>
          </cell>
          <cell r="V39">
            <v>4403.37435028035</v>
          </cell>
          <cell r="W39">
            <v>1969.7894143067099</v>
          </cell>
          <cell r="X39">
            <v>2982.53605140432</v>
          </cell>
          <cell r="Y39">
            <v>187.133438110855</v>
          </cell>
          <cell r="Z39">
            <v>60265.1802772585</v>
          </cell>
        </row>
        <row r="40">
          <cell r="A40" t="str">
            <v>WP Kuala Lumpur</v>
          </cell>
          <cell r="B40">
            <v>14</v>
          </cell>
          <cell r="C40">
            <v>1.70063142405226</v>
          </cell>
          <cell r="D40">
            <v>1.70063142405226</v>
          </cell>
          <cell r="E40">
            <v>0</v>
          </cell>
          <cell r="F40">
            <v>0</v>
          </cell>
          <cell r="I40">
            <v>23.872994104275399</v>
          </cell>
          <cell r="J40">
            <v>4024.4684763293899</v>
          </cell>
          <cell r="K40">
            <v>453.95250047359502</v>
          </cell>
          <cell r="L40">
            <v>223.80249625796401</v>
          </cell>
          <cell r="M40">
            <v>1148.2049337393801</v>
          </cell>
          <cell r="N40">
            <v>577.88508111527199</v>
          </cell>
          <cell r="O40">
            <v>511.31032182226397</v>
          </cell>
          <cell r="P40">
            <v>464.36602674966701</v>
          </cell>
          <cell r="Q40">
            <v>644.94711617124199</v>
          </cell>
          <cell r="R40">
            <v>3009.2664749812802</v>
          </cell>
          <cell r="S40">
            <v>64090.007640177297</v>
          </cell>
          <cell r="T40">
            <v>4428.1872575324196</v>
          </cell>
          <cell r="U40">
            <v>23061.162235989301</v>
          </cell>
          <cell r="V40">
            <v>25111.537298388201</v>
          </cell>
          <cell r="W40">
            <v>3505.66588895109</v>
          </cell>
          <cell r="X40">
            <v>7983.4549593162801</v>
          </cell>
          <cell r="Y40">
            <v>744.533168414785</v>
          </cell>
          <cell r="Z40">
            <v>71893.849385431007</v>
          </cell>
        </row>
        <row r="41">
          <cell r="A41" t="str">
            <v>WP Labuan</v>
          </cell>
          <cell r="B41">
            <v>15</v>
          </cell>
          <cell r="C41">
            <v>103.91787953249801</v>
          </cell>
          <cell r="D41">
            <v>4.9123802163404697</v>
          </cell>
          <cell r="E41">
            <v>0</v>
          </cell>
          <cell r="F41">
            <v>99.005499316157298</v>
          </cell>
          <cell r="I41">
            <v>0</v>
          </cell>
          <cell r="J41">
            <v>894.48269140067805</v>
          </cell>
          <cell r="K41">
            <v>32.070921759535203</v>
          </cell>
          <cell r="L41">
            <v>2.81236661394703</v>
          </cell>
          <cell r="M41">
            <v>3.2203052445276801</v>
          </cell>
          <cell r="N41">
            <v>531.60726643463101</v>
          </cell>
          <cell r="O41">
            <v>316.49947159849501</v>
          </cell>
          <cell r="P41">
            <v>0</v>
          </cell>
          <cell r="Q41">
            <v>8.2723597495418009</v>
          </cell>
          <cell r="R41">
            <v>23.7878027087405</v>
          </cell>
          <cell r="S41">
            <v>1508.1454902620301</v>
          </cell>
          <cell r="T41">
            <v>189.15208696111199</v>
          </cell>
          <cell r="U41">
            <v>177.25286846969701</v>
          </cell>
          <cell r="V41">
            <v>1031.7168973313801</v>
          </cell>
          <cell r="W41">
            <v>63.092041229435203</v>
          </cell>
          <cell r="X41">
            <v>46.931596270406601</v>
          </cell>
          <cell r="Y41">
            <v>20.861388581171902</v>
          </cell>
          <cell r="Z41">
            <v>2551.1952524851099</v>
          </cell>
        </row>
        <row r="42">
          <cell r="A42" t="str">
            <v>Supra1</v>
          </cell>
          <cell r="C42">
            <v>0</v>
          </cell>
          <cell r="D42">
            <v>0</v>
          </cell>
          <cell r="E42">
            <v>0</v>
          </cell>
          <cell r="F42">
            <v>0</v>
          </cell>
          <cell r="I42">
            <v>49381.376278548603</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49381.376278548603</v>
          </cell>
        </row>
        <row r="43">
          <cell r="A43" t="str">
            <v>MALAYSIA</v>
          </cell>
          <cell r="C43">
            <v>47532.734067767298</v>
          </cell>
          <cell r="D43">
            <v>33413.073072712097</v>
          </cell>
          <cell r="E43">
            <v>7898.0038836903404</v>
          </cell>
          <cell r="F43">
            <v>6221.6571113648797</v>
          </cell>
          <cell r="I43">
            <v>71275.532862738895</v>
          </cell>
          <cell r="J43">
            <v>160879.865092561</v>
          </cell>
          <cell r="K43">
            <v>14765.478604235699</v>
          </cell>
          <cell r="L43">
            <v>3588.7613681538701</v>
          </cell>
          <cell r="M43">
            <v>11352.995296090099</v>
          </cell>
          <cell r="N43">
            <v>43619.061350473203</v>
          </cell>
          <cell r="O43">
            <v>15159.986735836799</v>
          </cell>
          <cell r="P43">
            <v>52611.647444825103</v>
          </cell>
          <cell r="Q43">
            <v>19781.934292946498</v>
          </cell>
          <cell r="R43">
            <v>16022.039552136001</v>
          </cell>
          <cell r="S43">
            <v>272554.707095319</v>
          </cell>
          <cell r="T43">
            <v>53517.463456234102</v>
          </cell>
          <cell r="U43">
            <v>79607.320892545904</v>
          </cell>
          <cell r="V43">
            <v>71344.287921263298</v>
          </cell>
          <cell r="W43">
            <v>28279.774509328701</v>
          </cell>
          <cell r="X43">
            <v>39805.860315947102</v>
          </cell>
          <cell r="Y43">
            <v>5670.7731187351001</v>
          </cell>
          <cell r="Z43">
            <v>573935.651789258</v>
          </cell>
        </row>
        <row r="46">
          <cell r="A46" t="str">
            <v>CONSTANT</v>
          </cell>
          <cell r="B46" t="str">
            <v>Industry</v>
          </cell>
          <cell r="D46">
            <v>1</v>
          </cell>
          <cell r="E46">
            <v>2</v>
          </cell>
          <cell r="F46">
            <v>3</v>
          </cell>
          <cell r="I46">
            <v>4</v>
          </cell>
          <cell r="K46">
            <v>6</v>
          </cell>
          <cell r="L46">
            <v>7</v>
          </cell>
          <cell r="M46">
            <v>8</v>
          </cell>
          <cell r="N46">
            <v>9</v>
          </cell>
          <cell r="O46">
            <v>10</v>
          </cell>
          <cell r="P46">
            <v>11</v>
          </cell>
          <cell r="Q46">
            <v>12</v>
          </cell>
          <cell r="R46">
            <v>5</v>
          </cell>
          <cell r="T46">
            <v>13</v>
          </cell>
          <cell r="U46">
            <v>14</v>
          </cell>
          <cell r="V46">
            <v>15</v>
          </cell>
          <cell r="W46">
            <v>16</v>
          </cell>
        </row>
        <row r="47">
          <cell r="A47">
            <v>2007</v>
          </cell>
          <cell r="B47" t="str">
            <v>I</v>
          </cell>
          <cell r="C47" t="str">
            <v>Agriculture</v>
          </cell>
          <cell r="D47" t="str">
            <v>Tanaman</v>
          </cell>
          <cell r="E47" t="str">
            <v>Pembalakan</v>
          </cell>
          <cell r="F47" t="str">
            <v>Perikanan</v>
          </cell>
          <cell r="I47" t="str">
            <v>Mining and
Quarrying</v>
          </cell>
          <cell r="J47" t="str">
            <v>Manufacturing</v>
          </cell>
          <cell r="K47" t="str">
            <v>Prosesan Makanan, Minuman dan Produk Tembakau</v>
          </cell>
          <cell r="L47" t="str">
            <v>Tekstil, Pakaian, Kulit dan Kasut</v>
          </cell>
          <cell r="M47" t="str">
            <v>Keluaran Kayu, Perabot, Produk Kertas, Percetakan dan Penerbitan</v>
          </cell>
          <cell r="N47" t="str">
            <v>Produk Petroleum, Bahan kimia, Getah dan Plastik</v>
          </cell>
          <cell r="O47" t="str">
            <v>Produk Mineral Bukan Logam, Logam Asli dan Produk Logam Yang Direka</v>
          </cell>
          <cell r="P47" t="str">
            <v>Elektrik dan Elektronik</v>
          </cell>
          <cell r="Q47" t="str">
            <v>Kelengkapan Pengangkutan dan Pembuatan Lain</v>
          </cell>
          <cell r="R47" t="str">
            <v>Construction</v>
          </cell>
          <cell r="S47" t="str">
            <v>Services</v>
          </cell>
          <cell r="T47" t="str">
            <v>Utiliti, Transport &amp; Communication</v>
          </cell>
          <cell r="U47" t="str">
            <v>WRT, Accomm &amp; Restaurant</v>
          </cell>
          <cell r="V47" t="str">
            <v>Finance &amp; Insurance, Real Estate &amp; Business Services</v>
          </cell>
          <cell r="W47" t="str">
            <v>Other Services</v>
          </cell>
          <cell r="X47" t="str">
            <v>Government Services</v>
          </cell>
          <cell r="Y47" t="str">
            <v>Plus :
Import Duties</v>
          </cell>
          <cell r="Z47" t="str">
            <v>GDP at
Purchasers' Prices</v>
          </cell>
        </row>
        <row r="48">
          <cell r="A48" t="str">
            <v>States</v>
          </cell>
          <cell r="B48" t="str">
            <v>Converter</v>
          </cell>
        </row>
        <row r="49">
          <cell r="A49" t="str">
            <v>Johor</v>
          </cell>
          <cell r="B49" t="str">
            <v>01</v>
          </cell>
          <cell r="C49">
            <v>6349.3657705242103</v>
          </cell>
          <cell r="D49">
            <v>5808.2699370519003</v>
          </cell>
          <cell r="E49">
            <v>79.0792125512952</v>
          </cell>
          <cell r="F49">
            <v>462.016620921016</v>
          </cell>
          <cell r="I49">
            <v>50.308114023991401</v>
          </cell>
          <cell r="J49">
            <v>20662.955740858899</v>
          </cell>
          <cell r="K49">
            <v>1756.72876883768</v>
          </cell>
          <cell r="L49">
            <v>988.853119106073</v>
          </cell>
          <cell r="M49">
            <v>1698.78094702049</v>
          </cell>
          <cell r="N49">
            <v>3430.0560311125801</v>
          </cell>
          <cell r="O49">
            <v>2602.9705222851899</v>
          </cell>
          <cell r="P49">
            <v>8115.1828990002996</v>
          </cell>
          <cell r="Q49">
            <v>2070.3834534965899</v>
          </cell>
          <cell r="R49">
            <v>1578.3579918855301</v>
          </cell>
          <cell r="S49">
            <v>25304.853962464898</v>
          </cell>
          <cell r="T49">
            <v>5839.4454546452498</v>
          </cell>
          <cell r="U49">
            <v>5811.8755763071604</v>
          </cell>
          <cell r="V49">
            <v>7251.4063081114</v>
          </cell>
          <cell r="W49">
            <v>2598.36899031545</v>
          </cell>
          <cell r="X49">
            <v>3803.75763308568</v>
          </cell>
          <cell r="Y49">
            <v>739.59222796745803</v>
          </cell>
          <cell r="Z49">
            <v>54685.433807724999</v>
          </cell>
        </row>
        <row r="50">
          <cell r="A50" t="str">
            <v>Kedah</v>
          </cell>
          <cell r="B50" t="str">
            <v>02</v>
          </cell>
          <cell r="C50">
            <v>2681.6603907225199</v>
          </cell>
          <cell r="D50">
            <v>2281.3547506852001</v>
          </cell>
          <cell r="E50">
            <v>79.154656509836201</v>
          </cell>
          <cell r="F50">
            <v>321.15098352748799</v>
          </cell>
          <cell r="I50">
            <v>18.048528269871898</v>
          </cell>
          <cell r="J50">
            <v>7717.7993422172503</v>
          </cell>
          <cell r="K50">
            <v>252.925225481008</v>
          </cell>
          <cell r="L50">
            <v>118.930796638589</v>
          </cell>
          <cell r="M50">
            <v>485.85067829856001</v>
          </cell>
          <cell r="N50">
            <v>1496.75131325198</v>
          </cell>
          <cell r="O50">
            <v>1922.74280889636</v>
          </cell>
          <cell r="P50">
            <v>2349.8292298206802</v>
          </cell>
          <cell r="Q50">
            <v>1090.76928983007</v>
          </cell>
          <cell r="R50">
            <v>521.15096311709794</v>
          </cell>
          <cell r="S50">
            <v>9968.1473960035892</v>
          </cell>
          <cell r="T50">
            <v>1465.2200967916699</v>
          </cell>
          <cell r="U50">
            <v>2500.0247093693201</v>
          </cell>
          <cell r="V50">
            <v>1870.7963414210999</v>
          </cell>
          <cell r="W50">
            <v>1688.8790381625899</v>
          </cell>
          <cell r="X50">
            <v>2443.22721025891</v>
          </cell>
          <cell r="Y50">
            <v>126.538108157175</v>
          </cell>
          <cell r="Z50">
            <v>21033.3447284875</v>
          </cell>
        </row>
        <row r="51">
          <cell r="A51" t="str">
            <v>Kelantan</v>
          </cell>
          <cell r="B51" t="str">
            <v>03</v>
          </cell>
          <cell r="C51">
            <v>2988.7129664602498</v>
          </cell>
          <cell r="D51">
            <v>2097.8035475390798</v>
          </cell>
          <cell r="E51">
            <v>572.17552894220898</v>
          </cell>
          <cell r="F51">
            <v>318.73388997897001</v>
          </cell>
          <cell r="I51">
            <v>15.710270641353601</v>
          </cell>
          <cell r="J51">
            <v>537.90648847254704</v>
          </cell>
          <cell r="K51">
            <v>96.399194471998797</v>
          </cell>
          <cell r="L51">
            <v>46.681899118575501</v>
          </cell>
          <cell r="M51">
            <v>78.934399314953197</v>
          </cell>
          <cell r="N51">
            <v>83.535215787313703</v>
          </cell>
          <cell r="O51">
            <v>69.699584234307693</v>
          </cell>
          <cell r="P51">
            <v>156.971996648622</v>
          </cell>
          <cell r="Q51">
            <v>5.6841988967758397</v>
          </cell>
          <cell r="R51">
            <v>159.05485305821901</v>
          </cell>
          <cell r="S51">
            <v>6766.5601079339303</v>
          </cell>
          <cell r="T51">
            <v>786.65685698242498</v>
          </cell>
          <cell r="U51">
            <v>1883.1208029351501</v>
          </cell>
          <cell r="V51">
            <v>786.64393343559505</v>
          </cell>
          <cell r="W51">
            <v>1204.0097242068</v>
          </cell>
          <cell r="X51">
            <v>2106.1287903739599</v>
          </cell>
          <cell r="Y51">
            <v>14.4581579747896</v>
          </cell>
          <cell r="Z51">
            <v>10482.4028445411</v>
          </cell>
        </row>
        <row r="52">
          <cell r="A52" t="str">
            <v>Melaka</v>
          </cell>
          <cell r="B52" t="str">
            <v>04</v>
          </cell>
          <cell r="C52">
            <v>1049.9837590642601</v>
          </cell>
          <cell r="D52">
            <v>1036.4500888858199</v>
          </cell>
          <cell r="E52">
            <v>0.58264125883405904</v>
          </cell>
          <cell r="F52">
            <v>12.9510289196058</v>
          </cell>
          <cell r="I52">
            <v>7.98779466684553</v>
          </cell>
          <cell r="J52">
            <v>8495.9522896870403</v>
          </cell>
          <cell r="K52">
            <v>265.28598560224799</v>
          </cell>
          <cell r="L52">
            <v>93.947205754062097</v>
          </cell>
          <cell r="M52">
            <v>401.35151395285902</v>
          </cell>
          <cell r="N52">
            <v>3658.3887184694499</v>
          </cell>
          <cell r="O52">
            <v>546.88640353950905</v>
          </cell>
          <cell r="P52">
            <v>2514.1167378508499</v>
          </cell>
          <cell r="Q52">
            <v>1015.97572451806</v>
          </cell>
          <cell r="R52">
            <v>486.11974578698698</v>
          </cell>
          <cell r="S52">
            <v>7350.2047891623797</v>
          </cell>
          <cell r="T52">
            <v>1371.85733650064</v>
          </cell>
          <cell r="U52">
            <v>2351.0636468129901</v>
          </cell>
          <cell r="V52">
            <v>1496.3650172185701</v>
          </cell>
          <cell r="W52">
            <v>1007.31359768512</v>
          </cell>
          <cell r="X52">
            <v>1123.60519094505</v>
          </cell>
          <cell r="Y52">
            <v>31.9292935891485</v>
          </cell>
          <cell r="Z52">
            <v>17422.177671956699</v>
          </cell>
        </row>
        <row r="53">
          <cell r="A53" t="str">
            <v>Negeri Sembilan</v>
          </cell>
          <cell r="B53" t="str">
            <v>05</v>
          </cell>
          <cell r="C53">
            <v>1770.6233661952101</v>
          </cell>
          <cell r="D53">
            <v>1702.80162306191</v>
          </cell>
          <cell r="E53">
            <v>41.518276393251803</v>
          </cell>
          <cell r="F53">
            <v>26.303466740056901</v>
          </cell>
          <cell r="I53">
            <v>19.103149644530198</v>
          </cell>
          <cell r="J53">
            <v>11876.644437962301</v>
          </cell>
          <cell r="K53">
            <v>1118.78312439362</v>
          </cell>
          <cell r="L53">
            <v>406.62483738666202</v>
          </cell>
          <cell r="M53">
            <v>291.25893633818401</v>
          </cell>
          <cell r="N53">
            <v>3281.3416445077401</v>
          </cell>
          <cell r="O53">
            <v>686.51747334415302</v>
          </cell>
          <cell r="P53">
            <v>5160.4372561523696</v>
          </cell>
          <cell r="Q53">
            <v>931.68116583958601</v>
          </cell>
          <cell r="R53">
            <v>436.29066325689598</v>
          </cell>
          <cell r="S53">
            <v>8498.4753985162897</v>
          </cell>
          <cell r="T53">
            <v>2047.1081753559299</v>
          </cell>
          <cell r="U53">
            <v>2033.4067647075999</v>
          </cell>
          <cell r="V53">
            <v>1784.82670661518</v>
          </cell>
          <cell r="W53">
            <v>1138.59781318774</v>
          </cell>
          <cell r="X53">
            <v>1494.5359386498501</v>
          </cell>
          <cell r="Y53">
            <v>78.836902799825495</v>
          </cell>
          <cell r="Z53">
            <v>22679.973918375101</v>
          </cell>
        </row>
        <row r="54">
          <cell r="A54" t="str">
            <v>Pahang</v>
          </cell>
          <cell r="B54" t="str">
            <v>06</v>
          </cell>
          <cell r="C54">
            <v>5207.54037658779</v>
          </cell>
          <cell r="D54">
            <v>4368.3243974929601</v>
          </cell>
          <cell r="E54">
            <v>400.01817065452002</v>
          </cell>
          <cell r="F54">
            <v>439.19780844030601</v>
          </cell>
          <cell r="I54">
            <v>110.407340119764</v>
          </cell>
          <cell r="J54">
            <v>7052.7335097852501</v>
          </cell>
          <cell r="K54">
            <v>793.67946193545697</v>
          </cell>
          <cell r="L54">
            <v>13.2098045795034</v>
          </cell>
          <cell r="M54">
            <v>511.57602066974903</v>
          </cell>
          <cell r="N54">
            <v>3542.19593617597</v>
          </cell>
          <cell r="O54">
            <v>870.32067885000401</v>
          </cell>
          <cell r="P54">
            <v>93.829584834300505</v>
          </cell>
          <cell r="Q54">
            <v>1227.92202274027</v>
          </cell>
          <cell r="R54">
            <v>575.74558463116296</v>
          </cell>
          <cell r="S54">
            <v>12236.1682959067</v>
          </cell>
          <cell r="T54">
            <v>1281.8832281131999</v>
          </cell>
          <cell r="U54">
            <v>3866.03114623686</v>
          </cell>
          <cell r="V54">
            <v>1604.46618497587</v>
          </cell>
          <cell r="W54">
            <v>3077.50138415018</v>
          </cell>
          <cell r="X54">
            <v>2406.2863524306299</v>
          </cell>
          <cell r="Y54">
            <v>23.630568770153999</v>
          </cell>
          <cell r="Z54">
            <v>25206.225675800899</v>
          </cell>
        </row>
        <row r="55">
          <cell r="A55" t="str">
            <v>Pulau Pinang</v>
          </cell>
          <cell r="B55" t="str">
            <v>07</v>
          </cell>
          <cell r="C55">
            <v>721.068295417321</v>
          </cell>
          <cell r="D55">
            <v>528.12971383671402</v>
          </cell>
          <cell r="E55">
            <v>0</v>
          </cell>
          <cell r="F55">
            <v>192.93858158060701</v>
          </cell>
          <cell r="I55">
            <v>18.698428464636802</v>
          </cell>
          <cell r="J55">
            <v>25374.425811071502</v>
          </cell>
          <cell r="K55">
            <v>725.79384748207804</v>
          </cell>
          <cell r="L55">
            <v>464.03104921610401</v>
          </cell>
          <cell r="M55">
            <v>690.11560317322505</v>
          </cell>
          <cell r="N55">
            <v>1425.81977742506</v>
          </cell>
          <cell r="O55">
            <v>1800.06727154696</v>
          </cell>
          <cell r="P55">
            <v>18771.124317587</v>
          </cell>
          <cell r="Q55">
            <v>1497.4739446410399</v>
          </cell>
          <cell r="R55">
            <v>923.972218119172</v>
          </cell>
          <cell r="S55">
            <v>18924.920131515799</v>
          </cell>
          <cell r="T55">
            <v>3973.0755685437698</v>
          </cell>
          <cell r="U55">
            <v>5392.7054314427696</v>
          </cell>
          <cell r="V55">
            <v>5508.7005816316196</v>
          </cell>
          <cell r="W55">
            <v>1911.5996518095899</v>
          </cell>
          <cell r="X55">
            <v>2138.83889808807</v>
          </cell>
          <cell r="Y55">
            <v>262.77374224584599</v>
          </cell>
          <cell r="Z55">
            <v>46225.858626834299</v>
          </cell>
        </row>
        <row r="56">
          <cell r="A56" t="str">
            <v>Perak</v>
          </cell>
          <cell r="B56" t="str">
            <v>08</v>
          </cell>
          <cell r="C56">
            <v>5003.4977094698897</v>
          </cell>
          <cell r="D56">
            <v>3577.4709326095599</v>
          </cell>
          <cell r="E56">
            <v>382.87724616087002</v>
          </cell>
          <cell r="F56">
            <v>1043.14953069946</v>
          </cell>
          <cell r="I56">
            <v>105.414134490443</v>
          </cell>
          <cell r="J56">
            <v>6342.8197348897502</v>
          </cell>
          <cell r="K56">
            <v>1120.9841164311499</v>
          </cell>
          <cell r="L56">
            <v>199.42829060343499</v>
          </cell>
          <cell r="M56">
            <v>361.40863547805401</v>
          </cell>
          <cell r="N56">
            <v>1406.8212619763201</v>
          </cell>
          <cell r="O56">
            <v>1246.3615341428499</v>
          </cell>
          <cell r="P56">
            <v>1810.5647554305899</v>
          </cell>
          <cell r="Q56">
            <v>197.25114082734001</v>
          </cell>
          <cell r="R56">
            <v>555.25395563238396</v>
          </cell>
          <cell r="S56">
            <v>19017.035418304898</v>
          </cell>
          <cell r="T56">
            <v>5697.3911822560704</v>
          </cell>
          <cell r="U56">
            <v>4166.3452481063896</v>
          </cell>
          <cell r="V56">
            <v>3485.6780340405498</v>
          </cell>
          <cell r="W56">
            <v>2500.7837572722001</v>
          </cell>
          <cell r="X56">
            <v>3166.83719662971</v>
          </cell>
          <cell r="Y56">
            <v>24.3253411075065</v>
          </cell>
          <cell r="Z56">
            <v>31048.346293894901</v>
          </cell>
        </row>
        <row r="57">
          <cell r="A57" t="str">
            <v>Perlis</v>
          </cell>
          <cell r="B57" t="str">
            <v>09</v>
          </cell>
          <cell r="C57">
            <v>931.79704357876005</v>
          </cell>
          <cell r="D57">
            <v>248.23547787447899</v>
          </cell>
          <cell r="E57">
            <v>0</v>
          </cell>
          <cell r="F57">
            <v>683.56156570428095</v>
          </cell>
          <cell r="I57">
            <v>7.4425580879539597</v>
          </cell>
          <cell r="J57">
            <v>323.54139109524999</v>
          </cell>
          <cell r="K57">
            <v>66.078185598306703</v>
          </cell>
          <cell r="L57">
            <v>54.4519823296705</v>
          </cell>
          <cell r="M57">
            <v>2.9248195937792199</v>
          </cell>
          <cell r="N57">
            <v>101.233212222342</v>
          </cell>
          <cell r="O57">
            <v>98.320881505098797</v>
          </cell>
          <cell r="P57">
            <v>0.49688848380050199</v>
          </cell>
          <cell r="Q57">
            <v>3.5421362252201397E-2</v>
          </cell>
          <cell r="R57">
            <v>100.16881163801</v>
          </cell>
          <cell r="S57">
            <v>1700.29697532553</v>
          </cell>
          <cell r="T57">
            <v>604.087228728686</v>
          </cell>
          <cell r="U57">
            <v>226.621894294848</v>
          </cell>
          <cell r="V57">
            <v>194.98952736590999</v>
          </cell>
          <cell r="W57">
            <v>229.415892507992</v>
          </cell>
          <cell r="X57">
            <v>445.18243242809399</v>
          </cell>
          <cell r="Y57">
            <v>93.609572609995396</v>
          </cell>
          <cell r="Z57">
            <v>3156.8563523355001</v>
          </cell>
        </row>
        <row r="58">
          <cell r="A58" t="str">
            <v>Selangor</v>
          </cell>
          <cell r="B58">
            <v>10</v>
          </cell>
          <cell r="C58">
            <v>1926.0780961645701</v>
          </cell>
          <cell r="D58">
            <v>1398.0401864160799</v>
          </cell>
          <cell r="E58">
            <v>16.198665220584299</v>
          </cell>
          <cell r="F58">
            <v>511.83924452790802</v>
          </cell>
          <cell r="I58">
            <v>120.5394268836</v>
          </cell>
          <cell r="J58">
            <v>42879.553169723098</v>
          </cell>
          <cell r="K58">
            <v>6111.6100244311201</v>
          </cell>
          <cell r="L58">
            <v>391.82056836067602</v>
          </cell>
          <cell r="M58">
            <v>3468.01000850225</v>
          </cell>
          <cell r="N58">
            <v>4981.8207564943596</v>
          </cell>
          <cell r="O58">
            <v>5479.2930119938301</v>
          </cell>
          <cell r="P58">
            <v>12587.810554621499</v>
          </cell>
          <cell r="Q58">
            <v>9859.1882453193593</v>
          </cell>
          <cell r="R58">
            <v>5962.5217317796596</v>
          </cell>
          <cell r="S58">
            <v>74001.307601711698</v>
          </cell>
          <cell r="T58">
            <v>18524.120851202999</v>
          </cell>
          <cell r="U58">
            <v>24902.310037468</v>
          </cell>
          <cell r="V58">
            <v>18393.353533098099</v>
          </cell>
          <cell r="W58">
            <v>6368.1460691981501</v>
          </cell>
          <cell r="X58">
            <v>5813.3771107443699</v>
          </cell>
          <cell r="Y58">
            <v>3278.9835681526201</v>
          </cell>
          <cell r="Z58">
            <v>128168.983594415</v>
          </cell>
        </row>
        <row r="59">
          <cell r="A59" t="str">
            <v>Terengganu</v>
          </cell>
          <cell r="B59">
            <v>11</v>
          </cell>
          <cell r="C59">
            <v>1632.03023518903</v>
          </cell>
          <cell r="D59">
            <v>1213.60403151183</v>
          </cell>
          <cell r="E59">
            <v>115.89749741553899</v>
          </cell>
          <cell r="F59">
            <v>302.52870626165799</v>
          </cell>
          <cell r="I59">
            <v>8.4853156375849998</v>
          </cell>
          <cell r="J59">
            <v>7757.7226199588704</v>
          </cell>
          <cell r="K59">
            <v>88.477375724607299</v>
          </cell>
          <cell r="L59">
            <v>30.998203227151102</v>
          </cell>
          <cell r="M59">
            <v>159.00427529570399</v>
          </cell>
          <cell r="N59">
            <v>6889.1668489984704</v>
          </cell>
          <cell r="O59">
            <v>518.66213133559404</v>
          </cell>
          <cell r="P59">
            <v>2.1352792242413798</v>
          </cell>
          <cell r="Q59">
            <v>69.2785061531022</v>
          </cell>
          <cell r="R59">
            <v>603.41107275533398</v>
          </cell>
          <cell r="S59">
            <v>8102.3395455419704</v>
          </cell>
          <cell r="T59">
            <v>3243.2024056691098</v>
          </cell>
          <cell r="U59">
            <v>1394.7085072134</v>
          </cell>
          <cell r="V59">
            <v>694.77328642060502</v>
          </cell>
          <cell r="W59">
            <v>811.97478768015003</v>
          </cell>
          <cell r="X59">
            <v>1957.6805585587099</v>
          </cell>
          <cell r="Y59">
            <v>18.347235427577601</v>
          </cell>
          <cell r="Z59">
            <v>18122.336024510401</v>
          </cell>
        </row>
        <row r="60">
          <cell r="A60" t="str">
            <v>Sabah</v>
          </cell>
          <cell r="B60">
            <v>12</v>
          </cell>
          <cell r="C60">
            <v>10473.6851868717</v>
          </cell>
          <cell r="D60">
            <v>6649.4434108846299</v>
          </cell>
          <cell r="E60">
            <v>2350.7109363234599</v>
          </cell>
          <cell r="F60">
            <v>1473.5308396635801</v>
          </cell>
          <cell r="I60">
            <v>4337.8093032542602</v>
          </cell>
          <cell r="J60">
            <v>3333.3739198400399</v>
          </cell>
          <cell r="K60">
            <v>1798.1778391012499</v>
          </cell>
          <cell r="L60">
            <v>25.6433466475467</v>
          </cell>
          <cell r="M60">
            <v>951.56155341564397</v>
          </cell>
          <cell r="N60">
            <v>135.53863364202101</v>
          </cell>
          <cell r="O60">
            <v>271.05142728774501</v>
          </cell>
          <cell r="P60">
            <v>5.4930951319208701</v>
          </cell>
          <cell r="Q60">
            <v>145.908024613919</v>
          </cell>
          <cell r="R60">
            <v>840.29687091461801</v>
          </cell>
          <cell r="S60">
            <v>16185.047988680901</v>
          </cell>
          <cell r="T60">
            <v>2960.43603328276</v>
          </cell>
          <cell r="U60">
            <v>4960.1351085597598</v>
          </cell>
          <cell r="V60">
            <v>3615.4442009204899</v>
          </cell>
          <cell r="W60">
            <v>1512.9524147253101</v>
          </cell>
          <cell r="X60">
            <v>3136.08023119257</v>
          </cell>
          <cell r="Y60">
            <v>147.46786560562299</v>
          </cell>
          <cell r="Z60">
            <v>35317.681135167099</v>
          </cell>
        </row>
        <row r="61">
          <cell r="A61" t="str">
            <v>Sarawak</v>
          </cell>
          <cell r="B61">
            <v>13</v>
          </cell>
          <cell r="C61">
            <v>7345.8647333568897</v>
          </cell>
          <cell r="D61">
            <v>3002.2261686759002</v>
          </cell>
          <cell r="E61">
            <v>3887.7395540604298</v>
          </cell>
          <cell r="F61">
            <v>455.89901062055998</v>
          </cell>
          <cell r="I61">
            <v>17638.187917930001</v>
          </cell>
          <cell r="J61">
            <v>18773.714830696699</v>
          </cell>
          <cell r="K61">
            <v>546.06391167258596</v>
          </cell>
          <cell r="L61">
            <v>18.795457030879</v>
          </cell>
          <cell r="M61">
            <v>2067.6013768422699</v>
          </cell>
          <cell r="N61">
            <v>14494.2306334652</v>
          </cell>
          <cell r="O61">
            <v>512.61185664636503</v>
          </cell>
          <cell r="P61">
            <v>561.256735586579</v>
          </cell>
          <cell r="Q61">
            <v>573.15485945285502</v>
          </cell>
          <cell r="R61">
            <v>1622.8423701986801</v>
          </cell>
          <cell r="S61">
            <v>19659.2988161182</v>
          </cell>
          <cell r="T61">
            <v>4623.3250709520198</v>
          </cell>
          <cell r="U61">
            <v>5117.2655804817005</v>
          </cell>
          <cell r="V61">
            <v>4783.3485571312603</v>
          </cell>
          <cell r="W61">
            <v>2046.85884014463</v>
          </cell>
          <cell r="X61">
            <v>3088.50076740861</v>
          </cell>
          <cell r="Y61">
            <v>243.33206775263201</v>
          </cell>
          <cell r="Z61">
            <v>65283.2407360531</v>
          </cell>
        </row>
        <row r="62">
          <cell r="A62" t="str">
            <v>WP Kuala Lumpur</v>
          </cell>
          <cell r="B62">
            <v>14</v>
          </cell>
          <cell r="C62">
            <v>2.10811167021367</v>
          </cell>
          <cell r="D62">
            <v>2.10811167021367</v>
          </cell>
          <cell r="E62">
            <v>0</v>
          </cell>
          <cell r="F62">
            <v>0</v>
          </cell>
          <cell r="I62">
            <v>26.115905406038401</v>
          </cell>
          <cell r="J62">
            <v>3910.5714731828598</v>
          </cell>
          <cell r="K62">
            <v>386.20834435930999</v>
          </cell>
          <cell r="L62">
            <v>405.675185998367</v>
          </cell>
          <cell r="M62">
            <v>1120.099688883</v>
          </cell>
          <cell r="N62">
            <v>488.72544545218102</v>
          </cell>
          <cell r="O62">
            <v>579.28053505736602</v>
          </cell>
          <cell r="P62">
            <v>403.047947818924</v>
          </cell>
          <cell r="Q62">
            <v>527.53432561371005</v>
          </cell>
          <cell r="R62">
            <v>3007.1003220847301</v>
          </cell>
          <cell r="S62">
            <v>70519.619051935195</v>
          </cell>
          <cell r="T62">
            <v>4793.4802553273303</v>
          </cell>
          <cell r="U62">
            <v>26592.6088788696</v>
          </cell>
          <cell r="V62">
            <v>27016.7380854943</v>
          </cell>
          <cell r="W62">
            <v>3798.2641140737701</v>
          </cell>
          <cell r="X62">
            <v>8318.5277181701003</v>
          </cell>
          <cell r="Y62">
            <v>836.53238728178405</v>
          </cell>
          <cell r="Z62">
            <v>78302.047251560798</v>
          </cell>
        </row>
        <row r="63">
          <cell r="A63" t="str">
            <v>WP Labuan</v>
          </cell>
          <cell r="B63">
            <v>15</v>
          </cell>
          <cell r="C63">
            <v>103.865070873119</v>
          </cell>
          <cell r="D63">
            <v>6.7124170983965996</v>
          </cell>
          <cell r="E63">
            <v>0</v>
          </cell>
          <cell r="F63">
            <v>97.152653774722395</v>
          </cell>
          <cell r="I63">
            <v>0</v>
          </cell>
          <cell r="J63">
            <v>839.74064273709098</v>
          </cell>
          <cell r="K63">
            <v>22.786079043617999</v>
          </cell>
          <cell r="L63">
            <v>2.3822621176249501</v>
          </cell>
          <cell r="M63">
            <v>1.6646989143698101</v>
          </cell>
          <cell r="N63">
            <v>386.54407577023301</v>
          </cell>
          <cell r="O63">
            <v>413.81621392384602</v>
          </cell>
          <cell r="P63">
            <v>0</v>
          </cell>
          <cell r="Q63">
            <v>12.547312967399</v>
          </cell>
          <cell r="R63">
            <v>18.286791709978299</v>
          </cell>
          <cell r="S63">
            <v>1699.0669193485401</v>
          </cell>
          <cell r="T63">
            <v>191.114127334313</v>
          </cell>
          <cell r="U63">
            <v>206.74804917637601</v>
          </cell>
          <cell r="V63">
            <v>1185.6698268964899</v>
          </cell>
          <cell r="W63">
            <v>63.861886646380597</v>
          </cell>
          <cell r="X63">
            <v>51.673029294981802</v>
          </cell>
          <cell r="Y63">
            <v>17.074881227044699</v>
          </cell>
          <cell r="Z63">
            <v>2678.0343058957801</v>
          </cell>
        </row>
        <row r="64">
          <cell r="A64" t="str">
            <v>Supra1</v>
          </cell>
          <cell r="C64">
            <v>0</v>
          </cell>
          <cell r="D64">
            <v>0</v>
          </cell>
          <cell r="E64">
            <v>0</v>
          </cell>
          <cell r="F64">
            <v>0</v>
          </cell>
          <cell r="I64">
            <v>50274.226086704599</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50274.226086704599</v>
          </cell>
        </row>
        <row r="65">
          <cell r="A65" t="str">
            <v>MALAYSIA</v>
          </cell>
          <cell r="C65">
            <v>48187.881112145697</v>
          </cell>
          <cell r="D65">
            <v>33920.9747952947</v>
          </cell>
          <cell r="E65">
            <v>7925.9523854908302</v>
          </cell>
          <cell r="F65">
            <v>6340.9539313602199</v>
          </cell>
          <cell r="I65">
            <v>72758.484274225499</v>
          </cell>
          <cell r="J65">
            <v>165879.45540217799</v>
          </cell>
          <cell r="K65">
            <v>15149.981484566</v>
          </cell>
          <cell r="L65">
            <v>3261.4740081149198</v>
          </cell>
          <cell r="M65">
            <v>12290.1431556931</v>
          </cell>
          <cell r="N65">
            <v>45802.169504751197</v>
          </cell>
          <cell r="O65">
            <v>17618.602334589199</v>
          </cell>
          <cell r="P65">
            <v>52532.297278191698</v>
          </cell>
          <cell r="Q65">
            <v>19224.7876362723</v>
          </cell>
          <cell r="R65">
            <v>17390.5739465685</v>
          </cell>
          <cell r="S65">
            <v>299933.34239847102</v>
          </cell>
          <cell r="T65">
            <v>57402.403871686198</v>
          </cell>
          <cell r="U65">
            <v>91404.971381981901</v>
          </cell>
          <cell r="V65">
            <v>79673.200124777097</v>
          </cell>
          <cell r="W65">
            <v>29958.5279617661</v>
          </cell>
          <cell r="X65">
            <v>41494.2390582593</v>
          </cell>
          <cell r="Y65">
            <v>5937.4319206691798</v>
          </cell>
          <cell r="Z65">
            <v>610087.16905425803</v>
          </cell>
        </row>
        <row r="68">
          <cell r="A68" t="str">
            <v>CONSTANT</v>
          </cell>
          <cell r="B68" t="str">
            <v>Industry</v>
          </cell>
          <cell r="D68">
            <v>1</v>
          </cell>
          <cell r="E68">
            <v>2</v>
          </cell>
          <cell r="F68">
            <v>3</v>
          </cell>
          <cell r="I68">
            <v>4</v>
          </cell>
          <cell r="K68">
            <v>6</v>
          </cell>
          <cell r="L68">
            <v>7</v>
          </cell>
          <cell r="M68">
            <v>8</v>
          </cell>
          <cell r="N68">
            <v>9</v>
          </cell>
          <cell r="O68">
            <v>10</v>
          </cell>
          <cell r="P68">
            <v>11</v>
          </cell>
          <cell r="Q68">
            <v>12</v>
          </cell>
          <cell r="R68">
            <v>5</v>
          </cell>
          <cell r="T68">
            <v>13</v>
          </cell>
          <cell r="U68">
            <v>14</v>
          </cell>
          <cell r="V68">
            <v>15</v>
          </cell>
          <cell r="W68">
            <v>16</v>
          </cell>
        </row>
        <row r="69">
          <cell r="A69">
            <v>2008</v>
          </cell>
          <cell r="B69" t="str">
            <v>I</v>
          </cell>
          <cell r="C69" t="str">
            <v>Agriculture</v>
          </cell>
          <cell r="D69" t="str">
            <v>Tanaman</v>
          </cell>
          <cell r="E69" t="str">
            <v>Pembalakan</v>
          </cell>
          <cell r="F69" t="str">
            <v>Perikanan</v>
          </cell>
          <cell r="I69" t="str">
            <v>Mining and
Quarrying</v>
          </cell>
          <cell r="J69" t="str">
            <v>Manufacturing</v>
          </cell>
          <cell r="K69" t="str">
            <v>Prosesan Makanan, Minuman dan Produk Tembakau</v>
          </cell>
          <cell r="L69" t="str">
            <v>Tekstil, Pakaian, Kulit dan Kasut</v>
          </cell>
          <cell r="M69" t="str">
            <v>Keluaran Kayu, Perabot, Produk Kertas, Percetakan dan Penerbitan</v>
          </cell>
          <cell r="N69" t="str">
            <v>Produk Petroleum, Bahan kimia, Getah dan Plastik</v>
          </cell>
          <cell r="O69" t="str">
            <v>Produk Mineral Bukan Logam, Logam Asli dan Produk Logam Yang Direka</v>
          </cell>
          <cell r="P69" t="str">
            <v>Elektrik dan Elektronik</v>
          </cell>
          <cell r="Q69" t="str">
            <v>Kelengkapan Pengangkutan dan Pembuatan Lain</v>
          </cell>
          <cell r="R69" t="str">
            <v>Construction</v>
          </cell>
          <cell r="S69" t="str">
            <v>Services</v>
          </cell>
          <cell r="T69" t="str">
            <v>Utiliti, Transport &amp; Communication</v>
          </cell>
          <cell r="U69" t="str">
            <v>WRT, Accomm &amp; Restaurant</v>
          </cell>
          <cell r="V69" t="str">
            <v>Finance &amp; Insurance, Real Estate &amp; Business Services</v>
          </cell>
          <cell r="W69" t="str">
            <v>Other Services</v>
          </cell>
          <cell r="X69" t="str">
            <v>Government Services</v>
          </cell>
          <cell r="Y69" t="str">
            <v>Plus :
Import Duties</v>
          </cell>
          <cell r="Z69" t="str">
            <v>GDP at
Purchasers' Prices</v>
          </cell>
        </row>
        <row r="70">
          <cell r="A70" t="str">
            <v>States</v>
          </cell>
          <cell r="B70" t="str">
            <v>Converter</v>
          </cell>
        </row>
        <row r="71">
          <cell r="A71" t="str">
            <v>Johor</v>
          </cell>
          <cell r="B71" t="str">
            <v>01</v>
          </cell>
          <cell r="C71">
            <v>7170.5642833848297</v>
          </cell>
          <cell r="D71">
            <v>6552.3323969553603</v>
          </cell>
          <cell r="E71">
            <v>53.570652274507502</v>
          </cell>
          <cell r="F71">
            <v>564.66123415495804</v>
          </cell>
          <cell r="I71">
            <v>53.974312406284497</v>
          </cell>
          <cell r="J71">
            <v>20027.698931422499</v>
          </cell>
          <cell r="K71">
            <v>2237.44821476371</v>
          </cell>
          <cell r="L71">
            <v>886.10036568846795</v>
          </cell>
          <cell r="M71">
            <v>1629.6346386585401</v>
          </cell>
          <cell r="N71">
            <v>3795.0370578501402</v>
          </cell>
          <cell r="O71">
            <v>2785.61796350646</v>
          </cell>
          <cell r="P71">
            <v>6962.8762218903703</v>
          </cell>
          <cell r="Q71">
            <v>1730.9844690647899</v>
          </cell>
          <cell r="R71">
            <v>1597.09857176644</v>
          </cell>
          <cell r="S71">
            <v>27296.435615271399</v>
          </cell>
          <cell r="T71">
            <v>6090.7424245899101</v>
          </cell>
          <cell r="U71">
            <v>6594.7816774399598</v>
          </cell>
          <cell r="V71">
            <v>7868.2839034950102</v>
          </cell>
          <cell r="W71">
            <v>2685.0853995655002</v>
          </cell>
          <cell r="X71">
            <v>4057.54221018098</v>
          </cell>
          <cell r="Y71">
            <v>844.05037865614395</v>
          </cell>
          <cell r="Z71">
            <v>56989.822092907503</v>
          </cell>
        </row>
        <row r="72">
          <cell r="A72" t="str">
            <v>Kedah</v>
          </cell>
          <cell r="B72" t="str">
            <v>02</v>
          </cell>
          <cell r="C72">
            <v>2748.1771608968802</v>
          </cell>
          <cell r="D72">
            <v>2288.3694176890999</v>
          </cell>
          <cell r="E72">
            <v>111.010602879665</v>
          </cell>
          <cell r="F72">
            <v>348.797140328117</v>
          </cell>
          <cell r="I72">
            <v>18.239695550862301</v>
          </cell>
          <cell r="J72">
            <v>6957.01496376864</v>
          </cell>
          <cell r="K72">
            <v>312.23867581872599</v>
          </cell>
          <cell r="L72">
            <v>58.534298160208799</v>
          </cell>
          <cell r="M72">
            <v>433.20309421368199</v>
          </cell>
          <cell r="N72">
            <v>1355.4752458636899</v>
          </cell>
          <cell r="O72">
            <v>2010.05922817587</v>
          </cell>
          <cell r="P72">
            <v>1883.5947183666101</v>
          </cell>
          <cell r="Q72">
            <v>903.90970316987</v>
          </cell>
          <cell r="R72">
            <v>571.38911527631399</v>
          </cell>
          <cell r="S72">
            <v>10774.2800166954</v>
          </cell>
          <cell r="T72">
            <v>1586.08816408142</v>
          </cell>
          <cell r="U72">
            <v>2801.87031589756</v>
          </cell>
          <cell r="V72">
            <v>2035.2337212831801</v>
          </cell>
          <cell r="W72">
            <v>1798.1172809443001</v>
          </cell>
          <cell r="X72">
            <v>2552.9705344889198</v>
          </cell>
          <cell r="Y72">
            <v>139.64890039374501</v>
          </cell>
          <cell r="Z72">
            <v>21208.749852581801</v>
          </cell>
        </row>
        <row r="73">
          <cell r="A73" t="str">
            <v>Kelantan</v>
          </cell>
          <cell r="B73" t="str">
            <v>03</v>
          </cell>
          <cell r="C73">
            <v>3027.6310674799702</v>
          </cell>
          <cell r="D73">
            <v>2152.0116431654001</v>
          </cell>
          <cell r="E73">
            <v>606.16328206114895</v>
          </cell>
          <cell r="F73">
            <v>269.45614225342302</v>
          </cell>
          <cell r="I73">
            <v>15.925022656613001</v>
          </cell>
          <cell r="J73">
            <v>572.15677675997199</v>
          </cell>
          <cell r="K73">
            <v>99.081637376973802</v>
          </cell>
          <cell r="L73">
            <v>51.710970220077101</v>
          </cell>
          <cell r="M73">
            <v>72.546847023653996</v>
          </cell>
          <cell r="N73">
            <v>83.620713062007098</v>
          </cell>
          <cell r="O73">
            <v>54.650643089896597</v>
          </cell>
          <cell r="P73">
            <v>201.49060798824399</v>
          </cell>
          <cell r="Q73">
            <v>9.0553579991195896</v>
          </cell>
          <cell r="R73">
            <v>175.86575138221801</v>
          </cell>
          <cell r="S73">
            <v>7393.6547099700801</v>
          </cell>
          <cell r="T73">
            <v>824.08031562158999</v>
          </cell>
          <cell r="U73">
            <v>2057.9749224587299</v>
          </cell>
          <cell r="V73">
            <v>920.86422992535597</v>
          </cell>
          <cell r="W73">
            <v>1262.6577309111999</v>
          </cell>
          <cell r="X73">
            <v>2328.0775110531999</v>
          </cell>
          <cell r="Y73">
            <v>18.0995391250277</v>
          </cell>
          <cell r="Z73">
            <v>11203.3328673739</v>
          </cell>
        </row>
        <row r="74">
          <cell r="A74" t="str">
            <v>Melaka</v>
          </cell>
          <cell r="B74" t="str">
            <v>04</v>
          </cell>
          <cell r="C74">
            <v>1252.3213332514199</v>
          </cell>
          <cell r="D74">
            <v>1225.31767718993</v>
          </cell>
          <cell r="E74">
            <v>0.27325933110072698</v>
          </cell>
          <cell r="F74">
            <v>26.730396730389899</v>
          </cell>
          <cell r="I74">
            <v>8.1132989453658606</v>
          </cell>
          <cell r="J74">
            <v>8527.0481185479202</v>
          </cell>
          <cell r="K74">
            <v>342.85015923026702</v>
          </cell>
          <cell r="L74">
            <v>189.85552542873799</v>
          </cell>
          <cell r="M74">
            <v>401.68897417256602</v>
          </cell>
          <cell r="N74">
            <v>3249.9228676149</v>
          </cell>
          <cell r="O74">
            <v>594.37140616983504</v>
          </cell>
          <cell r="P74">
            <v>2223.9017940836602</v>
          </cell>
          <cell r="Q74">
            <v>1524.45739184795</v>
          </cell>
          <cell r="R74">
            <v>523.57995395986302</v>
          </cell>
          <cell r="S74">
            <v>7927.08095236587</v>
          </cell>
          <cell r="T74">
            <v>1453.1112885344901</v>
          </cell>
          <cell r="U74">
            <v>2669.98556973717</v>
          </cell>
          <cell r="V74">
            <v>1568.19399157097</v>
          </cell>
          <cell r="W74">
            <v>1051.7554282571</v>
          </cell>
          <cell r="X74">
            <v>1184.03467426615</v>
          </cell>
          <cell r="Y74">
            <v>11.4618260640027</v>
          </cell>
          <cell r="Z74">
            <v>18249.605483134401</v>
          </cell>
        </row>
        <row r="75">
          <cell r="A75" t="str">
            <v>Negeri Sembilan</v>
          </cell>
          <cell r="B75" t="str">
            <v>05</v>
          </cell>
          <cell r="C75">
            <v>1832.08891157927</v>
          </cell>
          <cell r="D75">
            <v>1773.65348057865</v>
          </cell>
          <cell r="E75">
            <v>31.470822994454402</v>
          </cell>
          <cell r="F75">
            <v>26.964608006166099</v>
          </cell>
          <cell r="I75">
            <v>19.239437471789</v>
          </cell>
          <cell r="J75">
            <v>12037.523484368199</v>
          </cell>
          <cell r="K75">
            <v>1157.1717543028701</v>
          </cell>
          <cell r="L75">
            <v>468.15762514419498</v>
          </cell>
          <cell r="M75">
            <v>321.67196918713699</v>
          </cell>
          <cell r="N75">
            <v>2993.8336955334898</v>
          </cell>
          <cell r="O75">
            <v>934.14198202758598</v>
          </cell>
          <cell r="P75">
            <v>5126.0242008203104</v>
          </cell>
          <cell r="Q75">
            <v>1036.5222573526401</v>
          </cell>
          <cell r="R75">
            <v>495.027490900494</v>
          </cell>
          <cell r="S75">
            <v>9154.7227376740193</v>
          </cell>
          <cell r="T75">
            <v>2141.9358079268</v>
          </cell>
          <cell r="U75">
            <v>2308.7027253908</v>
          </cell>
          <cell r="V75">
            <v>1927.19666318128</v>
          </cell>
          <cell r="W75">
            <v>1202.93770936334</v>
          </cell>
          <cell r="X75">
            <v>1573.9498318117901</v>
          </cell>
          <cell r="Y75">
            <v>117.980859251675</v>
          </cell>
          <cell r="Z75">
            <v>23656.582921245499</v>
          </cell>
        </row>
        <row r="76">
          <cell r="A76" t="str">
            <v>Pahang</v>
          </cell>
          <cell r="B76" t="str">
            <v>06</v>
          </cell>
          <cell r="C76">
            <v>5455.0762771085901</v>
          </cell>
          <cell r="D76">
            <v>4452.4266430297102</v>
          </cell>
          <cell r="E76">
            <v>470.116956441659</v>
          </cell>
          <cell r="F76">
            <v>532.53267763721999</v>
          </cell>
          <cell r="I76">
            <v>100.36584932021999</v>
          </cell>
          <cell r="J76">
            <v>7210.2004057692702</v>
          </cell>
          <cell r="K76">
            <v>769.87151506442399</v>
          </cell>
          <cell r="L76">
            <v>12.385865540607201</v>
          </cell>
          <cell r="M76">
            <v>413.97902222490598</v>
          </cell>
          <cell r="N76">
            <v>3068.0492317742501</v>
          </cell>
          <cell r="O76">
            <v>769.63818148399798</v>
          </cell>
          <cell r="P76">
            <v>51.3753888189731</v>
          </cell>
          <cell r="Q76">
            <v>2124.9012008621198</v>
          </cell>
          <cell r="R76">
            <v>661.57161300783503</v>
          </cell>
          <cell r="S76">
            <v>12973.6076465391</v>
          </cell>
          <cell r="T76">
            <v>1378.1853080583901</v>
          </cell>
          <cell r="U76">
            <v>4148.2442956492296</v>
          </cell>
          <cell r="V76">
            <v>1753.4240565396999</v>
          </cell>
          <cell r="W76">
            <v>3208.2121272485101</v>
          </cell>
          <cell r="X76">
            <v>2485.5418590432901</v>
          </cell>
          <cell r="Y76">
            <v>63.757302087708602</v>
          </cell>
          <cell r="Z76">
            <v>26464.579093832799</v>
          </cell>
        </row>
        <row r="77">
          <cell r="A77" t="str">
            <v>Pulau Pinang</v>
          </cell>
          <cell r="B77" t="str">
            <v>07</v>
          </cell>
          <cell r="C77">
            <v>749.94035118466797</v>
          </cell>
          <cell r="D77">
            <v>526.21122120474399</v>
          </cell>
          <cell r="E77">
            <v>0</v>
          </cell>
          <cell r="F77">
            <v>223.72912997992401</v>
          </cell>
          <cell r="I77">
            <v>18.986404553479499</v>
          </cell>
          <cell r="J77">
            <v>26348.444882624201</v>
          </cell>
          <cell r="K77">
            <v>689.29693633182296</v>
          </cell>
          <cell r="L77">
            <v>490.58533614708301</v>
          </cell>
          <cell r="M77">
            <v>767.56532285628998</v>
          </cell>
          <cell r="N77">
            <v>1888.14782222227</v>
          </cell>
          <cell r="O77">
            <v>1809.1693963134801</v>
          </cell>
          <cell r="P77">
            <v>19072.286939373898</v>
          </cell>
          <cell r="Q77">
            <v>1631.39312937931</v>
          </cell>
          <cell r="R77">
            <v>1004.94153188345</v>
          </cell>
          <cell r="S77">
            <v>20266.906143440901</v>
          </cell>
          <cell r="T77">
            <v>4211.9582272429398</v>
          </cell>
          <cell r="U77">
            <v>5915.1172258340403</v>
          </cell>
          <cell r="V77">
            <v>5883.18430518072</v>
          </cell>
          <cell r="W77">
            <v>2013.78632840968</v>
          </cell>
          <cell r="X77">
            <v>2242.8600567734702</v>
          </cell>
          <cell r="Y77">
            <v>359.64911542058502</v>
          </cell>
          <cell r="Z77">
            <v>48748.868429107199</v>
          </cell>
        </row>
        <row r="78">
          <cell r="A78" t="str">
            <v>Perak</v>
          </cell>
          <cell r="B78" t="str">
            <v>08</v>
          </cell>
          <cell r="C78">
            <v>5067.8059180852897</v>
          </cell>
          <cell r="D78">
            <v>3719.44414090086</v>
          </cell>
          <cell r="E78">
            <v>368.25569428126801</v>
          </cell>
          <cell r="F78">
            <v>980.10608290315702</v>
          </cell>
          <cell r="I78">
            <v>103.184457255374</v>
          </cell>
          <cell r="J78">
            <v>6605.2252252100297</v>
          </cell>
          <cell r="K78">
            <v>869.57174628031896</v>
          </cell>
          <cell r="L78">
            <v>197.240495601915</v>
          </cell>
          <cell r="M78">
            <v>312.94982545181699</v>
          </cell>
          <cell r="N78">
            <v>1474.0761624444301</v>
          </cell>
          <cell r="O78">
            <v>1534.8566587800401</v>
          </cell>
          <cell r="P78">
            <v>1699.8833316723999</v>
          </cell>
          <cell r="Q78">
            <v>516.64700497911201</v>
          </cell>
          <cell r="R78">
            <v>582.50096026431402</v>
          </cell>
          <cell r="S78">
            <v>20679.2256318416</v>
          </cell>
          <cell r="T78">
            <v>5833.6995245607004</v>
          </cell>
          <cell r="U78">
            <v>4823.5297935970402</v>
          </cell>
          <cell r="V78">
            <v>3897.9275608838998</v>
          </cell>
          <cell r="W78">
            <v>2642.6796385010898</v>
          </cell>
          <cell r="X78">
            <v>3481.38911429888</v>
          </cell>
          <cell r="Y78">
            <v>21.596787120596598</v>
          </cell>
          <cell r="Z78">
            <v>33059.5389797772</v>
          </cell>
        </row>
        <row r="79">
          <cell r="A79" t="str">
            <v>Perlis</v>
          </cell>
          <cell r="B79" t="str">
            <v>09</v>
          </cell>
          <cell r="C79">
            <v>935.57928140876095</v>
          </cell>
          <cell r="D79">
            <v>268.76405732769098</v>
          </cell>
          <cell r="E79">
            <v>0</v>
          </cell>
          <cell r="F79">
            <v>666.81522408107003</v>
          </cell>
          <cell r="I79">
            <v>7.8015227651921801</v>
          </cell>
          <cell r="J79">
            <v>349.32019348366998</v>
          </cell>
          <cell r="K79">
            <v>54.502227089057698</v>
          </cell>
          <cell r="L79">
            <v>51.629230750296998</v>
          </cell>
          <cell r="M79">
            <v>4.1927671943535598</v>
          </cell>
          <cell r="N79">
            <v>95.164894575306803</v>
          </cell>
          <cell r="O79">
            <v>142.89041771363799</v>
          </cell>
          <cell r="P79">
            <v>0.41720944774469298</v>
          </cell>
          <cell r="Q79">
            <v>0.52344671327310199</v>
          </cell>
          <cell r="R79">
            <v>101.26540747310899</v>
          </cell>
          <cell r="S79">
            <v>1789.43683170176</v>
          </cell>
          <cell r="T79">
            <v>618.26873703333501</v>
          </cell>
          <cell r="U79">
            <v>250.42582661869599</v>
          </cell>
          <cell r="V79">
            <v>229.64700012768901</v>
          </cell>
          <cell r="W79">
            <v>238.11756091022201</v>
          </cell>
          <cell r="X79">
            <v>452.97770701181599</v>
          </cell>
          <cell r="Y79">
            <v>66.343859851239401</v>
          </cell>
          <cell r="Z79">
            <v>3249.74709668373</v>
          </cell>
        </row>
        <row r="80">
          <cell r="A80" t="str">
            <v>Selangor</v>
          </cell>
          <cell r="B80">
            <v>10</v>
          </cell>
          <cell r="C80">
            <v>2306.4004204636199</v>
          </cell>
          <cell r="D80">
            <v>1636.27720951693</v>
          </cell>
          <cell r="E80">
            <v>13.6682036104921</v>
          </cell>
          <cell r="F80">
            <v>656.45500733619497</v>
          </cell>
          <cell r="I80">
            <v>121.688062496567</v>
          </cell>
          <cell r="J80">
            <v>44795.331237077102</v>
          </cell>
          <cell r="K80">
            <v>6715.4856658059798</v>
          </cell>
          <cell r="L80">
            <v>528.29252835263401</v>
          </cell>
          <cell r="M80">
            <v>3810.00459350437</v>
          </cell>
          <cell r="N80">
            <v>5878.6944612834995</v>
          </cell>
          <cell r="O80">
            <v>5875.0931975616904</v>
          </cell>
          <cell r="P80">
            <v>11039.3291554592</v>
          </cell>
          <cell r="Q80">
            <v>10948.4316351097</v>
          </cell>
          <cell r="R80">
            <v>6243.9686026801</v>
          </cell>
          <cell r="S80">
            <v>81917.655086211103</v>
          </cell>
          <cell r="T80">
            <v>19834.486867533</v>
          </cell>
          <cell r="U80">
            <v>27732.002140549001</v>
          </cell>
          <cell r="V80">
            <v>21135.3151207962</v>
          </cell>
          <cell r="W80">
            <v>6917.3595796658901</v>
          </cell>
          <cell r="X80">
            <v>6298.4913776670401</v>
          </cell>
          <cell r="Y80">
            <v>4492.0200225018598</v>
          </cell>
          <cell r="Z80">
            <v>139877.06343143</v>
          </cell>
        </row>
        <row r="81">
          <cell r="A81" t="str">
            <v>Terengganu</v>
          </cell>
          <cell r="B81">
            <v>11</v>
          </cell>
          <cell r="C81">
            <v>1868.7466500673299</v>
          </cell>
          <cell r="D81">
            <v>1376.63104168482</v>
          </cell>
          <cell r="E81">
            <v>123.549504003599</v>
          </cell>
          <cell r="F81">
            <v>368.56610437891601</v>
          </cell>
          <cell r="I81">
            <v>9.5909415136728509</v>
          </cell>
          <cell r="J81">
            <v>7568.4216460510097</v>
          </cell>
          <cell r="K81">
            <v>60.844329089771499</v>
          </cell>
          <cell r="L81">
            <v>30.1785211503163</v>
          </cell>
          <cell r="M81">
            <v>108.103254450601</v>
          </cell>
          <cell r="N81">
            <v>6666.2671079688998</v>
          </cell>
          <cell r="O81">
            <v>590.64019872650704</v>
          </cell>
          <cell r="P81">
            <v>2.89261597011456</v>
          </cell>
          <cell r="Q81">
            <v>109.49561869479101</v>
          </cell>
          <cell r="R81">
            <v>571.792479817051</v>
          </cell>
          <cell r="S81">
            <v>8459.2870635188992</v>
          </cell>
          <cell r="T81">
            <v>3335.1416614582399</v>
          </cell>
          <cell r="U81">
            <v>1527.3126581572801</v>
          </cell>
          <cell r="V81">
            <v>753.40514713643597</v>
          </cell>
          <cell r="W81">
            <v>853.55315647359896</v>
          </cell>
          <cell r="X81">
            <v>1989.8744402933401</v>
          </cell>
          <cell r="Y81">
            <v>22.352791701644001</v>
          </cell>
          <cell r="Z81">
            <v>18500.191572669599</v>
          </cell>
        </row>
        <row r="82">
          <cell r="A82" t="str">
            <v>Sabah</v>
          </cell>
          <cell r="B82">
            <v>12</v>
          </cell>
          <cell r="C82">
            <v>10094.902381182599</v>
          </cell>
          <cell r="D82">
            <v>6662.8019414520804</v>
          </cell>
          <cell r="E82">
            <v>1916.47704071711</v>
          </cell>
          <cell r="F82">
            <v>1515.6233990134201</v>
          </cell>
          <cell r="I82">
            <v>8037.0394100663098</v>
          </cell>
          <cell r="J82">
            <v>3412.1274698001698</v>
          </cell>
          <cell r="K82">
            <v>1951.46261811467</v>
          </cell>
          <cell r="L82">
            <v>30.8890325568645</v>
          </cell>
          <cell r="M82">
            <v>896.60369368980196</v>
          </cell>
          <cell r="N82">
            <v>130.35469092791101</v>
          </cell>
          <cell r="O82">
            <v>264.13360365970101</v>
          </cell>
          <cell r="P82">
            <v>7.1228420514294299</v>
          </cell>
          <cell r="Q82">
            <v>131.56098879979601</v>
          </cell>
          <cell r="R82">
            <v>823.31542778865503</v>
          </cell>
          <cell r="S82">
            <v>16548.3369776412</v>
          </cell>
          <cell r="T82">
            <v>3155.34217557493</v>
          </cell>
          <cell r="U82">
            <v>5386.8789916800997</v>
          </cell>
          <cell r="V82">
            <v>3170.1727072173899</v>
          </cell>
          <cell r="W82">
            <v>1600.27552420761</v>
          </cell>
          <cell r="X82">
            <v>3235.66757896117</v>
          </cell>
          <cell r="Y82">
            <v>198.26699960755701</v>
          </cell>
          <cell r="Z82">
            <v>39113.988666086501</v>
          </cell>
        </row>
        <row r="83">
          <cell r="A83" t="str">
            <v>Sarawak</v>
          </cell>
          <cell r="B83">
            <v>13</v>
          </cell>
          <cell r="C83">
            <v>7415.2679328992299</v>
          </cell>
          <cell r="D83">
            <v>3152.3724412413499</v>
          </cell>
          <cell r="E83">
            <v>3831.8281290446598</v>
          </cell>
          <cell r="F83">
            <v>431.06736261321799</v>
          </cell>
          <cell r="I83">
            <v>16465.054567110299</v>
          </cell>
          <cell r="J83">
            <v>18472.101260906202</v>
          </cell>
          <cell r="K83">
            <v>587.73011486882899</v>
          </cell>
          <cell r="L83">
            <v>20.5740816912508</v>
          </cell>
          <cell r="M83">
            <v>1478.17446056941</v>
          </cell>
          <cell r="N83">
            <v>14918.7790363242</v>
          </cell>
          <cell r="O83">
            <v>462.07136159612202</v>
          </cell>
          <cell r="P83">
            <v>489.41684695457099</v>
          </cell>
          <cell r="Q83">
            <v>515.35535890174697</v>
          </cell>
          <cell r="R83">
            <v>1584.5546063460699</v>
          </cell>
          <cell r="S83">
            <v>21221.6999350355</v>
          </cell>
          <cell r="T83">
            <v>4928.2390888015098</v>
          </cell>
          <cell r="U83">
            <v>5752.67169501841</v>
          </cell>
          <cell r="V83">
            <v>5260.6696718154899</v>
          </cell>
          <cell r="W83">
            <v>2131.7620709674802</v>
          </cell>
          <cell r="X83">
            <v>3148.3574084326401</v>
          </cell>
          <cell r="Y83">
            <v>311.57940890856401</v>
          </cell>
          <cell r="Z83">
            <v>65470.257711205901</v>
          </cell>
        </row>
        <row r="84">
          <cell r="A84" t="str">
            <v>WP Kuala Lumpur</v>
          </cell>
          <cell r="B84">
            <v>14</v>
          </cell>
          <cell r="C84">
            <v>1.8243439513005599</v>
          </cell>
          <cell r="D84">
            <v>1.8243439513005599</v>
          </cell>
          <cell r="E84">
            <v>0</v>
          </cell>
          <cell r="F84">
            <v>0</v>
          </cell>
          <cell r="I84">
            <v>26.4050261874564</v>
          </cell>
          <cell r="J84">
            <v>3672.1549682251498</v>
          </cell>
          <cell r="K84">
            <v>432.68358955642702</v>
          </cell>
          <cell r="L84">
            <v>296.30800336994702</v>
          </cell>
          <cell r="M84">
            <v>1036.5487339948099</v>
          </cell>
          <cell r="N84">
            <v>589.69570351422101</v>
          </cell>
          <cell r="O84">
            <v>501.07118610173001</v>
          </cell>
          <cell r="P84">
            <v>241.79047869049501</v>
          </cell>
          <cell r="Q84">
            <v>574.05727299752505</v>
          </cell>
          <cell r="R84">
            <v>3193.9793919204899</v>
          </cell>
          <cell r="S84">
            <v>77689.654913025704</v>
          </cell>
          <cell r="T84">
            <v>5215.9939333560897</v>
          </cell>
          <cell r="U84">
            <v>29153.1803434828</v>
          </cell>
          <cell r="V84">
            <v>29696.389046616001</v>
          </cell>
          <cell r="W84">
            <v>4092.2781887101501</v>
          </cell>
          <cell r="X84">
            <v>9531.8134008606503</v>
          </cell>
          <cell r="Y84">
            <v>829.82722957740998</v>
          </cell>
          <cell r="Z84">
            <v>85413.845872887498</v>
          </cell>
        </row>
        <row r="85">
          <cell r="A85" t="str">
            <v>WP Labuan</v>
          </cell>
          <cell r="B85">
            <v>15</v>
          </cell>
          <cell r="C85">
            <v>109.50032694180101</v>
          </cell>
          <cell r="D85">
            <v>9.0733866410139097</v>
          </cell>
          <cell r="E85">
            <v>0</v>
          </cell>
          <cell r="F85">
            <v>100.426940300787</v>
          </cell>
          <cell r="I85">
            <v>0</v>
          </cell>
          <cell r="J85">
            <v>593.17885993159598</v>
          </cell>
          <cell r="K85">
            <v>23.962238160576899</v>
          </cell>
          <cell r="L85">
            <v>2.4967399763865399</v>
          </cell>
          <cell r="M85">
            <v>1.50252930750069</v>
          </cell>
          <cell r="N85">
            <v>298.46286538655602</v>
          </cell>
          <cell r="O85">
            <v>256.38808224051598</v>
          </cell>
          <cell r="P85">
            <v>0</v>
          </cell>
          <cell r="Q85">
            <v>10.366404860059401</v>
          </cell>
          <cell r="R85">
            <v>20.509544214180899</v>
          </cell>
          <cell r="S85">
            <v>1619.7325058092599</v>
          </cell>
          <cell r="T85">
            <v>208.12885045006999</v>
          </cell>
          <cell r="U85">
            <v>220.514676171806</v>
          </cell>
          <cell r="V85">
            <v>1057.60027749454</v>
          </cell>
          <cell r="W85">
            <v>64.388805102398393</v>
          </cell>
          <cell r="X85">
            <v>69.099896590450001</v>
          </cell>
          <cell r="Y85">
            <v>26.174126121139601</v>
          </cell>
          <cell r="Z85">
            <v>2369.0953630179802</v>
          </cell>
        </row>
        <row r="86">
          <cell r="A86" t="str">
            <v>Supra1</v>
          </cell>
          <cell r="C86">
            <v>0</v>
          </cell>
          <cell r="D86">
            <v>0</v>
          </cell>
          <cell r="E86">
            <v>0</v>
          </cell>
          <cell r="F86">
            <v>0</v>
          </cell>
          <cell r="I86">
            <v>45989.894528632904</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45989.894528632904</v>
          </cell>
        </row>
        <row r="87">
          <cell r="A87" t="str">
            <v>MALAYSIA</v>
          </cell>
          <cell r="C87">
            <v>50035.826639885599</v>
          </cell>
          <cell r="D87">
            <v>35797.511042528997</v>
          </cell>
          <cell r="E87">
            <v>7526.3841476396701</v>
          </cell>
          <cell r="F87">
            <v>6711.9314497169698</v>
          </cell>
          <cell r="I87">
            <v>70995.502536932399</v>
          </cell>
          <cell r="J87">
            <v>167147.94842394601</v>
          </cell>
          <cell r="K87">
            <v>16304.201421854401</v>
          </cell>
          <cell r="L87">
            <v>3314.93861977899</v>
          </cell>
          <cell r="M87">
            <v>11688.369726499401</v>
          </cell>
          <cell r="N87">
            <v>46485.581556345802</v>
          </cell>
          <cell r="O87">
            <v>18584.7935071471</v>
          </cell>
          <cell r="P87">
            <v>49002.402351588098</v>
          </cell>
          <cell r="Q87">
            <v>21767.661240731799</v>
          </cell>
          <cell r="R87">
            <v>18151.3604486806</v>
          </cell>
          <cell r="S87">
            <v>325711.716766742</v>
          </cell>
          <cell r="T87">
            <v>60815.402374823403</v>
          </cell>
          <cell r="U87">
            <v>101343.192857683</v>
          </cell>
          <cell r="V87">
            <v>87157.507403263895</v>
          </cell>
          <cell r="W87">
            <v>31762.9665292381</v>
          </cell>
          <cell r="X87">
            <v>44632.647601733799</v>
          </cell>
          <cell r="Y87">
            <v>7522.8091463889004</v>
          </cell>
          <cell r="Z87">
            <v>639565.16396257502</v>
          </cell>
        </row>
        <row r="90">
          <cell r="A90" t="str">
            <v>CONSTANT</v>
          </cell>
          <cell r="B90" t="str">
            <v>Industry</v>
          </cell>
          <cell r="D90">
            <v>1</v>
          </cell>
          <cell r="E90">
            <v>2</v>
          </cell>
          <cell r="F90">
            <v>3</v>
          </cell>
          <cell r="I90">
            <v>4</v>
          </cell>
          <cell r="K90">
            <v>6</v>
          </cell>
          <cell r="L90">
            <v>7</v>
          </cell>
          <cell r="M90">
            <v>8</v>
          </cell>
          <cell r="N90">
            <v>9</v>
          </cell>
          <cell r="O90">
            <v>10</v>
          </cell>
          <cell r="P90">
            <v>11</v>
          </cell>
          <cell r="Q90">
            <v>12</v>
          </cell>
          <cell r="R90">
            <v>5</v>
          </cell>
          <cell r="T90">
            <v>13</v>
          </cell>
          <cell r="U90">
            <v>14</v>
          </cell>
          <cell r="V90">
            <v>15</v>
          </cell>
          <cell r="W90">
            <v>16</v>
          </cell>
        </row>
        <row r="91">
          <cell r="A91">
            <v>2009</v>
          </cell>
          <cell r="B91" t="str">
            <v>I</v>
          </cell>
          <cell r="C91" t="str">
            <v>Agriculture</v>
          </cell>
          <cell r="D91" t="str">
            <v>Tanaman</v>
          </cell>
          <cell r="E91" t="str">
            <v>Pembalakan</v>
          </cell>
          <cell r="F91" t="str">
            <v>Perikanan</v>
          </cell>
          <cell r="I91" t="str">
            <v>Mining and
Quarrying</v>
          </cell>
          <cell r="J91" t="str">
            <v>Manufacturing</v>
          </cell>
          <cell r="K91" t="str">
            <v>Prosesan Makanan, Minuman dan Produk Tembakau</v>
          </cell>
          <cell r="L91" t="str">
            <v>Tekstil, Pakaian, Kulit dan Kasut</v>
          </cell>
          <cell r="M91" t="str">
            <v>Keluaran Kayu, Perabot, Produk Kertas, Percetakan dan Penerbitan</v>
          </cell>
          <cell r="N91" t="str">
            <v>Produk Petroleum, Bahan kimia, Getah dan Plastik</v>
          </cell>
          <cell r="O91" t="str">
            <v>Produk Mineral Bukan Logam, Logam Asli dan Produk Logam Yang Direka</v>
          </cell>
          <cell r="P91" t="str">
            <v>Elektrik dan Elektronik</v>
          </cell>
          <cell r="Q91" t="str">
            <v>Kelengkapan Pengangkutan dan Pembuatan Lain</v>
          </cell>
          <cell r="R91" t="str">
            <v>Construction</v>
          </cell>
          <cell r="S91" t="str">
            <v>Services</v>
          </cell>
          <cell r="T91" t="str">
            <v>Utiliti, Transport &amp; Communication</v>
          </cell>
          <cell r="U91" t="str">
            <v>WRT, Accomm &amp; Restaurant</v>
          </cell>
          <cell r="V91" t="str">
            <v>Finance &amp; Insurance, Real Estate &amp; Business Services</v>
          </cell>
          <cell r="W91" t="str">
            <v>Other Services</v>
          </cell>
          <cell r="X91" t="str">
            <v>Government Services</v>
          </cell>
          <cell r="Y91" t="str">
            <v>Plus :
Import Duties</v>
          </cell>
          <cell r="Z91" t="str">
            <v>GDP at
Purchasers' Prices</v>
          </cell>
        </row>
        <row r="92">
          <cell r="A92" t="str">
            <v>States</v>
          </cell>
          <cell r="B92" t="str">
            <v>Converter</v>
          </cell>
        </row>
        <row r="93">
          <cell r="A93" t="str">
            <v>Johor</v>
          </cell>
          <cell r="B93" t="str">
            <v>01</v>
          </cell>
          <cell r="C93">
            <v>7448.2393672682201</v>
          </cell>
          <cell r="D93">
            <v>6847.5819260768603</v>
          </cell>
          <cell r="E93">
            <v>43.148358243858802</v>
          </cell>
          <cell r="F93">
            <v>557.50908294750695</v>
          </cell>
          <cell r="I93">
            <v>59.342094682436503</v>
          </cell>
          <cell r="J93">
            <v>17649.556571429999</v>
          </cell>
          <cell r="K93">
            <v>2196.4159051557499</v>
          </cell>
          <cell r="L93">
            <v>691.51393536519902</v>
          </cell>
          <cell r="M93">
            <v>1559.7683565330301</v>
          </cell>
          <cell r="N93">
            <v>3946.1300152973099</v>
          </cell>
          <cell r="O93">
            <v>2493.6886518238498</v>
          </cell>
          <cell r="P93">
            <v>5311.1443811066201</v>
          </cell>
          <cell r="Q93">
            <v>1450.89532614825</v>
          </cell>
          <cell r="R93">
            <v>1816.64880833851</v>
          </cell>
          <cell r="S93">
            <v>27526.586490464801</v>
          </cell>
          <cell r="T93">
            <v>6167.6168495386601</v>
          </cell>
          <cell r="U93">
            <v>6632.5592981160198</v>
          </cell>
          <cell r="V93">
            <v>7738.6868869909704</v>
          </cell>
          <cell r="W93">
            <v>2764.9668714607701</v>
          </cell>
          <cell r="X93">
            <v>4222.7565843583598</v>
          </cell>
          <cell r="Y93">
            <v>767.47506695744096</v>
          </cell>
          <cell r="Z93">
            <v>55267.848399141403</v>
          </cell>
        </row>
        <row r="94">
          <cell r="A94" t="str">
            <v>Kedah</v>
          </cell>
          <cell r="B94" t="str">
            <v>02</v>
          </cell>
          <cell r="C94">
            <v>2758.2466806103798</v>
          </cell>
          <cell r="D94">
            <v>2251.4234052946399</v>
          </cell>
          <cell r="E94">
            <v>104.165916289599</v>
          </cell>
          <cell r="F94">
            <v>402.65735902614199</v>
          </cell>
          <cell r="I94">
            <v>18.631589802193599</v>
          </cell>
          <cell r="J94">
            <v>6416.4595205222204</v>
          </cell>
          <cell r="K94">
            <v>373.18348412210599</v>
          </cell>
          <cell r="L94">
            <v>40.195309863188797</v>
          </cell>
          <cell r="M94">
            <v>420.14065608985402</v>
          </cell>
          <cell r="N94">
            <v>1228.0792978196801</v>
          </cell>
          <cell r="O94">
            <v>1995.4499576558001</v>
          </cell>
          <cell r="P94">
            <v>1413.8721194346299</v>
          </cell>
          <cell r="Q94">
            <v>945.53869553696495</v>
          </cell>
          <cell r="R94">
            <v>537.85453019238503</v>
          </cell>
          <cell r="S94">
            <v>11219.4476437249</v>
          </cell>
          <cell r="T94">
            <v>1645.6856669840099</v>
          </cell>
          <cell r="U94">
            <v>2905.2059907768898</v>
          </cell>
          <cell r="V94">
            <v>2160.5122537944899</v>
          </cell>
          <cell r="W94">
            <v>1867.4952127220899</v>
          </cell>
          <cell r="X94">
            <v>2640.54851944743</v>
          </cell>
          <cell r="Y94">
            <v>141.57557088106299</v>
          </cell>
          <cell r="Z94">
            <v>21092.215535733201</v>
          </cell>
        </row>
        <row r="95">
          <cell r="A95" t="str">
            <v>Kelantan</v>
          </cell>
          <cell r="B95" t="str">
            <v>03</v>
          </cell>
          <cell r="C95">
            <v>2941.22276221126</v>
          </cell>
          <cell r="D95">
            <v>2115.0946784125699</v>
          </cell>
          <cell r="E95">
            <v>566.63856621470404</v>
          </cell>
          <cell r="F95">
            <v>259.48951758398402</v>
          </cell>
          <cell r="I95">
            <v>15.5417131500511</v>
          </cell>
          <cell r="J95">
            <v>570.19132221257803</v>
          </cell>
          <cell r="K95">
            <v>95.063509363671599</v>
          </cell>
          <cell r="L95">
            <v>36.909770915918301</v>
          </cell>
          <cell r="M95">
            <v>82.378781758752595</v>
          </cell>
          <cell r="N95">
            <v>116.89805089305101</v>
          </cell>
          <cell r="O95">
            <v>53.048505274004</v>
          </cell>
          <cell r="P95">
            <v>184.40779175180299</v>
          </cell>
          <cell r="Q95">
            <v>1.4849122553777401</v>
          </cell>
          <cell r="R95">
            <v>194.69024914371201</v>
          </cell>
          <cell r="S95">
            <v>7691.6052078932298</v>
          </cell>
          <cell r="T95">
            <v>853.71938564774598</v>
          </cell>
          <cell r="U95">
            <v>2163.9913890348798</v>
          </cell>
          <cell r="V95">
            <v>923.363792555136</v>
          </cell>
          <cell r="W95">
            <v>1312.97958660467</v>
          </cell>
          <cell r="X95">
            <v>2437.5510540507998</v>
          </cell>
          <cell r="Y95">
            <v>22.333543688409499</v>
          </cell>
          <cell r="Z95">
            <v>11435.5847982992</v>
          </cell>
        </row>
        <row r="96">
          <cell r="A96" t="str">
            <v>Melaka</v>
          </cell>
          <cell r="B96" t="str">
            <v>04</v>
          </cell>
          <cell r="C96">
            <v>1450.4260346342901</v>
          </cell>
          <cell r="D96">
            <v>1388.6747278498301</v>
          </cell>
          <cell r="E96">
            <v>0.28009801921627803</v>
          </cell>
          <cell r="F96">
            <v>61.471208765242203</v>
          </cell>
          <cell r="I96">
            <v>8.1987127144183596</v>
          </cell>
          <cell r="J96">
            <v>7991.90725017554</v>
          </cell>
          <cell r="K96">
            <v>414.25856716021002</v>
          </cell>
          <cell r="L96">
            <v>398.89885533485898</v>
          </cell>
          <cell r="M96">
            <v>344.32798449330801</v>
          </cell>
          <cell r="N96">
            <v>3186.5854198623801</v>
          </cell>
          <cell r="O96">
            <v>453.648174284481</v>
          </cell>
          <cell r="P96">
            <v>1937.16833414899</v>
          </cell>
          <cell r="Q96">
            <v>1257.01991489131</v>
          </cell>
          <cell r="R96">
            <v>552.77123224812306</v>
          </cell>
          <cell r="S96">
            <v>8439.3870313320203</v>
          </cell>
          <cell r="T96">
            <v>1502.9839705316399</v>
          </cell>
          <cell r="U96">
            <v>2965.2681929628302</v>
          </cell>
          <cell r="V96">
            <v>1680.8466576718299</v>
          </cell>
          <cell r="W96">
            <v>1088.14308542496</v>
          </cell>
          <cell r="X96">
            <v>1202.1451247407699</v>
          </cell>
          <cell r="Y96">
            <v>29.250242803987099</v>
          </cell>
          <cell r="Z96">
            <v>18471.940503908401</v>
          </cell>
        </row>
        <row r="97">
          <cell r="A97" t="str">
            <v>Negeri Sembilan</v>
          </cell>
          <cell r="B97" t="str">
            <v>05</v>
          </cell>
          <cell r="C97">
            <v>1940.9740480425501</v>
          </cell>
          <cell r="D97">
            <v>1848.1125391855401</v>
          </cell>
          <cell r="E97">
            <v>43.860180059602001</v>
          </cell>
          <cell r="F97">
            <v>49.001328797404199</v>
          </cell>
          <cell r="I97">
            <v>19.709346359609601</v>
          </cell>
          <cell r="J97">
            <v>11754.5614493828</v>
          </cell>
          <cell r="K97">
            <v>1183.6487267144</v>
          </cell>
          <cell r="L97">
            <v>199.59867464977199</v>
          </cell>
          <cell r="M97">
            <v>419.81542116238597</v>
          </cell>
          <cell r="N97">
            <v>2865.7049015280199</v>
          </cell>
          <cell r="O97">
            <v>775.054410338558</v>
          </cell>
          <cell r="P97">
            <v>5252.2287881359098</v>
          </cell>
          <cell r="Q97">
            <v>1058.51052685373</v>
          </cell>
          <cell r="R97">
            <v>540.01245793723899</v>
          </cell>
          <cell r="S97">
            <v>9448.1363606929608</v>
          </cell>
          <cell r="T97">
            <v>2177.59084282803</v>
          </cell>
          <cell r="U97">
            <v>2427.9733948401599</v>
          </cell>
          <cell r="V97">
            <v>1950.7443660906799</v>
          </cell>
          <cell r="W97">
            <v>1302.6649209969901</v>
          </cell>
          <cell r="X97">
            <v>1589.16283593711</v>
          </cell>
          <cell r="Y97">
            <v>101.036055844161</v>
          </cell>
          <cell r="Z97">
            <v>23804.4297182593</v>
          </cell>
        </row>
        <row r="98">
          <cell r="A98" t="str">
            <v>Pahang</v>
          </cell>
          <cell r="B98" t="str">
            <v>06</v>
          </cell>
          <cell r="C98">
            <v>5448.7557613188101</v>
          </cell>
          <cell r="D98">
            <v>4351.7341587302499</v>
          </cell>
          <cell r="E98">
            <v>516.04939006706502</v>
          </cell>
          <cell r="F98">
            <v>580.97221252150405</v>
          </cell>
          <cell r="I98">
            <v>120.520991408657</v>
          </cell>
          <cell r="J98">
            <v>6693.1528010757602</v>
          </cell>
          <cell r="K98">
            <v>905.54943457192701</v>
          </cell>
          <cell r="L98">
            <v>18.6839133639496</v>
          </cell>
          <cell r="M98">
            <v>616.37562339827502</v>
          </cell>
          <cell r="N98">
            <v>2356.3451647142901</v>
          </cell>
          <cell r="O98">
            <v>766.944488352029</v>
          </cell>
          <cell r="P98">
            <v>72.607403193855205</v>
          </cell>
          <cell r="Q98">
            <v>1956.64677348143</v>
          </cell>
          <cell r="R98">
            <v>695.712970014495</v>
          </cell>
          <cell r="S98">
            <v>13162.5095935134</v>
          </cell>
          <cell r="T98">
            <v>1378.18486041099</v>
          </cell>
          <cell r="U98">
            <v>4180.2363868887896</v>
          </cell>
          <cell r="V98">
            <v>1803.1656065488</v>
          </cell>
          <cell r="W98">
            <v>3279.35485286429</v>
          </cell>
          <cell r="X98">
            <v>2521.5678868005102</v>
          </cell>
          <cell r="Y98">
            <v>81.981542456041296</v>
          </cell>
          <cell r="Z98">
            <v>26202.633659787101</v>
          </cell>
        </row>
        <row r="99">
          <cell r="A99" t="str">
            <v>Pulau Pinang</v>
          </cell>
          <cell r="B99" t="str">
            <v>07</v>
          </cell>
          <cell r="C99">
            <v>760.45823108994296</v>
          </cell>
          <cell r="D99">
            <v>556.40464337404705</v>
          </cell>
          <cell r="E99">
            <v>0</v>
          </cell>
          <cell r="F99">
            <v>204.05358771589499</v>
          </cell>
          <cell r="I99">
            <v>19.213514991072799</v>
          </cell>
          <cell r="J99">
            <v>21239.073100997601</v>
          </cell>
          <cell r="K99">
            <v>982.92422091185301</v>
          </cell>
          <cell r="L99">
            <v>552.75623813298603</v>
          </cell>
          <cell r="M99">
            <v>774.48276590116996</v>
          </cell>
          <cell r="N99">
            <v>2095.2872914520299</v>
          </cell>
          <cell r="O99">
            <v>1691.35688069411</v>
          </cell>
          <cell r="P99">
            <v>13864.7852074903</v>
          </cell>
          <cell r="Q99">
            <v>1277.4804964151599</v>
          </cell>
          <cell r="R99">
            <v>982.067989201606</v>
          </cell>
          <cell r="S99">
            <v>20242.238702797898</v>
          </cell>
          <cell r="T99">
            <v>4235.4657328392104</v>
          </cell>
          <cell r="U99">
            <v>5735.73402479367</v>
          </cell>
          <cell r="V99">
            <v>5912.4537506202996</v>
          </cell>
          <cell r="W99">
            <v>2094.26034232861</v>
          </cell>
          <cell r="X99">
            <v>2264.3248522161002</v>
          </cell>
          <cell r="Y99">
            <v>382.67817457429697</v>
          </cell>
          <cell r="Z99">
            <v>43625.729713652399</v>
          </cell>
        </row>
        <row r="100">
          <cell r="A100" t="str">
            <v>Perak</v>
          </cell>
          <cell r="B100" t="str">
            <v>08</v>
          </cell>
          <cell r="C100">
            <v>5195.6453420371299</v>
          </cell>
          <cell r="D100">
            <v>3694.3496667969598</v>
          </cell>
          <cell r="E100">
            <v>320.29585199149301</v>
          </cell>
          <cell r="F100">
            <v>1180.9998232486701</v>
          </cell>
          <cell r="I100">
            <v>101.748443876794</v>
          </cell>
          <cell r="J100">
            <v>5799.8650797147502</v>
          </cell>
          <cell r="K100">
            <v>1022.7663468441</v>
          </cell>
          <cell r="L100">
            <v>203.66761974537599</v>
          </cell>
          <cell r="M100">
            <v>314.384749109903</v>
          </cell>
          <cell r="N100">
            <v>1186.8438698376499</v>
          </cell>
          <cell r="O100">
            <v>1285.4189208999401</v>
          </cell>
          <cell r="P100">
            <v>1466.70218889477</v>
          </cell>
          <cell r="Q100">
            <v>320.08138438301199</v>
          </cell>
          <cell r="R100">
            <v>643.07315093760405</v>
          </cell>
          <cell r="S100">
            <v>20942.200305656399</v>
          </cell>
          <cell r="T100">
            <v>5950.0209451234296</v>
          </cell>
          <cell r="U100">
            <v>4779.4408546935301</v>
          </cell>
          <cell r="V100">
            <v>3914.2929824284602</v>
          </cell>
          <cell r="W100">
            <v>2746.7080411910101</v>
          </cell>
          <cell r="X100">
            <v>3551.7374822199299</v>
          </cell>
          <cell r="Y100">
            <v>17.204002111897999</v>
          </cell>
          <cell r="Z100">
            <v>32699.736324334499</v>
          </cell>
        </row>
        <row r="101">
          <cell r="A101" t="str">
            <v>Perlis</v>
          </cell>
          <cell r="B101" t="str">
            <v>09</v>
          </cell>
          <cell r="C101">
            <v>855.94136300638695</v>
          </cell>
          <cell r="D101">
            <v>237.171898706826</v>
          </cell>
          <cell r="E101">
            <v>0</v>
          </cell>
          <cell r="F101">
            <v>618.76946429956104</v>
          </cell>
          <cell r="I101">
            <v>6.3613021227580102</v>
          </cell>
          <cell r="J101">
            <v>290.33726582942302</v>
          </cell>
          <cell r="K101">
            <v>46.3800290816353</v>
          </cell>
          <cell r="L101">
            <v>43.969966531878001</v>
          </cell>
          <cell r="M101">
            <v>2.2695514934505399</v>
          </cell>
          <cell r="N101">
            <v>57.303193483204801</v>
          </cell>
          <cell r="O101">
            <v>136.519930080736</v>
          </cell>
          <cell r="P101">
            <v>0.40585250788745098</v>
          </cell>
          <cell r="Q101">
            <v>3.4887426506302899</v>
          </cell>
          <cell r="R101">
            <v>92.266488889557607</v>
          </cell>
          <cell r="S101">
            <v>1840.83119998098</v>
          </cell>
          <cell r="T101">
            <v>634.20499143323195</v>
          </cell>
          <cell r="U101">
            <v>260.214491841322</v>
          </cell>
          <cell r="V101">
            <v>237.30316809444801</v>
          </cell>
          <cell r="W101">
            <v>245.17411016459801</v>
          </cell>
          <cell r="X101">
            <v>463.93443844737999</v>
          </cell>
          <cell r="Y101">
            <v>80.567988496580298</v>
          </cell>
          <cell r="Z101">
            <v>3166.3056083256902</v>
          </cell>
        </row>
        <row r="102">
          <cell r="A102" t="str">
            <v>Selangor</v>
          </cell>
          <cell r="B102">
            <v>10</v>
          </cell>
          <cell r="C102">
            <v>2518.6829196444201</v>
          </cell>
          <cell r="D102">
            <v>1690.37124293447</v>
          </cell>
          <cell r="E102">
            <v>5.71291207858948</v>
          </cell>
          <cell r="F102">
            <v>822.598764631368</v>
          </cell>
          <cell r="I102">
            <v>124.907911414483</v>
          </cell>
          <cell r="J102">
            <v>41857.923252740497</v>
          </cell>
          <cell r="K102">
            <v>7204.2984131473404</v>
          </cell>
          <cell r="L102">
            <v>453.55278926993498</v>
          </cell>
          <cell r="M102">
            <v>2784.0545540461799</v>
          </cell>
          <cell r="N102">
            <v>6205.9585366351703</v>
          </cell>
          <cell r="O102">
            <v>5379.3328661184596</v>
          </cell>
          <cell r="P102">
            <v>9321.4292031808709</v>
          </cell>
          <cell r="Q102">
            <v>10509.296890342601</v>
          </cell>
          <cell r="R102">
            <v>6585.2738869667801</v>
          </cell>
          <cell r="S102">
            <v>84233.245537549796</v>
          </cell>
          <cell r="T102">
            <v>20143.435683380401</v>
          </cell>
          <cell r="U102">
            <v>28412.062509855899</v>
          </cell>
          <cell r="V102">
            <v>22090.140213677802</v>
          </cell>
          <cell r="W102">
            <v>7155.4523885788403</v>
          </cell>
          <cell r="X102">
            <v>6432.1547420568904</v>
          </cell>
          <cell r="Y102">
            <v>3916.8641011417799</v>
          </cell>
          <cell r="Z102">
            <v>139236.89760945801</v>
          </cell>
        </row>
        <row r="103">
          <cell r="A103" t="str">
            <v>Terengganu</v>
          </cell>
          <cell r="B103">
            <v>11</v>
          </cell>
          <cell r="C103">
            <v>1497.0701462888401</v>
          </cell>
          <cell r="D103">
            <v>1088.2326195303001</v>
          </cell>
          <cell r="E103">
            <v>101.185068411603</v>
          </cell>
          <cell r="F103">
            <v>307.65245834693502</v>
          </cell>
          <cell r="I103">
            <v>11.287569132204499</v>
          </cell>
          <cell r="J103">
            <v>6917.5455478694603</v>
          </cell>
          <cell r="K103">
            <v>57.516524271048397</v>
          </cell>
          <cell r="L103">
            <v>30.8147495503298</v>
          </cell>
          <cell r="M103">
            <v>142.70023551107101</v>
          </cell>
          <cell r="N103">
            <v>6234.0091445171101</v>
          </cell>
          <cell r="O103">
            <v>358.68135768466402</v>
          </cell>
          <cell r="P103">
            <v>3.1956744783733702</v>
          </cell>
          <cell r="Q103">
            <v>90.627861856870794</v>
          </cell>
          <cell r="R103">
            <v>609.96531941738499</v>
          </cell>
          <cell r="S103">
            <v>8672.0307115899905</v>
          </cell>
          <cell r="T103">
            <v>3383.2885527660301</v>
          </cell>
          <cell r="U103">
            <v>1563.96626004773</v>
          </cell>
          <cell r="V103">
            <v>800.41282468834902</v>
          </cell>
          <cell r="W103">
            <v>878.11901118975902</v>
          </cell>
          <cell r="X103">
            <v>2046.2440628981101</v>
          </cell>
          <cell r="Y103">
            <v>12.123481342461901</v>
          </cell>
          <cell r="Z103">
            <v>17720.0227756403</v>
          </cell>
        </row>
        <row r="104">
          <cell r="A104" t="str">
            <v>Sabah</v>
          </cell>
          <cell r="B104">
            <v>12</v>
          </cell>
          <cell r="C104">
            <v>9713.3903443599993</v>
          </cell>
          <cell r="D104">
            <v>6299.8769264508601</v>
          </cell>
          <cell r="E104">
            <v>1805.28959081471</v>
          </cell>
          <cell r="F104">
            <v>1608.2238270944299</v>
          </cell>
          <cell r="I104">
            <v>9635.4945723087403</v>
          </cell>
          <cell r="J104">
            <v>3148.9112203916402</v>
          </cell>
          <cell r="K104">
            <v>1783.56777271338</v>
          </cell>
          <cell r="L104">
            <v>29.323852780804099</v>
          </cell>
          <cell r="M104">
            <v>773.095703826815</v>
          </cell>
          <cell r="N104">
            <v>156.429635270712</v>
          </cell>
          <cell r="O104">
            <v>273.98302829756199</v>
          </cell>
          <cell r="P104">
            <v>9.4266812413817203</v>
          </cell>
          <cell r="Q104">
            <v>123.08454626098801</v>
          </cell>
          <cell r="R104">
            <v>879.89427674993897</v>
          </cell>
          <cell r="S104">
            <v>17371.0956016374</v>
          </cell>
          <cell r="T104">
            <v>3176.2043169885301</v>
          </cell>
          <cell r="U104">
            <v>5770.4508168054499</v>
          </cell>
          <cell r="V104">
            <v>3399.47309710118</v>
          </cell>
          <cell r="W104">
            <v>1661.0586756467401</v>
          </cell>
          <cell r="X104">
            <v>3363.9086950955302</v>
          </cell>
          <cell r="Y104">
            <v>237.35617513626599</v>
          </cell>
          <cell r="Z104">
            <v>40986.142190584003</v>
          </cell>
        </row>
        <row r="105">
          <cell r="A105" t="str">
            <v>Sarawak</v>
          </cell>
          <cell r="B105">
            <v>13</v>
          </cell>
          <cell r="C105">
            <v>7423.3487811591403</v>
          </cell>
          <cell r="D105">
            <v>3376.2084165532101</v>
          </cell>
          <cell r="E105">
            <v>3633.6436039553801</v>
          </cell>
          <cell r="F105">
            <v>413.49676065054899</v>
          </cell>
          <cell r="I105">
            <v>15190.385219756899</v>
          </cell>
          <cell r="J105">
            <v>17489.664096002802</v>
          </cell>
          <cell r="K105">
            <v>649.61627832822603</v>
          </cell>
          <cell r="L105">
            <v>21.123538334001999</v>
          </cell>
          <cell r="M105">
            <v>1276.5601104841201</v>
          </cell>
          <cell r="N105">
            <v>14389.2906008469</v>
          </cell>
          <cell r="O105">
            <v>439.63487483453298</v>
          </cell>
          <cell r="P105">
            <v>404.06632266829098</v>
          </cell>
          <cell r="Q105">
            <v>309.37237050676998</v>
          </cell>
          <cell r="R105">
            <v>1707.6051549998101</v>
          </cell>
          <cell r="S105">
            <v>22073.6282723236</v>
          </cell>
          <cell r="T105">
            <v>4917.1430889086996</v>
          </cell>
          <cell r="U105">
            <v>6025.7961815075096</v>
          </cell>
          <cell r="V105">
            <v>5548.3319813805902</v>
          </cell>
          <cell r="W105">
            <v>2212.4021524638401</v>
          </cell>
          <cell r="X105">
            <v>3369.95486806297</v>
          </cell>
          <cell r="Y105">
            <v>288.34661091429598</v>
          </cell>
          <cell r="Z105">
            <v>64172.978135156503</v>
          </cell>
        </row>
        <row r="106">
          <cell r="A106" t="str">
            <v>WP Kuala Lumpur</v>
          </cell>
          <cell r="B106">
            <v>14</v>
          </cell>
          <cell r="C106">
            <v>1.49048293648672</v>
          </cell>
          <cell r="D106">
            <v>1.49048293648672</v>
          </cell>
          <cell r="E106">
            <v>0</v>
          </cell>
          <cell r="F106">
            <v>0</v>
          </cell>
          <cell r="I106">
            <v>27.061636691734002</v>
          </cell>
          <cell r="J106">
            <v>3762.5971418345698</v>
          </cell>
          <cell r="K106">
            <v>384.790527493941</v>
          </cell>
          <cell r="L106">
            <v>287.14052843379199</v>
          </cell>
          <cell r="M106">
            <v>614.59519662953596</v>
          </cell>
          <cell r="N106">
            <v>598.36941794115398</v>
          </cell>
          <cell r="O106">
            <v>755.03083305177302</v>
          </cell>
          <cell r="P106">
            <v>349.22450122459799</v>
          </cell>
          <cell r="Q106">
            <v>773.44613705977497</v>
          </cell>
          <cell r="R106">
            <v>3412.78006618976</v>
          </cell>
          <cell r="S106">
            <v>80428.112303750298</v>
          </cell>
          <cell r="T106">
            <v>5361.8248620208497</v>
          </cell>
          <cell r="U106">
            <v>29395.334292616801</v>
          </cell>
          <cell r="V106">
            <v>31416.748948139099</v>
          </cell>
          <cell r="W106">
            <v>4289.2037761325801</v>
          </cell>
          <cell r="X106">
            <v>9965.0004248409896</v>
          </cell>
          <cell r="Y106">
            <v>856.04858875953198</v>
          </cell>
          <cell r="Z106">
            <v>88488.090220162398</v>
          </cell>
        </row>
        <row r="107">
          <cell r="A107" t="str">
            <v>WP Labuan</v>
          </cell>
          <cell r="B107">
            <v>15</v>
          </cell>
          <cell r="C107">
            <v>109.15187498592</v>
          </cell>
          <cell r="D107">
            <v>6.9926628621778297</v>
          </cell>
          <cell r="E107">
            <v>0</v>
          </cell>
          <cell r="F107">
            <v>102.15921212374199</v>
          </cell>
          <cell r="I107">
            <v>0</v>
          </cell>
          <cell r="J107">
            <v>568.44061893037701</v>
          </cell>
          <cell r="K107">
            <v>23.036492580242101</v>
          </cell>
          <cell r="L107">
            <v>2.46637843430236</v>
          </cell>
          <cell r="M107">
            <v>1.8981935009655799</v>
          </cell>
          <cell r="N107">
            <v>276.98159076014099</v>
          </cell>
          <cell r="O107">
            <v>241.801718201141</v>
          </cell>
          <cell r="P107">
            <v>1.7960584604948</v>
          </cell>
          <cell r="Q107">
            <v>20.460186993089799</v>
          </cell>
          <cell r="R107">
            <v>19.3396332659709</v>
          </cell>
          <cell r="S107">
            <v>1735.4823394617099</v>
          </cell>
          <cell r="T107">
            <v>201.91644918304399</v>
          </cell>
          <cell r="U107">
            <v>226.15958548261401</v>
          </cell>
          <cell r="V107">
            <v>1167.0320576837501</v>
          </cell>
          <cell r="W107">
            <v>66.765818284342203</v>
          </cell>
          <cell r="X107">
            <v>73.608428827962797</v>
          </cell>
          <cell r="Y107">
            <v>53.848551887076397</v>
          </cell>
          <cell r="Z107">
            <v>2486.26301853105</v>
          </cell>
        </row>
        <row r="108">
          <cell r="A108" t="str">
            <v>Supra1</v>
          </cell>
          <cell r="C108">
            <v>0</v>
          </cell>
          <cell r="D108">
            <v>0</v>
          </cell>
          <cell r="E108">
            <v>0</v>
          </cell>
          <cell r="F108">
            <v>0</v>
          </cell>
          <cell r="I108">
            <v>41027.965029888001</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41027.965029888001</v>
          </cell>
        </row>
        <row r="109">
          <cell r="A109" t="str">
            <v>MALAYSIA</v>
          </cell>
          <cell r="C109">
            <v>50063.044139593803</v>
          </cell>
          <cell r="D109">
            <v>35753.719995694999</v>
          </cell>
          <cell r="E109">
            <v>7140.26953614582</v>
          </cell>
          <cell r="F109">
            <v>7169.0546077529298</v>
          </cell>
          <cell r="I109">
            <v>66386.369648300097</v>
          </cell>
          <cell r="J109">
            <v>152150.18623910999</v>
          </cell>
          <cell r="K109">
            <v>17323.016232459799</v>
          </cell>
          <cell r="L109">
            <v>3010.6161207062901</v>
          </cell>
          <cell r="M109">
            <v>10126.847883938801</v>
          </cell>
          <cell r="N109">
            <v>44900.216130858797</v>
          </cell>
          <cell r="O109">
            <v>17099.5945975916</v>
          </cell>
          <cell r="P109">
            <v>39592.460507918797</v>
          </cell>
          <cell r="Q109">
            <v>20097.434765635899</v>
          </cell>
          <cell r="R109">
            <v>19269.9562144929</v>
          </cell>
          <cell r="S109">
            <v>335026.53730236902</v>
          </cell>
          <cell r="T109">
            <v>61729.286198584501</v>
          </cell>
          <cell r="U109">
            <v>103444.39367026401</v>
          </cell>
          <cell r="V109">
            <v>90743.508587465898</v>
          </cell>
          <cell r="W109">
            <v>32964.748846054099</v>
          </cell>
          <cell r="X109">
            <v>46144.600000000901</v>
          </cell>
          <cell r="Y109">
            <v>6988.6896969952904</v>
          </cell>
          <cell r="Z109">
            <v>629884.78324086103</v>
          </cell>
        </row>
        <row r="112">
          <cell r="A112" t="str">
            <v>CONSTANT</v>
          </cell>
          <cell r="B112" t="str">
            <v>Industry</v>
          </cell>
          <cell r="D112">
            <v>1</v>
          </cell>
          <cell r="E112">
            <v>2</v>
          </cell>
          <cell r="F112">
            <v>3</v>
          </cell>
          <cell r="I112">
            <v>4</v>
          </cell>
          <cell r="K112">
            <v>6</v>
          </cell>
          <cell r="L112">
            <v>7</v>
          </cell>
          <cell r="M112">
            <v>8</v>
          </cell>
          <cell r="N112">
            <v>9</v>
          </cell>
          <cell r="O112">
            <v>10</v>
          </cell>
          <cell r="P112">
            <v>11</v>
          </cell>
          <cell r="Q112">
            <v>12</v>
          </cell>
          <cell r="R112">
            <v>5</v>
          </cell>
          <cell r="T112">
            <v>13</v>
          </cell>
          <cell r="U112">
            <v>14</v>
          </cell>
          <cell r="V112">
            <v>15</v>
          </cell>
          <cell r="W112">
            <v>16</v>
          </cell>
        </row>
        <row r="113">
          <cell r="A113">
            <v>2010</v>
          </cell>
          <cell r="B113" t="str">
            <v>I</v>
          </cell>
          <cell r="C113" t="str">
            <v>Agriculture</v>
          </cell>
          <cell r="D113" t="str">
            <v>Tanaman</v>
          </cell>
          <cell r="E113" t="str">
            <v>Pembalakan</v>
          </cell>
          <cell r="F113" t="str">
            <v>Perikanan</v>
          </cell>
          <cell r="I113" t="str">
            <v>Mining and
Quarrying</v>
          </cell>
          <cell r="J113" t="str">
            <v>Manufacturing</v>
          </cell>
          <cell r="K113" t="str">
            <v>Prosesan Makanan, Minuman dan Produk Tembakau</v>
          </cell>
          <cell r="L113" t="str">
            <v>Tekstil, Pakaian, Kulit dan Kasut</v>
          </cell>
          <cell r="M113" t="str">
            <v>Keluaran Kayu, Perabot, Produk Kertas, Percetakan dan Penerbitan</v>
          </cell>
          <cell r="N113" t="str">
            <v>Produk Petroleum, Bahan kimia, Getah dan Plastik</v>
          </cell>
          <cell r="O113" t="str">
            <v>Produk Mineral Bukan Logam, Logam Asli dan Produk Logam Yang Direka</v>
          </cell>
          <cell r="P113" t="str">
            <v>Elektrik dan Elektronik</v>
          </cell>
          <cell r="Q113" t="str">
            <v>Kelengkapan Pengangkutan dan Pembuatan Lain</v>
          </cell>
          <cell r="R113" t="str">
            <v>Construction</v>
          </cell>
          <cell r="S113" t="str">
            <v>Services</v>
          </cell>
          <cell r="T113" t="str">
            <v>Utiliti, Transport &amp; Communication</v>
          </cell>
          <cell r="U113" t="str">
            <v>WRT, Accomm &amp; Restaurant</v>
          </cell>
          <cell r="V113" t="str">
            <v>Finance &amp; Insurance, Real Estate &amp; Business Services</v>
          </cell>
          <cell r="W113" t="str">
            <v>Other Services</v>
          </cell>
          <cell r="X113" t="str">
            <v>Government Services</v>
          </cell>
          <cell r="Y113" t="str">
            <v>Plus :
Import Duties</v>
          </cell>
          <cell r="Z113" t="str">
            <v>GDP at
Purchasers' Prices</v>
          </cell>
        </row>
        <row r="114">
          <cell r="A114" t="str">
            <v>States</v>
          </cell>
          <cell r="B114" t="str">
            <v>Converter</v>
          </cell>
        </row>
        <row r="115">
          <cell r="A115" t="str">
            <v>Johor</v>
          </cell>
          <cell r="B115" t="str">
            <v>01</v>
          </cell>
          <cell r="C115">
            <v>7598.3543408902397</v>
          </cell>
          <cell r="D115">
            <v>6885.6648870220697</v>
          </cell>
          <cell r="E115">
            <v>43.823814344275902</v>
          </cell>
          <cell r="F115">
            <v>668.86563952388894</v>
          </cell>
          <cell r="I115">
            <v>68.259644021538804</v>
          </cell>
          <cell r="J115">
            <v>21037.313603969102</v>
          </cell>
          <cell r="K115">
            <v>2187.2292613146801</v>
          </cell>
          <cell r="L115">
            <v>782.93802206389603</v>
          </cell>
          <cell r="M115">
            <v>1747.60399801933</v>
          </cell>
          <cell r="N115">
            <v>4433.0014906127099</v>
          </cell>
          <cell r="O115">
            <v>2959.6749816146098</v>
          </cell>
          <cell r="P115">
            <v>6941.3134983836399</v>
          </cell>
          <cell r="Q115">
            <v>1985.55235196027</v>
          </cell>
          <cell r="R115">
            <v>2045.38296810252</v>
          </cell>
          <cell r="S115">
            <v>29236.170725071999</v>
          </cell>
          <cell r="T115">
            <v>6750.9132856328797</v>
          </cell>
          <cell r="U115">
            <v>7180.5102023690997</v>
          </cell>
          <cell r="V115">
            <v>8074.0493215517099</v>
          </cell>
          <cell r="W115">
            <v>2904.8927319689701</v>
          </cell>
          <cell r="X115">
            <v>4325.8051835493197</v>
          </cell>
          <cell r="Y115">
            <v>693.70557827933703</v>
          </cell>
          <cell r="Z115">
            <v>60679.186860334798</v>
          </cell>
        </row>
        <row r="116">
          <cell r="A116" t="str">
            <v>Kedah</v>
          </cell>
          <cell r="B116" t="str">
            <v>02</v>
          </cell>
          <cell r="C116">
            <v>2733.6853254788998</v>
          </cell>
          <cell r="D116">
            <v>2308.3442133418998</v>
          </cell>
          <cell r="E116">
            <v>106.97883406489299</v>
          </cell>
          <cell r="F116">
            <v>318.36227807210599</v>
          </cell>
          <cell r="I116">
            <v>18.8280174413953</v>
          </cell>
          <cell r="J116">
            <v>6638.3881956961504</v>
          </cell>
          <cell r="K116">
            <v>368.07677588906398</v>
          </cell>
          <cell r="L116">
            <v>79.920685607240998</v>
          </cell>
          <cell r="M116">
            <v>421.50205793573798</v>
          </cell>
          <cell r="N116">
            <v>1226.4484563983999</v>
          </cell>
          <cell r="O116">
            <v>2054.4917254218699</v>
          </cell>
          <cell r="P116">
            <v>1504.7518518571701</v>
          </cell>
          <cell r="Q116">
            <v>983.19664258666205</v>
          </cell>
          <cell r="R116">
            <v>541.14547700276</v>
          </cell>
          <cell r="S116">
            <v>11936.442698701499</v>
          </cell>
          <cell r="T116">
            <v>1778.81390395945</v>
          </cell>
          <cell r="U116">
            <v>3163.5617114593601</v>
          </cell>
          <cell r="V116">
            <v>2279.1921108864599</v>
          </cell>
          <cell r="W116">
            <v>1926.04713569193</v>
          </cell>
          <cell r="X116">
            <v>2788.8278367043399</v>
          </cell>
          <cell r="Y116">
            <v>129.724135599721</v>
          </cell>
          <cell r="Z116">
            <v>21998.213849920499</v>
          </cell>
        </row>
        <row r="117">
          <cell r="A117" t="str">
            <v>Kelantan</v>
          </cell>
          <cell r="B117" t="str">
            <v>03</v>
          </cell>
          <cell r="C117">
            <v>3071.0633660276799</v>
          </cell>
          <cell r="D117">
            <v>2107.22436031492</v>
          </cell>
          <cell r="E117">
            <v>677.61362545535803</v>
          </cell>
          <cell r="F117">
            <v>286.22538025740499</v>
          </cell>
          <cell r="I117">
            <v>16.4378560717517</v>
          </cell>
          <cell r="J117">
            <v>690.81245984655595</v>
          </cell>
          <cell r="K117">
            <v>112.532619967388</v>
          </cell>
          <cell r="L117">
            <v>35.7228602577026</v>
          </cell>
          <cell r="M117">
            <v>89.073919865818695</v>
          </cell>
          <cell r="N117">
            <v>104.74641691462701</v>
          </cell>
          <cell r="O117">
            <v>71.385453074973398</v>
          </cell>
          <cell r="P117">
            <v>270.27664391315801</v>
          </cell>
          <cell r="Q117">
            <v>7.0745458528880798</v>
          </cell>
          <cell r="R117">
            <v>207.32611766380199</v>
          </cell>
          <cell r="S117">
            <v>7984.6164700812596</v>
          </cell>
          <cell r="T117">
            <v>935.50644685774705</v>
          </cell>
          <cell r="U117">
            <v>2199.32428096787</v>
          </cell>
          <cell r="V117">
            <v>992.01616868978499</v>
          </cell>
          <cell r="W117">
            <v>1356.6305514989001</v>
          </cell>
          <cell r="X117">
            <v>2501.13902206696</v>
          </cell>
          <cell r="Y117">
            <v>20.899161344310301</v>
          </cell>
          <cell r="Z117">
            <v>11991.1554310354</v>
          </cell>
        </row>
        <row r="118">
          <cell r="A118" t="str">
            <v>Melaka</v>
          </cell>
          <cell r="B118" t="str">
            <v>04</v>
          </cell>
          <cell r="C118">
            <v>1794.48560733984</v>
          </cell>
          <cell r="D118">
            <v>1764.4620477127301</v>
          </cell>
          <cell r="E118">
            <v>0.31645724155756999</v>
          </cell>
          <cell r="F118">
            <v>29.707102385548001</v>
          </cell>
          <cell r="I118">
            <v>8.2353402428863607</v>
          </cell>
          <cell r="J118">
            <v>8440.5084099046398</v>
          </cell>
          <cell r="K118">
            <v>367.85516788304602</v>
          </cell>
          <cell r="L118">
            <v>326.50618006210198</v>
          </cell>
          <cell r="M118">
            <v>303.160804991139</v>
          </cell>
          <cell r="N118">
            <v>3390.00490527082</v>
          </cell>
          <cell r="O118">
            <v>536.70441442619801</v>
          </cell>
          <cell r="P118">
            <v>2175.3453643369098</v>
          </cell>
          <cell r="Q118">
            <v>1340.9315729344301</v>
          </cell>
          <cell r="R118">
            <v>569.91112597647498</v>
          </cell>
          <cell r="S118">
            <v>8868.4123399378295</v>
          </cell>
          <cell r="T118">
            <v>1618.0934367930899</v>
          </cell>
          <cell r="U118">
            <v>3040.1483285732702</v>
          </cell>
          <cell r="V118">
            <v>1814.16879793615</v>
          </cell>
          <cell r="W118">
            <v>1130.94667073967</v>
          </cell>
          <cell r="X118">
            <v>1265.0551058956601</v>
          </cell>
          <cell r="Y118">
            <v>7.8042403562103599</v>
          </cell>
          <cell r="Z118">
            <v>19689.3570637579</v>
          </cell>
        </row>
        <row r="119">
          <cell r="A119" t="str">
            <v>Negeri Sembilan</v>
          </cell>
          <cell r="B119" t="str">
            <v>05</v>
          </cell>
          <cell r="C119">
            <v>2015.9306547180799</v>
          </cell>
          <cell r="D119">
            <v>1930.33247837055</v>
          </cell>
          <cell r="E119">
            <v>48.214528414990703</v>
          </cell>
          <cell r="F119">
            <v>37.3836479325401</v>
          </cell>
          <cell r="I119">
            <v>20.531206444456998</v>
          </cell>
          <cell r="J119">
            <v>12289.029198689799</v>
          </cell>
          <cell r="K119">
            <v>1265.4247888038401</v>
          </cell>
          <cell r="L119">
            <v>169.811946399276</v>
          </cell>
          <cell r="M119">
            <v>413.12574398847102</v>
          </cell>
          <cell r="N119">
            <v>3438.3800519340998</v>
          </cell>
          <cell r="O119">
            <v>934.058282358876</v>
          </cell>
          <cell r="P119">
            <v>5029.5214315784297</v>
          </cell>
          <cell r="Q119">
            <v>1038.7069536268</v>
          </cell>
          <cell r="R119">
            <v>583.15016914262105</v>
          </cell>
          <cell r="S119">
            <v>10039.968852706999</v>
          </cell>
          <cell r="T119">
            <v>2380.09261256539</v>
          </cell>
          <cell r="U119">
            <v>2618.9256670966502</v>
          </cell>
          <cell r="V119">
            <v>2048.7909989050199</v>
          </cell>
          <cell r="W119">
            <v>1376.27261475061</v>
          </cell>
          <cell r="X119">
            <v>1615.8869593893801</v>
          </cell>
          <cell r="Y119">
            <v>228.799916956543</v>
          </cell>
          <cell r="Z119">
            <v>25177.409998658499</v>
          </cell>
        </row>
        <row r="120">
          <cell r="A120" t="str">
            <v>Pahang</v>
          </cell>
          <cell r="B120" t="str">
            <v>06</v>
          </cell>
          <cell r="C120">
            <v>5672.8495426607196</v>
          </cell>
          <cell r="D120">
            <v>4511.6503307216099</v>
          </cell>
          <cell r="E120">
            <v>529.44191823602398</v>
          </cell>
          <cell r="F120">
            <v>631.75729370308704</v>
          </cell>
          <cell r="I120">
            <v>178.566419495975</v>
          </cell>
          <cell r="J120">
            <v>6899.3228196329201</v>
          </cell>
          <cell r="K120">
            <v>925.49422077744396</v>
          </cell>
          <cell r="L120">
            <v>21.3974917177141</v>
          </cell>
          <cell r="M120">
            <v>659.90788050961805</v>
          </cell>
          <cell r="N120">
            <v>3062.4981567292598</v>
          </cell>
          <cell r="O120">
            <v>671.98675060911796</v>
          </cell>
          <cell r="P120">
            <v>106.82078047637</v>
          </cell>
          <cell r="Q120">
            <v>1451.2175388133901</v>
          </cell>
          <cell r="R120">
            <v>782.11758540868504</v>
          </cell>
          <cell r="S120">
            <v>13941.070831927</v>
          </cell>
          <cell r="T120">
            <v>1477.06391407244</v>
          </cell>
          <cell r="U120">
            <v>4534.5843284699504</v>
          </cell>
          <cell r="V120">
            <v>1906.0234107915401</v>
          </cell>
          <cell r="W120">
            <v>3422.8515809365499</v>
          </cell>
          <cell r="X120">
            <v>2600.5475976564999</v>
          </cell>
          <cell r="Y120">
            <v>10.4708739581983</v>
          </cell>
          <cell r="Z120">
            <v>27484.398073083499</v>
          </cell>
        </row>
        <row r="121">
          <cell r="A121" t="str">
            <v>Pulau Pinang</v>
          </cell>
          <cell r="B121" t="str">
            <v>07</v>
          </cell>
          <cell r="C121">
            <v>888.99094852272901</v>
          </cell>
          <cell r="D121">
            <v>651.22159236704397</v>
          </cell>
          <cell r="E121">
            <v>0</v>
          </cell>
          <cell r="F121">
            <v>237.76935615568499</v>
          </cell>
          <cell r="I121">
            <v>19.1246938869308</v>
          </cell>
          <cell r="J121">
            <v>24263.659327634199</v>
          </cell>
          <cell r="K121">
            <v>1041.08277393871</v>
          </cell>
          <cell r="L121">
            <v>534.89790830765605</v>
          </cell>
          <cell r="M121">
            <v>906.37835707932197</v>
          </cell>
          <cell r="N121">
            <v>2696.4460690588899</v>
          </cell>
          <cell r="O121">
            <v>2163.8530109986</v>
          </cell>
          <cell r="P121">
            <v>15140.1465095285</v>
          </cell>
          <cell r="Q121">
            <v>1780.85469872253</v>
          </cell>
          <cell r="R121">
            <v>1021.91977091495</v>
          </cell>
          <cell r="S121">
            <v>21688.303059001199</v>
          </cell>
          <cell r="T121">
            <v>4570.3375136091699</v>
          </cell>
          <cell r="U121">
            <v>6218.3805585190403</v>
          </cell>
          <cell r="V121">
            <v>6402.6290576771098</v>
          </cell>
          <cell r="W121">
            <v>2201.0409483533199</v>
          </cell>
          <cell r="X121">
            <v>2295.91498084252</v>
          </cell>
          <cell r="Y121">
            <v>279.09817634319398</v>
          </cell>
          <cell r="Z121">
            <v>48161.095976303201</v>
          </cell>
        </row>
        <row r="122">
          <cell r="A122" t="str">
            <v>Perak</v>
          </cell>
          <cell r="B122" t="str">
            <v>08</v>
          </cell>
          <cell r="C122">
            <v>5241.3585679134603</v>
          </cell>
          <cell r="D122">
            <v>3490.3978906095599</v>
          </cell>
          <cell r="E122">
            <v>397.45434840437503</v>
          </cell>
          <cell r="F122">
            <v>1353.50632889952</v>
          </cell>
          <cell r="I122">
            <v>111.552905846865</v>
          </cell>
          <cell r="J122">
            <v>6549.0848263154103</v>
          </cell>
          <cell r="K122">
            <v>1037.5191619500999</v>
          </cell>
          <cell r="L122">
            <v>187.95000729593201</v>
          </cell>
          <cell r="M122">
            <v>331.45052802276899</v>
          </cell>
          <cell r="N122">
            <v>1294.74421541383</v>
          </cell>
          <cell r="O122">
            <v>1620.3543362374301</v>
          </cell>
          <cell r="P122">
            <v>1611.9499042448001</v>
          </cell>
          <cell r="Q122">
            <v>465.11667315054001</v>
          </cell>
          <cell r="R122">
            <v>717.19374778978397</v>
          </cell>
          <cell r="S122">
            <v>21941.387676528699</v>
          </cell>
          <cell r="T122">
            <v>6444.7229043016596</v>
          </cell>
          <cell r="U122">
            <v>5194.1865508002802</v>
          </cell>
          <cell r="V122">
            <v>3897.0308124437602</v>
          </cell>
          <cell r="W122">
            <v>2753.62435652473</v>
          </cell>
          <cell r="X122">
            <v>3651.8230524583</v>
          </cell>
          <cell r="Y122">
            <v>15.391061046690901</v>
          </cell>
          <cell r="Z122">
            <v>34575.968785440899</v>
          </cell>
        </row>
        <row r="123">
          <cell r="A123" t="str">
            <v>Perlis</v>
          </cell>
          <cell r="B123" t="str">
            <v>09</v>
          </cell>
          <cell r="C123">
            <v>890.253977413808</v>
          </cell>
          <cell r="D123">
            <v>250.038227188164</v>
          </cell>
          <cell r="E123">
            <v>0</v>
          </cell>
          <cell r="F123">
            <v>640.215750225644</v>
          </cell>
          <cell r="I123">
            <v>6.3552696173596797</v>
          </cell>
          <cell r="J123">
            <v>302.11336558226998</v>
          </cell>
          <cell r="K123">
            <v>52.451226974228597</v>
          </cell>
          <cell r="L123">
            <v>41.430334462900099</v>
          </cell>
          <cell r="M123">
            <v>5.1199116479700102</v>
          </cell>
          <cell r="N123">
            <v>61.248855934673102</v>
          </cell>
          <cell r="O123">
            <v>138.71952423795801</v>
          </cell>
          <cell r="P123">
            <v>0.56475732443658899</v>
          </cell>
          <cell r="Q123">
            <v>2.5787550001031798</v>
          </cell>
          <cell r="R123">
            <v>108.664065708869</v>
          </cell>
          <cell r="S123">
            <v>1937.3440641202401</v>
          </cell>
          <cell r="T123">
            <v>677.02078287461802</v>
          </cell>
          <cell r="U123">
            <v>282.88980003650198</v>
          </cell>
          <cell r="V123">
            <v>253.67699812060499</v>
          </cell>
          <cell r="W123">
            <v>256.31133519920502</v>
          </cell>
          <cell r="X123">
            <v>467.44514788931002</v>
          </cell>
          <cell r="Y123">
            <v>73.299611950522902</v>
          </cell>
          <cell r="Z123">
            <v>3318.03035439307</v>
          </cell>
        </row>
        <row r="124">
          <cell r="A124" t="str">
            <v>Selangor</v>
          </cell>
          <cell r="B124">
            <v>10</v>
          </cell>
          <cell r="C124">
            <v>2706.54572787396</v>
          </cell>
          <cell r="D124">
            <v>1778.1379792200801</v>
          </cell>
          <cell r="E124">
            <v>3.4337174438734501</v>
          </cell>
          <cell r="F124">
            <v>924.97403121000798</v>
          </cell>
          <cell r="I124">
            <v>127.244240156123</v>
          </cell>
          <cell r="J124">
            <v>50189.2496835778</v>
          </cell>
          <cell r="K124">
            <v>7955.0931080243399</v>
          </cell>
          <cell r="L124">
            <v>531.41727182738396</v>
          </cell>
          <cell r="M124">
            <v>2995.0687524483401</v>
          </cell>
          <cell r="N124">
            <v>7040.3779359457303</v>
          </cell>
          <cell r="O124">
            <v>6453.92059306993</v>
          </cell>
          <cell r="P124">
            <v>12092.630973113301</v>
          </cell>
          <cell r="Q124">
            <v>13120.741049148801</v>
          </cell>
          <cell r="R124">
            <v>7248.0361555894597</v>
          </cell>
          <cell r="S124">
            <v>90799.867556183905</v>
          </cell>
          <cell r="T124">
            <v>21753.1414275928</v>
          </cell>
          <cell r="U124">
            <v>29898.888005700599</v>
          </cell>
          <cell r="V124">
            <v>24579.777021532798</v>
          </cell>
          <cell r="W124">
            <v>7542.24113877529</v>
          </cell>
          <cell r="X124">
            <v>7025.81996258247</v>
          </cell>
          <cell r="Y124">
            <v>4667.9359911748797</v>
          </cell>
          <cell r="Z124">
            <v>155738.879354556</v>
          </cell>
        </row>
        <row r="125">
          <cell r="A125" t="str">
            <v>Terengganu</v>
          </cell>
          <cell r="B125">
            <v>11</v>
          </cell>
          <cell r="C125">
            <v>1502.42703928226</v>
          </cell>
          <cell r="D125">
            <v>1145.04075419776</v>
          </cell>
          <cell r="E125">
            <v>108.922814844762</v>
          </cell>
          <cell r="F125">
            <v>248.463470239733</v>
          </cell>
          <cell r="I125">
            <v>14.3354558514615</v>
          </cell>
          <cell r="J125">
            <v>7214.7000354725296</v>
          </cell>
          <cell r="K125">
            <v>66.728878161678693</v>
          </cell>
          <cell r="L125">
            <v>44.048798066171003</v>
          </cell>
          <cell r="M125">
            <v>101.77840981852199</v>
          </cell>
          <cell r="N125">
            <v>6596.5370587211601</v>
          </cell>
          <cell r="O125">
            <v>338.26986463669903</v>
          </cell>
          <cell r="P125">
            <v>2.3404493387629799</v>
          </cell>
          <cell r="Q125">
            <v>64.996576729532705</v>
          </cell>
          <cell r="R125">
            <v>648.48607448725102</v>
          </cell>
          <cell r="S125">
            <v>9093.8914214729393</v>
          </cell>
          <cell r="T125">
            <v>3627.3338756503599</v>
          </cell>
          <cell r="U125">
            <v>1653.0362401719699</v>
          </cell>
          <cell r="V125">
            <v>837.27481127513101</v>
          </cell>
          <cell r="W125">
            <v>888.09695694086497</v>
          </cell>
          <cell r="X125">
            <v>2088.14953743461</v>
          </cell>
          <cell r="Y125">
            <v>13.4239951153119</v>
          </cell>
          <cell r="Z125">
            <v>18487.264021681702</v>
          </cell>
        </row>
        <row r="126">
          <cell r="A126" t="str">
            <v>Sabah</v>
          </cell>
          <cell r="B126">
            <v>12</v>
          </cell>
          <cell r="C126">
            <v>9333.0021421278598</v>
          </cell>
          <cell r="D126">
            <v>6100.7278202973503</v>
          </cell>
          <cell r="E126">
            <v>1494.15173959661</v>
          </cell>
          <cell r="F126">
            <v>1738.1225822338999</v>
          </cell>
          <cell r="I126">
            <v>9981.4576113374696</v>
          </cell>
          <cell r="J126">
            <v>3296.1000083382501</v>
          </cell>
          <cell r="K126">
            <v>1779.1503845996899</v>
          </cell>
          <cell r="L126">
            <v>35.183050821935502</v>
          </cell>
          <cell r="M126">
            <v>825.74608328706199</v>
          </cell>
          <cell r="N126">
            <v>164.51613490018701</v>
          </cell>
          <cell r="O126">
            <v>329.33465262169199</v>
          </cell>
          <cell r="P126">
            <v>9.6836285176547197</v>
          </cell>
          <cell r="Q126">
            <v>152.486073590019</v>
          </cell>
          <cell r="R126">
            <v>1048.32131495573</v>
          </cell>
          <cell r="S126">
            <v>18249.0380787022</v>
          </cell>
          <cell r="T126">
            <v>3461.1455486172499</v>
          </cell>
          <cell r="U126">
            <v>6027.3226036168899</v>
          </cell>
          <cell r="V126">
            <v>3661.9798489268401</v>
          </cell>
          <cell r="W126">
            <v>1705.5620623341599</v>
          </cell>
          <cell r="X126">
            <v>3393.02801520702</v>
          </cell>
          <cell r="Y126">
            <v>193.38277115297299</v>
          </cell>
          <cell r="Z126">
            <v>42101.301926614397</v>
          </cell>
        </row>
        <row r="127">
          <cell r="A127" t="str">
            <v>Sarawak</v>
          </cell>
          <cell r="B127">
            <v>13</v>
          </cell>
          <cell r="C127">
            <v>7694.6268346018496</v>
          </cell>
          <cell r="D127">
            <v>3743.7971310764401</v>
          </cell>
          <cell r="E127">
            <v>3512.6235058080101</v>
          </cell>
          <cell r="F127">
            <v>438.20619771739302</v>
          </cell>
          <cell r="I127">
            <v>15757.0015301638</v>
          </cell>
          <cell r="J127">
            <v>18116.8093202567</v>
          </cell>
          <cell r="K127">
            <v>663.697594744968</v>
          </cell>
          <cell r="L127">
            <v>15.0311885489606</v>
          </cell>
          <cell r="M127">
            <v>1502.3919041398201</v>
          </cell>
          <cell r="N127">
            <v>14580.9532505529</v>
          </cell>
          <cell r="O127">
            <v>466.14674304866998</v>
          </cell>
          <cell r="P127">
            <v>520.84665857406503</v>
          </cell>
          <cell r="Q127">
            <v>367.74198064728199</v>
          </cell>
          <cell r="R127">
            <v>1877.0483570021199</v>
          </cell>
          <cell r="S127">
            <v>23200.6558210517</v>
          </cell>
          <cell r="T127">
            <v>5246.0543498770203</v>
          </cell>
          <cell r="U127">
            <v>6280.5784683472802</v>
          </cell>
          <cell r="V127">
            <v>5981.4911503486201</v>
          </cell>
          <cell r="W127">
            <v>2294.15121074228</v>
          </cell>
          <cell r="X127">
            <v>3398.3806417365499</v>
          </cell>
          <cell r="Y127">
            <v>301.068958955516</v>
          </cell>
          <cell r="Z127">
            <v>66947.210822031702</v>
          </cell>
        </row>
        <row r="128">
          <cell r="A128" t="str">
            <v>WP Kuala Lumpur</v>
          </cell>
          <cell r="B128">
            <v>14</v>
          </cell>
          <cell r="C128">
            <v>1.17572172328511</v>
          </cell>
          <cell r="D128">
            <v>1.17572172328511</v>
          </cell>
          <cell r="E128">
            <v>0</v>
          </cell>
          <cell r="F128">
            <v>0</v>
          </cell>
          <cell r="I128">
            <v>27.291962033823101</v>
          </cell>
          <cell r="J128">
            <v>3757.3330725698902</v>
          </cell>
          <cell r="K128">
            <v>435.95852116711302</v>
          </cell>
          <cell r="L128">
            <v>311.82545341745299</v>
          </cell>
          <cell r="M128">
            <v>558.86987045419903</v>
          </cell>
          <cell r="N128">
            <v>562.95918164167699</v>
          </cell>
          <cell r="O128">
            <v>615.833407859423</v>
          </cell>
          <cell r="P128">
            <v>565.42640847014002</v>
          </cell>
          <cell r="Q128">
            <v>706.46022955988599</v>
          </cell>
          <cell r="R128">
            <v>4039.3162243751299</v>
          </cell>
          <cell r="S128">
            <v>88999.185666447098</v>
          </cell>
          <cell r="T128">
            <v>5859.4981354623997</v>
          </cell>
          <cell r="U128">
            <v>33263.711150495801</v>
          </cell>
          <cell r="V128">
            <v>33928.255428053999</v>
          </cell>
          <cell r="W128">
            <v>4586.0170306022601</v>
          </cell>
          <cell r="X128">
            <v>11361.703921832601</v>
          </cell>
          <cell r="Y128">
            <v>1005.54682827907</v>
          </cell>
          <cell r="Z128">
            <v>97829.849475428302</v>
          </cell>
        </row>
        <row r="129">
          <cell r="A129" t="str">
            <v>WP Labuan</v>
          </cell>
          <cell r="B129">
            <v>15</v>
          </cell>
          <cell r="C129">
            <v>117.835512878771</v>
          </cell>
          <cell r="D129">
            <v>7.4245397112611</v>
          </cell>
          <cell r="E129">
            <v>0</v>
          </cell>
          <cell r="F129">
            <v>110.41097316750999</v>
          </cell>
          <cell r="I129">
            <v>0</v>
          </cell>
          <cell r="J129">
            <v>576.19529319268997</v>
          </cell>
          <cell r="K129">
            <v>11.6146768482245</v>
          </cell>
          <cell r="L129">
            <v>2.75964839768156</v>
          </cell>
          <cell r="M129">
            <v>1.41659429612576</v>
          </cell>
          <cell r="N129">
            <v>257.48306212891299</v>
          </cell>
          <cell r="O129">
            <v>273.525809078002</v>
          </cell>
          <cell r="P129">
            <v>1.0281257709365199</v>
          </cell>
          <cell r="Q129">
            <v>28.367376672806301</v>
          </cell>
          <cell r="R129">
            <v>20.557724287622801</v>
          </cell>
          <cell r="S129">
            <v>1912.81908981113</v>
          </cell>
          <cell r="T129">
            <v>202.44696601929701</v>
          </cell>
          <cell r="U129">
            <v>240.06121027596001</v>
          </cell>
          <cell r="V129">
            <v>1313.4462330045201</v>
          </cell>
          <cell r="W129">
            <v>68.710276306096105</v>
          </cell>
          <cell r="X129">
            <v>88.154404205260093</v>
          </cell>
          <cell r="Y129">
            <v>19.052607394355999</v>
          </cell>
          <cell r="Z129">
            <v>2646.4602275645698</v>
          </cell>
        </row>
        <row r="130">
          <cell r="A130" t="str">
            <v>Supra1</v>
          </cell>
          <cell r="C130">
            <v>0</v>
          </cell>
          <cell r="D130">
            <v>0</v>
          </cell>
          <cell r="E130">
            <v>0</v>
          </cell>
          <cell r="F130">
            <v>0</v>
          </cell>
          <cell r="I130">
            <v>39827.220356516496</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39827.220356516496</v>
          </cell>
        </row>
        <row r="131">
          <cell r="A131" t="str">
            <v>MALAYSIA</v>
          </cell>
          <cell r="C131">
            <v>51262.585309453403</v>
          </cell>
          <cell r="D131">
            <v>36675.639973874699</v>
          </cell>
          <cell r="E131">
            <v>6922.9753038547296</v>
          </cell>
          <cell r="F131">
            <v>7663.9700317239704</v>
          </cell>
          <cell r="I131">
            <v>66182.442509128305</v>
          </cell>
          <cell r="J131">
            <v>170260.619620679</v>
          </cell>
          <cell r="K131">
            <v>18269.909161044499</v>
          </cell>
          <cell r="L131">
            <v>3120.84084725401</v>
          </cell>
          <cell r="M131">
            <v>10862.594816504199</v>
          </cell>
          <cell r="N131">
            <v>48910.345242157899</v>
          </cell>
          <cell r="O131">
            <v>19628.259549294002</v>
          </cell>
          <cell r="P131">
            <v>45972.646985428299</v>
          </cell>
          <cell r="Q131">
            <v>23496.023018995998</v>
          </cell>
          <cell r="R131">
            <v>21458.576878407799</v>
          </cell>
          <cell r="S131">
            <v>359829.17435174598</v>
          </cell>
          <cell r="T131">
            <v>66782.185103885597</v>
          </cell>
          <cell r="U131">
            <v>111796.109106901</v>
          </cell>
          <cell r="V131">
            <v>97969.802170144001</v>
          </cell>
          <cell r="W131">
            <v>34413.396601364802</v>
          </cell>
          <cell r="X131">
            <v>48867.681369450802</v>
          </cell>
          <cell r="Y131">
            <v>7659.6039079068296</v>
          </cell>
          <cell r="Z131">
            <v>676653.00257732102</v>
          </cell>
        </row>
        <row r="134">
          <cell r="A134" t="str">
            <v>CONSTANT</v>
          </cell>
          <cell r="B134" t="str">
            <v>Industry</v>
          </cell>
          <cell r="D134">
            <v>1</v>
          </cell>
          <cell r="E134">
            <v>2</v>
          </cell>
          <cell r="F134">
            <v>3</v>
          </cell>
          <cell r="I134">
            <v>4</v>
          </cell>
          <cell r="K134">
            <v>6</v>
          </cell>
          <cell r="L134">
            <v>7</v>
          </cell>
          <cell r="M134">
            <v>8</v>
          </cell>
          <cell r="N134">
            <v>9</v>
          </cell>
          <cell r="O134">
            <v>10</v>
          </cell>
          <cell r="P134">
            <v>11</v>
          </cell>
          <cell r="Q134">
            <v>12</v>
          </cell>
          <cell r="R134">
            <v>5</v>
          </cell>
          <cell r="T134">
            <v>13</v>
          </cell>
          <cell r="U134">
            <v>14</v>
          </cell>
          <cell r="V134">
            <v>15</v>
          </cell>
          <cell r="W134">
            <v>16</v>
          </cell>
        </row>
        <row r="135">
          <cell r="A135">
            <v>2011</v>
          </cell>
          <cell r="B135" t="str">
            <v>I</v>
          </cell>
          <cell r="C135" t="str">
            <v>Agriculture</v>
          </cell>
          <cell r="D135" t="str">
            <v>Tanaman</v>
          </cell>
          <cell r="E135" t="str">
            <v>Pembalakan</v>
          </cell>
          <cell r="F135" t="str">
            <v>Perikanan</v>
          </cell>
          <cell r="I135" t="str">
            <v>Mining and
Quarrying</v>
          </cell>
          <cell r="J135" t="str">
            <v>Manufacturing</v>
          </cell>
          <cell r="K135" t="str">
            <v>Prosesan Makanan, Minuman dan Produk Tembakau</v>
          </cell>
          <cell r="L135" t="str">
            <v>Tekstil, Pakaian, Kulit dan Kasut</v>
          </cell>
          <cell r="M135" t="str">
            <v>Keluaran Kayu, Perabot, Produk Kertas, Percetakan dan Penerbitan</v>
          </cell>
          <cell r="N135" t="str">
            <v>Produk Petroleum, Bahan kimia, Getah dan Plastik</v>
          </cell>
          <cell r="O135" t="str">
            <v>Produk Mineral Bukan Logam, Logam Asli dan Produk Logam Yang Direka</v>
          </cell>
          <cell r="P135" t="str">
            <v>Elektrik dan Elektronik</v>
          </cell>
          <cell r="Q135" t="str">
            <v>Kelengkapan Pengangkutan dan Pembuatan Lain</v>
          </cell>
          <cell r="R135" t="str">
            <v>Construction</v>
          </cell>
          <cell r="S135" t="str">
            <v>Services</v>
          </cell>
          <cell r="T135" t="str">
            <v>Utiliti, Transport &amp; Communication</v>
          </cell>
          <cell r="U135" t="str">
            <v>WRT, Accomm &amp; Restaurant</v>
          </cell>
          <cell r="V135" t="str">
            <v>Finance &amp; Insurance, Real Estate &amp; Business Services</v>
          </cell>
          <cell r="W135" t="str">
            <v>Other Services</v>
          </cell>
          <cell r="X135" t="str">
            <v>Government Services</v>
          </cell>
          <cell r="Y135" t="str">
            <v>Plus :
Import Duties</v>
          </cell>
          <cell r="Z135" t="str">
            <v>GDP at
Purchasers' Prices</v>
          </cell>
        </row>
        <row r="136">
          <cell r="A136" t="str">
            <v>States</v>
          </cell>
          <cell r="B136" t="str">
            <v>Converter</v>
          </cell>
        </row>
        <row r="137">
          <cell r="A137" t="str">
            <v>Johor</v>
          </cell>
          <cell r="B137" t="str">
            <v>01</v>
          </cell>
          <cell r="C137">
            <v>8134.6770207458503</v>
          </cell>
          <cell r="D137">
            <v>7422.0715582305802</v>
          </cell>
          <cell r="E137">
            <v>47.762779025678199</v>
          </cell>
          <cell r="F137">
            <v>664.84268348959301</v>
          </cell>
          <cell r="I137">
            <v>70.624621916013794</v>
          </cell>
          <cell r="J137">
            <v>21994.898483521501</v>
          </cell>
          <cell r="K137">
            <v>2410.6855618292698</v>
          </cell>
          <cell r="L137">
            <v>871.84644902889499</v>
          </cell>
          <cell r="M137">
            <v>1782.4639099186099</v>
          </cell>
          <cell r="N137">
            <v>5230.0964648468298</v>
          </cell>
          <cell r="O137">
            <v>3302.5548771064</v>
          </cell>
          <cell r="P137">
            <v>6458.0726612356502</v>
          </cell>
          <cell r="Q137">
            <v>1939.1785595558499</v>
          </cell>
          <cell r="R137">
            <v>2029.3071001792</v>
          </cell>
          <cell r="S137">
            <v>31642.340433222402</v>
          </cell>
          <cell r="T137">
            <v>7296.5972343024996</v>
          </cell>
          <cell r="U137">
            <v>7682.37373900291</v>
          </cell>
          <cell r="V137">
            <v>8629.8666459142405</v>
          </cell>
          <cell r="W137">
            <v>3096.7312974633601</v>
          </cell>
          <cell r="X137">
            <v>4936.7715165394102</v>
          </cell>
          <cell r="Y137">
            <v>719.74007920346901</v>
          </cell>
          <cell r="Z137">
            <v>64591.587738788403</v>
          </cell>
        </row>
        <row r="138">
          <cell r="A138" t="str">
            <v>Kedah</v>
          </cell>
          <cell r="B138" t="str">
            <v>02</v>
          </cell>
          <cell r="C138">
            <v>2960.6632872735699</v>
          </cell>
          <cell r="D138">
            <v>2540.7729817119698</v>
          </cell>
          <cell r="E138">
            <v>117.22210580143999</v>
          </cell>
          <cell r="F138">
            <v>302.66819976016399</v>
          </cell>
          <cell r="I138">
            <v>20.032884294642901</v>
          </cell>
          <cell r="J138">
            <v>7352.0687446499696</v>
          </cell>
          <cell r="K138">
            <v>383.350799132188</v>
          </cell>
          <cell r="L138">
            <v>81.717323357246499</v>
          </cell>
          <cell r="M138">
            <v>440.09319389067099</v>
          </cell>
          <cell r="N138">
            <v>1412.68923948528</v>
          </cell>
          <cell r="O138">
            <v>2261.31833975989</v>
          </cell>
          <cell r="P138">
            <v>1487.0281647716699</v>
          </cell>
          <cell r="Q138">
            <v>1285.87168425303</v>
          </cell>
          <cell r="R138">
            <v>544.91931712892699</v>
          </cell>
          <cell r="S138">
            <v>12829.536155953399</v>
          </cell>
          <cell r="T138">
            <v>1918.0622325428001</v>
          </cell>
          <cell r="U138">
            <v>3317.3555159477801</v>
          </cell>
          <cell r="V138">
            <v>2490.2016389007299</v>
          </cell>
          <cell r="W138">
            <v>2009.5826020151301</v>
          </cell>
          <cell r="X138">
            <v>3094.3341665469802</v>
          </cell>
          <cell r="Y138">
            <v>129.48746996672901</v>
          </cell>
          <cell r="Z138">
            <v>23836.707859267299</v>
          </cell>
        </row>
        <row r="139">
          <cell r="A139" t="str">
            <v>Kelantan</v>
          </cell>
          <cell r="B139" t="str">
            <v>03</v>
          </cell>
          <cell r="C139">
            <v>3250.3931440866399</v>
          </cell>
          <cell r="D139">
            <v>2307.48252030412</v>
          </cell>
          <cell r="E139">
            <v>686.82311431359699</v>
          </cell>
          <cell r="F139">
            <v>256.08750946892599</v>
          </cell>
          <cell r="I139">
            <v>17.555017875334102</v>
          </cell>
          <cell r="J139">
            <v>720.02379042973098</v>
          </cell>
          <cell r="K139">
            <v>120.480108489873</v>
          </cell>
          <cell r="L139">
            <v>33.115332635042897</v>
          </cell>
          <cell r="M139">
            <v>86.254756643894197</v>
          </cell>
          <cell r="N139">
            <v>125.631643864236</v>
          </cell>
          <cell r="O139">
            <v>81.481969197679106</v>
          </cell>
          <cell r="P139">
            <v>265.79753286347898</v>
          </cell>
          <cell r="Q139">
            <v>7.26244673552634</v>
          </cell>
          <cell r="R139">
            <v>205.35856253309299</v>
          </cell>
          <cell r="S139">
            <v>8563.4068646215401</v>
          </cell>
          <cell r="T139">
            <v>1008.9559015075901</v>
          </cell>
          <cell r="U139">
            <v>2303.81195694282</v>
          </cell>
          <cell r="V139">
            <v>1043.9061010979001</v>
          </cell>
          <cell r="W139">
            <v>1410.4768872443699</v>
          </cell>
          <cell r="X139">
            <v>2796.25601782887</v>
          </cell>
          <cell r="Y139">
            <v>23.1335746334703</v>
          </cell>
          <cell r="Z139">
            <v>12779.8709541798</v>
          </cell>
        </row>
        <row r="140">
          <cell r="A140" t="str">
            <v>Melaka</v>
          </cell>
          <cell r="B140" t="str">
            <v>04</v>
          </cell>
          <cell r="C140">
            <v>1904.4398963829201</v>
          </cell>
          <cell r="D140">
            <v>1875.3104448702099</v>
          </cell>
          <cell r="E140">
            <v>0.34854431854738999</v>
          </cell>
          <cell r="F140">
            <v>28.7809071941657</v>
          </cell>
          <cell r="I140">
            <v>8.7133632236388596</v>
          </cell>
          <cell r="J140">
            <v>8526.6092260537007</v>
          </cell>
          <cell r="K140">
            <v>404.35623405683498</v>
          </cell>
          <cell r="L140">
            <v>371.82640156334901</v>
          </cell>
          <cell r="M140">
            <v>289.34137120731998</v>
          </cell>
          <cell r="N140">
            <v>3915.2355954753298</v>
          </cell>
          <cell r="O140">
            <v>586.39123981980595</v>
          </cell>
          <cell r="P140">
            <v>1917.9929215814</v>
          </cell>
          <cell r="Q140">
            <v>1041.4654623496499</v>
          </cell>
          <cell r="R140">
            <v>578.56670411304901</v>
          </cell>
          <cell r="S140">
            <v>9447.5733618878294</v>
          </cell>
          <cell r="T140">
            <v>1718.8795132765799</v>
          </cell>
          <cell r="U140">
            <v>3241.9358636103698</v>
          </cell>
          <cell r="V140">
            <v>1872.6180711970701</v>
          </cell>
          <cell r="W140">
            <v>1206.3822808283201</v>
          </cell>
          <cell r="X140">
            <v>1407.7576329755</v>
          </cell>
          <cell r="Y140">
            <v>8.4322950552220597</v>
          </cell>
          <cell r="Z140">
            <v>20474.3348467164</v>
          </cell>
        </row>
        <row r="141">
          <cell r="A141" t="str">
            <v>Negeri Sembilan</v>
          </cell>
          <cell r="B141" t="str">
            <v>05</v>
          </cell>
          <cell r="C141">
            <v>2126.3575406422601</v>
          </cell>
          <cell r="D141">
            <v>2036.69822993804</v>
          </cell>
          <cell r="E141">
            <v>51.872211126034898</v>
          </cell>
          <cell r="F141">
            <v>37.787099578188702</v>
          </cell>
          <cell r="I141">
            <v>21.145056486151599</v>
          </cell>
          <cell r="J141">
            <v>12894.9399107464</v>
          </cell>
          <cell r="K141">
            <v>1392.6142550950001</v>
          </cell>
          <cell r="L141">
            <v>182.82011147314299</v>
          </cell>
          <cell r="M141">
            <v>396.74162644753102</v>
          </cell>
          <cell r="N141">
            <v>3806.0058318315801</v>
          </cell>
          <cell r="O141">
            <v>1183.1215905153699</v>
          </cell>
          <cell r="P141">
            <v>5033.5464955859998</v>
          </cell>
          <cell r="Q141">
            <v>900.089999797779</v>
          </cell>
          <cell r="R141">
            <v>611.75562451344899</v>
          </cell>
          <cell r="S141">
            <v>10586.379094448601</v>
          </cell>
          <cell r="T141">
            <v>2510.4388442251702</v>
          </cell>
          <cell r="U141">
            <v>2705.1158011420398</v>
          </cell>
          <cell r="V141">
            <v>2162.4276451003998</v>
          </cell>
          <cell r="W141">
            <v>1415.49372916073</v>
          </cell>
          <cell r="X141">
            <v>1792.9030748202899</v>
          </cell>
          <cell r="Y141">
            <v>172.97280325428</v>
          </cell>
          <cell r="Z141">
            <v>26413.550030091199</v>
          </cell>
        </row>
        <row r="142">
          <cell r="A142" t="str">
            <v>Pahang</v>
          </cell>
          <cell r="B142" t="str">
            <v>06</v>
          </cell>
          <cell r="C142">
            <v>6116.6826148353102</v>
          </cell>
          <cell r="D142">
            <v>4876.2907066867701</v>
          </cell>
          <cell r="E142">
            <v>581.04914766295406</v>
          </cell>
          <cell r="F142">
            <v>659.34276048559298</v>
          </cell>
          <cell r="I142">
            <v>197.77283771610999</v>
          </cell>
          <cell r="J142">
            <v>7260.4879476781798</v>
          </cell>
          <cell r="K142">
            <v>1016.56039347948</v>
          </cell>
          <cell r="L142">
            <v>28.841100684370499</v>
          </cell>
          <cell r="M142">
            <v>663.49731876668102</v>
          </cell>
          <cell r="N142">
            <v>3082.3091472992101</v>
          </cell>
          <cell r="O142">
            <v>675.63786091811698</v>
          </cell>
          <cell r="P142">
            <v>120.79217979550501</v>
          </cell>
          <cell r="Q142">
            <v>1672.8499467348099</v>
          </cell>
          <cell r="R142">
            <v>760.95804245120905</v>
          </cell>
          <cell r="S142">
            <v>14857.175356735999</v>
          </cell>
          <cell r="T142">
            <v>1588.7553522870401</v>
          </cell>
          <cell r="U142">
            <v>4712.8127755404103</v>
          </cell>
          <cell r="V142">
            <v>2024.6759611119801</v>
          </cell>
          <cell r="W142">
            <v>3658.8446811840599</v>
          </cell>
          <cell r="X142">
            <v>2872.08658661247</v>
          </cell>
          <cell r="Y142">
            <v>8.1035979179312605</v>
          </cell>
          <cell r="Z142">
            <v>29201.180397334701</v>
          </cell>
        </row>
        <row r="143">
          <cell r="A143" t="str">
            <v>Pulau Pinang</v>
          </cell>
          <cell r="B143" t="str">
            <v>07</v>
          </cell>
          <cell r="C143">
            <v>943.98157091535802</v>
          </cell>
          <cell r="D143">
            <v>691.89542709139801</v>
          </cell>
          <cell r="E143">
            <v>0</v>
          </cell>
          <cell r="F143">
            <v>252.08614382396101</v>
          </cell>
          <cell r="I143">
            <v>20.412292848177401</v>
          </cell>
          <cell r="J143">
            <v>24567.200957016299</v>
          </cell>
          <cell r="K143">
            <v>1025.0814368202</v>
          </cell>
          <cell r="L143">
            <v>620.82769623989998</v>
          </cell>
          <cell r="M143">
            <v>937.54425826509896</v>
          </cell>
          <cell r="N143">
            <v>3033.8457202014401</v>
          </cell>
          <cell r="O143">
            <v>2711.3973129731698</v>
          </cell>
          <cell r="P143">
            <v>14250.225567134999</v>
          </cell>
          <cell r="Q143">
            <v>1988.27896538147</v>
          </cell>
          <cell r="R143">
            <v>1073.9697622496999</v>
          </cell>
          <cell r="S143">
            <v>23107.214875716301</v>
          </cell>
          <cell r="T143">
            <v>4848.8281431502801</v>
          </cell>
          <cell r="U143">
            <v>6544.7360624590601</v>
          </cell>
          <cell r="V143">
            <v>6773.4100588843603</v>
          </cell>
          <cell r="W143">
            <v>2284.3270174064601</v>
          </cell>
          <cell r="X143">
            <v>2655.9135938161498</v>
          </cell>
          <cell r="Y143">
            <v>340.45827634796098</v>
          </cell>
          <cell r="Z143">
            <v>50053.237735093797</v>
          </cell>
        </row>
        <row r="144">
          <cell r="A144" t="str">
            <v>Perak</v>
          </cell>
          <cell r="B144" t="str">
            <v>08</v>
          </cell>
          <cell r="C144">
            <v>5627.2105795027801</v>
          </cell>
          <cell r="D144">
            <v>3735.9622783095001</v>
          </cell>
          <cell r="E144">
            <v>409.87173923597499</v>
          </cell>
          <cell r="F144">
            <v>1481.3765619573001</v>
          </cell>
          <cell r="I144">
            <v>120.25875212874401</v>
          </cell>
          <cell r="J144">
            <v>7268.061069286</v>
          </cell>
          <cell r="K144">
            <v>1151.51899843193</v>
          </cell>
          <cell r="L144">
            <v>181.75845234122301</v>
          </cell>
          <cell r="M144">
            <v>333.998529282964</v>
          </cell>
          <cell r="N144">
            <v>1351.0119551047201</v>
          </cell>
          <cell r="O144">
            <v>1915.4260496440399</v>
          </cell>
          <cell r="P144">
            <v>1853.97778166991</v>
          </cell>
          <cell r="Q144">
            <v>480.36930281122102</v>
          </cell>
          <cell r="R144">
            <v>721.20399693463105</v>
          </cell>
          <cell r="S144">
            <v>23246.9407555014</v>
          </cell>
          <cell r="T144">
            <v>6773.3004810202901</v>
          </cell>
          <cell r="U144">
            <v>5562.0388359467297</v>
          </cell>
          <cell r="V144">
            <v>4021.9619357315</v>
          </cell>
          <cell r="W144">
            <v>2851.47468013759</v>
          </cell>
          <cell r="X144">
            <v>4038.1648226652501</v>
          </cell>
          <cell r="Y144">
            <v>17.576273903996899</v>
          </cell>
          <cell r="Z144">
            <v>37001.251427257499</v>
          </cell>
        </row>
        <row r="145">
          <cell r="A145" t="str">
            <v>Perlis</v>
          </cell>
          <cell r="B145" t="str">
            <v>09</v>
          </cell>
          <cell r="C145">
            <v>827.73384823097501</v>
          </cell>
          <cell r="D145">
            <v>267.55028768946102</v>
          </cell>
          <cell r="E145">
            <v>0</v>
          </cell>
          <cell r="F145">
            <v>560.183560541514</v>
          </cell>
          <cell r="I145">
            <v>6.8440980555753903</v>
          </cell>
          <cell r="J145">
            <v>341.31202616500502</v>
          </cell>
          <cell r="K145">
            <v>55.916553000696197</v>
          </cell>
          <cell r="L145">
            <v>46.901569706717702</v>
          </cell>
          <cell r="M145">
            <v>5.3489647809514098</v>
          </cell>
          <cell r="N145">
            <v>65.394872424891801</v>
          </cell>
          <cell r="O145">
            <v>164.585883281571</v>
          </cell>
          <cell r="P145">
            <v>0.63380209987725999</v>
          </cell>
          <cell r="Q145">
            <v>2.5303808702997199</v>
          </cell>
          <cell r="R145">
            <v>104.527779096072</v>
          </cell>
          <cell r="S145">
            <v>2054.2194129108302</v>
          </cell>
          <cell r="T145">
            <v>709.11684778855999</v>
          </cell>
          <cell r="U145">
            <v>290.57844365090398</v>
          </cell>
          <cell r="V145">
            <v>267.76177137988799</v>
          </cell>
          <cell r="W145">
            <v>266.403762604527</v>
          </cell>
          <cell r="X145">
            <v>520.35858748695296</v>
          </cell>
          <cell r="Y145">
            <v>51.284124517975201</v>
          </cell>
          <cell r="Z145">
            <v>3385.9212889764399</v>
          </cell>
        </row>
        <row r="146">
          <cell r="A146" t="str">
            <v>Selangor</v>
          </cell>
          <cell r="B146">
            <v>10</v>
          </cell>
          <cell r="C146">
            <v>2767.08637642542</v>
          </cell>
          <cell r="D146">
            <v>1820.29293336213</v>
          </cell>
          <cell r="E146">
            <v>4.4435296450322896</v>
          </cell>
          <cell r="F146">
            <v>942.34991341826003</v>
          </cell>
          <cell r="I146">
            <v>131.697998796847</v>
          </cell>
          <cell r="J146">
            <v>52570.440498427997</v>
          </cell>
          <cell r="K146">
            <v>8462.3134701883191</v>
          </cell>
          <cell r="L146">
            <v>588.93175652236403</v>
          </cell>
          <cell r="M146">
            <v>3075.9646553236098</v>
          </cell>
          <cell r="N146">
            <v>7589.64097187274</v>
          </cell>
          <cell r="O146">
            <v>7971.0594568084098</v>
          </cell>
          <cell r="P146">
            <v>12269.9170350355</v>
          </cell>
          <cell r="Q146">
            <v>12612.613152677</v>
          </cell>
          <cell r="R146">
            <v>7881.1943849313302</v>
          </cell>
          <cell r="S146">
            <v>96132.655217595297</v>
          </cell>
          <cell r="T146">
            <v>22998.0823201739</v>
          </cell>
          <cell r="U146">
            <v>31903.082917761101</v>
          </cell>
          <cell r="V146">
            <v>25513.710287414498</v>
          </cell>
          <cell r="W146">
            <v>7886.0997908309901</v>
          </cell>
          <cell r="X146">
            <v>7831.6799014148501</v>
          </cell>
          <cell r="Y146">
            <v>5268.2420999035103</v>
          </cell>
          <cell r="Z146">
            <v>164751.31657607999</v>
          </cell>
        </row>
        <row r="147">
          <cell r="A147" t="str">
            <v>Terengganu</v>
          </cell>
          <cell r="B147">
            <v>11</v>
          </cell>
          <cell r="C147">
            <v>1552.46893375229</v>
          </cell>
          <cell r="D147">
            <v>1208.9483804997501</v>
          </cell>
          <cell r="E147">
            <v>106.315710638803</v>
          </cell>
          <cell r="F147">
            <v>237.20484261373599</v>
          </cell>
          <cell r="I147">
            <v>16.019035491132101</v>
          </cell>
          <cell r="J147">
            <v>7150.1795860023003</v>
          </cell>
          <cell r="K147">
            <v>72.750622101171899</v>
          </cell>
          <cell r="L147">
            <v>49.844395080289402</v>
          </cell>
          <cell r="M147">
            <v>95.600371067727593</v>
          </cell>
          <cell r="N147">
            <v>6431.6391186826704</v>
          </cell>
          <cell r="O147">
            <v>433.51495093672702</v>
          </cell>
          <cell r="P147">
            <v>2.6391065351343701</v>
          </cell>
          <cell r="Q147">
            <v>64.191021598576896</v>
          </cell>
          <cell r="R147">
            <v>630.31504073162705</v>
          </cell>
          <cell r="S147">
            <v>9611.7817101928395</v>
          </cell>
          <cell r="T147">
            <v>3784.4333205268799</v>
          </cell>
          <cell r="U147">
            <v>1716.69282592134</v>
          </cell>
          <cell r="V147">
            <v>872.62195406933404</v>
          </cell>
          <cell r="W147">
            <v>942.05491951014301</v>
          </cell>
          <cell r="X147">
            <v>2295.9786901651401</v>
          </cell>
          <cell r="Y147">
            <v>18.8788935523413</v>
          </cell>
          <cell r="Z147">
            <v>18979.643199722501</v>
          </cell>
        </row>
        <row r="148">
          <cell r="A148" t="str">
            <v>Sabah</v>
          </cell>
          <cell r="B148">
            <v>12</v>
          </cell>
          <cell r="C148">
            <v>9762.6643991100209</v>
          </cell>
          <cell r="D148">
            <v>6808.2818181788698</v>
          </cell>
          <cell r="E148">
            <v>1130.05771756577</v>
          </cell>
          <cell r="F148">
            <v>1824.32486336538</v>
          </cell>
          <cell r="I148">
            <v>8338.7153392117998</v>
          </cell>
          <cell r="J148">
            <v>3485.83513399293</v>
          </cell>
          <cell r="K148">
            <v>1965.3275502660599</v>
          </cell>
          <cell r="L148">
            <v>40.138131403280298</v>
          </cell>
          <cell r="M148">
            <v>751.94990360398799</v>
          </cell>
          <cell r="N148">
            <v>187.20762084578999</v>
          </cell>
          <cell r="O148">
            <v>385.16721142754301</v>
          </cell>
          <cell r="P148">
            <v>11.5935278978917</v>
          </cell>
          <cell r="Q148">
            <v>144.451188548381</v>
          </cell>
          <cell r="R148">
            <v>1126.6769793170699</v>
          </cell>
          <cell r="S148">
            <v>19777.2345872021</v>
          </cell>
          <cell r="T148">
            <v>3692.8363324576499</v>
          </cell>
          <cell r="U148">
            <v>6529.3477103989499</v>
          </cell>
          <cell r="V148">
            <v>3986.4005343040499</v>
          </cell>
          <cell r="W148">
            <v>1779.7816860943699</v>
          </cell>
          <cell r="X148">
            <v>3788.8683239471102</v>
          </cell>
          <cell r="Y148">
            <v>188.95297615947101</v>
          </cell>
          <cell r="Z148">
            <v>42680.079414993401</v>
          </cell>
        </row>
        <row r="149">
          <cell r="A149" t="str">
            <v>Sarawak</v>
          </cell>
          <cell r="B149">
            <v>13</v>
          </cell>
          <cell r="C149">
            <v>8156.8061992557195</v>
          </cell>
          <cell r="D149">
            <v>4421.7470795900499</v>
          </cell>
          <cell r="E149">
            <v>3315.8120835161599</v>
          </cell>
          <cell r="F149">
            <v>419.24703614950897</v>
          </cell>
          <cell r="I149">
            <v>16468.675984960999</v>
          </cell>
          <cell r="J149">
            <v>19237.230994002901</v>
          </cell>
          <cell r="K149">
            <v>743.12154758013605</v>
          </cell>
          <cell r="L149">
            <v>17.2653490955684</v>
          </cell>
          <cell r="M149">
            <v>1460.07702792091</v>
          </cell>
          <cell r="N149">
            <v>15603.075006376799</v>
          </cell>
          <cell r="O149">
            <v>531.43566931436601</v>
          </cell>
          <cell r="P149">
            <v>519.61312274619695</v>
          </cell>
          <cell r="Q149">
            <v>362.64327096890099</v>
          </cell>
          <cell r="R149">
            <v>1853.13827443629</v>
          </cell>
          <cell r="S149">
            <v>24865.690281203799</v>
          </cell>
          <cell r="T149">
            <v>5514.6440295412403</v>
          </cell>
          <cell r="U149">
            <v>6746.93963796966</v>
          </cell>
          <cell r="V149">
            <v>6353.7916732137101</v>
          </cell>
          <cell r="W149">
            <v>2446.2213223705098</v>
          </cell>
          <cell r="X149">
            <v>3804.0936181087</v>
          </cell>
          <cell r="Y149">
            <v>267.73525855394098</v>
          </cell>
          <cell r="Z149">
            <v>70849.276992413696</v>
          </cell>
        </row>
        <row r="150">
          <cell r="A150" t="str">
            <v>WP Kuala Lumpur</v>
          </cell>
          <cell r="B150">
            <v>14</v>
          </cell>
          <cell r="C150">
            <v>1.24387042126951</v>
          </cell>
          <cell r="D150">
            <v>1.24387042126951</v>
          </cell>
          <cell r="E150">
            <v>0</v>
          </cell>
          <cell r="F150">
            <v>0</v>
          </cell>
          <cell r="I150">
            <v>29.177846085608</v>
          </cell>
          <cell r="J150">
            <v>4191.4178190179</v>
          </cell>
          <cell r="K150">
            <v>477.410169366898</v>
          </cell>
          <cell r="L150">
            <v>357.96346168164303</v>
          </cell>
          <cell r="M150">
            <v>651.82256045911004</v>
          </cell>
          <cell r="N150">
            <v>594.49307170547695</v>
          </cell>
          <cell r="O150">
            <v>733.32068762187805</v>
          </cell>
          <cell r="P150">
            <v>590.556975177249</v>
          </cell>
          <cell r="Q150">
            <v>785.85089300564005</v>
          </cell>
          <cell r="R150">
            <v>4319.6268447909597</v>
          </cell>
          <cell r="S150">
            <v>96657.319919448797</v>
          </cell>
          <cell r="T150">
            <v>6210.3238635634698</v>
          </cell>
          <cell r="U150">
            <v>35959.740207130599</v>
          </cell>
          <cell r="V150">
            <v>36665.138082038997</v>
          </cell>
          <cell r="W150">
            <v>4851.3507236140604</v>
          </cell>
          <cell r="X150">
            <v>12970.7670431017</v>
          </cell>
          <cell r="Y150">
            <v>1416.5103889326899</v>
          </cell>
          <cell r="Z150">
            <v>106615.296688697</v>
          </cell>
        </row>
        <row r="151">
          <cell r="A151" t="str">
            <v>WP Labuan</v>
          </cell>
          <cell r="B151">
            <v>15</v>
          </cell>
          <cell r="C151">
            <v>117.11069312423901</v>
          </cell>
          <cell r="D151">
            <v>7.4243868978416998</v>
          </cell>
          <cell r="E151">
            <v>0</v>
          </cell>
          <cell r="F151">
            <v>109.68630622639699</v>
          </cell>
          <cell r="I151">
            <v>0</v>
          </cell>
          <cell r="J151">
            <v>675.99673600364702</v>
          </cell>
          <cell r="K151">
            <v>11.968795512479501</v>
          </cell>
          <cell r="L151">
            <v>3.12302264569517</v>
          </cell>
          <cell r="M151">
            <v>1.0817751066401999</v>
          </cell>
          <cell r="N151">
            <v>384.477929241298</v>
          </cell>
          <cell r="O151">
            <v>245.74246600732599</v>
          </cell>
          <cell r="P151">
            <v>1.16184462992306</v>
          </cell>
          <cell r="Q151">
            <v>28.440902860284702</v>
          </cell>
          <cell r="R151">
            <v>22.3729073478722</v>
          </cell>
          <cell r="S151">
            <v>2170.13164919668</v>
          </cell>
          <cell r="T151">
            <v>212.114420540499</v>
          </cell>
          <cell r="U151">
            <v>249.27503538414001</v>
          </cell>
          <cell r="V151">
            <v>1532.5311261024799</v>
          </cell>
          <cell r="W151">
            <v>70.540807183286006</v>
          </cell>
          <cell r="X151">
            <v>105.670259986275</v>
          </cell>
          <cell r="Y151">
            <v>21.804599511489702</v>
          </cell>
          <cell r="Z151">
            <v>3007.4165851839298</v>
          </cell>
        </row>
        <row r="152">
          <cell r="A152" t="str">
            <v>Supra1</v>
          </cell>
          <cell r="C152">
            <v>0</v>
          </cell>
          <cell r="D152">
            <v>0</v>
          </cell>
          <cell r="E152">
            <v>0</v>
          </cell>
          <cell r="F152">
            <v>0</v>
          </cell>
          <cell r="I152">
            <v>37139.136922086698</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37139.136922086698</v>
          </cell>
        </row>
        <row r="153">
          <cell r="A153" t="str">
            <v>MALAYSIA</v>
          </cell>
          <cell r="C153">
            <v>54249.519974704599</v>
          </cell>
          <cell r="D153">
            <v>40021.972903782</v>
          </cell>
          <cell r="E153">
            <v>6451.5786828500004</v>
          </cell>
          <cell r="F153">
            <v>7775.9683880726898</v>
          </cell>
          <cell r="I153">
            <v>62606.782051177499</v>
          </cell>
          <cell r="J153">
            <v>178236.70292299401</v>
          </cell>
          <cell r="K153">
            <v>19693.4564953505</v>
          </cell>
          <cell r="L153">
            <v>3476.92055345873</v>
          </cell>
          <cell r="M153">
            <v>10971.7802226857</v>
          </cell>
          <cell r="N153">
            <v>52812.754189258303</v>
          </cell>
          <cell r="O153">
            <v>23182.155565332301</v>
          </cell>
          <cell r="P153">
            <v>44783.548718760401</v>
          </cell>
          <cell r="Q153">
            <v>23316.0871781485</v>
          </cell>
          <cell r="R153">
            <v>22463.891320754501</v>
          </cell>
          <cell r="S153">
            <v>385549.59967583802</v>
          </cell>
          <cell r="T153">
            <v>70785.368836904498</v>
          </cell>
          <cell r="U153">
            <v>119465.83732880899</v>
          </cell>
          <cell r="V153">
            <v>104211.023486461</v>
          </cell>
          <cell r="W153">
            <v>36175.766187647903</v>
          </cell>
          <cell r="X153">
            <v>54911.603836015602</v>
          </cell>
          <cell r="Y153">
            <v>8653.31271141447</v>
          </cell>
          <cell r="Z153">
            <v>711759.80865688296</v>
          </cell>
        </row>
        <row r="156">
          <cell r="A156" t="str">
            <v>CONSTANT</v>
          </cell>
          <cell r="B156" t="str">
            <v>Industry</v>
          </cell>
          <cell r="D156">
            <v>1</v>
          </cell>
          <cell r="E156">
            <v>2</v>
          </cell>
          <cell r="F156">
            <v>3</v>
          </cell>
          <cell r="I156">
            <v>4</v>
          </cell>
          <cell r="K156">
            <v>6</v>
          </cell>
          <cell r="L156">
            <v>7</v>
          </cell>
          <cell r="M156">
            <v>8</v>
          </cell>
          <cell r="N156">
            <v>9</v>
          </cell>
          <cell r="O156">
            <v>10</v>
          </cell>
          <cell r="P156">
            <v>11</v>
          </cell>
          <cell r="Q156">
            <v>12</v>
          </cell>
          <cell r="R156">
            <v>5</v>
          </cell>
          <cell r="T156">
            <v>13</v>
          </cell>
          <cell r="U156">
            <v>14</v>
          </cell>
          <cell r="V156">
            <v>15</v>
          </cell>
          <cell r="W156">
            <v>16</v>
          </cell>
        </row>
        <row r="157">
          <cell r="A157">
            <v>2012</v>
          </cell>
          <cell r="B157" t="str">
            <v>I</v>
          </cell>
          <cell r="C157" t="str">
            <v>Agriculture</v>
          </cell>
          <cell r="D157" t="str">
            <v>Tanaman</v>
          </cell>
          <cell r="E157" t="str">
            <v>Pembalakan</v>
          </cell>
          <cell r="F157" t="str">
            <v>Perikanan</v>
          </cell>
          <cell r="I157" t="str">
            <v>Mining and
Quarrying</v>
          </cell>
          <cell r="J157" t="str">
            <v>Manufacturing</v>
          </cell>
          <cell r="K157" t="str">
            <v>Prosesan Makanan, Minuman dan Produk Tembakau</v>
          </cell>
          <cell r="L157" t="str">
            <v>Tekstil, Pakaian, Kulit dan Kasut</v>
          </cell>
          <cell r="M157" t="str">
            <v>Keluaran Kayu, Perabot, Produk Kertas, Percetakan dan Penerbitan</v>
          </cell>
          <cell r="N157" t="str">
            <v>Produk Petroleum, Bahan kimia, Getah dan Plastik</v>
          </cell>
          <cell r="O157" t="str">
            <v>Produk Mineral Bukan Logam, Logam Asli dan Produk Logam Yang Direka</v>
          </cell>
          <cell r="P157" t="str">
            <v>Elektrik dan Elektronik</v>
          </cell>
          <cell r="Q157" t="str">
            <v>Kelengkapan Pengangkutan dan Pembuatan Lain</v>
          </cell>
          <cell r="R157" t="str">
            <v>Construction</v>
          </cell>
          <cell r="S157" t="str">
            <v>Services</v>
          </cell>
          <cell r="T157" t="str">
            <v>Utiliti, Transport &amp; Communication</v>
          </cell>
          <cell r="U157" t="str">
            <v>WRT, Accomm &amp; Restaurant</v>
          </cell>
          <cell r="V157" t="str">
            <v>Finance &amp; Insurance, Real Estate &amp; Business Services</v>
          </cell>
          <cell r="W157" t="str">
            <v>Other Services</v>
          </cell>
          <cell r="X157" t="str">
            <v>Government Services</v>
          </cell>
          <cell r="Y157" t="str">
            <v>Plus :
Import Duties</v>
          </cell>
          <cell r="Z157" t="str">
            <v>GDP at
Purchasers' Prices</v>
          </cell>
        </row>
        <row r="158">
          <cell r="A158" t="str">
            <v>States</v>
          </cell>
          <cell r="B158" t="str">
            <v>Converter</v>
          </cell>
        </row>
        <row r="159">
          <cell r="A159" t="str">
            <v>Johor</v>
          </cell>
          <cell r="B159" t="str">
            <v>01</v>
          </cell>
          <cell r="C159">
            <v>8499.4218517199697</v>
          </cell>
          <cell r="D159">
            <v>7783.5626301690099</v>
          </cell>
          <cell r="E159">
            <v>51.240439222884099</v>
          </cell>
          <cell r="F159">
            <v>664.61878232807805</v>
          </cell>
          <cell r="G159">
            <v>0.15463940606465801</v>
          </cell>
          <cell r="I159">
            <v>83.602205875010398</v>
          </cell>
          <cell r="J159">
            <v>23335.579222503799</v>
          </cell>
          <cell r="K159">
            <v>2384.9944810836</v>
          </cell>
          <cell r="L159">
            <v>803.22775155407896</v>
          </cell>
          <cell r="M159">
            <v>1954.8936695171799</v>
          </cell>
          <cell r="N159">
            <v>5718.6914071588599</v>
          </cell>
          <cell r="O159">
            <v>3447.4076611442301</v>
          </cell>
          <cell r="P159">
            <v>6865.7990857122004</v>
          </cell>
          <cell r="Q159">
            <v>2160.5651663336598</v>
          </cell>
          <cell r="R159">
            <v>2396.8275009154299</v>
          </cell>
          <cell r="S159">
            <v>33782.405338582699</v>
          </cell>
          <cell r="T159">
            <v>7897.7516776400398</v>
          </cell>
          <cell r="U159">
            <v>8012.3480062305498</v>
          </cell>
          <cell r="V159">
            <v>9120.3161603454701</v>
          </cell>
          <cell r="W159">
            <v>3207.6190302516102</v>
          </cell>
          <cell r="X159">
            <v>5544.3704641150098</v>
          </cell>
          <cell r="Y159">
            <v>800.812800413991</v>
          </cell>
          <cell r="Z159">
            <v>68898.648920010906</v>
          </cell>
        </row>
        <row r="160">
          <cell r="A160" t="str">
            <v>Kedah</v>
          </cell>
          <cell r="B160" t="str">
            <v>02</v>
          </cell>
          <cell r="C160">
            <v>3009.94019090659</v>
          </cell>
          <cell r="D160">
            <v>2554.6195932220799</v>
          </cell>
          <cell r="E160">
            <v>123.378197064894</v>
          </cell>
          <cell r="F160">
            <v>331.94240061961898</v>
          </cell>
          <cell r="G160">
            <v>5.4763179370576398E-2</v>
          </cell>
          <cell r="I160">
            <v>23.8407354480149</v>
          </cell>
          <cell r="J160">
            <v>7852.3278784926597</v>
          </cell>
          <cell r="K160">
            <v>417.387571177947</v>
          </cell>
          <cell r="L160">
            <v>69.608720550380596</v>
          </cell>
          <cell r="M160">
            <v>444.22270973482699</v>
          </cell>
          <cell r="N160">
            <v>1532.04141797544</v>
          </cell>
          <cell r="O160">
            <v>2267.31651116794</v>
          </cell>
          <cell r="P160">
            <v>1461.3628673466601</v>
          </cell>
          <cell r="Q160">
            <v>1660.3880805394599</v>
          </cell>
          <cell r="R160">
            <v>608.71591516866397</v>
          </cell>
          <cell r="S160">
            <v>13620.779676312401</v>
          </cell>
          <cell r="T160">
            <v>2071.2184624998099</v>
          </cell>
          <cell r="U160">
            <v>3420.75428742962</v>
          </cell>
          <cell r="V160">
            <v>2708.0878666175499</v>
          </cell>
          <cell r="W160">
            <v>2059.8288262041201</v>
          </cell>
          <cell r="X160">
            <v>3360.8902335612702</v>
          </cell>
          <cell r="Y160">
            <v>162.18437680457501</v>
          </cell>
          <cell r="Z160">
            <v>25277.788773132899</v>
          </cell>
        </row>
        <row r="161">
          <cell r="A161" t="str">
            <v>Kelantan</v>
          </cell>
          <cell r="B161" t="str">
            <v>03</v>
          </cell>
          <cell r="C161">
            <v>3262.4567104921998</v>
          </cell>
          <cell r="D161">
            <v>2250.5871077659899</v>
          </cell>
          <cell r="E161">
            <v>734.76561747199298</v>
          </cell>
          <cell r="F161">
            <v>277.103985254218</v>
          </cell>
          <cell r="G161">
            <v>5.9357492406389697E-2</v>
          </cell>
          <cell r="I161">
            <v>20.8263133276708</v>
          </cell>
          <cell r="J161">
            <v>738.65286341165302</v>
          </cell>
          <cell r="K161">
            <v>121.930680436836</v>
          </cell>
          <cell r="L161">
            <v>34.341427716386399</v>
          </cell>
          <cell r="M161">
            <v>89.344443006500001</v>
          </cell>
          <cell r="N161">
            <v>138.81990381377199</v>
          </cell>
          <cell r="O161">
            <v>82.708519649512596</v>
          </cell>
          <cell r="P161">
            <v>263.84021340804901</v>
          </cell>
          <cell r="Q161">
            <v>7.6676753805969904</v>
          </cell>
          <cell r="R161">
            <v>229.330293967751</v>
          </cell>
          <cell r="S161">
            <v>9200.7164610651598</v>
          </cell>
          <cell r="T161">
            <v>1071.76897967985</v>
          </cell>
          <cell r="U161">
            <v>2405.7632464046701</v>
          </cell>
          <cell r="V161">
            <v>1136.4926705640601</v>
          </cell>
          <cell r="W161">
            <v>1458.1604456141899</v>
          </cell>
          <cell r="X161">
            <v>3128.5311188023802</v>
          </cell>
          <cell r="Y161">
            <v>23.7258058290783</v>
          </cell>
          <cell r="Z161">
            <v>13475.708448093499</v>
          </cell>
        </row>
        <row r="162">
          <cell r="A162" t="str">
            <v>Melaka</v>
          </cell>
          <cell r="B162" t="str">
            <v>04</v>
          </cell>
          <cell r="C162">
            <v>1995.8493017109399</v>
          </cell>
          <cell r="D162">
            <v>1963.31852716869</v>
          </cell>
          <cell r="E162">
            <v>0.39058176207543599</v>
          </cell>
          <cell r="F162">
            <v>32.140192780177998</v>
          </cell>
          <cell r="G162">
            <v>3.6312699380686098E-2</v>
          </cell>
          <cell r="I162">
            <v>10.112475782248399</v>
          </cell>
          <cell r="J162">
            <v>9030.2724552780401</v>
          </cell>
          <cell r="K162">
            <v>434.128731387242</v>
          </cell>
          <cell r="L162">
            <v>318.857407893573</v>
          </cell>
          <cell r="M162">
            <v>310.77061575848802</v>
          </cell>
          <cell r="N162">
            <v>4284.8676574412002</v>
          </cell>
          <cell r="O162">
            <v>603.60247547495601</v>
          </cell>
          <cell r="P162">
            <v>1962.95647946808</v>
          </cell>
          <cell r="Q162">
            <v>1115.0890878544999</v>
          </cell>
          <cell r="R162">
            <v>906.07056889400201</v>
          </cell>
          <cell r="S162">
            <v>9987.0896910489791</v>
          </cell>
          <cell r="T162">
            <v>1798.9941127745799</v>
          </cell>
          <cell r="U162">
            <v>3361.5379170567999</v>
          </cell>
          <cell r="V162">
            <v>2005.7729690097899</v>
          </cell>
          <cell r="W162">
            <v>1242.2031321719701</v>
          </cell>
          <cell r="X162">
            <v>1578.5815600358301</v>
          </cell>
          <cell r="Y162">
            <v>14.9902807526153</v>
          </cell>
          <cell r="Z162">
            <v>21944.384773466802</v>
          </cell>
        </row>
        <row r="163">
          <cell r="A163" t="str">
            <v>Negeri Sembilan</v>
          </cell>
          <cell r="B163" t="str">
            <v>05</v>
          </cell>
          <cell r="C163">
            <v>2178.3218620282901</v>
          </cell>
          <cell r="D163">
            <v>2085.0131844757002</v>
          </cell>
          <cell r="E163">
            <v>55.560231758910902</v>
          </cell>
          <cell r="F163">
            <v>37.748445793678499</v>
          </cell>
          <cell r="G163">
            <v>3.9632624999492903E-2</v>
          </cell>
          <cell r="I163">
            <v>24.547725203308701</v>
          </cell>
          <cell r="J163">
            <v>13395.1562030438</v>
          </cell>
          <cell r="K163">
            <v>1404.23409852379</v>
          </cell>
          <cell r="L163">
            <v>154.13558282628901</v>
          </cell>
          <cell r="M163">
            <v>377.63597594698098</v>
          </cell>
          <cell r="N163">
            <v>4200.1271776031599</v>
          </cell>
          <cell r="O163">
            <v>1376.61332146723</v>
          </cell>
          <cell r="P163">
            <v>4961.4208362988302</v>
          </cell>
          <cell r="Q163">
            <v>920.98921037754201</v>
          </cell>
          <cell r="R163">
            <v>692.98365234048401</v>
          </cell>
          <cell r="S163">
            <v>11246.0146058912</v>
          </cell>
          <cell r="T163">
            <v>2698.3269749730998</v>
          </cell>
          <cell r="U163">
            <v>2829.1290745413799</v>
          </cell>
          <cell r="V163">
            <v>2282.3660477152498</v>
          </cell>
          <cell r="W163">
            <v>1477.5476179959001</v>
          </cell>
          <cell r="X163">
            <v>1958.6448906656001</v>
          </cell>
          <cell r="Y163">
            <v>192.899309524085</v>
          </cell>
          <cell r="Z163">
            <v>27729.923358031199</v>
          </cell>
        </row>
        <row r="164">
          <cell r="A164" t="str">
            <v>Pahang</v>
          </cell>
          <cell r="B164" t="str">
            <v>06</v>
          </cell>
          <cell r="C164">
            <v>6186.9160992104498</v>
          </cell>
          <cell r="D164">
            <v>4853.9136400778098</v>
          </cell>
          <cell r="E164">
            <v>618.26544097006297</v>
          </cell>
          <cell r="F164">
            <v>714.73701816257801</v>
          </cell>
          <cell r="G164">
            <v>0.112565424760057</v>
          </cell>
          <cell r="I164">
            <v>217.359376893844</v>
          </cell>
          <cell r="J164">
            <v>7840.7354493851699</v>
          </cell>
          <cell r="K164">
            <v>921.13494044889899</v>
          </cell>
          <cell r="L164">
            <v>24.5124190688624</v>
          </cell>
          <cell r="M164">
            <v>663.69193611557898</v>
          </cell>
          <cell r="N164">
            <v>3241.8604524095999</v>
          </cell>
          <cell r="O164">
            <v>695.63913978494304</v>
          </cell>
          <cell r="P164">
            <v>111.938733734124</v>
          </cell>
          <cell r="Q164">
            <v>2181.9578278231602</v>
          </cell>
          <cell r="R164">
            <v>873.18496104557403</v>
          </cell>
          <cell r="S164">
            <v>15659.750870359499</v>
          </cell>
          <cell r="T164">
            <v>1691.3184155062499</v>
          </cell>
          <cell r="U164">
            <v>4904.6667933857998</v>
          </cell>
          <cell r="V164">
            <v>2217.20133966291</v>
          </cell>
          <cell r="W164">
            <v>3769.4414987309101</v>
          </cell>
          <cell r="X164">
            <v>3077.1228230736301</v>
          </cell>
          <cell r="Y164">
            <v>13.0358987515222</v>
          </cell>
          <cell r="Z164">
            <v>30790.982655645999</v>
          </cell>
        </row>
        <row r="165">
          <cell r="A165" t="str">
            <v>Pulau Pinang</v>
          </cell>
          <cell r="B165" t="str">
            <v>07</v>
          </cell>
          <cell r="C165">
            <v>989.80258396112697</v>
          </cell>
          <cell r="D165">
            <v>731.18001689310802</v>
          </cell>
          <cell r="E165">
            <v>0</v>
          </cell>
          <cell r="F165">
            <v>258.62256706801901</v>
          </cell>
          <cell r="G165">
            <v>1.80085759214361E-2</v>
          </cell>
          <cell r="I165">
            <v>23.613817931912699</v>
          </cell>
          <cell r="J165">
            <v>25411.130030250599</v>
          </cell>
          <cell r="K165">
            <v>1116.18410179394</v>
          </cell>
          <cell r="L165">
            <v>557.74037962954003</v>
          </cell>
          <cell r="M165">
            <v>941.05670776516104</v>
          </cell>
          <cell r="N165">
            <v>3093.2856699724598</v>
          </cell>
          <cell r="O165">
            <v>2867.05691055339</v>
          </cell>
          <cell r="P165">
            <v>14782.768237495</v>
          </cell>
          <cell r="Q165">
            <v>2053.0380230411101</v>
          </cell>
          <cell r="R165">
            <v>1315.23847144556</v>
          </cell>
          <cell r="S165">
            <v>24422.409262104</v>
          </cell>
          <cell r="T165">
            <v>5238.1382224018898</v>
          </cell>
          <cell r="U165">
            <v>6805.9446619393602</v>
          </cell>
          <cell r="V165">
            <v>7037.9922403077799</v>
          </cell>
          <cell r="W165">
            <v>2400.4074616410999</v>
          </cell>
          <cell r="X165">
            <v>2939.9266758138701</v>
          </cell>
          <cell r="Y165">
            <v>409.251633926681</v>
          </cell>
          <cell r="Z165">
            <v>52571.445799619898</v>
          </cell>
        </row>
        <row r="166">
          <cell r="A166" t="str">
            <v>Perak</v>
          </cell>
          <cell r="B166" t="str">
            <v>08</v>
          </cell>
          <cell r="C166">
            <v>5777.0457466808703</v>
          </cell>
          <cell r="D166">
            <v>3862.19796005239</v>
          </cell>
          <cell r="E166">
            <v>394.62302985883701</v>
          </cell>
          <cell r="F166">
            <v>1520.22475676964</v>
          </cell>
          <cell r="G166">
            <v>0.105108198964651</v>
          </cell>
          <cell r="I166">
            <v>144.193924989701</v>
          </cell>
          <cell r="J166">
            <v>7658.3546612541304</v>
          </cell>
          <cell r="K166">
            <v>1144.3863777085901</v>
          </cell>
          <cell r="L166">
            <v>172.43056360591399</v>
          </cell>
          <cell r="M166">
            <v>358.66049496469998</v>
          </cell>
          <cell r="N166">
            <v>1523.67813732734</v>
          </cell>
          <cell r="O166">
            <v>1987.3948583144499</v>
          </cell>
          <cell r="P166">
            <v>1886.0720866904301</v>
          </cell>
          <cell r="Q166">
            <v>585.73214264271496</v>
          </cell>
          <cell r="R166">
            <v>1094.74508694509</v>
          </cell>
          <cell r="S166">
            <v>24996.424320652299</v>
          </cell>
          <cell r="T166">
            <v>7426.02319259669</v>
          </cell>
          <cell r="U166">
            <v>5813.2685737843503</v>
          </cell>
          <cell r="V166">
            <v>4407.5073150541803</v>
          </cell>
          <cell r="W166">
            <v>2918.08730203393</v>
          </cell>
          <cell r="X166">
            <v>4431.5379371831596</v>
          </cell>
          <cell r="Y166">
            <v>17.4797376965506</v>
          </cell>
          <cell r="Z166">
            <v>39688.243478218603</v>
          </cell>
        </row>
        <row r="167">
          <cell r="A167" t="str">
            <v>Perlis</v>
          </cell>
          <cell r="B167" t="str">
            <v>09</v>
          </cell>
          <cell r="C167">
            <v>840.538276068605</v>
          </cell>
          <cell r="D167">
            <v>270.98791001991299</v>
          </cell>
          <cell r="E167">
            <v>0</v>
          </cell>
          <cell r="F167">
            <v>569.55036604869304</v>
          </cell>
          <cell r="G167">
            <v>1.52928448609192E-2</v>
          </cell>
          <cell r="I167">
            <v>7.8630705016069902</v>
          </cell>
          <cell r="J167">
            <v>352.23233548238699</v>
          </cell>
          <cell r="K167">
            <v>53.017986483786302</v>
          </cell>
          <cell r="L167">
            <v>39.382493442889498</v>
          </cell>
          <cell r="M167">
            <v>5.9428648207202901</v>
          </cell>
          <cell r="N167">
            <v>80.746387238501597</v>
          </cell>
          <cell r="O167">
            <v>169.70931767045701</v>
          </cell>
          <cell r="P167">
            <v>0.69130164414456396</v>
          </cell>
          <cell r="Q167">
            <v>2.7419841818873198</v>
          </cell>
          <cell r="R167">
            <v>96.636789889015802</v>
          </cell>
          <cell r="S167">
            <v>2169.5388495278098</v>
          </cell>
          <cell r="T167">
            <v>714.25395061898701</v>
          </cell>
          <cell r="U167">
            <v>306.55834603921801</v>
          </cell>
          <cell r="V167">
            <v>290.30374323946802</v>
          </cell>
          <cell r="W167">
            <v>271.94986652155899</v>
          </cell>
          <cell r="X167">
            <v>586.47294310857797</v>
          </cell>
          <cell r="Y167">
            <v>70.382385332018401</v>
          </cell>
          <cell r="Z167">
            <v>3537.19170680144</v>
          </cell>
        </row>
        <row r="168">
          <cell r="A168" t="str">
            <v>Selangor</v>
          </cell>
          <cell r="B168">
            <v>10</v>
          </cell>
          <cell r="C168">
            <v>2928.79880005116</v>
          </cell>
          <cell r="D168">
            <v>1971.2635139516201</v>
          </cell>
          <cell r="E168">
            <v>4.8506169140214004</v>
          </cell>
          <cell r="F168">
            <v>952.68466918551405</v>
          </cell>
          <cell r="G168">
            <v>5.3286884075666903E-2</v>
          </cell>
          <cell r="I168">
            <v>153.77570318972201</v>
          </cell>
          <cell r="J168">
            <v>55497.7252193596</v>
          </cell>
          <cell r="K168">
            <v>9159.8025759456996</v>
          </cell>
          <cell r="L168">
            <v>625.767748752545</v>
          </cell>
          <cell r="M168">
            <v>3214.7585001345501</v>
          </cell>
          <cell r="N168">
            <v>8447.6700463326197</v>
          </cell>
          <cell r="O168">
            <v>8951.4411725459795</v>
          </cell>
          <cell r="P168">
            <v>12259.2422725042</v>
          </cell>
          <cell r="Q168">
            <v>12839.042903144</v>
          </cell>
          <cell r="R168">
            <v>8790.1616960969004</v>
          </cell>
          <cell r="S168">
            <v>102760.30219111399</v>
          </cell>
          <cell r="T168">
            <v>24475.201271004498</v>
          </cell>
          <cell r="U168">
            <v>33681.349755677802</v>
          </cell>
          <cell r="V168">
            <v>27814.3804078301</v>
          </cell>
          <cell r="W168">
            <v>8293.8449333607405</v>
          </cell>
          <cell r="X168">
            <v>8495.5258232406104</v>
          </cell>
          <cell r="Y168">
            <v>6246.4646222930396</v>
          </cell>
          <cell r="Z168">
            <v>176377.22823210401</v>
          </cell>
        </row>
        <row r="169">
          <cell r="A169" t="str">
            <v>Terengganu</v>
          </cell>
          <cell r="B169">
            <v>11</v>
          </cell>
          <cell r="C169">
            <v>1531.3159056412901</v>
          </cell>
          <cell r="D169">
            <v>1173.2488906353201</v>
          </cell>
          <cell r="E169">
            <v>105.25399571146001</v>
          </cell>
          <cell r="F169">
            <v>252.81301929451001</v>
          </cell>
          <cell r="G169">
            <v>2.78609282227604E-2</v>
          </cell>
          <cell r="I169">
            <v>19.008965710570099</v>
          </cell>
          <cell r="J169">
            <v>7439.8439621940197</v>
          </cell>
          <cell r="K169">
            <v>69.566267526971004</v>
          </cell>
          <cell r="L169">
            <v>41.994834169779999</v>
          </cell>
          <cell r="M169">
            <v>98.716020292595402</v>
          </cell>
          <cell r="N169">
            <v>6709.35250879049</v>
          </cell>
          <cell r="O169">
            <v>444.64474978085201</v>
          </cell>
          <cell r="P169">
            <v>2.8853506400709299</v>
          </cell>
          <cell r="Q169">
            <v>72.684230993260897</v>
          </cell>
          <cell r="R169">
            <v>757.06310618569501</v>
          </cell>
          <cell r="S169">
            <v>9876.2824065053901</v>
          </cell>
          <cell r="T169">
            <v>3657.82275840804</v>
          </cell>
          <cell r="U169">
            <v>1813.95406392735</v>
          </cell>
          <cell r="V169">
            <v>955.97787766315901</v>
          </cell>
          <cell r="W169">
            <v>974.90481394047504</v>
          </cell>
          <cell r="X169">
            <v>2473.62289256636</v>
          </cell>
          <cell r="Y169">
            <v>18.183226823906502</v>
          </cell>
          <cell r="Z169">
            <v>19641.697573060901</v>
          </cell>
        </row>
        <row r="170">
          <cell r="A170" t="str">
            <v>Sabah</v>
          </cell>
          <cell r="B170">
            <v>12</v>
          </cell>
          <cell r="C170">
            <v>9269.2175249747906</v>
          </cell>
          <cell r="D170">
            <v>6542.96793685586</v>
          </cell>
          <cell r="E170">
            <v>822.61026313053401</v>
          </cell>
          <cell r="F170">
            <v>1903.6393249883899</v>
          </cell>
          <cell r="G170">
            <v>0.16864515231187799</v>
          </cell>
          <cell r="I170">
            <v>9167.1810231602194</v>
          </cell>
          <cell r="J170">
            <v>3495.6402054413902</v>
          </cell>
          <cell r="K170">
            <v>1915.7998950631199</v>
          </cell>
          <cell r="L170">
            <v>35.497282883448698</v>
          </cell>
          <cell r="M170">
            <v>714.88205915253502</v>
          </cell>
          <cell r="N170">
            <v>239.82227626068399</v>
          </cell>
          <cell r="O170">
            <v>426.96689276737902</v>
          </cell>
          <cell r="P170">
            <v>13.0730273936943</v>
          </cell>
          <cell r="Q170">
            <v>149.59877192052801</v>
          </cell>
          <cell r="R170">
            <v>1280.4330211776701</v>
          </cell>
          <cell r="S170">
            <v>21070.636505532999</v>
          </cell>
          <cell r="T170">
            <v>3871.8937146051799</v>
          </cell>
          <cell r="U170">
            <v>6769.5301216211701</v>
          </cell>
          <cell r="V170">
            <v>4371.2484150819801</v>
          </cell>
          <cell r="W170">
            <v>1832.0933363941101</v>
          </cell>
          <cell r="X170">
            <v>4225.8709178305198</v>
          </cell>
          <cell r="Y170">
            <v>185.703599974799</v>
          </cell>
          <cell r="Z170">
            <v>44468.811880261797</v>
          </cell>
        </row>
        <row r="171">
          <cell r="A171" t="str">
            <v>Sarawak</v>
          </cell>
          <cell r="B171">
            <v>13</v>
          </cell>
          <cell r="C171">
            <v>8370.7982938666592</v>
          </cell>
          <cell r="D171">
            <v>4642.6808537868201</v>
          </cell>
          <cell r="E171">
            <v>3247.47202584859</v>
          </cell>
          <cell r="F171">
            <v>480.64541423124399</v>
          </cell>
          <cell r="G171">
            <v>0.15229921505645</v>
          </cell>
          <cell r="I171">
            <v>15154.4470817786</v>
          </cell>
          <cell r="J171">
            <v>19399.666076773599</v>
          </cell>
          <cell r="K171">
            <v>775.58735607610095</v>
          </cell>
          <cell r="L171">
            <v>15.0745317584701</v>
          </cell>
          <cell r="M171">
            <v>1551.29563122071</v>
          </cell>
          <cell r="N171">
            <v>15501.1310661064</v>
          </cell>
          <cell r="O171">
            <v>605.64828917163697</v>
          </cell>
          <cell r="P171">
            <v>541.31617967475097</v>
          </cell>
          <cell r="Q171">
            <v>409.613022765545</v>
          </cell>
          <cell r="R171">
            <v>2262.5501826260202</v>
          </cell>
          <cell r="S171">
            <v>26443.601253813998</v>
          </cell>
          <cell r="T171">
            <v>5820.4846753634802</v>
          </cell>
          <cell r="U171">
            <v>7040.84767516391</v>
          </cell>
          <cell r="V171">
            <v>6879.62447942165</v>
          </cell>
          <cell r="W171">
            <v>2534.16565625769</v>
          </cell>
          <cell r="X171">
            <v>4168.4787676072401</v>
          </cell>
          <cell r="Y171">
            <v>248.11392658100701</v>
          </cell>
          <cell r="Z171">
            <v>71879.176815439801</v>
          </cell>
        </row>
        <row r="172">
          <cell r="A172" t="str">
            <v>WP Kuala Lumpur</v>
          </cell>
          <cell r="B172">
            <v>14</v>
          </cell>
          <cell r="C172">
            <v>1.33811879427992</v>
          </cell>
          <cell r="D172">
            <v>1.33811879427992</v>
          </cell>
          <cell r="E172">
            <v>0</v>
          </cell>
          <cell r="F172">
            <v>0</v>
          </cell>
          <cell r="G172">
            <v>2.4345878955228999E-5</v>
          </cell>
          <cell r="I172">
            <v>33.527386668321199</v>
          </cell>
          <cell r="J172">
            <v>4583.5227902265196</v>
          </cell>
          <cell r="K172">
            <v>511.31546080560298</v>
          </cell>
          <cell r="L172">
            <v>325.880583844309</v>
          </cell>
          <cell r="M172">
            <v>669.66196348636402</v>
          </cell>
          <cell r="N172">
            <v>662.33600246826995</v>
          </cell>
          <cell r="O172">
            <v>802.57089025127095</v>
          </cell>
          <cell r="P172">
            <v>666.73541628887995</v>
          </cell>
          <cell r="Q172">
            <v>945.02247308181995</v>
          </cell>
          <cell r="R172">
            <v>5302.2337156191898</v>
          </cell>
          <cell r="S172">
            <v>102775.57740821601</v>
          </cell>
          <cell r="T172">
            <v>6713.9829563593903</v>
          </cell>
          <cell r="U172">
            <v>37682.895314182198</v>
          </cell>
          <cell r="V172">
            <v>39293.579300299498</v>
          </cell>
          <cell r="W172">
            <v>5073.6181105953901</v>
          </cell>
          <cell r="X172">
            <v>14011.501726779899</v>
          </cell>
          <cell r="Y172">
            <v>1580.4685485513101</v>
          </cell>
          <cell r="Z172">
            <v>114276.667968076</v>
          </cell>
        </row>
        <row r="173">
          <cell r="A173" t="str">
            <v>WP Labuan</v>
          </cell>
          <cell r="B173">
            <v>15</v>
          </cell>
          <cell r="C173">
            <v>121.08467347306799</v>
          </cell>
          <cell r="D173">
            <v>6.7249392836401896</v>
          </cell>
          <cell r="E173">
            <v>0</v>
          </cell>
          <cell r="F173">
            <v>114.359734189428</v>
          </cell>
          <cell r="G173">
            <v>2.20302772542336E-3</v>
          </cell>
          <cell r="I173">
            <v>0</v>
          </cell>
          <cell r="J173">
            <v>717.551482388723</v>
          </cell>
          <cell r="K173">
            <v>9.7330650632984206</v>
          </cell>
          <cell r="L173">
            <v>2.6312175701124301</v>
          </cell>
          <cell r="M173">
            <v>1.12671501031767</v>
          </cell>
          <cell r="N173">
            <v>425.60227142865398</v>
          </cell>
          <cell r="O173">
            <v>247.14952935007</v>
          </cell>
          <cell r="P173">
            <v>1.26678033822109</v>
          </cell>
          <cell r="Q173">
            <v>30.0419036280489</v>
          </cell>
          <cell r="R173">
            <v>33.5881762447627</v>
          </cell>
          <cell r="S173">
            <v>2327.3071407966399</v>
          </cell>
          <cell r="T173">
            <v>222.29550550402701</v>
          </cell>
          <cell r="U173">
            <v>258.795257169612</v>
          </cell>
          <cell r="V173">
            <v>1653.88630010355</v>
          </cell>
          <cell r="W173">
            <v>72.967897534969296</v>
          </cell>
          <cell r="X173">
            <v>119.362180484487</v>
          </cell>
          <cell r="Y173">
            <v>17.693919309888098</v>
          </cell>
          <cell r="Z173">
            <v>3217.2253922130899</v>
          </cell>
        </row>
        <row r="174">
          <cell r="A174" t="str">
            <v>Supra1</v>
          </cell>
          <cell r="C174">
            <v>0</v>
          </cell>
          <cell r="D174">
            <v>0</v>
          </cell>
          <cell r="E174">
            <v>0</v>
          </cell>
          <cell r="F174">
            <v>0</v>
          </cell>
          <cell r="G174">
            <v>0</v>
          </cell>
          <cell r="I174">
            <v>38159.213385185802</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38159.213385185802</v>
          </cell>
        </row>
        <row r="175">
          <cell r="A175" t="str">
            <v>MALAYSIA</v>
          </cell>
          <cell r="C175">
            <v>54962.8459395803</v>
          </cell>
          <cell r="D175">
            <v>40693.6048231522</v>
          </cell>
          <cell r="E175">
            <v>6158.4104397142701</v>
          </cell>
          <cell r="F175">
            <v>8110.8306767137901</v>
          </cell>
          <cell r="G175">
            <v>1</v>
          </cell>
          <cell r="I175">
            <v>63243.113191646502</v>
          </cell>
          <cell r="J175">
            <v>186748.390835486</v>
          </cell>
          <cell r="K175">
            <v>20439.203589525401</v>
          </cell>
          <cell r="L175">
            <v>3221.0829452665798</v>
          </cell>
          <cell r="M175">
            <v>11396.660306927201</v>
          </cell>
          <cell r="N175">
            <v>55800.032382327401</v>
          </cell>
          <cell r="O175">
            <v>24975.8702390943</v>
          </cell>
          <cell r="P175">
            <v>45781.368868637401</v>
          </cell>
          <cell r="Q175">
            <v>25134.172503707799</v>
          </cell>
          <cell r="R175">
            <v>26639.763138561801</v>
          </cell>
          <cell r="S175">
            <v>410338.83598152298</v>
          </cell>
          <cell r="T175">
            <v>75369.474869935802</v>
          </cell>
          <cell r="U175">
            <v>125107.343094554</v>
          </cell>
          <cell r="V175">
            <v>112174.73713291599</v>
          </cell>
          <cell r="W175">
            <v>37586.839929248701</v>
          </cell>
          <cell r="X175">
            <v>60100.440954868398</v>
          </cell>
          <cell r="Y175">
            <v>10001.3900725651</v>
          </cell>
          <cell r="Z175">
            <v>751934.33915936295</v>
          </cell>
        </row>
        <row r="178">
          <cell r="A178" t="str">
            <v>CONSTANT</v>
          </cell>
          <cell r="B178" t="str">
            <v>Industry</v>
          </cell>
          <cell r="D178">
            <v>1</v>
          </cell>
          <cell r="E178">
            <v>2</v>
          </cell>
          <cell r="F178">
            <v>3</v>
          </cell>
          <cell r="I178">
            <v>4</v>
          </cell>
          <cell r="K178">
            <v>6</v>
          </cell>
          <cell r="L178">
            <v>7</v>
          </cell>
          <cell r="M178">
            <v>8</v>
          </cell>
          <cell r="N178">
            <v>9</v>
          </cell>
          <cell r="O178">
            <v>10</v>
          </cell>
          <cell r="P178">
            <v>11</v>
          </cell>
          <cell r="Q178">
            <v>12</v>
          </cell>
          <cell r="R178">
            <v>5</v>
          </cell>
          <cell r="T178">
            <v>13</v>
          </cell>
          <cell r="U178">
            <v>14</v>
          </cell>
          <cell r="V178">
            <v>15</v>
          </cell>
          <cell r="W178">
            <v>16</v>
          </cell>
        </row>
        <row r="179">
          <cell r="A179">
            <v>2013</v>
          </cell>
          <cell r="B179" t="str">
            <v>I</v>
          </cell>
          <cell r="C179" t="str">
            <v>Agriculture</v>
          </cell>
          <cell r="D179" t="str">
            <v>Tanaman</v>
          </cell>
          <cell r="E179" t="str">
            <v>Pembalakan</v>
          </cell>
          <cell r="F179" t="str">
            <v>Perikanan</v>
          </cell>
          <cell r="I179" t="str">
            <v>Mining and
Quarrying</v>
          </cell>
          <cell r="J179" t="str">
            <v>Manufacturing</v>
          </cell>
          <cell r="K179" t="str">
            <v>Prosesan Makanan, Minuman dan Produk Tembakau</v>
          </cell>
          <cell r="L179" t="str">
            <v>Tekstil, Pakaian, Kulit dan Kasut</v>
          </cell>
          <cell r="M179" t="str">
            <v>Keluaran Kayu, Perabot, Produk Kertas, Percetakan dan Penerbitan</v>
          </cell>
          <cell r="N179" t="str">
            <v>Produk Petroleum, Bahan kimia, Getah dan Plastik</v>
          </cell>
          <cell r="O179" t="str">
            <v>Produk Mineral Bukan Logam, Logam Asli dan Produk Logam Yang Direka</v>
          </cell>
          <cell r="P179" t="str">
            <v>Elektrik dan Elektronik</v>
          </cell>
          <cell r="Q179" t="str">
            <v>Kelengkapan Pengangkutan dan Pembuatan Lain</v>
          </cell>
          <cell r="R179" t="str">
            <v>Construction</v>
          </cell>
          <cell r="S179" t="str">
            <v>Services</v>
          </cell>
          <cell r="T179" t="str">
            <v>Utiliti, Transport &amp; Communication</v>
          </cell>
          <cell r="U179" t="str">
            <v>WRT, Accomm &amp; Restaurant</v>
          </cell>
          <cell r="V179" t="str">
            <v>Finance &amp; Insurance, Real Estate &amp; Business Services</v>
          </cell>
          <cell r="W179" t="str">
            <v>Other Services</v>
          </cell>
          <cell r="X179" t="str">
            <v>Government Services</v>
          </cell>
          <cell r="Y179" t="str">
            <v>Plus :
Import Duties</v>
          </cell>
          <cell r="Z179" t="str">
            <v>GDP at
Purchasers' Prices</v>
          </cell>
        </row>
        <row r="180">
          <cell r="A180" t="str">
            <v>States</v>
          </cell>
          <cell r="B180" t="str">
            <v>Converter</v>
          </cell>
        </row>
        <row r="181">
          <cell r="A181" t="str">
            <v>Johor</v>
          </cell>
          <cell r="B181" t="str">
            <v>01</v>
          </cell>
          <cell r="C181">
            <v>8748.7908090068704</v>
          </cell>
          <cell r="D181">
            <v>8036.4950683605202</v>
          </cell>
          <cell r="E181">
            <v>50.351897118266798</v>
          </cell>
          <cell r="F181">
            <v>661.94384352808402</v>
          </cell>
          <cell r="G181">
            <v>0.15917645200949501</v>
          </cell>
          <cell r="I181">
            <v>96.234754698537401</v>
          </cell>
          <cell r="J181">
            <v>24405.091104601001</v>
          </cell>
          <cell r="K181">
            <v>2487.6893945492998</v>
          </cell>
          <cell r="L181">
            <v>849.15390690469599</v>
          </cell>
          <cell r="M181">
            <v>1851.70418317137</v>
          </cell>
          <cell r="N181">
            <v>6327.2266505892203</v>
          </cell>
          <cell r="O181">
            <v>3576.06608010438</v>
          </cell>
          <cell r="P181">
            <v>6921.9470872472903</v>
          </cell>
          <cell r="Q181">
            <v>2391.3038020347899</v>
          </cell>
          <cell r="R181">
            <v>2591.1198371668102</v>
          </cell>
          <cell r="S181">
            <v>35158.481630847004</v>
          </cell>
          <cell r="T181">
            <v>8222.2753111455695</v>
          </cell>
          <cell r="U181">
            <v>8451.3331251300497</v>
          </cell>
          <cell r="V181">
            <v>9370.30747007645</v>
          </cell>
          <cell r="W181">
            <v>3299.11104125783</v>
          </cell>
          <cell r="X181">
            <v>5815.4546832370797</v>
          </cell>
          <cell r="Y181">
            <v>1275.41416982082</v>
          </cell>
          <cell r="Z181">
            <v>72275.132306141095</v>
          </cell>
        </row>
        <row r="182">
          <cell r="A182" t="str">
            <v>Kedah</v>
          </cell>
          <cell r="B182" t="str">
            <v>02</v>
          </cell>
          <cell r="C182">
            <v>3134.4356637680999</v>
          </cell>
          <cell r="D182">
            <v>2642.0112222114399</v>
          </cell>
          <cell r="E182">
            <v>121.18761989214801</v>
          </cell>
          <cell r="F182">
            <v>371.23682166451499</v>
          </cell>
          <cell r="G182">
            <v>5.7028263551231202E-2</v>
          </cell>
          <cell r="I182">
            <v>27.175492254822998</v>
          </cell>
          <cell r="J182">
            <v>8044.74531754082</v>
          </cell>
          <cell r="K182">
            <v>394.21841089785102</v>
          </cell>
          <cell r="L182">
            <v>71.111762684665905</v>
          </cell>
          <cell r="M182">
            <v>445.58436772479303</v>
          </cell>
          <cell r="N182">
            <v>1774.7015736860301</v>
          </cell>
          <cell r="O182">
            <v>2232.73900335606</v>
          </cell>
          <cell r="P182">
            <v>1554.0650173762899</v>
          </cell>
          <cell r="Q182">
            <v>1572.32518181513</v>
          </cell>
          <cell r="R182">
            <v>543.56793260374798</v>
          </cell>
          <cell r="S182">
            <v>14512.2928501926</v>
          </cell>
          <cell r="T182">
            <v>2215.18948845253</v>
          </cell>
          <cell r="U182">
            <v>3716.0779669713702</v>
          </cell>
          <cell r="V182">
            <v>2773.3684723987499</v>
          </cell>
          <cell r="W182">
            <v>2139.8606680274202</v>
          </cell>
          <cell r="X182">
            <v>3667.7962543425801</v>
          </cell>
          <cell r="Y182">
            <v>171.488139160842</v>
          </cell>
          <cell r="Z182">
            <v>26433.705395520999</v>
          </cell>
        </row>
        <row r="183">
          <cell r="A183" t="str">
            <v>Kelantan</v>
          </cell>
          <cell r="B183" t="str">
            <v>03</v>
          </cell>
          <cell r="C183">
            <v>3278.2070083706199</v>
          </cell>
          <cell r="D183">
            <v>2316.7337867512201</v>
          </cell>
          <cell r="E183">
            <v>721.82449280438698</v>
          </cell>
          <cell r="F183">
            <v>239.64872881501501</v>
          </cell>
          <cell r="G183">
            <v>5.9644055039913699E-2</v>
          </cell>
          <cell r="I183">
            <v>23.928708431918501</v>
          </cell>
          <cell r="J183">
            <v>728.41334931284405</v>
          </cell>
          <cell r="K183">
            <v>121.84849218116599</v>
          </cell>
          <cell r="L183">
            <v>37.887261727283303</v>
          </cell>
          <cell r="M183">
            <v>90.040331344982107</v>
          </cell>
          <cell r="N183">
            <v>146.34443200108299</v>
          </cell>
          <cell r="O183">
            <v>77.461632040248602</v>
          </cell>
          <cell r="P183">
            <v>246.43157421922601</v>
          </cell>
          <cell r="Q183">
            <v>8.3996257988556593</v>
          </cell>
          <cell r="R183">
            <v>184.40149107085</v>
          </cell>
          <cell r="S183">
            <v>9720.5054801689002</v>
          </cell>
          <cell r="T183">
            <v>1128.25163187364</v>
          </cell>
          <cell r="U183">
            <v>2509.8444173910798</v>
          </cell>
          <cell r="V183">
            <v>1162.2121930411499</v>
          </cell>
          <cell r="W183">
            <v>1531.4696665264801</v>
          </cell>
          <cell r="X183">
            <v>3388.7275713365502</v>
          </cell>
          <cell r="Y183">
            <v>27.258509501254601</v>
          </cell>
          <cell r="Z183">
            <v>13962.714546856399</v>
          </cell>
        </row>
        <row r="184">
          <cell r="A184" t="str">
            <v>Melaka</v>
          </cell>
          <cell r="B184" t="str">
            <v>04</v>
          </cell>
          <cell r="C184">
            <v>2171.0469426095101</v>
          </cell>
          <cell r="D184">
            <v>2137.9820003771601</v>
          </cell>
          <cell r="E184">
            <v>0.38372537971792697</v>
          </cell>
          <cell r="F184">
            <v>32.681216852634201</v>
          </cell>
          <cell r="G184">
            <v>3.95002643239417E-2</v>
          </cell>
          <cell r="I184">
            <v>11.591103445725601</v>
          </cell>
          <cell r="J184">
            <v>9190.1860404036597</v>
          </cell>
          <cell r="K184">
            <v>439.92529419453803</v>
          </cell>
          <cell r="L184">
            <v>323.13145513812702</v>
          </cell>
          <cell r="M184">
            <v>300.27909684069402</v>
          </cell>
          <cell r="N184">
            <v>3525.3967782201498</v>
          </cell>
          <cell r="O184">
            <v>622.43666930828795</v>
          </cell>
          <cell r="P184">
            <v>2235.08891102693</v>
          </cell>
          <cell r="Q184">
            <v>1743.9278356749401</v>
          </cell>
          <cell r="R184">
            <v>692.92146594357098</v>
          </cell>
          <cell r="S184">
            <v>10560.3179800077</v>
          </cell>
          <cell r="T184">
            <v>1978.7840909982899</v>
          </cell>
          <cell r="U184">
            <v>3541.4714675534401</v>
          </cell>
          <cell r="V184">
            <v>2022.6873549157301</v>
          </cell>
          <cell r="W184">
            <v>1291.10676756355</v>
          </cell>
          <cell r="X184">
            <v>1726.2682989766499</v>
          </cell>
          <cell r="Y184">
            <v>20.244858230933101</v>
          </cell>
          <cell r="Z184">
            <v>22646.308390641101</v>
          </cell>
        </row>
        <row r="185">
          <cell r="A185" t="str">
            <v>Negeri Sembilan</v>
          </cell>
          <cell r="B185" t="str">
            <v>05</v>
          </cell>
          <cell r="C185">
            <v>2177.1023931321502</v>
          </cell>
          <cell r="D185">
            <v>2084.1226660815601</v>
          </cell>
          <cell r="E185">
            <v>54.579197938699799</v>
          </cell>
          <cell r="F185">
            <v>38.400529111885596</v>
          </cell>
          <cell r="G185">
            <v>3.9610437849695798E-2</v>
          </cell>
          <cell r="I185">
            <v>27.9349198765557</v>
          </cell>
          <cell r="J185">
            <v>13482.934373079999</v>
          </cell>
          <cell r="K185">
            <v>1073.51143212127</v>
          </cell>
          <cell r="L185">
            <v>149.48211573688499</v>
          </cell>
          <cell r="M185">
            <v>409.06445384241499</v>
          </cell>
          <cell r="N185">
            <v>4229.78143055286</v>
          </cell>
          <cell r="O185">
            <v>1422.60756007227</v>
          </cell>
          <cell r="P185">
            <v>5239.6258880310597</v>
          </cell>
          <cell r="Q185">
            <v>958.86149272320097</v>
          </cell>
          <cell r="R185">
            <v>711.12297261316098</v>
          </cell>
          <cell r="S185">
            <v>11699.787641275099</v>
          </cell>
          <cell r="T185">
            <v>2723.43609090371</v>
          </cell>
          <cell r="U185">
            <v>2988.6764926708202</v>
          </cell>
          <cell r="V185">
            <v>2333.4203236531898</v>
          </cell>
          <cell r="W185">
            <v>1536.9809950527599</v>
          </cell>
          <cell r="X185">
            <v>2117.2737389946701</v>
          </cell>
          <cell r="Y185">
            <v>591.97883182675503</v>
          </cell>
          <cell r="Z185">
            <v>28690.8611318037</v>
          </cell>
        </row>
        <row r="186">
          <cell r="A186" t="str">
            <v>Pahang</v>
          </cell>
          <cell r="B186" t="str">
            <v>06</v>
          </cell>
          <cell r="C186">
            <v>6495.5884319916304</v>
          </cell>
          <cell r="D186">
            <v>5130.8886455602496</v>
          </cell>
          <cell r="E186">
            <v>607.26593269382295</v>
          </cell>
          <cell r="F186">
            <v>757.43385373755405</v>
          </cell>
          <cell r="G186">
            <v>0.11818144277194299</v>
          </cell>
          <cell r="I186">
            <v>234.637617214561</v>
          </cell>
          <cell r="J186">
            <v>8260.7519226613294</v>
          </cell>
          <cell r="K186">
            <v>1022.37655840198</v>
          </cell>
          <cell r="L186">
            <v>24.944378736767199</v>
          </cell>
          <cell r="M186">
            <v>646.27684577394098</v>
          </cell>
          <cell r="N186">
            <v>2848.8761106411698</v>
          </cell>
          <cell r="O186">
            <v>688.57969868896805</v>
          </cell>
          <cell r="P186">
            <v>113.926478323246</v>
          </cell>
          <cell r="Q186">
            <v>2915.7718520952499</v>
          </cell>
          <cell r="R186">
            <v>926.54904098967097</v>
          </cell>
          <cell r="S186">
            <v>16545.752522713901</v>
          </cell>
          <cell r="T186">
            <v>1786.2366502566499</v>
          </cell>
          <cell r="U186">
            <v>5057.6745861725603</v>
          </cell>
          <cell r="V186">
            <v>2281.7186588714699</v>
          </cell>
          <cell r="W186">
            <v>4027.3848709680901</v>
          </cell>
          <cell r="X186">
            <v>3392.7377564451299</v>
          </cell>
          <cell r="Y186">
            <v>25.951612294820599</v>
          </cell>
          <cell r="Z186">
            <v>32489.231147865899</v>
          </cell>
        </row>
        <row r="187">
          <cell r="A187" t="str">
            <v>Pulau Pinang</v>
          </cell>
          <cell r="B187" t="str">
            <v>07</v>
          </cell>
          <cell r="C187">
            <v>1021.0957839773999</v>
          </cell>
          <cell r="D187">
            <v>758.16760528689701</v>
          </cell>
          <cell r="E187">
            <v>0</v>
          </cell>
          <cell r="F187">
            <v>262.92817869050299</v>
          </cell>
          <cell r="G187">
            <v>1.8577927807811701E-2</v>
          </cell>
          <cell r="I187">
            <v>26.7326725623969</v>
          </cell>
          <cell r="J187">
            <v>26301.2572686202</v>
          </cell>
          <cell r="K187">
            <v>1186.13335334663</v>
          </cell>
          <cell r="L187">
            <v>577.11881207715203</v>
          </cell>
          <cell r="M187">
            <v>927.33094385090396</v>
          </cell>
          <cell r="N187">
            <v>3076.4671167770098</v>
          </cell>
          <cell r="O187">
            <v>2976.3297866633802</v>
          </cell>
          <cell r="P187">
            <v>15388.367361549999</v>
          </cell>
          <cell r="Q187">
            <v>2169.5098943550502</v>
          </cell>
          <cell r="R187">
            <v>1308.2666944063899</v>
          </cell>
          <cell r="S187">
            <v>25831.234097850702</v>
          </cell>
          <cell r="T187">
            <v>5500.6826819693897</v>
          </cell>
          <cell r="U187">
            <v>7280.0789083468699</v>
          </cell>
          <cell r="V187">
            <v>7184.2364387227399</v>
          </cell>
          <cell r="W187">
            <v>2538.1412284069002</v>
          </cell>
          <cell r="X187">
            <v>3328.0948404048499</v>
          </cell>
          <cell r="Y187">
            <v>479.12025591232202</v>
          </cell>
          <cell r="Z187">
            <v>54967.706773329402</v>
          </cell>
        </row>
        <row r="188">
          <cell r="A188" t="str">
            <v>Perak</v>
          </cell>
          <cell r="B188" t="str">
            <v>08</v>
          </cell>
          <cell r="C188">
            <v>5769.6978854849704</v>
          </cell>
          <cell r="D188">
            <v>3875.97029518006</v>
          </cell>
          <cell r="E188">
            <v>387.62683690967799</v>
          </cell>
          <cell r="F188">
            <v>1506.10075339523</v>
          </cell>
          <cell r="G188">
            <v>0.104974511178469</v>
          </cell>
          <cell r="I188">
            <v>160.81691599765799</v>
          </cell>
          <cell r="J188">
            <v>8091.9117850561797</v>
          </cell>
          <cell r="K188">
            <v>1160.96481724502</v>
          </cell>
          <cell r="L188">
            <v>171.25186372072</v>
          </cell>
          <cell r="M188">
            <v>363.56211939631299</v>
          </cell>
          <cell r="N188">
            <v>1553.97182138072</v>
          </cell>
          <cell r="O188">
            <v>1886.8563472396399</v>
          </cell>
          <cell r="P188">
            <v>2067.8582196103498</v>
          </cell>
          <cell r="Q188">
            <v>887.44659646341097</v>
          </cell>
          <cell r="R188">
            <v>1315.5138579433501</v>
          </cell>
          <cell r="S188">
            <v>26425.2482440975</v>
          </cell>
          <cell r="T188">
            <v>8094.2207449247398</v>
          </cell>
          <cell r="U188">
            <v>6149.5975449324096</v>
          </cell>
          <cell r="V188">
            <v>4468.0073264889497</v>
          </cell>
          <cell r="W188">
            <v>3020.86195335604</v>
          </cell>
          <cell r="X188">
            <v>4692.5606743953904</v>
          </cell>
          <cell r="Y188">
            <v>23.3757166071066</v>
          </cell>
          <cell r="Z188">
            <v>41786.5644051868</v>
          </cell>
        </row>
        <row r="189">
          <cell r="A189" t="str">
            <v>Perlis</v>
          </cell>
          <cell r="B189" t="str">
            <v>09</v>
          </cell>
          <cell r="C189">
            <v>818.62725838790595</v>
          </cell>
          <cell r="D189">
            <v>271.46455222490499</v>
          </cell>
          <cell r="E189">
            <v>0</v>
          </cell>
          <cell r="F189">
            <v>547.16270616300096</v>
          </cell>
          <cell r="G189">
            <v>1.4894193420912199E-2</v>
          </cell>
          <cell r="I189">
            <v>7.8513332154068296</v>
          </cell>
          <cell r="J189">
            <v>362.41036102651401</v>
          </cell>
          <cell r="K189">
            <v>53.638273758948998</v>
          </cell>
          <cell r="L189">
            <v>42.021774884030897</v>
          </cell>
          <cell r="M189">
            <v>5.8401637589311397</v>
          </cell>
          <cell r="N189">
            <v>78.988785974380804</v>
          </cell>
          <cell r="O189">
            <v>178.223318920645</v>
          </cell>
          <cell r="P189">
            <v>0.68963994380997895</v>
          </cell>
          <cell r="Q189">
            <v>3.0084037857672898</v>
          </cell>
          <cell r="R189">
            <v>99.772993551221603</v>
          </cell>
          <cell r="S189">
            <v>2274.54725466329</v>
          </cell>
          <cell r="T189">
            <v>721.42277281399902</v>
          </cell>
          <cell r="U189">
            <v>331.29351414421097</v>
          </cell>
          <cell r="V189">
            <v>298.30837412730398</v>
          </cell>
          <cell r="W189">
            <v>280.637554691064</v>
          </cell>
          <cell r="X189">
            <v>642.88503888671505</v>
          </cell>
          <cell r="Y189">
            <v>84.816419751260895</v>
          </cell>
          <cell r="Z189">
            <v>3648.0256205955998</v>
          </cell>
        </row>
        <row r="190">
          <cell r="A190" t="str">
            <v>Selangor</v>
          </cell>
          <cell r="B190">
            <v>10</v>
          </cell>
          <cell r="C190">
            <v>2873.5869735044298</v>
          </cell>
          <cell r="D190">
            <v>1919.87178957015</v>
          </cell>
          <cell r="E190">
            <v>4.7663474021765504</v>
          </cell>
          <cell r="F190">
            <v>948.94883653210195</v>
          </cell>
          <cell r="G190">
            <v>5.2282354095406901E-2</v>
          </cell>
          <cell r="I190">
            <v>173.78388784137201</v>
          </cell>
          <cell r="J190">
            <v>57388.191002190302</v>
          </cell>
          <cell r="K190">
            <v>9145.1344121986695</v>
          </cell>
          <cell r="L190">
            <v>658.68614929752005</v>
          </cell>
          <cell r="M190">
            <v>3205.7740136094299</v>
          </cell>
          <cell r="N190">
            <v>9106.4950050390908</v>
          </cell>
          <cell r="O190">
            <v>9596.8726905711701</v>
          </cell>
          <cell r="P190">
            <v>12120.3435515441</v>
          </cell>
          <cell r="Q190">
            <v>13554.885179930299</v>
          </cell>
          <cell r="R190">
            <v>10144.089580456801</v>
          </cell>
          <cell r="S190">
            <v>109673.337794666</v>
          </cell>
          <cell r="T190">
            <v>26316.5125620527</v>
          </cell>
          <cell r="U190">
            <v>36010.973321654797</v>
          </cell>
          <cell r="V190">
            <v>29168.735580597899</v>
          </cell>
          <cell r="W190">
            <v>8782.4639217673994</v>
          </cell>
          <cell r="X190">
            <v>9394.6524085932597</v>
          </cell>
          <cell r="Y190">
            <v>6295.2281592564996</v>
          </cell>
          <cell r="Z190">
            <v>186548.217397915</v>
          </cell>
        </row>
        <row r="191">
          <cell r="A191" t="str">
            <v>Terengganu</v>
          </cell>
          <cell r="B191">
            <v>11</v>
          </cell>
          <cell r="C191">
            <v>1554.2279757542899</v>
          </cell>
          <cell r="D191">
            <v>1198.20448964097</v>
          </cell>
          <cell r="E191">
            <v>103.412863951137</v>
          </cell>
          <cell r="F191">
            <v>252.61062216218701</v>
          </cell>
          <cell r="G191">
            <v>2.8277792919653901E-2</v>
          </cell>
          <cell r="I191">
            <v>21.902583824948501</v>
          </cell>
          <cell r="J191">
            <v>7670.0923387204703</v>
          </cell>
          <cell r="K191">
            <v>64.322648984943001</v>
          </cell>
          <cell r="L191">
            <v>42.864132053096398</v>
          </cell>
          <cell r="M191">
            <v>97.235170068299993</v>
          </cell>
          <cell r="N191">
            <v>7023.4126857194096</v>
          </cell>
          <cell r="O191">
            <v>364.86600226697902</v>
          </cell>
          <cell r="P191">
            <v>2.8807609174577098</v>
          </cell>
          <cell r="Q191">
            <v>74.510938710281096</v>
          </cell>
          <cell r="R191">
            <v>795.84075558622499</v>
          </cell>
          <cell r="S191">
            <v>10497.527787229001</v>
          </cell>
          <cell r="T191">
            <v>3895.6502935599401</v>
          </cell>
          <cell r="U191">
            <v>1936.3616513498</v>
          </cell>
          <cell r="V191">
            <v>982.59055145654202</v>
          </cell>
          <cell r="W191">
            <v>1012.52988625111</v>
          </cell>
          <cell r="X191">
            <v>2670.3954046116</v>
          </cell>
          <cell r="Y191">
            <v>14.0157405078594</v>
          </cell>
          <cell r="Z191">
            <v>20553.6071816228</v>
          </cell>
        </row>
        <row r="192">
          <cell r="A192" t="str">
            <v>Sabah</v>
          </cell>
          <cell r="B192">
            <v>12</v>
          </cell>
          <cell r="C192">
            <v>9410.6954707572204</v>
          </cell>
          <cell r="D192">
            <v>6788.29327785022</v>
          </cell>
          <cell r="E192">
            <v>701.74899572940399</v>
          </cell>
          <cell r="F192">
            <v>1920.6531971775901</v>
          </cell>
          <cell r="G192">
            <v>0.171219217452863</v>
          </cell>
          <cell r="I192">
            <v>9349.4960306194607</v>
          </cell>
          <cell r="J192">
            <v>3605.2665872625498</v>
          </cell>
          <cell r="K192">
            <v>2006.6271122629</v>
          </cell>
          <cell r="L192">
            <v>35.873470019840099</v>
          </cell>
          <cell r="M192">
            <v>726.236787169575</v>
          </cell>
          <cell r="N192">
            <v>229.85404437143899</v>
          </cell>
          <cell r="O192">
            <v>453.08445668788801</v>
          </cell>
          <cell r="P192">
            <v>13.031717106270399</v>
          </cell>
          <cell r="Q192">
            <v>140.558999644642</v>
          </cell>
          <cell r="R192">
            <v>1106.9610473805201</v>
          </cell>
          <cell r="S192">
            <v>22133.7737827686</v>
          </cell>
          <cell r="T192">
            <v>4100.9525660907102</v>
          </cell>
          <cell r="U192">
            <v>7043.4143607875403</v>
          </cell>
          <cell r="V192">
            <v>4460.10240379273</v>
          </cell>
          <cell r="W192">
            <v>1915.8505499156499</v>
          </cell>
          <cell r="X192">
            <v>4613.4539021819801</v>
          </cell>
          <cell r="Y192">
            <v>184.392118725611</v>
          </cell>
          <cell r="Z192">
            <v>45790.585037514</v>
          </cell>
        </row>
        <row r="193">
          <cell r="A193" t="str">
            <v>Sarawak</v>
          </cell>
          <cell r="B193">
            <v>13</v>
          </cell>
          <cell r="C193">
            <v>8500.9819954592695</v>
          </cell>
          <cell r="D193">
            <v>5007.7009603058596</v>
          </cell>
          <cell r="E193">
            <v>2927.3698797729899</v>
          </cell>
          <cell r="F193">
            <v>565.91115538041095</v>
          </cell>
          <cell r="G193">
            <v>0.15466779148962301</v>
          </cell>
          <cell r="I193">
            <v>16082.7212522643</v>
          </cell>
          <cell r="J193">
            <v>19926.047586987199</v>
          </cell>
          <cell r="K193">
            <v>867.52672601975598</v>
          </cell>
          <cell r="L193">
            <v>15.2615685336468</v>
          </cell>
          <cell r="M193">
            <v>1579.5850175294199</v>
          </cell>
          <cell r="N193">
            <v>15717.725999576</v>
          </cell>
          <cell r="O193">
            <v>641.92543226121495</v>
          </cell>
          <cell r="P193">
            <v>647.00830661870998</v>
          </cell>
          <cell r="Q193">
            <v>457.01453644846498</v>
          </cell>
          <cell r="R193">
            <v>2301.0924495561999</v>
          </cell>
          <cell r="S193">
            <v>27843.5206875031</v>
          </cell>
          <cell r="T193">
            <v>6131.7304483726402</v>
          </cell>
          <cell r="U193">
            <v>7340.1493415198602</v>
          </cell>
          <cell r="V193">
            <v>7138.3263984308596</v>
          </cell>
          <cell r="W193">
            <v>2668.2303733642402</v>
          </cell>
          <cell r="X193">
            <v>4565.0841258155097</v>
          </cell>
          <cell r="Y193">
            <v>232.84176556763501</v>
          </cell>
          <cell r="Z193">
            <v>74887.205737337703</v>
          </cell>
        </row>
        <row r="194">
          <cell r="A194" t="str">
            <v>WP Kuala Lumpur</v>
          </cell>
          <cell r="B194">
            <v>14</v>
          </cell>
          <cell r="C194">
            <v>1.4522015191577999</v>
          </cell>
          <cell r="D194">
            <v>1.4522015191577999</v>
          </cell>
          <cell r="E194">
            <v>0</v>
          </cell>
          <cell r="F194">
            <v>0</v>
          </cell>
          <cell r="G194">
            <v>2.6421512465969799E-5</v>
          </cell>
          <cell r="I194">
            <v>38.115332011266602</v>
          </cell>
          <cell r="J194">
            <v>5028.9893210533601</v>
          </cell>
          <cell r="K194">
            <v>487.25938630193099</v>
          </cell>
          <cell r="L194">
            <v>291.02525022970502</v>
          </cell>
          <cell r="M194">
            <v>682.35266066343604</v>
          </cell>
          <cell r="N194">
            <v>758.09189379295697</v>
          </cell>
          <cell r="O194">
            <v>801.37090367748306</v>
          </cell>
          <cell r="P194">
            <v>843.14870568153697</v>
          </cell>
          <cell r="Q194">
            <v>1165.74052070631</v>
          </cell>
          <cell r="R194">
            <v>6781.6547222751296</v>
          </cell>
          <cell r="S194">
            <v>109069.06637915599</v>
          </cell>
          <cell r="T194">
            <v>7276.13968971135</v>
          </cell>
          <cell r="U194">
            <v>40341.450519275902</v>
          </cell>
          <cell r="V194">
            <v>41086.511367503699</v>
          </cell>
          <cell r="W194">
            <v>5399.2865968689202</v>
          </cell>
          <cell r="X194">
            <v>14965.678205795801</v>
          </cell>
          <cell r="Y194">
            <v>1140.19933738243</v>
          </cell>
          <cell r="Z194">
            <v>122059.47729339699</v>
          </cell>
        </row>
        <row r="195">
          <cell r="A195" t="str">
            <v>WP Labuan</v>
          </cell>
          <cell r="B195">
            <v>15</v>
          </cell>
          <cell r="C195">
            <v>139.32715428529599</v>
          </cell>
          <cell r="D195">
            <v>7.9241830797108799</v>
          </cell>
          <cell r="E195">
            <v>0</v>
          </cell>
          <cell r="F195">
            <v>131.402971205585</v>
          </cell>
          <cell r="G195">
            <v>2.5349334064407002E-3</v>
          </cell>
          <cell r="I195">
            <v>0</v>
          </cell>
          <cell r="J195">
            <v>750.58651940238099</v>
          </cell>
          <cell r="K195">
            <v>9.1777708055619591</v>
          </cell>
          <cell r="L195">
            <v>2.6930070708899798</v>
          </cell>
          <cell r="M195">
            <v>1.15361241202134</v>
          </cell>
          <cell r="N195">
            <v>493.356230079439</v>
          </cell>
          <cell r="O195">
            <v>209.996322507017</v>
          </cell>
          <cell r="P195">
            <v>1.2068615879611899</v>
          </cell>
          <cell r="Q195">
            <v>33.002714939490602</v>
          </cell>
          <cell r="R195">
            <v>51.5224791213004</v>
          </cell>
          <cell r="S195">
            <v>2514.23810393146</v>
          </cell>
          <cell r="T195">
            <v>230.96421000186899</v>
          </cell>
          <cell r="U195">
            <v>280.79011811224899</v>
          </cell>
          <cell r="V195">
            <v>1801.2729670522999</v>
          </cell>
          <cell r="W195">
            <v>75.651371134487405</v>
          </cell>
          <cell r="X195">
            <v>125.559437630563</v>
          </cell>
          <cell r="Y195">
            <v>19.3768432572531</v>
          </cell>
          <cell r="Z195">
            <v>3475.05109999769</v>
          </cell>
        </row>
        <row r="196">
          <cell r="A196" t="str">
            <v>Supra1</v>
          </cell>
          <cell r="C196">
            <v>0</v>
          </cell>
          <cell r="D196">
            <v>0</v>
          </cell>
          <cell r="E196">
            <v>0</v>
          </cell>
          <cell r="F196">
            <v>0</v>
          </cell>
          <cell r="G196">
            <v>0</v>
          </cell>
          <cell r="I196">
            <v>37396.647797976802</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37396.647797976802</v>
          </cell>
        </row>
        <row r="197">
          <cell r="A197" t="str">
            <v>MALAYSIA</v>
          </cell>
          <cell r="C197">
            <v>56094.863948008802</v>
          </cell>
          <cell r="D197">
            <v>42177.282744000098</v>
          </cell>
          <cell r="E197">
            <v>5680.5177895924298</v>
          </cell>
          <cell r="F197">
            <v>8237.0634144162996</v>
          </cell>
          <cell r="G197">
            <v>1.0205960588298699</v>
          </cell>
          <cell r="I197">
            <v>63679.570402235702</v>
          </cell>
          <cell r="J197">
            <v>193236.87487791901</v>
          </cell>
          <cell r="K197">
            <v>20520.3540832705</v>
          </cell>
          <cell r="L197">
            <v>3292.5069088150199</v>
          </cell>
          <cell r="M197">
            <v>11332.0197671565</v>
          </cell>
          <cell r="N197">
            <v>56890.6905584009</v>
          </cell>
          <cell r="O197">
            <v>25729.4159043656</v>
          </cell>
          <cell r="P197">
            <v>47395.620080784298</v>
          </cell>
          <cell r="Q197">
            <v>28076.267575125901</v>
          </cell>
          <cell r="R197">
            <v>29554.397320664899</v>
          </cell>
          <cell r="S197">
            <v>434459.632237071</v>
          </cell>
          <cell r="T197">
            <v>80322.4492331277</v>
          </cell>
          <cell r="U197">
            <v>132979.18733601301</v>
          </cell>
          <cell r="V197">
            <v>116531.80588113</v>
          </cell>
          <cell r="W197">
            <v>39519.567445151901</v>
          </cell>
          <cell r="X197">
            <v>65106.622341648297</v>
          </cell>
          <cell r="Y197">
            <v>10585.702477803399</v>
          </cell>
          <cell r="Z197">
            <v>787611.04126370198</v>
          </cell>
        </row>
      </sheetData>
      <sheetData sheetId="4">
        <row r="3">
          <cell r="B3" t="str">
            <v>row</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VA-curr"/>
      <sheetName val="VA-cons"/>
      <sheetName val="VA_CONSTANT"/>
      <sheetName val="ref"/>
      <sheetName val="Tbl1_Msia"/>
      <sheetName val="Tbl3_05"/>
      <sheetName val="Tbl5_06"/>
      <sheetName val="Tbl7_06"/>
      <sheetName val="Tbl8_07"/>
      <sheetName val="Tbl10_07"/>
      <sheetName val="Tbl11_08"/>
      <sheetName val="Tbl13_08"/>
      <sheetName val="Tbl14_09"/>
      <sheetName val="Tbl16_09"/>
      <sheetName val="Tbl17_10"/>
      <sheetName val="Tbl19_10"/>
      <sheetName val="Tbl20_11"/>
      <sheetName val="Tbl22_11"/>
      <sheetName val="Tbl23_12"/>
      <sheetName val="Tbl25_12"/>
      <sheetName val="Tbl26_13"/>
      <sheetName val="Tbl28_13"/>
      <sheetName val="Tbl29_Curr&amp;perCapita"/>
      <sheetName val="JHR"/>
      <sheetName val="KDH"/>
      <sheetName val="KLTN"/>
      <sheetName val="MLK"/>
      <sheetName val="N9"/>
      <sheetName val="PHG"/>
      <sheetName val="PP"/>
      <sheetName val="PRK"/>
      <sheetName val="PRLS"/>
      <sheetName val="SLGR"/>
      <sheetName val="TRGN"/>
      <sheetName val="SBH"/>
      <sheetName val="SRWK"/>
      <sheetName val="WPKL"/>
      <sheetName val="WPL"/>
      <sheetName val="Sheet2"/>
      <sheetName val="Sheet3"/>
      <sheetName val="Sheet6"/>
      <sheetName val="Sheet4"/>
      <sheetName val="Sheet4 (2)"/>
      <sheetName val="Sheet5"/>
      <sheetName val="Sheet7"/>
      <sheetName val="7.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VA-curr"/>
      <sheetName val="VA-cons"/>
      <sheetName val="VA_CONSTANT"/>
      <sheetName val="ref"/>
      <sheetName val="Tbl1_Msia"/>
      <sheetName val="Tbl3_05"/>
      <sheetName val="Tbl5_06"/>
      <sheetName val="Tbl7_06"/>
      <sheetName val="Tbl8_07"/>
      <sheetName val="Tbl10_07"/>
      <sheetName val="Tbl11_08"/>
      <sheetName val="Tbl13_08"/>
      <sheetName val="Tbl14_09"/>
      <sheetName val="Tbl16_09"/>
      <sheetName val="Tbl17_10"/>
      <sheetName val="Tbl19_10"/>
      <sheetName val="Tbl20_11"/>
      <sheetName val="Tbl22_11"/>
      <sheetName val="Tbl23_12"/>
      <sheetName val="Tbl25_12"/>
      <sheetName val="Tbl26_13"/>
      <sheetName val="Tbl28_13"/>
      <sheetName val="Tbl29_Curr&amp;perCapita"/>
      <sheetName val="JHR"/>
      <sheetName val="KDH"/>
      <sheetName val="KLTN"/>
      <sheetName val="MLK"/>
      <sheetName val="N9"/>
      <sheetName val="PHG"/>
      <sheetName val="PP"/>
      <sheetName val="PRK"/>
      <sheetName val="PRLS"/>
      <sheetName val="SLGR"/>
      <sheetName val="TRGN"/>
      <sheetName val="SBH"/>
      <sheetName val="SRWK"/>
      <sheetName val="WPKL"/>
      <sheetName val="WPL"/>
      <sheetName val="Sheet2"/>
      <sheetName val="Sheet3"/>
      <sheetName val="Sheet6"/>
      <sheetName val="Sheet4"/>
      <sheetName val="Sheet4 (2)"/>
      <sheetName val="Sheet5"/>
      <sheetName val="Sheet7"/>
      <sheetName val="7.6"/>
      <sheetName val="4.9"/>
      <sheetName val="4.8"/>
    </sheetNames>
    <sheetDataSet>
      <sheetData sheetId="0">
        <row r="1">
          <cell r="C1" t="str">
            <v>agri</v>
          </cell>
        </row>
      </sheetData>
      <sheetData sheetId="1">
        <row r="1">
          <cell r="C1" t="str">
            <v>agri</v>
          </cell>
        </row>
      </sheetData>
      <sheetData sheetId="2">
        <row r="3">
          <cell r="B3" t="str">
            <v>row</v>
          </cell>
        </row>
      </sheetData>
      <sheetData sheetId="3">
        <row r="1">
          <cell r="C1" t="str">
            <v>agri</v>
          </cell>
          <cell r="D1" t="str">
            <v>a1</v>
          </cell>
          <cell r="E1" t="str">
            <v>a2</v>
          </cell>
          <cell r="F1" t="str">
            <v>a3</v>
          </cell>
          <cell r="I1" t="str">
            <v>mq</v>
          </cell>
          <cell r="J1" t="str">
            <v>mfg</v>
          </cell>
          <cell r="R1" t="str">
            <v>c</v>
          </cell>
          <cell r="S1" t="str">
            <v>svs</v>
          </cell>
          <cell r="T1" t="str">
            <v>s1</v>
          </cell>
          <cell r="U1" t="str">
            <v>s2</v>
          </cell>
          <cell r="V1" t="str">
            <v>s3</v>
          </cell>
          <cell r="W1" t="str">
            <v>s4</v>
          </cell>
          <cell r="X1" t="str">
            <v>s5</v>
          </cell>
          <cell r="Y1" t="str">
            <v>di</v>
          </cell>
        </row>
        <row r="2">
          <cell r="A2" t="str">
            <v>CONSTANT</v>
          </cell>
          <cell r="B2" t="str">
            <v>Industry</v>
          </cell>
          <cell r="D2">
            <v>1</v>
          </cell>
          <cell r="E2">
            <v>2</v>
          </cell>
          <cell r="F2">
            <v>3</v>
          </cell>
          <cell r="I2">
            <v>4</v>
          </cell>
          <cell r="K2">
            <v>6</v>
          </cell>
          <cell r="L2">
            <v>7</v>
          </cell>
          <cell r="M2">
            <v>8</v>
          </cell>
          <cell r="N2">
            <v>9</v>
          </cell>
          <cell r="O2">
            <v>10</v>
          </cell>
          <cell r="P2">
            <v>11</v>
          </cell>
          <cell r="Q2">
            <v>12</v>
          </cell>
          <cell r="R2">
            <v>5</v>
          </cell>
          <cell r="T2">
            <v>13</v>
          </cell>
          <cell r="U2">
            <v>14</v>
          </cell>
          <cell r="V2">
            <v>15</v>
          </cell>
          <cell r="W2">
            <v>16</v>
          </cell>
        </row>
        <row r="3">
          <cell r="A3">
            <v>2005</v>
          </cell>
          <cell r="B3" t="str">
            <v>I</v>
          </cell>
          <cell r="C3" t="str">
            <v>Agriculture</v>
          </cell>
          <cell r="D3" t="str">
            <v>Tanaman</v>
          </cell>
          <cell r="E3" t="str">
            <v>Pembalakan</v>
          </cell>
          <cell r="F3" t="str">
            <v>Perikanan</v>
          </cell>
          <cell r="I3" t="str">
            <v>Mining andQuarrying</v>
          </cell>
          <cell r="J3" t="str">
            <v>Manufacturing</v>
          </cell>
          <cell r="K3" t="str">
            <v>Prosesan Makanan, Minuman dan Produk Tembakau</v>
          </cell>
          <cell r="L3" t="str">
            <v>Tekstil, Pakaian, Kulit dan Kasut</v>
          </cell>
          <cell r="M3" t="str">
            <v>Keluaran Kayu, Perabot, Produk Kertas, Percetakan dan Penerbitan</v>
          </cell>
          <cell r="N3" t="str">
            <v>Produk Petroleum, Bahan kimia, Getah dan Plastik</v>
          </cell>
          <cell r="O3" t="str">
            <v>Produk Mineral Bukan Logam, Logam Asli dan Produk Logam Yang Direka</v>
          </cell>
          <cell r="P3" t="str">
            <v>Elektrik dan Elektronik</v>
          </cell>
          <cell r="Q3" t="str">
            <v>Kelengkapan Pengangkutan dan Pembuatan Lain</v>
          </cell>
          <cell r="R3" t="str">
            <v>Construction</v>
          </cell>
          <cell r="S3" t="str">
            <v>Services</v>
          </cell>
          <cell r="T3" t="str">
            <v>Utiliti, Transport &amp; Communication</v>
          </cell>
          <cell r="U3" t="str">
            <v>WRT, Accomm &amp; Restaurant</v>
          </cell>
          <cell r="V3" t="str">
            <v>Finance &amp; Insurance, Real Estate &amp; Business Services</v>
          </cell>
          <cell r="W3" t="str">
            <v>Other Services</v>
          </cell>
          <cell r="X3" t="str">
            <v>Government Services</v>
          </cell>
          <cell r="Y3" t="str">
            <v>Plus :Import Duties</v>
          </cell>
          <cell r="Z3" t="str">
            <v>GDP atPurchasers' Prices</v>
          </cell>
        </row>
        <row r="4">
          <cell r="A4" t="str">
            <v>States</v>
          </cell>
          <cell r="B4" t="str">
            <v>Converter</v>
          </cell>
        </row>
        <row r="5">
          <cell r="A5" t="str">
            <v>Johor</v>
          </cell>
          <cell r="B5" t="str">
            <v>01</v>
          </cell>
          <cell r="C5">
            <v>6188.6869740789298</v>
          </cell>
          <cell r="D5">
            <v>5669.7259013497996</v>
          </cell>
          <cell r="E5">
            <v>45.404660919470203</v>
          </cell>
          <cell r="F5">
            <v>473.55641180965398</v>
          </cell>
          <cell r="I5">
            <v>50.620516345188399</v>
          </cell>
          <cell r="J5">
            <v>19313.560805921999</v>
          </cell>
          <cell r="K5">
            <v>1888.2624376276301</v>
          </cell>
          <cell r="L5">
            <v>1149.0903681325999</v>
          </cell>
          <cell r="M5">
            <v>1714.3932465764999</v>
          </cell>
          <cell r="N5">
            <v>2991.2672766727201</v>
          </cell>
          <cell r="O5">
            <v>2006.31809600568</v>
          </cell>
          <cell r="P5">
            <v>8059.1865180237201</v>
          </cell>
          <cell r="Q5">
            <v>1505.0428628831401</v>
          </cell>
          <cell r="R5">
            <v>1670.54664818574</v>
          </cell>
          <cell r="S5">
            <v>22105.495280909901</v>
          </cell>
          <cell r="T5">
            <v>5121.6287950521801</v>
          </cell>
          <cell r="U5">
            <v>4738.8112307610199</v>
          </cell>
          <cell r="V5">
            <v>6491.4735762118498</v>
          </cell>
          <cell r="W5">
            <v>2496.7540465810398</v>
          </cell>
          <cell r="X5">
            <v>3256.8276323038199</v>
          </cell>
          <cell r="Y5">
            <v>728.65346871345605</v>
          </cell>
          <cell r="Z5">
            <v>50057.5636941552</v>
          </cell>
        </row>
        <row r="6">
          <cell r="A6" t="str">
            <v>Kedah</v>
          </cell>
          <cell r="B6" t="str">
            <v>02</v>
          </cell>
          <cell r="C6">
            <v>2205.86141292909</v>
          </cell>
          <cell r="D6">
            <v>1914.1195857136699</v>
          </cell>
          <cell r="E6">
            <v>48.185576857368801</v>
          </cell>
          <cell r="F6">
            <v>243.55625035804999</v>
          </cell>
          <cell r="I6">
            <v>16.798627679947501</v>
          </cell>
          <cell r="J6">
            <v>6439.0935720568305</v>
          </cell>
          <cell r="K6">
            <v>281.20731449561799</v>
          </cell>
          <cell r="L6">
            <v>96.930988138971202</v>
          </cell>
          <cell r="M6">
            <v>440.53144658206003</v>
          </cell>
          <cell r="N6">
            <v>1243.63644861429</v>
          </cell>
          <cell r="O6">
            <v>1069.4520876377201</v>
          </cell>
          <cell r="P6">
            <v>2468.58309146803</v>
          </cell>
          <cell r="Q6">
            <v>838.75219512014905</v>
          </cell>
          <cell r="R6">
            <v>479.920265520209</v>
          </cell>
          <cell r="S6">
            <v>8577.0303768635804</v>
          </cell>
          <cell r="T6">
            <v>1286.23198685443</v>
          </cell>
          <cell r="U6">
            <v>2023.71962814313</v>
          </cell>
          <cell r="V6">
            <v>1562.0316095077601</v>
          </cell>
          <cell r="W6">
            <v>1614.1054910212999</v>
          </cell>
          <cell r="X6">
            <v>2090.9416613369599</v>
          </cell>
          <cell r="Y6">
            <v>109.9703374261</v>
          </cell>
          <cell r="Z6">
            <v>17828.6745924758</v>
          </cell>
        </row>
        <row r="7">
          <cell r="A7" t="str">
            <v>Kelantan</v>
          </cell>
          <cell r="B7" t="str">
            <v>03</v>
          </cell>
          <cell r="C7">
            <v>2344.5991933385599</v>
          </cell>
          <cell r="D7">
            <v>1883.75251168818</v>
          </cell>
          <cell r="E7">
            <v>292.99724383027001</v>
          </cell>
          <cell r="F7">
            <v>167.84943782010399</v>
          </cell>
          <cell r="I7">
            <v>16.786386316163199</v>
          </cell>
          <cell r="J7">
            <v>546.021104581906</v>
          </cell>
          <cell r="K7">
            <v>133.716111525911</v>
          </cell>
          <cell r="L7">
            <v>82.117642096891799</v>
          </cell>
          <cell r="M7">
            <v>99.548580440402105</v>
          </cell>
          <cell r="N7">
            <v>77.427332457531506</v>
          </cell>
          <cell r="O7">
            <v>34.503208304897598</v>
          </cell>
          <cell r="P7">
            <v>114.890064756613</v>
          </cell>
          <cell r="Q7">
            <v>3.8181649996589799</v>
          </cell>
          <cell r="R7">
            <v>177.04286407597399</v>
          </cell>
          <cell r="S7">
            <v>5935.6247485070598</v>
          </cell>
          <cell r="T7">
            <v>723.53971458984802</v>
          </cell>
          <cell r="U7">
            <v>1624.3435341894599</v>
          </cell>
          <cell r="V7">
            <v>647.72293706302503</v>
          </cell>
          <cell r="W7">
            <v>1141.9703719863901</v>
          </cell>
          <cell r="X7">
            <v>1798.04819067834</v>
          </cell>
          <cell r="Y7">
            <v>11.1525705205711</v>
          </cell>
          <cell r="Z7">
            <v>9031.2268673402305</v>
          </cell>
        </row>
        <row r="8">
          <cell r="A8" t="str">
            <v>Melaka</v>
          </cell>
          <cell r="B8" t="str">
            <v>04</v>
          </cell>
          <cell r="C8">
            <v>813.34341062993201</v>
          </cell>
          <cell r="D8">
            <v>799.24648329818001</v>
          </cell>
          <cell r="E8">
            <v>4.0672606939171997E-2</v>
          </cell>
          <cell r="F8">
            <v>14.0562547248129</v>
          </cell>
          <cell r="I8">
            <v>7.9443777633508503</v>
          </cell>
          <cell r="J8">
            <v>7593.5701683297902</v>
          </cell>
          <cell r="K8">
            <v>229.645071173025</v>
          </cell>
          <cell r="L8">
            <v>98.459729658165202</v>
          </cell>
          <cell r="M8">
            <v>411.14213293316999</v>
          </cell>
          <cell r="N8">
            <v>2862.92900939939</v>
          </cell>
          <cell r="O8">
            <v>611.91226312907202</v>
          </cell>
          <cell r="P8">
            <v>2167.05771523879</v>
          </cell>
          <cell r="Q8">
            <v>1212.4242467981801</v>
          </cell>
          <cell r="R8">
            <v>340.14170407848502</v>
          </cell>
          <cell r="S8">
            <v>6281.4052104497096</v>
          </cell>
          <cell r="T8">
            <v>1256.6868027578</v>
          </cell>
          <cell r="U8">
            <v>1861.2386838883499</v>
          </cell>
          <cell r="V8">
            <v>1276.8413914809501</v>
          </cell>
          <cell r="W8">
            <v>959.94229629765505</v>
          </cell>
          <cell r="X8">
            <v>926.69603602494703</v>
          </cell>
          <cell r="Y8">
            <v>12.647305123930799</v>
          </cell>
          <cell r="Z8">
            <v>15049.0521763752</v>
          </cell>
        </row>
        <row r="9">
          <cell r="A9" t="str">
            <v>Negeri Sembilan</v>
          </cell>
          <cell r="B9" t="str">
            <v>05</v>
          </cell>
          <cell r="C9">
            <v>1638.4824392743301</v>
          </cell>
          <cell r="D9">
            <v>1577.11907276651</v>
          </cell>
          <cell r="E9">
            <v>36.968810853014197</v>
          </cell>
          <cell r="F9">
            <v>24.394555654808499</v>
          </cell>
          <cell r="I9">
            <v>17.8073562157117</v>
          </cell>
          <cell r="J9">
            <v>10528.084675726601</v>
          </cell>
          <cell r="K9">
            <v>1056.1793738148799</v>
          </cell>
          <cell r="L9">
            <v>396.31895420225999</v>
          </cell>
          <cell r="M9">
            <v>371.14684069650701</v>
          </cell>
          <cell r="N9">
            <v>2262.04761504506</v>
          </cell>
          <cell r="O9">
            <v>723.17558514235202</v>
          </cell>
          <cell r="P9">
            <v>4681.3968444028596</v>
          </cell>
          <cell r="Q9">
            <v>1037.8194624227001</v>
          </cell>
          <cell r="R9">
            <v>411.71665288432098</v>
          </cell>
          <cell r="S9">
            <v>7045.2758865559599</v>
          </cell>
          <cell r="T9">
            <v>1564.2072475928301</v>
          </cell>
          <cell r="U9">
            <v>1685.5216305358299</v>
          </cell>
          <cell r="V9">
            <v>1465.2132277160799</v>
          </cell>
          <cell r="W9">
            <v>1045.59591398047</v>
          </cell>
          <cell r="X9">
            <v>1284.7378667307601</v>
          </cell>
          <cell r="Y9">
            <v>94.643394910766901</v>
          </cell>
          <cell r="Z9">
            <v>19736.0104055677</v>
          </cell>
        </row>
        <row r="10">
          <cell r="A10" t="str">
            <v>Pahang</v>
          </cell>
          <cell r="B10" t="str">
            <v>06</v>
          </cell>
          <cell r="C10">
            <v>5408.1524182366702</v>
          </cell>
          <cell r="D10">
            <v>4247.9775913840704</v>
          </cell>
          <cell r="E10">
            <v>700.02655418262998</v>
          </cell>
          <cell r="F10">
            <v>460.14827266996701</v>
          </cell>
          <cell r="I10">
            <v>100.97265852557599</v>
          </cell>
          <cell r="J10">
            <v>6422.5911004641202</v>
          </cell>
          <cell r="K10">
            <v>496.46787956383002</v>
          </cell>
          <cell r="L10">
            <v>17.898124393975099</v>
          </cell>
          <cell r="M10">
            <v>571.63532464968898</v>
          </cell>
          <cell r="N10">
            <v>3138.7165912176501</v>
          </cell>
          <cell r="O10">
            <v>579.36037098090799</v>
          </cell>
          <cell r="P10">
            <v>155.79759004910699</v>
          </cell>
          <cell r="Q10">
            <v>1462.7152196089601</v>
          </cell>
          <cell r="R10">
            <v>575.26311602041301</v>
          </cell>
          <cell r="S10">
            <v>10514.660589892301</v>
          </cell>
          <cell r="T10">
            <v>1182.4679888487699</v>
          </cell>
          <cell r="U10">
            <v>3212.7132296569698</v>
          </cell>
          <cell r="V10">
            <v>1370.6219651210999</v>
          </cell>
          <cell r="W10">
            <v>2811.54899205008</v>
          </cell>
          <cell r="X10">
            <v>1937.30841421541</v>
          </cell>
          <cell r="Y10">
            <v>39.701491019977198</v>
          </cell>
          <cell r="Z10">
            <v>23061.341374159099</v>
          </cell>
        </row>
        <row r="11">
          <cell r="A11" t="str">
            <v>Pulau Pinang</v>
          </cell>
          <cell r="B11" t="str">
            <v>07</v>
          </cell>
          <cell r="C11">
            <v>633.88290365591899</v>
          </cell>
          <cell r="D11">
            <v>486.018817116371</v>
          </cell>
          <cell r="E11">
            <v>0</v>
          </cell>
          <cell r="F11">
            <v>147.86408653954899</v>
          </cell>
          <cell r="I11">
            <v>17.481763989479099</v>
          </cell>
          <cell r="J11">
            <v>21249.074678795201</v>
          </cell>
          <cell r="K11">
            <v>593.55731447201003</v>
          </cell>
          <cell r="L11">
            <v>586.91874447794896</v>
          </cell>
          <cell r="M11">
            <v>620.24819278525695</v>
          </cell>
          <cell r="N11">
            <v>1660.50973175387</v>
          </cell>
          <cell r="O11">
            <v>1319.6283323750499</v>
          </cell>
          <cell r="P11">
            <v>15385.732970271099</v>
          </cell>
          <cell r="Q11">
            <v>1082.4793926599</v>
          </cell>
          <cell r="R11">
            <v>844.03512199132797</v>
          </cell>
          <cell r="S11">
            <v>16137.5740257668</v>
          </cell>
          <cell r="T11">
            <v>3422.52377358782</v>
          </cell>
          <cell r="U11">
            <v>4377.50240669906</v>
          </cell>
          <cell r="V11">
            <v>4705.9583963055902</v>
          </cell>
          <cell r="W11">
            <v>1743.76443271893</v>
          </cell>
          <cell r="X11">
            <v>1887.8250164554099</v>
          </cell>
          <cell r="Y11">
            <v>303.93796150801199</v>
          </cell>
          <cell r="Z11">
            <v>39185.986455706698</v>
          </cell>
        </row>
        <row r="12">
          <cell r="A12" t="str">
            <v>Perak</v>
          </cell>
          <cell r="B12" t="str">
            <v>08</v>
          </cell>
          <cell r="C12">
            <v>4685.9803496023796</v>
          </cell>
          <cell r="D12">
            <v>3298.0502540899201</v>
          </cell>
          <cell r="E12">
            <v>406.45567201757098</v>
          </cell>
          <cell r="F12">
            <v>981.47442349488597</v>
          </cell>
          <cell r="I12">
            <v>91.091266776845004</v>
          </cell>
          <cell r="J12">
            <v>5548.31659775966</v>
          </cell>
          <cell r="K12">
            <v>765.12245350003798</v>
          </cell>
          <cell r="L12">
            <v>265.726435190225</v>
          </cell>
          <cell r="M12">
            <v>338.617127108055</v>
          </cell>
          <cell r="N12">
            <v>1389.44580012133</v>
          </cell>
          <cell r="O12">
            <v>1099.7346644869101</v>
          </cell>
          <cell r="P12">
            <v>1503.72828676476</v>
          </cell>
          <cell r="Q12">
            <v>185.94183058834599</v>
          </cell>
          <cell r="R12">
            <v>703.66473522178899</v>
          </cell>
          <cell r="S12">
            <v>16636.6462646972</v>
          </cell>
          <cell r="T12">
            <v>5265.6380011209203</v>
          </cell>
          <cell r="U12">
            <v>3383.9586427775098</v>
          </cell>
          <cell r="V12">
            <v>2990.64760046632</v>
          </cell>
          <cell r="W12">
            <v>2275.7173696558698</v>
          </cell>
          <cell r="X12">
            <v>2720.6846506766201</v>
          </cell>
          <cell r="Y12">
            <v>67.206208322212206</v>
          </cell>
          <cell r="Z12">
            <v>27732.905422380099</v>
          </cell>
        </row>
        <row r="13">
          <cell r="A13" t="str">
            <v>Perlis</v>
          </cell>
          <cell r="B13" t="str">
            <v>09</v>
          </cell>
          <cell r="C13">
            <v>725.89663866670503</v>
          </cell>
          <cell r="D13">
            <v>278.91880025355698</v>
          </cell>
          <cell r="E13">
            <v>0</v>
          </cell>
          <cell r="F13">
            <v>446.97783841314799</v>
          </cell>
          <cell r="I13">
            <v>6.9470361339644002</v>
          </cell>
          <cell r="J13">
            <v>351.52005627757399</v>
          </cell>
          <cell r="K13">
            <v>44.269024490114496</v>
          </cell>
          <cell r="L13">
            <v>60.578535001281097</v>
          </cell>
          <cell r="M13">
            <v>6.5541373030035297</v>
          </cell>
          <cell r="N13">
            <v>168.24860846190299</v>
          </cell>
          <cell r="O13">
            <v>70.705771288334802</v>
          </cell>
          <cell r="P13">
            <v>0.92189678059466695</v>
          </cell>
          <cell r="Q13">
            <v>0.24208295234268001</v>
          </cell>
          <cell r="R13">
            <v>103.337365275102</v>
          </cell>
          <cell r="S13">
            <v>1525.83336834177</v>
          </cell>
          <cell r="T13">
            <v>546.75645965767706</v>
          </cell>
          <cell r="U13">
            <v>180.331110330911</v>
          </cell>
          <cell r="V13">
            <v>185.90757136182501</v>
          </cell>
          <cell r="W13">
            <v>220.28500223045799</v>
          </cell>
          <cell r="X13">
            <v>392.55322476089799</v>
          </cell>
          <cell r="Y13">
            <v>131.38239279555199</v>
          </cell>
          <cell r="Z13">
            <v>2844.9168574906698</v>
          </cell>
        </row>
        <row r="14">
          <cell r="A14" t="str">
            <v>Selangor</v>
          </cell>
          <cell r="B14">
            <v>10</v>
          </cell>
          <cell r="C14">
            <v>1700.94850627546</v>
          </cell>
          <cell r="D14">
            <v>1249.83756190091</v>
          </cell>
          <cell r="E14">
            <v>16.9925384062762</v>
          </cell>
          <cell r="F14">
            <v>434.11840596827602</v>
          </cell>
          <cell r="I14">
            <v>110.675543265549</v>
          </cell>
          <cell r="J14">
            <v>41647.757199532098</v>
          </cell>
          <cell r="K14">
            <v>5731.0679308809504</v>
          </cell>
          <cell r="L14">
            <v>380.54330017951997</v>
          </cell>
          <cell r="M14">
            <v>2421.2223443857401</v>
          </cell>
          <cell r="N14">
            <v>4938.7307381500304</v>
          </cell>
          <cell r="O14">
            <v>4365.0052055072902</v>
          </cell>
          <cell r="P14">
            <v>12415.9563022166</v>
          </cell>
          <cell r="Q14">
            <v>11395.231378212</v>
          </cell>
          <cell r="R14">
            <v>5046.5629932728398</v>
          </cell>
          <cell r="S14">
            <v>60916.670571898598</v>
          </cell>
          <cell r="T14">
            <v>16201.6721678055</v>
          </cell>
          <cell r="U14">
            <v>20229.6977731402</v>
          </cell>
          <cell r="V14">
            <v>14073.437855992701</v>
          </cell>
          <cell r="W14">
            <v>5684.9188574445898</v>
          </cell>
          <cell r="X14">
            <v>4726.9439175156504</v>
          </cell>
          <cell r="Y14">
            <v>3762.1254486965399</v>
          </cell>
          <cell r="Z14">
            <v>113184.74026294101</v>
          </cell>
        </row>
        <row r="15">
          <cell r="A15" t="str">
            <v>Terengganu</v>
          </cell>
          <cell r="B15">
            <v>11</v>
          </cell>
          <cell r="C15">
            <v>1565.5290648018599</v>
          </cell>
          <cell r="D15">
            <v>1073.6706009096399</v>
          </cell>
          <cell r="E15">
            <v>153.17327892166099</v>
          </cell>
          <cell r="F15">
            <v>338.68518497056101</v>
          </cell>
          <cell r="I15">
            <v>10.4755656271611</v>
          </cell>
          <cell r="J15">
            <v>6476.2641170741999</v>
          </cell>
          <cell r="K15">
            <v>97.305363964005096</v>
          </cell>
          <cell r="L15">
            <v>27.908073639538699</v>
          </cell>
          <cell r="M15">
            <v>145.959550427875</v>
          </cell>
          <cell r="N15">
            <v>5737.3221183033302</v>
          </cell>
          <cell r="O15">
            <v>399.11324204521202</v>
          </cell>
          <cell r="P15">
            <v>5.0954298774075903</v>
          </cell>
          <cell r="Q15">
            <v>63.560338816834197</v>
          </cell>
          <cell r="R15">
            <v>413.540567422283</v>
          </cell>
          <cell r="S15">
            <v>7087.1959635036601</v>
          </cell>
          <cell r="T15">
            <v>2938.6086555571401</v>
          </cell>
          <cell r="U15">
            <v>1189.81752500624</v>
          </cell>
          <cell r="V15">
            <v>544.83815395728197</v>
          </cell>
          <cell r="W15">
            <v>762.75474874239501</v>
          </cell>
          <cell r="X15">
            <v>1651.1768802406</v>
          </cell>
          <cell r="Y15">
            <v>9.2395649206271493</v>
          </cell>
          <cell r="Z15">
            <v>15562.244843349799</v>
          </cell>
        </row>
        <row r="16">
          <cell r="A16" t="str">
            <v>Sabah</v>
          </cell>
          <cell r="B16">
            <v>12</v>
          </cell>
          <cell r="C16">
            <v>9647.3803529176894</v>
          </cell>
          <cell r="D16">
            <v>6318.3875139191196</v>
          </cell>
          <cell r="E16">
            <v>2265.7688590278499</v>
          </cell>
          <cell r="F16">
            <v>1063.2239799707199</v>
          </cell>
          <cell r="I16">
            <v>5132.6603951794996</v>
          </cell>
          <cell r="J16">
            <v>3148.6969028643598</v>
          </cell>
          <cell r="K16">
            <v>1760.7973808909701</v>
          </cell>
          <cell r="L16">
            <v>25.268410039433601</v>
          </cell>
          <cell r="M16">
            <v>910.40826712844898</v>
          </cell>
          <cell r="N16">
            <v>110.404578133225</v>
          </cell>
          <cell r="O16">
            <v>190.22212738276301</v>
          </cell>
          <cell r="P16">
            <v>5.9322727378743503</v>
          </cell>
          <cell r="Q16">
            <v>145.66386655164101</v>
          </cell>
          <cell r="R16">
            <v>950.17214652152404</v>
          </cell>
          <cell r="S16">
            <v>13421.123082458</v>
          </cell>
          <cell r="T16">
            <v>2601.18674242421</v>
          </cell>
          <cell r="U16">
            <v>3787.1510727289601</v>
          </cell>
          <cell r="V16">
            <v>2791.7752197510199</v>
          </cell>
          <cell r="W16">
            <v>1439.16800893804</v>
          </cell>
          <cell r="X16">
            <v>2801.84203861574</v>
          </cell>
          <cell r="Y16">
            <v>126.63967503849101</v>
          </cell>
          <cell r="Z16">
            <v>32426.672554979501</v>
          </cell>
        </row>
        <row r="17">
          <cell r="A17" t="str">
            <v>Sarawak</v>
          </cell>
          <cell r="B17">
            <v>13</v>
          </cell>
          <cell r="C17">
            <v>7277.5600092764498</v>
          </cell>
          <cell r="D17">
            <v>2688.1252017148199</v>
          </cell>
          <cell r="E17">
            <v>3980.5306111598502</v>
          </cell>
          <cell r="F17">
            <v>608.904196401783</v>
          </cell>
          <cell r="I17">
            <v>15492.7551275153</v>
          </cell>
          <cell r="J17">
            <v>15986.7967793149</v>
          </cell>
          <cell r="K17">
            <v>577.80423886552705</v>
          </cell>
          <cell r="L17">
            <v>18.816444659134401</v>
          </cell>
          <cell r="M17">
            <v>1591.1434893918499</v>
          </cell>
          <cell r="N17">
            <v>12491.029111321701</v>
          </cell>
          <cell r="O17">
            <v>465.65915069333499</v>
          </cell>
          <cell r="P17">
            <v>610.89899601884804</v>
          </cell>
          <cell r="Q17">
            <v>231.44534836451899</v>
          </cell>
          <cell r="R17">
            <v>1368.2228298833199</v>
          </cell>
          <cell r="S17">
            <v>17345.898143881801</v>
          </cell>
          <cell r="T17">
            <v>4159.0955870482303</v>
          </cell>
          <cell r="U17">
            <v>4254.8856685601104</v>
          </cell>
          <cell r="V17">
            <v>4220.5458403617604</v>
          </cell>
          <cell r="W17">
            <v>1900.1070644228801</v>
          </cell>
          <cell r="X17">
            <v>2811.26398348885</v>
          </cell>
          <cell r="Y17">
            <v>229.13657208042</v>
          </cell>
          <cell r="Z17">
            <v>57700.369461952301</v>
          </cell>
        </row>
        <row r="18">
          <cell r="A18" t="str">
            <v>WP Kuala Lumpur</v>
          </cell>
          <cell r="B18">
            <v>14</v>
          </cell>
          <cell r="C18">
            <v>2.1689198892843402</v>
          </cell>
          <cell r="D18">
            <v>2.1689198892843402</v>
          </cell>
          <cell r="E18">
            <v>0</v>
          </cell>
          <cell r="F18">
            <v>0</v>
          </cell>
          <cell r="I18">
            <v>24.8085170014017</v>
          </cell>
          <cell r="J18">
            <v>3907.8977998006098</v>
          </cell>
          <cell r="K18">
            <v>460.74423564599903</v>
          </cell>
          <cell r="L18">
            <v>295.220099718342</v>
          </cell>
          <cell r="M18">
            <v>1056.44641275192</v>
          </cell>
          <cell r="N18">
            <v>577.84337992862697</v>
          </cell>
          <cell r="O18">
            <v>462.74103243345598</v>
          </cell>
          <cell r="P18">
            <v>482.255021393606</v>
          </cell>
          <cell r="Q18">
            <v>572.64761792866295</v>
          </cell>
          <cell r="R18">
            <v>2998.0714186278701</v>
          </cell>
          <cell r="S18">
            <v>59372.634297558601</v>
          </cell>
          <cell r="T18">
            <v>4062.56745868399</v>
          </cell>
          <cell r="U18">
            <v>21923.565608608798</v>
          </cell>
          <cell r="V18">
            <v>22714.2177897578</v>
          </cell>
          <cell r="W18">
            <v>3342.8796808709599</v>
          </cell>
          <cell r="X18">
            <v>7329.4037596370499</v>
          </cell>
          <cell r="Y18">
            <v>711.37331333309896</v>
          </cell>
          <cell r="Z18">
            <v>67016.954266210902</v>
          </cell>
        </row>
        <row r="19">
          <cell r="A19" t="str">
            <v>WP Labuan</v>
          </cell>
          <cell r="B19">
            <v>15</v>
          </cell>
          <cell r="C19">
            <v>73.771698700430406</v>
          </cell>
          <cell r="D19">
            <v>6.79363146008754</v>
          </cell>
          <cell r="E19">
            <v>0</v>
          </cell>
          <cell r="F19">
            <v>66.978067240342796</v>
          </cell>
          <cell r="I19">
            <v>0</v>
          </cell>
          <cell r="J19">
            <v>595.108748200533</v>
          </cell>
          <cell r="K19">
            <v>24.0042477805912</v>
          </cell>
          <cell r="L19">
            <v>2.2342777848289801</v>
          </cell>
          <cell r="M19">
            <v>1.57515183952991</v>
          </cell>
          <cell r="N19">
            <v>468.53098511556101</v>
          </cell>
          <cell r="O19">
            <v>90.166862587020205</v>
          </cell>
          <cell r="P19">
            <v>0</v>
          </cell>
          <cell r="Q19">
            <v>8.5972230930015403</v>
          </cell>
          <cell r="R19">
            <v>24.3120582451525</v>
          </cell>
          <cell r="S19">
            <v>1419.04543309839</v>
          </cell>
          <cell r="T19">
            <v>176.82434864987599</v>
          </cell>
          <cell r="U19">
            <v>168.241821884486</v>
          </cell>
          <cell r="V19">
            <v>973.75818969116494</v>
          </cell>
          <cell r="W19">
            <v>60.281927196105002</v>
          </cell>
          <cell r="X19">
            <v>39.939145676755501</v>
          </cell>
          <cell r="Y19">
            <v>33.8454851802448</v>
          </cell>
          <cell r="Z19">
            <v>2146.08342342475</v>
          </cell>
        </row>
        <row r="20">
          <cell r="A20" t="str">
            <v>Supra1</v>
          </cell>
          <cell r="C20">
            <v>0</v>
          </cell>
          <cell r="D20">
            <v>0</v>
          </cell>
          <cell r="E20">
            <v>0</v>
          </cell>
          <cell r="F20">
            <v>0</v>
          </cell>
          <cell r="I20">
            <v>51013.064607915097</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51013.064607915097</v>
          </cell>
        </row>
        <row r="21">
          <cell r="A21" t="str">
            <v>MALAYSIA</v>
          </cell>
          <cell r="C21">
            <v>44912.244292273703</v>
          </cell>
          <cell r="D21">
            <v>31493.912447454099</v>
          </cell>
          <cell r="E21">
            <v>7946.5444787829001</v>
          </cell>
          <cell r="F21">
            <v>5471.7873660366604</v>
          </cell>
          <cell r="I21">
            <v>72110.889746250294</v>
          </cell>
          <cell r="J21">
            <v>149754.3543067</v>
          </cell>
          <cell r="K21">
            <v>14140.1503786911</v>
          </cell>
          <cell r="L21">
            <v>3504.0301273131199</v>
          </cell>
          <cell r="M21">
            <v>10700.572244999999</v>
          </cell>
          <cell r="N21">
            <v>40118.0893246962</v>
          </cell>
          <cell r="O21">
            <v>13487.698</v>
          </cell>
          <cell r="P21">
            <v>48057.432999999997</v>
          </cell>
          <cell r="Q21">
            <v>19746.381230999999</v>
          </cell>
          <cell r="R21">
            <v>16106.550487226301</v>
          </cell>
          <cell r="S21">
            <v>254322.11324438301</v>
          </cell>
          <cell r="T21">
            <v>50509.635730231297</v>
          </cell>
          <cell r="U21">
            <v>74641.499566911007</v>
          </cell>
          <cell r="V21">
            <v>66014.991324746195</v>
          </cell>
          <cell r="W21">
            <v>27499.794204137201</v>
          </cell>
          <cell r="X21">
            <v>35656.192418357801</v>
          </cell>
          <cell r="Y21">
            <v>6371.6551895900002</v>
          </cell>
          <cell r="Z21">
            <v>543577.80726642394</v>
          </cell>
        </row>
        <row r="24">
          <cell r="A24" t="str">
            <v>CONSTANT</v>
          </cell>
          <cell r="B24" t="str">
            <v>Industry</v>
          </cell>
          <cell r="D24">
            <v>1</v>
          </cell>
          <cell r="E24">
            <v>2</v>
          </cell>
          <cell r="F24">
            <v>3</v>
          </cell>
          <cell r="I24">
            <v>4</v>
          </cell>
          <cell r="K24">
            <v>6</v>
          </cell>
          <cell r="L24">
            <v>7</v>
          </cell>
          <cell r="M24">
            <v>8</v>
          </cell>
          <cell r="N24">
            <v>9</v>
          </cell>
          <cell r="O24">
            <v>10</v>
          </cell>
          <cell r="P24">
            <v>11</v>
          </cell>
          <cell r="Q24">
            <v>12</v>
          </cell>
          <cell r="R24">
            <v>5</v>
          </cell>
          <cell r="T24">
            <v>13</v>
          </cell>
          <cell r="U24">
            <v>14</v>
          </cell>
          <cell r="V24">
            <v>15</v>
          </cell>
          <cell r="W24">
            <v>16</v>
          </cell>
        </row>
        <row r="25">
          <cell r="A25">
            <v>2006</v>
          </cell>
          <cell r="B25" t="str">
            <v>I</v>
          </cell>
          <cell r="C25" t="str">
            <v>Agriculture</v>
          </cell>
          <cell r="D25" t="str">
            <v>Tanaman</v>
          </cell>
          <cell r="E25" t="str">
            <v>Pembalakan</v>
          </cell>
          <cell r="F25" t="str">
            <v>Perikanan</v>
          </cell>
          <cell r="I25" t="str">
            <v>Mining andQuarrying</v>
          </cell>
          <cell r="J25" t="str">
            <v>Manufacturing</v>
          </cell>
          <cell r="K25" t="str">
            <v>Prosesan Makanan, Minuman dan Produk Tembakau</v>
          </cell>
          <cell r="L25" t="str">
            <v>Tekstil, Pakaian, Kulit dan Kasut</v>
          </cell>
          <cell r="M25" t="str">
            <v>Keluaran Kayu, Perabot, Produk Kertas, Percetakan dan Penerbitan</v>
          </cell>
          <cell r="N25" t="str">
            <v>Produk Petroleum, Bahan kimia, Getah dan Plastik</v>
          </cell>
          <cell r="O25" t="str">
            <v>Produk Mineral Bukan Logam, Logam Asli dan Produk Logam Yang Direka</v>
          </cell>
          <cell r="P25" t="str">
            <v>Elektrik dan Elektronik</v>
          </cell>
          <cell r="Q25" t="str">
            <v>Kelengkapan Pengangkutan dan Pembuatan Lain</v>
          </cell>
          <cell r="R25" t="str">
            <v>Construction</v>
          </cell>
          <cell r="S25" t="str">
            <v>Services</v>
          </cell>
          <cell r="T25" t="str">
            <v>Utiliti, Transport &amp; Communication</v>
          </cell>
          <cell r="U25" t="str">
            <v>WRT, Accomm &amp; Restaurant</v>
          </cell>
          <cell r="V25" t="str">
            <v>Finance &amp; Insurance, Real Estate &amp; Business Services</v>
          </cell>
          <cell r="W25" t="str">
            <v>Other Services</v>
          </cell>
          <cell r="X25" t="str">
            <v>Government Services</v>
          </cell>
          <cell r="Y25" t="str">
            <v>Plus :Import Duties</v>
          </cell>
          <cell r="Z25" t="str">
            <v>GDP atPurchasers' Prices</v>
          </cell>
        </row>
        <row r="26">
          <cell r="A26" t="str">
            <v>States</v>
          </cell>
          <cell r="B26" t="str">
            <v>Converter</v>
          </cell>
        </row>
        <row r="27">
          <cell r="A27" t="str">
            <v>Johor</v>
          </cell>
          <cell r="B27" t="str">
            <v>01</v>
          </cell>
          <cell r="C27">
            <v>6654.2396491146401</v>
          </cell>
          <cell r="D27">
            <v>5977.43668348548</v>
          </cell>
          <cell r="E27">
            <v>102.45171403581401</v>
          </cell>
          <cell r="F27">
            <v>574.351251593347</v>
          </cell>
          <cell r="I27">
            <v>48.2440928592018</v>
          </cell>
          <cell r="J27">
            <v>20066.005193343699</v>
          </cell>
          <cell r="K27">
            <v>1587.0553593141101</v>
          </cell>
          <cell r="L27">
            <v>1079.6354715331299</v>
          </cell>
          <cell r="M27">
            <v>1491.8417091542101</v>
          </cell>
          <cell r="N27">
            <v>3753.2871051659699</v>
          </cell>
          <cell r="O27">
            <v>2371.92938811051</v>
          </cell>
          <cell r="P27">
            <v>8364.2660230885595</v>
          </cell>
          <cell r="Q27">
            <v>1417.9901369772199</v>
          </cell>
          <cell r="R27">
            <v>1568.45996558397</v>
          </cell>
          <cell r="S27">
            <v>23481.829570811798</v>
          </cell>
          <cell r="T27">
            <v>5430.9591622893204</v>
          </cell>
          <cell r="U27">
            <v>5091.9409273339097</v>
          </cell>
          <cell r="V27">
            <v>6795.4771230062597</v>
          </cell>
          <cell r="W27">
            <v>2531.2759057048002</v>
          </cell>
          <cell r="X27">
            <v>3632.1764524775099</v>
          </cell>
          <cell r="Y27">
            <v>720.39271590590999</v>
          </cell>
          <cell r="Z27">
            <v>52539.171187619198</v>
          </cell>
        </row>
        <row r="28">
          <cell r="A28" t="str">
            <v>Kedah</v>
          </cell>
          <cell r="B28" t="str">
            <v>02</v>
          </cell>
          <cell r="C28">
            <v>2416.9332573101001</v>
          </cell>
          <cell r="D28">
            <v>2060.9680526072898</v>
          </cell>
          <cell r="E28">
            <v>80.483431624916705</v>
          </cell>
          <cell r="F28">
            <v>275.48177307788598</v>
          </cell>
          <cell r="I28">
            <v>16.5266256769922</v>
          </cell>
          <cell r="J28">
            <v>6984.3359707004201</v>
          </cell>
          <cell r="K28">
            <v>276.28719718090599</v>
          </cell>
          <cell r="L28">
            <v>69.637096233941406</v>
          </cell>
          <cell r="M28">
            <v>472.22697892102002</v>
          </cell>
          <cell r="N28">
            <v>1168.3168660113399</v>
          </cell>
          <cell r="O28">
            <v>1326.57567433551</v>
          </cell>
          <cell r="P28">
            <v>2784.3407263300001</v>
          </cell>
          <cell r="Q28">
            <v>886.95143168770198</v>
          </cell>
          <cell r="R28">
            <v>453.96999135908499</v>
          </cell>
          <cell r="S28">
            <v>9248.8233385255007</v>
          </cell>
          <cell r="T28">
            <v>1359.7214274135199</v>
          </cell>
          <cell r="U28">
            <v>2144.99827280614</v>
          </cell>
          <cell r="V28">
            <v>1764.2756371395401</v>
          </cell>
          <cell r="W28">
            <v>1652.1409922943201</v>
          </cell>
          <cell r="X28">
            <v>2327.6870088719702</v>
          </cell>
          <cell r="Y28">
            <v>134.45064089028699</v>
          </cell>
          <cell r="Z28">
            <v>19255.039824462401</v>
          </cell>
        </row>
        <row r="29">
          <cell r="A29" t="str">
            <v>Kelantan</v>
          </cell>
          <cell r="B29" t="str">
            <v>03</v>
          </cell>
          <cell r="C29">
            <v>2617.7804497956299</v>
          </cell>
          <cell r="D29">
            <v>1942.4817276997501</v>
          </cell>
          <cell r="E29">
            <v>416.49956725049998</v>
          </cell>
          <cell r="F29">
            <v>258.79915484537702</v>
          </cell>
          <cell r="I29">
            <v>14.4181754742871</v>
          </cell>
          <cell r="J29">
            <v>510.70083418754098</v>
          </cell>
          <cell r="K29">
            <v>138.341438523666</v>
          </cell>
          <cell r="L29">
            <v>28.742611609802001</v>
          </cell>
          <cell r="M29">
            <v>73.505500890016407</v>
          </cell>
          <cell r="N29">
            <v>68.319025944010207</v>
          </cell>
          <cell r="O29">
            <v>27.574781203743701</v>
          </cell>
          <cell r="P29">
            <v>166.28079755626999</v>
          </cell>
          <cell r="Q29">
            <v>7.9366784600321303</v>
          </cell>
          <cell r="R29">
            <v>169.46443534701299</v>
          </cell>
          <cell r="S29">
            <v>6335.7900702748702</v>
          </cell>
          <cell r="T29">
            <v>743.703512481487</v>
          </cell>
          <cell r="U29">
            <v>1681.2531728200699</v>
          </cell>
          <cell r="V29">
            <v>733.54320103359203</v>
          </cell>
          <cell r="W29">
            <v>1174.0590217900599</v>
          </cell>
          <cell r="X29">
            <v>2003.2311621496599</v>
          </cell>
          <cell r="Y29">
            <v>10.1210965389053</v>
          </cell>
          <cell r="Z29">
            <v>9658.2750616182493</v>
          </cell>
        </row>
        <row r="30">
          <cell r="A30" t="str">
            <v>Melaka</v>
          </cell>
          <cell r="B30" t="str">
            <v>04</v>
          </cell>
          <cell r="C30">
            <v>961.73329875419302</v>
          </cell>
          <cell r="D30">
            <v>946.90645762184204</v>
          </cell>
          <cell r="E30">
            <v>0.56006563844926804</v>
          </cell>
          <cell r="F30">
            <v>14.2667754939018</v>
          </cell>
          <cell r="I30">
            <v>7.2982247814966499</v>
          </cell>
          <cell r="J30">
            <v>8312.7953274922893</v>
          </cell>
          <cell r="K30">
            <v>279.76590521138502</v>
          </cell>
          <cell r="L30">
            <v>123.176742626142</v>
          </cell>
          <cell r="M30">
            <v>442.37175795455897</v>
          </cell>
          <cell r="N30">
            <v>3086.4389693970802</v>
          </cell>
          <cell r="O30">
            <v>544.35209201866803</v>
          </cell>
          <cell r="P30">
            <v>2439.4310327828998</v>
          </cell>
          <cell r="Q30">
            <v>1397.2588275015601</v>
          </cell>
          <cell r="R30">
            <v>314.481252041853</v>
          </cell>
          <cell r="S30">
            <v>6723.3246634145798</v>
          </cell>
          <cell r="T30">
            <v>1310.63766722995</v>
          </cell>
          <cell r="U30">
            <v>2030.95637384611</v>
          </cell>
          <cell r="V30">
            <v>1363.28402879383</v>
          </cell>
          <cell r="W30">
            <v>941.08484483895404</v>
          </cell>
          <cell r="X30">
            <v>1077.36174870574</v>
          </cell>
          <cell r="Y30">
            <v>13.5031970924452</v>
          </cell>
          <cell r="Z30">
            <v>16333.1359635769</v>
          </cell>
        </row>
        <row r="31">
          <cell r="A31" t="str">
            <v>Negeri Sembilan</v>
          </cell>
          <cell r="B31" t="str">
            <v>05</v>
          </cell>
          <cell r="C31">
            <v>1816.8817302615</v>
          </cell>
          <cell r="D31">
            <v>1755.0937258404799</v>
          </cell>
          <cell r="E31">
            <v>34.323036923676298</v>
          </cell>
          <cell r="F31">
            <v>27.4649674973491</v>
          </cell>
          <cell r="I31">
            <v>17.521266820900799</v>
          </cell>
          <cell r="J31">
            <v>11476.808555940101</v>
          </cell>
          <cell r="K31">
            <v>1046.3834184627799</v>
          </cell>
          <cell r="L31">
            <v>436.74818218174102</v>
          </cell>
          <cell r="M31">
            <v>350.543940464765</v>
          </cell>
          <cell r="N31">
            <v>2567.4890385008798</v>
          </cell>
          <cell r="O31">
            <v>727.23829080610096</v>
          </cell>
          <cell r="P31">
            <v>5219.1744241468195</v>
          </cell>
          <cell r="Q31">
            <v>1129.23126137699</v>
          </cell>
          <cell r="R31">
            <v>402.713166861057</v>
          </cell>
          <cell r="S31">
            <v>7770.8126822294198</v>
          </cell>
          <cell r="T31">
            <v>1942.77472567326</v>
          </cell>
          <cell r="U31">
            <v>1768.0648375599601</v>
          </cell>
          <cell r="V31">
            <v>1615.4923418825299</v>
          </cell>
          <cell r="W31">
            <v>1013.4833123183799</v>
          </cell>
          <cell r="X31">
            <v>1430.9974647952999</v>
          </cell>
          <cell r="Y31">
            <v>69.357214698448203</v>
          </cell>
          <cell r="Z31">
            <v>21554.094616811399</v>
          </cell>
        </row>
        <row r="32">
          <cell r="A32" t="str">
            <v>Pahang</v>
          </cell>
          <cell r="B32" t="str">
            <v>06</v>
          </cell>
          <cell r="C32">
            <v>5770.1410985738403</v>
          </cell>
          <cell r="D32">
            <v>4670.4509523632396</v>
          </cell>
          <cell r="E32">
            <v>601.50505578969899</v>
          </cell>
          <cell r="F32">
            <v>498.18509042089698</v>
          </cell>
          <cell r="I32">
            <v>80.273290052901302</v>
          </cell>
          <cell r="J32">
            <v>7110.56842070932</v>
          </cell>
          <cell r="K32">
            <v>705.05093354776295</v>
          </cell>
          <cell r="L32">
            <v>16.2012290888499</v>
          </cell>
          <cell r="M32">
            <v>575.46873181503702</v>
          </cell>
          <cell r="N32">
            <v>3388.2393176946598</v>
          </cell>
          <cell r="O32">
            <v>821.98883967955101</v>
          </cell>
          <cell r="P32">
            <v>156.633803980365</v>
          </cell>
          <cell r="Q32">
            <v>1446.9855649031001</v>
          </cell>
          <cell r="R32">
            <v>571.58063128502101</v>
          </cell>
          <cell r="S32">
            <v>11138.208615434</v>
          </cell>
          <cell r="T32">
            <v>1193.2923306241</v>
          </cell>
          <cell r="U32">
            <v>3344.69661445665</v>
          </cell>
          <cell r="V32">
            <v>1442.7687051277801</v>
          </cell>
          <cell r="W32">
            <v>2847.8550902402999</v>
          </cell>
          <cell r="X32">
            <v>2309.5958749852098</v>
          </cell>
          <cell r="Y32">
            <v>22.447246895454899</v>
          </cell>
          <cell r="Z32">
            <v>24693.219302950602</v>
          </cell>
        </row>
        <row r="33">
          <cell r="A33" t="str">
            <v>Pulau Pinang</v>
          </cell>
          <cell r="B33" t="str">
            <v>07</v>
          </cell>
          <cell r="C33">
            <v>700.37903219198802</v>
          </cell>
          <cell r="D33">
            <v>509.13645040512699</v>
          </cell>
          <cell r="E33">
            <v>0</v>
          </cell>
          <cell r="F33">
            <v>191.242581786861</v>
          </cell>
          <cell r="I33">
            <v>17.069804358913899</v>
          </cell>
          <cell r="J33">
            <v>24429.468358772901</v>
          </cell>
          <cell r="K33">
            <v>654.61044932812695</v>
          </cell>
          <cell r="L33">
            <v>612.56336167766096</v>
          </cell>
          <cell r="M33">
            <v>659.10544401958396</v>
          </cell>
          <cell r="N33">
            <v>1525.35515757352</v>
          </cell>
          <cell r="O33">
            <v>1448.2715015645299</v>
          </cell>
          <cell r="P33">
            <v>18169.729390371002</v>
          </cell>
          <cell r="Q33">
            <v>1359.8330542385499</v>
          </cell>
          <cell r="R33">
            <v>812.77198186290195</v>
          </cell>
          <cell r="S33">
            <v>17152.767881577001</v>
          </cell>
          <cell r="T33">
            <v>3594.64591975957</v>
          </cell>
          <cell r="U33">
            <v>4716.9243092330598</v>
          </cell>
          <cell r="V33">
            <v>4974.7578420442396</v>
          </cell>
          <cell r="W33">
            <v>1790.5109599922</v>
          </cell>
          <cell r="X33">
            <v>2075.9288505479299</v>
          </cell>
          <cell r="Y33">
            <v>288.17007924230597</v>
          </cell>
          <cell r="Z33">
            <v>43400.627138005999</v>
          </cell>
        </row>
        <row r="34">
          <cell r="A34" t="str">
            <v>Perak</v>
          </cell>
          <cell r="B34" t="str">
            <v>08</v>
          </cell>
          <cell r="C34">
            <v>4841.0016055975502</v>
          </cell>
          <cell r="D34">
            <v>3421.0083503465798</v>
          </cell>
          <cell r="E34">
            <v>437.91478096930803</v>
          </cell>
          <cell r="F34">
            <v>982.07847428165701</v>
          </cell>
          <cell r="I34">
            <v>96.861769646077704</v>
          </cell>
          <cell r="J34">
            <v>6254.8965298297999</v>
          </cell>
          <cell r="K34">
            <v>1097.4020779704699</v>
          </cell>
          <cell r="L34">
            <v>241.59735163935599</v>
          </cell>
          <cell r="M34">
            <v>280.87450900017001</v>
          </cell>
          <cell r="N34">
            <v>1450.6703072558901</v>
          </cell>
          <cell r="O34">
            <v>1237.64135666889</v>
          </cell>
          <cell r="P34">
            <v>1827.0408066418499</v>
          </cell>
          <cell r="Q34">
            <v>119.670120653178</v>
          </cell>
          <cell r="R34">
            <v>675.10509915070998</v>
          </cell>
          <cell r="S34">
            <v>17636.900254423301</v>
          </cell>
          <cell r="T34">
            <v>5560.2253040654696</v>
          </cell>
          <cell r="U34">
            <v>3586.6042339098699</v>
          </cell>
          <cell r="V34">
            <v>3145.8265380559301</v>
          </cell>
          <cell r="W34">
            <v>2325.5727982825902</v>
          </cell>
          <cell r="X34">
            <v>3018.6713801094002</v>
          </cell>
          <cell r="Y34">
            <v>53.537682655929402</v>
          </cell>
          <cell r="Z34">
            <v>29558.3029413033</v>
          </cell>
        </row>
        <row r="35">
          <cell r="A35" t="str">
            <v>Perlis</v>
          </cell>
          <cell r="B35" t="str">
            <v>09</v>
          </cell>
          <cell r="C35">
            <v>808.72593428289599</v>
          </cell>
          <cell r="D35">
            <v>259.95321692836001</v>
          </cell>
          <cell r="E35">
            <v>0</v>
          </cell>
          <cell r="F35">
            <v>548.77271735453598</v>
          </cell>
          <cell r="I35">
            <v>6.8446087585817601</v>
          </cell>
          <cell r="J35">
            <v>345.19007959309801</v>
          </cell>
          <cell r="K35">
            <v>49.105577399240801</v>
          </cell>
          <cell r="L35">
            <v>57.869775833981798</v>
          </cell>
          <cell r="M35">
            <v>10.7097310719837</v>
          </cell>
          <cell r="N35">
            <v>134.12184479401901</v>
          </cell>
          <cell r="O35">
            <v>91.561314600732601</v>
          </cell>
          <cell r="P35">
            <v>1.82183589313928</v>
          </cell>
          <cell r="Q35">
            <v>0</v>
          </cell>
          <cell r="R35">
            <v>100.551566370809</v>
          </cell>
          <cell r="S35">
            <v>1582.3990231601699</v>
          </cell>
          <cell r="T35">
            <v>577.20764750010005</v>
          </cell>
          <cell r="U35">
            <v>188.404257331791</v>
          </cell>
          <cell r="V35">
            <v>171.20532999452499</v>
          </cell>
          <cell r="W35">
            <v>212.591718700168</v>
          </cell>
          <cell r="X35">
            <v>432.99006963358198</v>
          </cell>
          <cell r="Y35">
            <v>101.23279260701401</v>
          </cell>
          <cell r="Z35">
            <v>2944.9440047725602</v>
          </cell>
        </row>
        <row r="36">
          <cell r="A36" t="str">
            <v>Selangor</v>
          </cell>
          <cell r="B36">
            <v>10</v>
          </cell>
          <cell r="C36">
            <v>2049.1856888432299</v>
          </cell>
          <cell r="D36">
            <v>1418.7881169792599</v>
          </cell>
          <cell r="E36">
            <v>21.357617395231301</v>
          </cell>
          <cell r="F36">
            <v>609.03995446874501</v>
          </cell>
          <cell r="I36">
            <v>115.923261490992</v>
          </cell>
          <cell r="J36">
            <v>42583.807815050401</v>
          </cell>
          <cell r="K36">
            <v>5756.4238309847797</v>
          </cell>
          <cell r="L36">
            <v>614.27157414379201</v>
          </cell>
          <cell r="M36">
            <v>2856.3799168124101</v>
          </cell>
          <cell r="N36">
            <v>5395.0294542236597</v>
          </cell>
          <cell r="O36">
            <v>4661.1959621419001</v>
          </cell>
          <cell r="P36">
            <v>12424.3394810104</v>
          </cell>
          <cell r="Q36">
            <v>10876.167595733399</v>
          </cell>
          <cell r="R36">
            <v>5028.2701061917796</v>
          </cell>
          <cell r="S36">
            <v>65860.627293376194</v>
          </cell>
          <cell r="T36">
            <v>17165.996852116899</v>
          </cell>
          <cell r="U36">
            <v>21832.576270203601</v>
          </cell>
          <cell r="V36">
            <v>15239.550775515099</v>
          </cell>
          <cell r="W36">
            <v>6011.4828157116899</v>
          </cell>
          <cell r="X36">
            <v>5611.0205798289599</v>
          </cell>
          <cell r="Y36">
            <v>3181.1442089161201</v>
          </cell>
          <cell r="Z36">
            <v>118818.958373869</v>
          </cell>
        </row>
        <row r="37">
          <cell r="A37" t="str">
            <v>Terengganu</v>
          </cell>
          <cell r="B37">
            <v>11</v>
          </cell>
          <cell r="C37">
            <v>1683.1505690450799</v>
          </cell>
          <cell r="D37">
            <v>1129.86941122743</v>
          </cell>
          <cell r="E37">
            <v>143.52582285294201</v>
          </cell>
          <cell r="F37">
            <v>409.75533496470302</v>
          </cell>
          <cell r="I37">
            <v>8.7208165317790698</v>
          </cell>
          <cell r="J37">
            <v>7204.11271890841</v>
          </cell>
          <cell r="K37">
            <v>109.900175749368</v>
          </cell>
          <cell r="L37">
            <v>38.718538882359503</v>
          </cell>
          <cell r="M37">
            <v>120.03498202535999</v>
          </cell>
          <cell r="N37">
            <v>6528.4075797325704</v>
          </cell>
          <cell r="O37">
            <v>339.52317352760701</v>
          </cell>
          <cell r="P37">
            <v>1.4653545058975499</v>
          </cell>
          <cell r="Q37">
            <v>66.062914485247902</v>
          </cell>
          <cell r="R37">
            <v>454.564489676601</v>
          </cell>
          <cell r="S37">
            <v>7506.7095052003197</v>
          </cell>
          <cell r="T37">
            <v>3085.6722565039299</v>
          </cell>
          <cell r="U37">
            <v>1228.0367088068199</v>
          </cell>
          <cell r="V37">
            <v>565.84594036372698</v>
          </cell>
          <cell r="W37">
            <v>781.99954839759596</v>
          </cell>
          <cell r="X37">
            <v>1845.1550511282401</v>
          </cell>
          <cell r="Y37">
            <v>9.9507637807276392</v>
          </cell>
          <cell r="Z37">
            <v>16867.2088631429</v>
          </cell>
        </row>
        <row r="38">
          <cell r="A38" t="str">
            <v>Sabah</v>
          </cell>
          <cell r="B38">
            <v>12</v>
          </cell>
          <cell r="C38">
            <v>9907.9170891016201</v>
          </cell>
          <cell r="D38">
            <v>6505.0982064938398</v>
          </cell>
          <cell r="E38">
            <v>2201.6043196693099</v>
          </cell>
          <cell r="F38">
            <v>1201.21456293847</v>
          </cell>
          <cell r="I38">
            <v>5305.0188119066497</v>
          </cell>
          <cell r="J38">
            <v>3307.5639633117398</v>
          </cell>
          <cell r="K38">
            <v>1889.13581074173</v>
          </cell>
          <cell r="L38">
            <v>24.127588758054799</v>
          </cell>
          <cell r="M38">
            <v>875.72966932760596</v>
          </cell>
          <cell r="N38">
            <v>149.62708489826301</v>
          </cell>
          <cell r="O38">
            <v>214.799905708566</v>
          </cell>
          <cell r="P38">
            <v>7.2733148875337399</v>
          </cell>
          <cell r="Q38">
            <v>146.870588989981</v>
          </cell>
          <cell r="R38">
            <v>1049.9768020543299</v>
          </cell>
          <cell r="S38">
            <v>14536.659166623</v>
          </cell>
          <cell r="T38">
            <v>2740.4160274405099</v>
          </cell>
          <cell r="U38">
            <v>4323.3190045830797</v>
          </cell>
          <cell r="V38">
            <v>2985.63191230641</v>
          </cell>
          <cell r="W38">
            <v>1459.17015657037</v>
          </cell>
          <cell r="X38">
            <v>3028.1220657225899</v>
          </cell>
          <cell r="Y38">
            <v>113.93748440474199</v>
          </cell>
          <cell r="Z38">
            <v>34221.073317401999</v>
          </cell>
        </row>
        <row r="39">
          <cell r="A39" t="str">
            <v>Sarawak</v>
          </cell>
          <cell r="B39">
            <v>13</v>
          </cell>
          <cell r="C39">
            <v>7199.0461539385096</v>
          </cell>
          <cell r="D39">
            <v>2809.2687090730301</v>
          </cell>
          <cell r="E39">
            <v>3857.7784715405</v>
          </cell>
          <cell r="F39">
            <v>531.99897332498699</v>
          </cell>
          <cell r="I39">
            <v>16135.5628417272</v>
          </cell>
          <cell r="J39">
            <v>17374.660156991398</v>
          </cell>
          <cell r="K39">
            <v>689.99300758824199</v>
          </cell>
          <cell r="L39">
            <v>18.856981073143999</v>
          </cell>
          <cell r="M39">
            <v>1992.7771856494801</v>
          </cell>
          <cell r="N39">
            <v>13294.2672517314</v>
          </cell>
          <cell r="O39">
            <v>519.52466204974598</v>
          </cell>
          <cell r="P39">
            <v>585.48442688070998</v>
          </cell>
          <cell r="Q39">
            <v>273.756642018695</v>
          </cell>
          <cell r="R39">
            <v>1387.0757866608401</v>
          </cell>
          <cell r="S39">
            <v>17981.701899829699</v>
          </cell>
          <cell r="T39">
            <v>4194.8712786423803</v>
          </cell>
          <cell r="U39">
            <v>4431.1308051959204</v>
          </cell>
          <cell r="V39">
            <v>4403.37435028035</v>
          </cell>
          <cell r="W39">
            <v>1969.7894143067099</v>
          </cell>
          <cell r="X39">
            <v>2982.53605140432</v>
          </cell>
          <cell r="Y39">
            <v>187.133438110855</v>
          </cell>
          <cell r="Z39">
            <v>60265.1802772585</v>
          </cell>
        </row>
        <row r="40">
          <cell r="A40" t="str">
            <v>WP Kuala Lumpur</v>
          </cell>
          <cell r="B40">
            <v>14</v>
          </cell>
          <cell r="C40">
            <v>1.70063142405226</v>
          </cell>
          <cell r="D40">
            <v>1.70063142405226</v>
          </cell>
          <cell r="E40">
            <v>0</v>
          </cell>
          <cell r="F40">
            <v>0</v>
          </cell>
          <cell r="I40">
            <v>23.872994104275399</v>
          </cell>
          <cell r="J40">
            <v>4024.4684763293899</v>
          </cell>
          <cell r="K40">
            <v>453.95250047359502</v>
          </cell>
          <cell r="L40">
            <v>223.80249625796401</v>
          </cell>
          <cell r="M40">
            <v>1148.2049337393801</v>
          </cell>
          <cell r="N40">
            <v>577.88508111527199</v>
          </cell>
          <cell r="O40">
            <v>511.31032182226397</v>
          </cell>
          <cell r="P40">
            <v>464.36602674966701</v>
          </cell>
          <cell r="Q40">
            <v>644.94711617124199</v>
          </cell>
          <cell r="R40">
            <v>3009.2664749812802</v>
          </cell>
          <cell r="S40">
            <v>64090.007640177297</v>
          </cell>
          <cell r="T40">
            <v>4428.1872575324196</v>
          </cell>
          <cell r="U40">
            <v>23061.162235989301</v>
          </cell>
          <cell r="V40">
            <v>25111.537298388201</v>
          </cell>
          <cell r="W40">
            <v>3505.66588895109</v>
          </cell>
          <cell r="X40">
            <v>7983.4549593162801</v>
          </cell>
          <cell r="Y40">
            <v>744.533168414785</v>
          </cell>
          <cell r="Z40">
            <v>71893.849385431007</v>
          </cell>
        </row>
        <row r="41">
          <cell r="A41" t="str">
            <v>WP Labuan</v>
          </cell>
          <cell r="B41">
            <v>15</v>
          </cell>
          <cell r="C41">
            <v>103.91787953249801</v>
          </cell>
          <cell r="D41">
            <v>4.9123802163404697</v>
          </cell>
          <cell r="E41">
            <v>0</v>
          </cell>
          <cell r="F41">
            <v>99.005499316157298</v>
          </cell>
          <cell r="I41">
            <v>0</v>
          </cell>
          <cell r="J41">
            <v>894.48269140067805</v>
          </cell>
          <cell r="K41">
            <v>32.070921759535203</v>
          </cell>
          <cell r="L41">
            <v>2.81236661394703</v>
          </cell>
          <cell r="M41">
            <v>3.2203052445276801</v>
          </cell>
          <cell r="N41">
            <v>531.60726643463101</v>
          </cell>
          <cell r="O41">
            <v>316.49947159849501</v>
          </cell>
          <cell r="P41">
            <v>0</v>
          </cell>
          <cell r="Q41">
            <v>8.2723597495418009</v>
          </cell>
          <cell r="R41">
            <v>23.7878027087405</v>
          </cell>
          <cell r="S41">
            <v>1508.1454902620301</v>
          </cell>
          <cell r="T41">
            <v>189.15208696111199</v>
          </cell>
          <cell r="U41">
            <v>177.25286846969701</v>
          </cell>
          <cell r="V41">
            <v>1031.7168973313801</v>
          </cell>
          <cell r="W41">
            <v>63.092041229435203</v>
          </cell>
          <cell r="X41">
            <v>46.931596270406601</v>
          </cell>
          <cell r="Y41">
            <v>20.861388581171902</v>
          </cell>
          <cell r="Z41">
            <v>2551.1952524851099</v>
          </cell>
        </row>
        <row r="42">
          <cell r="A42" t="str">
            <v>Supra1</v>
          </cell>
          <cell r="C42">
            <v>0</v>
          </cell>
          <cell r="D42">
            <v>0</v>
          </cell>
          <cell r="E42">
            <v>0</v>
          </cell>
          <cell r="F42">
            <v>0</v>
          </cell>
          <cell r="I42">
            <v>49381.376278548603</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49381.376278548603</v>
          </cell>
        </row>
        <row r="43">
          <cell r="A43" t="str">
            <v>MALAYSIA</v>
          </cell>
          <cell r="C43">
            <v>47532.734067767298</v>
          </cell>
          <cell r="D43">
            <v>33413.073072712097</v>
          </cell>
          <cell r="E43">
            <v>7898.0038836903404</v>
          </cell>
          <cell r="F43">
            <v>6221.6571113648797</v>
          </cell>
          <cell r="I43">
            <v>71275.532862738895</v>
          </cell>
          <cell r="J43">
            <v>160879.865092561</v>
          </cell>
          <cell r="K43">
            <v>14765.478604235699</v>
          </cell>
          <cell r="L43">
            <v>3588.7613681538701</v>
          </cell>
          <cell r="M43">
            <v>11352.995296090099</v>
          </cell>
          <cell r="N43">
            <v>43619.061350473203</v>
          </cell>
          <cell r="O43">
            <v>15159.986735836799</v>
          </cell>
          <cell r="P43">
            <v>52611.647444825103</v>
          </cell>
          <cell r="Q43">
            <v>19781.934292946498</v>
          </cell>
          <cell r="R43">
            <v>16022.039552136001</v>
          </cell>
          <cell r="S43">
            <v>272554.707095319</v>
          </cell>
          <cell r="T43">
            <v>53517.463456234102</v>
          </cell>
          <cell r="U43">
            <v>79607.320892545904</v>
          </cell>
          <cell r="V43">
            <v>71344.287921263298</v>
          </cell>
          <cell r="W43">
            <v>28279.774509328701</v>
          </cell>
          <cell r="X43">
            <v>39805.860315947102</v>
          </cell>
          <cell r="Y43">
            <v>5670.7731187351001</v>
          </cell>
          <cell r="Z43">
            <v>573935.651789258</v>
          </cell>
        </row>
        <row r="46">
          <cell r="A46" t="str">
            <v>CONSTANT</v>
          </cell>
          <cell r="B46" t="str">
            <v>Industry</v>
          </cell>
          <cell r="D46">
            <v>1</v>
          </cell>
          <cell r="E46">
            <v>2</v>
          </cell>
          <cell r="F46">
            <v>3</v>
          </cell>
          <cell r="I46">
            <v>4</v>
          </cell>
          <cell r="K46">
            <v>6</v>
          </cell>
          <cell r="L46">
            <v>7</v>
          </cell>
          <cell r="M46">
            <v>8</v>
          </cell>
          <cell r="N46">
            <v>9</v>
          </cell>
          <cell r="O46">
            <v>10</v>
          </cell>
          <cell r="P46">
            <v>11</v>
          </cell>
          <cell r="Q46">
            <v>12</v>
          </cell>
          <cell r="R46">
            <v>5</v>
          </cell>
          <cell r="T46">
            <v>13</v>
          </cell>
          <cell r="U46">
            <v>14</v>
          </cell>
          <cell r="V46">
            <v>15</v>
          </cell>
          <cell r="W46">
            <v>16</v>
          </cell>
        </row>
        <row r="47">
          <cell r="A47">
            <v>2007</v>
          </cell>
          <cell r="B47" t="str">
            <v>I</v>
          </cell>
          <cell r="C47" t="str">
            <v>Agriculture</v>
          </cell>
          <cell r="D47" t="str">
            <v>Tanaman</v>
          </cell>
          <cell r="E47" t="str">
            <v>Pembalakan</v>
          </cell>
          <cell r="F47" t="str">
            <v>Perikanan</v>
          </cell>
          <cell r="I47" t="str">
            <v>Mining andQuarrying</v>
          </cell>
          <cell r="J47" t="str">
            <v>Manufacturing</v>
          </cell>
          <cell r="K47" t="str">
            <v>Prosesan Makanan, Minuman dan Produk Tembakau</v>
          </cell>
          <cell r="L47" t="str">
            <v>Tekstil, Pakaian, Kulit dan Kasut</v>
          </cell>
          <cell r="M47" t="str">
            <v>Keluaran Kayu, Perabot, Produk Kertas, Percetakan dan Penerbitan</v>
          </cell>
          <cell r="N47" t="str">
            <v>Produk Petroleum, Bahan kimia, Getah dan Plastik</v>
          </cell>
          <cell r="O47" t="str">
            <v>Produk Mineral Bukan Logam, Logam Asli dan Produk Logam Yang Direka</v>
          </cell>
          <cell r="P47" t="str">
            <v>Elektrik dan Elektronik</v>
          </cell>
          <cell r="Q47" t="str">
            <v>Kelengkapan Pengangkutan dan Pembuatan Lain</v>
          </cell>
          <cell r="R47" t="str">
            <v>Construction</v>
          </cell>
          <cell r="S47" t="str">
            <v>Services</v>
          </cell>
          <cell r="T47" t="str">
            <v>Utiliti, Transport &amp; Communication</v>
          </cell>
          <cell r="U47" t="str">
            <v>WRT, Accomm &amp; Restaurant</v>
          </cell>
          <cell r="V47" t="str">
            <v>Finance &amp; Insurance, Real Estate &amp; Business Services</v>
          </cell>
          <cell r="W47" t="str">
            <v>Other Services</v>
          </cell>
          <cell r="X47" t="str">
            <v>Government Services</v>
          </cell>
          <cell r="Y47" t="str">
            <v>Plus :Import Duties</v>
          </cell>
          <cell r="Z47" t="str">
            <v>GDP atPurchasers' Prices</v>
          </cell>
        </row>
        <row r="48">
          <cell r="A48" t="str">
            <v>States</v>
          </cell>
          <cell r="B48" t="str">
            <v>Converter</v>
          </cell>
        </row>
        <row r="49">
          <cell r="A49" t="str">
            <v>Johor</v>
          </cell>
          <cell r="B49" t="str">
            <v>01</v>
          </cell>
          <cell r="C49">
            <v>6349.3657705242103</v>
          </cell>
          <cell r="D49">
            <v>5808.2699370519003</v>
          </cell>
          <cell r="E49">
            <v>79.0792125512952</v>
          </cell>
          <cell r="F49">
            <v>462.016620921016</v>
          </cell>
          <cell r="I49">
            <v>50.308114023991401</v>
          </cell>
          <cell r="J49">
            <v>20662.955740858899</v>
          </cell>
          <cell r="K49">
            <v>1756.72876883768</v>
          </cell>
          <cell r="L49">
            <v>988.853119106073</v>
          </cell>
          <cell r="M49">
            <v>1698.78094702049</v>
          </cell>
          <cell r="N49">
            <v>3430.0560311125801</v>
          </cell>
          <cell r="O49">
            <v>2602.9705222851899</v>
          </cell>
          <cell r="P49">
            <v>8115.1828990002996</v>
          </cell>
          <cell r="Q49">
            <v>2070.3834534965899</v>
          </cell>
          <cell r="R49">
            <v>1578.3579918855301</v>
          </cell>
          <cell r="S49">
            <v>25304.853962464898</v>
          </cell>
          <cell r="T49">
            <v>5839.4454546452498</v>
          </cell>
          <cell r="U49">
            <v>5811.8755763071604</v>
          </cell>
          <cell r="V49">
            <v>7251.4063081114</v>
          </cell>
          <cell r="W49">
            <v>2598.36899031545</v>
          </cell>
          <cell r="X49">
            <v>3803.75763308568</v>
          </cell>
          <cell r="Y49">
            <v>739.59222796745803</v>
          </cell>
          <cell r="Z49">
            <v>54685.433807724999</v>
          </cell>
        </row>
        <row r="50">
          <cell r="A50" t="str">
            <v>Kedah</v>
          </cell>
          <cell r="B50" t="str">
            <v>02</v>
          </cell>
          <cell r="C50">
            <v>2681.6603907225199</v>
          </cell>
          <cell r="D50">
            <v>2281.3547506852001</v>
          </cell>
          <cell r="E50">
            <v>79.154656509836201</v>
          </cell>
          <cell r="F50">
            <v>321.15098352748799</v>
          </cell>
          <cell r="I50">
            <v>18.048528269871898</v>
          </cell>
          <cell r="J50">
            <v>7717.7993422172503</v>
          </cell>
          <cell r="K50">
            <v>252.925225481008</v>
          </cell>
          <cell r="L50">
            <v>118.930796638589</v>
          </cell>
          <cell r="M50">
            <v>485.85067829856001</v>
          </cell>
          <cell r="N50">
            <v>1496.75131325198</v>
          </cell>
          <cell r="O50">
            <v>1922.74280889636</v>
          </cell>
          <cell r="P50">
            <v>2349.8292298206802</v>
          </cell>
          <cell r="Q50">
            <v>1090.76928983007</v>
          </cell>
          <cell r="R50">
            <v>521.15096311709794</v>
          </cell>
          <cell r="S50">
            <v>9968.1473960035892</v>
          </cell>
          <cell r="T50">
            <v>1465.2200967916699</v>
          </cell>
          <cell r="U50">
            <v>2500.0247093693201</v>
          </cell>
          <cell r="V50">
            <v>1870.7963414210999</v>
          </cell>
          <cell r="W50">
            <v>1688.8790381625899</v>
          </cell>
          <cell r="X50">
            <v>2443.22721025891</v>
          </cell>
          <cell r="Y50">
            <v>126.538108157175</v>
          </cell>
          <cell r="Z50">
            <v>21033.3447284875</v>
          </cell>
        </row>
        <row r="51">
          <cell r="A51" t="str">
            <v>Kelantan</v>
          </cell>
          <cell r="B51" t="str">
            <v>03</v>
          </cell>
          <cell r="C51">
            <v>2988.7129664602498</v>
          </cell>
          <cell r="D51">
            <v>2097.8035475390798</v>
          </cell>
          <cell r="E51">
            <v>572.17552894220898</v>
          </cell>
          <cell r="F51">
            <v>318.73388997897001</v>
          </cell>
          <cell r="I51">
            <v>15.710270641353601</v>
          </cell>
          <cell r="J51">
            <v>537.90648847254704</v>
          </cell>
          <cell r="K51">
            <v>96.399194471998797</v>
          </cell>
          <cell r="L51">
            <v>46.681899118575501</v>
          </cell>
          <cell r="M51">
            <v>78.934399314953197</v>
          </cell>
          <cell r="N51">
            <v>83.535215787313703</v>
          </cell>
          <cell r="O51">
            <v>69.699584234307693</v>
          </cell>
          <cell r="P51">
            <v>156.971996648622</v>
          </cell>
          <cell r="Q51">
            <v>5.6841988967758397</v>
          </cell>
          <cell r="R51">
            <v>159.05485305821901</v>
          </cell>
          <cell r="S51">
            <v>6766.5601079339303</v>
          </cell>
          <cell r="T51">
            <v>786.65685698242498</v>
          </cell>
          <cell r="U51">
            <v>1883.1208029351501</v>
          </cell>
          <cell r="V51">
            <v>786.64393343559505</v>
          </cell>
          <cell r="W51">
            <v>1204.0097242068</v>
          </cell>
          <cell r="X51">
            <v>2106.1287903739599</v>
          </cell>
          <cell r="Y51">
            <v>14.4581579747896</v>
          </cell>
          <cell r="Z51">
            <v>10482.4028445411</v>
          </cell>
        </row>
        <row r="52">
          <cell r="A52" t="str">
            <v>Melaka</v>
          </cell>
          <cell r="B52" t="str">
            <v>04</v>
          </cell>
          <cell r="C52">
            <v>1049.9837590642601</v>
          </cell>
          <cell r="D52">
            <v>1036.4500888858199</v>
          </cell>
          <cell r="E52">
            <v>0.58264125883405904</v>
          </cell>
          <cell r="F52">
            <v>12.9510289196058</v>
          </cell>
          <cell r="I52">
            <v>7.98779466684553</v>
          </cell>
          <cell r="J52">
            <v>8495.9522896870403</v>
          </cell>
          <cell r="K52">
            <v>265.28598560224799</v>
          </cell>
          <cell r="L52">
            <v>93.947205754062097</v>
          </cell>
          <cell r="M52">
            <v>401.35151395285902</v>
          </cell>
          <cell r="N52">
            <v>3658.3887184694499</v>
          </cell>
          <cell r="O52">
            <v>546.88640353950905</v>
          </cell>
          <cell r="P52">
            <v>2514.1167378508499</v>
          </cell>
          <cell r="Q52">
            <v>1015.97572451806</v>
          </cell>
          <cell r="R52">
            <v>486.11974578698698</v>
          </cell>
          <cell r="S52">
            <v>7350.2047891623797</v>
          </cell>
          <cell r="T52">
            <v>1371.85733650064</v>
          </cell>
          <cell r="U52">
            <v>2351.0636468129901</v>
          </cell>
          <cell r="V52">
            <v>1496.3650172185701</v>
          </cell>
          <cell r="W52">
            <v>1007.31359768512</v>
          </cell>
          <cell r="X52">
            <v>1123.60519094505</v>
          </cell>
          <cell r="Y52">
            <v>31.9292935891485</v>
          </cell>
          <cell r="Z52">
            <v>17422.177671956699</v>
          </cell>
        </row>
        <row r="53">
          <cell r="A53" t="str">
            <v>Negeri Sembilan</v>
          </cell>
          <cell r="B53" t="str">
            <v>05</v>
          </cell>
          <cell r="C53">
            <v>1770.6233661952101</v>
          </cell>
          <cell r="D53">
            <v>1702.80162306191</v>
          </cell>
          <cell r="E53">
            <v>41.518276393251803</v>
          </cell>
          <cell r="F53">
            <v>26.303466740056901</v>
          </cell>
          <cell r="I53">
            <v>19.103149644530198</v>
          </cell>
          <cell r="J53">
            <v>11876.644437962301</v>
          </cell>
          <cell r="K53">
            <v>1118.78312439362</v>
          </cell>
          <cell r="L53">
            <v>406.62483738666202</v>
          </cell>
          <cell r="M53">
            <v>291.25893633818401</v>
          </cell>
          <cell r="N53">
            <v>3281.3416445077401</v>
          </cell>
          <cell r="O53">
            <v>686.51747334415302</v>
          </cell>
          <cell r="P53">
            <v>5160.4372561523696</v>
          </cell>
          <cell r="Q53">
            <v>931.68116583958601</v>
          </cell>
          <cell r="R53">
            <v>436.29066325689598</v>
          </cell>
          <cell r="S53">
            <v>8498.4753985162897</v>
          </cell>
          <cell r="T53">
            <v>2047.1081753559299</v>
          </cell>
          <cell r="U53">
            <v>2033.4067647075999</v>
          </cell>
          <cell r="V53">
            <v>1784.82670661518</v>
          </cell>
          <cell r="W53">
            <v>1138.59781318774</v>
          </cell>
          <cell r="X53">
            <v>1494.5359386498501</v>
          </cell>
          <cell r="Y53">
            <v>78.836902799825495</v>
          </cell>
          <cell r="Z53">
            <v>22679.973918375101</v>
          </cell>
        </row>
        <row r="54">
          <cell r="A54" t="str">
            <v>Pahang</v>
          </cell>
          <cell r="B54" t="str">
            <v>06</v>
          </cell>
          <cell r="C54">
            <v>5207.54037658779</v>
          </cell>
          <cell r="D54">
            <v>4368.3243974929601</v>
          </cell>
          <cell r="E54">
            <v>400.01817065452002</v>
          </cell>
          <cell r="F54">
            <v>439.19780844030601</v>
          </cell>
          <cell r="I54">
            <v>110.407340119764</v>
          </cell>
          <cell r="J54">
            <v>7052.7335097852501</v>
          </cell>
          <cell r="K54">
            <v>793.67946193545697</v>
          </cell>
          <cell r="L54">
            <v>13.2098045795034</v>
          </cell>
          <cell r="M54">
            <v>511.57602066974903</v>
          </cell>
          <cell r="N54">
            <v>3542.19593617597</v>
          </cell>
          <cell r="O54">
            <v>870.32067885000401</v>
          </cell>
          <cell r="P54">
            <v>93.829584834300505</v>
          </cell>
          <cell r="Q54">
            <v>1227.92202274027</v>
          </cell>
          <cell r="R54">
            <v>575.74558463116296</v>
          </cell>
          <cell r="S54">
            <v>12236.1682959067</v>
          </cell>
          <cell r="T54">
            <v>1281.8832281131999</v>
          </cell>
          <cell r="U54">
            <v>3866.03114623686</v>
          </cell>
          <cell r="V54">
            <v>1604.46618497587</v>
          </cell>
          <cell r="W54">
            <v>3077.50138415018</v>
          </cell>
          <cell r="X54">
            <v>2406.2863524306299</v>
          </cell>
          <cell r="Y54">
            <v>23.630568770153999</v>
          </cell>
          <cell r="Z54">
            <v>25206.225675800899</v>
          </cell>
        </row>
        <row r="55">
          <cell r="A55" t="str">
            <v>Pulau Pinang</v>
          </cell>
          <cell r="B55" t="str">
            <v>07</v>
          </cell>
          <cell r="C55">
            <v>721.068295417321</v>
          </cell>
          <cell r="D55">
            <v>528.12971383671402</v>
          </cell>
          <cell r="E55">
            <v>0</v>
          </cell>
          <cell r="F55">
            <v>192.93858158060701</v>
          </cell>
          <cell r="I55">
            <v>18.698428464636802</v>
          </cell>
          <cell r="J55">
            <v>25374.425811071502</v>
          </cell>
          <cell r="K55">
            <v>725.79384748207804</v>
          </cell>
          <cell r="L55">
            <v>464.03104921610401</v>
          </cell>
          <cell r="M55">
            <v>690.11560317322505</v>
          </cell>
          <cell r="N55">
            <v>1425.81977742506</v>
          </cell>
          <cell r="O55">
            <v>1800.06727154696</v>
          </cell>
          <cell r="P55">
            <v>18771.124317587</v>
          </cell>
          <cell r="Q55">
            <v>1497.4739446410399</v>
          </cell>
          <cell r="R55">
            <v>923.972218119172</v>
          </cell>
          <cell r="S55">
            <v>18924.920131515799</v>
          </cell>
          <cell r="T55">
            <v>3973.0755685437698</v>
          </cell>
          <cell r="U55">
            <v>5392.7054314427696</v>
          </cell>
          <cell r="V55">
            <v>5508.7005816316196</v>
          </cell>
          <cell r="W55">
            <v>1911.5996518095899</v>
          </cell>
          <cell r="X55">
            <v>2138.83889808807</v>
          </cell>
          <cell r="Y55">
            <v>262.77374224584599</v>
          </cell>
          <cell r="Z55">
            <v>46225.858626834299</v>
          </cell>
        </row>
        <row r="56">
          <cell r="A56" t="str">
            <v>Perak</v>
          </cell>
          <cell r="B56" t="str">
            <v>08</v>
          </cell>
          <cell r="C56">
            <v>5003.4977094698897</v>
          </cell>
          <cell r="D56">
            <v>3577.4709326095599</v>
          </cell>
          <cell r="E56">
            <v>382.87724616087002</v>
          </cell>
          <cell r="F56">
            <v>1043.14953069946</v>
          </cell>
          <cell r="I56">
            <v>105.414134490443</v>
          </cell>
          <cell r="J56">
            <v>6342.8197348897502</v>
          </cell>
          <cell r="K56">
            <v>1120.9841164311499</v>
          </cell>
          <cell r="L56">
            <v>199.42829060343499</v>
          </cell>
          <cell r="M56">
            <v>361.40863547805401</v>
          </cell>
          <cell r="N56">
            <v>1406.8212619763201</v>
          </cell>
          <cell r="O56">
            <v>1246.3615341428499</v>
          </cell>
          <cell r="P56">
            <v>1810.5647554305899</v>
          </cell>
          <cell r="Q56">
            <v>197.25114082734001</v>
          </cell>
          <cell r="R56">
            <v>555.25395563238396</v>
          </cell>
          <cell r="S56">
            <v>19017.035418304898</v>
          </cell>
          <cell r="T56">
            <v>5697.3911822560704</v>
          </cell>
          <cell r="U56">
            <v>4166.3452481063896</v>
          </cell>
          <cell r="V56">
            <v>3485.6780340405498</v>
          </cell>
          <cell r="W56">
            <v>2500.7837572722001</v>
          </cell>
          <cell r="X56">
            <v>3166.83719662971</v>
          </cell>
          <cell r="Y56">
            <v>24.3253411075065</v>
          </cell>
          <cell r="Z56">
            <v>31048.346293894901</v>
          </cell>
        </row>
        <row r="57">
          <cell r="A57" t="str">
            <v>Perlis</v>
          </cell>
          <cell r="B57" t="str">
            <v>09</v>
          </cell>
          <cell r="C57">
            <v>931.79704357876005</v>
          </cell>
          <cell r="D57">
            <v>248.23547787447899</v>
          </cell>
          <cell r="E57">
            <v>0</v>
          </cell>
          <cell r="F57">
            <v>683.56156570428095</v>
          </cell>
          <cell r="I57">
            <v>7.4425580879539597</v>
          </cell>
          <cell r="J57">
            <v>323.54139109524999</v>
          </cell>
          <cell r="K57">
            <v>66.078185598306703</v>
          </cell>
          <cell r="L57">
            <v>54.4519823296705</v>
          </cell>
          <cell r="M57">
            <v>2.9248195937792199</v>
          </cell>
          <cell r="N57">
            <v>101.233212222342</v>
          </cell>
          <cell r="O57">
            <v>98.320881505098797</v>
          </cell>
          <cell r="P57">
            <v>0.49688848380050199</v>
          </cell>
          <cell r="Q57">
            <v>3.5421362252201397E-2</v>
          </cell>
          <cell r="R57">
            <v>100.16881163801</v>
          </cell>
          <cell r="S57">
            <v>1700.29697532553</v>
          </cell>
          <cell r="T57">
            <v>604.087228728686</v>
          </cell>
          <cell r="U57">
            <v>226.621894294848</v>
          </cell>
          <cell r="V57">
            <v>194.98952736590999</v>
          </cell>
          <cell r="W57">
            <v>229.415892507992</v>
          </cell>
          <cell r="X57">
            <v>445.18243242809399</v>
          </cell>
          <cell r="Y57">
            <v>93.609572609995396</v>
          </cell>
          <cell r="Z57">
            <v>3156.8563523355001</v>
          </cell>
        </row>
        <row r="58">
          <cell r="A58" t="str">
            <v>Selangor</v>
          </cell>
          <cell r="B58">
            <v>10</v>
          </cell>
          <cell r="C58">
            <v>1926.0780961645701</v>
          </cell>
          <cell r="D58">
            <v>1398.0401864160799</v>
          </cell>
          <cell r="E58">
            <v>16.198665220584299</v>
          </cell>
          <cell r="F58">
            <v>511.83924452790802</v>
          </cell>
          <cell r="I58">
            <v>120.5394268836</v>
          </cell>
          <cell r="J58">
            <v>42879.553169723098</v>
          </cell>
          <cell r="K58">
            <v>6111.6100244311201</v>
          </cell>
          <cell r="L58">
            <v>391.82056836067602</v>
          </cell>
          <cell r="M58">
            <v>3468.01000850225</v>
          </cell>
          <cell r="N58">
            <v>4981.8207564943596</v>
          </cell>
          <cell r="O58">
            <v>5479.2930119938301</v>
          </cell>
          <cell r="P58">
            <v>12587.810554621499</v>
          </cell>
          <cell r="Q58">
            <v>9859.1882453193593</v>
          </cell>
          <cell r="R58">
            <v>5962.5217317796596</v>
          </cell>
          <cell r="S58">
            <v>74001.307601711698</v>
          </cell>
          <cell r="T58">
            <v>18524.120851202999</v>
          </cell>
          <cell r="U58">
            <v>24902.310037468</v>
          </cell>
          <cell r="V58">
            <v>18393.353533098099</v>
          </cell>
          <cell r="W58">
            <v>6368.1460691981501</v>
          </cell>
          <cell r="X58">
            <v>5813.3771107443699</v>
          </cell>
          <cell r="Y58">
            <v>3278.9835681526201</v>
          </cell>
          <cell r="Z58">
            <v>128168.983594415</v>
          </cell>
        </row>
        <row r="59">
          <cell r="A59" t="str">
            <v>Terengganu</v>
          </cell>
          <cell r="B59">
            <v>11</v>
          </cell>
          <cell r="C59">
            <v>1632.03023518903</v>
          </cell>
          <cell r="D59">
            <v>1213.60403151183</v>
          </cell>
          <cell r="E59">
            <v>115.89749741553899</v>
          </cell>
          <cell r="F59">
            <v>302.52870626165799</v>
          </cell>
          <cell r="I59">
            <v>8.4853156375849998</v>
          </cell>
          <cell r="J59">
            <v>7757.7226199588704</v>
          </cell>
          <cell r="K59">
            <v>88.477375724607299</v>
          </cell>
          <cell r="L59">
            <v>30.998203227151102</v>
          </cell>
          <cell r="M59">
            <v>159.00427529570399</v>
          </cell>
          <cell r="N59">
            <v>6889.1668489984704</v>
          </cell>
          <cell r="O59">
            <v>518.66213133559404</v>
          </cell>
          <cell r="P59">
            <v>2.1352792242413798</v>
          </cell>
          <cell r="Q59">
            <v>69.2785061531022</v>
          </cell>
          <cell r="R59">
            <v>603.41107275533398</v>
          </cell>
          <cell r="S59">
            <v>8102.3395455419704</v>
          </cell>
          <cell r="T59">
            <v>3243.2024056691098</v>
          </cell>
          <cell r="U59">
            <v>1394.7085072134</v>
          </cell>
          <cell r="V59">
            <v>694.77328642060502</v>
          </cell>
          <cell r="W59">
            <v>811.97478768015003</v>
          </cell>
          <cell r="X59">
            <v>1957.6805585587099</v>
          </cell>
          <cell r="Y59">
            <v>18.347235427577601</v>
          </cell>
          <cell r="Z59">
            <v>18122.336024510401</v>
          </cell>
        </row>
        <row r="60">
          <cell r="A60" t="str">
            <v>Sabah</v>
          </cell>
          <cell r="B60">
            <v>12</v>
          </cell>
          <cell r="C60">
            <v>10473.6851868717</v>
          </cell>
          <cell r="D60">
            <v>6649.4434108846299</v>
          </cell>
          <cell r="E60">
            <v>2350.7109363234599</v>
          </cell>
          <cell r="F60">
            <v>1473.5308396635801</v>
          </cell>
          <cell r="I60">
            <v>4337.8093032542602</v>
          </cell>
          <cell r="J60">
            <v>3333.3739198400399</v>
          </cell>
          <cell r="K60">
            <v>1798.1778391012499</v>
          </cell>
          <cell r="L60">
            <v>25.6433466475467</v>
          </cell>
          <cell r="M60">
            <v>951.56155341564397</v>
          </cell>
          <cell r="N60">
            <v>135.53863364202101</v>
          </cell>
          <cell r="O60">
            <v>271.05142728774501</v>
          </cell>
          <cell r="P60">
            <v>5.4930951319208701</v>
          </cell>
          <cell r="Q60">
            <v>145.908024613919</v>
          </cell>
          <cell r="R60">
            <v>840.29687091461801</v>
          </cell>
          <cell r="S60">
            <v>16185.047988680901</v>
          </cell>
          <cell r="T60">
            <v>2960.43603328276</v>
          </cell>
          <cell r="U60">
            <v>4960.1351085597598</v>
          </cell>
          <cell r="V60">
            <v>3615.4442009204899</v>
          </cell>
          <cell r="W60">
            <v>1512.9524147253101</v>
          </cell>
          <cell r="X60">
            <v>3136.08023119257</v>
          </cell>
          <cell r="Y60">
            <v>147.46786560562299</v>
          </cell>
          <cell r="Z60">
            <v>35317.681135167099</v>
          </cell>
        </row>
        <row r="61">
          <cell r="A61" t="str">
            <v>Sarawak</v>
          </cell>
          <cell r="B61">
            <v>13</v>
          </cell>
          <cell r="C61">
            <v>7345.8647333568897</v>
          </cell>
          <cell r="D61">
            <v>3002.2261686759002</v>
          </cell>
          <cell r="E61">
            <v>3887.7395540604298</v>
          </cell>
          <cell r="F61">
            <v>455.89901062055998</v>
          </cell>
          <cell r="I61">
            <v>17638.187917930001</v>
          </cell>
          <cell r="J61">
            <v>18773.714830696699</v>
          </cell>
          <cell r="K61">
            <v>546.06391167258596</v>
          </cell>
          <cell r="L61">
            <v>18.795457030879</v>
          </cell>
          <cell r="M61">
            <v>2067.6013768422699</v>
          </cell>
          <cell r="N61">
            <v>14494.2306334652</v>
          </cell>
          <cell r="O61">
            <v>512.61185664636503</v>
          </cell>
          <cell r="P61">
            <v>561.256735586579</v>
          </cell>
          <cell r="Q61">
            <v>573.15485945285502</v>
          </cell>
          <cell r="R61">
            <v>1622.8423701986801</v>
          </cell>
          <cell r="S61">
            <v>19659.2988161182</v>
          </cell>
          <cell r="T61">
            <v>4623.3250709520198</v>
          </cell>
          <cell r="U61">
            <v>5117.2655804817005</v>
          </cell>
          <cell r="V61">
            <v>4783.3485571312603</v>
          </cell>
          <cell r="W61">
            <v>2046.85884014463</v>
          </cell>
          <cell r="X61">
            <v>3088.50076740861</v>
          </cell>
          <cell r="Y61">
            <v>243.33206775263201</v>
          </cell>
          <cell r="Z61">
            <v>65283.2407360531</v>
          </cell>
        </row>
        <row r="62">
          <cell r="A62" t="str">
            <v>WP Kuala Lumpur</v>
          </cell>
          <cell r="B62">
            <v>14</v>
          </cell>
          <cell r="C62">
            <v>2.10811167021367</v>
          </cell>
          <cell r="D62">
            <v>2.10811167021367</v>
          </cell>
          <cell r="E62">
            <v>0</v>
          </cell>
          <cell r="F62">
            <v>0</v>
          </cell>
          <cell r="I62">
            <v>26.115905406038401</v>
          </cell>
          <cell r="J62">
            <v>3910.5714731828598</v>
          </cell>
          <cell r="K62">
            <v>386.20834435930999</v>
          </cell>
          <cell r="L62">
            <v>405.675185998367</v>
          </cell>
          <cell r="M62">
            <v>1120.099688883</v>
          </cell>
          <cell r="N62">
            <v>488.72544545218102</v>
          </cell>
          <cell r="O62">
            <v>579.28053505736602</v>
          </cell>
          <cell r="P62">
            <v>403.047947818924</v>
          </cell>
          <cell r="Q62">
            <v>527.53432561371005</v>
          </cell>
          <cell r="R62">
            <v>3007.1003220847301</v>
          </cell>
          <cell r="S62">
            <v>70519.619051935195</v>
          </cell>
          <cell r="T62">
            <v>4793.4802553273303</v>
          </cell>
          <cell r="U62">
            <v>26592.6088788696</v>
          </cell>
          <cell r="V62">
            <v>27016.7380854943</v>
          </cell>
          <cell r="W62">
            <v>3798.2641140737701</v>
          </cell>
          <cell r="X62">
            <v>8318.5277181701003</v>
          </cell>
          <cell r="Y62">
            <v>836.53238728178405</v>
          </cell>
          <cell r="Z62">
            <v>78302.047251560798</v>
          </cell>
        </row>
        <row r="63">
          <cell r="A63" t="str">
            <v>WP Labuan</v>
          </cell>
          <cell r="B63">
            <v>15</v>
          </cell>
          <cell r="C63">
            <v>103.865070873119</v>
          </cell>
          <cell r="D63">
            <v>6.7124170983965996</v>
          </cell>
          <cell r="E63">
            <v>0</v>
          </cell>
          <cell r="F63">
            <v>97.152653774722395</v>
          </cell>
          <cell r="I63">
            <v>0</v>
          </cell>
          <cell r="J63">
            <v>839.74064273709098</v>
          </cell>
          <cell r="K63">
            <v>22.786079043617999</v>
          </cell>
          <cell r="L63">
            <v>2.3822621176249501</v>
          </cell>
          <cell r="M63">
            <v>1.6646989143698101</v>
          </cell>
          <cell r="N63">
            <v>386.54407577023301</v>
          </cell>
          <cell r="O63">
            <v>413.81621392384602</v>
          </cell>
          <cell r="P63">
            <v>0</v>
          </cell>
          <cell r="Q63">
            <v>12.547312967399</v>
          </cell>
          <cell r="R63">
            <v>18.286791709978299</v>
          </cell>
          <cell r="S63">
            <v>1699.0669193485401</v>
          </cell>
          <cell r="T63">
            <v>191.114127334313</v>
          </cell>
          <cell r="U63">
            <v>206.74804917637601</v>
          </cell>
          <cell r="V63">
            <v>1185.6698268964899</v>
          </cell>
          <cell r="W63">
            <v>63.861886646380597</v>
          </cell>
          <cell r="X63">
            <v>51.673029294981802</v>
          </cell>
          <cell r="Y63">
            <v>17.074881227044699</v>
          </cell>
          <cell r="Z63">
            <v>2678.0343058957801</v>
          </cell>
        </row>
        <row r="64">
          <cell r="A64" t="str">
            <v>Supra1</v>
          </cell>
          <cell r="C64">
            <v>0</v>
          </cell>
          <cell r="D64">
            <v>0</v>
          </cell>
          <cell r="E64">
            <v>0</v>
          </cell>
          <cell r="F64">
            <v>0</v>
          </cell>
          <cell r="I64">
            <v>50274.226086704599</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50274.226086704599</v>
          </cell>
        </row>
        <row r="65">
          <cell r="A65" t="str">
            <v>MALAYSIA</v>
          </cell>
          <cell r="C65">
            <v>48187.881112145697</v>
          </cell>
          <cell r="D65">
            <v>33920.9747952947</v>
          </cell>
          <cell r="E65">
            <v>7925.9523854908302</v>
          </cell>
          <cell r="F65">
            <v>6340.9539313602199</v>
          </cell>
          <cell r="I65">
            <v>72758.484274225499</v>
          </cell>
          <cell r="J65">
            <v>165879.45540217799</v>
          </cell>
          <cell r="K65">
            <v>15149.981484566</v>
          </cell>
          <cell r="L65">
            <v>3261.4740081149198</v>
          </cell>
          <cell r="M65">
            <v>12290.1431556931</v>
          </cell>
          <cell r="N65">
            <v>45802.169504751197</v>
          </cell>
          <cell r="O65">
            <v>17618.602334589199</v>
          </cell>
          <cell r="P65">
            <v>52532.297278191698</v>
          </cell>
          <cell r="Q65">
            <v>19224.7876362723</v>
          </cell>
          <cell r="R65">
            <v>17390.5739465685</v>
          </cell>
          <cell r="S65">
            <v>299933.34239847102</v>
          </cell>
          <cell r="T65">
            <v>57402.403871686198</v>
          </cell>
          <cell r="U65">
            <v>91404.971381981901</v>
          </cell>
          <cell r="V65">
            <v>79673.200124777097</v>
          </cell>
          <cell r="W65">
            <v>29958.5279617661</v>
          </cell>
          <cell r="X65">
            <v>41494.2390582593</v>
          </cell>
          <cell r="Y65">
            <v>5937.4319206691798</v>
          </cell>
          <cell r="Z65">
            <v>610087.16905425803</v>
          </cell>
        </row>
        <row r="68">
          <cell r="A68" t="str">
            <v>CONSTANT</v>
          </cell>
          <cell r="B68" t="str">
            <v>Industry</v>
          </cell>
          <cell r="D68">
            <v>1</v>
          </cell>
          <cell r="E68">
            <v>2</v>
          </cell>
          <cell r="F68">
            <v>3</v>
          </cell>
          <cell r="I68">
            <v>4</v>
          </cell>
          <cell r="K68">
            <v>6</v>
          </cell>
          <cell r="L68">
            <v>7</v>
          </cell>
          <cell r="M68">
            <v>8</v>
          </cell>
          <cell r="N68">
            <v>9</v>
          </cell>
          <cell r="O68">
            <v>10</v>
          </cell>
          <cell r="P68">
            <v>11</v>
          </cell>
          <cell r="Q68">
            <v>12</v>
          </cell>
          <cell r="R68">
            <v>5</v>
          </cell>
          <cell r="T68">
            <v>13</v>
          </cell>
          <cell r="U68">
            <v>14</v>
          </cell>
          <cell r="V68">
            <v>15</v>
          </cell>
          <cell r="W68">
            <v>16</v>
          </cell>
        </row>
        <row r="69">
          <cell r="A69">
            <v>2008</v>
          </cell>
          <cell r="B69" t="str">
            <v>I</v>
          </cell>
          <cell r="C69" t="str">
            <v>Agriculture</v>
          </cell>
          <cell r="D69" t="str">
            <v>Tanaman</v>
          </cell>
          <cell r="E69" t="str">
            <v>Pembalakan</v>
          </cell>
          <cell r="F69" t="str">
            <v>Perikanan</v>
          </cell>
          <cell r="I69" t="str">
            <v>Mining andQuarrying</v>
          </cell>
          <cell r="J69" t="str">
            <v>Manufacturing</v>
          </cell>
          <cell r="K69" t="str">
            <v>Prosesan Makanan, Minuman dan Produk Tembakau</v>
          </cell>
          <cell r="L69" t="str">
            <v>Tekstil, Pakaian, Kulit dan Kasut</v>
          </cell>
          <cell r="M69" t="str">
            <v>Keluaran Kayu, Perabot, Produk Kertas, Percetakan dan Penerbitan</v>
          </cell>
          <cell r="N69" t="str">
            <v>Produk Petroleum, Bahan kimia, Getah dan Plastik</v>
          </cell>
          <cell r="O69" t="str">
            <v>Produk Mineral Bukan Logam, Logam Asli dan Produk Logam Yang Direka</v>
          </cell>
          <cell r="P69" t="str">
            <v>Elektrik dan Elektronik</v>
          </cell>
          <cell r="Q69" t="str">
            <v>Kelengkapan Pengangkutan dan Pembuatan Lain</v>
          </cell>
          <cell r="R69" t="str">
            <v>Construction</v>
          </cell>
          <cell r="S69" t="str">
            <v>Services</v>
          </cell>
          <cell r="T69" t="str">
            <v>Utiliti, Transport &amp; Communication</v>
          </cell>
          <cell r="U69" t="str">
            <v>WRT, Accomm &amp; Restaurant</v>
          </cell>
          <cell r="V69" t="str">
            <v>Finance &amp; Insurance, Real Estate &amp; Business Services</v>
          </cell>
          <cell r="W69" t="str">
            <v>Other Services</v>
          </cell>
          <cell r="X69" t="str">
            <v>Government Services</v>
          </cell>
          <cell r="Y69" t="str">
            <v>Plus :Import Duties</v>
          </cell>
          <cell r="Z69" t="str">
            <v>GDP atPurchasers' Prices</v>
          </cell>
        </row>
        <row r="70">
          <cell r="A70" t="str">
            <v>States</v>
          </cell>
          <cell r="B70" t="str">
            <v>Converter</v>
          </cell>
        </row>
        <row r="71">
          <cell r="A71" t="str">
            <v>Johor</v>
          </cell>
          <cell r="B71" t="str">
            <v>01</v>
          </cell>
          <cell r="C71">
            <v>7170.5642833848297</v>
          </cell>
          <cell r="D71">
            <v>6552.3323969553603</v>
          </cell>
          <cell r="E71">
            <v>53.570652274507502</v>
          </cell>
          <cell r="F71">
            <v>564.66123415495804</v>
          </cell>
          <cell r="I71">
            <v>53.974312406284497</v>
          </cell>
          <cell r="J71">
            <v>20027.698931422499</v>
          </cell>
          <cell r="K71">
            <v>2237.44821476371</v>
          </cell>
          <cell r="L71">
            <v>886.10036568846795</v>
          </cell>
          <cell r="M71">
            <v>1629.6346386585401</v>
          </cell>
          <cell r="N71">
            <v>3795.0370578501402</v>
          </cell>
          <cell r="O71">
            <v>2785.61796350646</v>
          </cell>
          <cell r="P71">
            <v>6962.8762218903703</v>
          </cell>
          <cell r="Q71">
            <v>1730.9844690647899</v>
          </cell>
          <cell r="R71">
            <v>1597.09857176644</v>
          </cell>
          <cell r="S71">
            <v>27296.435615271399</v>
          </cell>
          <cell r="T71">
            <v>6090.7424245899101</v>
          </cell>
          <cell r="U71">
            <v>6594.7816774399598</v>
          </cell>
          <cell r="V71">
            <v>7868.2839034950102</v>
          </cell>
          <cell r="W71">
            <v>2685.0853995655002</v>
          </cell>
          <cell r="X71">
            <v>4057.54221018098</v>
          </cell>
          <cell r="Y71">
            <v>844.05037865614395</v>
          </cell>
          <cell r="Z71">
            <v>56989.822092907503</v>
          </cell>
        </row>
        <row r="72">
          <cell r="A72" t="str">
            <v>Kedah</v>
          </cell>
          <cell r="B72" t="str">
            <v>02</v>
          </cell>
          <cell r="C72">
            <v>2748.1771608968802</v>
          </cell>
          <cell r="D72">
            <v>2288.3694176890999</v>
          </cell>
          <cell r="E72">
            <v>111.010602879665</v>
          </cell>
          <cell r="F72">
            <v>348.797140328117</v>
          </cell>
          <cell r="I72">
            <v>18.239695550862301</v>
          </cell>
          <cell r="J72">
            <v>6957.01496376864</v>
          </cell>
          <cell r="K72">
            <v>312.23867581872599</v>
          </cell>
          <cell r="L72">
            <v>58.534298160208799</v>
          </cell>
          <cell r="M72">
            <v>433.20309421368199</v>
          </cell>
          <cell r="N72">
            <v>1355.4752458636899</v>
          </cell>
          <cell r="O72">
            <v>2010.05922817587</v>
          </cell>
          <cell r="P72">
            <v>1883.5947183666101</v>
          </cell>
          <cell r="Q72">
            <v>903.90970316987</v>
          </cell>
          <cell r="R72">
            <v>571.38911527631399</v>
          </cell>
          <cell r="S72">
            <v>10774.2800166954</v>
          </cell>
          <cell r="T72">
            <v>1586.08816408142</v>
          </cell>
          <cell r="U72">
            <v>2801.87031589756</v>
          </cell>
          <cell r="V72">
            <v>2035.2337212831801</v>
          </cell>
          <cell r="W72">
            <v>1798.1172809443001</v>
          </cell>
          <cell r="X72">
            <v>2552.9705344889198</v>
          </cell>
          <cell r="Y72">
            <v>139.64890039374501</v>
          </cell>
          <cell r="Z72">
            <v>21208.749852581801</v>
          </cell>
        </row>
        <row r="73">
          <cell r="A73" t="str">
            <v>Kelantan</v>
          </cell>
          <cell r="B73" t="str">
            <v>03</v>
          </cell>
          <cell r="C73">
            <v>3027.6310674799702</v>
          </cell>
          <cell r="D73">
            <v>2152.0116431654001</v>
          </cell>
          <cell r="E73">
            <v>606.16328206114895</v>
          </cell>
          <cell r="F73">
            <v>269.45614225342302</v>
          </cell>
          <cell r="I73">
            <v>15.925022656613001</v>
          </cell>
          <cell r="J73">
            <v>572.15677675997199</v>
          </cell>
          <cell r="K73">
            <v>99.081637376973802</v>
          </cell>
          <cell r="L73">
            <v>51.710970220077101</v>
          </cell>
          <cell r="M73">
            <v>72.546847023653996</v>
          </cell>
          <cell r="N73">
            <v>83.620713062007098</v>
          </cell>
          <cell r="O73">
            <v>54.650643089896597</v>
          </cell>
          <cell r="P73">
            <v>201.49060798824399</v>
          </cell>
          <cell r="Q73">
            <v>9.0553579991195896</v>
          </cell>
          <cell r="R73">
            <v>175.86575138221801</v>
          </cell>
          <cell r="S73">
            <v>7393.6547099700801</v>
          </cell>
          <cell r="T73">
            <v>824.08031562158999</v>
          </cell>
          <cell r="U73">
            <v>2057.9749224587299</v>
          </cell>
          <cell r="V73">
            <v>920.86422992535597</v>
          </cell>
          <cell r="W73">
            <v>1262.6577309111999</v>
          </cell>
          <cell r="X73">
            <v>2328.0775110531999</v>
          </cell>
          <cell r="Y73">
            <v>18.0995391250277</v>
          </cell>
          <cell r="Z73">
            <v>11203.3328673739</v>
          </cell>
        </row>
        <row r="74">
          <cell r="A74" t="str">
            <v>Melaka</v>
          </cell>
          <cell r="B74" t="str">
            <v>04</v>
          </cell>
          <cell r="C74">
            <v>1252.3213332514199</v>
          </cell>
          <cell r="D74">
            <v>1225.31767718993</v>
          </cell>
          <cell r="E74">
            <v>0.27325933110072698</v>
          </cell>
          <cell r="F74">
            <v>26.730396730389899</v>
          </cell>
          <cell r="I74">
            <v>8.1132989453658606</v>
          </cell>
          <cell r="J74">
            <v>8527.0481185479202</v>
          </cell>
          <cell r="K74">
            <v>342.85015923026702</v>
          </cell>
          <cell r="L74">
            <v>189.85552542873799</v>
          </cell>
          <cell r="M74">
            <v>401.68897417256602</v>
          </cell>
          <cell r="N74">
            <v>3249.9228676149</v>
          </cell>
          <cell r="O74">
            <v>594.37140616983504</v>
          </cell>
          <cell r="P74">
            <v>2223.9017940836602</v>
          </cell>
          <cell r="Q74">
            <v>1524.45739184795</v>
          </cell>
          <cell r="R74">
            <v>523.57995395986302</v>
          </cell>
          <cell r="S74">
            <v>7927.08095236587</v>
          </cell>
          <cell r="T74">
            <v>1453.1112885344901</v>
          </cell>
          <cell r="U74">
            <v>2669.98556973717</v>
          </cell>
          <cell r="V74">
            <v>1568.19399157097</v>
          </cell>
          <cell r="W74">
            <v>1051.7554282571</v>
          </cell>
          <cell r="X74">
            <v>1184.03467426615</v>
          </cell>
          <cell r="Y74">
            <v>11.4618260640027</v>
          </cell>
          <cell r="Z74">
            <v>18249.605483134401</v>
          </cell>
        </row>
        <row r="75">
          <cell r="A75" t="str">
            <v>Negeri Sembilan</v>
          </cell>
          <cell r="B75" t="str">
            <v>05</v>
          </cell>
          <cell r="C75">
            <v>1832.08891157927</v>
          </cell>
          <cell r="D75">
            <v>1773.65348057865</v>
          </cell>
          <cell r="E75">
            <v>31.470822994454402</v>
          </cell>
          <cell r="F75">
            <v>26.964608006166099</v>
          </cell>
          <cell r="I75">
            <v>19.239437471789</v>
          </cell>
          <cell r="J75">
            <v>12037.523484368199</v>
          </cell>
          <cell r="K75">
            <v>1157.1717543028701</v>
          </cell>
          <cell r="L75">
            <v>468.15762514419498</v>
          </cell>
          <cell r="M75">
            <v>321.67196918713699</v>
          </cell>
          <cell r="N75">
            <v>2993.8336955334898</v>
          </cell>
          <cell r="O75">
            <v>934.14198202758598</v>
          </cell>
          <cell r="P75">
            <v>5126.0242008203104</v>
          </cell>
          <cell r="Q75">
            <v>1036.5222573526401</v>
          </cell>
          <cell r="R75">
            <v>495.027490900494</v>
          </cell>
          <cell r="S75">
            <v>9154.7227376740193</v>
          </cell>
          <cell r="T75">
            <v>2141.9358079268</v>
          </cell>
          <cell r="U75">
            <v>2308.7027253908</v>
          </cell>
          <cell r="V75">
            <v>1927.19666318128</v>
          </cell>
          <cell r="W75">
            <v>1202.93770936334</v>
          </cell>
          <cell r="X75">
            <v>1573.9498318117901</v>
          </cell>
          <cell r="Y75">
            <v>117.980859251675</v>
          </cell>
          <cell r="Z75">
            <v>23656.582921245499</v>
          </cell>
        </row>
        <row r="76">
          <cell r="A76" t="str">
            <v>Pahang</v>
          </cell>
          <cell r="B76" t="str">
            <v>06</v>
          </cell>
          <cell r="C76">
            <v>5455.0762771085901</v>
          </cell>
          <cell r="D76">
            <v>4452.4266430297102</v>
          </cell>
          <cell r="E76">
            <v>470.116956441659</v>
          </cell>
          <cell r="F76">
            <v>532.53267763721999</v>
          </cell>
          <cell r="I76">
            <v>100.36584932021999</v>
          </cell>
          <cell r="J76">
            <v>7210.2004057692702</v>
          </cell>
          <cell r="K76">
            <v>769.87151506442399</v>
          </cell>
          <cell r="L76">
            <v>12.385865540607201</v>
          </cell>
          <cell r="M76">
            <v>413.97902222490598</v>
          </cell>
          <cell r="N76">
            <v>3068.0492317742501</v>
          </cell>
          <cell r="O76">
            <v>769.63818148399798</v>
          </cell>
          <cell r="P76">
            <v>51.3753888189731</v>
          </cell>
          <cell r="Q76">
            <v>2124.9012008621198</v>
          </cell>
          <cell r="R76">
            <v>661.57161300783503</v>
          </cell>
          <cell r="S76">
            <v>12973.6076465391</v>
          </cell>
          <cell r="T76">
            <v>1378.1853080583901</v>
          </cell>
          <cell r="U76">
            <v>4148.2442956492296</v>
          </cell>
          <cell r="V76">
            <v>1753.4240565396999</v>
          </cell>
          <cell r="W76">
            <v>3208.2121272485101</v>
          </cell>
          <cell r="X76">
            <v>2485.5418590432901</v>
          </cell>
          <cell r="Y76">
            <v>63.757302087708602</v>
          </cell>
          <cell r="Z76">
            <v>26464.579093832799</v>
          </cell>
        </row>
        <row r="77">
          <cell r="A77" t="str">
            <v>Pulau Pinang</v>
          </cell>
          <cell r="B77" t="str">
            <v>07</v>
          </cell>
          <cell r="C77">
            <v>749.94035118466797</v>
          </cell>
          <cell r="D77">
            <v>526.21122120474399</v>
          </cell>
          <cell r="E77">
            <v>0</v>
          </cell>
          <cell r="F77">
            <v>223.72912997992401</v>
          </cell>
          <cell r="I77">
            <v>18.986404553479499</v>
          </cell>
          <cell r="J77">
            <v>26348.444882624201</v>
          </cell>
          <cell r="K77">
            <v>689.29693633182296</v>
          </cell>
          <cell r="L77">
            <v>490.58533614708301</v>
          </cell>
          <cell r="M77">
            <v>767.56532285628998</v>
          </cell>
          <cell r="N77">
            <v>1888.14782222227</v>
          </cell>
          <cell r="O77">
            <v>1809.1693963134801</v>
          </cell>
          <cell r="P77">
            <v>19072.286939373898</v>
          </cell>
          <cell r="Q77">
            <v>1631.39312937931</v>
          </cell>
          <cell r="R77">
            <v>1004.94153188345</v>
          </cell>
          <cell r="S77">
            <v>20266.906143440901</v>
          </cell>
          <cell r="T77">
            <v>4211.9582272429398</v>
          </cell>
          <cell r="U77">
            <v>5915.1172258340403</v>
          </cell>
          <cell r="V77">
            <v>5883.18430518072</v>
          </cell>
          <cell r="W77">
            <v>2013.78632840968</v>
          </cell>
          <cell r="X77">
            <v>2242.8600567734702</v>
          </cell>
          <cell r="Y77">
            <v>359.64911542058502</v>
          </cell>
          <cell r="Z77">
            <v>48748.868429107199</v>
          </cell>
        </row>
        <row r="78">
          <cell r="A78" t="str">
            <v>Perak</v>
          </cell>
          <cell r="B78" t="str">
            <v>08</v>
          </cell>
          <cell r="C78">
            <v>5067.8059180852897</v>
          </cell>
          <cell r="D78">
            <v>3719.44414090086</v>
          </cell>
          <cell r="E78">
            <v>368.25569428126801</v>
          </cell>
          <cell r="F78">
            <v>980.10608290315702</v>
          </cell>
          <cell r="I78">
            <v>103.184457255374</v>
          </cell>
          <cell r="J78">
            <v>6605.2252252100297</v>
          </cell>
          <cell r="K78">
            <v>869.57174628031896</v>
          </cell>
          <cell r="L78">
            <v>197.240495601915</v>
          </cell>
          <cell r="M78">
            <v>312.94982545181699</v>
          </cell>
          <cell r="N78">
            <v>1474.0761624444301</v>
          </cell>
          <cell r="O78">
            <v>1534.8566587800401</v>
          </cell>
          <cell r="P78">
            <v>1699.8833316723999</v>
          </cell>
          <cell r="Q78">
            <v>516.64700497911201</v>
          </cell>
          <cell r="R78">
            <v>582.50096026431402</v>
          </cell>
          <cell r="S78">
            <v>20679.2256318416</v>
          </cell>
          <cell r="T78">
            <v>5833.6995245607004</v>
          </cell>
          <cell r="U78">
            <v>4823.5297935970402</v>
          </cell>
          <cell r="V78">
            <v>3897.9275608838998</v>
          </cell>
          <cell r="W78">
            <v>2642.6796385010898</v>
          </cell>
          <cell r="X78">
            <v>3481.38911429888</v>
          </cell>
          <cell r="Y78">
            <v>21.596787120596598</v>
          </cell>
          <cell r="Z78">
            <v>33059.5389797772</v>
          </cell>
        </row>
        <row r="79">
          <cell r="A79" t="str">
            <v>Perlis</v>
          </cell>
          <cell r="B79" t="str">
            <v>09</v>
          </cell>
          <cell r="C79">
            <v>935.57928140876095</v>
          </cell>
          <cell r="D79">
            <v>268.76405732769098</v>
          </cell>
          <cell r="E79">
            <v>0</v>
          </cell>
          <cell r="F79">
            <v>666.81522408107003</v>
          </cell>
          <cell r="I79">
            <v>7.8015227651921801</v>
          </cell>
          <cell r="J79">
            <v>349.32019348366998</v>
          </cell>
          <cell r="K79">
            <v>54.502227089057698</v>
          </cell>
          <cell r="L79">
            <v>51.629230750296998</v>
          </cell>
          <cell r="M79">
            <v>4.1927671943535598</v>
          </cell>
          <cell r="N79">
            <v>95.164894575306803</v>
          </cell>
          <cell r="O79">
            <v>142.89041771363799</v>
          </cell>
          <cell r="P79">
            <v>0.41720944774469298</v>
          </cell>
          <cell r="Q79">
            <v>0.52344671327310199</v>
          </cell>
          <cell r="R79">
            <v>101.26540747310899</v>
          </cell>
          <cell r="S79">
            <v>1789.43683170176</v>
          </cell>
          <cell r="T79">
            <v>618.26873703333501</v>
          </cell>
          <cell r="U79">
            <v>250.42582661869599</v>
          </cell>
          <cell r="V79">
            <v>229.64700012768901</v>
          </cell>
          <cell r="W79">
            <v>238.11756091022201</v>
          </cell>
          <cell r="X79">
            <v>452.97770701181599</v>
          </cell>
          <cell r="Y79">
            <v>66.343859851239401</v>
          </cell>
          <cell r="Z79">
            <v>3249.74709668373</v>
          </cell>
        </row>
        <row r="80">
          <cell r="A80" t="str">
            <v>Selangor</v>
          </cell>
          <cell r="B80">
            <v>10</v>
          </cell>
          <cell r="C80">
            <v>2306.4004204636199</v>
          </cell>
          <cell r="D80">
            <v>1636.27720951693</v>
          </cell>
          <cell r="E80">
            <v>13.6682036104921</v>
          </cell>
          <cell r="F80">
            <v>656.45500733619497</v>
          </cell>
          <cell r="I80">
            <v>121.688062496567</v>
          </cell>
          <cell r="J80">
            <v>44795.331237077102</v>
          </cell>
          <cell r="K80">
            <v>6715.4856658059798</v>
          </cell>
          <cell r="L80">
            <v>528.29252835263401</v>
          </cell>
          <cell r="M80">
            <v>3810.00459350437</v>
          </cell>
          <cell r="N80">
            <v>5878.6944612834995</v>
          </cell>
          <cell r="O80">
            <v>5875.0931975616904</v>
          </cell>
          <cell r="P80">
            <v>11039.3291554592</v>
          </cell>
          <cell r="Q80">
            <v>10948.4316351097</v>
          </cell>
          <cell r="R80">
            <v>6243.9686026801</v>
          </cell>
          <cell r="S80">
            <v>81917.655086211103</v>
          </cell>
          <cell r="T80">
            <v>19834.486867533</v>
          </cell>
          <cell r="U80">
            <v>27732.002140549001</v>
          </cell>
          <cell r="V80">
            <v>21135.3151207962</v>
          </cell>
          <cell r="W80">
            <v>6917.3595796658901</v>
          </cell>
          <cell r="X80">
            <v>6298.4913776670401</v>
          </cell>
          <cell r="Y80">
            <v>4492.0200225018598</v>
          </cell>
          <cell r="Z80">
            <v>139877.06343143</v>
          </cell>
        </row>
        <row r="81">
          <cell r="A81" t="str">
            <v>Terengganu</v>
          </cell>
          <cell r="B81">
            <v>11</v>
          </cell>
          <cell r="C81">
            <v>1868.7466500673299</v>
          </cell>
          <cell r="D81">
            <v>1376.63104168482</v>
          </cell>
          <cell r="E81">
            <v>123.549504003599</v>
          </cell>
          <cell r="F81">
            <v>368.56610437891601</v>
          </cell>
          <cell r="I81">
            <v>9.5909415136728509</v>
          </cell>
          <cell r="J81">
            <v>7568.4216460510097</v>
          </cell>
          <cell r="K81">
            <v>60.844329089771499</v>
          </cell>
          <cell r="L81">
            <v>30.1785211503163</v>
          </cell>
          <cell r="M81">
            <v>108.103254450601</v>
          </cell>
          <cell r="N81">
            <v>6666.2671079688998</v>
          </cell>
          <cell r="O81">
            <v>590.64019872650704</v>
          </cell>
          <cell r="P81">
            <v>2.89261597011456</v>
          </cell>
          <cell r="Q81">
            <v>109.49561869479101</v>
          </cell>
          <cell r="R81">
            <v>571.792479817051</v>
          </cell>
          <cell r="S81">
            <v>8459.2870635188992</v>
          </cell>
          <cell r="T81">
            <v>3335.1416614582399</v>
          </cell>
          <cell r="U81">
            <v>1527.3126581572801</v>
          </cell>
          <cell r="V81">
            <v>753.40514713643597</v>
          </cell>
          <cell r="W81">
            <v>853.55315647359896</v>
          </cell>
          <cell r="X81">
            <v>1989.8744402933401</v>
          </cell>
          <cell r="Y81">
            <v>22.352791701644001</v>
          </cell>
          <cell r="Z81">
            <v>18500.191572669599</v>
          </cell>
        </row>
        <row r="82">
          <cell r="A82" t="str">
            <v>Sabah</v>
          </cell>
          <cell r="B82">
            <v>12</v>
          </cell>
          <cell r="C82">
            <v>10094.902381182599</v>
          </cell>
          <cell r="D82">
            <v>6662.8019414520804</v>
          </cell>
          <cell r="E82">
            <v>1916.47704071711</v>
          </cell>
          <cell r="F82">
            <v>1515.6233990134201</v>
          </cell>
          <cell r="I82">
            <v>8037.0394100663098</v>
          </cell>
          <cell r="J82">
            <v>3412.1274698001698</v>
          </cell>
          <cell r="K82">
            <v>1951.46261811467</v>
          </cell>
          <cell r="L82">
            <v>30.8890325568645</v>
          </cell>
          <cell r="M82">
            <v>896.60369368980196</v>
          </cell>
          <cell r="N82">
            <v>130.35469092791101</v>
          </cell>
          <cell r="O82">
            <v>264.13360365970101</v>
          </cell>
          <cell r="P82">
            <v>7.1228420514294299</v>
          </cell>
          <cell r="Q82">
            <v>131.56098879979601</v>
          </cell>
          <cell r="R82">
            <v>823.31542778865503</v>
          </cell>
          <cell r="S82">
            <v>16548.3369776412</v>
          </cell>
          <cell r="T82">
            <v>3155.34217557493</v>
          </cell>
          <cell r="U82">
            <v>5386.8789916800997</v>
          </cell>
          <cell r="V82">
            <v>3170.1727072173899</v>
          </cell>
          <cell r="W82">
            <v>1600.27552420761</v>
          </cell>
          <cell r="X82">
            <v>3235.66757896117</v>
          </cell>
          <cell r="Y82">
            <v>198.26699960755701</v>
          </cell>
          <cell r="Z82">
            <v>39113.988666086501</v>
          </cell>
        </row>
        <row r="83">
          <cell r="A83" t="str">
            <v>Sarawak</v>
          </cell>
          <cell r="B83">
            <v>13</v>
          </cell>
          <cell r="C83">
            <v>7415.2679328992299</v>
          </cell>
          <cell r="D83">
            <v>3152.3724412413499</v>
          </cell>
          <cell r="E83">
            <v>3831.8281290446598</v>
          </cell>
          <cell r="F83">
            <v>431.06736261321799</v>
          </cell>
          <cell r="I83">
            <v>16465.054567110299</v>
          </cell>
          <cell r="J83">
            <v>18472.101260906202</v>
          </cell>
          <cell r="K83">
            <v>587.73011486882899</v>
          </cell>
          <cell r="L83">
            <v>20.5740816912508</v>
          </cell>
          <cell r="M83">
            <v>1478.17446056941</v>
          </cell>
          <cell r="N83">
            <v>14918.7790363242</v>
          </cell>
          <cell r="O83">
            <v>462.07136159612202</v>
          </cell>
          <cell r="P83">
            <v>489.41684695457099</v>
          </cell>
          <cell r="Q83">
            <v>515.35535890174697</v>
          </cell>
          <cell r="R83">
            <v>1584.5546063460699</v>
          </cell>
          <cell r="S83">
            <v>21221.6999350355</v>
          </cell>
          <cell r="T83">
            <v>4928.2390888015098</v>
          </cell>
          <cell r="U83">
            <v>5752.67169501841</v>
          </cell>
          <cell r="V83">
            <v>5260.6696718154899</v>
          </cell>
          <cell r="W83">
            <v>2131.7620709674802</v>
          </cell>
          <cell r="X83">
            <v>3148.3574084326401</v>
          </cell>
          <cell r="Y83">
            <v>311.57940890856401</v>
          </cell>
          <cell r="Z83">
            <v>65470.257711205901</v>
          </cell>
        </row>
        <row r="84">
          <cell r="A84" t="str">
            <v>WP Kuala Lumpur</v>
          </cell>
          <cell r="B84">
            <v>14</v>
          </cell>
          <cell r="C84">
            <v>1.8243439513005599</v>
          </cell>
          <cell r="D84">
            <v>1.8243439513005599</v>
          </cell>
          <cell r="E84">
            <v>0</v>
          </cell>
          <cell r="F84">
            <v>0</v>
          </cell>
          <cell r="I84">
            <v>26.4050261874564</v>
          </cell>
          <cell r="J84">
            <v>3672.1549682251498</v>
          </cell>
          <cell r="K84">
            <v>432.68358955642702</v>
          </cell>
          <cell r="L84">
            <v>296.30800336994702</v>
          </cell>
          <cell r="M84">
            <v>1036.5487339948099</v>
          </cell>
          <cell r="N84">
            <v>589.69570351422101</v>
          </cell>
          <cell r="O84">
            <v>501.07118610173001</v>
          </cell>
          <cell r="P84">
            <v>241.79047869049501</v>
          </cell>
          <cell r="Q84">
            <v>574.05727299752505</v>
          </cell>
          <cell r="R84">
            <v>3193.9793919204899</v>
          </cell>
          <cell r="S84">
            <v>77689.654913025704</v>
          </cell>
          <cell r="T84">
            <v>5215.9939333560897</v>
          </cell>
          <cell r="U84">
            <v>29153.1803434828</v>
          </cell>
          <cell r="V84">
            <v>29696.389046616001</v>
          </cell>
          <cell r="W84">
            <v>4092.2781887101501</v>
          </cell>
          <cell r="X84">
            <v>9531.8134008606503</v>
          </cell>
          <cell r="Y84">
            <v>829.82722957740998</v>
          </cell>
          <cell r="Z84">
            <v>85413.845872887498</v>
          </cell>
        </row>
        <row r="85">
          <cell r="A85" t="str">
            <v>WP Labuan</v>
          </cell>
          <cell r="B85">
            <v>15</v>
          </cell>
          <cell r="C85">
            <v>109.50032694180101</v>
          </cell>
          <cell r="D85">
            <v>9.0733866410139097</v>
          </cell>
          <cell r="E85">
            <v>0</v>
          </cell>
          <cell r="F85">
            <v>100.426940300787</v>
          </cell>
          <cell r="I85">
            <v>0</v>
          </cell>
          <cell r="J85">
            <v>593.17885993159598</v>
          </cell>
          <cell r="K85">
            <v>23.962238160576899</v>
          </cell>
          <cell r="L85">
            <v>2.4967399763865399</v>
          </cell>
          <cell r="M85">
            <v>1.50252930750069</v>
          </cell>
          <cell r="N85">
            <v>298.46286538655602</v>
          </cell>
          <cell r="O85">
            <v>256.38808224051598</v>
          </cell>
          <cell r="P85">
            <v>0</v>
          </cell>
          <cell r="Q85">
            <v>10.366404860059401</v>
          </cell>
          <cell r="R85">
            <v>20.509544214180899</v>
          </cell>
          <cell r="S85">
            <v>1619.7325058092599</v>
          </cell>
          <cell r="T85">
            <v>208.12885045006999</v>
          </cell>
          <cell r="U85">
            <v>220.514676171806</v>
          </cell>
          <cell r="V85">
            <v>1057.60027749454</v>
          </cell>
          <cell r="W85">
            <v>64.388805102398393</v>
          </cell>
          <cell r="X85">
            <v>69.099896590450001</v>
          </cell>
          <cell r="Y85">
            <v>26.174126121139601</v>
          </cell>
          <cell r="Z85">
            <v>2369.0953630179802</v>
          </cell>
        </row>
        <row r="86">
          <cell r="A86" t="str">
            <v>Supra1</v>
          </cell>
          <cell r="C86">
            <v>0</v>
          </cell>
          <cell r="D86">
            <v>0</v>
          </cell>
          <cell r="E86">
            <v>0</v>
          </cell>
          <cell r="F86">
            <v>0</v>
          </cell>
          <cell r="I86">
            <v>45989.894528632904</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45989.894528632904</v>
          </cell>
        </row>
        <row r="87">
          <cell r="A87" t="str">
            <v>MALAYSIA</v>
          </cell>
          <cell r="C87">
            <v>50035.826639885599</v>
          </cell>
          <cell r="D87">
            <v>35797.511042528997</v>
          </cell>
          <cell r="E87">
            <v>7526.3841476396701</v>
          </cell>
          <cell r="F87">
            <v>6711.9314497169698</v>
          </cell>
          <cell r="I87">
            <v>70995.502536932399</v>
          </cell>
          <cell r="J87">
            <v>167147.94842394601</v>
          </cell>
          <cell r="K87">
            <v>16304.201421854401</v>
          </cell>
          <cell r="L87">
            <v>3314.93861977899</v>
          </cell>
          <cell r="M87">
            <v>11688.369726499401</v>
          </cell>
          <cell r="N87">
            <v>46485.581556345802</v>
          </cell>
          <cell r="O87">
            <v>18584.7935071471</v>
          </cell>
          <cell r="P87">
            <v>49002.402351588098</v>
          </cell>
          <cell r="Q87">
            <v>21767.661240731799</v>
          </cell>
          <cell r="R87">
            <v>18151.3604486806</v>
          </cell>
          <cell r="S87">
            <v>325711.716766742</v>
          </cell>
          <cell r="T87">
            <v>60815.402374823403</v>
          </cell>
          <cell r="U87">
            <v>101343.192857683</v>
          </cell>
          <cell r="V87">
            <v>87157.507403263895</v>
          </cell>
          <cell r="W87">
            <v>31762.9665292381</v>
          </cell>
          <cell r="X87">
            <v>44632.647601733799</v>
          </cell>
          <cell r="Y87">
            <v>7522.8091463889004</v>
          </cell>
          <cell r="Z87">
            <v>639565.16396257502</v>
          </cell>
        </row>
        <row r="90">
          <cell r="A90" t="str">
            <v>CONSTANT</v>
          </cell>
          <cell r="B90" t="str">
            <v>Industry</v>
          </cell>
          <cell r="D90">
            <v>1</v>
          </cell>
          <cell r="E90">
            <v>2</v>
          </cell>
          <cell r="F90">
            <v>3</v>
          </cell>
          <cell r="I90">
            <v>4</v>
          </cell>
          <cell r="K90">
            <v>6</v>
          </cell>
          <cell r="L90">
            <v>7</v>
          </cell>
          <cell r="M90">
            <v>8</v>
          </cell>
          <cell r="N90">
            <v>9</v>
          </cell>
          <cell r="O90">
            <v>10</v>
          </cell>
          <cell r="P90">
            <v>11</v>
          </cell>
          <cell r="Q90">
            <v>12</v>
          </cell>
          <cell r="R90">
            <v>5</v>
          </cell>
          <cell r="T90">
            <v>13</v>
          </cell>
          <cell r="U90">
            <v>14</v>
          </cell>
          <cell r="V90">
            <v>15</v>
          </cell>
          <cell r="W90">
            <v>16</v>
          </cell>
        </row>
        <row r="91">
          <cell r="A91">
            <v>2009</v>
          </cell>
          <cell r="B91" t="str">
            <v>I</v>
          </cell>
          <cell r="C91" t="str">
            <v>Agriculture</v>
          </cell>
          <cell r="D91" t="str">
            <v>Tanaman</v>
          </cell>
          <cell r="E91" t="str">
            <v>Pembalakan</v>
          </cell>
          <cell r="F91" t="str">
            <v>Perikanan</v>
          </cell>
          <cell r="I91" t="str">
            <v>Mining andQuarrying</v>
          </cell>
          <cell r="J91" t="str">
            <v>Manufacturing</v>
          </cell>
          <cell r="K91" t="str">
            <v>Prosesan Makanan, Minuman dan Produk Tembakau</v>
          </cell>
          <cell r="L91" t="str">
            <v>Tekstil, Pakaian, Kulit dan Kasut</v>
          </cell>
          <cell r="M91" t="str">
            <v>Keluaran Kayu, Perabot, Produk Kertas, Percetakan dan Penerbitan</v>
          </cell>
          <cell r="N91" t="str">
            <v>Produk Petroleum, Bahan kimia, Getah dan Plastik</v>
          </cell>
          <cell r="O91" t="str">
            <v>Produk Mineral Bukan Logam, Logam Asli dan Produk Logam Yang Direka</v>
          </cell>
          <cell r="P91" t="str">
            <v>Elektrik dan Elektronik</v>
          </cell>
          <cell r="Q91" t="str">
            <v>Kelengkapan Pengangkutan dan Pembuatan Lain</v>
          </cell>
          <cell r="R91" t="str">
            <v>Construction</v>
          </cell>
          <cell r="S91" t="str">
            <v>Services</v>
          </cell>
          <cell r="T91" t="str">
            <v>Utiliti, Transport &amp; Communication</v>
          </cell>
          <cell r="U91" t="str">
            <v>WRT, Accomm &amp; Restaurant</v>
          </cell>
          <cell r="V91" t="str">
            <v>Finance &amp; Insurance, Real Estate &amp; Business Services</v>
          </cell>
          <cell r="W91" t="str">
            <v>Other Services</v>
          </cell>
          <cell r="X91" t="str">
            <v>Government Services</v>
          </cell>
          <cell r="Y91" t="str">
            <v>Plus :Import Duties</v>
          </cell>
          <cell r="Z91" t="str">
            <v>GDP atPurchasers' Prices</v>
          </cell>
        </row>
        <row r="92">
          <cell r="A92" t="str">
            <v>States</v>
          </cell>
          <cell r="B92" t="str">
            <v>Converter</v>
          </cell>
        </row>
        <row r="93">
          <cell r="A93" t="str">
            <v>Johor</v>
          </cell>
          <cell r="B93" t="str">
            <v>01</v>
          </cell>
          <cell r="C93">
            <v>7448.2393672682201</v>
          </cell>
          <cell r="D93">
            <v>6847.5819260768603</v>
          </cell>
          <cell r="E93">
            <v>43.148358243858802</v>
          </cell>
          <cell r="F93">
            <v>557.50908294750695</v>
          </cell>
          <cell r="I93">
            <v>59.342094682436503</v>
          </cell>
          <cell r="J93">
            <v>17649.556571429999</v>
          </cell>
          <cell r="K93">
            <v>2196.4159051557499</v>
          </cell>
          <cell r="L93">
            <v>691.51393536519902</v>
          </cell>
          <cell r="M93">
            <v>1559.7683565330301</v>
          </cell>
          <cell r="N93">
            <v>3946.1300152973099</v>
          </cell>
          <cell r="O93">
            <v>2493.6886518238498</v>
          </cell>
          <cell r="P93">
            <v>5311.1443811066201</v>
          </cell>
          <cell r="Q93">
            <v>1450.89532614825</v>
          </cell>
          <cell r="R93">
            <v>1816.64880833851</v>
          </cell>
          <cell r="S93">
            <v>27526.586490464801</v>
          </cell>
          <cell r="T93">
            <v>6167.6168495386601</v>
          </cell>
          <cell r="U93">
            <v>6632.5592981160198</v>
          </cell>
          <cell r="V93">
            <v>7738.6868869909704</v>
          </cell>
          <cell r="W93">
            <v>2764.9668714607701</v>
          </cell>
          <cell r="X93">
            <v>4222.7565843583598</v>
          </cell>
          <cell r="Y93">
            <v>767.47506695744096</v>
          </cell>
          <cell r="Z93">
            <v>55267.848399141403</v>
          </cell>
        </row>
        <row r="94">
          <cell r="A94" t="str">
            <v>Kedah</v>
          </cell>
          <cell r="B94" t="str">
            <v>02</v>
          </cell>
          <cell r="C94">
            <v>2758.2466806103798</v>
          </cell>
          <cell r="D94">
            <v>2251.4234052946399</v>
          </cell>
          <cell r="E94">
            <v>104.165916289599</v>
          </cell>
          <cell r="F94">
            <v>402.65735902614199</v>
          </cell>
          <cell r="I94">
            <v>18.631589802193599</v>
          </cell>
          <cell r="J94">
            <v>6416.4595205222204</v>
          </cell>
          <cell r="K94">
            <v>373.18348412210599</v>
          </cell>
          <cell r="L94">
            <v>40.195309863188797</v>
          </cell>
          <cell r="M94">
            <v>420.14065608985402</v>
          </cell>
          <cell r="N94">
            <v>1228.0792978196801</v>
          </cell>
          <cell r="O94">
            <v>1995.4499576558001</v>
          </cell>
          <cell r="P94">
            <v>1413.8721194346299</v>
          </cell>
          <cell r="Q94">
            <v>945.53869553696495</v>
          </cell>
          <cell r="R94">
            <v>537.85453019238503</v>
          </cell>
          <cell r="S94">
            <v>11219.4476437249</v>
          </cell>
          <cell r="T94">
            <v>1645.6856669840099</v>
          </cell>
          <cell r="U94">
            <v>2905.2059907768898</v>
          </cell>
          <cell r="V94">
            <v>2160.5122537944899</v>
          </cell>
          <cell r="W94">
            <v>1867.4952127220899</v>
          </cell>
          <cell r="X94">
            <v>2640.54851944743</v>
          </cell>
          <cell r="Y94">
            <v>141.57557088106299</v>
          </cell>
          <cell r="Z94">
            <v>21092.215535733201</v>
          </cell>
        </row>
        <row r="95">
          <cell r="A95" t="str">
            <v>Kelantan</v>
          </cell>
          <cell r="B95" t="str">
            <v>03</v>
          </cell>
          <cell r="C95">
            <v>2941.22276221126</v>
          </cell>
          <cell r="D95">
            <v>2115.0946784125699</v>
          </cell>
          <cell r="E95">
            <v>566.63856621470404</v>
          </cell>
          <cell r="F95">
            <v>259.48951758398402</v>
          </cell>
          <cell r="I95">
            <v>15.5417131500511</v>
          </cell>
          <cell r="J95">
            <v>570.19132221257803</v>
          </cell>
          <cell r="K95">
            <v>95.063509363671599</v>
          </cell>
          <cell r="L95">
            <v>36.909770915918301</v>
          </cell>
          <cell r="M95">
            <v>82.378781758752595</v>
          </cell>
          <cell r="N95">
            <v>116.89805089305101</v>
          </cell>
          <cell r="O95">
            <v>53.048505274004</v>
          </cell>
          <cell r="P95">
            <v>184.40779175180299</v>
          </cell>
          <cell r="Q95">
            <v>1.4849122553777401</v>
          </cell>
          <cell r="R95">
            <v>194.69024914371201</v>
          </cell>
          <cell r="S95">
            <v>7691.6052078932298</v>
          </cell>
          <cell r="T95">
            <v>853.71938564774598</v>
          </cell>
          <cell r="U95">
            <v>2163.9913890348798</v>
          </cell>
          <cell r="V95">
            <v>923.363792555136</v>
          </cell>
          <cell r="W95">
            <v>1312.97958660467</v>
          </cell>
          <cell r="X95">
            <v>2437.5510540507998</v>
          </cell>
          <cell r="Y95">
            <v>22.333543688409499</v>
          </cell>
          <cell r="Z95">
            <v>11435.5847982992</v>
          </cell>
        </row>
        <row r="96">
          <cell r="A96" t="str">
            <v>Melaka</v>
          </cell>
          <cell r="B96" t="str">
            <v>04</v>
          </cell>
          <cell r="C96">
            <v>1450.4260346342901</v>
          </cell>
          <cell r="D96">
            <v>1388.6747278498301</v>
          </cell>
          <cell r="E96">
            <v>0.28009801921627803</v>
          </cell>
          <cell r="F96">
            <v>61.471208765242203</v>
          </cell>
          <cell r="I96">
            <v>8.1987127144183596</v>
          </cell>
          <cell r="J96">
            <v>7991.90725017554</v>
          </cell>
          <cell r="K96">
            <v>414.25856716021002</v>
          </cell>
          <cell r="L96">
            <v>398.89885533485898</v>
          </cell>
          <cell r="M96">
            <v>344.32798449330801</v>
          </cell>
          <cell r="N96">
            <v>3186.5854198623801</v>
          </cell>
          <cell r="O96">
            <v>453.648174284481</v>
          </cell>
          <cell r="P96">
            <v>1937.16833414899</v>
          </cell>
          <cell r="Q96">
            <v>1257.01991489131</v>
          </cell>
          <cell r="R96">
            <v>552.77123224812306</v>
          </cell>
          <cell r="S96">
            <v>8439.3870313320203</v>
          </cell>
          <cell r="T96">
            <v>1502.9839705316399</v>
          </cell>
          <cell r="U96">
            <v>2965.2681929628302</v>
          </cell>
          <cell r="V96">
            <v>1680.8466576718299</v>
          </cell>
          <cell r="W96">
            <v>1088.14308542496</v>
          </cell>
          <cell r="X96">
            <v>1202.1451247407699</v>
          </cell>
          <cell r="Y96">
            <v>29.250242803987099</v>
          </cell>
          <cell r="Z96">
            <v>18471.940503908401</v>
          </cell>
        </row>
        <row r="97">
          <cell r="A97" t="str">
            <v>Negeri Sembilan</v>
          </cell>
          <cell r="B97" t="str">
            <v>05</v>
          </cell>
          <cell r="C97">
            <v>1940.9740480425501</v>
          </cell>
          <cell r="D97">
            <v>1848.1125391855401</v>
          </cell>
          <cell r="E97">
            <v>43.860180059602001</v>
          </cell>
          <cell r="F97">
            <v>49.001328797404199</v>
          </cell>
          <cell r="I97">
            <v>19.709346359609601</v>
          </cell>
          <cell r="J97">
            <v>11754.5614493828</v>
          </cell>
          <cell r="K97">
            <v>1183.6487267144</v>
          </cell>
          <cell r="L97">
            <v>199.59867464977199</v>
          </cell>
          <cell r="M97">
            <v>419.81542116238597</v>
          </cell>
          <cell r="N97">
            <v>2865.7049015280199</v>
          </cell>
          <cell r="O97">
            <v>775.054410338558</v>
          </cell>
          <cell r="P97">
            <v>5252.2287881359098</v>
          </cell>
          <cell r="Q97">
            <v>1058.51052685373</v>
          </cell>
          <cell r="R97">
            <v>540.01245793723899</v>
          </cell>
          <cell r="S97">
            <v>9448.1363606929608</v>
          </cell>
          <cell r="T97">
            <v>2177.59084282803</v>
          </cell>
          <cell r="U97">
            <v>2427.9733948401599</v>
          </cell>
          <cell r="V97">
            <v>1950.7443660906799</v>
          </cell>
          <cell r="W97">
            <v>1302.6649209969901</v>
          </cell>
          <cell r="X97">
            <v>1589.16283593711</v>
          </cell>
          <cell r="Y97">
            <v>101.036055844161</v>
          </cell>
          <cell r="Z97">
            <v>23804.4297182593</v>
          </cell>
        </row>
        <row r="98">
          <cell r="A98" t="str">
            <v>Pahang</v>
          </cell>
          <cell r="B98" t="str">
            <v>06</v>
          </cell>
          <cell r="C98">
            <v>5448.7557613188101</v>
          </cell>
          <cell r="D98">
            <v>4351.7341587302499</v>
          </cell>
          <cell r="E98">
            <v>516.04939006706502</v>
          </cell>
          <cell r="F98">
            <v>580.97221252150405</v>
          </cell>
          <cell r="I98">
            <v>120.520991408657</v>
          </cell>
          <cell r="J98">
            <v>6693.1528010757602</v>
          </cell>
          <cell r="K98">
            <v>905.54943457192701</v>
          </cell>
          <cell r="L98">
            <v>18.6839133639496</v>
          </cell>
          <cell r="M98">
            <v>616.37562339827502</v>
          </cell>
          <cell r="N98">
            <v>2356.3451647142901</v>
          </cell>
          <cell r="O98">
            <v>766.944488352029</v>
          </cell>
          <cell r="P98">
            <v>72.607403193855205</v>
          </cell>
          <cell r="Q98">
            <v>1956.64677348143</v>
          </cell>
          <cell r="R98">
            <v>695.712970014495</v>
          </cell>
          <cell r="S98">
            <v>13162.5095935134</v>
          </cell>
          <cell r="T98">
            <v>1378.18486041099</v>
          </cell>
          <cell r="U98">
            <v>4180.2363868887896</v>
          </cell>
          <cell r="V98">
            <v>1803.1656065488</v>
          </cell>
          <cell r="W98">
            <v>3279.35485286429</v>
          </cell>
          <cell r="X98">
            <v>2521.5678868005102</v>
          </cell>
          <cell r="Y98">
            <v>81.981542456041296</v>
          </cell>
          <cell r="Z98">
            <v>26202.633659787101</v>
          </cell>
        </row>
        <row r="99">
          <cell r="A99" t="str">
            <v>Pulau Pinang</v>
          </cell>
          <cell r="B99" t="str">
            <v>07</v>
          </cell>
          <cell r="C99">
            <v>760.45823108994296</v>
          </cell>
          <cell r="D99">
            <v>556.40464337404705</v>
          </cell>
          <cell r="E99">
            <v>0</v>
          </cell>
          <cell r="F99">
            <v>204.05358771589499</v>
          </cell>
          <cell r="I99">
            <v>19.213514991072799</v>
          </cell>
          <cell r="J99">
            <v>21239.073100997601</v>
          </cell>
          <cell r="K99">
            <v>982.92422091185301</v>
          </cell>
          <cell r="L99">
            <v>552.75623813298603</v>
          </cell>
          <cell r="M99">
            <v>774.48276590116996</v>
          </cell>
          <cell r="N99">
            <v>2095.2872914520299</v>
          </cell>
          <cell r="O99">
            <v>1691.35688069411</v>
          </cell>
          <cell r="P99">
            <v>13864.7852074903</v>
          </cell>
          <cell r="Q99">
            <v>1277.4804964151599</v>
          </cell>
          <cell r="R99">
            <v>982.067989201606</v>
          </cell>
          <cell r="S99">
            <v>20242.238702797898</v>
          </cell>
          <cell r="T99">
            <v>4235.4657328392104</v>
          </cell>
          <cell r="U99">
            <v>5735.73402479367</v>
          </cell>
          <cell r="V99">
            <v>5912.4537506202996</v>
          </cell>
          <cell r="W99">
            <v>2094.26034232861</v>
          </cell>
          <cell r="X99">
            <v>2264.3248522161002</v>
          </cell>
          <cell r="Y99">
            <v>382.67817457429697</v>
          </cell>
          <cell r="Z99">
            <v>43625.729713652399</v>
          </cell>
        </row>
        <row r="100">
          <cell r="A100" t="str">
            <v>Perak</v>
          </cell>
          <cell r="B100" t="str">
            <v>08</v>
          </cell>
          <cell r="C100">
            <v>5195.6453420371299</v>
          </cell>
          <cell r="D100">
            <v>3694.3496667969598</v>
          </cell>
          <cell r="E100">
            <v>320.29585199149301</v>
          </cell>
          <cell r="F100">
            <v>1180.9998232486701</v>
          </cell>
          <cell r="I100">
            <v>101.748443876794</v>
          </cell>
          <cell r="J100">
            <v>5799.8650797147502</v>
          </cell>
          <cell r="K100">
            <v>1022.7663468441</v>
          </cell>
          <cell r="L100">
            <v>203.66761974537599</v>
          </cell>
          <cell r="M100">
            <v>314.384749109903</v>
          </cell>
          <cell r="N100">
            <v>1186.8438698376499</v>
          </cell>
          <cell r="O100">
            <v>1285.4189208999401</v>
          </cell>
          <cell r="P100">
            <v>1466.70218889477</v>
          </cell>
          <cell r="Q100">
            <v>320.08138438301199</v>
          </cell>
          <cell r="R100">
            <v>643.07315093760405</v>
          </cell>
          <cell r="S100">
            <v>20942.200305656399</v>
          </cell>
          <cell r="T100">
            <v>5950.0209451234296</v>
          </cell>
          <cell r="U100">
            <v>4779.4408546935301</v>
          </cell>
          <cell r="V100">
            <v>3914.2929824284602</v>
          </cell>
          <cell r="W100">
            <v>2746.7080411910101</v>
          </cell>
          <cell r="X100">
            <v>3551.7374822199299</v>
          </cell>
          <cell r="Y100">
            <v>17.204002111897999</v>
          </cell>
          <cell r="Z100">
            <v>32699.736324334499</v>
          </cell>
        </row>
        <row r="101">
          <cell r="A101" t="str">
            <v>Perlis</v>
          </cell>
          <cell r="B101" t="str">
            <v>09</v>
          </cell>
          <cell r="C101">
            <v>855.94136300638695</v>
          </cell>
          <cell r="D101">
            <v>237.171898706826</v>
          </cell>
          <cell r="E101">
            <v>0</v>
          </cell>
          <cell r="F101">
            <v>618.76946429956104</v>
          </cell>
          <cell r="I101">
            <v>6.3613021227580102</v>
          </cell>
          <cell r="J101">
            <v>290.33726582942302</v>
          </cell>
          <cell r="K101">
            <v>46.3800290816353</v>
          </cell>
          <cell r="L101">
            <v>43.969966531878001</v>
          </cell>
          <cell r="M101">
            <v>2.2695514934505399</v>
          </cell>
          <cell r="N101">
            <v>57.303193483204801</v>
          </cell>
          <cell r="O101">
            <v>136.519930080736</v>
          </cell>
          <cell r="P101">
            <v>0.40585250788745098</v>
          </cell>
          <cell r="Q101">
            <v>3.4887426506302899</v>
          </cell>
          <cell r="R101">
            <v>92.266488889557607</v>
          </cell>
          <cell r="S101">
            <v>1840.83119998098</v>
          </cell>
          <cell r="T101">
            <v>634.20499143323195</v>
          </cell>
          <cell r="U101">
            <v>260.214491841322</v>
          </cell>
          <cell r="V101">
            <v>237.30316809444801</v>
          </cell>
          <cell r="W101">
            <v>245.17411016459801</v>
          </cell>
          <cell r="X101">
            <v>463.93443844737999</v>
          </cell>
          <cell r="Y101">
            <v>80.567988496580298</v>
          </cell>
          <cell r="Z101">
            <v>3166.3056083256902</v>
          </cell>
        </row>
        <row r="102">
          <cell r="A102" t="str">
            <v>Selangor</v>
          </cell>
          <cell r="B102">
            <v>10</v>
          </cell>
          <cell r="C102">
            <v>2518.6829196444201</v>
          </cell>
          <cell r="D102">
            <v>1690.37124293447</v>
          </cell>
          <cell r="E102">
            <v>5.71291207858948</v>
          </cell>
          <cell r="F102">
            <v>822.598764631368</v>
          </cell>
          <cell r="I102">
            <v>124.907911414483</v>
          </cell>
          <cell r="J102">
            <v>41857.923252740497</v>
          </cell>
          <cell r="K102">
            <v>7204.2984131473404</v>
          </cell>
          <cell r="L102">
            <v>453.55278926993498</v>
          </cell>
          <cell r="M102">
            <v>2784.0545540461799</v>
          </cell>
          <cell r="N102">
            <v>6205.9585366351703</v>
          </cell>
          <cell r="O102">
            <v>5379.3328661184596</v>
          </cell>
          <cell r="P102">
            <v>9321.4292031808709</v>
          </cell>
          <cell r="Q102">
            <v>10509.296890342601</v>
          </cell>
          <cell r="R102">
            <v>6585.2738869667801</v>
          </cell>
          <cell r="S102">
            <v>84233.245537549796</v>
          </cell>
          <cell r="T102">
            <v>20143.435683380401</v>
          </cell>
          <cell r="U102">
            <v>28412.062509855899</v>
          </cell>
          <cell r="V102">
            <v>22090.140213677802</v>
          </cell>
          <cell r="W102">
            <v>7155.4523885788403</v>
          </cell>
          <cell r="X102">
            <v>6432.1547420568904</v>
          </cell>
          <cell r="Y102">
            <v>3916.8641011417799</v>
          </cell>
          <cell r="Z102">
            <v>139236.89760945801</v>
          </cell>
        </row>
        <row r="103">
          <cell r="A103" t="str">
            <v>Terengganu</v>
          </cell>
          <cell r="B103">
            <v>11</v>
          </cell>
          <cell r="C103">
            <v>1497.0701462888401</v>
          </cell>
          <cell r="D103">
            <v>1088.2326195303001</v>
          </cell>
          <cell r="E103">
            <v>101.185068411603</v>
          </cell>
          <cell r="F103">
            <v>307.65245834693502</v>
          </cell>
          <cell r="I103">
            <v>11.287569132204499</v>
          </cell>
          <cell r="J103">
            <v>6917.5455478694603</v>
          </cell>
          <cell r="K103">
            <v>57.516524271048397</v>
          </cell>
          <cell r="L103">
            <v>30.8147495503298</v>
          </cell>
          <cell r="M103">
            <v>142.70023551107101</v>
          </cell>
          <cell r="N103">
            <v>6234.0091445171101</v>
          </cell>
          <cell r="O103">
            <v>358.68135768466402</v>
          </cell>
          <cell r="P103">
            <v>3.1956744783733702</v>
          </cell>
          <cell r="Q103">
            <v>90.627861856870794</v>
          </cell>
          <cell r="R103">
            <v>609.96531941738499</v>
          </cell>
          <cell r="S103">
            <v>8672.0307115899905</v>
          </cell>
          <cell r="T103">
            <v>3383.2885527660301</v>
          </cell>
          <cell r="U103">
            <v>1563.96626004773</v>
          </cell>
          <cell r="V103">
            <v>800.41282468834902</v>
          </cell>
          <cell r="W103">
            <v>878.11901118975902</v>
          </cell>
          <cell r="X103">
            <v>2046.2440628981101</v>
          </cell>
          <cell r="Y103">
            <v>12.123481342461901</v>
          </cell>
          <cell r="Z103">
            <v>17720.0227756403</v>
          </cell>
        </row>
        <row r="104">
          <cell r="A104" t="str">
            <v>Sabah</v>
          </cell>
          <cell r="B104">
            <v>12</v>
          </cell>
          <cell r="C104">
            <v>9713.3903443599993</v>
          </cell>
          <cell r="D104">
            <v>6299.8769264508601</v>
          </cell>
          <cell r="E104">
            <v>1805.28959081471</v>
          </cell>
          <cell r="F104">
            <v>1608.2238270944299</v>
          </cell>
          <cell r="I104">
            <v>9635.4945723087403</v>
          </cell>
          <cell r="J104">
            <v>3148.9112203916402</v>
          </cell>
          <cell r="K104">
            <v>1783.56777271338</v>
          </cell>
          <cell r="L104">
            <v>29.323852780804099</v>
          </cell>
          <cell r="M104">
            <v>773.095703826815</v>
          </cell>
          <cell r="N104">
            <v>156.429635270712</v>
          </cell>
          <cell r="O104">
            <v>273.98302829756199</v>
          </cell>
          <cell r="P104">
            <v>9.4266812413817203</v>
          </cell>
          <cell r="Q104">
            <v>123.08454626098801</v>
          </cell>
          <cell r="R104">
            <v>879.89427674993897</v>
          </cell>
          <cell r="S104">
            <v>17371.0956016374</v>
          </cell>
          <cell r="T104">
            <v>3176.2043169885301</v>
          </cell>
          <cell r="U104">
            <v>5770.4508168054499</v>
          </cell>
          <cell r="V104">
            <v>3399.47309710118</v>
          </cell>
          <cell r="W104">
            <v>1661.0586756467401</v>
          </cell>
          <cell r="X104">
            <v>3363.9086950955302</v>
          </cell>
          <cell r="Y104">
            <v>237.35617513626599</v>
          </cell>
          <cell r="Z104">
            <v>40986.142190584003</v>
          </cell>
        </row>
        <row r="105">
          <cell r="A105" t="str">
            <v>Sarawak</v>
          </cell>
          <cell r="B105">
            <v>13</v>
          </cell>
          <cell r="C105">
            <v>7423.3487811591403</v>
          </cell>
          <cell r="D105">
            <v>3376.2084165532101</v>
          </cell>
          <cell r="E105">
            <v>3633.6436039553801</v>
          </cell>
          <cell r="F105">
            <v>413.49676065054899</v>
          </cell>
          <cell r="I105">
            <v>15190.385219756899</v>
          </cell>
          <cell r="J105">
            <v>17489.664096002802</v>
          </cell>
          <cell r="K105">
            <v>649.61627832822603</v>
          </cell>
          <cell r="L105">
            <v>21.123538334001999</v>
          </cell>
          <cell r="M105">
            <v>1276.5601104841201</v>
          </cell>
          <cell r="N105">
            <v>14389.2906008469</v>
          </cell>
          <cell r="O105">
            <v>439.63487483453298</v>
          </cell>
          <cell r="P105">
            <v>404.06632266829098</v>
          </cell>
          <cell r="Q105">
            <v>309.37237050676998</v>
          </cell>
          <cell r="R105">
            <v>1707.6051549998101</v>
          </cell>
          <cell r="S105">
            <v>22073.6282723236</v>
          </cell>
          <cell r="T105">
            <v>4917.1430889086996</v>
          </cell>
          <cell r="U105">
            <v>6025.7961815075096</v>
          </cell>
          <cell r="V105">
            <v>5548.3319813805902</v>
          </cell>
          <cell r="W105">
            <v>2212.4021524638401</v>
          </cell>
          <cell r="X105">
            <v>3369.95486806297</v>
          </cell>
          <cell r="Y105">
            <v>288.34661091429598</v>
          </cell>
          <cell r="Z105">
            <v>64172.978135156503</v>
          </cell>
        </row>
        <row r="106">
          <cell r="A106" t="str">
            <v>WP Kuala Lumpur</v>
          </cell>
          <cell r="B106">
            <v>14</v>
          </cell>
          <cell r="C106">
            <v>1.49048293648672</v>
          </cell>
          <cell r="D106">
            <v>1.49048293648672</v>
          </cell>
          <cell r="E106">
            <v>0</v>
          </cell>
          <cell r="F106">
            <v>0</v>
          </cell>
          <cell r="I106">
            <v>27.061636691734002</v>
          </cell>
          <cell r="J106">
            <v>3762.5971418345698</v>
          </cell>
          <cell r="K106">
            <v>384.790527493941</v>
          </cell>
          <cell r="L106">
            <v>287.14052843379199</v>
          </cell>
          <cell r="M106">
            <v>614.59519662953596</v>
          </cell>
          <cell r="N106">
            <v>598.36941794115398</v>
          </cell>
          <cell r="O106">
            <v>755.03083305177302</v>
          </cell>
          <cell r="P106">
            <v>349.22450122459799</v>
          </cell>
          <cell r="Q106">
            <v>773.44613705977497</v>
          </cell>
          <cell r="R106">
            <v>3412.78006618976</v>
          </cell>
          <cell r="S106">
            <v>80428.112303750298</v>
          </cell>
          <cell r="T106">
            <v>5361.8248620208497</v>
          </cell>
          <cell r="U106">
            <v>29395.334292616801</v>
          </cell>
          <cell r="V106">
            <v>31416.748948139099</v>
          </cell>
          <cell r="W106">
            <v>4289.2037761325801</v>
          </cell>
          <cell r="X106">
            <v>9965.0004248409896</v>
          </cell>
          <cell r="Y106">
            <v>856.04858875953198</v>
          </cell>
          <cell r="Z106">
            <v>88488.090220162398</v>
          </cell>
        </row>
        <row r="107">
          <cell r="A107" t="str">
            <v>WP Labuan</v>
          </cell>
          <cell r="B107">
            <v>15</v>
          </cell>
          <cell r="C107">
            <v>109.15187498592</v>
          </cell>
          <cell r="D107">
            <v>6.9926628621778297</v>
          </cell>
          <cell r="E107">
            <v>0</v>
          </cell>
          <cell r="F107">
            <v>102.15921212374199</v>
          </cell>
          <cell r="I107">
            <v>0</v>
          </cell>
          <cell r="J107">
            <v>568.44061893037701</v>
          </cell>
          <cell r="K107">
            <v>23.036492580242101</v>
          </cell>
          <cell r="L107">
            <v>2.46637843430236</v>
          </cell>
          <cell r="M107">
            <v>1.8981935009655799</v>
          </cell>
          <cell r="N107">
            <v>276.98159076014099</v>
          </cell>
          <cell r="O107">
            <v>241.801718201141</v>
          </cell>
          <cell r="P107">
            <v>1.7960584604948</v>
          </cell>
          <cell r="Q107">
            <v>20.460186993089799</v>
          </cell>
          <cell r="R107">
            <v>19.3396332659709</v>
          </cell>
          <cell r="S107">
            <v>1735.4823394617099</v>
          </cell>
          <cell r="T107">
            <v>201.91644918304399</v>
          </cell>
          <cell r="U107">
            <v>226.15958548261401</v>
          </cell>
          <cell r="V107">
            <v>1167.0320576837501</v>
          </cell>
          <cell r="W107">
            <v>66.765818284342203</v>
          </cell>
          <cell r="X107">
            <v>73.608428827962797</v>
          </cell>
          <cell r="Y107">
            <v>53.848551887076397</v>
          </cell>
          <cell r="Z107">
            <v>2486.26301853105</v>
          </cell>
        </row>
        <row r="108">
          <cell r="A108" t="str">
            <v>Supra1</v>
          </cell>
          <cell r="C108">
            <v>0</v>
          </cell>
          <cell r="D108">
            <v>0</v>
          </cell>
          <cell r="E108">
            <v>0</v>
          </cell>
          <cell r="F108">
            <v>0</v>
          </cell>
          <cell r="I108">
            <v>41027.965029888001</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41027.965029888001</v>
          </cell>
        </row>
        <row r="109">
          <cell r="A109" t="str">
            <v>MALAYSIA</v>
          </cell>
          <cell r="C109">
            <v>50063.044139593803</v>
          </cell>
          <cell r="D109">
            <v>35753.719995694999</v>
          </cell>
          <cell r="E109">
            <v>7140.26953614582</v>
          </cell>
          <cell r="F109">
            <v>7169.0546077529298</v>
          </cell>
          <cell r="I109">
            <v>66386.369648300097</v>
          </cell>
          <cell r="J109">
            <v>152150.18623910999</v>
          </cell>
          <cell r="K109">
            <v>17323.016232459799</v>
          </cell>
          <cell r="L109">
            <v>3010.6161207062901</v>
          </cell>
          <cell r="M109">
            <v>10126.847883938801</v>
          </cell>
          <cell r="N109">
            <v>44900.216130858797</v>
          </cell>
          <cell r="O109">
            <v>17099.5945975916</v>
          </cell>
          <cell r="P109">
            <v>39592.460507918797</v>
          </cell>
          <cell r="Q109">
            <v>20097.434765635899</v>
          </cell>
          <cell r="R109">
            <v>19269.9562144929</v>
          </cell>
          <cell r="S109">
            <v>335026.53730236902</v>
          </cell>
          <cell r="T109">
            <v>61729.286198584501</v>
          </cell>
          <cell r="U109">
            <v>103444.39367026401</v>
          </cell>
          <cell r="V109">
            <v>90743.508587465898</v>
          </cell>
          <cell r="W109">
            <v>32964.748846054099</v>
          </cell>
          <cell r="X109">
            <v>46144.600000000901</v>
          </cell>
          <cell r="Y109">
            <v>6988.6896969952904</v>
          </cell>
          <cell r="Z109">
            <v>629884.78324086103</v>
          </cell>
        </row>
        <row r="112">
          <cell r="A112" t="str">
            <v>CONSTANT</v>
          </cell>
          <cell r="B112" t="str">
            <v>Industry</v>
          </cell>
          <cell r="D112">
            <v>1</v>
          </cell>
          <cell r="E112">
            <v>2</v>
          </cell>
          <cell r="F112">
            <v>3</v>
          </cell>
          <cell r="I112">
            <v>4</v>
          </cell>
          <cell r="K112">
            <v>6</v>
          </cell>
          <cell r="L112">
            <v>7</v>
          </cell>
          <cell r="M112">
            <v>8</v>
          </cell>
          <cell r="N112">
            <v>9</v>
          </cell>
          <cell r="O112">
            <v>10</v>
          </cell>
          <cell r="P112">
            <v>11</v>
          </cell>
          <cell r="Q112">
            <v>12</v>
          </cell>
          <cell r="R112">
            <v>5</v>
          </cell>
          <cell r="T112">
            <v>13</v>
          </cell>
          <cell r="U112">
            <v>14</v>
          </cell>
          <cell r="V112">
            <v>15</v>
          </cell>
          <cell r="W112">
            <v>16</v>
          </cell>
        </row>
        <row r="113">
          <cell r="A113">
            <v>2010</v>
          </cell>
          <cell r="B113" t="str">
            <v>I</v>
          </cell>
          <cell r="C113" t="str">
            <v>Agriculture</v>
          </cell>
          <cell r="D113" t="str">
            <v>Tanaman</v>
          </cell>
          <cell r="E113" t="str">
            <v>Pembalakan</v>
          </cell>
          <cell r="F113" t="str">
            <v>Perikanan</v>
          </cell>
          <cell r="I113" t="str">
            <v>Mining andQuarrying</v>
          </cell>
          <cell r="J113" t="str">
            <v>Manufacturing</v>
          </cell>
          <cell r="K113" t="str">
            <v>Prosesan Makanan, Minuman dan Produk Tembakau</v>
          </cell>
          <cell r="L113" t="str">
            <v>Tekstil, Pakaian, Kulit dan Kasut</v>
          </cell>
          <cell r="M113" t="str">
            <v>Keluaran Kayu, Perabot, Produk Kertas, Percetakan dan Penerbitan</v>
          </cell>
          <cell r="N113" t="str">
            <v>Produk Petroleum, Bahan kimia, Getah dan Plastik</v>
          </cell>
          <cell r="O113" t="str">
            <v>Produk Mineral Bukan Logam, Logam Asli dan Produk Logam Yang Direka</v>
          </cell>
          <cell r="P113" t="str">
            <v>Elektrik dan Elektronik</v>
          </cell>
          <cell r="Q113" t="str">
            <v>Kelengkapan Pengangkutan dan Pembuatan Lain</v>
          </cell>
          <cell r="R113" t="str">
            <v>Construction</v>
          </cell>
          <cell r="S113" t="str">
            <v>Services</v>
          </cell>
          <cell r="T113" t="str">
            <v>Utiliti, Transport &amp; Communication</v>
          </cell>
          <cell r="U113" t="str">
            <v>WRT, Accomm &amp; Restaurant</v>
          </cell>
          <cell r="V113" t="str">
            <v>Finance &amp; Insurance, Real Estate &amp; Business Services</v>
          </cell>
          <cell r="W113" t="str">
            <v>Other Services</v>
          </cell>
          <cell r="X113" t="str">
            <v>Government Services</v>
          </cell>
          <cell r="Y113" t="str">
            <v>Plus :Import Duties</v>
          </cell>
          <cell r="Z113" t="str">
            <v>GDP atPurchasers' Prices</v>
          </cell>
        </row>
        <row r="114">
          <cell r="A114" t="str">
            <v>States</v>
          </cell>
          <cell r="B114" t="str">
            <v>Converter</v>
          </cell>
        </row>
        <row r="115">
          <cell r="A115" t="str">
            <v>Johor</v>
          </cell>
          <cell r="B115" t="str">
            <v>01</v>
          </cell>
          <cell r="C115">
            <v>7598.3543408902397</v>
          </cell>
          <cell r="D115">
            <v>6885.6648870220697</v>
          </cell>
          <cell r="E115">
            <v>43.823814344275902</v>
          </cell>
          <cell r="F115">
            <v>668.86563952388894</v>
          </cell>
          <cell r="I115">
            <v>68.259644021538804</v>
          </cell>
          <cell r="J115">
            <v>21037.313603969102</v>
          </cell>
          <cell r="K115">
            <v>2187.2292613146801</v>
          </cell>
          <cell r="L115">
            <v>782.93802206389603</v>
          </cell>
          <cell r="M115">
            <v>1747.60399801933</v>
          </cell>
          <cell r="N115">
            <v>4433.0014906127099</v>
          </cell>
          <cell r="O115">
            <v>2959.6749816146098</v>
          </cell>
          <cell r="P115">
            <v>6941.3134983836399</v>
          </cell>
          <cell r="Q115">
            <v>1985.55235196027</v>
          </cell>
          <cell r="R115">
            <v>2045.38296810252</v>
          </cell>
          <cell r="S115">
            <v>29236.170725071999</v>
          </cell>
          <cell r="T115">
            <v>6750.9132856328797</v>
          </cell>
          <cell r="U115">
            <v>7180.5102023690997</v>
          </cell>
          <cell r="V115">
            <v>8074.0493215517099</v>
          </cell>
          <cell r="W115">
            <v>2904.8927319689701</v>
          </cell>
          <cell r="X115">
            <v>4325.8051835493197</v>
          </cell>
          <cell r="Y115">
            <v>693.70557827933703</v>
          </cell>
          <cell r="Z115">
            <v>60679.186860334798</v>
          </cell>
        </row>
        <row r="116">
          <cell r="A116" t="str">
            <v>Kedah</v>
          </cell>
          <cell r="B116" t="str">
            <v>02</v>
          </cell>
          <cell r="C116">
            <v>2733.6853254788998</v>
          </cell>
          <cell r="D116">
            <v>2308.3442133418998</v>
          </cell>
          <cell r="E116">
            <v>106.97883406489299</v>
          </cell>
          <cell r="F116">
            <v>318.36227807210599</v>
          </cell>
          <cell r="I116">
            <v>18.8280174413953</v>
          </cell>
          <cell r="J116">
            <v>6638.3881956961504</v>
          </cell>
          <cell r="K116">
            <v>368.07677588906398</v>
          </cell>
          <cell r="L116">
            <v>79.920685607240998</v>
          </cell>
          <cell r="M116">
            <v>421.50205793573798</v>
          </cell>
          <cell r="N116">
            <v>1226.4484563983999</v>
          </cell>
          <cell r="O116">
            <v>2054.4917254218699</v>
          </cell>
          <cell r="P116">
            <v>1504.7518518571701</v>
          </cell>
          <cell r="Q116">
            <v>983.19664258666205</v>
          </cell>
          <cell r="R116">
            <v>541.14547700276</v>
          </cell>
          <cell r="S116">
            <v>11936.442698701499</v>
          </cell>
          <cell r="T116">
            <v>1778.81390395945</v>
          </cell>
          <cell r="U116">
            <v>3163.5617114593601</v>
          </cell>
          <cell r="V116">
            <v>2279.1921108864599</v>
          </cell>
          <cell r="W116">
            <v>1926.04713569193</v>
          </cell>
          <cell r="X116">
            <v>2788.8278367043399</v>
          </cell>
          <cell r="Y116">
            <v>129.724135599721</v>
          </cell>
          <cell r="Z116">
            <v>21998.213849920499</v>
          </cell>
        </row>
        <row r="117">
          <cell r="A117" t="str">
            <v>Kelantan</v>
          </cell>
          <cell r="B117" t="str">
            <v>03</v>
          </cell>
          <cell r="C117">
            <v>3071.0633660276799</v>
          </cell>
          <cell r="D117">
            <v>2107.22436031492</v>
          </cell>
          <cell r="E117">
            <v>677.61362545535803</v>
          </cell>
          <cell r="F117">
            <v>286.22538025740499</v>
          </cell>
          <cell r="I117">
            <v>16.4378560717517</v>
          </cell>
          <cell r="J117">
            <v>690.81245984655595</v>
          </cell>
          <cell r="K117">
            <v>112.532619967388</v>
          </cell>
          <cell r="L117">
            <v>35.7228602577026</v>
          </cell>
          <cell r="M117">
            <v>89.073919865818695</v>
          </cell>
          <cell r="N117">
            <v>104.74641691462701</v>
          </cell>
          <cell r="O117">
            <v>71.385453074973398</v>
          </cell>
          <cell r="P117">
            <v>270.27664391315801</v>
          </cell>
          <cell r="Q117">
            <v>7.0745458528880798</v>
          </cell>
          <cell r="R117">
            <v>207.32611766380199</v>
          </cell>
          <cell r="S117">
            <v>7984.6164700812596</v>
          </cell>
          <cell r="T117">
            <v>935.50644685774705</v>
          </cell>
          <cell r="U117">
            <v>2199.32428096787</v>
          </cell>
          <cell r="V117">
            <v>992.01616868978499</v>
          </cell>
          <cell r="W117">
            <v>1356.6305514989001</v>
          </cell>
          <cell r="X117">
            <v>2501.13902206696</v>
          </cell>
          <cell r="Y117">
            <v>20.899161344310301</v>
          </cell>
          <cell r="Z117">
            <v>11991.1554310354</v>
          </cell>
        </row>
        <row r="118">
          <cell r="A118" t="str">
            <v>Melaka</v>
          </cell>
          <cell r="B118" t="str">
            <v>04</v>
          </cell>
          <cell r="C118">
            <v>1794.48560733984</v>
          </cell>
          <cell r="D118">
            <v>1764.4620477127301</v>
          </cell>
          <cell r="E118">
            <v>0.31645724155756999</v>
          </cell>
          <cell r="F118">
            <v>29.707102385548001</v>
          </cell>
          <cell r="I118">
            <v>8.2353402428863607</v>
          </cell>
          <cell r="J118">
            <v>8440.5084099046398</v>
          </cell>
          <cell r="K118">
            <v>367.85516788304602</v>
          </cell>
          <cell r="L118">
            <v>326.50618006210198</v>
          </cell>
          <cell r="M118">
            <v>303.160804991139</v>
          </cell>
          <cell r="N118">
            <v>3390.00490527082</v>
          </cell>
          <cell r="O118">
            <v>536.70441442619801</v>
          </cell>
          <cell r="P118">
            <v>2175.3453643369098</v>
          </cell>
          <cell r="Q118">
            <v>1340.9315729344301</v>
          </cell>
          <cell r="R118">
            <v>569.91112597647498</v>
          </cell>
          <cell r="S118">
            <v>8868.4123399378295</v>
          </cell>
          <cell r="T118">
            <v>1618.0934367930899</v>
          </cell>
          <cell r="U118">
            <v>3040.1483285732702</v>
          </cell>
          <cell r="V118">
            <v>1814.16879793615</v>
          </cell>
          <cell r="W118">
            <v>1130.94667073967</v>
          </cell>
          <cell r="X118">
            <v>1265.0551058956601</v>
          </cell>
          <cell r="Y118">
            <v>7.8042403562103599</v>
          </cell>
          <cell r="Z118">
            <v>19689.3570637579</v>
          </cell>
        </row>
        <row r="119">
          <cell r="A119" t="str">
            <v>Negeri Sembilan</v>
          </cell>
          <cell r="B119" t="str">
            <v>05</v>
          </cell>
          <cell r="C119">
            <v>2015.9306547180799</v>
          </cell>
          <cell r="D119">
            <v>1930.33247837055</v>
          </cell>
          <cell r="E119">
            <v>48.214528414990703</v>
          </cell>
          <cell r="F119">
            <v>37.3836479325401</v>
          </cell>
          <cell r="I119">
            <v>20.531206444456998</v>
          </cell>
          <cell r="J119">
            <v>12289.029198689799</v>
          </cell>
          <cell r="K119">
            <v>1265.4247888038401</v>
          </cell>
          <cell r="L119">
            <v>169.811946399276</v>
          </cell>
          <cell r="M119">
            <v>413.12574398847102</v>
          </cell>
          <cell r="N119">
            <v>3438.3800519340998</v>
          </cell>
          <cell r="O119">
            <v>934.058282358876</v>
          </cell>
          <cell r="P119">
            <v>5029.5214315784297</v>
          </cell>
          <cell r="Q119">
            <v>1038.7069536268</v>
          </cell>
          <cell r="R119">
            <v>583.15016914262105</v>
          </cell>
          <cell r="S119">
            <v>10039.968852706999</v>
          </cell>
          <cell r="T119">
            <v>2380.09261256539</v>
          </cell>
          <cell r="U119">
            <v>2618.9256670966502</v>
          </cell>
          <cell r="V119">
            <v>2048.7909989050199</v>
          </cell>
          <cell r="W119">
            <v>1376.27261475061</v>
          </cell>
          <cell r="X119">
            <v>1615.8869593893801</v>
          </cell>
          <cell r="Y119">
            <v>228.799916956543</v>
          </cell>
          <cell r="Z119">
            <v>25177.409998658499</v>
          </cell>
        </row>
        <row r="120">
          <cell r="A120" t="str">
            <v>Pahang</v>
          </cell>
          <cell r="B120" t="str">
            <v>06</v>
          </cell>
          <cell r="C120">
            <v>5672.8495426607196</v>
          </cell>
          <cell r="D120">
            <v>4511.6503307216099</v>
          </cell>
          <cell r="E120">
            <v>529.44191823602398</v>
          </cell>
          <cell r="F120">
            <v>631.75729370308704</v>
          </cell>
          <cell r="I120">
            <v>178.566419495975</v>
          </cell>
          <cell r="J120">
            <v>6899.3228196329201</v>
          </cell>
          <cell r="K120">
            <v>925.49422077744396</v>
          </cell>
          <cell r="L120">
            <v>21.3974917177141</v>
          </cell>
          <cell r="M120">
            <v>659.90788050961805</v>
          </cell>
          <cell r="N120">
            <v>3062.4981567292598</v>
          </cell>
          <cell r="O120">
            <v>671.98675060911796</v>
          </cell>
          <cell r="P120">
            <v>106.82078047637</v>
          </cell>
          <cell r="Q120">
            <v>1451.2175388133901</v>
          </cell>
          <cell r="R120">
            <v>782.11758540868504</v>
          </cell>
          <cell r="S120">
            <v>13941.070831927</v>
          </cell>
          <cell r="T120">
            <v>1477.06391407244</v>
          </cell>
          <cell r="U120">
            <v>4534.5843284699504</v>
          </cell>
          <cell r="V120">
            <v>1906.0234107915401</v>
          </cell>
          <cell r="W120">
            <v>3422.8515809365499</v>
          </cell>
          <cell r="X120">
            <v>2600.5475976564999</v>
          </cell>
          <cell r="Y120">
            <v>10.4708739581983</v>
          </cell>
          <cell r="Z120">
            <v>27484.398073083499</v>
          </cell>
        </row>
        <row r="121">
          <cell r="A121" t="str">
            <v>Pulau Pinang</v>
          </cell>
          <cell r="B121" t="str">
            <v>07</v>
          </cell>
          <cell r="C121">
            <v>888.99094852272901</v>
          </cell>
          <cell r="D121">
            <v>651.22159236704397</v>
          </cell>
          <cell r="E121">
            <v>0</v>
          </cell>
          <cell r="F121">
            <v>237.76935615568499</v>
          </cell>
          <cell r="I121">
            <v>19.1246938869308</v>
          </cell>
          <cell r="J121">
            <v>24263.659327634199</v>
          </cell>
          <cell r="K121">
            <v>1041.08277393871</v>
          </cell>
          <cell r="L121">
            <v>534.89790830765605</v>
          </cell>
          <cell r="M121">
            <v>906.37835707932197</v>
          </cell>
          <cell r="N121">
            <v>2696.4460690588899</v>
          </cell>
          <cell r="O121">
            <v>2163.8530109986</v>
          </cell>
          <cell r="P121">
            <v>15140.1465095285</v>
          </cell>
          <cell r="Q121">
            <v>1780.85469872253</v>
          </cell>
          <cell r="R121">
            <v>1021.91977091495</v>
          </cell>
          <cell r="S121">
            <v>21688.303059001199</v>
          </cell>
          <cell r="T121">
            <v>4570.3375136091699</v>
          </cell>
          <cell r="U121">
            <v>6218.3805585190403</v>
          </cell>
          <cell r="V121">
            <v>6402.6290576771098</v>
          </cell>
          <cell r="W121">
            <v>2201.0409483533199</v>
          </cell>
          <cell r="X121">
            <v>2295.91498084252</v>
          </cell>
          <cell r="Y121">
            <v>279.09817634319398</v>
          </cell>
          <cell r="Z121">
            <v>48161.095976303201</v>
          </cell>
        </row>
        <row r="122">
          <cell r="A122" t="str">
            <v>Perak</v>
          </cell>
          <cell r="B122" t="str">
            <v>08</v>
          </cell>
          <cell r="C122">
            <v>5241.3585679134603</v>
          </cell>
          <cell r="D122">
            <v>3490.3978906095599</v>
          </cell>
          <cell r="E122">
            <v>397.45434840437503</v>
          </cell>
          <cell r="F122">
            <v>1353.50632889952</v>
          </cell>
          <cell r="I122">
            <v>111.552905846865</v>
          </cell>
          <cell r="J122">
            <v>6549.0848263154103</v>
          </cell>
          <cell r="K122">
            <v>1037.5191619500999</v>
          </cell>
          <cell r="L122">
            <v>187.95000729593201</v>
          </cell>
          <cell r="M122">
            <v>331.45052802276899</v>
          </cell>
          <cell r="N122">
            <v>1294.74421541383</v>
          </cell>
          <cell r="O122">
            <v>1620.3543362374301</v>
          </cell>
          <cell r="P122">
            <v>1611.9499042448001</v>
          </cell>
          <cell r="Q122">
            <v>465.11667315054001</v>
          </cell>
          <cell r="R122">
            <v>717.19374778978397</v>
          </cell>
          <cell r="S122">
            <v>21941.387676528699</v>
          </cell>
          <cell r="T122">
            <v>6444.7229043016596</v>
          </cell>
          <cell r="U122">
            <v>5194.1865508002802</v>
          </cell>
          <cell r="V122">
            <v>3897.0308124437602</v>
          </cell>
          <cell r="W122">
            <v>2753.62435652473</v>
          </cell>
          <cell r="X122">
            <v>3651.8230524583</v>
          </cell>
          <cell r="Y122">
            <v>15.391061046690901</v>
          </cell>
          <cell r="Z122">
            <v>34575.968785440899</v>
          </cell>
        </row>
        <row r="123">
          <cell r="A123" t="str">
            <v>Perlis</v>
          </cell>
          <cell r="B123" t="str">
            <v>09</v>
          </cell>
          <cell r="C123">
            <v>890.253977413808</v>
          </cell>
          <cell r="D123">
            <v>250.038227188164</v>
          </cell>
          <cell r="E123">
            <v>0</v>
          </cell>
          <cell r="F123">
            <v>640.215750225644</v>
          </cell>
          <cell r="I123">
            <v>6.3552696173596797</v>
          </cell>
          <cell r="J123">
            <v>302.11336558226998</v>
          </cell>
          <cell r="K123">
            <v>52.451226974228597</v>
          </cell>
          <cell r="L123">
            <v>41.430334462900099</v>
          </cell>
          <cell r="M123">
            <v>5.1199116479700102</v>
          </cell>
          <cell r="N123">
            <v>61.248855934673102</v>
          </cell>
          <cell r="O123">
            <v>138.71952423795801</v>
          </cell>
          <cell r="P123">
            <v>0.56475732443658899</v>
          </cell>
          <cell r="Q123">
            <v>2.5787550001031798</v>
          </cell>
          <cell r="R123">
            <v>108.664065708869</v>
          </cell>
          <cell r="S123">
            <v>1937.3440641202401</v>
          </cell>
          <cell r="T123">
            <v>677.02078287461802</v>
          </cell>
          <cell r="U123">
            <v>282.88980003650198</v>
          </cell>
          <cell r="V123">
            <v>253.67699812060499</v>
          </cell>
          <cell r="W123">
            <v>256.31133519920502</v>
          </cell>
          <cell r="X123">
            <v>467.44514788931002</v>
          </cell>
          <cell r="Y123">
            <v>73.299611950522902</v>
          </cell>
          <cell r="Z123">
            <v>3318.03035439307</v>
          </cell>
        </row>
        <row r="124">
          <cell r="A124" t="str">
            <v>Selangor</v>
          </cell>
          <cell r="B124">
            <v>10</v>
          </cell>
          <cell r="C124">
            <v>2706.54572787396</v>
          </cell>
          <cell r="D124">
            <v>1778.1379792200801</v>
          </cell>
          <cell r="E124">
            <v>3.4337174438734501</v>
          </cell>
          <cell r="F124">
            <v>924.97403121000798</v>
          </cell>
          <cell r="I124">
            <v>127.244240156123</v>
          </cell>
          <cell r="J124">
            <v>50189.2496835778</v>
          </cell>
          <cell r="K124">
            <v>7955.0931080243399</v>
          </cell>
          <cell r="L124">
            <v>531.41727182738396</v>
          </cell>
          <cell r="M124">
            <v>2995.0687524483401</v>
          </cell>
          <cell r="N124">
            <v>7040.3779359457303</v>
          </cell>
          <cell r="O124">
            <v>6453.92059306993</v>
          </cell>
          <cell r="P124">
            <v>12092.630973113301</v>
          </cell>
          <cell r="Q124">
            <v>13120.741049148801</v>
          </cell>
          <cell r="R124">
            <v>7248.0361555894597</v>
          </cell>
          <cell r="S124">
            <v>90799.867556183905</v>
          </cell>
          <cell r="T124">
            <v>21753.1414275928</v>
          </cell>
          <cell r="U124">
            <v>29898.888005700599</v>
          </cell>
          <cell r="V124">
            <v>24579.777021532798</v>
          </cell>
          <cell r="W124">
            <v>7542.24113877529</v>
          </cell>
          <cell r="X124">
            <v>7025.81996258247</v>
          </cell>
          <cell r="Y124">
            <v>4667.9359911748797</v>
          </cell>
          <cell r="Z124">
            <v>155738.879354556</v>
          </cell>
        </row>
        <row r="125">
          <cell r="A125" t="str">
            <v>Terengganu</v>
          </cell>
          <cell r="B125">
            <v>11</v>
          </cell>
          <cell r="C125">
            <v>1502.42703928226</v>
          </cell>
          <cell r="D125">
            <v>1145.04075419776</v>
          </cell>
          <cell r="E125">
            <v>108.922814844762</v>
          </cell>
          <cell r="F125">
            <v>248.463470239733</v>
          </cell>
          <cell r="I125">
            <v>14.3354558514615</v>
          </cell>
          <cell r="J125">
            <v>7214.7000354725296</v>
          </cell>
          <cell r="K125">
            <v>66.728878161678693</v>
          </cell>
          <cell r="L125">
            <v>44.048798066171003</v>
          </cell>
          <cell r="M125">
            <v>101.77840981852199</v>
          </cell>
          <cell r="N125">
            <v>6596.5370587211601</v>
          </cell>
          <cell r="O125">
            <v>338.26986463669903</v>
          </cell>
          <cell r="P125">
            <v>2.3404493387629799</v>
          </cell>
          <cell r="Q125">
            <v>64.996576729532705</v>
          </cell>
          <cell r="R125">
            <v>648.48607448725102</v>
          </cell>
          <cell r="S125">
            <v>9093.8914214729393</v>
          </cell>
          <cell r="T125">
            <v>3627.3338756503599</v>
          </cell>
          <cell r="U125">
            <v>1653.0362401719699</v>
          </cell>
          <cell r="V125">
            <v>837.27481127513101</v>
          </cell>
          <cell r="W125">
            <v>888.09695694086497</v>
          </cell>
          <cell r="X125">
            <v>2088.14953743461</v>
          </cell>
          <cell r="Y125">
            <v>13.4239951153119</v>
          </cell>
          <cell r="Z125">
            <v>18487.264021681702</v>
          </cell>
        </row>
        <row r="126">
          <cell r="A126" t="str">
            <v>Sabah</v>
          </cell>
          <cell r="B126">
            <v>12</v>
          </cell>
          <cell r="C126">
            <v>9333.0021421278598</v>
          </cell>
          <cell r="D126">
            <v>6100.7278202973503</v>
          </cell>
          <cell r="E126">
            <v>1494.15173959661</v>
          </cell>
          <cell r="F126">
            <v>1738.1225822338999</v>
          </cell>
          <cell r="I126">
            <v>9981.4576113374696</v>
          </cell>
          <cell r="J126">
            <v>3296.1000083382501</v>
          </cell>
          <cell r="K126">
            <v>1779.1503845996899</v>
          </cell>
          <cell r="L126">
            <v>35.183050821935502</v>
          </cell>
          <cell r="M126">
            <v>825.74608328706199</v>
          </cell>
          <cell r="N126">
            <v>164.51613490018701</v>
          </cell>
          <cell r="O126">
            <v>329.33465262169199</v>
          </cell>
          <cell r="P126">
            <v>9.6836285176547197</v>
          </cell>
          <cell r="Q126">
            <v>152.486073590019</v>
          </cell>
          <cell r="R126">
            <v>1048.32131495573</v>
          </cell>
          <cell r="S126">
            <v>18249.0380787022</v>
          </cell>
          <cell r="T126">
            <v>3461.1455486172499</v>
          </cell>
          <cell r="U126">
            <v>6027.3226036168899</v>
          </cell>
          <cell r="V126">
            <v>3661.9798489268401</v>
          </cell>
          <cell r="W126">
            <v>1705.5620623341599</v>
          </cell>
          <cell r="X126">
            <v>3393.02801520702</v>
          </cell>
          <cell r="Y126">
            <v>193.38277115297299</v>
          </cell>
          <cell r="Z126">
            <v>42101.301926614397</v>
          </cell>
        </row>
        <row r="127">
          <cell r="A127" t="str">
            <v>Sarawak</v>
          </cell>
          <cell r="B127">
            <v>13</v>
          </cell>
          <cell r="C127">
            <v>7694.6268346018496</v>
          </cell>
          <cell r="D127">
            <v>3743.7971310764401</v>
          </cell>
          <cell r="E127">
            <v>3512.6235058080101</v>
          </cell>
          <cell r="F127">
            <v>438.20619771739302</v>
          </cell>
          <cell r="I127">
            <v>15757.0015301638</v>
          </cell>
          <cell r="J127">
            <v>18116.8093202567</v>
          </cell>
          <cell r="K127">
            <v>663.697594744968</v>
          </cell>
          <cell r="L127">
            <v>15.0311885489606</v>
          </cell>
          <cell r="M127">
            <v>1502.3919041398201</v>
          </cell>
          <cell r="N127">
            <v>14580.9532505529</v>
          </cell>
          <cell r="O127">
            <v>466.14674304866998</v>
          </cell>
          <cell r="P127">
            <v>520.84665857406503</v>
          </cell>
          <cell r="Q127">
            <v>367.74198064728199</v>
          </cell>
          <cell r="R127">
            <v>1877.0483570021199</v>
          </cell>
          <cell r="S127">
            <v>23200.6558210517</v>
          </cell>
          <cell r="T127">
            <v>5246.0543498770203</v>
          </cell>
          <cell r="U127">
            <v>6280.5784683472802</v>
          </cell>
          <cell r="V127">
            <v>5981.4911503486201</v>
          </cell>
          <cell r="W127">
            <v>2294.15121074228</v>
          </cell>
          <cell r="X127">
            <v>3398.3806417365499</v>
          </cell>
          <cell r="Y127">
            <v>301.068958955516</v>
          </cell>
          <cell r="Z127">
            <v>66947.210822031702</v>
          </cell>
        </row>
        <row r="128">
          <cell r="A128" t="str">
            <v>WP Kuala Lumpur</v>
          </cell>
          <cell r="B128">
            <v>14</v>
          </cell>
          <cell r="C128">
            <v>1.17572172328511</v>
          </cell>
          <cell r="D128">
            <v>1.17572172328511</v>
          </cell>
          <cell r="E128">
            <v>0</v>
          </cell>
          <cell r="F128">
            <v>0</v>
          </cell>
          <cell r="I128">
            <v>27.291962033823101</v>
          </cell>
          <cell r="J128">
            <v>3757.3330725698902</v>
          </cell>
          <cell r="K128">
            <v>435.95852116711302</v>
          </cell>
          <cell r="L128">
            <v>311.82545341745299</v>
          </cell>
          <cell r="M128">
            <v>558.86987045419903</v>
          </cell>
          <cell r="N128">
            <v>562.95918164167699</v>
          </cell>
          <cell r="O128">
            <v>615.833407859423</v>
          </cell>
          <cell r="P128">
            <v>565.42640847014002</v>
          </cell>
          <cell r="Q128">
            <v>706.46022955988599</v>
          </cell>
          <cell r="R128">
            <v>4039.3162243751299</v>
          </cell>
          <cell r="S128">
            <v>88999.185666447098</v>
          </cell>
          <cell r="T128">
            <v>5859.4981354623997</v>
          </cell>
          <cell r="U128">
            <v>33263.711150495801</v>
          </cell>
          <cell r="V128">
            <v>33928.255428053999</v>
          </cell>
          <cell r="W128">
            <v>4586.0170306022601</v>
          </cell>
          <cell r="X128">
            <v>11361.703921832601</v>
          </cell>
          <cell r="Y128">
            <v>1005.54682827907</v>
          </cell>
          <cell r="Z128">
            <v>97829.849475428302</v>
          </cell>
        </row>
        <row r="129">
          <cell r="A129" t="str">
            <v>WP Labuan</v>
          </cell>
          <cell r="B129">
            <v>15</v>
          </cell>
          <cell r="C129">
            <v>117.835512878771</v>
          </cell>
          <cell r="D129">
            <v>7.4245397112611</v>
          </cell>
          <cell r="E129">
            <v>0</v>
          </cell>
          <cell r="F129">
            <v>110.41097316750999</v>
          </cell>
          <cell r="I129">
            <v>0</v>
          </cell>
          <cell r="J129">
            <v>576.19529319268997</v>
          </cell>
          <cell r="K129">
            <v>11.6146768482245</v>
          </cell>
          <cell r="L129">
            <v>2.75964839768156</v>
          </cell>
          <cell r="M129">
            <v>1.41659429612576</v>
          </cell>
          <cell r="N129">
            <v>257.48306212891299</v>
          </cell>
          <cell r="O129">
            <v>273.525809078002</v>
          </cell>
          <cell r="P129">
            <v>1.0281257709365199</v>
          </cell>
          <cell r="Q129">
            <v>28.367376672806301</v>
          </cell>
          <cell r="R129">
            <v>20.557724287622801</v>
          </cell>
          <cell r="S129">
            <v>1912.81908981113</v>
          </cell>
          <cell r="T129">
            <v>202.44696601929701</v>
          </cell>
          <cell r="U129">
            <v>240.06121027596001</v>
          </cell>
          <cell r="V129">
            <v>1313.4462330045201</v>
          </cell>
          <cell r="W129">
            <v>68.710276306096105</v>
          </cell>
          <cell r="X129">
            <v>88.154404205260093</v>
          </cell>
          <cell r="Y129">
            <v>19.052607394355999</v>
          </cell>
          <cell r="Z129">
            <v>2646.4602275645698</v>
          </cell>
        </row>
        <row r="130">
          <cell r="A130" t="str">
            <v>Supra1</v>
          </cell>
          <cell r="C130">
            <v>0</v>
          </cell>
          <cell r="D130">
            <v>0</v>
          </cell>
          <cell r="E130">
            <v>0</v>
          </cell>
          <cell r="F130">
            <v>0</v>
          </cell>
          <cell r="I130">
            <v>39827.220356516496</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39827.220356516496</v>
          </cell>
        </row>
        <row r="131">
          <cell r="A131" t="str">
            <v>MALAYSIA</v>
          </cell>
          <cell r="C131">
            <v>51262.585309453403</v>
          </cell>
          <cell r="D131">
            <v>36675.639973874699</v>
          </cell>
          <cell r="E131">
            <v>6922.9753038547296</v>
          </cell>
          <cell r="F131">
            <v>7663.9700317239704</v>
          </cell>
          <cell r="I131">
            <v>66182.442509128305</v>
          </cell>
          <cell r="J131">
            <v>170260.619620679</v>
          </cell>
          <cell r="K131">
            <v>18269.909161044499</v>
          </cell>
          <cell r="L131">
            <v>3120.84084725401</v>
          </cell>
          <cell r="M131">
            <v>10862.594816504199</v>
          </cell>
          <cell r="N131">
            <v>48910.345242157899</v>
          </cell>
          <cell r="O131">
            <v>19628.259549294002</v>
          </cell>
          <cell r="P131">
            <v>45972.646985428299</v>
          </cell>
          <cell r="Q131">
            <v>23496.023018995998</v>
          </cell>
          <cell r="R131">
            <v>21458.576878407799</v>
          </cell>
          <cell r="S131">
            <v>359829.17435174598</v>
          </cell>
          <cell r="T131">
            <v>66782.185103885597</v>
          </cell>
          <cell r="U131">
            <v>111796.109106901</v>
          </cell>
          <cell r="V131">
            <v>97969.802170144001</v>
          </cell>
          <cell r="W131">
            <v>34413.396601364802</v>
          </cell>
          <cell r="X131">
            <v>48867.681369450802</v>
          </cell>
          <cell r="Y131">
            <v>7659.6039079068296</v>
          </cell>
          <cell r="Z131">
            <v>676653.00257732102</v>
          </cell>
        </row>
        <row r="134">
          <cell r="A134" t="str">
            <v>CONSTANT</v>
          </cell>
          <cell r="B134" t="str">
            <v>Industry</v>
          </cell>
          <cell r="D134">
            <v>1</v>
          </cell>
          <cell r="E134">
            <v>2</v>
          </cell>
          <cell r="F134">
            <v>3</v>
          </cell>
          <cell r="I134">
            <v>4</v>
          </cell>
          <cell r="K134">
            <v>6</v>
          </cell>
          <cell r="L134">
            <v>7</v>
          </cell>
          <cell r="M134">
            <v>8</v>
          </cell>
          <cell r="N134">
            <v>9</v>
          </cell>
          <cell r="O134">
            <v>10</v>
          </cell>
          <cell r="P134">
            <v>11</v>
          </cell>
          <cell r="Q134">
            <v>12</v>
          </cell>
          <cell r="R134">
            <v>5</v>
          </cell>
          <cell r="T134">
            <v>13</v>
          </cell>
          <cell r="U134">
            <v>14</v>
          </cell>
          <cell r="V134">
            <v>15</v>
          </cell>
          <cell r="W134">
            <v>16</v>
          </cell>
        </row>
        <row r="135">
          <cell r="A135">
            <v>2011</v>
          </cell>
          <cell r="B135" t="str">
            <v>I</v>
          </cell>
          <cell r="C135" t="str">
            <v>Agriculture</v>
          </cell>
          <cell r="D135" t="str">
            <v>Tanaman</v>
          </cell>
          <cell r="E135" t="str">
            <v>Pembalakan</v>
          </cell>
          <cell r="F135" t="str">
            <v>Perikanan</v>
          </cell>
          <cell r="I135" t="str">
            <v>Mining andQuarrying</v>
          </cell>
          <cell r="J135" t="str">
            <v>Manufacturing</v>
          </cell>
          <cell r="K135" t="str">
            <v>Prosesan Makanan, Minuman dan Produk Tembakau</v>
          </cell>
          <cell r="L135" t="str">
            <v>Tekstil, Pakaian, Kulit dan Kasut</v>
          </cell>
          <cell r="M135" t="str">
            <v>Keluaran Kayu, Perabot, Produk Kertas, Percetakan dan Penerbitan</v>
          </cell>
          <cell r="N135" t="str">
            <v>Produk Petroleum, Bahan kimia, Getah dan Plastik</v>
          </cell>
          <cell r="O135" t="str">
            <v>Produk Mineral Bukan Logam, Logam Asli dan Produk Logam Yang Direka</v>
          </cell>
          <cell r="P135" t="str">
            <v>Elektrik dan Elektronik</v>
          </cell>
          <cell r="Q135" t="str">
            <v>Kelengkapan Pengangkutan dan Pembuatan Lain</v>
          </cell>
          <cell r="R135" t="str">
            <v>Construction</v>
          </cell>
          <cell r="S135" t="str">
            <v>Services</v>
          </cell>
          <cell r="T135" t="str">
            <v>Utiliti, Transport &amp; Communication</v>
          </cell>
          <cell r="U135" t="str">
            <v>WRT, Accomm &amp; Restaurant</v>
          </cell>
          <cell r="V135" t="str">
            <v>Finance &amp; Insurance, Real Estate &amp; Business Services</v>
          </cell>
          <cell r="W135" t="str">
            <v>Other Services</v>
          </cell>
          <cell r="X135" t="str">
            <v>Government Services</v>
          </cell>
          <cell r="Y135" t="str">
            <v>Plus :Import Duties</v>
          </cell>
          <cell r="Z135" t="str">
            <v>GDP atPurchasers' Prices</v>
          </cell>
        </row>
        <row r="136">
          <cell r="A136" t="str">
            <v>States</v>
          </cell>
          <cell r="B136" t="str">
            <v>Converter</v>
          </cell>
        </row>
        <row r="137">
          <cell r="A137" t="str">
            <v>Johor</v>
          </cell>
          <cell r="B137" t="str">
            <v>01</v>
          </cell>
          <cell r="C137">
            <v>8134.6770207458503</v>
          </cell>
          <cell r="D137">
            <v>7422.0715582305802</v>
          </cell>
          <cell r="E137">
            <v>47.762779025678199</v>
          </cell>
          <cell r="F137">
            <v>664.84268348959301</v>
          </cell>
          <cell r="I137">
            <v>70.624621916013794</v>
          </cell>
          <cell r="J137">
            <v>21994.898483521501</v>
          </cell>
          <cell r="K137">
            <v>2410.6855618292698</v>
          </cell>
          <cell r="L137">
            <v>871.84644902889499</v>
          </cell>
          <cell r="M137">
            <v>1782.4639099186099</v>
          </cell>
          <cell r="N137">
            <v>5230.0964648468298</v>
          </cell>
          <cell r="O137">
            <v>3302.5548771064</v>
          </cell>
          <cell r="P137">
            <v>6458.0726612356502</v>
          </cell>
          <cell r="Q137">
            <v>1939.1785595558499</v>
          </cell>
          <cell r="R137">
            <v>2029.3071001792</v>
          </cell>
          <cell r="S137">
            <v>31642.340433222402</v>
          </cell>
          <cell r="T137">
            <v>7296.5972343024996</v>
          </cell>
          <cell r="U137">
            <v>7682.37373900291</v>
          </cell>
          <cell r="V137">
            <v>8629.8666459142405</v>
          </cell>
          <cell r="W137">
            <v>3096.7312974633601</v>
          </cell>
          <cell r="X137">
            <v>4936.7715165394102</v>
          </cell>
          <cell r="Y137">
            <v>719.74007920346901</v>
          </cell>
          <cell r="Z137">
            <v>64591.587738788403</v>
          </cell>
        </row>
        <row r="138">
          <cell r="A138" t="str">
            <v>Kedah</v>
          </cell>
          <cell r="B138" t="str">
            <v>02</v>
          </cell>
          <cell r="C138">
            <v>2960.6632872735699</v>
          </cell>
          <cell r="D138">
            <v>2540.7729817119698</v>
          </cell>
          <cell r="E138">
            <v>117.22210580143999</v>
          </cell>
          <cell r="F138">
            <v>302.66819976016399</v>
          </cell>
          <cell r="I138">
            <v>20.032884294642901</v>
          </cell>
          <cell r="J138">
            <v>7352.0687446499696</v>
          </cell>
          <cell r="K138">
            <v>383.350799132188</v>
          </cell>
          <cell r="L138">
            <v>81.717323357246499</v>
          </cell>
          <cell r="M138">
            <v>440.09319389067099</v>
          </cell>
          <cell r="N138">
            <v>1412.68923948528</v>
          </cell>
          <cell r="O138">
            <v>2261.31833975989</v>
          </cell>
          <cell r="P138">
            <v>1487.0281647716699</v>
          </cell>
          <cell r="Q138">
            <v>1285.87168425303</v>
          </cell>
          <cell r="R138">
            <v>544.91931712892699</v>
          </cell>
          <cell r="S138">
            <v>12829.536155953399</v>
          </cell>
          <cell r="T138">
            <v>1918.0622325428001</v>
          </cell>
          <cell r="U138">
            <v>3317.3555159477801</v>
          </cell>
          <cell r="V138">
            <v>2490.2016389007299</v>
          </cell>
          <cell r="W138">
            <v>2009.5826020151301</v>
          </cell>
          <cell r="X138">
            <v>3094.3341665469802</v>
          </cell>
          <cell r="Y138">
            <v>129.48746996672901</v>
          </cell>
          <cell r="Z138">
            <v>23836.707859267299</v>
          </cell>
        </row>
        <row r="139">
          <cell r="A139" t="str">
            <v>Kelantan</v>
          </cell>
          <cell r="B139" t="str">
            <v>03</v>
          </cell>
          <cell r="C139">
            <v>3250.3931440866399</v>
          </cell>
          <cell r="D139">
            <v>2307.48252030412</v>
          </cell>
          <cell r="E139">
            <v>686.82311431359699</v>
          </cell>
          <cell r="F139">
            <v>256.08750946892599</v>
          </cell>
          <cell r="I139">
            <v>17.555017875334102</v>
          </cell>
          <cell r="J139">
            <v>720.02379042973098</v>
          </cell>
          <cell r="K139">
            <v>120.480108489873</v>
          </cell>
          <cell r="L139">
            <v>33.115332635042897</v>
          </cell>
          <cell r="M139">
            <v>86.254756643894197</v>
          </cell>
          <cell r="N139">
            <v>125.631643864236</v>
          </cell>
          <cell r="O139">
            <v>81.481969197679106</v>
          </cell>
          <cell r="P139">
            <v>265.79753286347898</v>
          </cell>
          <cell r="Q139">
            <v>7.26244673552634</v>
          </cell>
          <cell r="R139">
            <v>205.35856253309299</v>
          </cell>
          <cell r="S139">
            <v>8563.4068646215401</v>
          </cell>
          <cell r="T139">
            <v>1008.9559015075901</v>
          </cell>
          <cell r="U139">
            <v>2303.81195694282</v>
          </cell>
          <cell r="V139">
            <v>1043.9061010979001</v>
          </cell>
          <cell r="W139">
            <v>1410.4768872443699</v>
          </cell>
          <cell r="X139">
            <v>2796.25601782887</v>
          </cell>
          <cell r="Y139">
            <v>23.1335746334703</v>
          </cell>
          <cell r="Z139">
            <v>12779.8709541798</v>
          </cell>
        </row>
        <row r="140">
          <cell r="A140" t="str">
            <v>Melaka</v>
          </cell>
          <cell r="B140" t="str">
            <v>04</v>
          </cell>
          <cell r="C140">
            <v>1904.4398963829201</v>
          </cell>
          <cell r="D140">
            <v>1875.3104448702099</v>
          </cell>
          <cell r="E140">
            <v>0.34854431854738999</v>
          </cell>
          <cell r="F140">
            <v>28.7809071941657</v>
          </cell>
          <cell r="I140">
            <v>8.7133632236388596</v>
          </cell>
          <cell r="J140">
            <v>8526.6092260537007</v>
          </cell>
          <cell r="K140">
            <v>404.35623405683498</v>
          </cell>
          <cell r="L140">
            <v>371.82640156334901</v>
          </cell>
          <cell r="M140">
            <v>289.34137120731998</v>
          </cell>
          <cell r="N140">
            <v>3915.2355954753298</v>
          </cell>
          <cell r="O140">
            <v>586.39123981980595</v>
          </cell>
          <cell r="P140">
            <v>1917.9929215814</v>
          </cell>
          <cell r="Q140">
            <v>1041.4654623496499</v>
          </cell>
          <cell r="R140">
            <v>578.56670411304901</v>
          </cell>
          <cell r="S140">
            <v>9447.5733618878294</v>
          </cell>
          <cell r="T140">
            <v>1718.8795132765799</v>
          </cell>
          <cell r="U140">
            <v>3241.9358636103698</v>
          </cell>
          <cell r="V140">
            <v>1872.6180711970701</v>
          </cell>
          <cell r="W140">
            <v>1206.3822808283201</v>
          </cell>
          <cell r="X140">
            <v>1407.7576329755</v>
          </cell>
          <cell r="Y140">
            <v>8.4322950552220597</v>
          </cell>
          <cell r="Z140">
            <v>20474.3348467164</v>
          </cell>
        </row>
        <row r="141">
          <cell r="A141" t="str">
            <v>Negeri Sembilan</v>
          </cell>
          <cell r="B141" t="str">
            <v>05</v>
          </cell>
          <cell r="C141">
            <v>2126.3575406422601</v>
          </cell>
          <cell r="D141">
            <v>2036.69822993804</v>
          </cell>
          <cell r="E141">
            <v>51.872211126034898</v>
          </cell>
          <cell r="F141">
            <v>37.787099578188702</v>
          </cell>
          <cell r="I141">
            <v>21.145056486151599</v>
          </cell>
          <cell r="J141">
            <v>12894.9399107464</v>
          </cell>
          <cell r="K141">
            <v>1392.6142550950001</v>
          </cell>
          <cell r="L141">
            <v>182.82011147314299</v>
          </cell>
          <cell r="M141">
            <v>396.74162644753102</v>
          </cell>
          <cell r="N141">
            <v>3806.0058318315801</v>
          </cell>
          <cell r="O141">
            <v>1183.1215905153699</v>
          </cell>
          <cell r="P141">
            <v>5033.5464955859998</v>
          </cell>
          <cell r="Q141">
            <v>900.089999797779</v>
          </cell>
          <cell r="R141">
            <v>611.75562451344899</v>
          </cell>
          <cell r="S141">
            <v>10586.379094448601</v>
          </cell>
          <cell r="T141">
            <v>2510.4388442251702</v>
          </cell>
          <cell r="U141">
            <v>2705.1158011420398</v>
          </cell>
          <cell r="V141">
            <v>2162.4276451003998</v>
          </cell>
          <cell r="W141">
            <v>1415.49372916073</v>
          </cell>
          <cell r="X141">
            <v>1792.9030748202899</v>
          </cell>
          <cell r="Y141">
            <v>172.97280325428</v>
          </cell>
          <cell r="Z141">
            <v>26413.550030091199</v>
          </cell>
        </row>
        <row r="142">
          <cell r="A142" t="str">
            <v>Pahang</v>
          </cell>
          <cell r="B142" t="str">
            <v>06</v>
          </cell>
          <cell r="C142">
            <v>6116.6826148353102</v>
          </cell>
          <cell r="D142">
            <v>4876.2907066867701</v>
          </cell>
          <cell r="E142">
            <v>581.04914766295406</v>
          </cell>
          <cell r="F142">
            <v>659.34276048559298</v>
          </cell>
          <cell r="I142">
            <v>197.77283771610999</v>
          </cell>
          <cell r="J142">
            <v>7260.4879476781798</v>
          </cell>
          <cell r="K142">
            <v>1016.56039347948</v>
          </cell>
          <cell r="L142">
            <v>28.841100684370499</v>
          </cell>
          <cell r="M142">
            <v>663.49731876668102</v>
          </cell>
          <cell r="N142">
            <v>3082.3091472992101</v>
          </cell>
          <cell r="O142">
            <v>675.63786091811698</v>
          </cell>
          <cell r="P142">
            <v>120.79217979550501</v>
          </cell>
          <cell r="Q142">
            <v>1672.8499467348099</v>
          </cell>
          <cell r="R142">
            <v>760.95804245120905</v>
          </cell>
          <cell r="S142">
            <v>14857.175356735999</v>
          </cell>
          <cell r="T142">
            <v>1588.7553522870401</v>
          </cell>
          <cell r="U142">
            <v>4712.8127755404103</v>
          </cell>
          <cell r="V142">
            <v>2024.6759611119801</v>
          </cell>
          <cell r="W142">
            <v>3658.8446811840599</v>
          </cell>
          <cell r="X142">
            <v>2872.08658661247</v>
          </cell>
          <cell r="Y142">
            <v>8.1035979179312605</v>
          </cell>
          <cell r="Z142">
            <v>29201.180397334701</v>
          </cell>
        </row>
        <row r="143">
          <cell r="A143" t="str">
            <v>Pulau Pinang</v>
          </cell>
          <cell r="B143" t="str">
            <v>07</v>
          </cell>
          <cell r="C143">
            <v>943.98157091535802</v>
          </cell>
          <cell r="D143">
            <v>691.89542709139801</v>
          </cell>
          <cell r="E143">
            <v>0</v>
          </cell>
          <cell r="F143">
            <v>252.08614382396101</v>
          </cell>
          <cell r="I143">
            <v>20.412292848177401</v>
          </cell>
          <cell r="J143">
            <v>24567.200957016299</v>
          </cell>
          <cell r="K143">
            <v>1025.0814368202</v>
          </cell>
          <cell r="L143">
            <v>620.82769623989998</v>
          </cell>
          <cell r="M143">
            <v>937.54425826509896</v>
          </cell>
          <cell r="N143">
            <v>3033.8457202014401</v>
          </cell>
          <cell r="O143">
            <v>2711.3973129731698</v>
          </cell>
          <cell r="P143">
            <v>14250.225567134999</v>
          </cell>
          <cell r="Q143">
            <v>1988.27896538147</v>
          </cell>
          <cell r="R143">
            <v>1073.9697622496999</v>
          </cell>
          <cell r="S143">
            <v>23107.214875716301</v>
          </cell>
          <cell r="T143">
            <v>4848.8281431502801</v>
          </cell>
          <cell r="U143">
            <v>6544.7360624590601</v>
          </cell>
          <cell r="V143">
            <v>6773.4100588843603</v>
          </cell>
          <cell r="W143">
            <v>2284.3270174064601</v>
          </cell>
          <cell r="X143">
            <v>2655.9135938161498</v>
          </cell>
          <cell r="Y143">
            <v>340.45827634796098</v>
          </cell>
          <cell r="Z143">
            <v>50053.237735093797</v>
          </cell>
        </row>
        <row r="144">
          <cell r="A144" t="str">
            <v>Perak</v>
          </cell>
          <cell r="B144" t="str">
            <v>08</v>
          </cell>
          <cell r="C144">
            <v>5627.2105795027801</v>
          </cell>
          <cell r="D144">
            <v>3735.9622783095001</v>
          </cell>
          <cell r="E144">
            <v>409.87173923597499</v>
          </cell>
          <cell r="F144">
            <v>1481.3765619573001</v>
          </cell>
          <cell r="I144">
            <v>120.25875212874401</v>
          </cell>
          <cell r="J144">
            <v>7268.061069286</v>
          </cell>
          <cell r="K144">
            <v>1151.51899843193</v>
          </cell>
          <cell r="L144">
            <v>181.75845234122301</v>
          </cell>
          <cell r="M144">
            <v>333.998529282964</v>
          </cell>
          <cell r="N144">
            <v>1351.0119551047201</v>
          </cell>
          <cell r="O144">
            <v>1915.4260496440399</v>
          </cell>
          <cell r="P144">
            <v>1853.97778166991</v>
          </cell>
          <cell r="Q144">
            <v>480.36930281122102</v>
          </cell>
          <cell r="R144">
            <v>721.20399693463105</v>
          </cell>
          <cell r="S144">
            <v>23246.9407555014</v>
          </cell>
          <cell r="T144">
            <v>6773.3004810202901</v>
          </cell>
          <cell r="U144">
            <v>5562.0388359467297</v>
          </cell>
          <cell r="V144">
            <v>4021.9619357315</v>
          </cell>
          <cell r="W144">
            <v>2851.47468013759</v>
          </cell>
          <cell r="X144">
            <v>4038.1648226652501</v>
          </cell>
          <cell r="Y144">
            <v>17.576273903996899</v>
          </cell>
          <cell r="Z144">
            <v>37001.251427257499</v>
          </cell>
        </row>
        <row r="145">
          <cell r="A145" t="str">
            <v>Perlis</v>
          </cell>
          <cell r="B145" t="str">
            <v>09</v>
          </cell>
          <cell r="C145">
            <v>827.73384823097501</v>
          </cell>
          <cell r="D145">
            <v>267.55028768946102</v>
          </cell>
          <cell r="E145">
            <v>0</v>
          </cell>
          <cell r="F145">
            <v>560.183560541514</v>
          </cell>
          <cell r="I145">
            <v>6.8440980555753903</v>
          </cell>
          <cell r="J145">
            <v>341.31202616500502</v>
          </cell>
          <cell r="K145">
            <v>55.916553000696197</v>
          </cell>
          <cell r="L145">
            <v>46.901569706717702</v>
          </cell>
          <cell r="M145">
            <v>5.3489647809514098</v>
          </cell>
          <cell r="N145">
            <v>65.394872424891801</v>
          </cell>
          <cell r="O145">
            <v>164.585883281571</v>
          </cell>
          <cell r="P145">
            <v>0.63380209987725999</v>
          </cell>
          <cell r="Q145">
            <v>2.5303808702997199</v>
          </cell>
          <cell r="R145">
            <v>104.527779096072</v>
          </cell>
          <cell r="S145">
            <v>2054.2194129108302</v>
          </cell>
          <cell r="T145">
            <v>709.11684778855999</v>
          </cell>
          <cell r="U145">
            <v>290.57844365090398</v>
          </cell>
          <cell r="V145">
            <v>267.76177137988799</v>
          </cell>
          <cell r="W145">
            <v>266.403762604527</v>
          </cell>
          <cell r="X145">
            <v>520.35858748695296</v>
          </cell>
          <cell r="Y145">
            <v>51.284124517975201</v>
          </cell>
          <cell r="Z145">
            <v>3385.9212889764399</v>
          </cell>
        </row>
        <row r="146">
          <cell r="A146" t="str">
            <v>Selangor</v>
          </cell>
          <cell r="B146">
            <v>10</v>
          </cell>
          <cell r="C146">
            <v>2767.08637642542</v>
          </cell>
          <cell r="D146">
            <v>1820.29293336213</v>
          </cell>
          <cell r="E146">
            <v>4.4435296450322896</v>
          </cell>
          <cell r="F146">
            <v>942.34991341826003</v>
          </cell>
          <cell r="I146">
            <v>131.697998796847</v>
          </cell>
          <cell r="J146">
            <v>52570.440498427997</v>
          </cell>
          <cell r="K146">
            <v>8462.3134701883191</v>
          </cell>
          <cell r="L146">
            <v>588.93175652236403</v>
          </cell>
          <cell r="M146">
            <v>3075.9646553236098</v>
          </cell>
          <cell r="N146">
            <v>7589.64097187274</v>
          </cell>
          <cell r="O146">
            <v>7971.0594568084098</v>
          </cell>
          <cell r="P146">
            <v>12269.9170350355</v>
          </cell>
          <cell r="Q146">
            <v>12612.613152677</v>
          </cell>
          <cell r="R146">
            <v>7881.1943849313302</v>
          </cell>
          <cell r="S146">
            <v>96132.655217595297</v>
          </cell>
          <cell r="T146">
            <v>22998.0823201739</v>
          </cell>
          <cell r="U146">
            <v>31903.082917761101</v>
          </cell>
          <cell r="V146">
            <v>25513.710287414498</v>
          </cell>
          <cell r="W146">
            <v>7886.0997908309901</v>
          </cell>
          <cell r="X146">
            <v>7831.6799014148501</v>
          </cell>
          <cell r="Y146">
            <v>5268.2420999035103</v>
          </cell>
          <cell r="Z146">
            <v>164751.31657607999</v>
          </cell>
        </row>
        <row r="147">
          <cell r="A147" t="str">
            <v>Terengganu</v>
          </cell>
          <cell r="B147">
            <v>11</v>
          </cell>
          <cell r="C147">
            <v>1552.46893375229</v>
          </cell>
          <cell r="D147">
            <v>1208.9483804997501</v>
          </cell>
          <cell r="E147">
            <v>106.315710638803</v>
          </cell>
          <cell r="F147">
            <v>237.20484261373599</v>
          </cell>
          <cell r="I147">
            <v>16.019035491132101</v>
          </cell>
          <cell r="J147">
            <v>7150.1795860023003</v>
          </cell>
          <cell r="K147">
            <v>72.750622101171899</v>
          </cell>
          <cell r="L147">
            <v>49.844395080289402</v>
          </cell>
          <cell r="M147">
            <v>95.600371067727593</v>
          </cell>
          <cell r="N147">
            <v>6431.6391186826704</v>
          </cell>
          <cell r="O147">
            <v>433.51495093672702</v>
          </cell>
          <cell r="P147">
            <v>2.6391065351343701</v>
          </cell>
          <cell r="Q147">
            <v>64.191021598576896</v>
          </cell>
          <cell r="R147">
            <v>630.31504073162705</v>
          </cell>
          <cell r="S147">
            <v>9611.7817101928395</v>
          </cell>
          <cell r="T147">
            <v>3784.4333205268799</v>
          </cell>
          <cell r="U147">
            <v>1716.69282592134</v>
          </cell>
          <cell r="V147">
            <v>872.62195406933404</v>
          </cell>
          <cell r="W147">
            <v>942.05491951014301</v>
          </cell>
          <cell r="X147">
            <v>2295.9786901651401</v>
          </cell>
          <cell r="Y147">
            <v>18.8788935523413</v>
          </cell>
          <cell r="Z147">
            <v>18979.643199722501</v>
          </cell>
        </row>
        <row r="148">
          <cell r="A148" t="str">
            <v>Sabah</v>
          </cell>
          <cell r="B148">
            <v>12</v>
          </cell>
          <cell r="C148">
            <v>9762.6643991100209</v>
          </cell>
          <cell r="D148">
            <v>6808.2818181788698</v>
          </cell>
          <cell r="E148">
            <v>1130.05771756577</v>
          </cell>
          <cell r="F148">
            <v>1824.32486336538</v>
          </cell>
          <cell r="I148">
            <v>8338.7153392117998</v>
          </cell>
          <cell r="J148">
            <v>3485.83513399293</v>
          </cell>
          <cell r="K148">
            <v>1965.3275502660599</v>
          </cell>
          <cell r="L148">
            <v>40.138131403280298</v>
          </cell>
          <cell r="M148">
            <v>751.94990360398799</v>
          </cell>
          <cell r="N148">
            <v>187.20762084578999</v>
          </cell>
          <cell r="O148">
            <v>385.16721142754301</v>
          </cell>
          <cell r="P148">
            <v>11.5935278978917</v>
          </cell>
          <cell r="Q148">
            <v>144.451188548381</v>
          </cell>
          <cell r="R148">
            <v>1126.6769793170699</v>
          </cell>
          <cell r="S148">
            <v>19777.2345872021</v>
          </cell>
          <cell r="T148">
            <v>3692.8363324576499</v>
          </cell>
          <cell r="U148">
            <v>6529.3477103989499</v>
          </cell>
          <cell r="V148">
            <v>3986.4005343040499</v>
          </cell>
          <cell r="W148">
            <v>1779.7816860943699</v>
          </cell>
          <cell r="X148">
            <v>3788.8683239471102</v>
          </cell>
          <cell r="Y148">
            <v>188.95297615947101</v>
          </cell>
          <cell r="Z148">
            <v>42680.079414993401</v>
          </cell>
        </row>
        <row r="149">
          <cell r="A149" t="str">
            <v>Sarawak</v>
          </cell>
          <cell r="B149">
            <v>13</v>
          </cell>
          <cell r="C149">
            <v>8156.8061992557195</v>
          </cell>
          <cell r="D149">
            <v>4421.7470795900499</v>
          </cell>
          <cell r="E149">
            <v>3315.8120835161599</v>
          </cell>
          <cell r="F149">
            <v>419.24703614950897</v>
          </cell>
          <cell r="I149">
            <v>16468.675984960999</v>
          </cell>
          <cell r="J149">
            <v>19237.230994002901</v>
          </cell>
          <cell r="K149">
            <v>743.12154758013605</v>
          </cell>
          <cell r="L149">
            <v>17.2653490955684</v>
          </cell>
          <cell r="M149">
            <v>1460.07702792091</v>
          </cell>
          <cell r="N149">
            <v>15603.075006376799</v>
          </cell>
          <cell r="O149">
            <v>531.43566931436601</v>
          </cell>
          <cell r="P149">
            <v>519.61312274619695</v>
          </cell>
          <cell r="Q149">
            <v>362.64327096890099</v>
          </cell>
          <cell r="R149">
            <v>1853.13827443629</v>
          </cell>
          <cell r="S149">
            <v>24865.690281203799</v>
          </cell>
          <cell r="T149">
            <v>5514.6440295412403</v>
          </cell>
          <cell r="U149">
            <v>6746.93963796966</v>
          </cell>
          <cell r="V149">
            <v>6353.7916732137101</v>
          </cell>
          <cell r="W149">
            <v>2446.2213223705098</v>
          </cell>
          <cell r="X149">
            <v>3804.0936181087</v>
          </cell>
          <cell r="Y149">
            <v>267.73525855394098</v>
          </cell>
          <cell r="Z149">
            <v>70849.276992413696</v>
          </cell>
        </row>
        <row r="150">
          <cell r="A150" t="str">
            <v>WP Kuala Lumpur</v>
          </cell>
          <cell r="B150">
            <v>14</v>
          </cell>
          <cell r="C150">
            <v>1.24387042126951</v>
          </cell>
          <cell r="D150">
            <v>1.24387042126951</v>
          </cell>
          <cell r="E150">
            <v>0</v>
          </cell>
          <cell r="F150">
            <v>0</v>
          </cell>
          <cell r="I150">
            <v>29.177846085608</v>
          </cell>
          <cell r="J150">
            <v>4191.4178190179</v>
          </cell>
          <cell r="K150">
            <v>477.410169366898</v>
          </cell>
          <cell r="L150">
            <v>357.96346168164303</v>
          </cell>
          <cell r="M150">
            <v>651.82256045911004</v>
          </cell>
          <cell r="N150">
            <v>594.49307170547695</v>
          </cell>
          <cell r="O150">
            <v>733.32068762187805</v>
          </cell>
          <cell r="P150">
            <v>590.556975177249</v>
          </cell>
          <cell r="Q150">
            <v>785.85089300564005</v>
          </cell>
          <cell r="R150">
            <v>4319.6268447909597</v>
          </cell>
          <cell r="S150">
            <v>96657.319919448797</v>
          </cell>
          <cell r="T150">
            <v>6210.3238635634698</v>
          </cell>
          <cell r="U150">
            <v>35959.740207130599</v>
          </cell>
          <cell r="V150">
            <v>36665.138082038997</v>
          </cell>
          <cell r="W150">
            <v>4851.3507236140604</v>
          </cell>
          <cell r="X150">
            <v>12970.7670431017</v>
          </cell>
          <cell r="Y150">
            <v>1416.5103889326899</v>
          </cell>
          <cell r="Z150">
            <v>106615.296688697</v>
          </cell>
        </row>
        <row r="151">
          <cell r="A151" t="str">
            <v>WP Labuan</v>
          </cell>
          <cell r="B151">
            <v>15</v>
          </cell>
          <cell r="C151">
            <v>117.11069312423901</v>
          </cell>
          <cell r="D151">
            <v>7.4243868978416998</v>
          </cell>
          <cell r="E151">
            <v>0</v>
          </cell>
          <cell r="F151">
            <v>109.68630622639699</v>
          </cell>
          <cell r="I151">
            <v>0</v>
          </cell>
          <cell r="J151">
            <v>675.99673600364702</v>
          </cell>
          <cell r="K151">
            <v>11.968795512479501</v>
          </cell>
          <cell r="L151">
            <v>3.12302264569517</v>
          </cell>
          <cell r="M151">
            <v>1.0817751066401999</v>
          </cell>
          <cell r="N151">
            <v>384.477929241298</v>
          </cell>
          <cell r="O151">
            <v>245.74246600732599</v>
          </cell>
          <cell r="P151">
            <v>1.16184462992306</v>
          </cell>
          <cell r="Q151">
            <v>28.440902860284702</v>
          </cell>
          <cell r="R151">
            <v>22.3729073478722</v>
          </cell>
          <cell r="S151">
            <v>2170.13164919668</v>
          </cell>
          <cell r="T151">
            <v>212.114420540499</v>
          </cell>
          <cell r="U151">
            <v>249.27503538414001</v>
          </cell>
          <cell r="V151">
            <v>1532.5311261024799</v>
          </cell>
          <cell r="W151">
            <v>70.540807183286006</v>
          </cell>
          <cell r="X151">
            <v>105.670259986275</v>
          </cell>
          <cell r="Y151">
            <v>21.804599511489702</v>
          </cell>
          <cell r="Z151">
            <v>3007.4165851839298</v>
          </cell>
        </row>
        <row r="152">
          <cell r="A152" t="str">
            <v>Supra1</v>
          </cell>
          <cell r="C152">
            <v>0</v>
          </cell>
          <cell r="D152">
            <v>0</v>
          </cell>
          <cell r="E152">
            <v>0</v>
          </cell>
          <cell r="F152">
            <v>0</v>
          </cell>
          <cell r="I152">
            <v>37139.136922086698</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37139.136922086698</v>
          </cell>
        </row>
        <row r="153">
          <cell r="A153" t="str">
            <v>MALAYSIA</v>
          </cell>
          <cell r="C153">
            <v>54249.519974704599</v>
          </cell>
          <cell r="D153">
            <v>40021.972903782</v>
          </cell>
          <cell r="E153">
            <v>6451.5786828500004</v>
          </cell>
          <cell r="F153">
            <v>7775.9683880726898</v>
          </cell>
          <cell r="I153">
            <v>62606.782051177499</v>
          </cell>
          <cell r="J153">
            <v>178236.70292299401</v>
          </cell>
          <cell r="K153">
            <v>19693.4564953505</v>
          </cell>
          <cell r="L153">
            <v>3476.92055345873</v>
          </cell>
          <cell r="M153">
            <v>10971.7802226857</v>
          </cell>
          <cell r="N153">
            <v>52812.754189258303</v>
          </cell>
          <cell r="O153">
            <v>23182.155565332301</v>
          </cell>
          <cell r="P153">
            <v>44783.548718760401</v>
          </cell>
          <cell r="Q153">
            <v>23316.0871781485</v>
          </cell>
          <cell r="R153">
            <v>22463.891320754501</v>
          </cell>
          <cell r="S153">
            <v>385549.59967583802</v>
          </cell>
          <cell r="T153">
            <v>70785.368836904498</v>
          </cell>
          <cell r="U153">
            <v>119465.83732880899</v>
          </cell>
          <cell r="V153">
            <v>104211.023486461</v>
          </cell>
          <cell r="W153">
            <v>36175.766187647903</v>
          </cell>
          <cell r="X153">
            <v>54911.603836015602</v>
          </cell>
          <cell r="Y153">
            <v>8653.31271141447</v>
          </cell>
          <cell r="Z153">
            <v>711759.80865688296</v>
          </cell>
        </row>
        <row r="156">
          <cell r="A156" t="str">
            <v>CONSTANT</v>
          </cell>
          <cell r="B156" t="str">
            <v>Industry</v>
          </cell>
          <cell r="D156">
            <v>1</v>
          </cell>
          <cell r="E156">
            <v>2</v>
          </cell>
          <cell r="F156">
            <v>3</v>
          </cell>
          <cell r="I156">
            <v>4</v>
          </cell>
          <cell r="K156">
            <v>6</v>
          </cell>
          <cell r="L156">
            <v>7</v>
          </cell>
          <cell r="M156">
            <v>8</v>
          </cell>
          <cell r="N156">
            <v>9</v>
          </cell>
          <cell r="O156">
            <v>10</v>
          </cell>
          <cell r="P156">
            <v>11</v>
          </cell>
          <cell r="Q156">
            <v>12</v>
          </cell>
          <cell r="R156">
            <v>5</v>
          </cell>
          <cell r="T156">
            <v>13</v>
          </cell>
          <cell r="U156">
            <v>14</v>
          </cell>
          <cell r="V156">
            <v>15</v>
          </cell>
          <cell r="W156">
            <v>16</v>
          </cell>
        </row>
        <row r="157">
          <cell r="A157">
            <v>2012</v>
          </cell>
          <cell r="B157" t="str">
            <v>I</v>
          </cell>
          <cell r="C157" t="str">
            <v>Agriculture</v>
          </cell>
          <cell r="D157" t="str">
            <v>Tanaman</v>
          </cell>
          <cell r="E157" t="str">
            <v>Pembalakan</v>
          </cell>
          <cell r="F157" t="str">
            <v>Perikanan</v>
          </cell>
          <cell r="I157" t="str">
            <v>Mining andQuarrying</v>
          </cell>
          <cell r="J157" t="str">
            <v>Manufacturing</v>
          </cell>
          <cell r="K157" t="str">
            <v>Prosesan Makanan, Minuman dan Produk Tembakau</v>
          </cell>
          <cell r="L157" t="str">
            <v>Tekstil, Pakaian, Kulit dan Kasut</v>
          </cell>
          <cell r="M157" t="str">
            <v>Keluaran Kayu, Perabot, Produk Kertas, Percetakan dan Penerbitan</v>
          </cell>
          <cell r="N157" t="str">
            <v>Produk Petroleum, Bahan kimia, Getah dan Plastik</v>
          </cell>
          <cell r="O157" t="str">
            <v>Produk Mineral Bukan Logam, Logam Asli dan Produk Logam Yang Direka</v>
          </cell>
          <cell r="P157" t="str">
            <v>Elektrik dan Elektronik</v>
          </cell>
          <cell r="Q157" t="str">
            <v>Kelengkapan Pengangkutan dan Pembuatan Lain</v>
          </cell>
          <cell r="R157" t="str">
            <v>Construction</v>
          </cell>
          <cell r="S157" t="str">
            <v>Services</v>
          </cell>
          <cell r="T157" t="str">
            <v>Utiliti, Transport &amp; Communication</v>
          </cell>
          <cell r="U157" t="str">
            <v>WRT, Accomm &amp; Restaurant</v>
          </cell>
          <cell r="V157" t="str">
            <v>Finance &amp; Insurance, Real Estate &amp; Business Services</v>
          </cell>
          <cell r="W157" t="str">
            <v>Other Services</v>
          </cell>
          <cell r="X157" t="str">
            <v>Government Services</v>
          </cell>
          <cell r="Y157" t="str">
            <v>Plus :Import Duties</v>
          </cell>
          <cell r="Z157" t="str">
            <v>GDP atPurchasers' Prices</v>
          </cell>
        </row>
        <row r="158">
          <cell r="A158" t="str">
            <v>States</v>
          </cell>
          <cell r="B158" t="str">
            <v>Converter</v>
          </cell>
        </row>
        <row r="159">
          <cell r="A159" t="str">
            <v>Johor</v>
          </cell>
          <cell r="B159" t="str">
            <v>01</v>
          </cell>
          <cell r="C159">
            <v>8499.4218517199697</v>
          </cell>
          <cell r="D159">
            <v>7783.5626301690099</v>
          </cell>
          <cell r="E159">
            <v>51.240439222884099</v>
          </cell>
          <cell r="F159">
            <v>664.61878232807805</v>
          </cell>
          <cell r="G159">
            <v>0.15463940606465801</v>
          </cell>
          <cell r="I159">
            <v>83.602205875010398</v>
          </cell>
          <cell r="J159">
            <v>23335.579222503799</v>
          </cell>
          <cell r="K159">
            <v>2384.9944810836</v>
          </cell>
          <cell r="L159">
            <v>803.22775155407896</v>
          </cell>
          <cell r="M159">
            <v>1954.8936695171799</v>
          </cell>
          <cell r="N159">
            <v>5718.6914071588599</v>
          </cell>
          <cell r="O159">
            <v>3447.4076611442301</v>
          </cell>
          <cell r="P159">
            <v>6865.7990857122004</v>
          </cell>
          <cell r="Q159">
            <v>2160.5651663336598</v>
          </cell>
          <cell r="R159">
            <v>2396.8275009154299</v>
          </cell>
          <cell r="S159">
            <v>33782.405338582699</v>
          </cell>
          <cell r="T159">
            <v>7897.7516776400398</v>
          </cell>
          <cell r="U159">
            <v>8012.3480062305498</v>
          </cell>
          <cell r="V159">
            <v>9120.3161603454701</v>
          </cell>
          <cell r="W159">
            <v>3207.6190302516102</v>
          </cell>
          <cell r="X159">
            <v>5544.3704641150098</v>
          </cell>
          <cell r="Y159">
            <v>800.812800413991</v>
          </cell>
          <cell r="Z159">
            <v>68898.648920010906</v>
          </cell>
        </row>
        <row r="160">
          <cell r="A160" t="str">
            <v>Kedah</v>
          </cell>
          <cell r="B160" t="str">
            <v>02</v>
          </cell>
          <cell r="C160">
            <v>3009.94019090659</v>
          </cell>
          <cell r="D160">
            <v>2554.6195932220799</v>
          </cell>
          <cell r="E160">
            <v>123.378197064894</v>
          </cell>
          <cell r="F160">
            <v>331.94240061961898</v>
          </cell>
          <cell r="G160">
            <v>5.4763179370576398E-2</v>
          </cell>
          <cell r="I160">
            <v>23.8407354480149</v>
          </cell>
          <cell r="J160">
            <v>7852.3278784926597</v>
          </cell>
          <cell r="K160">
            <v>417.387571177947</v>
          </cell>
          <cell r="L160">
            <v>69.608720550380596</v>
          </cell>
          <cell r="M160">
            <v>444.22270973482699</v>
          </cell>
          <cell r="N160">
            <v>1532.04141797544</v>
          </cell>
          <cell r="O160">
            <v>2267.31651116794</v>
          </cell>
          <cell r="P160">
            <v>1461.3628673466601</v>
          </cell>
          <cell r="Q160">
            <v>1660.3880805394599</v>
          </cell>
          <cell r="R160">
            <v>608.71591516866397</v>
          </cell>
          <cell r="S160">
            <v>13620.779676312401</v>
          </cell>
          <cell r="T160">
            <v>2071.2184624998099</v>
          </cell>
          <cell r="U160">
            <v>3420.75428742962</v>
          </cell>
          <cell r="V160">
            <v>2708.0878666175499</v>
          </cell>
          <cell r="W160">
            <v>2059.8288262041201</v>
          </cell>
          <cell r="X160">
            <v>3360.8902335612702</v>
          </cell>
          <cell r="Y160">
            <v>162.18437680457501</v>
          </cell>
          <cell r="Z160">
            <v>25277.788773132899</v>
          </cell>
        </row>
        <row r="161">
          <cell r="A161" t="str">
            <v>Kelantan</v>
          </cell>
          <cell r="B161" t="str">
            <v>03</v>
          </cell>
          <cell r="C161">
            <v>3262.4567104921998</v>
          </cell>
          <cell r="D161">
            <v>2250.5871077659899</v>
          </cell>
          <cell r="E161">
            <v>734.76561747199298</v>
          </cell>
          <cell r="F161">
            <v>277.103985254218</v>
          </cell>
          <cell r="G161">
            <v>5.9357492406389697E-2</v>
          </cell>
          <cell r="I161">
            <v>20.8263133276708</v>
          </cell>
          <cell r="J161">
            <v>738.65286341165302</v>
          </cell>
          <cell r="K161">
            <v>121.930680436836</v>
          </cell>
          <cell r="L161">
            <v>34.341427716386399</v>
          </cell>
          <cell r="M161">
            <v>89.344443006500001</v>
          </cell>
          <cell r="N161">
            <v>138.81990381377199</v>
          </cell>
          <cell r="O161">
            <v>82.708519649512596</v>
          </cell>
          <cell r="P161">
            <v>263.84021340804901</v>
          </cell>
          <cell r="Q161">
            <v>7.6676753805969904</v>
          </cell>
          <cell r="R161">
            <v>229.330293967751</v>
          </cell>
          <cell r="S161">
            <v>9200.7164610651598</v>
          </cell>
          <cell r="T161">
            <v>1071.76897967985</v>
          </cell>
          <cell r="U161">
            <v>2405.7632464046701</v>
          </cell>
          <cell r="V161">
            <v>1136.4926705640601</v>
          </cell>
          <cell r="W161">
            <v>1458.1604456141899</v>
          </cell>
          <cell r="X161">
            <v>3128.5311188023802</v>
          </cell>
          <cell r="Y161">
            <v>23.7258058290783</v>
          </cell>
          <cell r="Z161">
            <v>13475.708448093499</v>
          </cell>
        </row>
        <row r="162">
          <cell r="A162" t="str">
            <v>Melaka</v>
          </cell>
          <cell r="B162" t="str">
            <v>04</v>
          </cell>
          <cell r="C162">
            <v>1995.8493017109399</v>
          </cell>
          <cell r="D162">
            <v>1963.31852716869</v>
          </cell>
          <cell r="E162">
            <v>0.39058176207543599</v>
          </cell>
          <cell r="F162">
            <v>32.140192780177998</v>
          </cell>
          <cell r="G162">
            <v>3.6312699380686098E-2</v>
          </cell>
          <cell r="I162">
            <v>10.112475782248399</v>
          </cell>
          <cell r="J162">
            <v>9030.2724552780401</v>
          </cell>
          <cell r="K162">
            <v>434.128731387242</v>
          </cell>
          <cell r="L162">
            <v>318.857407893573</v>
          </cell>
          <cell r="M162">
            <v>310.77061575848802</v>
          </cell>
          <cell r="N162">
            <v>4284.8676574412002</v>
          </cell>
          <cell r="O162">
            <v>603.60247547495601</v>
          </cell>
          <cell r="P162">
            <v>1962.95647946808</v>
          </cell>
          <cell r="Q162">
            <v>1115.0890878544999</v>
          </cell>
          <cell r="R162">
            <v>906.07056889400201</v>
          </cell>
          <cell r="S162">
            <v>9987.0896910489791</v>
          </cell>
          <cell r="T162">
            <v>1798.9941127745799</v>
          </cell>
          <cell r="U162">
            <v>3361.5379170567999</v>
          </cell>
          <cell r="V162">
            <v>2005.7729690097899</v>
          </cell>
          <cell r="W162">
            <v>1242.2031321719701</v>
          </cell>
          <cell r="X162">
            <v>1578.5815600358301</v>
          </cell>
          <cell r="Y162">
            <v>14.9902807526153</v>
          </cell>
          <cell r="Z162">
            <v>21944.384773466802</v>
          </cell>
        </row>
        <row r="163">
          <cell r="A163" t="str">
            <v>Negeri Sembilan</v>
          </cell>
          <cell r="B163" t="str">
            <v>05</v>
          </cell>
          <cell r="C163">
            <v>2178.3218620282901</v>
          </cell>
          <cell r="D163">
            <v>2085.0131844757002</v>
          </cell>
          <cell r="E163">
            <v>55.560231758910902</v>
          </cell>
          <cell r="F163">
            <v>37.748445793678499</v>
          </cell>
          <cell r="G163">
            <v>3.9632624999492903E-2</v>
          </cell>
          <cell r="I163">
            <v>24.547725203308701</v>
          </cell>
          <cell r="J163">
            <v>13395.1562030438</v>
          </cell>
          <cell r="K163">
            <v>1404.23409852379</v>
          </cell>
          <cell r="L163">
            <v>154.13558282628901</v>
          </cell>
          <cell r="M163">
            <v>377.63597594698098</v>
          </cell>
          <cell r="N163">
            <v>4200.1271776031599</v>
          </cell>
          <cell r="O163">
            <v>1376.61332146723</v>
          </cell>
          <cell r="P163">
            <v>4961.4208362988302</v>
          </cell>
          <cell r="Q163">
            <v>920.98921037754201</v>
          </cell>
          <cell r="R163">
            <v>692.98365234048401</v>
          </cell>
          <cell r="S163">
            <v>11246.0146058912</v>
          </cell>
          <cell r="T163">
            <v>2698.3269749730998</v>
          </cell>
          <cell r="U163">
            <v>2829.1290745413799</v>
          </cell>
          <cell r="V163">
            <v>2282.3660477152498</v>
          </cell>
          <cell r="W163">
            <v>1477.5476179959001</v>
          </cell>
          <cell r="X163">
            <v>1958.6448906656001</v>
          </cell>
          <cell r="Y163">
            <v>192.899309524085</v>
          </cell>
          <cell r="Z163">
            <v>27729.923358031199</v>
          </cell>
        </row>
        <row r="164">
          <cell r="A164" t="str">
            <v>Pahang</v>
          </cell>
          <cell r="B164" t="str">
            <v>06</v>
          </cell>
          <cell r="C164">
            <v>6186.9160992104498</v>
          </cell>
          <cell r="D164">
            <v>4853.9136400778098</v>
          </cell>
          <cell r="E164">
            <v>618.26544097006297</v>
          </cell>
          <cell r="F164">
            <v>714.73701816257801</v>
          </cell>
          <cell r="G164">
            <v>0.112565424760057</v>
          </cell>
          <cell r="I164">
            <v>217.359376893844</v>
          </cell>
          <cell r="J164">
            <v>7840.7354493851699</v>
          </cell>
          <cell r="K164">
            <v>921.13494044889899</v>
          </cell>
          <cell r="L164">
            <v>24.5124190688624</v>
          </cell>
          <cell r="M164">
            <v>663.69193611557898</v>
          </cell>
          <cell r="N164">
            <v>3241.8604524095999</v>
          </cell>
          <cell r="O164">
            <v>695.63913978494304</v>
          </cell>
          <cell r="P164">
            <v>111.938733734124</v>
          </cell>
          <cell r="Q164">
            <v>2181.9578278231602</v>
          </cell>
          <cell r="R164">
            <v>873.18496104557403</v>
          </cell>
          <cell r="S164">
            <v>15659.750870359499</v>
          </cell>
          <cell r="T164">
            <v>1691.3184155062499</v>
          </cell>
          <cell r="U164">
            <v>4904.6667933857998</v>
          </cell>
          <cell r="V164">
            <v>2217.20133966291</v>
          </cell>
          <cell r="W164">
            <v>3769.4414987309101</v>
          </cell>
          <cell r="X164">
            <v>3077.1228230736301</v>
          </cell>
          <cell r="Y164">
            <v>13.0358987515222</v>
          </cell>
          <cell r="Z164">
            <v>30790.982655645999</v>
          </cell>
        </row>
        <row r="165">
          <cell r="A165" t="str">
            <v>Pulau Pinang</v>
          </cell>
          <cell r="B165" t="str">
            <v>07</v>
          </cell>
          <cell r="C165">
            <v>989.80258396112697</v>
          </cell>
          <cell r="D165">
            <v>731.18001689310802</v>
          </cell>
          <cell r="E165">
            <v>0</v>
          </cell>
          <cell r="F165">
            <v>258.62256706801901</v>
          </cell>
          <cell r="G165">
            <v>1.80085759214361E-2</v>
          </cell>
          <cell r="I165">
            <v>23.613817931912699</v>
          </cell>
          <cell r="J165">
            <v>25411.130030250599</v>
          </cell>
          <cell r="K165">
            <v>1116.18410179394</v>
          </cell>
          <cell r="L165">
            <v>557.74037962954003</v>
          </cell>
          <cell r="M165">
            <v>941.05670776516104</v>
          </cell>
          <cell r="N165">
            <v>3093.2856699724598</v>
          </cell>
          <cell r="O165">
            <v>2867.05691055339</v>
          </cell>
          <cell r="P165">
            <v>14782.768237495</v>
          </cell>
          <cell r="Q165">
            <v>2053.0380230411101</v>
          </cell>
          <cell r="R165">
            <v>1315.23847144556</v>
          </cell>
          <cell r="S165">
            <v>24422.409262104</v>
          </cell>
          <cell r="T165">
            <v>5238.1382224018898</v>
          </cell>
          <cell r="U165">
            <v>6805.9446619393602</v>
          </cell>
          <cell r="V165">
            <v>7037.9922403077799</v>
          </cell>
          <cell r="W165">
            <v>2400.4074616410999</v>
          </cell>
          <cell r="X165">
            <v>2939.9266758138701</v>
          </cell>
          <cell r="Y165">
            <v>409.251633926681</v>
          </cell>
          <cell r="Z165">
            <v>52571.445799619898</v>
          </cell>
        </row>
        <row r="166">
          <cell r="A166" t="str">
            <v>Perak</v>
          </cell>
          <cell r="B166" t="str">
            <v>08</v>
          </cell>
          <cell r="C166">
            <v>5777.0457466808703</v>
          </cell>
          <cell r="D166">
            <v>3862.19796005239</v>
          </cell>
          <cell r="E166">
            <v>394.62302985883701</v>
          </cell>
          <cell r="F166">
            <v>1520.22475676964</v>
          </cell>
          <cell r="G166">
            <v>0.105108198964651</v>
          </cell>
          <cell r="I166">
            <v>144.193924989701</v>
          </cell>
          <cell r="J166">
            <v>7658.3546612541304</v>
          </cell>
          <cell r="K166">
            <v>1144.3863777085901</v>
          </cell>
          <cell r="L166">
            <v>172.43056360591399</v>
          </cell>
          <cell r="M166">
            <v>358.66049496469998</v>
          </cell>
          <cell r="N166">
            <v>1523.67813732734</v>
          </cell>
          <cell r="O166">
            <v>1987.3948583144499</v>
          </cell>
          <cell r="P166">
            <v>1886.0720866904301</v>
          </cell>
          <cell r="Q166">
            <v>585.73214264271496</v>
          </cell>
          <cell r="R166">
            <v>1094.74508694509</v>
          </cell>
          <cell r="S166">
            <v>24996.424320652299</v>
          </cell>
          <cell r="T166">
            <v>7426.02319259669</v>
          </cell>
          <cell r="U166">
            <v>5813.2685737843503</v>
          </cell>
          <cell r="V166">
            <v>4407.5073150541803</v>
          </cell>
          <cell r="W166">
            <v>2918.08730203393</v>
          </cell>
          <cell r="X166">
            <v>4431.5379371831596</v>
          </cell>
          <cell r="Y166">
            <v>17.4797376965506</v>
          </cell>
          <cell r="Z166">
            <v>39688.243478218603</v>
          </cell>
        </row>
        <row r="167">
          <cell r="A167" t="str">
            <v>Perlis</v>
          </cell>
          <cell r="B167" t="str">
            <v>09</v>
          </cell>
          <cell r="C167">
            <v>840.538276068605</v>
          </cell>
          <cell r="D167">
            <v>270.98791001991299</v>
          </cell>
          <cell r="E167">
            <v>0</v>
          </cell>
          <cell r="F167">
            <v>569.55036604869304</v>
          </cell>
          <cell r="G167">
            <v>1.52928448609192E-2</v>
          </cell>
          <cell r="I167">
            <v>7.8630705016069902</v>
          </cell>
          <cell r="J167">
            <v>352.23233548238699</v>
          </cell>
          <cell r="K167">
            <v>53.017986483786302</v>
          </cell>
          <cell r="L167">
            <v>39.382493442889498</v>
          </cell>
          <cell r="M167">
            <v>5.9428648207202901</v>
          </cell>
          <cell r="N167">
            <v>80.746387238501597</v>
          </cell>
          <cell r="O167">
            <v>169.70931767045701</v>
          </cell>
          <cell r="P167">
            <v>0.69130164414456396</v>
          </cell>
          <cell r="Q167">
            <v>2.7419841818873198</v>
          </cell>
          <cell r="R167">
            <v>96.636789889015802</v>
          </cell>
          <cell r="S167">
            <v>2169.5388495278098</v>
          </cell>
          <cell r="T167">
            <v>714.25395061898701</v>
          </cell>
          <cell r="U167">
            <v>306.55834603921801</v>
          </cell>
          <cell r="V167">
            <v>290.30374323946802</v>
          </cell>
          <cell r="W167">
            <v>271.94986652155899</v>
          </cell>
          <cell r="X167">
            <v>586.47294310857797</v>
          </cell>
          <cell r="Y167">
            <v>70.382385332018401</v>
          </cell>
          <cell r="Z167">
            <v>3537.19170680144</v>
          </cell>
        </row>
        <row r="168">
          <cell r="A168" t="str">
            <v>Selangor</v>
          </cell>
          <cell r="B168">
            <v>10</v>
          </cell>
          <cell r="C168">
            <v>2928.79880005116</v>
          </cell>
          <cell r="D168">
            <v>1971.2635139516201</v>
          </cell>
          <cell r="E168">
            <v>4.8506169140214004</v>
          </cell>
          <cell r="F168">
            <v>952.68466918551405</v>
          </cell>
          <cell r="G168">
            <v>5.3286884075666903E-2</v>
          </cell>
          <cell r="I168">
            <v>153.77570318972201</v>
          </cell>
          <cell r="J168">
            <v>55497.7252193596</v>
          </cell>
          <cell r="K168">
            <v>9159.8025759456996</v>
          </cell>
          <cell r="L168">
            <v>625.767748752545</v>
          </cell>
          <cell r="M168">
            <v>3214.7585001345501</v>
          </cell>
          <cell r="N168">
            <v>8447.6700463326197</v>
          </cell>
          <cell r="O168">
            <v>8951.4411725459795</v>
          </cell>
          <cell r="P168">
            <v>12259.2422725042</v>
          </cell>
          <cell r="Q168">
            <v>12839.042903144</v>
          </cell>
          <cell r="R168">
            <v>8790.1616960969004</v>
          </cell>
          <cell r="S168">
            <v>102760.30219111399</v>
          </cell>
          <cell r="T168">
            <v>24475.201271004498</v>
          </cell>
          <cell r="U168">
            <v>33681.349755677802</v>
          </cell>
          <cell r="V168">
            <v>27814.3804078301</v>
          </cell>
          <cell r="W168">
            <v>8293.8449333607405</v>
          </cell>
          <cell r="X168">
            <v>8495.5258232406104</v>
          </cell>
          <cell r="Y168">
            <v>6246.4646222930396</v>
          </cell>
          <cell r="Z168">
            <v>176377.22823210401</v>
          </cell>
        </row>
        <row r="169">
          <cell r="A169" t="str">
            <v>Terengganu</v>
          </cell>
          <cell r="B169">
            <v>11</v>
          </cell>
          <cell r="C169">
            <v>1531.3159056412901</v>
          </cell>
          <cell r="D169">
            <v>1173.2488906353201</v>
          </cell>
          <cell r="E169">
            <v>105.25399571146001</v>
          </cell>
          <cell r="F169">
            <v>252.81301929451001</v>
          </cell>
          <cell r="G169">
            <v>2.78609282227604E-2</v>
          </cell>
          <cell r="I169">
            <v>19.008965710570099</v>
          </cell>
          <cell r="J169">
            <v>7439.8439621940197</v>
          </cell>
          <cell r="K169">
            <v>69.566267526971004</v>
          </cell>
          <cell r="L169">
            <v>41.994834169779999</v>
          </cell>
          <cell r="M169">
            <v>98.716020292595402</v>
          </cell>
          <cell r="N169">
            <v>6709.35250879049</v>
          </cell>
          <cell r="O169">
            <v>444.64474978085201</v>
          </cell>
          <cell r="P169">
            <v>2.8853506400709299</v>
          </cell>
          <cell r="Q169">
            <v>72.684230993260897</v>
          </cell>
          <cell r="R169">
            <v>757.06310618569501</v>
          </cell>
          <cell r="S169">
            <v>9876.2824065053901</v>
          </cell>
          <cell r="T169">
            <v>3657.82275840804</v>
          </cell>
          <cell r="U169">
            <v>1813.95406392735</v>
          </cell>
          <cell r="V169">
            <v>955.97787766315901</v>
          </cell>
          <cell r="W169">
            <v>974.90481394047504</v>
          </cell>
          <cell r="X169">
            <v>2473.62289256636</v>
          </cell>
          <cell r="Y169">
            <v>18.183226823906502</v>
          </cell>
          <cell r="Z169">
            <v>19641.697573060901</v>
          </cell>
        </row>
        <row r="170">
          <cell r="A170" t="str">
            <v>Sabah</v>
          </cell>
          <cell r="B170">
            <v>12</v>
          </cell>
          <cell r="C170">
            <v>9269.2175249747906</v>
          </cell>
          <cell r="D170">
            <v>6542.96793685586</v>
          </cell>
          <cell r="E170">
            <v>822.61026313053401</v>
          </cell>
          <cell r="F170">
            <v>1903.6393249883899</v>
          </cell>
          <cell r="G170">
            <v>0.16864515231187799</v>
          </cell>
          <cell r="I170">
            <v>9167.1810231602194</v>
          </cell>
          <cell r="J170">
            <v>3495.6402054413902</v>
          </cell>
          <cell r="K170">
            <v>1915.7998950631199</v>
          </cell>
          <cell r="L170">
            <v>35.497282883448698</v>
          </cell>
          <cell r="M170">
            <v>714.88205915253502</v>
          </cell>
          <cell r="N170">
            <v>239.82227626068399</v>
          </cell>
          <cell r="O170">
            <v>426.96689276737902</v>
          </cell>
          <cell r="P170">
            <v>13.0730273936943</v>
          </cell>
          <cell r="Q170">
            <v>149.59877192052801</v>
          </cell>
          <cell r="R170">
            <v>1280.4330211776701</v>
          </cell>
          <cell r="S170">
            <v>21070.636505532999</v>
          </cell>
          <cell r="T170">
            <v>3871.8937146051799</v>
          </cell>
          <cell r="U170">
            <v>6769.5301216211701</v>
          </cell>
          <cell r="V170">
            <v>4371.2484150819801</v>
          </cell>
          <cell r="W170">
            <v>1832.0933363941101</v>
          </cell>
          <cell r="X170">
            <v>4225.8709178305198</v>
          </cell>
          <cell r="Y170">
            <v>185.703599974799</v>
          </cell>
          <cell r="Z170">
            <v>44468.811880261797</v>
          </cell>
        </row>
        <row r="171">
          <cell r="A171" t="str">
            <v>Sarawak</v>
          </cell>
          <cell r="B171">
            <v>13</v>
          </cell>
          <cell r="C171">
            <v>8370.7982938666592</v>
          </cell>
          <cell r="D171">
            <v>4642.6808537868201</v>
          </cell>
          <cell r="E171">
            <v>3247.47202584859</v>
          </cell>
          <cell r="F171">
            <v>480.64541423124399</v>
          </cell>
          <cell r="G171">
            <v>0.15229921505645</v>
          </cell>
          <cell r="I171">
            <v>15154.4470817786</v>
          </cell>
          <cell r="J171">
            <v>19399.666076773599</v>
          </cell>
          <cell r="K171">
            <v>775.58735607610095</v>
          </cell>
          <cell r="L171">
            <v>15.0745317584701</v>
          </cell>
          <cell r="M171">
            <v>1551.29563122071</v>
          </cell>
          <cell r="N171">
            <v>15501.1310661064</v>
          </cell>
          <cell r="O171">
            <v>605.64828917163697</v>
          </cell>
          <cell r="P171">
            <v>541.31617967475097</v>
          </cell>
          <cell r="Q171">
            <v>409.613022765545</v>
          </cell>
          <cell r="R171">
            <v>2262.5501826260202</v>
          </cell>
          <cell r="S171">
            <v>26443.601253813998</v>
          </cell>
          <cell r="T171">
            <v>5820.4846753634802</v>
          </cell>
          <cell r="U171">
            <v>7040.84767516391</v>
          </cell>
          <cell r="V171">
            <v>6879.62447942165</v>
          </cell>
          <cell r="W171">
            <v>2534.16565625769</v>
          </cell>
          <cell r="X171">
            <v>4168.4787676072401</v>
          </cell>
          <cell r="Y171">
            <v>248.11392658100701</v>
          </cell>
          <cell r="Z171">
            <v>71879.176815439801</v>
          </cell>
        </row>
        <row r="172">
          <cell r="A172" t="str">
            <v>WP Kuala Lumpur</v>
          </cell>
          <cell r="B172">
            <v>14</v>
          </cell>
          <cell r="C172">
            <v>1.33811879427992</v>
          </cell>
          <cell r="D172">
            <v>1.33811879427992</v>
          </cell>
          <cell r="E172">
            <v>0</v>
          </cell>
          <cell r="F172">
            <v>0</v>
          </cell>
          <cell r="G172">
            <v>2.4345878955228999E-5</v>
          </cell>
          <cell r="I172">
            <v>33.527386668321199</v>
          </cell>
          <cell r="J172">
            <v>4583.5227902265196</v>
          </cell>
          <cell r="K172">
            <v>511.31546080560298</v>
          </cell>
          <cell r="L172">
            <v>325.880583844309</v>
          </cell>
          <cell r="M172">
            <v>669.66196348636402</v>
          </cell>
          <cell r="N172">
            <v>662.33600246826995</v>
          </cell>
          <cell r="O172">
            <v>802.57089025127095</v>
          </cell>
          <cell r="P172">
            <v>666.73541628887995</v>
          </cell>
          <cell r="Q172">
            <v>945.02247308181995</v>
          </cell>
          <cell r="R172">
            <v>5302.2337156191898</v>
          </cell>
          <cell r="S172">
            <v>102775.57740821601</v>
          </cell>
          <cell r="T172">
            <v>6713.9829563593903</v>
          </cell>
          <cell r="U172">
            <v>37682.895314182198</v>
          </cell>
          <cell r="V172">
            <v>39293.579300299498</v>
          </cell>
          <cell r="W172">
            <v>5073.6181105953901</v>
          </cell>
          <cell r="X172">
            <v>14011.501726779899</v>
          </cell>
          <cell r="Y172">
            <v>1580.4685485513101</v>
          </cell>
          <cell r="Z172">
            <v>114276.667968076</v>
          </cell>
        </row>
        <row r="173">
          <cell r="A173" t="str">
            <v>WP Labuan</v>
          </cell>
          <cell r="B173">
            <v>15</v>
          </cell>
          <cell r="C173">
            <v>121.08467347306799</v>
          </cell>
          <cell r="D173">
            <v>6.7249392836401896</v>
          </cell>
          <cell r="E173">
            <v>0</v>
          </cell>
          <cell r="F173">
            <v>114.359734189428</v>
          </cell>
          <cell r="G173">
            <v>2.20302772542336E-3</v>
          </cell>
          <cell r="I173">
            <v>0</v>
          </cell>
          <cell r="J173">
            <v>717.551482388723</v>
          </cell>
          <cell r="K173">
            <v>9.7330650632984206</v>
          </cell>
          <cell r="L173">
            <v>2.6312175701124301</v>
          </cell>
          <cell r="M173">
            <v>1.12671501031767</v>
          </cell>
          <cell r="N173">
            <v>425.60227142865398</v>
          </cell>
          <cell r="O173">
            <v>247.14952935007</v>
          </cell>
          <cell r="P173">
            <v>1.26678033822109</v>
          </cell>
          <cell r="Q173">
            <v>30.0419036280489</v>
          </cell>
          <cell r="R173">
            <v>33.5881762447627</v>
          </cell>
          <cell r="S173">
            <v>2327.3071407966399</v>
          </cell>
          <cell r="T173">
            <v>222.29550550402701</v>
          </cell>
          <cell r="U173">
            <v>258.795257169612</v>
          </cell>
          <cell r="V173">
            <v>1653.88630010355</v>
          </cell>
          <cell r="W173">
            <v>72.967897534969296</v>
          </cell>
          <cell r="X173">
            <v>119.362180484487</v>
          </cell>
          <cell r="Y173">
            <v>17.693919309888098</v>
          </cell>
          <cell r="Z173">
            <v>3217.2253922130899</v>
          </cell>
        </row>
        <row r="174">
          <cell r="A174" t="str">
            <v>Supra1</v>
          </cell>
          <cell r="C174">
            <v>0</v>
          </cell>
          <cell r="D174">
            <v>0</v>
          </cell>
          <cell r="E174">
            <v>0</v>
          </cell>
          <cell r="F174">
            <v>0</v>
          </cell>
          <cell r="G174">
            <v>0</v>
          </cell>
          <cell r="I174">
            <v>38159.213385185802</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38159.213385185802</v>
          </cell>
        </row>
        <row r="175">
          <cell r="A175" t="str">
            <v>MALAYSIA</v>
          </cell>
          <cell r="C175">
            <v>54962.8459395803</v>
          </cell>
          <cell r="D175">
            <v>40693.6048231522</v>
          </cell>
          <cell r="E175">
            <v>6158.4104397142701</v>
          </cell>
          <cell r="F175">
            <v>8110.8306767137901</v>
          </cell>
          <cell r="G175">
            <v>1</v>
          </cell>
          <cell r="I175">
            <v>63243.113191646502</v>
          </cell>
          <cell r="J175">
            <v>186748.390835486</v>
          </cell>
          <cell r="K175">
            <v>20439.203589525401</v>
          </cell>
          <cell r="L175">
            <v>3221.0829452665798</v>
          </cell>
          <cell r="M175">
            <v>11396.660306927201</v>
          </cell>
          <cell r="N175">
            <v>55800.032382327401</v>
          </cell>
          <cell r="O175">
            <v>24975.8702390943</v>
          </cell>
          <cell r="P175">
            <v>45781.368868637401</v>
          </cell>
          <cell r="Q175">
            <v>25134.172503707799</v>
          </cell>
          <cell r="R175">
            <v>26639.763138561801</v>
          </cell>
          <cell r="S175">
            <v>410338.83598152298</v>
          </cell>
          <cell r="T175">
            <v>75369.474869935802</v>
          </cell>
          <cell r="U175">
            <v>125107.343094554</v>
          </cell>
          <cell r="V175">
            <v>112174.73713291599</v>
          </cell>
          <cell r="W175">
            <v>37586.839929248701</v>
          </cell>
          <cell r="X175">
            <v>60100.440954868398</v>
          </cell>
          <cell r="Y175">
            <v>10001.3900725651</v>
          </cell>
          <cell r="Z175">
            <v>751934.33915936295</v>
          </cell>
        </row>
        <row r="178">
          <cell r="A178" t="str">
            <v>CONSTANT</v>
          </cell>
          <cell r="B178" t="str">
            <v>Industry</v>
          </cell>
          <cell r="D178">
            <v>1</v>
          </cell>
          <cell r="E178">
            <v>2</v>
          </cell>
          <cell r="F178">
            <v>3</v>
          </cell>
          <cell r="I178">
            <v>4</v>
          </cell>
          <cell r="K178">
            <v>6</v>
          </cell>
          <cell r="L178">
            <v>7</v>
          </cell>
          <cell r="M178">
            <v>8</v>
          </cell>
          <cell r="N178">
            <v>9</v>
          </cell>
          <cell r="O178">
            <v>10</v>
          </cell>
          <cell r="P178">
            <v>11</v>
          </cell>
          <cell r="Q178">
            <v>12</v>
          </cell>
          <cell r="R178">
            <v>5</v>
          </cell>
          <cell r="T178">
            <v>13</v>
          </cell>
          <cell r="U178">
            <v>14</v>
          </cell>
          <cell r="V178">
            <v>15</v>
          </cell>
          <cell r="W178">
            <v>16</v>
          </cell>
        </row>
        <row r="179">
          <cell r="A179">
            <v>2013</v>
          </cell>
          <cell r="B179" t="str">
            <v>I</v>
          </cell>
          <cell r="C179" t="str">
            <v>Agriculture</v>
          </cell>
          <cell r="D179" t="str">
            <v>Tanaman</v>
          </cell>
          <cell r="E179" t="str">
            <v>Pembalakan</v>
          </cell>
          <cell r="F179" t="str">
            <v>Perikanan</v>
          </cell>
          <cell r="I179" t="str">
            <v>Mining andQuarrying</v>
          </cell>
          <cell r="J179" t="str">
            <v>Manufacturing</v>
          </cell>
          <cell r="K179" t="str">
            <v>Prosesan Makanan, Minuman dan Produk Tembakau</v>
          </cell>
          <cell r="L179" t="str">
            <v>Tekstil, Pakaian, Kulit dan Kasut</v>
          </cell>
          <cell r="M179" t="str">
            <v>Keluaran Kayu, Perabot, Produk Kertas, Percetakan dan Penerbitan</v>
          </cell>
          <cell r="N179" t="str">
            <v>Produk Petroleum, Bahan kimia, Getah dan Plastik</v>
          </cell>
          <cell r="O179" t="str">
            <v>Produk Mineral Bukan Logam, Logam Asli dan Produk Logam Yang Direka</v>
          </cell>
          <cell r="P179" t="str">
            <v>Elektrik dan Elektronik</v>
          </cell>
          <cell r="Q179" t="str">
            <v>Kelengkapan Pengangkutan dan Pembuatan Lain</v>
          </cell>
          <cell r="R179" t="str">
            <v>Construction</v>
          </cell>
          <cell r="S179" t="str">
            <v>Services</v>
          </cell>
          <cell r="T179" t="str">
            <v>Utiliti, Transport &amp; Communication</v>
          </cell>
          <cell r="U179" t="str">
            <v>WRT, Accomm &amp; Restaurant</v>
          </cell>
          <cell r="V179" t="str">
            <v>Finance &amp; Insurance, Real Estate &amp; Business Services</v>
          </cell>
          <cell r="W179" t="str">
            <v>Other Services</v>
          </cell>
          <cell r="X179" t="str">
            <v>Government Services</v>
          </cell>
          <cell r="Y179" t="str">
            <v>Plus :Import Duties</v>
          </cell>
          <cell r="Z179" t="str">
            <v>GDP atPurchasers' Prices</v>
          </cell>
        </row>
        <row r="180">
          <cell r="A180" t="str">
            <v>States</v>
          </cell>
          <cell r="B180" t="str">
            <v>Converter</v>
          </cell>
        </row>
        <row r="181">
          <cell r="A181" t="str">
            <v>Johor</v>
          </cell>
          <cell r="B181" t="str">
            <v>01</v>
          </cell>
          <cell r="C181">
            <v>8748.7908090068704</v>
          </cell>
          <cell r="D181">
            <v>8036.4950683605202</v>
          </cell>
          <cell r="E181">
            <v>50.351897118266798</v>
          </cell>
          <cell r="F181">
            <v>661.94384352808402</v>
          </cell>
          <cell r="G181">
            <v>0.15917645200949501</v>
          </cell>
          <cell r="I181">
            <v>96.234754698537401</v>
          </cell>
          <cell r="J181">
            <v>24405.091104601001</v>
          </cell>
          <cell r="K181">
            <v>2487.6893945492998</v>
          </cell>
          <cell r="L181">
            <v>849.15390690469599</v>
          </cell>
          <cell r="M181">
            <v>1851.70418317137</v>
          </cell>
          <cell r="N181">
            <v>6327.2266505892203</v>
          </cell>
          <cell r="O181">
            <v>3576.06608010438</v>
          </cell>
          <cell r="P181">
            <v>6921.9470872472903</v>
          </cell>
          <cell r="Q181">
            <v>2391.3038020347899</v>
          </cell>
          <cell r="R181">
            <v>2591.1198371668102</v>
          </cell>
          <cell r="S181">
            <v>35158.481630847004</v>
          </cell>
          <cell r="T181">
            <v>8222.2753111455695</v>
          </cell>
          <cell r="U181">
            <v>8451.3331251300497</v>
          </cell>
          <cell r="V181">
            <v>9370.30747007645</v>
          </cell>
          <cell r="W181">
            <v>3299.11104125783</v>
          </cell>
          <cell r="X181">
            <v>5815.4546832370797</v>
          </cell>
          <cell r="Y181">
            <v>1275.41416982082</v>
          </cell>
          <cell r="Z181">
            <v>72275.132306141095</v>
          </cell>
        </row>
        <row r="182">
          <cell r="A182" t="str">
            <v>Kedah</v>
          </cell>
          <cell r="B182" t="str">
            <v>02</v>
          </cell>
          <cell r="C182">
            <v>3134.4356637680999</v>
          </cell>
          <cell r="D182">
            <v>2642.0112222114399</v>
          </cell>
          <cell r="E182">
            <v>121.18761989214801</v>
          </cell>
          <cell r="F182">
            <v>371.23682166451499</v>
          </cell>
          <cell r="G182">
            <v>5.7028263551231202E-2</v>
          </cell>
          <cell r="I182">
            <v>27.175492254822998</v>
          </cell>
          <cell r="J182">
            <v>8044.74531754082</v>
          </cell>
          <cell r="K182">
            <v>394.21841089785102</v>
          </cell>
          <cell r="L182">
            <v>71.111762684665905</v>
          </cell>
          <cell r="M182">
            <v>445.58436772479303</v>
          </cell>
          <cell r="N182">
            <v>1774.7015736860301</v>
          </cell>
          <cell r="O182">
            <v>2232.73900335606</v>
          </cell>
          <cell r="P182">
            <v>1554.0650173762899</v>
          </cell>
          <cell r="Q182">
            <v>1572.32518181513</v>
          </cell>
          <cell r="R182">
            <v>543.56793260374798</v>
          </cell>
          <cell r="S182">
            <v>14512.2928501926</v>
          </cell>
          <cell r="T182">
            <v>2215.18948845253</v>
          </cell>
          <cell r="U182">
            <v>3716.0779669713702</v>
          </cell>
          <cell r="V182">
            <v>2773.3684723987499</v>
          </cell>
          <cell r="W182">
            <v>2139.8606680274202</v>
          </cell>
          <cell r="X182">
            <v>3667.7962543425801</v>
          </cell>
          <cell r="Y182">
            <v>171.488139160842</v>
          </cell>
          <cell r="Z182">
            <v>26433.705395520999</v>
          </cell>
        </row>
        <row r="183">
          <cell r="A183" t="str">
            <v>Kelantan</v>
          </cell>
          <cell r="B183" t="str">
            <v>03</v>
          </cell>
          <cell r="C183">
            <v>3278.2070083706199</v>
          </cell>
          <cell r="D183">
            <v>2316.7337867512201</v>
          </cell>
          <cell r="E183">
            <v>721.82449280438698</v>
          </cell>
          <cell r="F183">
            <v>239.64872881501501</v>
          </cell>
          <cell r="G183">
            <v>5.9644055039913699E-2</v>
          </cell>
          <cell r="I183">
            <v>23.928708431918501</v>
          </cell>
          <cell r="J183">
            <v>728.41334931284405</v>
          </cell>
          <cell r="K183">
            <v>121.84849218116599</v>
          </cell>
          <cell r="L183">
            <v>37.887261727283303</v>
          </cell>
          <cell r="M183">
            <v>90.040331344982107</v>
          </cell>
          <cell r="N183">
            <v>146.34443200108299</v>
          </cell>
          <cell r="O183">
            <v>77.461632040248602</v>
          </cell>
          <cell r="P183">
            <v>246.43157421922601</v>
          </cell>
          <cell r="Q183">
            <v>8.3996257988556593</v>
          </cell>
          <cell r="R183">
            <v>184.40149107085</v>
          </cell>
          <cell r="S183">
            <v>9720.5054801689002</v>
          </cell>
          <cell r="T183">
            <v>1128.25163187364</v>
          </cell>
          <cell r="U183">
            <v>2509.8444173910798</v>
          </cell>
          <cell r="V183">
            <v>1162.2121930411499</v>
          </cell>
          <cell r="W183">
            <v>1531.4696665264801</v>
          </cell>
          <cell r="X183">
            <v>3388.7275713365502</v>
          </cell>
          <cell r="Y183">
            <v>27.258509501254601</v>
          </cell>
          <cell r="Z183">
            <v>13962.714546856399</v>
          </cell>
        </row>
        <row r="184">
          <cell r="A184" t="str">
            <v>Melaka</v>
          </cell>
          <cell r="B184" t="str">
            <v>04</v>
          </cell>
          <cell r="C184">
            <v>2171.0469426095101</v>
          </cell>
          <cell r="D184">
            <v>2137.9820003771601</v>
          </cell>
          <cell r="E184">
            <v>0.38372537971792697</v>
          </cell>
          <cell r="F184">
            <v>32.681216852634201</v>
          </cell>
          <cell r="G184">
            <v>3.95002643239417E-2</v>
          </cell>
          <cell r="I184">
            <v>11.591103445725601</v>
          </cell>
          <cell r="J184">
            <v>9190.1860404036597</v>
          </cell>
          <cell r="K184">
            <v>439.92529419453803</v>
          </cell>
          <cell r="L184">
            <v>323.13145513812702</v>
          </cell>
          <cell r="M184">
            <v>300.27909684069402</v>
          </cell>
          <cell r="N184">
            <v>3525.3967782201498</v>
          </cell>
          <cell r="O184">
            <v>622.43666930828795</v>
          </cell>
          <cell r="P184">
            <v>2235.08891102693</v>
          </cell>
          <cell r="Q184">
            <v>1743.9278356749401</v>
          </cell>
          <cell r="R184">
            <v>692.92146594357098</v>
          </cell>
          <cell r="S184">
            <v>10560.3179800077</v>
          </cell>
          <cell r="T184">
            <v>1978.7840909982899</v>
          </cell>
          <cell r="U184">
            <v>3541.4714675534401</v>
          </cell>
          <cell r="V184">
            <v>2022.6873549157301</v>
          </cell>
          <cell r="W184">
            <v>1291.10676756355</v>
          </cell>
          <cell r="X184">
            <v>1726.2682989766499</v>
          </cell>
          <cell r="Y184">
            <v>20.244858230933101</v>
          </cell>
          <cell r="Z184">
            <v>22646.308390641101</v>
          </cell>
        </row>
        <row r="185">
          <cell r="A185" t="str">
            <v>Negeri Sembilan</v>
          </cell>
          <cell r="B185" t="str">
            <v>05</v>
          </cell>
          <cell r="C185">
            <v>2177.1023931321502</v>
          </cell>
          <cell r="D185">
            <v>2084.1226660815601</v>
          </cell>
          <cell r="E185">
            <v>54.579197938699799</v>
          </cell>
          <cell r="F185">
            <v>38.400529111885596</v>
          </cell>
          <cell r="G185">
            <v>3.9610437849695798E-2</v>
          </cell>
          <cell r="I185">
            <v>27.9349198765557</v>
          </cell>
          <cell r="J185">
            <v>13482.934373079999</v>
          </cell>
          <cell r="K185">
            <v>1073.51143212127</v>
          </cell>
          <cell r="L185">
            <v>149.48211573688499</v>
          </cell>
          <cell r="M185">
            <v>409.06445384241499</v>
          </cell>
          <cell r="N185">
            <v>4229.78143055286</v>
          </cell>
          <cell r="O185">
            <v>1422.60756007227</v>
          </cell>
          <cell r="P185">
            <v>5239.6258880310597</v>
          </cell>
          <cell r="Q185">
            <v>958.86149272320097</v>
          </cell>
          <cell r="R185">
            <v>711.12297261316098</v>
          </cell>
          <cell r="S185">
            <v>11699.787641275099</v>
          </cell>
          <cell r="T185">
            <v>2723.43609090371</v>
          </cell>
          <cell r="U185">
            <v>2988.6764926708202</v>
          </cell>
          <cell r="V185">
            <v>2333.4203236531898</v>
          </cell>
          <cell r="W185">
            <v>1536.9809950527599</v>
          </cell>
          <cell r="X185">
            <v>2117.2737389946701</v>
          </cell>
          <cell r="Y185">
            <v>591.97883182675503</v>
          </cell>
          <cell r="Z185">
            <v>28690.8611318037</v>
          </cell>
        </row>
        <row r="186">
          <cell r="A186" t="str">
            <v>Pahang</v>
          </cell>
          <cell r="B186" t="str">
            <v>06</v>
          </cell>
          <cell r="C186">
            <v>6495.5884319916304</v>
          </cell>
          <cell r="D186">
            <v>5130.8886455602496</v>
          </cell>
          <cell r="E186">
            <v>607.26593269382295</v>
          </cell>
          <cell r="F186">
            <v>757.43385373755405</v>
          </cell>
          <cell r="G186">
            <v>0.11818144277194299</v>
          </cell>
          <cell r="I186">
            <v>234.637617214561</v>
          </cell>
          <cell r="J186">
            <v>8260.7519226613294</v>
          </cell>
          <cell r="K186">
            <v>1022.37655840198</v>
          </cell>
          <cell r="L186">
            <v>24.944378736767199</v>
          </cell>
          <cell r="M186">
            <v>646.27684577394098</v>
          </cell>
          <cell r="N186">
            <v>2848.8761106411698</v>
          </cell>
          <cell r="O186">
            <v>688.57969868896805</v>
          </cell>
          <cell r="P186">
            <v>113.926478323246</v>
          </cell>
          <cell r="Q186">
            <v>2915.7718520952499</v>
          </cell>
          <cell r="R186">
            <v>926.54904098967097</v>
          </cell>
          <cell r="S186">
            <v>16545.752522713901</v>
          </cell>
          <cell r="T186">
            <v>1786.2366502566499</v>
          </cell>
          <cell r="U186">
            <v>5057.6745861725603</v>
          </cell>
          <cell r="V186">
            <v>2281.7186588714699</v>
          </cell>
          <cell r="W186">
            <v>4027.3848709680901</v>
          </cell>
          <cell r="X186">
            <v>3392.7377564451299</v>
          </cell>
          <cell r="Y186">
            <v>25.951612294820599</v>
          </cell>
          <cell r="Z186">
            <v>32489.231147865899</v>
          </cell>
        </row>
        <row r="187">
          <cell r="A187" t="str">
            <v>Pulau Pinang</v>
          </cell>
          <cell r="B187" t="str">
            <v>07</v>
          </cell>
          <cell r="C187">
            <v>1021.0957839773999</v>
          </cell>
          <cell r="D187">
            <v>758.16760528689701</v>
          </cell>
          <cell r="E187">
            <v>0</v>
          </cell>
          <cell r="F187">
            <v>262.92817869050299</v>
          </cell>
          <cell r="G187">
            <v>1.8577927807811701E-2</v>
          </cell>
          <cell r="I187">
            <v>26.7326725623969</v>
          </cell>
          <cell r="J187">
            <v>26301.2572686202</v>
          </cell>
          <cell r="K187">
            <v>1186.13335334663</v>
          </cell>
          <cell r="L187">
            <v>577.11881207715203</v>
          </cell>
          <cell r="M187">
            <v>927.33094385090396</v>
          </cell>
          <cell r="N187">
            <v>3076.4671167770098</v>
          </cell>
          <cell r="O187">
            <v>2976.3297866633802</v>
          </cell>
          <cell r="P187">
            <v>15388.367361549999</v>
          </cell>
          <cell r="Q187">
            <v>2169.5098943550502</v>
          </cell>
          <cell r="R187">
            <v>1308.2666944063899</v>
          </cell>
          <cell r="S187">
            <v>25831.234097850702</v>
          </cell>
          <cell r="T187">
            <v>5500.6826819693897</v>
          </cell>
          <cell r="U187">
            <v>7280.0789083468699</v>
          </cell>
          <cell r="V187">
            <v>7184.2364387227399</v>
          </cell>
          <cell r="W187">
            <v>2538.1412284069002</v>
          </cell>
          <cell r="X187">
            <v>3328.0948404048499</v>
          </cell>
          <cell r="Y187">
            <v>479.12025591232202</v>
          </cell>
          <cell r="Z187">
            <v>54967.706773329402</v>
          </cell>
        </row>
        <row r="188">
          <cell r="A188" t="str">
            <v>Perak</v>
          </cell>
          <cell r="B188" t="str">
            <v>08</v>
          </cell>
          <cell r="C188">
            <v>5769.6978854849704</v>
          </cell>
          <cell r="D188">
            <v>3875.97029518006</v>
          </cell>
          <cell r="E188">
            <v>387.62683690967799</v>
          </cell>
          <cell r="F188">
            <v>1506.10075339523</v>
          </cell>
          <cell r="G188">
            <v>0.104974511178469</v>
          </cell>
          <cell r="I188">
            <v>160.81691599765799</v>
          </cell>
          <cell r="J188">
            <v>8091.9117850561797</v>
          </cell>
          <cell r="K188">
            <v>1160.96481724502</v>
          </cell>
          <cell r="L188">
            <v>171.25186372072</v>
          </cell>
          <cell r="M188">
            <v>363.56211939631299</v>
          </cell>
          <cell r="N188">
            <v>1553.97182138072</v>
          </cell>
          <cell r="O188">
            <v>1886.8563472396399</v>
          </cell>
          <cell r="P188">
            <v>2067.8582196103498</v>
          </cell>
          <cell r="Q188">
            <v>887.44659646341097</v>
          </cell>
          <cell r="R188">
            <v>1315.5138579433501</v>
          </cell>
          <cell r="S188">
            <v>26425.2482440975</v>
          </cell>
          <cell r="T188">
            <v>8094.2207449247398</v>
          </cell>
          <cell r="U188">
            <v>6149.5975449324096</v>
          </cell>
          <cell r="V188">
            <v>4468.0073264889497</v>
          </cell>
          <cell r="W188">
            <v>3020.86195335604</v>
          </cell>
          <cell r="X188">
            <v>4692.5606743953904</v>
          </cell>
          <cell r="Y188">
            <v>23.3757166071066</v>
          </cell>
          <cell r="Z188">
            <v>41786.5644051868</v>
          </cell>
        </row>
        <row r="189">
          <cell r="A189" t="str">
            <v>Perlis</v>
          </cell>
          <cell r="B189" t="str">
            <v>09</v>
          </cell>
          <cell r="C189">
            <v>818.62725838790595</v>
          </cell>
          <cell r="D189">
            <v>271.46455222490499</v>
          </cell>
          <cell r="E189">
            <v>0</v>
          </cell>
          <cell r="F189">
            <v>547.16270616300096</v>
          </cell>
          <cell r="G189">
            <v>1.4894193420912199E-2</v>
          </cell>
          <cell r="I189">
            <v>7.8513332154068296</v>
          </cell>
          <cell r="J189">
            <v>362.41036102651401</v>
          </cell>
          <cell r="K189">
            <v>53.638273758948998</v>
          </cell>
          <cell r="L189">
            <v>42.021774884030897</v>
          </cell>
          <cell r="M189">
            <v>5.8401637589311397</v>
          </cell>
          <cell r="N189">
            <v>78.988785974380804</v>
          </cell>
          <cell r="O189">
            <v>178.223318920645</v>
          </cell>
          <cell r="P189">
            <v>0.68963994380997895</v>
          </cell>
          <cell r="Q189">
            <v>3.0084037857672898</v>
          </cell>
          <cell r="R189">
            <v>99.772993551221603</v>
          </cell>
          <cell r="S189">
            <v>2274.54725466329</v>
          </cell>
          <cell r="T189">
            <v>721.42277281399902</v>
          </cell>
          <cell r="U189">
            <v>331.29351414421097</v>
          </cell>
          <cell r="V189">
            <v>298.30837412730398</v>
          </cell>
          <cell r="W189">
            <v>280.637554691064</v>
          </cell>
          <cell r="X189">
            <v>642.88503888671505</v>
          </cell>
          <cell r="Y189">
            <v>84.816419751260895</v>
          </cell>
          <cell r="Z189">
            <v>3648.0256205955998</v>
          </cell>
        </row>
        <row r="190">
          <cell r="A190" t="str">
            <v>Selangor</v>
          </cell>
          <cell r="B190">
            <v>10</v>
          </cell>
          <cell r="C190">
            <v>2873.5869735044298</v>
          </cell>
          <cell r="D190">
            <v>1919.87178957015</v>
          </cell>
          <cell r="E190">
            <v>4.7663474021765504</v>
          </cell>
          <cell r="F190">
            <v>948.94883653210195</v>
          </cell>
          <cell r="G190">
            <v>5.2282354095406901E-2</v>
          </cell>
          <cell r="I190">
            <v>173.78388784137201</v>
          </cell>
          <cell r="J190">
            <v>57388.191002190302</v>
          </cell>
          <cell r="K190">
            <v>9145.1344121986695</v>
          </cell>
          <cell r="L190">
            <v>658.68614929752005</v>
          </cell>
          <cell r="M190">
            <v>3205.7740136094299</v>
          </cell>
          <cell r="N190">
            <v>9106.4950050390908</v>
          </cell>
          <cell r="O190">
            <v>9596.8726905711701</v>
          </cell>
          <cell r="P190">
            <v>12120.3435515441</v>
          </cell>
          <cell r="Q190">
            <v>13554.885179930299</v>
          </cell>
          <cell r="R190">
            <v>10144.089580456801</v>
          </cell>
          <cell r="S190">
            <v>109673.337794666</v>
          </cell>
          <cell r="T190">
            <v>26316.5125620527</v>
          </cell>
          <cell r="U190">
            <v>36010.973321654797</v>
          </cell>
          <cell r="V190">
            <v>29168.735580597899</v>
          </cell>
          <cell r="W190">
            <v>8782.4639217673994</v>
          </cell>
          <cell r="X190">
            <v>9394.6524085932597</v>
          </cell>
          <cell r="Y190">
            <v>6295.2281592564996</v>
          </cell>
          <cell r="Z190">
            <v>186548.217397915</v>
          </cell>
        </row>
        <row r="191">
          <cell r="A191" t="str">
            <v>Terengganu</v>
          </cell>
          <cell r="B191">
            <v>11</v>
          </cell>
          <cell r="C191">
            <v>1554.2279757542899</v>
          </cell>
          <cell r="D191">
            <v>1198.20448964097</v>
          </cell>
          <cell r="E191">
            <v>103.412863951137</v>
          </cell>
          <cell r="F191">
            <v>252.61062216218701</v>
          </cell>
          <cell r="G191">
            <v>2.8277792919653901E-2</v>
          </cell>
          <cell r="I191">
            <v>21.902583824948501</v>
          </cell>
          <cell r="J191">
            <v>7670.0923387204703</v>
          </cell>
          <cell r="K191">
            <v>64.322648984943001</v>
          </cell>
          <cell r="L191">
            <v>42.864132053096398</v>
          </cell>
          <cell r="M191">
            <v>97.235170068299993</v>
          </cell>
          <cell r="N191">
            <v>7023.4126857194096</v>
          </cell>
          <cell r="O191">
            <v>364.86600226697902</v>
          </cell>
          <cell r="P191">
            <v>2.8807609174577098</v>
          </cell>
          <cell r="Q191">
            <v>74.510938710281096</v>
          </cell>
          <cell r="R191">
            <v>795.84075558622499</v>
          </cell>
          <cell r="S191">
            <v>10497.527787229001</v>
          </cell>
          <cell r="T191">
            <v>3895.6502935599401</v>
          </cell>
          <cell r="U191">
            <v>1936.3616513498</v>
          </cell>
          <cell r="V191">
            <v>982.59055145654202</v>
          </cell>
          <cell r="W191">
            <v>1012.52988625111</v>
          </cell>
          <cell r="X191">
            <v>2670.3954046116</v>
          </cell>
          <cell r="Y191">
            <v>14.0157405078594</v>
          </cell>
          <cell r="Z191">
            <v>20553.6071816228</v>
          </cell>
        </row>
        <row r="192">
          <cell r="A192" t="str">
            <v>Sabah</v>
          </cell>
          <cell r="B192">
            <v>12</v>
          </cell>
          <cell r="C192">
            <v>9410.6954707572204</v>
          </cell>
          <cell r="D192">
            <v>6788.29327785022</v>
          </cell>
          <cell r="E192">
            <v>701.74899572940399</v>
          </cell>
          <cell r="F192">
            <v>1920.6531971775901</v>
          </cell>
          <cell r="G192">
            <v>0.171219217452863</v>
          </cell>
          <cell r="I192">
            <v>9349.4960306194607</v>
          </cell>
          <cell r="J192">
            <v>3605.2665872625498</v>
          </cell>
          <cell r="K192">
            <v>2006.6271122629</v>
          </cell>
          <cell r="L192">
            <v>35.873470019840099</v>
          </cell>
          <cell r="M192">
            <v>726.236787169575</v>
          </cell>
          <cell r="N192">
            <v>229.85404437143899</v>
          </cell>
          <cell r="O192">
            <v>453.08445668788801</v>
          </cell>
          <cell r="P192">
            <v>13.031717106270399</v>
          </cell>
          <cell r="Q192">
            <v>140.558999644642</v>
          </cell>
          <cell r="R192">
            <v>1106.9610473805201</v>
          </cell>
          <cell r="S192">
            <v>22133.7737827686</v>
          </cell>
          <cell r="T192">
            <v>4100.9525660907102</v>
          </cell>
          <cell r="U192">
            <v>7043.4143607875403</v>
          </cell>
          <cell r="V192">
            <v>4460.10240379273</v>
          </cell>
          <cell r="W192">
            <v>1915.8505499156499</v>
          </cell>
          <cell r="X192">
            <v>4613.4539021819801</v>
          </cell>
          <cell r="Y192">
            <v>184.392118725611</v>
          </cell>
          <cell r="Z192">
            <v>45790.585037514</v>
          </cell>
        </row>
        <row r="193">
          <cell r="A193" t="str">
            <v>Sarawak</v>
          </cell>
          <cell r="B193">
            <v>13</v>
          </cell>
          <cell r="C193">
            <v>8500.9819954592695</v>
          </cell>
          <cell r="D193">
            <v>5007.7009603058596</v>
          </cell>
          <cell r="E193">
            <v>2927.3698797729899</v>
          </cell>
          <cell r="F193">
            <v>565.91115538041095</v>
          </cell>
          <cell r="G193">
            <v>0.15466779148962301</v>
          </cell>
          <cell r="I193">
            <v>16082.7212522643</v>
          </cell>
          <cell r="J193">
            <v>19926.047586987199</v>
          </cell>
          <cell r="K193">
            <v>867.52672601975598</v>
          </cell>
          <cell r="L193">
            <v>15.2615685336468</v>
          </cell>
          <cell r="M193">
            <v>1579.5850175294199</v>
          </cell>
          <cell r="N193">
            <v>15717.725999576</v>
          </cell>
          <cell r="O193">
            <v>641.92543226121495</v>
          </cell>
          <cell r="P193">
            <v>647.00830661870998</v>
          </cell>
          <cell r="Q193">
            <v>457.01453644846498</v>
          </cell>
          <cell r="R193">
            <v>2301.0924495561999</v>
          </cell>
          <cell r="S193">
            <v>27843.5206875031</v>
          </cell>
          <cell r="T193">
            <v>6131.7304483726402</v>
          </cell>
          <cell r="U193">
            <v>7340.1493415198602</v>
          </cell>
          <cell r="V193">
            <v>7138.3263984308596</v>
          </cell>
          <cell r="W193">
            <v>2668.2303733642402</v>
          </cell>
          <cell r="X193">
            <v>4565.0841258155097</v>
          </cell>
          <cell r="Y193">
            <v>232.84176556763501</v>
          </cell>
          <cell r="Z193">
            <v>74887.205737337703</v>
          </cell>
        </row>
        <row r="194">
          <cell r="A194" t="str">
            <v>WP Kuala Lumpur</v>
          </cell>
          <cell r="B194">
            <v>14</v>
          </cell>
          <cell r="C194">
            <v>1.4522015191577999</v>
          </cell>
          <cell r="D194">
            <v>1.4522015191577999</v>
          </cell>
          <cell r="E194">
            <v>0</v>
          </cell>
          <cell r="F194">
            <v>0</v>
          </cell>
          <cell r="G194">
            <v>2.6421512465969799E-5</v>
          </cell>
          <cell r="I194">
            <v>38.115332011266602</v>
          </cell>
          <cell r="J194">
            <v>5028.9893210533601</v>
          </cell>
          <cell r="K194">
            <v>487.25938630193099</v>
          </cell>
          <cell r="L194">
            <v>291.02525022970502</v>
          </cell>
          <cell r="M194">
            <v>682.35266066343604</v>
          </cell>
          <cell r="N194">
            <v>758.09189379295697</v>
          </cell>
          <cell r="O194">
            <v>801.37090367748306</v>
          </cell>
          <cell r="P194">
            <v>843.14870568153697</v>
          </cell>
          <cell r="Q194">
            <v>1165.74052070631</v>
          </cell>
          <cell r="R194">
            <v>6781.6547222751296</v>
          </cell>
          <cell r="S194">
            <v>109069.06637915599</v>
          </cell>
          <cell r="T194">
            <v>7276.13968971135</v>
          </cell>
          <cell r="U194">
            <v>40341.450519275902</v>
          </cell>
          <cell r="V194">
            <v>41086.511367503699</v>
          </cell>
          <cell r="W194">
            <v>5399.2865968689202</v>
          </cell>
          <cell r="X194">
            <v>14965.678205795801</v>
          </cell>
          <cell r="Y194">
            <v>1140.19933738243</v>
          </cell>
          <cell r="Z194">
            <v>122059.47729339699</v>
          </cell>
        </row>
        <row r="195">
          <cell r="A195" t="str">
            <v>WP Labuan</v>
          </cell>
          <cell r="B195">
            <v>15</v>
          </cell>
          <cell r="C195">
            <v>139.32715428529599</v>
          </cell>
          <cell r="D195">
            <v>7.9241830797108799</v>
          </cell>
          <cell r="E195">
            <v>0</v>
          </cell>
          <cell r="F195">
            <v>131.402971205585</v>
          </cell>
          <cell r="G195">
            <v>2.5349334064407002E-3</v>
          </cell>
          <cell r="I195">
            <v>0</v>
          </cell>
          <cell r="J195">
            <v>750.58651940238099</v>
          </cell>
          <cell r="K195">
            <v>9.1777708055619591</v>
          </cell>
          <cell r="L195">
            <v>2.6930070708899798</v>
          </cell>
          <cell r="M195">
            <v>1.15361241202134</v>
          </cell>
          <cell r="N195">
            <v>493.356230079439</v>
          </cell>
          <cell r="O195">
            <v>209.996322507017</v>
          </cell>
          <cell r="P195">
            <v>1.2068615879611899</v>
          </cell>
          <cell r="Q195">
            <v>33.002714939490602</v>
          </cell>
          <cell r="R195">
            <v>51.5224791213004</v>
          </cell>
          <cell r="S195">
            <v>2514.23810393146</v>
          </cell>
          <cell r="T195">
            <v>230.96421000186899</v>
          </cell>
          <cell r="U195">
            <v>280.79011811224899</v>
          </cell>
          <cell r="V195">
            <v>1801.2729670522999</v>
          </cell>
          <cell r="W195">
            <v>75.651371134487405</v>
          </cell>
          <cell r="X195">
            <v>125.559437630563</v>
          </cell>
          <cell r="Y195">
            <v>19.3768432572531</v>
          </cell>
          <cell r="Z195">
            <v>3475.05109999769</v>
          </cell>
        </row>
        <row r="196">
          <cell r="A196" t="str">
            <v>Supra1</v>
          </cell>
          <cell r="C196">
            <v>0</v>
          </cell>
          <cell r="D196">
            <v>0</v>
          </cell>
          <cell r="E196">
            <v>0</v>
          </cell>
          <cell r="F196">
            <v>0</v>
          </cell>
          <cell r="G196">
            <v>0</v>
          </cell>
          <cell r="I196">
            <v>37396.647797976802</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37396.647797976802</v>
          </cell>
        </row>
        <row r="197">
          <cell r="A197" t="str">
            <v>MALAYSIA</v>
          </cell>
          <cell r="C197">
            <v>56094.863948008802</v>
          </cell>
          <cell r="D197">
            <v>42177.282744000098</v>
          </cell>
          <cell r="E197">
            <v>5680.5177895924298</v>
          </cell>
          <cell r="F197">
            <v>8237.0634144162996</v>
          </cell>
          <cell r="G197">
            <v>1.0205960588298699</v>
          </cell>
          <cell r="I197">
            <v>63679.570402235702</v>
          </cell>
          <cell r="J197">
            <v>193236.87487791901</v>
          </cell>
          <cell r="K197">
            <v>20520.3540832705</v>
          </cell>
          <cell r="L197">
            <v>3292.5069088150199</v>
          </cell>
          <cell r="M197">
            <v>11332.0197671565</v>
          </cell>
          <cell r="N197">
            <v>56890.6905584009</v>
          </cell>
          <cell r="O197">
            <v>25729.4159043656</v>
          </cell>
          <cell r="P197">
            <v>47395.620080784298</v>
          </cell>
          <cell r="Q197">
            <v>28076.267575125901</v>
          </cell>
          <cell r="R197">
            <v>29554.397320664899</v>
          </cell>
          <cell r="S197">
            <v>434459.632237071</v>
          </cell>
          <cell r="T197">
            <v>80322.4492331277</v>
          </cell>
          <cell r="U197">
            <v>132979.18733601301</v>
          </cell>
          <cell r="V197">
            <v>116531.80588113</v>
          </cell>
          <cell r="W197">
            <v>39519.567445151901</v>
          </cell>
          <cell r="X197">
            <v>65106.622341648297</v>
          </cell>
          <cell r="Y197">
            <v>10585.702477803399</v>
          </cell>
          <cell r="Z197">
            <v>787611.04126370198</v>
          </cell>
        </row>
      </sheetData>
      <sheetData sheetId="4">
        <row r="3">
          <cell r="B3" t="str">
            <v>row</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3"/>
      <sheetName val="4.4"/>
      <sheetName val="4.5"/>
      <sheetName val="4.6"/>
      <sheetName val="4.7"/>
      <sheetName val="4.7 samb"/>
      <sheetName val="4.8"/>
      <sheetName val="4.10"/>
    </sheetNames>
    <sheetDataSet>
      <sheetData sheetId="0"/>
      <sheetData sheetId="1"/>
      <sheetData sheetId="2"/>
      <sheetData sheetId="3"/>
      <sheetData sheetId="4"/>
      <sheetData sheetId="5"/>
      <sheetData sheetId="6"/>
      <sheetData sheetId="7"/>
      <sheetData sheetId="8"/>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7.1"/>
      <sheetName val="7.2 "/>
      <sheetName val="7.3"/>
      <sheetName val="7.4"/>
      <sheetName val="7.5"/>
      <sheetName val="7.6"/>
      <sheetName val="7.7"/>
      <sheetName val="4.9"/>
      <sheetName val="4.3"/>
      <sheetName val="4.8"/>
      <sheetName val="VA_CONSTANT"/>
      <sheetName val="new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3"/>
      <sheetName val="4.4"/>
      <sheetName val="4.5"/>
      <sheetName val="4.6"/>
      <sheetName val="4.7"/>
      <sheetName val="4.7 samb"/>
      <sheetName val="4.8"/>
      <sheetName val="4.10"/>
      <sheetName val="7.6"/>
      <sheetName val="VA_CONSTANT"/>
      <sheetName val="ref"/>
      <sheetName val="5.11"/>
      <sheetName val="4.9"/>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8"/>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7.1"/>
      <sheetName val="7.2 "/>
      <sheetName val="7.3"/>
      <sheetName val="7.4"/>
      <sheetName val="7.5"/>
      <sheetName val="7.6"/>
      <sheetName val="7.7"/>
      <sheetName val="4.9"/>
      <sheetName val="4.3"/>
      <sheetName val="4.8"/>
      <sheetName val="Sheet1"/>
      <sheetName val="VA_CONSTANT"/>
      <sheetName val="ref"/>
      <sheetName val="Perlis"/>
    </sheetNames>
    <sheetDataSet>
      <sheetData sheetId="0"/>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2"/>
      <sheetName val="4.3"/>
      <sheetName val="4.4"/>
      <sheetName val="4.5"/>
      <sheetName val="4.6"/>
      <sheetName val="4.7"/>
      <sheetName val="4.7samb"/>
      <sheetName val="4.9"/>
      <sheetName val="4.10"/>
      <sheetName val="4.11"/>
      <sheetName val="4.12"/>
      <sheetName val="4.13"/>
      <sheetName val="4.8"/>
      <sheetName val="7.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9"/>
    </sheetNames>
    <sheetDataSet>
      <sheetData sheetId="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9"/>
    </sheetNames>
    <sheetDataSet>
      <sheetData sheetId="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2"/>
      <sheetName val="4.3"/>
      <sheetName val="4.4"/>
      <sheetName val="4.5"/>
      <sheetName val="4.6"/>
      <sheetName val="4.7"/>
      <sheetName val="4.7samb"/>
      <sheetName val="4.9"/>
      <sheetName val="4.10"/>
      <sheetName val="4.11"/>
      <sheetName val="4.12"/>
      <sheetName val="4.13"/>
      <sheetName val="4.8"/>
      <sheetName val="VA_CONSTANT"/>
      <sheetName val="7.6"/>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9"/>
    </sheetNames>
    <sheetDataSet>
      <sheetData sheetId="0"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2"/>
      <sheetName val="4.3"/>
      <sheetName val="4.4"/>
      <sheetName val="4.5"/>
      <sheetName val="4.6"/>
      <sheetName val="4.7"/>
      <sheetName val="4.7samb"/>
      <sheetName val="4.9"/>
      <sheetName val="4.10"/>
      <sheetName val="4.11"/>
      <sheetName val="4.12"/>
      <sheetName val="4.13"/>
      <sheetName val="4.8"/>
      <sheetName val="VA_CONSTANT"/>
      <sheetName val="7.6"/>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s>
    <sheetDataSet>
      <sheetData sheetId="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sheet"/>
      <sheetName val="Sheet1"/>
      <sheetName val="Sheet2"/>
      <sheetName val="4.9"/>
      <sheetName val="VA_CONSTANT"/>
      <sheetName val="4.8"/>
      <sheetName val="ref"/>
    </sheetNames>
    <sheetDataSet>
      <sheetData sheetId="0" refreshError="1"/>
      <sheetData sheetId="1">
        <row r="2">
          <cell r="B2" t="str">
            <v>MALAYSIA - Total</v>
          </cell>
        </row>
      </sheetData>
      <sheetData sheetId="2" refreshError="1"/>
      <sheetData sheetId="3" refreshError="1"/>
      <sheetData sheetId="4" refreshError="1"/>
      <sheetData sheetId="5" refreshError="1"/>
      <sheetData sheetId="6"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s>
    <sheetDataSet>
      <sheetData sheetId="0"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3.1 (T1) (RM)"/>
      <sheetName val="43.1 (T2) (RM)"/>
      <sheetName val="43.1 (T3) (RM)"/>
      <sheetName val="43.2 (U1) (RM)"/>
      <sheetName val="43.2 (U2) (RM)"/>
      <sheetName val="43.2 (U3) (RM)"/>
      <sheetName val="43.3 (R1) (RM)"/>
      <sheetName val="43.3 (R2) (RM)"/>
      <sheetName val="43.3 (R3) (RM)"/>
      <sheetName val="48.1 (T1) (RM)"/>
      <sheetName val="48.1 (T2) (RM)"/>
      <sheetName val="48.1 (T3) (RM)"/>
      <sheetName val="48.2 (U1) (RM)"/>
      <sheetName val="48.2 (U2) (RM)"/>
      <sheetName val="48.2 (U3) (RM)"/>
      <sheetName val="48.3 (R1) (RM)"/>
      <sheetName val="48.3 (R2) (RM)"/>
      <sheetName val="48.3 (R3) (RM)"/>
      <sheetName val="48.4 (T1) (%)"/>
      <sheetName val="48.4 (T2) (%)"/>
      <sheetName val="48.4 (T3) (%)"/>
      <sheetName val="48.5 (U1) (%)"/>
      <sheetName val="48.5 (U2) (%)"/>
      <sheetName val="48.5 (U3) (%)"/>
      <sheetName val="48.6 (R1) (%)"/>
      <sheetName val="48.6 (R2) (%)"/>
      <sheetName val="48.6 (R3) (%)"/>
      <sheetName val="Wsheet"/>
      <sheetName val="Sheet2"/>
      <sheetName val="1.1 (RM) &amp; (%)"/>
      <sheetName val="1.2 (T1) (RM) &amp; (%)"/>
      <sheetName val="1.2 (T2) (RM) &amp; (%)"/>
      <sheetName val="1.2 (T3) (RM) &amp; (%)"/>
      <sheetName val="1.3 (U1) (RM) &amp; (%)"/>
      <sheetName val="1.3 (U2) (RM) &amp; (%)"/>
      <sheetName val="1.3 (U3) (RM) &amp; (%)"/>
      <sheetName val="1.4 (R1) (RM) &amp; (%)"/>
      <sheetName val="1.4 (R2) (RM) &amp; (%)"/>
      <sheetName val="1.4 (R3) (RM) &amp; (%)"/>
      <sheetName val="4.1 T (RM)"/>
      <sheetName val="4.2 U (RM)"/>
      <sheetName val="4.3 R (RM)"/>
      <sheetName val="4.4 T (%)"/>
      <sheetName val="4.5 U (%)"/>
      <sheetName val="4.6 R (%)"/>
      <sheetName val="6.1 T (RM &amp; %)"/>
      <sheetName val="6.2 U (RM &amp; %)"/>
      <sheetName val="6.3 R (RM &amp; %)"/>
      <sheetName val="5.1 T (RM)"/>
      <sheetName val="5.2 U (RM)"/>
      <sheetName val="5.3 R (RM)"/>
      <sheetName val="5.4 T (%)"/>
      <sheetName val="5.5 U (%)"/>
      <sheetName val="5.6 R (%)"/>
      <sheetName val="3.1 T (RM)"/>
      <sheetName val="3.2 U (RM)"/>
      <sheetName val="3.3 R (RM)"/>
      <sheetName val="3.4 T (%)"/>
      <sheetName val="3.5 U (%)"/>
      <sheetName val="3.6 R (%)"/>
      <sheetName val="7.1 T (RM)"/>
      <sheetName val="7.2 U (RM)"/>
      <sheetName val="7.3 R (RM)"/>
      <sheetName val="7.4 T (%)"/>
      <sheetName val="7.5 U (%)"/>
      <sheetName val="7.6 R (%)"/>
      <sheetName val="46.1 T (RM)"/>
      <sheetName val="46.2 U (RM)"/>
      <sheetName val="46.3 R (RM)"/>
      <sheetName val="46.4 T (%)"/>
      <sheetName val="46.5 U (%)"/>
      <sheetName val="46.6 R (%)"/>
      <sheetName val="50.1 T (RM)"/>
      <sheetName val="50.2 U (RM)"/>
      <sheetName val="50.3 R (RM)"/>
      <sheetName val="50.4 T (%)"/>
      <sheetName val="50.5 U (%)"/>
      <sheetName val="50.6 R (%)"/>
      <sheetName val="2.1 T (RM)"/>
      <sheetName val="2.2 U (RM)"/>
      <sheetName val="2.3 R (RM)"/>
      <sheetName val="2.4 T (%)"/>
      <sheetName val="2.5 U (%)"/>
      <sheetName val="2.6 R (%)"/>
      <sheetName val="47.1"/>
      <sheetName val="45.1"/>
      <sheetName val="49.1"/>
      <sheetName val="1.7(ab)"/>
      <sheetName val="1.9"/>
      <sheetName val="1.15(T)"/>
      <sheetName val="1.15(U)"/>
      <sheetName val="1.15(R)"/>
      <sheetName val="1.17(T1)"/>
      <sheetName val="1.17(T2)"/>
      <sheetName val="1.17(U1)"/>
      <sheetName val="1.17(U2)"/>
      <sheetName val="1.17(R1)"/>
      <sheetName val="1.17(R2)"/>
      <sheetName val="1.10(T)"/>
      <sheetName val="1.10(U)"/>
      <sheetName val="1.10(R)"/>
      <sheetName val="4.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row r="2">
          <cell r="B2" t="str">
            <v>MALAYSIA - TUR</v>
          </cell>
        </row>
        <row r="3">
          <cell r="B3" t="str">
            <v>PEN. MSIA - TUR</v>
          </cell>
        </row>
        <row r="4">
          <cell r="B4" t="str">
            <v>SABAH (w/o Labuan) - TUR</v>
          </cell>
        </row>
        <row r="5">
          <cell r="B5" t="str">
            <v>SABAH (with Labuan) - TUR</v>
          </cell>
        </row>
        <row r="6">
          <cell r="B6" t="str">
            <v>SARAWAK - TUR</v>
          </cell>
        </row>
        <row r="7">
          <cell r="B7" t="str">
            <v>W.P. LABUAN - TUR</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sheetData sheetId="101"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VA-curr"/>
      <sheetName val="VA-cons"/>
      <sheetName val="VA_CONSTANT"/>
      <sheetName val="ref"/>
      <sheetName val="Tbl1_Msia"/>
      <sheetName val="Tbl3_05"/>
      <sheetName val="Tbl5_06"/>
      <sheetName val="Tbl7_06"/>
      <sheetName val="Tbl8_07"/>
      <sheetName val="Tbl10_07"/>
      <sheetName val="Tbl11_08"/>
      <sheetName val="Tbl13_08"/>
      <sheetName val="Tbl14_09"/>
      <sheetName val="Tbl16_09"/>
      <sheetName val="Tbl17_10"/>
      <sheetName val="Tbl19_10"/>
      <sheetName val="Tbl20_11"/>
      <sheetName val="Tbl22_11"/>
      <sheetName val="Tbl23_12"/>
      <sheetName val="Tbl25_12"/>
      <sheetName val="Tbl26_13"/>
      <sheetName val="Tbl28_13"/>
      <sheetName val="Tbl29_Curr&amp;perCapita"/>
      <sheetName val="JHR"/>
      <sheetName val="KDH"/>
      <sheetName val="KLTN"/>
      <sheetName val="MLK"/>
      <sheetName val="N9"/>
      <sheetName val="PHG"/>
      <sheetName val="PP"/>
      <sheetName val="PRK"/>
      <sheetName val="PRLS"/>
      <sheetName val="SLGR"/>
      <sheetName val="TRGN"/>
      <sheetName val="SBH"/>
      <sheetName val="SRWK"/>
      <sheetName val="WPKL"/>
      <sheetName val="WPL"/>
      <sheetName val="Sheet2"/>
      <sheetName val="Sheet3"/>
      <sheetName val="Sheet6"/>
      <sheetName val="Sheet4"/>
      <sheetName val="Sheet4 (2)"/>
      <sheetName val="Sheet5"/>
      <sheetName val="Sheet7"/>
      <sheetName val="4.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VA-curr"/>
      <sheetName val="VA-cons"/>
      <sheetName val="VA_CONSTANT"/>
      <sheetName val="ref"/>
      <sheetName val="Tbl1_Msia"/>
      <sheetName val="Tbl3_05"/>
      <sheetName val="Tbl5_06"/>
      <sheetName val="Tbl7_06"/>
      <sheetName val="Tbl8_07"/>
      <sheetName val="Tbl10_07"/>
      <sheetName val="Tbl11_08"/>
      <sheetName val="Tbl13_08"/>
      <sheetName val="Tbl14_09"/>
      <sheetName val="Tbl16_09"/>
      <sheetName val="Tbl17_10"/>
      <sheetName val="Tbl19_10"/>
      <sheetName val="Tbl20_11"/>
      <sheetName val="Tbl22_11"/>
      <sheetName val="Tbl23_12"/>
      <sheetName val="Tbl25_12"/>
      <sheetName val="Tbl26_13"/>
      <sheetName val="Tbl28_13"/>
      <sheetName val="Tbl29_Curr&amp;perCapita"/>
      <sheetName val="JHR"/>
      <sheetName val="KDH"/>
      <sheetName val="KLTN"/>
      <sheetName val="MLK"/>
      <sheetName val="N9"/>
      <sheetName val="PHG"/>
      <sheetName val="PP"/>
      <sheetName val="PRK"/>
      <sheetName val="PRLS"/>
      <sheetName val="SLGR"/>
      <sheetName val="TRGN"/>
      <sheetName val="SBH"/>
      <sheetName val="SRWK"/>
      <sheetName val="WPKL"/>
      <sheetName val="WPL"/>
      <sheetName val="Sheet2"/>
      <sheetName val="Sheet3"/>
      <sheetName val="Sheet6"/>
      <sheetName val="Sheet4"/>
      <sheetName val="Sheet4 (2)"/>
      <sheetName val="Sheet5"/>
      <sheetName val="Sheet7"/>
      <sheetName val="4.9"/>
      <sheetName val="4.8"/>
      <sheetName val="Index Page"/>
    </sheetNames>
    <sheetDataSet>
      <sheetData sheetId="0"/>
      <sheetData sheetId="1"/>
      <sheetData sheetId="2"/>
      <sheetData sheetId="3">
        <row r="1">
          <cell r="C1" t="str">
            <v>agri</v>
          </cell>
        </row>
      </sheetData>
      <sheetData sheetId="4">
        <row r="3">
          <cell r="B3" t="str">
            <v>row</v>
          </cell>
          <cell r="C3" t="str">
            <v>2005f</v>
          </cell>
          <cell r="D3" t="str">
            <v>2006f</v>
          </cell>
          <cell r="E3" t="str">
            <v>2007f</v>
          </cell>
          <cell r="F3" t="str">
            <v>2008f</v>
          </cell>
          <cell r="G3" t="str">
            <v>2009f</v>
          </cell>
          <cell r="H3" t="str">
            <v>2010f</v>
          </cell>
          <cell r="I3" t="str">
            <v>2011f</v>
          </cell>
          <cell r="J3" t="str">
            <v>2012e</v>
          </cell>
          <cell r="K3" t="str">
            <v>2013p</v>
          </cell>
        </row>
        <row r="4">
          <cell r="B4" t="str">
            <v>Johor</v>
          </cell>
          <cell r="C4">
            <v>5</v>
          </cell>
          <cell r="D4">
            <v>27</v>
          </cell>
          <cell r="E4">
            <v>49</v>
          </cell>
          <cell r="F4">
            <v>71</v>
          </cell>
          <cell r="G4">
            <v>93</v>
          </cell>
          <cell r="H4">
            <v>115</v>
          </cell>
          <cell r="I4">
            <v>137</v>
          </cell>
          <cell r="J4">
            <v>159</v>
          </cell>
          <cell r="K4">
            <v>181</v>
          </cell>
        </row>
        <row r="5">
          <cell r="B5" t="str">
            <v>Kedah</v>
          </cell>
          <cell r="C5">
            <v>6</v>
          </cell>
          <cell r="D5">
            <v>28</v>
          </cell>
          <cell r="E5">
            <v>50</v>
          </cell>
          <cell r="F5">
            <v>72</v>
          </cell>
          <cell r="G5">
            <v>94</v>
          </cell>
          <cell r="H5">
            <v>116</v>
          </cell>
          <cell r="I5">
            <v>138</v>
          </cell>
          <cell r="J5">
            <v>160</v>
          </cell>
          <cell r="K5">
            <v>182</v>
          </cell>
        </row>
        <row r="6">
          <cell r="B6" t="str">
            <v>Kelantan</v>
          </cell>
          <cell r="C6">
            <v>7</v>
          </cell>
          <cell r="D6">
            <v>29</v>
          </cell>
          <cell r="E6">
            <v>51</v>
          </cell>
          <cell r="F6">
            <v>73</v>
          </cell>
          <cell r="G6">
            <v>95</v>
          </cell>
          <cell r="H6">
            <v>117</v>
          </cell>
          <cell r="I6">
            <v>139</v>
          </cell>
          <cell r="J6">
            <v>161</v>
          </cell>
          <cell r="K6">
            <v>183</v>
          </cell>
        </row>
        <row r="7">
          <cell r="B7" t="str">
            <v>Melaka</v>
          </cell>
          <cell r="C7">
            <v>8</v>
          </cell>
          <cell r="D7">
            <v>30</v>
          </cell>
          <cell r="E7">
            <v>52</v>
          </cell>
          <cell r="F7">
            <v>74</v>
          </cell>
          <cell r="G7">
            <v>96</v>
          </cell>
          <cell r="H7">
            <v>118</v>
          </cell>
          <cell r="I7">
            <v>140</v>
          </cell>
          <cell r="J7">
            <v>162</v>
          </cell>
          <cell r="K7">
            <v>184</v>
          </cell>
        </row>
        <row r="8">
          <cell r="B8" t="str">
            <v>Negeri Sembilan</v>
          </cell>
          <cell r="C8">
            <v>9</v>
          </cell>
          <cell r="D8">
            <v>31</v>
          </cell>
          <cell r="E8">
            <v>53</v>
          </cell>
          <cell r="F8">
            <v>75</v>
          </cell>
          <cell r="G8">
            <v>97</v>
          </cell>
          <cell r="H8">
            <v>119</v>
          </cell>
          <cell r="I8">
            <v>141</v>
          </cell>
          <cell r="J8">
            <v>163</v>
          </cell>
          <cell r="K8">
            <v>185</v>
          </cell>
        </row>
        <row r="9">
          <cell r="B9" t="str">
            <v>Pahang</v>
          </cell>
          <cell r="C9">
            <v>10</v>
          </cell>
          <cell r="D9">
            <v>32</v>
          </cell>
          <cell r="E9">
            <v>54</v>
          </cell>
          <cell r="F9">
            <v>76</v>
          </cell>
          <cell r="G9">
            <v>98</v>
          </cell>
          <cell r="H9">
            <v>120</v>
          </cell>
          <cell r="I9">
            <v>142</v>
          </cell>
          <cell r="J9">
            <v>164</v>
          </cell>
          <cell r="K9">
            <v>186</v>
          </cell>
        </row>
        <row r="10">
          <cell r="B10" t="str">
            <v>Pulau Pinang</v>
          </cell>
          <cell r="C10">
            <v>11</v>
          </cell>
          <cell r="D10">
            <v>33</v>
          </cell>
          <cell r="E10">
            <v>55</v>
          </cell>
          <cell r="F10">
            <v>77</v>
          </cell>
          <cell r="G10">
            <v>99</v>
          </cell>
          <cell r="H10">
            <v>121</v>
          </cell>
          <cell r="I10">
            <v>143</v>
          </cell>
          <cell r="J10">
            <v>165</v>
          </cell>
          <cell r="K10">
            <v>187</v>
          </cell>
        </row>
        <row r="11">
          <cell r="B11" t="str">
            <v>Perak</v>
          </cell>
          <cell r="C11">
            <v>12</v>
          </cell>
          <cell r="D11">
            <v>34</v>
          </cell>
          <cell r="E11">
            <v>56</v>
          </cell>
          <cell r="F11">
            <v>78</v>
          </cell>
          <cell r="G11">
            <v>100</v>
          </cell>
          <cell r="H11">
            <v>122</v>
          </cell>
          <cell r="I11">
            <v>144</v>
          </cell>
          <cell r="J11">
            <v>166</v>
          </cell>
          <cell r="K11">
            <v>188</v>
          </cell>
        </row>
        <row r="12">
          <cell r="B12" t="str">
            <v>Perlis</v>
          </cell>
          <cell r="C12">
            <v>13</v>
          </cell>
          <cell r="D12">
            <v>35</v>
          </cell>
          <cell r="E12">
            <v>57</v>
          </cell>
          <cell r="F12">
            <v>79</v>
          </cell>
          <cell r="G12">
            <v>101</v>
          </cell>
          <cell r="H12">
            <v>123</v>
          </cell>
          <cell r="I12">
            <v>145</v>
          </cell>
          <cell r="J12">
            <v>167</v>
          </cell>
          <cell r="K12">
            <v>189</v>
          </cell>
        </row>
        <row r="13">
          <cell r="B13" t="str">
            <v>Selangor</v>
          </cell>
          <cell r="C13">
            <v>14</v>
          </cell>
          <cell r="D13">
            <v>36</v>
          </cell>
          <cell r="E13">
            <v>58</v>
          </cell>
          <cell r="F13">
            <v>80</v>
          </cell>
          <cell r="G13">
            <v>102</v>
          </cell>
          <cell r="H13">
            <v>124</v>
          </cell>
          <cell r="I13">
            <v>146</v>
          </cell>
          <cell r="J13">
            <v>168</v>
          </cell>
          <cell r="K13">
            <v>190</v>
          </cell>
        </row>
        <row r="14">
          <cell r="B14" t="str">
            <v>Terengganu</v>
          </cell>
          <cell r="C14">
            <v>15</v>
          </cell>
          <cell r="D14">
            <v>37</v>
          </cell>
          <cell r="E14">
            <v>59</v>
          </cell>
          <cell r="F14">
            <v>81</v>
          </cell>
          <cell r="G14">
            <v>103</v>
          </cell>
          <cell r="H14">
            <v>125</v>
          </cell>
          <cell r="I14">
            <v>147</v>
          </cell>
          <cell r="J14">
            <v>169</v>
          </cell>
          <cell r="K14">
            <v>191</v>
          </cell>
        </row>
        <row r="15">
          <cell r="B15" t="str">
            <v>Sabah</v>
          </cell>
          <cell r="C15">
            <v>16</v>
          </cell>
          <cell r="D15">
            <v>38</v>
          </cell>
          <cell r="E15">
            <v>60</v>
          </cell>
          <cell r="F15">
            <v>82</v>
          </cell>
          <cell r="G15">
            <v>104</v>
          </cell>
          <cell r="H15">
            <v>126</v>
          </cell>
          <cell r="I15">
            <v>148</v>
          </cell>
          <cell r="J15">
            <v>170</v>
          </cell>
          <cell r="K15">
            <v>192</v>
          </cell>
        </row>
        <row r="16">
          <cell r="B16" t="str">
            <v>Sarawak</v>
          </cell>
          <cell r="C16">
            <v>17</v>
          </cell>
          <cell r="D16">
            <v>39</v>
          </cell>
          <cell r="E16">
            <v>61</v>
          </cell>
          <cell r="F16">
            <v>83</v>
          </cell>
          <cell r="G16">
            <v>105</v>
          </cell>
          <cell r="H16">
            <v>127</v>
          </cell>
          <cell r="I16">
            <v>149</v>
          </cell>
          <cell r="J16">
            <v>171</v>
          </cell>
          <cell r="K16">
            <v>193</v>
          </cell>
        </row>
        <row r="17">
          <cell r="B17" t="str">
            <v>WP Kuala Lumpur</v>
          </cell>
          <cell r="C17">
            <v>18</v>
          </cell>
          <cell r="D17">
            <v>40</v>
          </cell>
          <cell r="E17">
            <v>62</v>
          </cell>
          <cell r="F17">
            <v>84</v>
          </cell>
          <cell r="G17">
            <v>106</v>
          </cell>
          <cell r="H17">
            <v>128</v>
          </cell>
          <cell r="I17">
            <v>150</v>
          </cell>
          <cell r="J17">
            <v>172</v>
          </cell>
          <cell r="K17">
            <v>194</v>
          </cell>
        </row>
        <row r="18">
          <cell r="B18" t="str">
            <v>WP Labuan</v>
          </cell>
          <cell r="C18">
            <v>19</v>
          </cell>
          <cell r="D18">
            <v>41</v>
          </cell>
          <cell r="E18">
            <v>63</v>
          </cell>
          <cell r="F18">
            <v>85</v>
          </cell>
          <cell r="G18">
            <v>107</v>
          </cell>
          <cell r="H18">
            <v>129</v>
          </cell>
          <cell r="I18">
            <v>151</v>
          </cell>
          <cell r="J18">
            <v>173</v>
          </cell>
          <cell r="K18">
            <v>195</v>
          </cell>
        </row>
        <row r="19">
          <cell r="B19" t="str">
            <v>Supra</v>
          </cell>
          <cell r="C19">
            <v>20</v>
          </cell>
          <cell r="D19">
            <v>42</v>
          </cell>
          <cell r="E19">
            <v>64</v>
          </cell>
          <cell r="F19">
            <v>86</v>
          </cell>
          <cell r="G19">
            <v>108</v>
          </cell>
          <cell r="H19">
            <v>130</v>
          </cell>
          <cell r="I19">
            <v>152</v>
          </cell>
          <cell r="J19">
            <v>174</v>
          </cell>
          <cell r="K19">
            <v>196</v>
          </cell>
        </row>
        <row r="20">
          <cell r="B20" t="str">
            <v>Malaysia</v>
          </cell>
          <cell r="C20">
            <v>21</v>
          </cell>
          <cell r="D20">
            <v>43</v>
          </cell>
          <cell r="E20">
            <v>65</v>
          </cell>
          <cell r="F20">
            <v>87</v>
          </cell>
          <cell r="G20">
            <v>109</v>
          </cell>
          <cell r="H20">
            <v>131</v>
          </cell>
          <cell r="I20">
            <v>153</v>
          </cell>
          <cell r="J20">
            <v>175</v>
          </cell>
          <cell r="K20">
            <v>197</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sheet"/>
      <sheetName val="Sheet1"/>
      <sheetName val="Sheet2"/>
    </sheetNames>
    <sheetDataSet>
      <sheetData sheetId="0" refreshError="1"/>
      <sheetData sheetId="1">
        <row r="2">
          <cell r="B2" t="str">
            <v>MALAYSIA - Total</v>
          </cell>
        </row>
        <row r="3">
          <cell r="B3" t="str">
            <v>MALAYSIA - Urban</v>
          </cell>
        </row>
        <row r="4">
          <cell r="B4" t="str">
            <v>MALAYSIA - Rural</v>
          </cell>
        </row>
        <row r="5">
          <cell r="B5" t="str">
            <v>PEN. MSIA - Total</v>
          </cell>
        </row>
        <row r="6">
          <cell r="B6" t="str">
            <v>PEN. MSIA - Urban</v>
          </cell>
        </row>
        <row r="7">
          <cell r="B7" t="str">
            <v>PEN. MSIA - Rural</v>
          </cell>
        </row>
        <row r="8">
          <cell r="B8" t="str">
            <v>SABAH (w/o Labuan) - Total</v>
          </cell>
        </row>
        <row r="9">
          <cell r="B9" t="str">
            <v>SABAH (w/o Labuan) - Urban</v>
          </cell>
        </row>
        <row r="10">
          <cell r="B10" t="str">
            <v>SABAH (w/o Labuan) - Rural</v>
          </cell>
        </row>
        <row r="11">
          <cell r="B11" t="str">
            <v>SABAH (with Labuan) - Total</v>
          </cell>
        </row>
        <row r="12">
          <cell r="B12" t="str">
            <v>SABAH (with Labuan) - Urban</v>
          </cell>
        </row>
        <row r="13">
          <cell r="B13" t="str">
            <v>SABAH (with Labuan) - Rural</v>
          </cell>
        </row>
        <row r="14">
          <cell r="B14" t="str">
            <v>SARAWAK - Total</v>
          </cell>
        </row>
        <row r="15">
          <cell r="B15" t="str">
            <v>SARAWAK - Urban</v>
          </cell>
        </row>
        <row r="16">
          <cell r="B16" t="str">
            <v>SARAWAK - Rural</v>
          </cell>
        </row>
        <row r="17">
          <cell r="B17" t="str">
            <v>W.P. LABUAN - Total</v>
          </cell>
        </row>
        <row r="18">
          <cell r="B18" t="str">
            <v>W.P. LABUAN - Urban</v>
          </cell>
        </row>
        <row r="19">
          <cell r="B19" t="str">
            <v>W.P. LABUAN - Rural</v>
          </cell>
        </row>
      </sheetData>
      <sheetData sheetId="2"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VA-curr"/>
      <sheetName val="VA-cons"/>
      <sheetName val="VA_CONSTANT"/>
      <sheetName val="ref"/>
      <sheetName val="Tbl1_Msia"/>
      <sheetName val="Tbl3_05"/>
      <sheetName val="Tbl5_06"/>
      <sheetName val="Tbl7_06"/>
      <sheetName val="Tbl8_07"/>
      <sheetName val="Tbl10_07"/>
      <sheetName val="Tbl11_08"/>
      <sheetName val="Tbl13_08"/>
      <sheetName val="Tbl14_09"/>
      <sheetName val="Tbl16_09"/>
      <sheetName val="Tbl17_10"/>
      <sheetName val="Tbl19_10"/>
      <sheetName val="Tbl20_11"/>
      <sheetName val="Tbl22_11"/>
      <sheetName val="Tbl23_12"/>
      <sheetName val="Tbl25_12"/>
      <sheetName val="Tbl26_13"/>
      <sheetName val="Tbl28_13"/>
      <sheetName val="Tbl29_Curr&amp;perCapita"/>
      <sheetName val="JHR"/>
      <sheetName val="KDH"/>
      <sheetName val="KLTN"/>
      <sheetName val="MLK"/>
      <sheetName val="N9"/>
      <sheetName val="PHG"/>
      <sheetName val="PP"/>
      <sheetName val="PRK"/>
      <sheetName val="PRLS"/>
      <sheetName val="SLGR"/>
      <sheetName val="TRGN"/>
      <sheetName val="SBH"/>
      <sheetName val="SRWK"/>
      <sheetName val="WPKL"/>
      <sheetName val="WPL"/>
      <sheetName val="Sheet2"/>
      <sheetName val="Sheet3"/>
      <sheetName val="Sheet6"/>
      <sheetName val="Sheet4"/>
      <sheetName val="Sheet4 (2)"/>
      <sheetName val="Sheet5"/>
      <sheetName val="Sheet7"/>
      <sheetName val="4.9"/>
      <sheetName val="4.8"/>
      <sheetName val="Index Page"/>
      <sheetName val="Control"/>
    </sheetNames>
    <sheetDataSet>
      <sheetData sheetId="0"/>
      <sheetData sheetId="1"/>
      <sheetData sheetId="2"/>
      <sheetData sheetId="3">
        <row r="1">
          <cell r="C1" t="str">
            <v>agri</v>
          </cell>
        </row>
      </sheetData>
      <sheetData sheetId="4">
        <row r="3">
          <cell r="B3" t="str">
            <v>row</v>
          </cell>
          <cell r="C3" t="str">
            <v>2005f</v>
          </cell>
          <cell r="D3" t="str">
            <v>2006f</v>
          </cell>
          <cell r="E3" t="str">
            <v>2007f</v>
          </cell>
          <cell r="F3" t="str">
            <v>2008f</v>
          </cell>
          <cell r="G3" t="str">
            <v>2009f</v>
          </cell>
          <cell r="H3" t="str">
            <v>2010f</v>
          </cell>
          <cell r="I3" t="str">
            <v>2011f</v>
          </cell>
          <cell r="J3" t="str">
            <v>2012e</v>
          </cell>
          <cell r="K3" t="str">
            <v>2013p</v>
          </cell>
        </row>
        <row r="4">
          <cell r="B4" t="str">
            <v>Johor</v>
          </cell>
          <cell r="C4">
            <v>5</v>
          </cell>
          <cell r="D4">
            <v>27</v>
          </cell>
          <cell r="E4">
            <v>49</v>
          </cell>
          <cell r="F4">
            <v>71</v>
          </cell>
          <cell r="G4">
            <v>93</v>
          </cell>
          <cell r="H4">
            <v>115</v>
          </cell>
          <cell r="I4">
            <v>137</v>
          </cell>
          <cell r="J4">
            <v>159</v>
          </cell>
          <cell r="K4">
            <v>181</v>
          </cell>
        </row>
        <row r="5">
          <cell r="B5" t="str">
            <v>Kedah</v>
          </cell>
          <cell r="C5">
            <v>6</v>
          </cell>
          <cell r="D5">
            <v>28</v>
          </cell>
          <cell r="E5">
            <v>50</v>
          </cell>
          <cell r="F5">
            <v>72</v>
          </cell>
          <cell r="G5">
            <v>94</v>
          </cell>
          <cell r="H5">
            <v>116</v>
          </cell>
          <cell r="I5">
            <v>138</v>
          </cell>
          <cell r="J5">
            <v>160</v>
          </cell>
          <cell r="K5">
            <v>182</v>
          </cell>
        </row>
        <row r="6">
          <cell r="B6" t="str">
            <v>Kelantan</v>
          </cell>
          <cell r="C6">
            <v>7</v>
          </cell>
          <cell r="D6">
            <v>29</v>
          </cell>
          <cell r="E6">
            <v>51</v>
          </cell>
          <cell r="F6">
            <v>73</v>
          </cell>
          <cell r="G6">
            <v>95</v>
          </cell>
          <cell r="H6">
            <v>117</v>
          </cell>
          <cell r="I6">
            <v>139</v>
          </cell>
          <cell r="J6">
            <v>161</v>
          </cell>
          <cell r="K6">
            <v>183</v>
          </cell>
        </row>
        <row r="7">
          <cell r="B7" t="str">
            <v>Melaka</v>
          </cell>
          <cell r="C7">
            <v>8</v>
          </cell>
          <cell r="D7">
            <v>30</v>
          </cell>
          <cell r="E7">
            <v>52</v>
          </cell>
          <cell r="F7">
            <v>74</v>
          </cell>
          <cell r="G7">
            <v>96</v>
          </cell>
          <cell r="H7">
            <v>118</v>
          </cell>
          <cell r="I7">
            <v>140</v>
          </cell>
          <cell r="J7">
            <v>162</v>
          </cell>
          <cell r="K7">
            <v>184</v>
          </cell>
        </row>
        <row r="8">
          <cell r="B8" t="str">
            <v>Negeri Sembilan</v>
          </cell>
          <cell r="C8">
            <v>9</v>
          </cell>
          <cell r="D8">
            <v>31</v>
          </cell>
          <cell r="E8">
            <v>53</v>
          </cell>
          <cell r="F8">
            <v>75</v>
          </cell>
          <cell r="G8">
            <v>97</v>
          </cell>
          <cell r="H8">
            <v>119</v>
          </cell>
          <cell r="I8">
            <v>141</v>
          </cell>
          <cell r="J8">
            <v>163</v>
          </cell>
          <cell r="K8">
            <v>185</v>
          </cell>
        </row>
        <row r="9">
          <cell r="B9" t="str">
            <v>Pahang</v>
          </cell>
          <cell r="C9">
            <v>10</v>
          </cell>
          <cell r="D9">
            <v>32</v>
          </cell>
          <cell r="E9">
            <v>54</v>
          </cell>
          <cell r="F9">
            <v>76</v>
          </cell>
          <cell r="G9">
            <v>98</v>
          </cell>
          <cell r="H9">
            <v>120</v>
          </cell>
          <cell r="I9">
            <v>142</v>
          </cell>
          <cell r="J9">
            <v>164</v>
          </cell>
          <cell r="K9">
            <v>186</v>
          </cell>
        </row>
        <row r="10">
          <cell r="B10" t="str">
            <v>Pulau Pinang</v>
          </cell>
          <cell r="C10">
            <v>11</v>
          </cell>
          <cell r="D10">
            <v>33</v>
          </cell>
          <cell r="E10">
            <v>55</v>
          </cell>
          <cell r="F10">
            <v>77</v>
          </cell>
          <cell r="G10">
            <v>99</v>
          </cell>
          <cell r="H10">
            <v>121</v>
          </cell>
          <cell r="I10">
            <v>143</v>
          </cell>
          <cell r="J10">
            <v>165</v>
          </cell>
          <cell r="K10">
            <v>187</v>
          </cell>
        </row>
        <row r="11">
          <cell r="B11" t="str">
            <v>Perak</v>
          </cell>
          <cell r="C11">
            <v>12</v>
          </cell>
          <cell r="D11">
            <v>34</v>
          </cell>
          <cell r="E11">
            <v>56</v>
          </cell>
          <cell r="F11">
            <v>78</v>
          </cell>
          <cell r="G11">
            <v>100</v>
          </cell>
          <cell r="H11">
            <v>122</v>
          </cell>
          <cell r="I11">
            <v>144</v>
          </cell>
          <cell r="J11">
            <v>166</v>
          </cell>
          <cell r="K11">
            <v>188</v>
          </cell>
        </row>
        <row r="12">
          <cell r="B12" t="str">
            <v>Perlis</v>
          </cell>
          <cell r="C12">
            <v>13</v>
          </cell>
          <cell r="D12">
            <v>35</v>
          </cell>
          <cell r="E12">
            <v>57</v>
          </cell>
          <cell r="F12">
            <v>79</v>
          </cell>
          <cell r="G12">
            <v>101</v>
          </cell>
          <cell r="H12">
            <v>123</v>
          </cell>
          <cell r="I12">
            <v>145</v>
          </cell>
          <cell r="J12">
            <v>167</v>
          </cell>
          <cell r="K12">
            <v>189</v>
          </cell>
        </row>
        <row r="13">
          <cell r="B13" t="str">
            <v>Selangor</v>
          </cell>
          <cell r="C13">
            <v>14</v>
          </cell>
          <cell r="D13">
            <v>36</v>
          </cell>
          <cell r="E13">
            <v>58</v>
          </cell>
          <cell r="F13">
            <v>80</v>
          </cell>
          <cell r="G13">
            <v>102</v>
          </cell>
          <cell r="H13">
            <v>124</v>
          </cell>
          <cell r="I13">
            <v>146</v>
          </cell>
          <cell r="J13">
            <v>168</v>
          </cell>
          <cell r="K13">
            <v>190</v>
          </cell>
        </row>
        <row r="14">
          <cell r="B14" t="str">
            <v>Terengganu</v>
          </cell>
          <cell r="C14">
            <v>15</v>
          </cell>
          <cell r="D14">
            <v>37</v>
          </cell>
          <cell r="E14">
            <v>59</v>
          </cell>
          <cell r="F14">
            <v>81</v>
          </cell>
          <cell r="G14">
            <v>103</v>
          </cell>
          <cell r="H14">
            <v>125</v>
          </cell>
          <cell r="I14">
            <v>147</v>
          </cell>
          <cell r="J14">
            <v>169</v>
          </cell>
          <cell r="K14">
            <v>191</v>
          </cell>
        </row>
        <row r="15">
          <cell r="B15" t="str">
            <v>Sabah</v>
          </cell>
          <cell r="C15">
            <v>16</v>
          </cell>
          <cell r="D15">
            <v>38</v>
          </cell>
          <cell r="E15">
            <v>60</v>
          </cell>
          <cell r="F15">
            <v>82</v>
          </cell>
          <cell r="G15">
            <v>104</v>
          </cell>
          <cell r="H15">
            <v>126</v>
          </cell>
          <cell r="I15">
            <v>148</v>
          </cell>
          <cell r="J15">
            <v>170</v>
          </cell>
          <cell r="K15">
            <v>192</v>
          </cell>
        </row>
        <row r="16">
          <cell r="B16" t="str">
            <v>Sarawak</v>
          </cell>
          <cell r="C16">
            <v>17</v>
          </cell>
          <cell r="D16">
            <v>39</v>
          </cell>
          <cell r="E16">
            <v>61</v>
          </cell>
          <cell r="F16">
            <v>83</v>
          </cell>
          <cell r="G16">
            <v>105</v>
          </cell>
          <cell r="H16">
            <v>127</v>
          </cell>
          <cell r="I16">
            <v>149</v>
          </cell>
          <cell r="J16">
            <v>171</v>
          </cell>
          <cell r="K16">
            <v>193</v>
          </cell>
        </row>
        <row r="17">
          <cell r="B17" t="str">
            <v>WP Kuala Lumpur</v>
          </cell>
          <cell r="C17">
            <v>18</v>
          </cell>
          <cell r="D17">
            <v>40</v>
          </cell>
          <cell r="E17">
            <v>62</v>
          </cell>
          <cell r="F17">
            <v>84</v>
          </cell>
          <cell r="G17">
            <v>106</v>
          </cell>
          <cell r="H17">
            <v>128</v>
          </cell>
          <cell r="I17">
            <v>150</v>
          </cell>
          <cell r="J17">
            <v>172</v>
          </cell>
          <cell r="K17">
            <v>194</v>
          </cell>
        </row>
        <row r="18">
          <cell r="B18" t="str">
            <v>WP Labuan</v>
          </cell>
          <cell r="C18">
            <v>19</v>
          </cell>
          <cell r="D18">
            <v>41</v>
          </cell>
          <cell r="E18">
            <v>63</v>
          </cell>
          <cell r="F18">
            <v>85</v>
          </cell>
          <cell r="G18">
            <v>107</v>
          </cell>
          <cell r="H18">
            <v>129</v>
          </cell>
          <cell r="I18">
            <v>151</v>
          </cell>
          <cell r="J18">
            <v>173</v>
          </cell>
          <cell r="K18">
            <v>195</v>
          </cell>
        </row>
        <row r="19">
          <cell r="B19" t="str">
            <v>Supra</v>
          </cell>
          <cell r="C19">
            <v>20</v>
          </cell>
          <cell r="D19">
            <v>42</v>
          </cell>
          <cell r="E19">
            <v>64</v>
          </cell>
          <cell r="F19">
            <v>86</v>
          </cell>
          <cell r="G19">
            <v>108</v>
          </cell>
          <cell r="H19">
            <v>130</v>
          </cell>
          <cell r="I19">
            <v>152</v>
          </cell>
          <cell r="J19">
            <v>174</v>
          </cell>
          <cell r="K19">
            <v>196</v>
          </cell>
        </row>
        <row r="20">
          <cell r="B20" t="str">
            <v>Malaysia</v>
          </cell>
          <cell r="C20">
            <v>21</v>
          </cell>
          <cell r="D20">
            <v>43</v>
          </cell>
          <cell r="E20">
            <v>65</v>
          </cell>
          <cell r="F20">
            <v>87</v>
          </cell>
          <cell r="G20">
            <v>109</v>
          </cell>
          <cell r="H20">
            <v>131</v>
          </cell>
          <cell r="I20">
            <v>153</v>
          </cell>
          <cell r="J20">
            <v>175</v>
          </cell>
          <cell r="K20">
            <v>197</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5.10Johor"/>
      <sheetName val="5.10Kedah"/>
      <sheetName val="5.10Kelantan"/>
      <sheetName val="5.10Melaka"/>
      <sheetName val="5.10N.s"/>
      <sheetName val="5.10Pahang"/>
      <sheetName val="5.10Perak"/>
      <sheetName val="5.10Perlis,P.P"/>
      <sheetName val="5.10Sabah"/>
      <sheetName val="5.10Sabah(samb)"/>
      <sheetName val="5.10Sarawak"/>
      <sheetName val="5.10Sarawak(samb)"/>
      <sheetName val="5.10Selangor"/>
      <sheetName val="5.10T'ganu"/>
      <sheetName val="5.11"/>
      <sheetName val="Sheet1"/>
      <sheetName val="4.9"/>
      <sheetName val="Sheet2"/>
      <sheetName val="4.8"/>
      <sheetName val="ref"/>
      <sheetName val="JAD_A5"/>
      <sheetName val="Contro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5.10Johor"/>
      <sheetName val="5.10Kedah"/>
      <sheetName val="5.10Kelantan"/>
      <sheetName val="5.10Melaka"/>
      <sheetName val="5.10N.s"/>
      <sheetName val="5.10Pahang"/>
      <sheetName val="5.10Perak"/>
      <sheetName val="5.10Perlis,P.P"/>
      <sheetName val="5.10Sabah"/>
      <sheetName val="5.10Sabah(samb)"/>
      <sheetName val="5.10Sarawak"/>
      <sheetName val="5.10Sarawak(samb)"/>
      <sheetName val="5.10Selangor"/>
      <sheetName val="5.10T'ganu"/>
      <sheetName val="5.11"/>
      <sheetName val="Sheet1"/>
      <sheetName val="4.9"/>
      <sheetName val="Sheet2"/>
      <sheetName val="4.8"/>
      <sheetName val="ref"/>
      <sheetName val="JAD_A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91.bin"/></Relationships>
</file>

<file path=xl/worksheets/_rels/sheet92.xml.rels><?xml version="1.0" encoding="UTF-8" standalone="yes"?>
<Relationships xmlns="http://schemas.openxmlformats.org/package/2006/relationships"><Relationship Id="rId1" Type="http://schemas.openxmlformats.org/officeDocument/2006/relationships/printerSettings" Target="../printerSettings/printerSettings9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F51"/>
  <sheetViews>
    <sheetView view="pageBreakPreview" topLeftCell="A25" zoomScaleNormal="120" zoomScaleSheetLayoutView="100" workbookViewId="0">
      <selection activeCell="F36" sqref="F36"/>
    </sheetView>
  </sheetViews>
  <sheetFormatPr defaultColWidth="8" defaultRowHeight="12.95" customHeight="1"/>
  <cols>
    <col min="1" max="1" width="1.7109375" style="828" customWidth="1"/>
    <col min="2" max="2" width="11.85546875" style="775" customWidth="1"/>
    <col min="3" max="3" width="20.42578125" style="775" customWidth="1"/>
    <col min="4" max="4" width="2" style="777" customWidth="1"/>
    <col min="5" max="5" width="6.85546875" style="777" customWidth="1"/>
    <col min="6" max="6" width="13.85546875" style="776" customWidth="1"/>
    <col min="7" max="12" width="13.85546875" style="777" customWidth="1"/>
    <col min="13" max="13" width="1.7109375" style="775" customWidth="1"/>
    <col min="14" max="16384" width="8" style="775"/>
  </cols>
  <sheetData>
    <row r="1" spans="1:58" ht="8.1" customHeight="1">
      <c r="A1" s="775"/>
      <c r="D1" s="775"/>
      <c r="E1" s="775"/>
    </row>
    <row r="2" spans="1:58" ht="8.1" customHeight="1">
      <c r="A2" s="775"/>
      <c r="D2" s="775"/>
      <c r="E2" s="775"/>
    </row>
    <row r="3" spans="1:58" ht="16.350000000000001" customHeight="1">
      <c r="A3" s="775"/>
      <c r="B3" s="778" t="s">
        <v>571</v>
      </c>
      <c r="C3" s="150" t="s">
        <v>1328</v>
      </c>
      <c r="D3" s="778"/>
      <c r="E3" s="778"/>
      <c r="F3" s="778"/>
      <c r="G3" s="778"/>
      <c r="H3" s="778"/>
      <c r="I3" s="778"/>
      <c r="J3" s="779"/>
      <c r="K3" s="779"/>
      <c r="L3" s="780"/>
    </row>
    <row r="4" spans="1:58" ht="16.350000000000001" customHeight="1">
      <c r="A4" s="775"/>
      <c r="B4" s="781" t="s">
        <v>572</v>
      </c>
      <c r="C4" s="151" t="s">
        <v>1329</v>
      </c>
      <c r="D4" s="781"/>
      <c r="E4" s="781"/>
      <c r="F4" s="778"/>
      <c r="G4" s="778"/>
      <c r="H4" s="778"/>
      <c r="I4" s="778"/>
      <c r="J4" s="779"/>
      <c r="K4" s="779"/>
      <c r="L4" s="780"/>
    </row>
    <row r="5" spans="1:58" ht="13.15" customHeight="1" thickBot="1">
      <c r="A5" s="782"/>
      <c r="B5" s="782"/>
      <c r="C5" s="782"/>
      <c r="D5" s="783"/>
      <c r="E5" s="783"/>
      <c r="F5" s="784"/>
      <c r="G5" s="784"/>
      <c r="H5" s="784"/>
      <c r="I5" s="784"/>
      <c r="J5" s="783"/>
      <c r="K5" s="783"/>
      <c r="L5" s="783"/>
      <c r="M5" s="785"/>
    </row>
    <row r="6" spans="1:58" ht="54" customHeight="1" thickBot="1">
      <c r="A6" s="786"/>
      <c r="B6" s="2651" t="s">
        <v>573</v>
      </c>
      <c r="C6" s="2651"/>
      <c r="D6" s="787"/>
      <c r="E6" s="788" t="s">
        <v>239</v>
      </c>
      <c r="F6" s="789" t="s">
        <v>1057</v>
      </c>
      <c r="G6" s="790" t="s">
        <v>1059</v>
      </c>
      <c r="H6" s="790" t="s">
        <v>1058</v>
      </c>
      <c r="I6" s="790" t="s">
        <v>1063</v>
      </c>
      <c r="J6" s="791" t="s">
        <v>1060</v>
      </c>
      <c r="K6" s="791" t="s">
        <v>1061</v>
      </c>
      <c r="L6" s="791" t="s">
        <v>1062</v>
      </c>
      <c r="M6" s="792"/>
      <c r="O6" s="793"/>
      <c r="AJ6" s="206"/>
      <c r="AK6" s="206"/>
      <c r="AL6" s="206"/>
      <c r="AM6" s="206"/>
      <c r="AN6" s="206"/>
      <c r="AO6" s="206"/>
      <c r="AP6" s="206"/>
      <c r="AQ6" s="206"/>
      <c r="AR6" s="206"/>
      <c r="AS6" s="206"/>
      <c r="AT6" s="206"/>
      <c r="AU6" s="206"/>
      <c r="AV6" s="206"/>
      <c r="AW6" s="206"/>
      <c r="AX6" s="206"/>
      <c r="AY6" s="206"/>
      <c r="AZ6" s="206"/>
      <c r="BA6" s="206"/>
      <c r="BB6" s="206"/>
      <c r="BC6" s="206"/>
      <c r="BD6" s="206"/>
      <c r="BE6" s="206"/>
    </row>
    <row r="7" spans="1:58" ht="16.350000000000001" customHeight="1">
      <c r="A7" s="794"/>
      <c r="B7" s="794"/>
      <c r="C7" s="795"/>
      <c r="D7" s="796"/>
      <c r="E7" s="796"/>
      <c r="F7" s="797"/>
      <c r="G7" s="798"/>
      <c r="H7" s="798"/>
      <c r="I7" s="798"/>
      <c r="J7" s="798"/>
      <c r="K7" s="798"/>
      <c r="L7" s="798"/>
    </row>
    <row r="8" spans="1:58" ht="15.2" customHeight="1">
      <c r="A8" s="799"/>
      <c r="B8" s="800" t="s">
        <v>1164</v>
      </c>
      <c r="C8" s="801"/>
      <c r="D8" s="802"/>
      <c r="E8" s="803">
        <v>2023</v>
      </c>
      <c r="F8" s="1451">
        <v>697979.76800000004</v>
      </c>
      <c r="G8" s="1451">
        <v>697979.76800000004</v>
      </c>
      <c r="H8" s="1451">
        <v>697979.76800000004</v>
      </c>
      <c r="I8" s="1451">
        <v>697979.76800000004</v>
      </c>
      <c r="J8" s="1451">
        <v>697979.76800000004</v>
      </c>
      <c r="K8" s="1451">
        <v>697979.76800000004</v>
      </c>
      <c r="L8" s="1451">
        <v>697979.76800000004</v>
      </c>
      <c r="M8" s="804"/>
      <c r="AK8" s="476"/>
      <c r="AL8" s="476"/>
      <c r="AM8" s="563"/>
      <c r="AN8" s="563"/>
      <c r="AO8" s="563"/>
      <c r="AP8" s="563"/>
      <c r="AQ8" s="563"/>
      <c r="AR8" s="476"/>
      <c r="AS8" s="476"/>
      <c r="AT8" s="476"/>
      <c r="AU8" s="563"/>
      <c r="AV8" s="563"/>
      <c r="AW8" s="563"/>
      <c r="AX8" s="563"/>
      <c r="AY8" s="563"/>
      <c r="AZ8" s="476"/>
      <c r="BA8" s="476"/>
      <c r="BB8" s="563"/>
      <c r="BC8" s="563"/>
      <c r="BD8" s="563"/>
      <c r="BE8" s="563"/>
      <c r="BF8" s="563"/>
    </row>
    <row r="9" spans="1:58" ht="15.2" customHeight="1">
      <c r="A9" s="805"/>
      <c r="B9" s="806" t="s">
        <v>581</v>
      </c>
      <c r="C9" s="807"/>
      <c r="D9" s="802"/>
      <c r="E9" s="803">
        <v>2024</v>
      </c>
      <c r="F9" s="1451">
        <v>697979.76800000004</v>
      </c>
      <c r="G9" s="1451">
        <v>697979.76800000004</v>
      </c>
      <c r="H9" s="1451">
        <v>697979.76800000004</v>
      </c>
      <c r="I9" s="1451">
        <v>697979.76800000004</v>
      </c>
      <c r="J9" s="1451">
        <v>697979.76800000004</v>
      </c>
      <c r="K9" s="1451">
        <v>697979.76800000004</v>
      </c>
      <c r="L9" s="1451">
        <v>697979.76800000004</v>
      </c>
      <c r="M9" s="804"/>
    </row>
    <row r="10" spans="1:58" ht="15.2" customHeight="1">
      <c r="A10" s="805"/>
      <c r="B10" s="805"/>
      <c r="C10" s="807"/>
      <c r="D10" s="802"/>
      <c r="E10" s="803">
        <v>2025</v>
      </c>
      <c r="F10" s="1451">
        <v>697979.76800000004</v>
      </c>
      <c r="G10" s="1451">
        <v>697979.76800000004</v>
      </c>
      <c r="H10" s="1451">
        <v>697979.76800000004</v>
      </c>
      <c r="I10" s="1451">
        <v>697979.76800000004</v>
      </c>
      <c r="J10" s="1451">
        <v>697979.76800000004</v>
      </c>
      <c r="K10" s="1451">
        <v>697979.76800000004</v>
      </c>
      <c r="L10" s="1451">
        <v>697979.76800000004</v>
      </c>
      <c r="M10" s="804"/>
    </row>
    <row r="11" spans="1:58" ht="15.2" customHeight="1">
      <c r="A11" s="805"/>
      <c r="B11" s="805"/>
      <c r="C11" s="807"/>
      <c r="D11" s="802"/>
      <c r="E11" s="808"/>
      <c r="F11" s="579"/>
      <c r="G11" s="579"/>
      <c r="H11" s="579"/>
      <c r="I11" s="579"/>
      <c r="J11" s="579"/>
      <c r="K11" s="579"/>
      <c r="L11" s="579"/>
      <c r="M11" s="804"/>
    </row>
    <row r="12" spans="1:58" s="399" customFormat="1" ht="15.2" customHeight="1">
      <c r="B12" s="809" t="s">
        <v>1165</v>
      </c>
      <c r="D12" s="810"/>
      <c r="E12" s="803">
        <v>2023</v>
      </c>
      <c r="F12" s="1450">
        <v>697979.76800000004</v>
      </c>
      <c r="G12" s="1450">
        <v>697979.8</v>
      </c>
      <c r="H12" s="1450">
        <v>697979.8</v>
      </c>
      <c r="I12" s="1450">
        <v>697979.8</v>
      </c>
      <c r="J12" s="1450">
        <v>697979.8</v>
      </c>
      <c r="K12" s="1450">
        <v>697979.8</v>
      </c>
      <c r="L12" s="1450">
        <v>697979.8</v>
      </c>
      <c r="M12" s="804"/>
    </row>
    <row r="13" spans="1:58" s="399" customFormat="1" ht="15.2" customHeight="1">
      <c r="B13" s="811" t="s">
        <v>583</v>
      </c>
      <c r="D13" s="810"/>
      <c r="E13" s="803">
        <v>2024</v>
      </c>
      <c r="F13" s="1450">
        <v>697979.76800000004</v>
      </c>
      <c r="G13" s="1450">
        <v>697979.8</v>
      </c>
      <c r="H13" s="1450">
        <v>697979.8</v>
      </c>
      <c r="I13" s="1450">
        <v>697979.8</v>
      </c>
      <c r="J13" s="1450">
        <v>697979.8</v>
      </c>
      <c r="K13" s="1450">
        <v>697979.8</v>
      </c>
      <c r="L13" s="1450">
        <v>697979.8</v>
      </c>
      <c r="M13" s="804"/>
      <c r="P13" s="765"/>
    </row>
    <row r="14" spans="1:58" ht="15.2" customHeight="1">
      <c r="A14" s="805"/>
      <c r="B14" s="805"/>
      <c r="C14" s="807"/>
      <c r="D14" s="802"/>
      <c r="E14" s="803">
        <v>2025</v>
      </c>
      <c r="F14" s="1450">
        <v>697979.76800000004</v>
      </c>
      <c r="G14" s="1450">
        <v>697979.8</v>
      </c>
      <c r="H14" s="1450">
        <v>697979.8</v>
      </c>
      <c r="I14" s="1450">
        <v>697979.8</v>
      </c>
      <c r="J14" s="1450">
        <v>697979.8</v>
      </c>
      <c r="K14" s="1450">
        <v>697979.8</v>
      </c>
      <c r="L14" s="1450">
        <v>697979.8</v>
      </c>
      <c r="M14" s="804"/>
    </row>
    <row r="15" spans="1:58" ht="15.2" customHeight="1">
      <c r="A15" s="805"/>
      <c r="B15" s="805"/>
      <c r="C15" s="807"/>
      <c r="D15" s="802"/>
      <c r="E15" s="808"/>
      <c r="F15" s="579"/>
      <c r="G15" s="579"/>
      <c r="H15" s="579"/>
      <c r="I15" s="579"/>
      <c r="J15" s="579"/>
      <c r="K15" s="579"/>
      <c r="L15" s="579"/>
      <c r="M15" s="804"/>
    </row>
    <row r="16" spans="1:58" ht="15.2" customHeight="1">
      <c r="A16" s="805"/>
      <c r="B16" s="812" t="s">
        <v>584</v>
      </c>
      <c r="C16" s="807"/>
      <c r="D16" s="802"/>
      <c r="E16" s="803">
        <v>2023</v>
      </c>
      <c r="F16" s="1451">
        <v>697979.76800000004</v>
      </c>
      <c r="G16" s="1451">
        <v>697979.76800000004</v>
      </c>
      <c r="H16" s="1451">
        <v>697979.76800000004</v>
      </c>
      <c r="I16" s="1451">
        <v>697979.76800000004</v>
      </c>
      <c r="J16" s="1451">
        <v>697979.76800000004</v>
      </c>
      <c r="K16" s="1451">
        <v>697979.76800000004</v>
      </c>
      <c r="L16" s="1451">
        <v>697979.76800000004</v>
      </c>
      <c r="M16" s="804"/>
    </row>
    <row r="17" spans="1:13" ht="15.2" customHeight="1">
      <c r="A17" s="813"/>
      <c r="B17" s="813" t="s">
        <v>585</v>
      </c>
      <c r="C17" s="807"/>
      <c r="D17" s="802"/>
      <c r="E17" s="803">
        <v>2024</v>
      </c>
      <c r="F17" s="1451">
        <v>697979.76800000004</v>
      </c>
      <c r="G17" s="1451">
        <v>697979.76800000004</v>
      </c>
      <c r="H17" s="1451">
        <v>697979.76800000004</v>
      </c>
      <c r="I17" s="1451">
        <v>697979.76800000004</v>
      </c>
      <c r="J17" s="1451">
        <v>697979.76800000004</v>
      </c>
      <c r="K17" s="1451">
        <v>697979.76800000004</v>
      </c>
      <c r="L17" s="1451">
        <v>697979.76800000004</v>
      </c>
      <c r="M17" s="804"/>
    </row>
    <row r="18" spans="1:13" ht="15.2" customHeight="1">
      <c r="A18" s="813"/>
      <c r="B18" s="813"/>
      <c r="C18" s="807"/>
      <c r="D18" s="802"/>
      <c r="E18" s="803">
        <v>2025</v>
      </c>
      <c r="F18" s="1451">
        <v>697979.76800000004</v>
      </c>
      <c r="G18" s="1451">
        <v>697979.76800000004</v>
      </c>
      <c r="H18" s="1451">
        <v>697979.76800000004</v>
      </c>
      <c r="I18" s="1451">
        <v>697979.76800000004</v>
      </c>
      <c r="J18" s="1451">
        <v>697979.76800000004</v>
      </c>
      <c r="K18" s="1451">
        <v>697979.76800000004</v>
      </c>
      <c r="L18" s="1451">
        <v>697979.76800000004</v>
      </c>
      <c r="M18" s="804"/>
    </row>
    <row r="19" spans="1:13" ht="15.2" customHeight="1">
      <c r="A19" s="813"/>
      <c r="B19" s="813"/>
      <c r="C19" s="807"/>
      <c r="D19" s="802"/>
      <c r="E19" s="803"/>
      <c r="F19" s="1451"/>
      <c r="G19" s="1451"/>
      <c r="H19" s="1451"/>
      <c r="I19" s="1451"/>
      <c r="J19" s="1451"/>
      <c r="K19" s="1451"/>
      <c r="L19" s="1451"/>
      <c r="M19" s="804"/>
    </row>
    <row r="20" spans="1:13" ht="15.2" customHeight="1">
      <c r="A20" s="805"/>
      <c r="B20" s="812" t="s">
        <v>1140</v>
      </c>
      <c r="C20" s="807"/>
      <c r="D20" s="802"/>
      <c r="E20" s="803" t="s">
        <v>1142</v>
      </c>
      <c r="F20" s="1451">
        <v>697979.76800000004</v>
      </c>
      <c r="G20" s="1451" t="s">
        <v>205</v>
      </c>
      <c r="H20" s="1451" t="s">
        <v>205</v>
      </c>
      <c r="I20" s="1451" t="s">
        <v>205</v>
      </c>
      <c r="J20" s="1451" t="s">
        <v>205</v>
      </c>
      <c r="K20" s="1451" t="s">
        <v>205</v>
      </c>
      <c r="L20" s="1451" t="s">
        <v>205</v>
      </c>
      <c r="M20" s="804"/>
    </row>
    <row r="21" spans="1:13" ht="15.2" customHeight="1">
      <c r="A21" s="813"/>
      <c r="B21" s="813" t="s">
        <v>1141</v>
      </c>
      <c r="C21" s="807"/>
      <c r="D21" s="802"/>
      <c r="E21" s="803" t="s">
        <v>1143</v>
      </c>
      <c r="F21" s="1451">
        <v>697979.76800000004</v>
      </c>
      <c r="G21" s="1451" t="s">
        <v>205</v>
      </c>
      <c r="H21" s="1451" t="s">
        <v>205</v>
      </c>
      <c r="I21" s="1451" t="s">
        <v>205</v>
      </c>
      <c r="J21" s="1451" t="s">
        <v>205</v>
      </c>
      <c r="K21" s="1451" t="s">
        <v>205</v>
      </c>
      <c r="L21" s="1451" t="s">
        <v>205</v>
      </c>
      <c r="M21" s="804"/>
    </row>
    <row r="22" spans="1:13" ht="15.2" customHeight="1">
      <c r="A22" s="813"/>
      <c r="B22" s="813"/>
      <c r="C22" s="807"/>
      <c r="D22" s="802"/>
      <c r="E22" s="803"/>
      <c r="F22" s="1451"/>
      <c r="G22" s="1451"/>
      <c r="H22" s="1451"/>
      <c r="I22" s="1451"/>
      <c r="J22" s="1451"/>
      <c r="K22" s="1451"/>
      <c r="L22" s="1451"/>
      <c r="M22" s="804"/>
    </row>
    <row r="23" spans="1:13" ht="15.2" customHeight="1">
      <c r="A23" s="805"/>
      <c r="B23" s="812" t="s">
        <v>1144</v>
      </c>
      <c r="C23" s="807"/>
      <c r="D23" s="802"/>
      <c r="E23" s="803" t="s">
        <v>1142</v>
      </c>
      <c r="F23" s="1451">
        <v>697979.76800000004</v>
      </c>
      <c r="G23" s="1451" t="s">
        <v>205</v>
      </c>
      <c r="H23" s="1451" t="s">
        <v>205</v>
      </c>
      <c r="I23" s="1451" t="s">
        <v>205</v>
      </c>
      <c r="J23" s="1451" t="s">
        <v>205</v>
      </c>
      <c r="K23" s="1451" t="s">
        <v>205</v>
      </c>
      <c r="L23" s="1451" t="s">
        <v>205</v>
      </c>
      <c r="M23" s="804"/>
    </row>
    <row r="24" spans="1:13" ht="15.2" customHeight="1">
      <c r="A24" s="813"/>
      <c r="B24" s="813" t="s">
        <v>1145</v>
      </c>
      <c r="C24" s="807"/>
      <c r="D24" s="802"/>
      <c r="E24" s="803" t="s">
        <v>1143</v>
      </c>
      <c r="F24" s="1451">
        <v>697979.76800000004</v>
      </c>
      <c r="G24" s="1451" t="s">
        <v>205</v>
      </c>
      <c r="H24" s="1451" t="s">
        <v>205</v>
      </c>
      <c r="I24" s="1451" t="s">
        <v>205</v>
      </c>
      <c r="J24" s="1451" t="s">
        <v>205</v>
      </c>
      <c r="K24" s="1451" t="s">
        <v>205</v>
      </c>
      <c r="L24" s="1451" t="s">
        <v>205</v>
      </c>
      <c r="M24" s="804"/>
    </row>
    <row r="25" spans="1:13" ht="15.2" customHeight="1">
      <c r="A25" s="813"/>
      <c r="B25" s="813"/>
      <c r="C25" s="807"/>
      <c r="D25" s="802"/>
      <c r="E25" s="803"/>
      <c r="F25" s="1451"/>
      <c r="G25" s="1451"/>
      <c r="H25" s="1451"/>
      <c r="I25" s="1451"/>
      <c r="J25" s="1451"/>
      <c r="K25" s="1451"/>
      <c r="L25" s="1451"/>
      <c r="M25" s="804"/>
    </row>
    <row r="26" spans="1:13" ht="15.2" customHeight="1">
      <c r="A26" s="805"/>
      <c r="B26" s="812" t="s">
        <v>1330</v>
      </c>
      <c r="C26" s="807"/>
      <c r="D26" s="802"/>
      <c r="E26" s="803" t="s">
        <v>1142</v>
      </c>
      <c r="F26" s="1451">
        <v>697979.76800000004</v>
      </c>
      <c r="G26" s="1451" t="s">
        <v>205</v>
      </c>
      <c r="H26" s="1451" t="s">
        <v>205</v>
      </c>
      <c r="I26" s="1451" t="s">
        <v>205</v>
      </c>
      <c r="J26" s="1451" t="s">
        <v>205</v>
      </c>
      <c r="K26" s="1451" t="s">
        <v>205</v>
      </c>
      <c r="L26" s="1451" t="s">
        <v>205</v>
      </c>
      <c r="M26" s="804"/>
    </row>
    <row r="27" spans="1:13" ht="29.25" customHeight="1">
      <c r="A27" s="813"/>
      <c r="B27" s="2657" t="s">
        <v>1333</v>
      </c>
      <c r="C27" s="2657"/>
      <c r="D27" s="802"/>
      <c r="E27" s="1748" t="s">
        <v>1143</v>
      </c>
      <c r="F27" s="1749">
        <v>697979.76800000004</v>
      </c>
      <c r="G27" s="1749" t="s">
        <v>205</v>
      </c>
      <c r="H27" s="1749" t="s">
        <v>205</v>
      </c>
      <c r="I27" s="1749" t="s">
        <v>205</v>
      </c>
      <c r="J27" s="1749" t="s">
        <v>205</v>
      </c>
      <c r="K27" s="1749" t="s">
        <v>205</v>
      </c>
      <c r="L27" s="1749" t="s">
        <v>205</v>
      </c>
      <c r="M27" s="804"/>
    </row>
    <row r="28" spans="1:13" ht="15.2" customHeight="1">
      <c r="A28" s="813"/>
      <c r="B28" s="813"/>
      <c r="C28" s="807"/>
      <c r="D28" s="802"/>
      <c r="E28" s="803"/>
      <c r="F28" s="1451"/>
      <c r="G28" s="1451"/>
      <c r="H28" s="1451"/>
      <c r="I28" s="1451"/>
      <c r="J28" s="1451"/>
      <c r="K28" s="1451"/>
      <c r="L28" s="1451"/>
      <c r="M28" s="804"/>
    </row>
    <row r="29" spans="1:13" ht="53.25" customHeight="1">
      <c r="A29" s="813"/>
      <c r="B29" s="2656" t="s">
        <v>1332</v>
      </c>
      <c r="C29" s="2656"/>
      <c r="D29" s="1745"/>
      <c r="E29" s="1748" t="s">
        <v>1142</v>
      </c>
      <c r="F29" s="1749">
        <v>697979.76800000004</v>
      </c>
      <c r="G29" s="1749" t="s">
        <v>205</v>
      </c>
      <c r="H29" s="1749" t="s">
        <v>205</v>
      </c>
      <c r="I29" s="1749" t="s">
        <v>205</v>
      </c>
      <c r="J29" s="1749" t="s">
        <v>205</v>
      </c>
      <c r="K29" s="1749" t="s">
        <v>205</v>
      </c>
      <c r="L29" s="1749" t="s">
        <v>205</v>
      </c>
      <c r="M29" s="804"/>
    </row>
    <row r="30" spans="1:13" ht="50.25" customHeight="1">
      <c r="A30" s="813"/>
      <c r="B30" s="2655" t="s">
        <v>1331</v>
      </c>
      <c r="C30" s="2655"/>
      <c r="D30" s="802"/>
      <c r="E30" s="1748" t="s">
        <v>1143</v>
      </c>
      <c r="F30" s="1749">
        <v>697979.76800000004</v>
      </c>
      <c r="G30" s="1749" t="s">
        <v>205</v>
      </c>
      <c r="H30" s="1749" t="s">
        <v>205</v>
      </c>
      <c r="I30" s="1749" t="s">
        <v>205</v>
      </c>
      <c r="J30" s="1749" t="s">
        <v>205</v>
      </c>
      <c r="K30" s="1749" t="s">
        <v>205</v>
      </c>
      <c r="L30" s="1749" t="s">
        <v>205</v>
      </c>
      <c r="M30" s="804"/>
    </row>
    <row r="31" spans="1:13" ht="15.2" customHeight="1">
      <c r="A31" s="813"/>
      <c r="B31" s="1747"/>
      <c r="C31" s="801"/>
      <c r="D31" s="1745"/>
      <c r="E31" s="803"/>
      <c r="F31" s="1746"/>
      <c r="G31" s="1746"/>
      <c r="H31" s="1746"/>
      <c r="I31" s="1451"/>
      <c r="J31" s="1451"/>
      <c r="K31" s="1451"/>
      <c r="L31" s="1451"/>
      <c r="M31" s="804"/>
    </row>
    <row r="32" spans="1:13" ht="29.25" customHeight="1">
      <c r="A32" s="813"/>
      <c r="B32" s="2656" t="s">
        <v>1334</v>
      </c>
      <c r="C32" s="2656"/>
      <c r="D32" s="1745"/>
      <c r="E32" s="1748" t="s">
        <v>1142</v>
      </c>
      <c r="F32" s="1749">
        <v>697979.76800000004</v>
      </c>
      <c r="G32" s="1749" t="s">
        <v>205</v>
      </c>
      <c r="H32" s="1749" t="s">
        <v>205</v>
      </c>
      <c r="I32" s="1749" t="s">
        <v>205</v>
      </c>
      <c r="J32" s="1749" t="s">
        <v>205</v>
      </c>
      <c r="K32" s="1749" t="s">
        <v>205</v>
      </c>
      <c r="L32" s="1749" t="s">
        <v>205</v>
      </c>
      <c r="M32" s="804"/>
    </row>
    <row r="33" spans="1:14" ht="33" customHeight="1">
      <c r="A33" s="813"/>
      <c r="B33" s="2657" t="s">
        <v>1335</v>
      </c>
      <c r="C33" s="2657"/>
      <c r="D33" s="802"/>
      <c r="E33" s="1748" t="s">
        <v>1143</v>
      </c>
      <c r="F33" s="1749">
        <v>697979.76800000004</v>
      </c>
      <c r="G33" s="1749" t="s">
        <v>205</v>
      </c>
      <c r="H33" s="1749" t="s">
        <v>205</v>
      </c>
      <c r="I33" s="1749" t="s">
        <v>205</v>
      </c>
      <c r="J33" s="1749" t="s">
        <v>205</v>
      </c>
      <c r="K33" s="1749" t="s">
        <v>205</v>
      </c>
      <c r="L33" s="1749" t="s">
        <v>205</v>
      </c>
      <c r="M33" s="804"/>
    </row>
    <row r="34" spans="1:14" ht="8.1" customHeight="1" thickBot="1">
      <c r="A34" s="815"/>
      <c r="B34" s="815"/>
      <c r="C34" s="815"/>
      <c r="D34" s="816"/>
      <c r="E34" s="816"/>
      <c r="F34" s="817"/>
      <c r="G34" s="817"/>
      <c r="H34" s="817"/>
      <c r="I34" s="816"/>
      <c r="J34" s="816"/>
      <c r="K34" s="816"/>
      <c r="L34" s="816"/>
      <c r="M34" s="816"/>
    </row>
    <row r="35" spans="1:14" ht="15.2" customHeight="1" thickTop="1">
      <c r="A35" s="775"/>
      <c r="B35" s="818"/>
      <c r="C35" s="818"/>
      <c r="D35" s="819"/>
      <c r="E35" s="819"/>
      <c r="F35" s="682"/>
      <c r="G35" s="682"/>
      <c r="H35" s="2652" t="s">
        <v>586</v>
      </c>
      <c r="I35" s="2652"/>
      <c r="J35" s="2652"/>
      <c r="K35" s="2652"/>
      <c r="L35" s="2652"/>
      <c r="M35" s="2652"/>
      <c r="N35" s="820"/>
    </row>
    <row r="36" spans="1:14" ht="15.2" customHeight="1">
      <c r="A36" s="775"/>
      <c r="B36" s="818"/>
      <c r="C36" s="818"/>
      <c r="D36" s="819"/>
      <c r="E36" s="819"/>
      <c r="F36" s="821"/>
      <c r="G36" s="821"/>
      <c r="H36" s="2653" t="s">
        <v>587</v>
      </c>
      <c r="I36" s="2653"/>
      <c r="J36" s="2653"/>
      <c r="K36" s="2653"/>
      <c r="L36" s="2653"/>
      <c r="M36" s="2653"/>
      <c r="N36" s="820"/>
    </row>
    <row r="37" spans="1:14" ht="15.2" customHeight="1">
      <c r="A37" s="775"/>
      <c r="B37" s="822"/>
      <c r="F37" s="821"/>
      <c r="G37" s="821"/>
      <c r="H37" s="2654" t="s">
        <v>588</v>
      </c>
      <c r="I37" s="2654"/>
      <c r="J37" s="2654"/>
      <c r="K37" s="2654"/>
      <c r="L37" s="2654"/>
      <c r="M37" s="2654"/>
      <c r="N37" s="823"/>
    </row>
    <row r="38" spans="1:14" ht="15.2" customHeight="1">
      <c r="A38" s="775"/>
      <c r="B38" s="822"/>
      <c r="F38" s="682"/>
      <c r="G38" s="682"/>
      <c r="H38" s="2654" t="s">
        <v>589</v>
      </c>
      <c r="I38" s="2654"/>
      <c r="J38" s="2654"/>
      <c r="K38" s="2654"/>
      <c r="L38" s="2654"/>
      <c r="M38" s="2654"/>
      <c r="N38" s="823"/>
    </row>
    <row r="39" spans="1:14" ht="12.95" customHeight="1">
      <c r="A39" s="775"/>
      <c r="B39" s="684"/>
      <c r="F39" s="675"/>
      <c r="G39" s="675"/>
      <c r="H39" s="675"/>
      <c r="I39" s="675"/>
      <c r="J39" s="675"/>
      <c r="K39" s="148"/>
      <c r="L39" s="675"/>
      <c r="M39" s="675"/>
    </row>
    <row r="40" spans="1:14" ht="12.95" customHeight="1">
      <c r="A40" s="775"/>
      <c r="B40" s="22" t="s">
        <v>2</v>
      </c>
      <c r="F40" s="675"/>
      <c r="G40" s="675"/>
      <c r="H40" s="675"/>
      <c r="I40" s="675"/>
      <c r="J40" s="675"/>
      <c r="K40" s="148"/>
      <c r="L40" s="675"/>
      <c r="M40" s="675"/>
    </row>
    <row r="41" spans="1:14" ht="12.95" customHeight="1">
      <c r="A41" s="824" t="s">
        <v>3</v>
      </c>
      <c r="B41" s="825" t="s">
        <v>590</v>
      </c>
      <c r="F41" s="636"/>
      <c r="G41" s="636"/>
      <c r="H41" s="636"/>
      <c r="I41" s="636"/>
      <c r="J41" s="636"/>
      <c r="K41" s="826"/>
      <c r="L41" s="636"/>
      <c r="M41" s="636"/>
    </row>
    <row r="42" spans="1:14" ht="12.95" customHeight="1">
      <c r="A42" s="827"/>
      <c r="B42" s="24" t="s">
        <v>591</v>
      </c>
      <c r="F42" s="675"/>
      <c r="G42" s="675"/>
      <c r="H42" s="675"/>
      <c r="I42" s="675"/>
      <c r="J42" s="675"/>
      <c r="K42" s="148"/>
      <c r="L42" s="675"/>
      <c r="M42" s="675"/>
    </row>
    <row r="43" spans="1:14" ht="12.95" customHeight="1">
      <c r="A43" s="775"/>
      <c r="F43" s="148"/>
      <c r="G43" s="148"/>
      <c r="H43" s="148"/>
      <c r="I43" s="675"/>
      <c r="J43" s="675"/>
      <c r="K43" s="675"/>
      <c r="L43" s="675"/>
      <c r="M43" s="675"/>
    </row>
    <row r="44" spans="1:14" ht="12.95" customHeight="1">
      <c r="A44" s="824" t="s">
        <v>4</v>
      </c>
      <c r="B44" s="825" t="s">
        <v>1133</v>
      </c>
      <c r="F44" s="636"/>
      <c r="G44" s="636"/>
      <c r="H44" s="636"/>
      <c r="I44" s="636"/>
      <c r="J44" s="636"/>
      <c r="K44" s="826"/>
      <c r="L44" s="636"/>
      <c r="M44" s="636"/>
    </row>
    <row r="45" spans="1:14" ht="12.95" customHeight="1">
      <c r="A45" s="827"/>
      <c r="B45" s="24" t="s">
        <v>1134</v>
      </c>
      <c r="F45" s="675"/>
      <c r="G45" s="675"/>
      <c r="H45" s="675"/>
      <c r="I45" s="675"/>
      <c r="J45" s="675"/>
      <c r="K45" s="148"/>
      <c r="L45" s="675"/>
      <c r="M45" s="675"/>
    </row>
    <row r="46" spans="1:14" ht="12.95" customHeight="1">
      <c r="A46" s="775"/>
      <c r="F46" s="148"/>
      <c r="G46" s="675"/>
      <c r="H46" s="675"/>
      <c r="I46" s="675"/>
      <c r="J46" s="675"/>
      <c r="K46" s="675"/>
      <c r="L46" s="675"/>
    </row>
    <row r="47" spans="1:14" ht="12.95" customHeight="1">
      <c r="A47" s="824" t="s">
        <v>263</v>
      </c>
      <c r="B47" s="825" t="s">
        <v>1135</v>
      </c>
      <c r="F47" s="636"/>
      <c r="G47" s="636"/>
      <c r="H47" s="636"/>
      <c r="I47" s="636"/>
      <c r="J47" s="636"/>
      <c r="K47" s="826"/>
      <c r="L47" s="636"/>
      <c r="M47" s="636"/>
    </row>
    <row r="48" spans="1:14" ht="12.95" customHeight="1">
      <c r="A48" s="827"/>
      <c r="B48" s="24" t="s">
        <v>1166</v>
      </c>
      <c r="F48" s="675"/>
      <c r="G48" s="675"/>
      <c r="H48" s="675"/>
      <c r="I48" s="675"/>
      <c r="J48" s="675"/>
      <c r="K48" s="148"/>
      <c r="L48" s="675"/>
      <c r="M48" s="675"/>
    </row>
    <row r="49" spans="1:12" ht="12.95" customHeight="1">
      <c r="A49" s="775"/>
      <c r="F49" s="148"/>
      <c r="G49" s="675"/>
      <c r="H49" s="675"/>
      <c r="I49" s="675"/>
      <c r="J49" s="675"/>
      <c r="K49" s="675"/>
      <c r="L49" s="675"/>
    </row>
    <row r="50" spans="1:12" s="1709" customFormat="1" ht="25.9" customHeight="1">
      <c r="A50" s="1708" t="s">
        <v>570</v>
      </c>
      <c r="B50" s="2649" t="s">
        <v>1241</v>
      </c>
      <c r="C50" s="2649"/>
      <c r="D50" s="2649"/>
      <c r="E50" s="2649"/>
      <c r="F50" s="2649"/>
      <c r="G50" s="2649"/>
      <c r="H50" s="2649"/>
      <c r="I50" s="2649"/>
      <c r="J50" s="2649"/>
      <c r="K50" s="2649"/>
      <c r="L50" s="2649"/>
    </row>
    <row r="51" spans="1:12" s="1709" customFormat="1" ht="29.25" customHeight="1">
      <c r="B51" s="2650" t="s">
        <v>1240</v>
      </c>
      <c r="C51" s="2650"/>
      <c r="D51" s="2650"/>
      <c r="E51" s="2650"/>
      <c r="F51" s="2650"/>
      <c r="G51" s="2650"/>
      <c r="H51" s="2650"/>
      <c r="I51" s="2650"/>
      <c r="J51" s="2650"/>
      <c r="K51" s="2650"/>
      <c r="L51" s="2650"/>
    </row>
  </sheetData>
  <mergeCells count="12">
    <mergeCell ref="B50:L50"/>
    <mergeCell ref="B51:L51"/>
    <mergeCell ref="B6:C6"/>
    <mergeCell ref="H35:M35"/>
    <mergeCell ref="H36:M36"/>
    <mergeCell ref="H37:M37"/>
    <mergeCell ref="H38:M38"/>
    <mergeCell ref="B30:C30"/>
    <mergeCell ref="B29:C29"/>
    <mergeCell ref="B27:C27"/>
    <mergeCell ref="B32:C32"/>
    <mergeCell ref="B33:C33"/>
  </mergeCells>
  <pageMargins left="0.55118110236220474" right="0.55118110236220474" top="0.55118110236220474" bottom="0.55118110236220474" header="0.55118110236220474" footer="0.31496062992125984"/>
  <pageSetup paperSize="9" scale="64" fitToHeight="0" orientation="portrait" r:id="rId1"/>
  <headerFooter scaleWithDoc="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4" tint="0.39997558519241921"/>
    <pageSetUpPr fitToPage="1"/>
  </sheetPr>
  <dimension ref="A1:M63"/>
  <sheetViews>
    <sheetView view="pageBreakPreview" topLeftCell="A19" zoomScale="80" zoomScaleNormal="145" zoomScaleSheetLayoutView="80" workbookViewId="0">
      <selection activeCell="J10" sqref="J10"/>
    </sheetView>
  </sheetViews>
  <sheetFormatPr defaultColWidth="9.140625" defaultRowHeight="16.5"/>
  <cols>
    <col min="1" max="1" width="1.7109375" style="830" customWidth="1"/>
    <col min="2" max="2" width="13.42578125" style="830" customWidth="1"/>
    <col min="3" max="3" width="42.7109375" style="830" customWidth="1"/>
    <col min="4" max="4" width="20.28515625" style="830" customWidth="1"/>
    <col min="5" max="5" width="18.85546875" style="830" customWidth="1"/>
    <col min="6" max="6" width="17" style="830" customWidth="1"/>
    <col min="7" max="7" width="1.28515625" style="830" customWidth="1"/>
    <col min="8" max="9" width="10.7109375" style="830" customWidth="1"/>
    <col min="10" max="10" width="1.7109375" style="830" customWidth="1"/>
    <col min="11" max="16384" width="9.140625" style="830"/>
  </cols>
  <sheetData>
    <row r="1" spans="1:9" ht="8.1" customHeight="1">
      <c r="A1" s="829"/>
    </row>
    <row r="2" spans="1:9" s="1744" customFormat="1" ht="18.75" customHeight="1">
      <c r="B2" s="1743" t="s">
        <v>592</v>
      </c>
      <c r="C2" s="1718" t="s">
        <v>1344</v>
      </c>
    </row>
    <row r="3" spans="1:9" s="1744" customFormat="1" ht="15.75" customHeight="1">
      <c r="B3" s="1742" t="s">
        <v>593</v>
      </c>
      <c r="C3" s="1719" t="s">
        <v>1345</v>
      </c>
    </row>
    <row r="4" spans="1:9" ht="6" customHeight="1" thickBot="1">
      <c r="A4" s="831"/>
      <c r="B4" s="831"/>
      <c r="C4" s="831"/>
      <c r="D4" s="829"/>
      <c r="E4" s="829"/>
      <c r="G4" s="832"/>
    </row>
    <row r="5" spans="1:9" s="836" customFormat="1" ht="42.95" customHeight="1" thickBot="1">
      <c r="A5" s="7"/>
      <c r="B5" s="833" t="s">
        <v>594</v>
      </c>
      <c r="C5" s="833"/>
      <c r="D5" s="834">
        <v>2024</v>
      </c>
      <c r="E5" s="834">
        <v>2025</v>
      </c>
      <c r="F5" s="834" t="s">
        <v>1346</v>
      </c>
      <c r="G5" s="835"/>
    </row>
    <row r="6" spans="1:9" s="836" customFormat="1" ht="9.1999999999999993" customHeight="1">
      <c r="B6" s="837"/>
      <c r="C6" s="838"/>
      <c r="D6" s="839"/>
      <c r="E6" s="839"/>
    </row>
    <row r="7" spans="1:9" s="840" customFormat="1" ht="15.2" customHeight="1">
      <c r="B7" s="841" t="s">
        <v>582</v>
      </c>
      <c r="D7" s="1464">
        <v>123456</v>
      </c>
      <c r="E7" s="1464">
        <v>123456</v>
      </c>
      <c r="F7" s="1464">
        <v>123456</v>
      </c>
    </row>
    <row r="8" spans="1:9" s="840" customFormat="1" ht="15.2" customHeight="1">
      <c r="B8" s="842" t="s">
        <v>583</v>
      </c>
      <c r="D8" s="1465"/>
      <c r="E8" s="1465"/>
      <c r="F8" s="843"/>
      <c r="I8" s="844"/>
    </row>
    <row r="9" spans="1:9" s="840" customFormat="1" ht="8.1" customHeight="1">
      <c r="B9" s="845"/>
      <c r="D9" s="1465"/>
      <c r="E9" s="1465"/>
      <c r="F9" s="843"/>
    </row>
    <row r="10" spans="1:9" s="840" customFormat="1" ht="15.2" customHeight="1">
      <c r="B10" s="846" t="s">
        <v>595</v>
      </c>
      <c r="C10" s="847"/>
      <c r="D10" s="1465"/>
      <c r="E10" s="1465"/>
      <c r="F10" s="843"/>
    </row>
    <row r="11" spans="1:9" s="840" customFormat="1" ht="15.2" customHeight="1">
      <c r="B11" s="848" t="s">
        <v>186</v>
      </c>
      <c r="C11" s="847"/>
      <c r="D11" s="1465">
        <v>123456</v>
      </c>
      <c r="E11" s="1465">
        <v>123456</v>
      </c>
      <c r="F11" s="1465">
        <v>123456</v>
      </c>
    </row>
    <row r="12" spans="1:9" s="840" customFormat="1" ht="15.2" customHeight="1">
      <c r="B12" s="848" t="s">
        <v>187</v>
      </c>
      <c r="C12" s="847"/>
      <c r="D12" s="1465">
        <v>123456</v>
      </c>
      <c r="E12" s="1465">
        <v>123456</v>
      </c>
      <c r="F12" s="1465">
        <v>123456</v>
      </c>
    </row>
    <row r="13" spans="1:9" s="840" customFormat="1" ht="7.5" customHeight="1">
      <c r="C13" s="850"/>
      <c r="D13" s="1465"/>
      <c r="E13" s="1465"/>
      <c r="F13" s="843"/>
    </row>
    <row r="14" spans="1:9" s="840" customFormat="1" ht="15.2" customHeight="1">
      <c r="B14" s="848" t="s">
        <v>188</v>
      </c>
      <c r="C14" s="847"/>
      <c r="D14" s="1465">
        <v>123456</v>
      </c>
      <c r="E14" s="1465">
        <v>123456</v>
      </c>
      <c r="F14" s="1465">
        <v>123456</v>
      </c>
    </row>
    <row r="15" spans="1:9" s="840" customFormat="1" ht="15.2" customHeight="1">
      <c r="B15" s="848" t="s">
        <v>189</v>
      </c>
      <c r="C15" s="847"/>
      <c r="D15" s="1465">
        <v>123456</v>
      </c>
      <c r="E15" s="1465">
        <v>123456</v>
      </c>
      <c r="F15" s="1465">
        <v>123456</v>
      </c>
    </row>
    <row r="16" spans="1:9" s="840" customFormat="1" ht="7.5" customHeight="1">
      <c r="C16" s="850"/>
      <c r="D16" s="1465"/>
      <c r="E16" s="1465"/>
      <c r="F16" s="843"/>
    </row>
    <row r="17" spans="2:6" s="840" customFormat="1" ht="15.2" customHeight="1">
      <c r="B17" s="846" t="s">
        <v>596</v>
      </c>
      <c r="C17" s="851"/>
      <c r="D17" s="1465"/>
      <c r="E17" s="1465"/>
      <c r="F17" s="843"/>
    </row>
    <row r="18" spans="2:6" s="840" customFormat="1" ht="15.2" customHeight="1">
      <c r="B18" s="848" t="s">
        <v>186</v>
      </c>
      <c r="C18" s="847"/>
      <c r="D18" s="1465">
        <v>123456</v>
      </c>
      <c r="E18" s="1465">
        <v>123456</v>
      </c>
      <c r="F18" s="1465">
        <v>123456</v>
      </c>
    </row>
    <row r="19" spans="2:6" s="840" customFormat="1" ht="15.2" customHeight="1">
      <c r="B19" s="848" t="s">
        <v>597</v>
      </c>
      <c r="C19" s="847"/>
      <c r="D19" s="1465">
        <v>123456</v>
      </c>
      <c r="E19" s="1465">
        <v>123456</v>
      </c>
      <c r="F19" s="1465">
        <v>123456</v>
      </c>
    </row>
    <row r="20" spans="2:6" s="840" customFormat="1" ht="8.1" customHeight="1">
      <c r="B20" s="848"/>
      <c r="C20" s="847"/>
      <c r="D20" s="1465"/>
      <c r="E20" s="1465"/>
      <c r="F20" s="843"/>
    </row>
    <row r="21" spans="2:6" s="840" customFormat="1" ht="15.2" customHeight="1">
      <c r="B21" s="852" t="s">
        <v>598</v>
      </c>
      <c r="C21" s="847"/>
      <c r="D21" s="1465">
        <v>123456</v>
      </c>
      <c r="E21" s="1465">
        <v>123456</v>
      </c>
      <c r="F21" s="1465">
        <v>123456</v>
      </c>
    </row>
    <row r="22" spans="2:6" s="840" customFormat="1" ht="15.2" customHeight="1">
      <c r="B22" s="853" t="s">
        <v>599</v>
      </c>
      <c r="C22" s="847"/>
      <c r="D22" s="1465"/>
      <c r="E22" s="1465"/>
      <c r="F22" s="843"/>
    </row>
    <row r="23" spans="2:6" s="840" customFormat="1" ht="8.1" customHeight="1">
      <c r="B23" s="848"/>
      <c r="C23" s="847"/>
      <c r="D23" s="1465"/>
      <c r="E23" s="1465"/>
      <c r="F23" s="843"/>
    </row>
    <row r="24" spans="2:6" s="840" customFormat="1" ht="15.2" customHeight="1">
      <c r="B24" s="846" t="s">
        <v>600</v>
      </c>
      <c r="C24" s="850"/>
      <c r="D24" s="1465"/>
      <c r="E24" s="1465"/>
      <c r="F24" s="843"/>
    </row>
    <row r="25" spans="2:6" s="840" customFormat="1" ht="15.2" customHeight="1">
      <c r="B25" s="854" t="s">
        <v>601</v>
      </c>
      <c r="C25" s="850"/>
      <c r="D25" s="1465"/>
      <c r="E25" s="1465"/>
      <c r="F25" s="843"/>
    </row>
    <row r="26" spans="2:6" s="840" customFormat="1" ht="15.2" customHeight="1">
      <c r="B26" s="848" t="s">
        <v>602</v>
      </c>
      <c r="C26" s="847"/>
      <c r="D26" s="1465">
        <v>123456</v>
      </c>
      <c r="E26" s="1465">
        <v>123456</v>
      </c>
      <c r="F26" s="1465">
        <v>123456</v>
      </c>
    </row>
    <row r="27" spans="2:6" s="840" customFormat="1" ht="15.2" customHeight="1">
      <c r="B27" s="848" t="s">
        <v>603</v>
      </c>
      <c r="C27" s="847"/>
      <c r="D27" s="1465">
        <v>123456</v>
      </c>
      <c r="E27" s="1465">
        <v>123456</v>
      </c>
      <c r="F27" s="1465">
        <v>123456</v>
      </c>
    </row>
    <row r="28" spans="2:6" s="840" customFormat="1" ht="15.2" customHeight="1">
      <c r="B28" s="848" t="s">
        <v>604</v>
      </c>
      <c r="C28" s="847"/>
      <c r="D28" s="1465">
        <v>123456</v>
      </c>
      <c r="E28" s="1465">
        <v>123456</v>
      </c>
      <c r="F28" s="1465">
        <v>123456</v>
      </c>
    </row>
    <row r="29" spans="2:6" s="840" customFormat="1" ht="15.2" customHeight="1">
      <c r="B29" s="848" t="s">
        <v>605</v>
      </c>
      <c r="C29" s="847"/>
      <c r="D29" s="1465">
        <v>123456</v>
      </c>
      <c r="E29" s="1465">
        <v>123456</v>
      </c>
      <c r="F29" s="1465">
        <v>123456</v>
      </c>
    </row>
    <row r="30" spans="2:6" s="840" customFormat="1" ht="4.5" customHeight="1">
      <c r="B30" s="848"/>
      <c r="C30" s="847"/>
      <c r="D30" s="1465"/>
      <c r="E30" s="1465"/>
      <c r="F30" s="843"/>
    </row>
    <row r="31" spans="2:6" s="840" customFormat="1" ht="15.2" customHeight="1">
      <c r="B31" s="846" t="s">
        <v>606</v>
      </c>
      <c r="C31" s="850"/>
      <c r="D31" s="1466"/>
      <c r="E31" s="1466"/>
      <c r="F31" s="843"/>
    </row>
    <row r="32" spans="2:6" s="840" customFormat="1" ht="15.2" customHeight="1">
      <c r="B32" s="854" t="s">
        <v>607</v>
      </c>
      <c r="C32" s="850"/>
      <c r="D32" s="1466"/>
      <c r="E32" s="1466"/>
      <c r="F32" s="843"/>
    </row>
    <row r="33" spans="2:6" s="840" customFormat="1" ht="15.2" customHeight="1">
      <c r="B33" s="363" t="s">
        <v>608</v>
      </c>
      <c r="C33" s="847"/>
      <c r="D33" s="1465">
        <v>123456</v>
      </c>
      <c r="E33" s="1465">
        <v>123456</v>
      </c>
      <c r="F33" s="1465">
        <v>123456</v>
      </c>
    </row>
    <row r="34" spans="2:6" s="840" customFormat="1" ht="15.2" customHeight="1">
      <c r="B34" s="326" t="s">
        <v>609</v>
      </c>
      <c r="C34" s="847"/>
      <c r="D34" s="1465"/>
      <c r="E34" s="1465"/>
      <c r="F34" s="843"/>
    </row>
    <row r="35" spans="2:6" s="840" customFormat="1" ht="15.2" customHeight="1">
      <c r="B35" s="363" t="s">
        <v>1990</v>
      </c>
      <c r="C35" s="847"/>
      <c r="D35" s="1465">
        <v>123456</v>
      </c>
      <c r="E35" s="1465">
        <v>123456</v>
      </c>
      <c r="F35" s="1465">
        <v>123456</v>
      </c>
    </row>
    <row r="36" spans="2:6" s="840" customFormat="1" ht="15.2" customHeight="1">
      <c r="B36" s="326" t="s">
        <v>1991</v>
      </c>
      <c r="C36" s="847"/>
      <c r="D36" s="1465"/>
      <c r="E36" s="1465"/>
      <c r="F36" s="843"/>
    </row>
    <row r="37" spans="2:6" s="840" customFormat="1" ht="15.2" customHeight="1">
      <c r="B37" s="363" t="s">
        <v>610</v>
      </c>
      <c r="C37" s="847"/>
      <c r="D37" s="1465">
        <v>123456</v>
      </c>
      <c r="E37" s="1465">
        <v>123456</v>
      </c>
      <c r="F37" s="1465">
        <v>123456</v>
      </c>
    </row>
    <row r="38" spans="2:6" s="840" customFormat="1" ht="15.2" customHeight="1">
      <c r="B38" s="326" t="s">
        <v>611</v>
      </c>
      <c r="C38" s="847"/>
      <c r="D38" s="1465"/>
      <c r="E38" s="1465"/>
      <c r="F38" s="843"/>
    </row>
    <row r="39" spans="2:6" s="840" customFormat="1" ht="15.2" customHeight="1">
      <c r="B39" s="363" t="s">
        <v>612</v>
      </c>
      <c r="C39" s="847"/>
      <c r="D39" s="1465">
        <v>123456</v>
      </c>
      <c r="E39" s="1465">
        <v>123456</v>
      </c>
      <c r="F39" s="1465">
        <v>123456</v>
      </c>
    </row>
    <row r="40" spans="2:6" s="840" customFormat="1" ht="15.2" customHeight="1">
      <c r="B40" s="326" t="s">
        <v>613</v>
      </c>
      <c r="C40" s="847"/>
      <c r="D40" s="1465"/>
      <c r="E40" s="1465"/>
      <c r="F40" s="843"/>
    </row>
    <row r="41" spans="2:6" s="840" customFormat="1" ht="15.2" customHeight="1">
      <c r="B41" s="363" t="s">
        <v>614</v>
      </c>
      <c r="C41" s="850"/>
      <c r="D41" s="1465">
        <v>123456</v>
      </c>
      <c r="E41" s="1465">
        <v>123456</v>
      </c>
      <c r="F41" s="1465">
        <v>123456</v>
      </c>
    </row>
    <row r="42" spans="2:6" s="840" customFormat="1" ht="15.2" customHeight="1">
      <c r="B42" s="326" t="s">
        <v>615</v>
      </c>
      <c r="C42" s="850"/>
      <c r="D42" s="843"/>
      <c r="E42" s="843"/>
      <c r="F42" s="843"/>
    </row>
    <row r="43" spans="2:6" s="840" customFormat="1" ht="7.5" customHeight="1">
      <c r="B43" s="363"/>
      <c r="C43" s="850"/>
      <c r="D43" s="843"/>
      <c r="E43" s="843"/>
      <c r="F43" s="843"/>
    </row>
    <row r="44" spans="2:6" s="840" customFormat="1" ht="15.2" customHeight="1">
      <c r="B44" s="846" t="s">
        <v>616</v>
      </c>
      <c r="C44" s="850"/>
      <c r="D44" s="843"/>
      <c r="E44" s="843"/>
      <c r="F44" s="843"/>
    </row>
    <row r="45" spans="2:6" s="840" customFormat="1" ht="15.2" customHeight="1">
      <c r="B45" s="854" t="s">
        <v>617</v>
      </c>
      <c r="C45" s="850"/>
      <c r="D45" s="843"/>
      <c r="E45" s="843"/>
      <c r="F45" s="843"/>
    </row>
    <row r="46" spans="2:6" s="840" customFormat="1" ht="15.2" customHeight="1">
      <c r="B46" s="848" t="s">
        <v>480</v>
      </c>
      <c r="C46" s="847"/>
      <c r="D46" s="1465">
        <v>123456</v>
      </c>
      <c r="E46" s="1465">
        <v>123456</v>
      </c>
      <c r="F46" s="1465">
        <v>123456</v>
      </c>
    </row>
    <row r="47" spans="2:6" s="840" customFormat="1" ht="15.2" customHeight="1">
      <c r="B47" s="848" t="s">
        <v>618</v>
      </c>
      <c r="C47" s="847"/>
      <c r="D47" s="1465">
        <v>123456</v>
      </c>
      <c r="E47" s="1465">
        <v>123456</v>
      </c>
      <c r="F47" s="1465">
        <v>123456</v>
      </c>
    </row>
    <row r="48" spans="2:6" s="840" customFormat="1" ht="15.2" customHeight="1">
      <c r="B48" s="848" t="s">
        <v>619</v>
      </c>
      <c r="C48" s="847"/>
      <c r="D48" s="1465">
        <v>123456</v>
      </c>
      <c r="E48" s="1465">
        <v>123456</v>
      </c>
      <c r="F48" s="1465">
        <v>123456</v>
      </c>
    </row>
    <row r="49" spans="1:13" s="840" customFormat="1" ht="7.5" customHeight="1">
      <c r="C49" s="850"/>
      <c r="D49" s="1465"/>
      <c r="E49" s="1465"/>
      <c r="F49" s="843"/>
    </row>
    <row r="50" spans="1:13" s="840" customFormat="1" ht="15.2" customHeight="1">
      <c r="B50" s="846" t="s">
        <v>620</v>
      </c>
      <c r="C50" s="855"/>
      <c r="D50" s="1462">
        <v>100</v>
      </c>
      <c r="E50" s="1462">
        <v>100</v>
      </c>
      <c r="F50" s="1462">
        <v>100</v>
      </c>
    </row>
    <row r="51" spans="1:13" s="840" customFormat="1" ht="8.1" customHeight="1">
      <c r="B51" s="846"/>
      <c r="C51" s="855"/>
      <c r="D51" s="1462"/>
      <c r="E51" s="1462"/>
      <c r="F51" s="849"/>
    </row>
    <row r="52" spans="1:13" s="840" customFormat="1" ht="15.2" customHeight="1">
      <c r="B52" s="846" t="s">
        <v>584</v>
      </c>
      <c r="C52" s="856"/>
      <c r="D52" s="1462">
        <v>100</v>
      </c>
      <c r="E52" s="1462">
        <v>100</v>
      </c>
      <c r="F52" s="1462">
        <v>100</v>
      </c>
    </row>
    <row r="53" spans="1:13" s="840" customFormat="1" ht="15.2" customHeight="1">
      <c r="B53" s="854" t="s">
        <v>585</v>
      </c>
      <c r="C53" s="856"/>
      <c r="D53" s="849"/>
      <c r="E53" s="849"/>
      <c r="F53" s="849"/>
    </row>
    <row r="54" spans="1:13" s="859" customFormat="1" ht="8.1" customHeight="1" thickBot="1">
      <c r="A54" s="857"/>
      <c r="B54" s="857"/>
      <c r="C54" s="857"/>
      <c r="D54" s="857"/>
      <c r="E54" s="1467"/>
      <c r="F54" s="1467"/>
      <c r="G54" s="858"/>
    </row>
    <row r="55" spans="1:13" s="859" customFormat="1" ht="15.2" customHeight="1">
      <c r="D55" s="2658" t="s">
        <v>0</v>
      </c>
      <c r="E55" s="2658"/>
      <c r="F55" s="2658"/>
      <c r="G55" s="2658"/>
    </row>
    <row r="56" spans="1:13" s="859" customFormat="1" ht="15.2" customHeight="1">
      <c r="B56" s="860"/>
      <c r="C56" s="861"/>
      <c r="D56" s="2659" t="s">
        <v>1</v>
      </c>
      <c r="E56" s="2659"/>
      <c r="F56" s="2659"/>
      <c r="G56" s="2659"/>
    </row>
    <row r="57" spans="1:13" s="859" customFormat="1" ht="12.6" customHeight="1">
      <c r="B57" s="22" t="s">
        <v>2</v>
      </c>
      <c r="C57" s="861"/>
      <c r="D57" s="861"/>
      <c r="E57" s="861"/>
      <c r="F57" s="861"/>
    </row>
    <row r="58" spans="1:13" s="775" customFormat="1" ht="12.95" customHeight="1">
      <c r="D58" s="777"/>
      <c r="E58" s="777"/>
      <c r="F58" s="148"/>
      <c r="G58" s="148"/>
      <c r="H58" s="148"/>
      <c r="I58" s="675"/>
      <c r="J58" s="675"/>
      <c r="K58" s="675"/>
      <c r="L58" s="675"/>
      <c r="M58" s="675"/>
    </row>
    <row r="59" spans="1:13" s="775" customFormat="1" ht="12.95" customHeight="1">
      <c r="A59" s="824" t="s">
        <v>3</v>
      </c>
      <c r="B59" s="825" t="s">
        <v>1133</v>
      </c>
      <c r="D59" s="777"/>
      <c r="E59" s="777"/>
      <c r="F59" s="636"/>
      <c r="G59" s="636"/>
      <c r="H59" s="636"/>
      <c r="I59" s="636"/>
      <c r="J59" s="636"/>
      <c r="K59" s="826"/>
      <c r="L59" s="636"/>
      <c r="M59" s="636"/>
    </row>
    <row r="60" spans="1:13" s="775" customFormat="1" ht="12.95" customHeight="1">
      <c r="A60" s="827"/>
      <c r="B60" s="24" t="s">
        <v>1134</v>
      </c>
      <c r="D60" s="777"/>
      <c r="E60" s="777"/>
      <c r="F60" s="675"/>
      <c r="G60" s="675"/>
      <c r="H60" s="675"/>
      <c r="I60" s="675"/>
      <c r="J60" s="675"/>
      <c r="K60" s="148"/>
      <c r="L60" s="675"/>
      <c r="M60" s="675"/>
    </row>
    <row r="61" spans="1:13" s="775" customFormat="1" ht="12.95" customHeight="1">
      <c r="D61" s="777"/>
      <c r="E61" s="777"/>
      <c r="F61" s="148"/>
      <c r="G61" s="675"/>
      <c r="H61" s="675"/>
      <c r="I61" s="675"/>
      <c r="J61" s="675"/>
      <c r="K61" s="675"/>
      <c r="L61" s="675"/>
    </row>
    <row r="62" spans="1:13" s="775" customFormat="1" ht="12.95" customHeight="1">
      <c r="A62" s="824" t="s">
        <v>4</v>
      </c>
      <c r="B62" s="825" t="s">
        <v>1135</v>
      </c>
      <c r="D62" s="777"/>
      <c r="E62" s="777"/>
      <c r="F62" s="636"/>
      <c r="G62" s="636"/>
      <c r="H62" s="636"/>
      <c r="I62" s="636"/>
      <c r="J62" s="636"/>
      <c r="K62" s="826"/>
      <c r="L62" s="636"/>
      <c r="M62" s="636"/>
    </row>
    <row r="63" spans="1:13" s="775" customFormat="1" ht="12.95" customHeight="1">
      <c r="A63" s="827"/>
      <c r="B63" s="24" t="s">
        <v>1166</v>
      </c>
      <c r="D63" s="777"/>
      <c r="E63" s="777"/>
      <c r="F63" s="675"/>
      <c r="G63" s="675"/>
      <c r="H63" s="675"/>
      <c r="I63" s="675"/>
      <c r="J63" s="675"/>
      <c r="K63" s="148"/>
      <c r="L63" s="675"/>
      <c r="M63" s="675"/>
    </row>
  </sheetData>
  <mergeCells count="2">
    <mergeCell ref="D55:G55"/>
    <mergeCell ref="D56:G56"/>
  </mergeCells>
  <conditionalFormatting sqref="C10:C12">
    <cfRule type="cellIs" dxfId="130" priority="6" stopIfTrue="1" operator="lessThan">
      <formula>0</formula>
    </cfRule>
  </conditionalFormatting>
  <conditionalFormatting sqref="C14:C15">
    <cfRule type="cellIs" dxfId="129" priority="5" stopIfTrue="1" operator="lessThan">
      <formula>0</formula>
    </cfRule>
  </conditionalFormatting>
  <conditionalFormatting sqref="C18:C23">
    <cfRule type="cellIs" dxfId="128" priority="4" stopIfTrue="1" operator="lessThan">
      <formula>0</formula>
    </cfRule>
  </conditionalFormatting>
  <conditionalFormatting sqref="C26:C30">
    <cfRule type="cellIs" dxfId="127" priority="3" stopIfTrue="1" operator="lessThan">
      <formula>0</formula>
    </cfRule>
  </conditionalFormatting>
  <conditionalFormatting sqref="C33:C40">
    <cfRule type="cellIs" dxfId="126" priority="2" stopIfTrue="1" operator="lessThan">
      <formula>0</formula>
    </cfRule>
  </conditionalFormatting>
  <conditionalFormatting sqref="C46:C48">
    <cfRule type="cellIs" dxfId="125" priority="1" stopIfTrue="1" operator="lessThan">
      <formula>0</formula>
    </cfRule>
  </conditionalFormatting>
  <printOptions horizontalCentered="1"/>
  <pageMargins left="0.55118110236220474" right="0.55118110236220474" top="0.55118110236220474" bottom="0.55118110236220474" header="0.55118110236220474" footer="0.55118110236220474"/>
  <pageSetup paperSize="9" scale="79" orientation="portrait" r:id="rId1"/>
  <headerFooter scaleWithDoc="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4" tint="0.39997558519241921"/>
    <pageSetUpPr fitToPage="1"/>
  </sheetPr>
  <dimension ref="A1:M64"/>
  <sheetViews>
    <sheetView view="pageBreakPreview" topLeftCell="A52" zoomScaleNormal="130" zoomScaleSheetLayoutView="100" workbookViewId="0">
      <selection activeCell="C40" sqref="C40"/>
    </sheetView>
  </sheetViews>
  <sheetFormatPr defaultColWidth="9.140625" defaultRowHeight="16.5"/>
  <cols>
    <col min="1" max="1" width="1.7109375" style="862" customWidth="1"/>
    <col min="2" max="2" width="11.85546875" style="862" customWidth="1"/>
    <col min="3" max="3" width="41.85546875" style="862" customWidth="1"/>
    <col min="4" max="4" width="19.85546875" style="862" customWidth="1"/>
    <col min="5" max="5" width="19.42578125" style="862" customWidth="1"/>
    <col min="6" max="6" width="17.140625" style="862" customWidth="1"/>
    <col min="7" max="7" width="1.85546875" style="862" customWidth="1"/>
    <col min="8" max="9" width="10.7109375" style="862" customWidth="1"/>
    <col min="10" max="10" width="1.7109375" style="862" customWidth="1"/>
    <col min="11" max="16384" width="9.140625" style="862"/>
  </cols>
  <sheetData>
    <row r="1" spans="1:10" ht="8.1" customHeight="1"/>
    <row r="2" spans="1:10" ht="17.25" customHeight="1">
      <c r="B2" s="863" t="s">
        <v>621</v>
      </c>
      <c r="C2" s="2661" t="s">
        <v>1347</v>
      </c>
      <c r="D2" s="2661"/>
      <c r="E2" s="2661"/>
      <c r="F2" s="2661"/>
    </row>
    <row r="3" spans="1:10" ht="16.350000000000001" customHeight="1">
      <c r="B3" s="864" t="s">
        <v>622</v>
      </c>
      <c r="C3" s="2662" t="s">
        <v>1348</v>
      </c>
      <c r="D3" s="2662"/>
      <c r="E3" s="2662"/>
      <c r="F3" s="2662"/>
    </row>
    <row r="4" spans="1:10" ht="13.15" customHeight="1" thickBot="1">
      <c r="A4" s="866"/>
      <c r="B4" s="866"/>
      <c r="C4" s="866"/>
      <c r="D4" s="867"/>
      <c r="E4" s="867"/>
      <c r="G4" s="868"/>
    </row>
    <row r="5" spans="1:10" s="870" customFormat="1" ht="42.95" customHeight="1" thickBot="1">
      <c r="A5" s="7"/>
      <c r="B5" s="2651" t="s">
        <v>594</v>
      </c>
      <c r="C5" s="2660"/>
      <c r="D5" s="834">
        <v>2024</v>
      </c>
      <c r="E5" s="834">
        <v>2025</v>
      </c>
      <c r="F5" s="834" t="s">
        <v>1346</v>
      </c>
      <c r="G5" s="869"/>
    </row>
    <row r="6" spans="1:10" s="870" customFormat="1" ht="16.350000000000001" customHeight="1">
      <c r="B6" s="871"/>
      <c r="C6" s="872"/>
      <c r="D6" s="873"/>
      <c r="E6" s="873"/>
    </row>
    <row r="7" spans="1:10" s="867" customFormat="1" ht="15.2" customHeight="1">
      <c r="B7" s="841" t="s">
        <v>582</v>
      </c>
      <c r="D7" s="1464">
        <v>123456</v>
      </c>
      <c r="E7" s="1464">
        <v>123456</v>
      </c>
      <c r="F7" s="1464">
        <v>123456</v>
      </c>
    </row>
    <row r="8" spans="1:10" s="867" customFormat="1" ht="15.2" customHeight="1">
      <c r="B8" s="875" t="s">
        <v>583</v>
      </c>
      <c r="D8" s="1465"/>
      <c r="E8" s="1465"/>
      <c r="F8" s="876"/>
      <c r="J8" s="877"/>
    </row>
    <row r="9" spans="1:10" s="867" customFormat="1" ht="8.1" customHeight="1">
      <c r="B9" s="878"/>
      <c r="D9" s="1465"/>
      <c r="E9" s="1465"/>
      <c r="F9" s="876"/>
    </row>
    <row r="10" spans="1:10" s="867" customFormat="1" ht="15.2" customHeight="1">
      <c r="B10" s="846" t="s">
        <v>595</v>
      </c>
      <c r="C10" s="879"/>
      <c r="D10" s="1465"/>
      <c r="E10" s="1465"/>
      <c r="F10" s="876" t="s">
        <v>1239</v>
      </c>
    </row>
    <row r="11" spans="1:10" s="867" customFormat="1" ht="15.2" customHeight="1">
      <c r="B11" s="880" t="s">
        <v>186</v>
      </c>
      <c r="C11" s="879"/>
      <c r="D11" s="1465">
        <v>123456</v>
      </c>
      <c r="E11" s="1465">
        <v>123456</v>
      </c>
      <c r="F11" s="1465">
        <v>123456</v>
      </c>
    </row>
    <row r="12" spans="1:10" s="867" customFormat="1" ht="15.2" customHeight="1">
      <c r="B12" s="880" t="s">
        <v>187</v>
      </c>
      <c r="C12" s="879"/>
      <c r="D12" s="1465">
        <v>123456</v>
      </c>
      <c r="E12" s="1465">
        <v>123456</v>
      </c>
      <c r="F12" s="1465">
        <v>123456</v>
      </c>
    </row>
    <row r="13" spans="1:10" s="867" customFormat="1" ht="7.5" customHeight="1">
      <c r="C13" s="882"/>
      <c r="D13" s="1465"/>
      <c r="E13" s="1465"/>
      <c r="F13" s="876"/>
    </row>
    <row r="14" spans="1:10" s="867" customFormat="1" ht="15.2" customHeight="1">
      <c r="B14" s="880" t="s">
        <v>188</v>
      </c>
      <c r="C14" s="879"/>
      <c r="D14" s="1465">
        <v>123456</v>
      </c>
      <c r="E14" s="1465">
        <v>123456</v>
      </c>
      <c r="F14" s="1465">
        <v>123456</v>
      </c>
    </row>
    <row r="15" spans="1:10" s="867" customFormat="1" ht="15.2" customHeight="1">
      <c r="B15" s="880" t="s">
        <v>189</v>
      </c>
      <c r="C15" s="879"/>
      <c r="D15" s="1465">
        <v>123456</v>
      </c>
      <c r="E15" s="1465">
        <v>123456</v>
      </c>
      <c r="F15" s="1465">
        <v>123456</v>
      </c>
    </row>
    <row r="16" spans="1:10" s="867" customFormat="1" ht="7.5" customHeight="1">
      <c r="C16" s="882"/>
      <c r="D16" s="1465"/>
      <c r="E16" s="1465"/>
      <c r="F16" s="876"/>
    </row>
    <row r="17" spans="2:7" s="867" customFormat="1" ht="15.2" customHeight="1">
      <c r="B17" s="883" t="s">
        <v>596</v>
      </c>
      <c r="C17" s="882"/>
      <c r="D17" s="1465"/>
      <c r="E17" s="1465"/>
      <c r="F17" s="876"/>
    </row>
    <row r="18" spans="2:7" s="867" customFormat="1" ht="15.2" customHeight="1">
      <c r="B18" s="880" t="s">
        <v>186</v>
      </c>
      <c r="C18" s="879"/>
      <c r="D18" s="1465">
        <v>123456</v>
      </c>
      <c r="E18" s="1465">
        <v>123456</v>
      </c>
      <c r="F18" s="1465">
        <v>123456</v>
      </c>
      <c r="G18" s="884"/>
    </row>
    <row r="19" spans="2:7" s="867" customFormat="1" ht="15.2" customHeight="1">
      <c r="B19" s="880" t="s">
        <v>597</v>
      </c>
      <c r="C19" s="879"/>
      <c r="D19" s="1465">
        <v>123456</v>
      </c>
      <c r="E19" s="1465">
        <v>123456</v>
      </c>
      <c r="F19" s="1465">
        <v>123456</v>
      </c>
      <c r="G19" s="884"/>
    </row>
    <row r="20" spans="2:7" s="867" customFormat="1" ht="8.1" customHeight="1">
      <c r="B20" s="880"/>
      <c r="C20" s="879"/>
      <c r="D20" s="1465"/>
      <c r="E20" s="1465"/>
      <c r="F20" s="876"/>
    </row>
    <row r="21" spans="2:7" s="867" customFormat="1" ht="15.2" customHeight="1">
      <c r="B21" s="885" t="s">
        <v>598</v>
      </c>
      <c r="C21" s="879"/>
      <c r="D21" s="1465">
        <v>123456</v>
      </c>
      <c r="E21" s="1465">
        <v>123456</v>
      </c>
      <c r="F21" s="1465">
        <v>123456</v>
      </c>
    </row>
    <row r="22" spans="2:7" s="867" customFormat="1" ht="15.2" customHeight="1">
      <c r="B22" s="886" t="s">
        <v>599</v>
      </c>
      <c r="C22" s="879"/>
      <c r="D22" s="1465"/>
      <c r="E22" s="1465"/>
      <c r="F22" s="876"/>
    </row>
    <row r="23" spans="2:7" s="867" customFormat="1" ht="8.1" customHeight="1">
      <c r="B23" s="880"/>
      <c r="C23" s="879"/>
      <c r="D23" s="1465"/>
      <c r="E23" s="1465"/>
      <c r="F23" s="876"/>
    </row>
    <row r="24" spans="2:7" s="867" customFormat="1" ht="15.2" customHeight="1">
      <c r="B24" s="883" t="s">
        <v>600</v>
      </c>
      <c r="C24" s="882"/>
      <c r="D24" s="1465"/>
      <c r="E24" s="1465"/>
      <c r="F24" s="876"/>
    </row>
    <row r="25" spans="2:7" s="867" customFormat="1" ht="15.2" customHeight="1">
      <c r="B25" s="875" t="s">
        <v>601</v>
      </c>
      <c r="C25" s="882"/>
      <c r="D25" s="1465"/>
      <c r="E25" s="1465"/>
      <c r="F25" s="876"/>
    </row>
    <row r="26" spans="2:7" s="867" customFormat="1" ht="15.2" customHeight="1">
      <c r="B26" s="880" t="s">
        <v>602</v>
      </c>
      <c r="C26" s="879"/>
      <c r="D26" s="1465">
        <v>123456</v>
      </c>
      <c r="E26" s="1465">
        <v>123456</v>
      </c>
      <c r="F26" s="1465">
        <v>123456</v>
      </c>
    </row>
    <row r="27" spans="2:7" s="867" customFormat="1" ht="15.2" customHeight="1">
      <c r="B27" s="880" t="s">
        <v>603</v>
      </c>
      <c r="C27" s="879"/>
      <c r="D27" s="1465">
        <v>123456</v>
      </c>
      <c r="E27" s="1465">
        <v>123456</v>
      </c>
      <c r="F27" s="1465">
        <v>123456</v>
      </c>
    </row>
    <row r="28" spans="2:7" s="867" customFormat="1" ht="15.2" customHeight="1">
      <c r="B28" s="880" t="s">
        <v>604</v>
      </c>
      <c r="C28" s="879"/>
      <c r="D28" s="1465">
        <v>123456</v>
      </c>
      <c r="E28" s="1465">
        <v>123456</v>
      </c>
      <c r="F28" s="1465">
        <v>123456</v>
      </c>
    </row>
    <row r="29" spans="2:7" s="867" customFormat="1" ht="15.2" customHeight="1">
      <c r="B29" s="880" t="s">
        <v>605</v>
      </c>
      <c r="C29" s="879"/>
      <c r="D29" s="1465">
        <v>123456</v>
      </c>
      <c r="E29" s="1465">
        <v>123456</v>
      </c>
      <c r="F29" s="1465">
        <v>123456</v>
      </c>
    </row>
    <row r="30" spans="2:7" s="867" customFormat="1" ht="8.1" customHeight="1">
      <c r="B30" s="880"/>
      <c r="C30" s="879"/>
      <c r="D30" s="1465"/>
      <c r="E30" s="1465"/>
      <c r="F30" s="876"/>
    </row>
    <row r="31" spans="2:7" s="867" customFormat="1" ht="15.2" customHeight="1">
      <c r="B31" s="883" t="s">
        <v>606</v>
      </c>
      <c r="C31" s="882"/>
      <c r="D31" s="1466"/>
      <c r="E31" s="1466"/>
      <c r="F31" s="876"/>
    </row>
    <row r="32" spans="2:7" s="867" customFormat="1" ht="15.2" customHeight="1">
      <c r="B32" s="875" t="s">
        <v>623</v>
      </c>
      <c r="C32" s="882"/>
      <c r="D32" s="1466"/>
      <c r="E32" s="1466"/>
      <c r="F32" s="876"/>
    </row>
    <row r="33" spans="2:6" s="867" customFormat="1" ht="15.2" customHeight="1">
      <c r="B33" s="363" t="s">
        <v>608</v>
      </c>
      <c r="C33" s="879"/>
      <c r="D33" s="1465">
        <v>123456</v>
      </c>
      <c r="E33" s="1465">
        <v>123456</v>
      </c>
      <c r="F33" s="1465">
        <v>123456</v>
      </c>
    </row>
    <row r="34" spans="2:6" s="867" customFormat="1" ht="15.2" customHeight="1">
      <c r="B34" s="326" t="s">
        <v>609</v>
      </c>
      <c r="C34" s="879"/>
      <c r="D34" s="1465"/>
      <c r="E34" s="1465"/>
      <c r="F34" s="876"/>
    </row>
    <row r="35" spans="2:6" s="840" customFormat="1" ht="15.2" customHeight="1">
      <c r="B35" s="363" t="s">
        <v>1990</v>
      </c>
      <c r="C35" s="847"/>
      <c r="D35" s="1465">
        <v>123456</v>
      </c>
      <c r="E35" s="1465">
        <v>123456</v>
      </c>
      <c r="F35" s="1465">
        <v>123456</v>
      </c>
    </row>
    <row r="36" spans="2:6" s="840" customFormat="1" ht="15.2" customHeight="1">
      <c r="B36" s="326" t="s">
        <v>1991</v>
      </c>
      <c r="C36" s="847"/>
      <c r="D36" s="1465"/>
      <c r="E36" s="1465"/>
      <c r="F36" s="843"/>
    </row>
    <row r="37" spans="2:6" s="867" customFormat="1" ht="15.2" customHeight="1">
      <c r="B37" s="363" t="s">
        <v>610</v>
      </c>
      <c r="C37" s="879"/>
      <c r="D37" s="1465">
        <v>123456</v>
      </c>
      <c r="E37" s="1465">
        <v>123456</v>
      </c>
      <c r="F37" s="1465">
        <v>123456</v>
      </c>
    </row>
    <row r="38" spans="2:6" s="867" customFormat="1" ht="15.2" customHeight="1">
      <c r="B38" s="326" t="s">
        <v>611</v>
      </c>
      <c r="C38" s="879"/>
      <c r="D38" s="1465"/>
      <c r="E38" s="1465"/>
      <c r="F38" s="876"/>
    </row>
    <row r="39" spans="2:6" s="867" customFormat="1" ht="15.2" customHeight="1">
      <c r="B39" s="363" t="s">
        <v>612</v>
      </c>
      <c r="C39" s="879"/>
      <c r="D39" s="1465">
        <v>123456</v>
      </c>
      <c r="E39" s="1465">
        <v>123456</v>
      </c>
      <c r="F39" s="1465">
        <v>123456</v>
      </c>
    </row>
    <row r="40" spans="2:6" s="867" customFormat="1" ht="15.2" customHeight="1">
      <c r="B40" s="326" t="s">
        <v>613</v>
      </c>
      <c r="C40" s="879"/>
      <c r="D40" s="1465"/>
      <c r="E40" s="1465"/>
      <c r="F40" s="876"/>
    </row>
    <row r="41" spans="2:6" s="840" customFormat="1" ht="15.2" customHeight="1">
      <c r="B41" s="363" t="s">
        <v>614</v>
      </c>
      <c r="C41" s="850"/>
      <c r="D41" s="1465">
        <v>123456</v>
      </c>
      <c r="E41" s="1465">
        <v>123456</v>
      </c>
      <c r="F41" s="1465">
        <v>123456</v>
      </c>
    </row>
    <row r="42" spans="2:6" s="840" customFormat="1" ht="15.2" customHeight="1">
      <c r="B42" s="326" t="s">
        <v>615</v>
      </c>
      <c r="C42" s="850"/>
      <c r="D42" s="843"/>
      <c r="E42" s="843"/>
      <c r="F42" s="843"/>
    </row>
    <row r="43" spans="2:6" s="867" customFormat="1" ht="7.15" customHeight="1">
      <c r="B43" s="363"/>
      <c r="C43" s="882"/>
      <c r="D43" s="876"/>
      <c r="E43" s="876"/>
      <c r="F43" s="876"/>
    </row>
    <row r="44" spans="2:6" s="867" customFormat="1" ht="15.2" customHeight="1">
      <c r="B44" s="883" t="s">
        <v>616</v>
      </c>
      <c r="C44" s="882"/>
      <c r="D44" s="876"/>
      <c r="E44" s="876"/>
      <c r="F44" s="876"/>
    </row>
    <row r="45" spans="2:6" s="867" customFormat="1" ht="15.2" customHeight="1">
      <c r="B45" s="875" t="s">
        <v>617</v>
      </c>
      <c r="C45" s="882"/>
      <c r="D45" s="876"/>
      <c r="E45" s="876"/>
      <c r="F45" s="876"/>
    </row>
    <row r="46" spans="2:6" s="867" customFormat="1" ht="15.2" customHeight="1">
      <c r="B46" s="880" t="s">
        <v>480</v>
      </c>
      <c r="C46" s="879"/>
      <c r="D46" s="1465">
        <v>123456</v>
      </c>
      <c r="E46" s="1465">
        <v>123456</v>
      </c>
      <c r="F46" s="1465">
        <v>123456</v>
      </c>
    </row>
    <row r="47" spans="2:6" s="867" customFormat="1" ht="15.2" customHeight="1">
      <c r="B47" s="880" t="s">
        <v>618</v>
      </c>
      <c r="C47" s="879"/>
      <c r="D47" s="1465">
        <v>123456</v>
      </c>
      <c r="E47" s="1465">
        <v>123456</v>
      </c>
      <c r="F47" s="1465">
        <v>123456</v>
      </c>
    </row>
    <row r="48" spans="2:6" s="867" customFormat="1" ht="15.2" customHeight="1">
      <c r="B48" s="880" t="s">
        <v>619</v>
      </c>
      <c r="C48" s="879"/>
      <c r="D48" s="1465">
        <v>123456</v>
      </c>
      <c r="E48" s="1465">
        <v>123456</v>
      </c>
      <c r="F48" s="1465">
        <v>123456</v>
      </c>
    </row>
    <row r="49" spans="1:13" s="867" customFormat="1" ht="7.5" customHeight="1">
      <c r="C49" s="882"/>
      <c r="D49" s="1465"/>
      <c r="E49" s="1465"/>
      <c r="F49" s="876"/>
    </row>
    <row r="50" spans="1:13" s="867" customFormat="1" ht="15.2" customHeight="1">
      <c r="B50" s="883" t="s">
        <v>620</v>
      </c>
      <c r="C50" s="887"/>
      <c r="D50" s="1462">
        <v>123456</v>
      </c>
      <c r="E50" s="1462">
        <v>123456</v>
      </c>
      <c r="F50" s="1462">
        <v>123456</v>
      </c>
      <c r="G50" s="888"/>
    </row>
    <row r="51" spans="1:13" s="867" customFormat="1" ht="8.1" customHeight="1">
      <c r="B51" s="883"/>
      <c r="C51" s="887"/>
      <c r="D51" s="1462"/>
      <c r="E51" s="1462"/>
      <c r="F51" s="881"/>
      <c r="G51" s="888"/>
    </row>
    <row r="52" spans="1:13" s="867" customFormat="1" ht="15.2" customHeight="1">
      <c r="B52" s="846" t="s">
        <v>584</v>
      </c>
      <c r="C52" s="889"/>
      <c r="D52" s="1462">
        <v>123456</v>
      </c>
      <c r="E52" s="1462">
        <v>123456</v>
      </c>
      <c r="F52" s="1462">
        <v>123456</v>
      </c>
      <c r="G52" s="884"/>
    </row>
    <row r="53" spans="1:13" s="867" customFormat="1" ht="15.2" customHeight="1">
      <c r="B53" s="854" t="s">
        <v>585</v>
      </c>
      <c r="C53" s="889"/>
      <c r="D53" s="890"/>
      <c r="E53" s="876"/>
      <c r="F53" s="876"/>
    </row>
    <row r="54" spans="1:13" s="865" customFormat="1" ht="8.1" customHeight="1">
      <c r="B54" s="875"/>
      <c r="C54" s="889"/>
      <c r="D54" s="890"/>
      <c r="E54" s="876"/>
      <c r="F54" s="1468"/>
      <c r="G54" s="867"/>
      <c r="H54" s="867"/>
    </row>
    <row r="55" spans="1:13" s="865" customFormat="1" ht="8.1" customHeight="1" thickBot="1">
      <c r="A55" s="891"/>
      <c r="B55" s="891"/>
      <c r="C55" s="891"/>
      <c r="D55" s="891"/>
      <c r="E55" s="891"/>
      <c r="F55" s="891"/>
      <c r="G55" s="866"/>
      <c r="H55" s="867"/>
    </row>
    <row r="56" spans="1:13" s="865" customFormat="1" ht="15.2" customHeight="1">
      <c r="D56" s="2658" t="s">
        <v>0</v>
      </c>
      <c r="E56" s="2658"/>
      <c r="F56" s="2658"/>
      <c r="G56" s="2658"/>
      <c r="H56" s="867"/>
    </row>
    <row r="57" spans="1:13" s="865" customFormat="1" ht="15.2" customHeight="1">
      <c r="B57" s="892"/>
      <c r="C57" s="893"/>
      <c r="D57" s="2659" t="s">
        <v>1</v>
      </c>
      <c r="E57" s="2659"/>
      <c r="F57" s="2659"/>
      <c r="G57" s="2659"/>
    </row>
    <row r="58" spans="1:13" s="865" customFormat="1">
      <c r="B58" s="22" t="s">
        <v>2</v>
      </c>
      <c r="C58" s="893"/>
      <c r="D58" s="893"/>
      <c r="E58" s="893"/>
    </row>
    <row r="59" spans="1:13" s="775" customFormat="1" ht="12.95" customHeight="1">
      <c r="D59" s="777"/>
      <c r="E59" s="777"/>
      <c r="F59" s="148"/>
      <c r="G59" s="148"/>
      <c r="H59" s="148"/>
      <c r="I59" s="675"/>
      <c r="J59" s="675"/>
      <c r="K59" s="675"/>
      <c r="L59" s="675"/>
      <c r="M59" s="675"/>
    </row>
    <row r="60" spans="1:13" s="775" customFormat="1" ht="12.95" customHeight="1">
      <c r="A60" s="824" t="s">
        <v>3</v>
      </c>
      <c r="B60" s="825" t="s">
        <v>1133</v>
      </c>
      <c r="D60" s="777"/>
      <c r="E60" s="777"/>
      <c r="F60" s="636"/>
      <c r="G60" s="636"/>
      <c r="H60" s="636"/>
      <c r="I60" s="636"/>
      <c r="J60" s="636"/>
      <c r="K60" s="826"/>
      <c r="L60" s="636"/>
      <c r="M60" s="636"/>
    </row>
    <row r="61" spans="1:13" s="775" customFormat="1" ht="12.95" customHeight="1">
      <c r="A61" s="827"/>
      <c r="B61" s="24" t="s">
        <v>1134</v>
      </c>
      <c r="D61" s="777"/>
      <c r="E61" s="777"/>
      <c r="F61" s="675"/>
      <c r="G61" s="675"/>
      <c r="H61" s="675"/>
      <c r="I61" s="675"/>
      <c r="J61" s="675"/>
      <c r="K61" s="148"/>
      <c r="L61" s="675"/>
      <c r="M61" s="675"/>
    </row>
    <row r="62" spans="1:13" s="775" customFormat="1" ht="12.95" customHeight="1">
      <c r="D62" s="777"/>
      <c r="E62" s="777"/>
      <c r="F62" s="148"/>
      <c r="G62" s="675"/>
      <c r="H62" s="675"/>
      <c r="I62" s="675"/>
      <c r="J62" s="675"/>
      <c r="K62" s="675"/>
      <c r="L62" s="675"/>
    </row>
    <row r="63" spans="1:13" s="775" customFormat="1" ht="12.95" customHeight="1">
      <c r="A63" s="824" t="s">
        <v>4</v>
      </c>
      <c r="B63" s="825" t="s">
        <v>1135</v>
      </c>
      <c r="D63" s="777"/>
      <c r="E63" s="777"/>
      <c r="F63" s="636"/>
      <c r="G63" s="636"/>
      <c r="H63" s="636"/>
      <c r="I63" s="636"/>
      <c r="J63" s="636"/>
      <c r="K63" s="826"/>
      <c r="L63" s="636"/>
      <c r="M63" s="636"/>
    </row>
    <row r="64" spans="1:13" s="775" customFormat="1" ht="12.95" customHeight="1">
      <c r="A64" s="827"/>
      <c r="B64" s="24" t="s">
        <v>1166</v>
      </c>
      <c r="D64" s="777"/>
      <c r="E64" s="777"/>
      <c r="F64" s="675"/>
      <c r="G64" s="675"/>
      <c r="H64" s="675"/>
      <c r="I64" s="675"/>
      <c r="J64" s="675"/>
      <c r="K64" s="148"/>
      <c r="L64" s="675"/>
      <c r="M64" s="675"/>
    </row>
  </sheetData>
  <mergeCells count="5">
    <mergeCell ref="B5:C5"/>
    <mergeCell ref="D56:G56"/>
    <mergeCell ref="D57:G57"/>
    <mergeCell ref="C2:F2"/>
    <mergeCell ref="C3:F3"/>
  </mergeCells>
  <conditionalFormatting sqref="C10:C12">
    <cfRule type="cellIs" dxfId="124" priority="7" stopIfTrue="1" operator="lessThan">
      <formula>0</formula>
    </cfRule>
  </conditionalFormatting>
  <conditionalFormatting sqref="C14:C15">
    <cfRule type="cellIs" dxfId="123" priority="6" stopIfTrue="1" operator="lessThan">
      <formula>0</formula>
    </cfRule>
  </conditionalFormatting>
  <conditionalFormatting sqref="C18:C23">
    <cfRule type="cellIs" dxfId="122" priority="5" stopIfTrue="1" operator="lessThan">
      <formula>0</formula>
    </cfRule>
  </conditionalFormatting>
  <conditionalFormatting sqref="C26:C30">
    <cfRule type="cellIs" dxfId="121" priority="4" stopIfTrue="1" operator="lessThan">
      <formula>0</formula>
    </cfRule>
  </conditionalFormatting>
  <conditionalFormatting sqref="C33:C40">
    <cfRule type="cellIs" dxfId="120" priority="1" stopIfTrue="1" operator="lessThan">
      <formula>0</formula>
    </cfRule>
  </conditionalFormatting>
  <conditionalFormatting sqref="C46:C48">
    <cfRule type="cellIs" dxfId="119" priority="2" stopIfTrue="1" operator="lessThan">
      <formula>0</formula>
    </cfRule>
  </conditionalFormatting>
  <conditionalFormatting sqref="C52:C54">
    <cfRule type="cellIs" dxfId="118" priority="8" stopIfTrue="1" operator="lessThan">
      <formula>0</formula>
    </cfRule>
  </conditionalFormatting>
  <printOptions horizontalCentered="1"/>
  <pageMargins left="0.55118110236220474" right="0.55118110236220474" top="0.55118110236220474" bottom="0.55118110236220474" header="0.55118110236220474" footer="0.55118110236220474"/>
  <pageSetup paperSize="9" scale="80" orientation="portrait" r:id="rId1"/>
  <headerFooter scaleWithDoc="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M63"/>
  <sheetViews>
    <sheetView view="pageBreakPreview" zoomScale="90" zoomScaleNormal="69" zoomScaleSheetLayoutView="90" workbookViewId="0">
      <selection activeCell="E35" sqref="E35"/>
    </sheetView>
  </sheetViews>
  <sheetFormatPr defaultColWidth="9.140625" defaultRowHeight="16.5"/>
  <cols>
    <col min="1" max="1" width="1.7109375" style="68" customWidth="1"/>
    <col min="2" max="2" width="11.85546875" style="68" customWidth="1"/>
    <col min="3" max="3" width="42.7109375" style="68" customWidth="1"/>
    <col min="4" max="4" width="8" style="68" customWidth="1"/>
    <col min="5" max="7" width="17.7109375" style="68" customWidth="1"/>
    <col min="8" max="8" width="1.28515625" style="68" customWidth="1"/>
    <col min="9" max="9" width="13.28515625" style="68" customWidth="1"/>
    <col min="10" max="10" width="3" style="68" customWidth="1"/>
    <col min="11" max="16384" width="9.140625" style="68"/>
  </cols>
  <sheetData>
    <row r="1" spans="1:8" ht="8.1" customHeight="1"/>
    <row r="2" spans="1:8" ht="8.1" customHeight="1"/>
    <row r="3" spans="1:8" ht="16.350000000000001" customHeight="1">
      <c r="B3" s="188" t="s">
        <v>624</v>
      </c>
      <c r="C3" s="150" t="s">
        <v>1349</v>
      </c>
    </row>
    <row r="4" spans="1:8" ht="16.350000000000001" customHeight="1">
      <c r="B4" s="145" t="s">
        <v>625</v>
      </c>
      <c r="C4" s="151" t="s">
        <v>1350</v>
      </c>
    </row>
    <row r="5" spans="1:8" ht="13.15" customHeight="1" thickBot="1">
      <c r="A5" s="866"/>
      <c r="B5" s="866"/>
      <c r="C5" s="866"/>
      <c r="E5" s="81"/>
      <c r="F5" s="81"/>
      <c r="G5" s="81"/>
      <c r="H5" s="81"/>
    </row>
    <row r="6" spans="1:8" s="476" customFormat="1" ht="42.95" customHeight="1" thickBot="1">
      <c r="A6" s="275"/>
      <c r="B6" s="2663" t="s">
        <v>594</v>
      </c>
      <c r="C6" s="2660"/>
      <c r="D6" s="894"/>
      <c r="E6" s="896"/>
      <c r="F6" s="896">
        <v>2024</v>
      </c>
      <c r="G6" s="896">
        <v>2025</v>
      </c>
      <c r="H6" s="773"/>
    </row>
    <row r="7" spans="1:8" s="476" customFormat="1" ht="16.350000000000001" customHeight="1">
      <c r="A7" s="897"/>
      <c r="B7" s="898"/>
      <c r="C7" s="557"/>
    </row>
    <row r="8" spans="1:8" s="399" customFormat="1" ht="16.5" customHeight="1">
      <c r="B8" s="841" t="s">
        <v>582</v>
      </c>
      <c r="E8" s="1469"/>
      <c r="F8" s="1469">
        <v>123456</v>
      </c>
      <c r="G8" s="1469">
        <v>123456</v>
      </c>
    </row>
    <row r="9" spans="1:8" s="399" customFormat="1" ht="16.5" customHeight="1">
      <c r="B9" s="875" t="s">
        <v>583</v>
      </c>
      <c r="E9" s="761"/>
      <c r="F9" s="761"/>
      <c r="G9" s="761"/>
    </row>
    <row r="10" spans="1:8" s="399" customFormat="1" ht="13.5">
      <c r="B10" s="94"/>
      <c r="E10" s="761"/>
      <c r="F10" s="761"/>
      <c r="G10" s="761"/>
    </row>
    <row r="11" spans="1:8" s="399" customFormat="1" ht="17.25" customHeight="1">
      <c r="B11" s="846" t="s">
        <v>595</v>
      </c>
      <c r="C11" s="899"/>
      <c r="E11" s="761"/>
      <c r="F11" s="761"/>
      <c r="G11" s="761"/>
    </row>
    <row r="12" spans="1:8" s="399" customFormat="1" ht="17.25" customHeight="1">
      <c r="B12" s="900" t="s">
        <v>186</v>
      </c>
      <c r="C12" s="899"/>
      <c r="E12" s="761"/>
      <c r="F12" s="761">
        <v>123456</v>
      </c>
      <c r="G12" s="761">
        <v>123456</v>
      </c>
    </row>
    <row r="13" spans="1:8" s="399" customFormat="1" ht="17.25" customHeight="1">
      <c r="B13" s="900" t="s">
        <v>187</v>
      </c>
      <c r="C13" s="899"/>
      <c r="E13" s="761"/>
      <c r="F13" s="761">
        <v>123456</v>
      </c>
      <c r="G13" s="761">
        <v>123456</v>
      </c>
    </row>
    <row r="14" spans="1:8" s="399" customFormat="1" ht="13.5">
      <c r="C14" s="901"/>
      <c r="E14" s="761"/>
      <c r="F14" s="761"/>
      <c r="G14" s="761"/>
    </row>
    <row r="15" spans="1:8" s="399" customFormat="1" ht="17.25" customHeight="1">
      <c r="B15" s="900" t="s">
        <v>188</v>
      </c>
      <c r="C15" s="899"/>
      <c r="E15" s="761"/>
      <c r="F15" s="761">
        <v>123456</v>
      </c>
      <c r="G15" s="761">
        <v>123456</v>
      </c>
    </row>
    <row r="16" spans="1:8" s="399" customFormat="1" ht="17.25" customHeight="1">
      <c r="B16" s="900" t="s">
        <v>189</v>
      </c>
      <c r="C16" s="899"/>
      <c r="E16" s="761"/>
      <c r="F16" s="761">
        <v>123456</v>
      </c>
      <c r="G16" s="761">
        <v>123456</v>
      </c>
    </row>
    <row r="17" spans="2:7" s="399" customFormat="1" ht="13.5">
      <c r="C17" s="901"/>
      <c r="E17" s="761"/>
      <c r="F17" s="761"/>
      <c r="G17" s="761"/>
    </row>
    <row r="18" spans="2:7" s="399" customFormat="1" ht="17.25" customHeight="1">
      <c r="B18" s="671" t="s">
        <v>596</v>
      </c>
      <c r="C18" s="902"/>
      <c r="E18" s="761"/>
      <c r="F18" s="761"/>
      <c r="G18" s="761"/>
    </row>
    <row r="19" spans="2:7" s="399" customFormat="1" ht="17.25" customHeight="1">
      <c r="B19" s="900" t="s">
        <v>186</v>
      </c>
      <c r="C19" s="899"/>
      <c r="D19" s="903"/>
      <c r="E19" s="761"/>
      <c r="F19" s="761">
        <v>123456</v>
      </c>
      <c r="G19" s="761">
        <v>123456</v>
      </c>
    </row>
    <row r="20" spans="2:7" s="399" customFormat="1" ht="17.25" customHeight="1">
      <c r="B20" s="900" t="s">
        <v>597</v>
      </c>
      <c r="C20" s="899"/>
      <c r="D20" s="903"/>
      <c r="E20" s="761"/>
      <c r="F20" s="761">
        <v>123456</v>
      </c>
      <c r="G20" s="761">
        <v>123456</v>
      </c>
    </row>
    <row r="21" spans="2:7" s="399" customFormat="1" ht="13.5">
      <c r="B21" s="762"/>
      <c r="C21" s="899"/>
      <c r="E21" s="761"/>
      <c r="F21" s="761"/>
      <c r="G21" s="761"/>
    </row>
    <row r="22" spans="2:7" s="399" customFormat="1" ht="18" customHeight="1">
      <c r="B22" s="671" t="s">
        <v>600</v>
      </c>
      <c r="C22" s="901"/>
      <c r="E22" s="761"/>
      <c r="F22" s="761"/>
      <c r="G22" s="761"/>
    </row>
    <row r="23" spans="2:7" s="399" customFormat="1" ht="18" customHeight="1">
      <c r="B23" s="486" t="s">
        <v>601</v>
      </c>
      <c r="C23" s="901"/>
      <c r="E23" s="761"/>
      <c r="F23" s="761"/>
      <c r="G23" s="761"/>
    </row>
    <row r="24" spans="2:7" s="399" customFormat="1" ht="18" customHeight="1">
      <c r="B24" s="900" t="s">
        <v>602</v>
      </c>
      <c r="C24" s="899"/>
      <c r="E24" s="761"/>
      <c r="F24" s="761">
        <v>123456</v>
      </c>
      <c r="G24" s="761">
        <v>123456</v>
      </c>
    </row>
    <row r="25" spans="2:7" s="399" customFormat="1" ht="18" customHeight="1">
      <c r="B25" s="900" t="s">
        <v>603</v>
      </c>
      <c r="C25" s="899"/>
      <c r="E25" s="761"/>
      <c r="F25" s="761">
        <v>123456</v>
      </c>
      <c r="G25" s="761">
        <v>123456</v>
      </c>
    </row>
    <row r="26" spans="2:7" s="399" customFormat="1" ht="18" customHeight="1">
      <c r="B26" s="900" t="s">
        <v>604</v>
      </c>
      <c r="C26" s="899"/>
      <c r="E26" s="761"/>
      <c r="F26" s="761">
        <v>123456</v>
      </c>
      <c r="G26" s="761">
        <v>123456</v>
      </c>
    </row>
    <row r="27" spans="2:7" s="399" customFormat="1" ht="18" customHeight="1">
      <c r="B27" s="900" t="s">
        <v>605</v>
      </c>
      <c r="C27" s="899"/>
      <c r="E27" s="761"/>
      <c r="F27" s="761">
        <v>123456</v>
      </c>
      <c r="G27" s="761">
        <v>123456</v>
      </c>
    </row>
    <row r="28" spans="2:7" s="399" customFormat="1" ht="13.5">
      <c r="B28" s="760"/>
      <c r="C28" s="899"/>
      <c r="E28" s="761"/>
      <c r="F28" s="761"/>
      <c r="G28" s="761"/>
    </row>
    <row r="29" spans="2:7" s="399" customFormat="1" ht="17.25" customHeight="1">
      <c r="B29" s="671" t="s">
        <v>606</v>
      </c>
      <c r="C29" s="901"/>
      <c r="E29" s="761"/>
      <c r="F29" s="761"/>
      <c r="G29" s="761"/>
    </row>
    <row r="30" spans="2:7" s="399" customFormat="1" ht="17.25" customHeight="1">
      <c r="B30" s="486" t="s">
        <v>607</v>
      </c>
      <c r="C30" s="901"/>
      <c r="E30" s="761"/>
      <c r="F30" s="761"/>
      <c r="G30" s="761"/>
    </row>
    <row r="31" spans="2:7" s="399" customFormat="1" ht="17.25" customHeight="1">
      <c r="B31" s="900" t="s">
        <v>608</v>
      </c>
      <c r="C31" s="899"/>
      <c r="E31" s="761"/>
      <c r="F31" s="761">
        <v>123456</v>
      </c>
      <c r="G31" s="761">
        <v>123456</v>
      </c>
    </row>
    <row r="32" spans="2:7" s="399" customFormat="1" ht="17.25" customHeight="1">
      <c r="B32" s="904" t="s">
        <v>609</v>
      </c>
      <c r="C32" s="899"/>
      <c r="E32" s="761"/>
      <c r="F32" s="761"/>
      <c r="G32" s="761"/>
    </row>
    <row r="33" spans="2:7" s="399" customFormat="1" ht="17.25" customHeight="1">
      <c r="B33" s="900" t="s">
        <v>1990</v>
      </c>
      <c r="C33" s="899"/>
      <c r="E33" s="761"/>
      <c r="F33" s="761">
        <v>123456</v>
      </c>
      <c r="G33" s="761">
        <v>123456</v>
      </c>
    </row>
    <row r="34" spans="2:7" s="399" customFormat="1" ht="17.25" customHeight="1">
      <c r="B34" s="904" t="s">
        <v>1991</v>
      </c>
      <c r="C34" s="899"/>
      <c r="E34" s="761"/>
      <c r="F34" s="761"/>
      <c r="G34" s="761"/>
    </row>
    <row r="35" spans="2:7" s="399" customFormat="1" ht="17.25" customHeight="1">
      <c r="B35" s="900" t="s">
        <v>610</v>
      </c>
      <c r="C35" s="899"/>
      <c r="E35" s="761"/>
      <c r="F35" s="761">
        <v>123456</v>
      </c>
      <c r="G35" s="761">
        <v>123456</v>
      </c>
    </row>
    <row r="36" spans="2:7" s="399" customFormat="1" ht="17.25" customHeight="1">
      <c r="B36" s="904" t="s">
        <v>611</v>
      </c>
      <c r="C36" s="899"/>
      <c r="E36" s="761"/>
      <c r="F36" s="761"/>
      <c r="G36" s="761"/>
    </row>
    <row r="37" spans="2:7" s="399" customFormat="1" ht="17.25" customHeight="1">
      <c r="B37" s="900" t="s">
        <v>612</v>
      </c>
      <c r="C37" s="899"/>
      <c r="E37" s="761"/>
      <c r="F37" s="761">
        <v>123456</v>
      </c>
      <c r="G37" s="761">
        <v>123456</v>
      </c>
    </row>
    <row r="38" spans="2:7" s="399" customFormat="1" ht="17.25" customHeight="1">
      <c r="B38" s="904" t="s">
        <v>613</v>
      </c>
      <c r="C38" s="899"/>
      <c r="E38" s="761"/>
      <c r="F38" s="761"/>
      <c r="G38" s="761"/>
    </row>
    <row r="39" spans="2:7" s="399" customFormat="1" ht="17.25" customHeight="1">
      <c r="B39" s="900" t="s">
        <v>614</v>
      </c>
      <c r="E39" s="761"/>
      <c r="F39" s="761">
        <v>123456</v>
      </c>
      <c r="G39" s="761">
        <v>123456</v>
      </c>
    </row>
    <row r="40" spans="2:7" s="399" customFormat="1" ht="17.25" customHeight="1">
      <c r="B40" s="904" t="s">
        <v>615</v>
      </c>
      <c r="E40" s="761"/>
      <c r="F40" s="761"/>
      <c r="G40" s="761"/>
    </row>
    <row r="41" spans="2:7" s="399" customFormat="1" ht="13.5">
      <c r="C41" s="901"/>
      <c r="E41" s="761"/>
      <c r="F41" s="761"/>
      <c r="G41" s="761"/>
    </row>
    <row r="42" spans="2:7" s="399" customFormat="1" ht="17.25" customHeight="1">
      <c r="B42" s="671" t="s">
        <v>616</v>
      </c>
      <c r="C42" s="901"/>
      <c r="E42" s="761"/>
      <c r="F42" s="761"/>
      <c r="G42" s="761"/>
    </row>
    <row r="43" spans="2:7" s="399" customFormat="1" ht="17.25" customHeight="1">
      <c r="B43" s="486" t="s">
        <v>617</v>
      </c>
      <c r="C43" s="901"/>
      <c r="E43" s="761"/>
      <c r="F43" s="761"/>
      <c r="G43" s="761"/>
    </row>
    <row r="44" spans="2:7" s="399" customFormat="1" ht="17.25" customHeight="1">
      <c r="B44" s="900" t="s">
        <v>480</v>
      </c>
      <c r="C44" s="899"/>
      <c r="E44" s="761"/>
      <c r="F44" s="761">
        <v>123456</v>
      </c>
      <c r="G44" s="761">
        <v>123456</v>
      </c>
    </row>
    <row r="45" spans="2:7" s="399" customFormat="1" ht="17.25" customHeight="1">
      <c r="B45" s="900" t="s">
        <v>618</v>
      </c>
      <c r="C45" s="899"/>
      <c r="E45" s="761"/>
      <c r="F45" s="761">
        <v>123456</v>
      </c>
      <c r="G45" s="761">
        <v>123456</v>
      </c>
    </row>
    <row r="46" spans="2:7" s="399" customFormat="1" ht="17.25" customHeight="1">
      <c r="B46" s="900" t="s">
        <v>619</v>
      </c>
      <c r="C46" s="899"/>
      <c r="E46" s="761"/>
      <c r="F46" s="761">
        <v>123456</v>
      </c>
      <c r="G46" s="761">
        <v>123456</v>
      </c>
    </row>
    <row r="47" spans="2:7" s="399" customFormat="1" ht="13.5">
      <c r="C47" s="901"/>
      <c r="E47" s="761"/>
      <c r="F47" s="761"/>
      <c r="G47" s="761"/>
    </row>
    <row r="48" spans="2:7" s="399" customFormat="1" ht="17.25" customHeight="1">
      <c r="B48" s="671" t="s">
        <v>620</v>
      </c>
      <c r="C48" s="905"/>
      <c r="D48" s="888"/>
      <c r="E48" s="579"/>
      <c r="F48" s="579">
        <v>123456</v>
      </c>
      <c r="G48" s="579">
        <v>123456</v>
      </c>
    </row>
    <row r="49" spans="1:13" s="399" customFormat="1" ht="13.5">
      <c r="B49" s="676"/>
      <c r="C49" s="906"/>
      <c r="E49" s="579"/>
      <c r="F49" s="579"/>
      <c r="G49" s="579"/>
    </row>
    <row r="50" spans="1:13" s="399" customFormat="1" ht="17.25" customHeight="1">
      <c r="B50" s="671" t="s">
        <v>584</v>
      </c>
      <c r="C50" s="906"/>
      <c r="D50" s="903"/>
      <c r="E50" s="579"/>
      <c r="F50" s="579"/>
      <c r="G50" s="579"/>
    </row>
    <row r="51" spans="1:13" s="399" customFormat="1" ht="17.25" customHeight="1">
      <c r="B51" s="486" t="s">
        <v>585</v>
      </c>
      <c r="C51" s="906"/>
      <c r="E51" s="579"/>
      <c r="F51" s="579">
        <v>123456</v>
      </c>
      <c r="G51" s="579">
        <v>123456</v>
      </c>
    </row>
    <row r="52" spans="1:13" s="399" customFormat="1" ht="16.5" customHeight="1">
      <c r="B52" s="486"/>
      <c r="C52" s="906"/>
      <c r="E52" s="761"/>
      <c r="F52" s="761"/>
      <c r="G52" s="761"/>
    </row>
    <row r="53" spans="1:13" s="772" customFormat="1" ht="8.1" customHeight="1">
      <c r="B53" s="486"/>
      <c r="C53" s="906"/>
      <c r="D53" s="399"/>
    </row>
    <row r="54" spans="1:13" s="772" customFormat="1" ht="8.1" customHeight="1" thickBot="1">
      <c r="A54" s="907"/>
      <c r="B54" s="907"/>
      <c r="C54" s="907"/>
      <c r="D54" s="774"/>
      <c r="E54" s="907"/>
      <c r="F54" s="907"/>
      <c r="G54" s="907"/>
      <c r="H54" s="907"/>
    </row>
    <row r="55" spans="1:13" s="772" customFormat="1" ht="15.2" customHeight="1">
      <c r="C55" s="2658" t="s">
        <v>0</v>
      </c>
      <c r="D55" s="2658"/>
      <c r="E55" s="2658"/>
      <c r="F55" s="2658"/>
      <c r="G55" s="2658"/>
      <c r="H55" s="2658"/>
    </row>
    <row r="56" spans="1:13" s="772" customFormat="1" ht="15.2" customHeight="1">
      <c r="B56" s="768"/>
      <c r="C56" s="2659" t="s">
        <v>1</v>
      </c>
      <c r="D56" s="2659"/>
      <c r="E56" s="2659"/>
      <c r="F56" s="2659"/>
      <c r="G56" s="2659"/>
      <c r="H56" s="2659"/>
    </row>
    <row r="57" spans="1:13" s="772" customFormat="1">
      <c r="B57" s="22" t="s">
        <v>2</v>
      </c>
      <c r="C57" s="767"/>
      <c r="D57" s="767"/>
    </row>
    <row r="58" spans="1:13" s="775" customFormat="1" ht="12.95" customHeight="1">
      <c r="D58" s="777"/>
      <c r="E58" s="148"/>
      <c r="F58" s="148"/>
      <c r="G58" s="148"/>
      <c r="H58" s="148"/>
      <c r="I58" s="675"/>
      <c r="J58" s="675"/>
      <c r="K58" s="675"/>
      <c r="L58" s="675"/>
      <c r="M58" s="675"/>
    </row>
    <row r="59" spans="1:13" s="775" customFormat="1" ht="12.95" customHeight="1">
      <c r="A59" s="824" t="s">
        <v>3</v>
      </c>
      <c r="B59" s="825" t="s">
        <v>1133</v>
      </c>
      <c r="D59" s="777"/>
      <c r="E59" s="636"/>
      <c r="F59" s="636"/>
      <c r="G59" s="636"/>
      <c r="H59" s="636"/>
      <c r="I59" s="636"/>
      <c r="J59" s="636"/>
      <c r="K59" s="826"/>
      <c r="L59" s="636"/>
      <c r="M59" s="636"/>
    </row>
    <row r="60" spans="1:13" s="775" customFormat="1" ht="12.95" customHeight="1">
      <c r="A60" s="827"/>
      <c r="B60" s="24" t="s">
        <v>1134</v>
      </c>
      <c r="D60" s="777"/>
      <c r="E60" s="675"/>
      <c r="F60" s="675"/>
      <c r="G60" s="675"/>
      <c r="H60" s="675"/>
      <c r="I60" s="675"/>
      <c r="J60" s="675"/>
      <c r="K60" s="148"/>
      <c r="L60" s="675"/>
      <c r="M60" s="675"/>
    </row>
    <row r="61" spans="1:13" s="775" customFormat="1" ht="12.95" customHeight="1">
      <c r="D61" s="777"/>
      <c r="E61" s="675"/>
      <c r="F61" s="675"/>
      <c r="G61" s="675"/>
      <c r="H61" s="675"/>
      <c r="I61" s="675"/>
      <c r="J61" s="675"/>
      <c r="K61" s="675"/>
      <c r="L61" s="675"/>
    </row>
    <row r="62" spans="1:13" s="775" customFormat="1" ht="12.95" customHeight="1">
      <c r="A62" s="824" t="s">
        <v>4</v>
      </c>
      <c r="B62" s="825" t="s">
        <v>1135</v>
      </c>
      <c r="D62" s="777"/>
      <c r="E62" s="636"/>
      <c r="F62" s="636"/>
      <c r="G62" s="636"/>
      <c r="H62" s="636"/>
      <c r="I62" s="636"/>
      <c r="J62" s="636"/>
      <c r="K62" s="826"/>
      <c r="L62" s="636"/>
      <c r="M62" s="636"/>
    </row>
    <row r="63" spans="1:13" s="775" customFormat="1" ht="12.95" customHeight="1">
      <c r="A63" s="827"/>
      <c r="B63" s="24" t="s">
        <v>1166</v>
      </c>
      <c r="D63" s="777"/>
      <c r="E63" s="675"/>
      <c r="F63" s="675"/>
      <c r="G63" s="675"/>
      <c r="H63" s="675"/>
      <c r="I63" s="675"/>
      <c r="J63" s="675"/>
      <c r="K63" s="148"/>
      <c r="L63" s="675"/>
      <c r="M63" s="675"/>
    </row>
  </sheetData>
  <mergeCells count="3">
    <mergeCell ref="B6:C6"/>
    <mergeCell ref="C55:H55"/>
    <mergeCell ref="C56:H56"/>
  </mergeCells>
  <conditionalFormatting sqref="C11:C13">
    <cfRule type="cellIs" dxfId="117" priority="8" stopIfTrue="1" operator="lessThan">
      <formula>0</formula>
    </cfRule>
  </conditionalFormatting>
  <conditionalFormatting sqref="C15:C16">
    <cfRule type="cellIs" dxfId="116" priority="7" stopIfTrue="1" operator="lessThan">
      <formula>0</formula>
    </cfRule>
  </conditionalFormatting>
  <conditionalFormatting sqref="C19:C21">
    <cfRule type="cellIs" dxfId="115" priority="6" stopIfTrue="1" operator="lessThan">
      <formula>0</formula>
    </cfRule>
  </conditionalFormatting>
  <conditionalFormatting sqref="C24:C28">
    <cfRule type="cellIs" dxfId="114" priority="5" stopIfTrue="1" operator="lessThan">
      <formula>0</formula>
    </cfRule>
  </conditionalFormatting>
  <conditionalFormatting sqref="C31:C38">
    <cfRule type="cellIs" dxfId="113" priority="3" stopIfTrue="1" operator="lessThan">
      <formula>0</formula>
    </cfRule>
  </conditionalFormatting>
  <conditionalFormatting sqref="C44:C46">
    <cfRule type="cellIs" dxfId="112" priority="2" stopIfTrue="1" operator="lessThan">
      <formula>0</formula>
    </cfRule>
  </conditionalFormatting>
  <conditionalFormatting sqref="C49:C53">
    <cfRule type="cellIs" dxfId="111" priority="4" stopIfTrue="1" operator="lessThan">
      <formula>0</formula>
    </cfRule>
  </conditionalFormatting>
  <printOptions horizontalCentered="1"/>
  <pageMargins left="0.55118110236220474" right="0.55118110236220474" top="0.55118110236220474" bottom="0.55118110236220474" header="0.55118110236220474" footer="0.55118110236220474"/>
  <pageSetup paperSize="9" scale="76" orientation="portrait" r:id="rId1"/>
  <headerFooter scaleWithDoc="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L35"/>
  <sheetViews>
    <sheetView view="pageBreakPreview" topLeftCell="A16" zoomScaleNormal="140" zoomScaleSheetLayoutView="100" workbookViewId="0">
      <selection activeCell="F45" sqref="F45"/>
    </sheetView>
  </sheetViews>
  <sheetFormatPr defaultColWidth="9.140625" defaultRowHeight="12.95" customHeight="1"/>
  <cols>
    <col min="1" max="1" width="1.7109375" style="908" customWidth="1"/>
    <col min="2" max="2" width="10.140625" style="908" customWidth="1"/>
    <col min="3" max="3" width="20.140625" style="908" customWidth="1"/>
    <col min="4" max="4" width="7" style="909" customWidth="1"/>
    <col min="5" max="11" width="13.85546875" style="909" customWidth="1"/>
    <col min="12" max="12" width="1.7109375" style="908" customWidth="1"/>
    <col min="13" max="16384" width="9.140625" style="908"/>
  </cols>
  <sheetData>
    <row r="1" spans="1:12" ht="8.1" customHeight="1"/>
    <row r="2" spans="1:12" ht="8.1" customHeight="1"/>
    <row r="3" spans="1:12" ht="16.350000000000001" customHeight="1">
      <c r="B3" s="778" t="s">
        <v>626</v>
      </c>
      <c r="C3" s="150" t="s">
        <v>1351</v>
      </c>
      <c r="D3" s="778"/>
      <c r="E3" s="779"/>
      <c r="F3" s="778"/>
      <c r="G3" s="778"/>
      <c r="H3" s="778"/>
      <c r="I3" s="778"/>
      <c r="J3" s="778"/>
      <c r="K3" s="778"/>
      <c r="L3" s="910"/>
    </row>
    <row r="4" spans="1:12" ht="16.350000000000001" customHeight="1">
      <c r="B4" s="781" t="s">
        <v>627</v>
      </c>
      <c r="C4" s="151" t="s">
        <v>1352</v>
      </c>
      <c r="D4" s="781"/>
      <c r="E4" s="779"/>
      <c r="F4" s="778"/>
      <c r="G4" s="778"/>
      <c r="H4" s="778"/>
      <c r="I4" s="778"/>
      <c r="J4" s="778"/>
      <c r="K4" s="778"/>
      <c r="L4" s="910"/>
    </row>
    <row r="5" spans="1:12" ht="13.15" customHeight="1" thickBot="1">
      <c r="B5" s="911"/>
      <c r="C5" s="912"/>
      <c r="D5" s="913"/>
      <c r="E5" s="913"/>
      <c r="F5" s="914"/>
      <c r="G5" s="914"/>
      <c r="H5" s="914"/>
      <c r="I5" s="914"/>
      <c r="J5" s="914"/>
      <c r="K5" s="914"/>
      <c r="L5" s="915"/>
    </row>
    <row r="6" spans="1:12" ht="54" customHeight="1" thickBot="1">
      <c r="A6" s="916"/>
      <c r="B6" s="2664" t="s">
        <v>594</v>
      </c>
      <c r="C6" s="2664"/>
      <c r="D6" s="788" t="s">
        <v>239</v>
      </c>
      <c r="E6" s="789" t="s">
        <v>574</v>
      </c>
      <c r="F6" s="790" t="s">
        <v>575</v>
      </c>
      <c r="G6" s="790" t="s">
        <v>576</v>
      </c>
      <c r="H6" s="790" t="s">
        <v>577</v>
      </c>
      <c r="I6" s="791" t="s">
        <v>578</v>
      </c>
      <c r="J6" s="791" t="s">
        <v>579</v>
      </c>
      <c r="K6" s="791" t="s">
        <v>580</v>
      </c>
      <c r="L6" s="917"/>
    </row>
    <row r="7" spans="1:12" ht="16.350000000000001" customHeight="1">
      <c r="B7" s="794"/>
      <c r="C7" s="795"/>
      <c r="D7" s="796"/>
      <c r="E7" s="918"/>
      <c r="F7" s="918"/>
      <c r="G7" s="918"/>
      <c r="H7" s="918"/>
      <c r="I7" s="918"/>
      <c r="J7" s="918"/>
      <c r="K7" s="918"/>
      <c r="L7" s="919"/>
    </row>
    <row r="8" spans="1:12" s="920" customFormat="1" ht="15.2" customHeight="1">
      <c r="B8" s="921" t="s">
        <v>628</v>
      </c>
      <c r="C8" s="922"/>
      <c r="D8" s="803">
        <v>2023</v>
      </c>
      <c r="E8" s="935">
        <v>123456</v>
      </c>
      <c r="F8" s="935">
        <v>123456</v>
      </c>
      <c r="G8" s="935">
        <v>123456</v>
      </c>
      <c r="H8" s="935">
        <v>123456</v>
      </c>
      <c r="I8" s="935">
        <v>123456</v>
      </c>
      <c r="J8" s="935">
        <v>123456</v>
      </c>
      <c r="K8" s="935">
        <v>123456</v>
      </c>
      <c r="L8" s="923"/>
    </row>
    <row r="9" spans="1:12" ht="15.2" customHeight="1">
      <c r="B9" s="924" t="s">
        <v>629</v>
      </c>
      <c r="C9" s="925"/>
      <c r="D9" s="803">
        <v>2024</v>
      </c>
      <c r="E9" s="935">
        <v>123456</v>
      </c>
      <c r="F9" s="935">
        <v>123456</v>
      </c>
      <c r="G9" s="935">
        <v>123456</v>
      </c>
      <c r="H9" s="935">
        <v>123456</v>
      </c>
      <c r="I9" s="935">
        <v>123456</v>
      </c>
      <c r="J9" s="935">
        <v>123456</v>
      </c>
      <c r="K9" s="935">
        <v>123456</v>
      </c>
      <c r="L9" s="928"/>
    </row>
    <row r="10" spans="1:12" ht="15.2" customHeight="1">
      <c r="B10" s="924"/>
      <c r="C10" s="925"/>
      <c r="D10" s="803">
        <v>2025</v>
      </c>
      <c r="E10" s="935">
        <v>123456</v>
      </c>
      <c r="F10" s="935">
        <v>123456</v>
      </c>
      <c r="G10" s="935">
        <v>123456</v>
      </c>
      <c r="H10" s="935">
        <v>123456</v>
      </c>
      <c r="I10" s="935">
        <v>123456</v>
      </c>
      <c r="J10" s="935">
        <v>123456</v>
      </c>
      <c r="K10" s="935">
        <v>123456</v>
      </c>
      <c r="L10" s="928"/>
    </row>
    <row r="11" spans="1:12" ht="8.1" customHeight="1">
      <c r="B11" s="929"/>
      <c r="C11" s="925"/>
      <c r="D11" s="926"/>
      <c r="E11" s="928"/>
      <c r="F11" s="928"/>
      <c r="G11" s="928"/>
      <c r="H11" s="928"/>
      <c r="I11" s="928"/>
      <c r="J11" s="928"/>
      <c r="K11" s="928"/>
      <c r="L11" s="928"/>
    </row>
    <row r="12" spans="1:12" ht="15.2" customHeight="1">
      <c r="B12" s="930" t="s">
        <v>188</v>
      </c>
      <c r="C12" s="925"/>
      <c r="D12" s="803">
        <v>2023</v>
      </c>
      <c r="E12" s="928">
        <v>123456</v>
      </c>
      <c r="F12" s="928">
        <v>123456</v>
      </c>
      <c r="G12" s="928">
        <v>123456</v>
      </c>
      <c r="H12" s="928">
        <v>123456</v>
      </c>
      <c r="I12" s="928">
        <v>123456</v>
      </c>
      <c r="J12" s="928">
        <v>123456</v>
      </c>
      <c r="K12" s="928">
        <v>123456</v>
      </c>
      <c r="L12" s="928"/>
    </row>
    <row r="13" spans="1:12" ht="14.25" customHeight="1">
      <c r="B13" s="931"/>
      <c r="C13" s="925"/>
      <c r="D13" s="803">
        <v>2024</v>
      </c>
      <c r="E13" s="928">
        <v>123456</v>
      </c>
      <c r="F13" s="928">
        <v>123456</v>
      </c>
      <c r="G13" s="928">
        <v>123456</v>
      </c>
      <c r="H13" s="928">
        <v>123456</v>
      </c>
      <c r="I13" s="928">
        <v>123456</v>
      </c>
      <c r="J13" s="928">
        <v>123456</v>
      </c>
      <c r="K13" s="928">
        <v>123456</v>
      </c>
      <c r="L13" s="928"/>
    </row>
    <row r="14" spans="1:12" ht="14.25" customHeight="1">
      <c r="B14" s="931"/>
      <c r="C14" s="925"/>
      <c r="D14" s="803">
        <v>2025</v>
      </c>
      <c r="E14" s="928">
        <v>123456</v>
      </c>
      <c r="F14" s="928">
        <v>123456</v>
      </c>
      <c r="G14" s="928">
        <v>123456</v>
      </c>
      <c r="H14" s="928">
        <v>123456</v>
      </c>
      <c r="I14" s="928">
        <v>123456</v>
      </c>
      <c r="J14" s="928">
        <v>123456</v>
      </c>
      <c r="K14" s="928">
        <v>123456</v>
      </c>
      <c r="L14" s="928"/>
    </row>
    <row r="15" spans="1:12" ht="8.1" customHeight="1">
      <c r="B15" s="931"/>
      <c r="C15" s="925"/>
      <c r="D15" s="803"/>
      <c r="E15" s="928"/>
      <c r="F15" s="928"/>
      <c r="G15" s="928"/>
      <c r="H15" s="928"/>
      <c r="I15" s="928"/>
      <c r="J15" s="928"/>
      <c r="K15" s="928"/>
      <c r="L15" s="928"/>
    </row>
    <row r="16" spans="1:12" ht="15.2" customHeight="1">
      <c r="B16" s="930" t="s">
        <v>189</v>
      </c>
      <c r="C16" s="925"/>
      <c r="D16" s="803">
        <v>2023</v>
      </c>
      <c r="E16" s="928">
        <v>123456</v>
      </c>
      <c r="F16" s="928">
        <v>123456</v>
      </c>
      <c r="G16" s="928">
        <v>123456</v>
      </c>
      <c r="H16" s="928">
        <v>123456</v>
      </c>
      <c r="I16" s="928">
        <v>123456</v>
      </c>
      <c r="J16" s="928">
        <v>123456</v>
      </c>
      <c r="K16" s="928">
        <v>123456</v>
      </c>
      <c r="L16" s="928"/>
    </row>
    <row r="17" spans="1:12" ht="12.95" customHeight="1">
      <c r="B17" s="933"/>
      <c r="C17" s="925"/>
      <c r="D17" s="803">
        <v>2024</v>
      </c>
      <c r="E17" s="928">
        <v>123456</v>
      </c>
      <c r="F17" s="928">
        <v>123456</v>
      </c>
      <c r="G17" s="928">
        <v>123456</v>
      </c>
      <c r="H17" s="928">
        <v>123456</v>
      </c>
      <c r="I17" s="928">
        <v>123456</v>
      </c>
      <c r="J17" s="928">
        <v>123456</v>
      </c>
      <c r="K17" s="928">
        <v>123456</v>
      </c>
      <c r="L17" s="928"/>
    </row>
    <row r="18" spans="1:12" ht="12.95" customHeight="1">
      <c r="B18" s="934"/>
      <c r="C18" s="925"/>
      <c r="D18" s="803">
        <v>2025</v>
      </c>
      <c r="E18" s="928">
        <v>123456</v>
      </c>
      <c r="F18" s="928">
        <v>123456</v>
      </c>
      <c r="G18" s="928">
        <v>123456</v>
      </c>
      <c r="H18" s="928">
        <v>123456</v>
      </c>
      <c r="I18" s="928">
        <v>123456</v>
      </c>
      <c r="J18" s="928">
        <v>123456</v>
      </c>
      <c r="K18" s="928">
        <v>123456</v>
      </c>
      <c r="L18" s="928"/>
    </row>
    <row r="19" spans="1:12" ht="12.95" customHeight="1">
      <c r="B19" s="934"/>
      <c r="C19" s="925"/>
      <c r="D19" s="926"/>
      <c r="E19" s="928"/>
      <c r="F19" s="928"/>
      <c r="G19" s="928"/>
      <c r="H19" s="928"/>
      <c r="I19" s="928"/>
      <c r="J19" s="928"/>
      <c r="K19" s="928"/>
      <c r="L19" s="928"/>
    </row>
    <row r="20" spans="1:12" s="920" customFormat="1" ht="15.2" customHeight="1">
      <c r="B20" s="921" t="s">
        <v>247</v>
      </c>
      <c r="C20" s="922"/>
      <c r="D20" s="803">
        <v>2023</v>
      </c>
      <c r="E20" s="935">
        <v>123456</v>
      </c>
      <c r="F20" s="935">
        <v>123456</v>
      </c>
      <c r="G20" s="935">
        <v>123456</v>
      </c>
      <c r="H20" s="935">
        <v>123456</v>
      </c>
      <c r="I20" s="935">
        <v>123456</v>
      </c>
      <c r="J20" s="935">
        <v>123456</v>
      </c>
      <c r="K20" s="935">
        <v>123456</v>
      </c>
      <c r="L20" s="935"/>
    </row>
    <row r="21" spans="1:12" ht="15.2" customHeight="1">
      <c r="B21" s="924" t="s">
        <v>630</v>
      </c>
      <c r="C21" s="925"/>
      <c r="D21" s="803">
        <v>2024</v>
      </c>
      <c r="E21" s="935">
        <v>123456</v>
      </c>
      <c r="F21" s="935">
        <v>123456</v>
      </c>
      <c r="G21" s="935">
        <v>123456</v>
      </c>
      <c r="H21" s="935">
        <v>123456</v>
      </c>
      <c r="I21" s="935">
        <v>123456</v>
      </c>
      <c r="J21" s="935">
        <v>123456</v>
      </c>
      <c r="K21" s="935">
        <v>123456</v>
      </c>
      <c r="L21" s="928"/>
    </row>
    <row r="22" spans="1:12" ht="15.2" customHeight="1">
      <c r="B22" s="924"/>
      <c r="C22" s="925"/>
      <c r="D22" s="803">
        <v>2025</v>
      </c>
      <c r="E22" s="935">
        <v>123456</v>
      </c>
      <c r="F22" s="935">
        <v>123456</v>
      </c>
      <c r="G22" s="935">
        <v>123456</v>
      </c>
      <c r="H22" s="935">
        <v>123456</v>
      </c>
      <c r="I22" s="935">
        <v>123456</v>
      </c>
      <c r="J22" s="935">
        <v>123456</v>
      </c>
      <c r="K22" s="935">
        <v>123456</v>
      </c>
      <c r="L22" s="928"/>
    </row>
    <row r="23" spans="1:12" ht="8.1" customHeight="1">
      <c r="B23" s="929"/>
      <c r="C23" s="925"/>
      <c r="D23" s="926"/>
      <c r="E23" s="928"/>
      <c r="F23" s="928"/>
      <c r="G23" s="928"/>
      <c r="H23" s="928"/>
      <c r="I23" s="928"/>
      <c r="J23" s="928"/>
      <c r="K23" s="928"/>
    </row>
    <row r="24" spans="1:12" ht="15.2" customHeight="1">
      <c r="B24" s="930" t="s">
        <v>188</v>
      </c>
      <c r="C24" s="925"/>
      <c r="D24" s="803">
        <v>2023</v>
      </c>
      <c r="E24" s="928">
        <v>123456</v>
      </c>
      <c r="F24" s="928">
        <v>123456</v>
      </c>
      <c r="G24" s="928">
        <v>123456</v>
      </c>
      <c r="H24" s="928">
        <v>123456</v>
      </c>
      <c r="I24" s="928">
        <v>123456</v>
      </c>
      <c r="J24" s="928">
        <v>123456</v>
      </c>
      <c r="K24" s="928">
        <v>123456</v>
      </c>
    </row>
    <row r="25" spans="1:12" ht="13.5" customHeight="1">
      <c r="B25" s="931"/>
      <c r="C25" s="925"/>
      <c r="D25" s="803">
        <v>2024</v>
      </c>
      <c r="E25" s="928">
        <v>123456</v>
      </c>
      <c r="F25" s="928">
        <v>123456</v>
      </c>
      <c r="G25" s="928">
        <v>123456</v>
      </c>
      <c r="H25" s="928">
        <v>123456</v>
      </c>
      <c r="I25" s="928">
        <v>123456</v>
      </c>
      <c r="J25" s="928">
        <v>123456</v>
      </c>
      <c r="K25" s="928">
        <v>123456</v>
      </c>
    </row>
    <row r="26" spans="1:12" ht="13.5" customHeight="1">
      <c r="B26" s="931"/>
      <c r="C26" s="925"/>
      <c r="D26" s="803">
        <v>2025</v>
      </c>
      <c r="E26" s="928">
        <v>123456</v>
      </c>
      <c r="F26" s="928">
        <v>123456</v>
      </c>
      <c r="G26" s="928">
        <v>123456</v>
      </c>
      <c r="H26" s="928">
        <v>123456</v>
      </c>
      <c r="I26" s="928">
        <v>123456</v>
      </c>
      <c r="J26" s="928">
        <v>123456</v>
      </c>
      <c r="K26" s="928">
        <v>123456</v>
      </c>
    </row>
    <row r="27" spans="1:12" ht="8.1" customHeight="1">
      <c r="B27" s="931"/>
      <c r="C27" s="925"/>
      <c r="D27" s="932"/>
      <c r="E27" s="928"/>
      <c r="F27" s="928"/>
      <c r="G27" s="928"/>
      <c r="H27" s="928"/>
      <c r="I27" s="928"/>
      <c r="J27" s="928"/>
      <c r="K27" s="928"/>
    </row>
    <row r="28" spans="1:12" ht="15.2" customHeight="1">
      <c r="B28" s="930" t="s">
        <v>189</v>
      </c>
      <c r="C28" s="925"/>
      <c r="D28" s="803">
        <v>2023</v>
      </c>
      <c r="E28" s="928">
        <v>123456</v>
      </c>
      <c r="F28" s="928">
        <v>123456</v>
      </c>
      <c r="G28" s="928">
        <v>123456</v>
      </c>
      <c r="H28" s="928">
        <v>123456</v>
      </c>
      <c r="I28" s="928">
        <v>123456</v>
      </c>
      <c r="J28" s="928">
        <v>123456</v>
      </c>
      <c r="K28" s="928">
        <v>123456</v>
      </c>
    </row>
    <row r="29" spans="1:12" ht="12.75" customHeight="1">
      <c r="B29" s="936"/>
      <c r="C29" s="937"/>
      <c r="D29" s="803">
        <v>2024</v>
      </c>
      <c r="E29" s="928">
        <v>123456</v>
      </c>
      <c r="F29" s="928">
        <v>123456</v>
      </c>
      <c r="G29" s="928">
        <v>123456</v>
      </c>
      <c r="H29" s="928">
        <v>123456</v>
      </c>
      <c r="I29" s="928">
        <v>123456</v>
      </c>
      <c r="J29" s="928">
        <v>123456</v>
      </c>
      <c r="K29" s="928">
        <v>123456</v>
      </c>
    </row>
    <row r="30" spans="1:12" ht="12.75" customHeight="1">
      <c r="B30" s="936"/>
      <c r="C30" s="937"/>
      <c r="D30" s="803">
        <v>2025</v>
      </c>
      <c r="E30" s="928">
        <v>123456</v>
      </c>
      <c r="F30" s="928">
        <v>123456</v>
      </c>
      <c r="G30" s="928">
        <v>123456</v>
      </c>
      <c r="H30" s="928">
        <v>123456</v>
      </c>
      <c r="I30" s="928">
        <v>123456</v>
      </c>
      <c r="J30" s="928">
        <v>123456</v>
      </c>
      <c r="K30" s="928">
        <v>123456</v>
      </c>
    </row>
    <row r="31" spans="1:12" ht="8.1" customHeight="1">
      <c r="B31" s="929"/>
      <c r="C31" s="937"/>
      <c r="D31" s="926"/>
      <c r="E31" s="932"/>
      <c r="F31" s="932"/>
      <c r="G31" s="932"/>
      <c r="H31" s="932"/>
      <c r="I31" s="932"/>
      <c r="J31" s="932"/>
      <c r="K31" s="932"/>
    </row>
    <row r="32" spans="1:12" ht="8.1" customHeight="1" thickBot="1">
      <c r="A32" s="815"/>
      <c r="B32" s="815"/>
      <c r="C32" s="815"/>
      <c r="D32" s="938"/>
      <c r="E32" s="939"/>
      <c r="F32" s="939"/>
      <c r="G32" s="939"/>
      <c r="H32" s="939"/>
      <c r="I32" s="939"/>
      <c r="J32" s="939"/>
      <c r="K32" s="939"/>
      <c r="L32" s="939"/>
    </row>
    <row r="33" spans="2:12" ht="15.2" customHeight="1" thickTop="1">
      <c r="B33" s="940"/>
      <c r="C33" s="940"/>
      <c r="D33" s="941"/>
      <c r="E33" s="941"/>
      <c r="F33" s="941"/>
      <c r="G33" s="941"/>
      <c r="H33" s="941"/>
      <c r="I33" s="941"/>
      <c r="J33" s="941"/>
      <c r="K33" s="941"/>
      <c r="L33" s="942" t="s">
        <v>0</v>
      </c>
    </row>
    <row r="34" spans="2:12" ht="15.2" customHeight="1">
      <c r="B34" s="940"/>
      <c r="C34" s="940"/>
      <c r="D34" s="943"/>
      <c r="E34" s="941"/>
      <c r="F34" s="941"/>
      <c r="G34" s="941"/>
      <c r="H34" s="941"/>
      <c r="I34" s="941"/>
      <c r="J34" s="941"/>
      <c r="K34" s="941"/>
      <c r="L34" s="944" t="s">
        <v>1</v>
      </c>
    </row>
    <row r="35" spans="2:12" ht="12.95" customHeight="1">
      <c r="B35" s="940"/>
      <c r="C35" s="940"/>
      <c r="D35" s="943"/>
      <c r="E35" s="941"/>
      <c r="F35" s="941"/>
      <c r="G35" s="941"/>
      <c r="H35" s="941"/>
      <c r="I35" s="941"/>
      <c r="J35" s="941"/>
      <c r="K35" s="941"/>
      <c r="L35" s="944"/>
    </row>
  </sheetData>
  <mergeCells count="1">
    <mergeCell ref="B6:C6"/>
  </mergeCells>
  <pageMargins left="0.55118110236220474" right="0.55118110236220474" top="0.55118110236220474" bottom="0.55118110236220474" header="0.55118110236220474" footer="0.55118110236220474"/>
  <pageSetup paperSize="9" scale="66" fitToHeight="0" orientation="portrait" r:id="rId1"/>
  <headerFooter scaleWithDoc="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4" tint="0.39997558519241921"/>
    <pageSetUpPr fitToPage="1"/>
  </sheetPr>
  <dimension ref="A1:M36"/>
  <sheetViews>
    <sheetView view="pageBreakPreview" topLeftCell="A10" zoomScaleNormal="79" zoomScaleSheetLayoutView="100" workbookViewId="0">
      <selection activeCell="O25" sqref="O25"/>
    </sheetView>
  </sheetViews>
  <sheetFormatPr defaultColWidth="9.140625" defaultRowHeight="15.2" customHeight="1"/>
  <cols>
    <col min="1" max="1" width="2.140625" style="68" customWidth="1"/>
    <col min="2" max="2" width="11.85546875" style="68" customWidth="1"/>
    <col min="3" max="3" width="20.28515625" style="68" customWidth="1"/>
    <col min="4" max="4" width="0.85546875" style="68" customWidth="1"/>
    <col min="5" max="5" width="8.28515625" style="68" customWidth="1"/>
    <col min="6" max="6" width="13.85546875" style="609" customWidth="1"/>
    <col min="7" max="12" width="13.85546875" style="68" customWidth="1"/>
    <col min="13" max="13" width="1" style="68" customWidth="1"/>
    <col min="14" max="16384" width="9.140625" style="68"/>
  </cols>
  <sheetData>
    <row r="1" spans="1:13" ht="8.1" customHeight="1"/>
    <row r="2" spans="1:13" ht="8.1" customHeight="1"/>
    <row r="3" spans="1:13" ht="16.350000000000001" customHeight="1">
      <c r="B3" s="778" t="s">
        <v>631</v>
      </c>
      <c r="C3" s="607" t="s">
        <v>2018</v>
      </c>
    </row>
    <row r="4" spans="1:13" ht="16.350000000000001" customHeight="1">
      <c r="B4" s="781" t="s">
        <v>632</v>
      </c>
      <c r="C4" s="613" t="s">
        <v>2019</v>
      </c>
      <c r="D4" s="865"/>
      <c r="E4" s="865"/>
    </row>
    <row r="5" spans="1:13" ht="13.15" customHeight="1" thickBot="1">
      <c r="A5" s="869"/>
      <c r="B5" s="869"/>
      <c r="C5" s="869"/>
      <c r="D5" s="869"/>
      <c r="E5" s="869"/>
      <c r="F5" s="945"/>
      <c r="G5" s="946"/>
      <c r="H5" s="81"/>
      <c r="I5" s="81"/>
      <c r="M5" s="81"/>
    </row>
    <row r="6" spans="1:13" s="476" customFormat="1" ht="54" customHeight="1" thickBot="1">
      <c r="A6" s="7"/>
      <c r="B6" s="2651" t="s">
        <v>633</v>
      </c>
      <c r="C6" s="2651"/>
      <c r="D6" s="947"/>
      <c r="E6" s="788" t="s">
        <v>239</v>
      </c>
      <c r="F6" s="789" t="s">
        <v>1057</v>
      </c>
      <c r="G6" s="790" t="s">
        <v>1059</v>
      </c>
      <c r="H6" s="790" t="s">
        <v>1058</v>
      </c>
      <c r="I6" s="790" t="s">
        <v>1063</v>
      </c>
      <c r="J6" s="791" t="s">
        <v>1060</v>
      </c>
      <c r="K6" s="791" t="s">
        <v>1061</v>
      </c>
      <c r="L6" s="791" t="s">
        <v>1062</v>
      </c>
      <c r="M6" s="895"/>
    </row>
    <row r="7" spans="1:13" s="476" customFormat="1" ht="16.350000000000001" customHeight="1">
      <c r="A7" s="948"/>
      <c r="B7" s="949"/>
      <c r="C7" s="949"/>
      <c r="D7" s="950"/>
      <c r="E7" s="950"/>
      <c r="F7" s="951"/>
      <c r="G7" s="952"/>
    </row>
    <row r="8" spans="1:13" s="476" customFormat="1" ht="30" customHeight="1">
      <c r="B8" s="2667" t="s">
        <v>634</v>
      </c>
      <c r="C8" s="2667"/>
      <c r="D8" s="2667"/>
      <c r="E8" s="953"/>
      <c r="F8" s="1470"/>
      <c r="G8" s="1470"/>
      <c r="H8" s="761"/>
      <c r="I8" s="761"/>
      <c r="J8" s="761"/>
      <c r="K8" s="761"/>
      <c r="L8" s="761"/>
    </row>
    <row r="9" spans="1:13" s="476" customFormat="1" ht="27.75" customHeight="1">
      <c r="B9" s="2668" t="s">
        <v>635</v>
      </c>
      <c r="C9" s="2668"/>
      <c r="D9" s="2668"/>
      <c r="E9" s="953"/>
      <c r="F9" s="1470"/>
      <c r="G9" s="761"/>
      <c r="H9" s="761"/>
      <c r="I9" s="761"/>
      <c r="J9" s="761"/>
      <c r="K9" s="761"/>
      <c r="L9" s="761"/>
    </row>
    <row r="10" spans="1:13" s="476" customFormat="1" ht="15.2" customHeight="1">
      <c r="B10" s="954"/>
      <c r="C10" s="950"/>
      <c r="D10" s="953"/>
      <c r="E10" s="953"/>
      <c r="F10" s="1470"/>
      <c r="G10" s="761"/>
      <c r="H10" s="761"/>
      <c r="I10" s="761"/>
      <c r="J10" s="761"/>
      <c r="K10" s="761"/>
      <c r="L10" s="761"/>
    </row>
    <row r="11" spans="1:13" s="476" customFormat="1" ht="15.2" customHeight="1">
      <c r="B11" s="955" t="s">
        <v>636</v>
      </c>
      <c r="C11" s="955"/>
      <c r="D11" s="903"/>
      <c r="E11" s="803">
        <v>2022</v>
      </c>
      <c r="F11" s="761">
        <v>123456</v>
      </c>
      <c r="G11" s="761" t="s">
        <v>204</v>
      </c>
      <c r="H11" s="761" t="s">
        <v>205</v>
      </c>
      <c r="I11" s="761">
        <v>123456</v>
      </c>
      <c r="J11" s="761">
        <v>123456</v>
      </c>
      <c r="K11" s="761">
        <v>123456</v>
      </c>
      <c r="L11" s="761">
        <v>123456</v>
      </c>
    </row>
    <row r="12" spans="1:13" s="476" customFormat="1" ht="15.2" customHeight="1">
      <c r="B12" s="955"/>
      <c r="C12" s="955"/>
      <c r="D12" s="903"/>
      <c r="E12" s="803">
        <v>2024</v>
      </c>
      <c r="F12" s="761">
        <v>123456</v>
      </c>
      <c r="G12" s="761" t="s">
        <v>204</v>
      </c>
      <c r="H12" s="761" t="s">
        <v>205</v>
      </c>
      <c r="I12" s="761">
        <v>123456</v>
      </c>
      <c r="J12" s="761">
        <v>123456</v>
      </c>
      <c r="K12" s="761">
        <v>123456</v>
      </c>
      <c r="L12" s="761">
        <v>123456</v>
      </c>
    </row>
    <row r="13" spans="1:13" s="476" customFormat="1" ht="15.2" customHeight="1">
      <c r="B13" s="955"/>
      <c r="C13" s="955"/>
      <c r="D13" s="903"/>
      <c r="E13" s="803"/>
      <c r="F13" s="761"/>
      <c r="G13" s="761"/>
      <c r="H13" s="761"/>
      <c r="I13" s="761"/>
      <c r="J13" s="761"/>
      <c r="K13" s="761"/>
      <c r="L13" s="761"/>
    </row>
    <row r="14" spans="1:13" s="476" customFormat="1" ht="15.2" customHeight="1">
      <c r="B14" s="955" t="s">
        <v>637</v>
      </c>
      <c r="C14" s="955"/>
      <c r="D14" s="903"/>
      <c r="E14" s="803">
        <v>2022</v>
      </c>
      <c r="F14" s="761">
        <v>123456</v>
      </c>
      <c r="G14" s="761" t="s">
        <v>204</v>
      </c>
      <c r="H14" s="761" t="s">
        <v>205</v>
      </c>
      <c r="I14" s="761">
        <v>123456</v>
      </c>
      <c r="J14" s="761">
        <v>123456</v>
      </c>
      <c r="K14" s="761">
        <v>123456</v>
      </c>
      <c r="L14" s="761">
        <v>123456</v>
      </c>
    </row>
    <row r="15" spans="1:13" s="476" customFormat="1" ht="15.2" customHeight="1">
      <c r="B15" s="955"/>
      <c r="C15" s="955"/>
      <c r="D15" s="903"/>
      <c r="E15" s="803">
        <v>2024</v>
      </c>
      <c r="F15" s="761">
        <v>123456</v>
      </c>
      <c r="G15" s="761" t="s">
        <v>204</v>
      </c>
      <c r="H15" s="761" t="s">
        <v>205</v>
      </c>
      <c r="I15" s="761">
        <v>123456</v>
      </c>
      <c r="J15" s="761">
        <v>123456</v>
      </c>
      <c r="K15" s="761">
        <v>123456</v>
      </c>
      <c r="L15" s="761">
        <v>123456</v>
      </c>
    </row>
    <row r="16" spans="1:13" s="476" customFormat="1" ht="15.2" customHeight="1">
      <c r="B16" s="955"/>
      <c r="C16" s="955"/>
      <c r="D16" s="903"/>
      <c r="E16" s="803"/>
      <c r="F16" s="761"/>
      <c r="G16" s="761"/>
      <c r="H16" s="761"/>
      <c r="I16" s="761"/>
      <c r="J16" s="761"/>
      <c r="K16" s="761"/>
      <c r="L16" s="761"/>
    </row>
    <row r="17" spans="1:13" s="476" customFormat="1" ht="15.2" customHeight="1">
      <c r="B17" s="955" t="s">
        <v>638</v>
      </c>
      <c r="C17" s="955"/>
      <c r="D17" s="903"/>
      <c r="E17" s="803">
        <v>2022</v>
      </c>
      <c r="F17" s="761">
        <v>123456</v>
      </c>
      <c r="G17" s="761" t="s">
        <v>204</v>
      </c>
      <c r="H17" s="761" t="s">
        <v>205</v>
      </c>
      <c r="I17" s="761">
        <v>123456</v>
      </c>
      <c r="J17" s="761">
        <v>123456</v>
      </c>
      <c r="K17" s="761">
        <v>123456</v>
      </c>
      <c r="L17" s="761">
        <v>123456</v>
      </c>
    </row>
    <row r="18" spans="1:13" s="476" customFormat="1" ht="15.2" customHeight="1">
      <c r="B18" s="955"/>
      <c r="C18" s="955"/>
      <c r="D18" s="903"/>
      <c r="E18" s="803">
        <v>2024</v>
      </c>
      <c r="F18" s="761">
        <v>123456</v>
      </c>
      <c r="G18" s="761" t="s">
        <v>204</v>
      </c>
      <c r="H18" s="761" t="s">
        <v>205</v>
      </c>
      <c r="I18" s="761">
        <v>123456</v>
      </c>
      <c r="J18" s="761">
        <v>123456</v>
      </c>
      <c r="K18" s="761">
        <v>123456</v>
      </c>
      <c r="L18" s="761">
        <v>123456</v>
      </c>
    </row>
    <row r="19" spans="1:13" s="476" customFormat="1" ht="15.2" customHeight="1" thickBot="1">
      <c r="A19" s="956"/>
      <c r="B19" s="957"/>
      <c r="C19" s="957"/>
      <c r="D19" s="957"/>
      <c r="E19" s="957"/>
      <c r="F19" s="958"/>
      <c r="G19" s="957"/>
      <c r="H19" s="959"/>
      <c r="I19" s="959"/>
      <c r="J19" s="959"/>
      <c r="K19" s="959"/>
      <c r="L19" s="959"/>
      <c r="M19" s="959"/>
    </row>
    <row r="20" spans="1:13" s="476" customFormat="1" ht="15.2" customHeight="1" thickTop="1">
      <c r="B20" s="960"/>
      <c r="C20" s="961"/>
      <c r="D20" s="893"/>
      <c r="E20" s="893"/>
      <c r="K20" s="962"/>
      <c r="L20" s="682"/>
      <c r="M20" s="963" t="s">
        <v>639</v>
      </c>
    </row>
    <row r="21" spans="1:13" s="476" customFormat="1" ht="15.2" customHeight="1">
      <c r="B21" s="964"/>
      <c r="C21" s="961"/>
      <c r="D21" s="684"/>
      <c r="E21" s="684"/>
      <c r="K21" s="684"/>
      <c r="L21" s="682"/>
      <c r="M21" s="965" t="s">
        <v>1</v>
      </c>
    </row>
    <row r="22" spans="1:13" s="476" customFormat="1" ht="15.2" customHeight="1">
      <c r="B22" s="966"/>
      <c r="C22" s="961"/>
      <c r="D22" s="684"/>
      <c r="E22" s="684"/>
      <c r="F22" s="682"/>
      <c r="G22" s="684"/>
    </row>
    <row r="23" spans="1:13" ht="15.2" customHeight="1">
      <c r="A23" s="967" t="s">
        <v>640</v>
      </c>
      <c r="C23" s="684"/>
      <c r="D23" s="684"/>
      <c r="E23" s="684"/>
      <c r="F23" s="682"/>
      <c r="G23" s="684"/>
    </row>
    <row r="24" spans="1:13" ht="14.25" customHeight="1">
      <c r="A24" s="968" t="s">
        <v>3</v>
      </c>
      <c r="B24" s="2666" t="s">
        <v>2020</v>
      </c>
      <c r="C24" s="2666"/>
      <c r="D24" s="2666"/>
      <c r="E24" s="2666"/>
      <c r="F24" s="2666"/>
      <c r="G24" s="2666"/>
      <c r="H24" s="2666"/>
      <c r="I24" s="2666"/>
      <c r="J24" s="2666"/>
      <c r="K24" s="2666"/>
      <c r="L24" s="2666"/>
    </row>
    <row r="25" spans="1:13" ht="14.25" customHeight="1">
      <c r="B25" s="2665" t="s">
        <v>1197</v>
      </c>
      <c r="C25" s="2665"/>
      <c r="D25" s="2665"/>
      <c r="E25" s="2665"/>
      <c r="F25" s="2665"/>
      <c r="G25" s="2665"/>
      <c r="H25" s="2665"/>
      <c r="I25" s="2665"/>
      <c r="J25" s="2665"/>
      <c r="K25" s="2665"/>
      <c r="L25" s="2665"/>
    </row>
    <row r="26" spans="1:13" ht="6" customHeight="1">
      <c r="B26" s="969"/>
      <c r="C26" s="969"/>
      <c r="D26" s="969"/>
      <c r="E26" s="969"/>
      <c r="F26" s="970"/>
      <c r="G26" s="969"/>
    </row>
    <row r="27" spans="1:13" ht="15.2" customHeight="1">
      <c r="A27" s="968" t="s">
        <v>4</v>
      </c>
      <c r="B27" s="2666" t="s">
        <v>2021</v>
      </c>
      <c r="C27" s="2666"/>
      <c r="D27" s="2666"/>
      <c r="E27" s="2666"/>
      <c r="F27" s="2666"/>
      <c r="G27" s="2666"/>
      <c r="H27" s="2666"/>
      <c r="I27" s="2666"/>
      <c r="J27" s="2666"/>
      <c r="K27" s="2666"/>
      <c r="L27" s="2666"/>
    </row>
    <row r="28" spans="1:13" ht="12" customHeight="1">
      <c r="B28" s="2666"/>
      <c r="C28" s="2666"/>
      <c r="D28" s="2666"/>
      <c r="E28" s="2666"/>
      <c r="F28" s="2666"/>
      <c r="G28" s="2666"/>
      <c r="H28" s="2666"/>
      <c r="I28" s="2666"/>
      <c r="J28" s="2666"/>
      <c r="K28" s="2666"/>
      <c r="L28" s="2666"/>
    </row>
    <row r="29" spans="1:13" ht="12" customHeight="1">
      <c r="B29" s="2665" t="s">
        <v>2022</v>
      </c>
      <c r="C29" s="2665"/>
      <c r="D29" s="2665"/>
      <c r="E29" s="2665"/>
      <c r="F29" s="2665"/>
      <c r="G29" s="2665"/>
      <c r="H29" s="2665"/>
      <c r="I29" s="2665"/>
      <c r="J29" s="2665"/>
      <c r="K29" s="2665"/>
      <c r="L29" s="2665"/>
    </row>
    <row r="30" spans="1:13" ht="14.25" customHeight="1">
      <c r="B30" s="2665"/>
      <c r="C30" s="2665"/>
      <c r="D30" s="2665"/>
      <c r="E30" s="2665"/>
      <c r="F30" s="2665"/>
      <c r="G30" s="2665"/>
      <c r="H30" s="2665"/>
      <c r="I30" s="2665"/>
      <c r="J30" s="2665"/>
      <c r="K30" s="2665"/>
      <c r="L30" s="2665"/>
    </row>
    <row r="31" spans="1:13" ht="1.1499999999999999" customHeight="1">
      <c r="B31" s="2665"/>
      <c r="C31" s="2665"/>
      <c r="D31" s="2665"/>
      <c r="E31" s="2665"/>
      <c r="F31" s="2665"/>
      <c r="G31" s="2665"/>
      <c r="H31" s="2665"/>
      <c r="I31" s="2665"/>
      <c r="J31" s="2665"/>
      <c r="K31" s="2665"/>
      <c r="L31" s="2665"/>
    </row>
    <row r="32" spans="1:13" ht="7.15" customHeight="1">
      <c r="B32" s="969"/>
      <c r="C32" s="969"/>
      <c r="D32" s="969"/>
      <c r="E32" s="969"/>
      <c r="F32" s="969"/>
      <c r="G32" s="969"/>
    </row>
    <row r="33" spans="1:12" ht="13.5" customHeight="1">
      <c r="A33" s="968" t="s">
        <v>263</v>
      </c>
      <c r="B33" s="971" t="s">
        <v>641</v>
      </c>
      <c r="C33" s="971"/>
      <c r="D33" s="971"/>
      <c r="E33" s="971"/>
      <c r="F33" s="972"/>
      <c r="G33" s="971"/>
    </row>
    <row r="34" spans="1:12" ht="9.75" customHeight="1">
      <c r="A34" s="968"/>
      <c r="B34" s="2665" t="s">
        <v>642</v>
      </c>
      <c r="C34" s="2665"/>
      <c r="D34" s="2665"/>
      <c r="E34" s="2665"/>
      <c r="F34" s="2665"/>
      <c r="G34" s="2665"/>
      <c r="H34" s="2665"/>
      <c r="I34" s="2665"/>
      <c r="J34" s="2665"/>
      <c r="K34" s="2665"/>
      <c r="L34" s="2665"/>
    </row>
    <row r="35" spans="1:12" ht="15.2" customHeight="1">
      <c r="B35" s="2665"/>
      <c r="C35" s="2665"/>
      <c r="D35" s="2665"/>
      <c r="E35" s="2665"/>
      <c r="F35" s="2665"/>
      <c r="G35" s="2665"/>
      <c r="H35" s="2665"/>
      <c r="I35" s="2665"/>
      <c r="J35" s="2665"/>
      <c r="K35" s="2665"/>
      <c r="L35" s="2665"/>
    </row>
    <row r="36" spans="1:12" ht="15.2" customHeight="1">
      <c r="B36" s="2665"/>
      <c r="C36" s="2665"/>
      <c r="D36" s="2665"/>
      <c r="E36" s="2665"/>
      <c r="F36" s="2665"/>
      <c r="G36" s="2665"/>
      <c r="H36" s="2665"/>
      <c r="I36" s="2665"/>
      <c r="J36" s="2665"/>
      <c r="K36" s="2665"/>
      <c r="L36" s="2665"/>
    </row>
  </sheetData>
  <mergeCells count="8">
    <mergeCell ref="B34:L36"/>
    <mergeCell ref="B6:C6"/>
    <mergeCell ref="B24:L24"/>
    <mergeCell ref="B25:L25"/>
    <mergeCell ref="B27:L28"/>
    <mergeCell ref="B29:L31"/>
    <mergeCell ref="B8:D8"/>
    <mergeCell ref="B9:D9"/>
  </mergeCells>
  <pageMargins left="0.55118110236220474" right="0.55118110236220474" top="0.55118110236220474" bottom="0.55118110236220474" header="0.55118110236220474" footer="0.55118110236220474"/>
  <pageSetup paperSize="9" scale="64" fitToHeight="0" orientation="portrait" r:id="rId1"/>
  <headerFooter scaleWithDoc="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L55"/>
  <sheetViews>
    <sheetView view="pageBreakPreview" zoomScaleNormal="100" zoomScaleSheetLayoutView="100" workbookViewId="0">
      <selection activeCell="Q40" sqref="Q40"/>
    </sheetView>
  </sheetViews>
  <sheetFormatPr defaultColWidth="8.85546875" defaultRowHeight="15.2" customHeight="1"/>
  <cols>
    <col min="1" max="1" width="1.140625" style="862" customWidth="1"/>
    <col min="2" max="2" width="11.85546875" style="862" customWidth="1"/>
    <col min="3" max="3" width="24.7109375" style="862" customWidth="1"/>
    <col min="4" max="4" width="1.140625" style="862" customWidth="1"/>
    <col min="5" max="5" width="11.85546875" style="862" customWidth="1"/>
    <col min="6" max="6" width="12.7109375" style="973" customWidth="1"/>
    <col min="7" max="7" width="10.28515625" style="862" customWidth="1"/>
    <col min="8" max="8" width="8.85546875" style="862" customWidth="1"/>
    <col min="9" max="10" width="12.7109375" style="862" customWidth="1"/>
    <col min="11" max="11" width="11.7109375" style="862" customWidth="1"/>
    <col min="12" max="12" width="1.85546875" style="862" customWidth="1"/>
    <col min="13" max="16384" width="8.85546875" style="862"/>
  </cols>
  <sheetData>
    <row r="1" spans="1:12" ht="8.1" customHeight="1"/>
    <row r="2" spans="1:12" ht="8.1" customHeight="1"/>
    <row r="3" spans="1:12" ht="16.350000000000001" customHeight="1">
      <c r="B3" s="778" t="s">
        <v>643</v>
      </c>
      <c r="C3" s="974" t="s">
        <v>1353</v>
      </c>
      <c r="D3" s="975"/>
      <c r="E3" s="975"/>
    </row>
    <row r="4" spans="1:12" ht="16.350000000000001" customHeight="1">
      <c r="B4" s="781" t="s">
        <v>644</v>
      </c>
      <c r="C4" s="976" t="s">
        <v>1354</v>
      </c>
      <c r="D4" s="865"/>
      <c r="E4" s="865"/>
    </row>
    <row r="5" spans="1:12" ht="13.15" customHeight="1" thickBot="1">
      <c r="A5" s="866"/>
      <c r="B5" s="866"/>
      <c r="C5" s="866"/>
      <c r="D5" s="866"/>
      <c r="E5" s="866"/>
      <c r="F5" s="977"/>
      <c r="G5" s="868"/>
      <c r="H5" s="868"/>
      <c r="I5" s="868"/>
      <c r="J5" s="868"/>
      <c r="K5" s="868"/>
      <c r="L5" s="868"/>
    </row>
    <row r="6" spans="1:12" s="980" customFormat="1" ht="45.75" customHeight="1" thickBot="1">
      <c r="A6" s="7"/>
      <c r="B6" s="2651" t="s">
        <v>645</v>
      </c>
      <c r="C6" s="2651"/>
      <c r="D6" s="978"/>
      <c r="E6" s="789"/>
      <c r="F6" s="790"/>
      <c r="G6" s="790"/>
      <c r="H6" s="790"/>
      <c r="I6" s="1127"/>
      <c r="J6" s="1127"/>
      <c r="K6" s="1127">
        <v>2024</v>
      </c>
      <c r="L6" s="979"/>
    </row>
    <row r="7" spans="1:12" s="870" customFormat="1" ht="16.350000000000001" customHeight="1">
      <c r="B7" s="981"/>
      <c r="C7" s="981"/>
      <c r="D7" s="982"/>
      <c r="E7" s="982"/>
      <c r="F7" s="983"/>
      <c r="G7" s="982"/>
    </row>
    <row r="8" spans="1:12" s="870" customFormat="1" ht="15.2" customHeight="1">
      <c r="B8" s="984" t="s">
        <v>646</v>
      </c>
      <c r="C8" s="984"/>
      <c r="D8" s="874"/>
      <c r="E8" s="874"/>
      <c r="F8" s="874"/>
      <c r="G8" s="985"/>
      <c r="I8" s="876"/>
      <c r="J8" s="876"/>
      <c r="K8" s="876"/>
    </row>
    <row r="9" spans="1:12" s="870" customFormat="1" ht="15.2" customHeight="1">
      <c r="B9" s="986" t="s">
        <v>647</v>
      </c>
      <c r="C9" s="986"/>
      <c r="D9" s="867"/>
      <c r="E9" s="867"/>
      <c r="F9" s="877"/>
      <c r="G9" s="985"/>
      <c r="I9" s="876"/>
      <c r="J9" s="876"/>
      <c r="K9" s="876"/>
    </row>
    <row r="10" spans="1:12" s="870" customFormat="1" ht="15.2" customHeight="1">
      <c r="B10" s="987"/>
      <c r="C10" s="987"/>
      <c r="D10" s="988"/>
      <c r="E10" s="988"/>
      <c r="F10" s="876"/>
      <c r="G10" s="988"/>
      <c r="I10" s="876"/>
      <c r="J10" s="876"/>
      <c r="K10" s="876"/>
    </row>
    <row r="11" spans="1:12" s="870" customFormat="1" ht="15.2" customHeight="1">
      <c r="B11" s="880" t="s">
        <v>648</v>
      </c>
      <c r="C11" s="989"/>
      <c r="D11" s="990"/>
      <c r="F11" s="991"/>
      <c r="G11" s="876"/>
      <c r="H11" s="881"/>
      <c r="I11" s="876"/>
      <c r="J11" s="876"/>
      <c r="K11" s="876">
        <v>1234</v>
      </c>
    </row>
    <row r="12" spans="1:12" s="870" customFormat="1" ht="15.2" customHeight="1">
      <c r="B12" s="992" t="s">
        <v>649</v>
      </c>
      <c r="C12" s="993"/>
      <c r="F12" s="994"/>
      <c r="G12" s="876"/>
      <c r="H12" s="881"/>
      <c r="I12" s="876"/>
      <c r="J12" s="876"/>
      <c r="K12" s="876"/>
    </row>
    <row r="13" spans="1:12" s="870" customFormat="1" ht="15.2" customHeight="1">
      <c r="B13" s="993"/>
      <c r="C13" s="993"/>
      <c r="E13" s="990"/>
      <c r="F13" s="994"/>
      <c r="G13" s="876"/>
      <c r="H13" s="881"/>
      <c r="I13" s="876"/>
      <c r="J13" s="876"/>
      <c r="K13" s="876"/>
    </row>
    <row r="14" spans="1:12" s="870" customFormat="1" ht="15.2" customHeight="1">
      <c r="B14" s="993"/>
      <c r="C14" s="993"/>
      <c r="E14" s="990"/>
      <c r="F14" s="994"/>
      <c r="G14" s="876"/>
      <c r="H14" s="881"/>
      <c r="I14" s="876"/>
      <c r="J14" s="876"/>
      <c r="K14" s="876"/>
    </row>
    <row r="15" spans="1:12" s="870" customFormat="1" ht="15.2" customHeight="1">
      <c r="B15" s="880" t="s">
        <v>650</v>
      </c>
      <c r="C15" s="989"/>
      <c r="D15" s="990"/>
      <c r="E15" s="995"/>
      <c r="F15" s="991"/>
      <c r="G15" s="876"/>
      <c r="H15" s="881"/>
      <c r="I15" s="876"/>
      <c r="J15" s="876"/>
      <c r="K15" s="876">
        <v>1234</v>
      </c>
    </row>
    <row r="16" spans="1:12" s="870" customFormat="1" ht="15.2" customHeight="1">
      <c r="B16" s="992" t="s">
        <v>651</v>
      </c>
      <c r="C16" s="993"/>
      <c r="E16" s="995"/>
      <c r="F16" s="994"/>
      <c r="G16" s="876"/>
      <c r="H16" s="881"/>
      <c r="I16" s="876"/>
      <c r="J16" s="876"/>
      <c r="K16" s="876"/>
    </row>
    <row r="17" spans="2:11" s="870" customFormat="1" ht="15.2" customHeight="1">
      <c r="B17" s="993"/>
      <c r="C17" s="993"/>
      <c r="E17" s="876"/>
      <c r="F17" s="994"/>
      <c r="G17" s="876"/>
      <c r="H17" s="881"/>
      <c r="I17" s="876"/>
      <c r="J17" s="876"/>
      <c r="K17" s="876"/>
    </row>
    <row r="18" spans="2:11" s="870" customFormat="1" ht="15.2" customHeight="1">
      <c r="B18" s="993"/>
      <c r="C18" s="993"/>
      <c r="E18" s="876"/>
      <c r="F18" s="991"/>
      <c r="G18" s="881"/>
      <c r="H18" s="881"/>
      <c r="I18" s="876"/>
      <c r="J18" s="876"/>
      <c r="K18" s="876"/>
    </row>
    <row r="19" spans="2:11" s="870" customFormat="1" ht="15.2" customHeight="1">
      <c r="B19" s="880" t="s">
        <v>652</v>
      </c>
      <c r="C19" s="993"/>
      <c r="D19" s="990"/>
      <c r="E19" s="876"/>
      <c r="F19" s="991" t="s">
        <v>557</v>
      </c>
      <c r="G19" s="881"/>
      <c r="H19" s="881"/>
      <c r="I19" s="876"/>
      <c r="J19" s="876"/>
      <c r="K19" s="876">
        <v>1234</v>
      </c>
    </row>
    <row r="20" spans="2:11" s="870" customFormat="1" ht="15.2" customHeight="1">
      <c r="B20" s="992" t="s">
        <v>653</v>
      </c>
      <c r="C20" s="993"/>
      <c r="E20" s="876"/>
      <c r="F20" s="991"/>
      <c r="G20" s="881"/>
      <c r="H20" s="881"/>
      <c r="I20" s="876"/>
      <c r="J20" s="876"/>
      <c r="K20" s="876"/>
    </row>
    <row r="21" spans="2:11" s="870" customFormat="1" ht="15.2" customHeight="1">
      <c r="B21" s="993"/>
      <c r="C21" s="993"/>
      <c r="E21" s="876"/>
      <c r="F21" s="991"/>
      <c r="G21" s="881"/>
      <c r="H21" s="881"/>
      <c r="I21" s="876"/>
      <c r="J21" s="876"/>
      <c r="K21" s="876"/>
    </row>
    <row r="22" spans="2:11" s="870" customFormat="1" ht="15.2" customHeight="1">
      <c r="B22" s="993"/>
      <c r="C22" s="993"/>
      <c r="E22" s="876"/>
      <c r="F22" s="991"/>
      <c r="G22" s="881"/>
      <c r="H22" s="881"/>
      <c r="I22" s="876"/>
      <c r="J22" s="876"/>
      <c r="K22" s="876"/>
    </row>
    <row r="23" spans="2:11" s="870" customFormat="1" ht="15.2" customHeight="1">
      <c r="B23" s="880" t="s">
        <v>991</v>
      </c>
      <c r="C23" s="989"/>
      <c r="D23" s="990"/>
      <c r="E23" s="876"/>
      <c r="F23" s="996"/>
      <c r="G23" s="881"/>
      <c r="H23" s="881"/>
      <c r="I23" s="876"/>
      <c r="J23" s="876"/>
      <c r="K23" s="876">
        <v>1234</v>
      </c>
    </row>
    <row r="24" spans="2:11" s="870" customFormat="1" ht="15.2" customHeight="1">
      <c r="B24" s="992" t="s">
        <v>654</v>
      </c>
      <c r="C24" s="993"/>
      <c r="E24" s="876"/>
      <c r="F24" s="994"/>
      <c r="G24" s="881"/>
      <c r="H24" s="881"/>
      <c r="I24" s="876"/>
      <c r="J24" s="876"/>
      <c r="K24" s="876"/>
    </row>
    <row r="25" spans="2:11" s="870" customFormat="1" ht="15.2" customHeight="1">
      <c r="B25" s="993"/>
      <c r="C25" s="993"/>
      <c r="E25" s="876"/>
      <c r="F25" s="994"/>
      <c r="G25" s="881"/>
      <c r="H25" s="881"/>
      <c r="I25" s="876"/>
      <c r="J25" s="876"/>
      <c r="K25" s="876"/>
    </row>
    <row r="26" spans="2:11" s="870" customFormat="1" ht="15.2" customHeight="1">
      <c r="B26" s="993"/>
      <c r="C26" s="993"/>
      <c r="D26" s="876"/>
      <c r="E26" s="876"/>
      <c r="F26" s="994"/>
      <c r="G26" s="881"/>
      <c r="H26" s="881"/>
      <c r="I26" s="876"/>
      <c r="J26" s="876"/>
      <c r="K26" s="876"/>
    </row>
    <row r="27" spans="2:11" s="870" customFormat="1" ht="15.2" customHeight="1">
      <c r="B27" s="880" t="s">
        <v>655</v>
      </c>
      <c r="C27" s="989"/>
      <c r="D27" s="995"/>
      <c r="E27" s="876"/>
      <c r="F27" s="991"/>
      <c r="G27" s="881"/>
      <c r="H27" s="881"/>
      <c r="I27" s="876"/>
      <c r="J27" s="876"/>
      <c r="K27" s="876">
        <v>1234</v>
      </c>
    </row>
    <row r="28" spans="2:11" s="870" customFormat="1" ht="15.2" customHeight="1">
      <c r="B28" s="992" t="s">
        <v>656</v>
      </c>
      <c r="C28" s="993"/>
      <c r="E28" s="876"/>
      <c r="F28" s="994"/>
      <c r="G28" s="881"/>
      <c r="H28" s="881"/>
      <c r="I28" s="876"/>
      <c r="J28" s="876"/>
      <c r="K28" s="876"/>
    </row>
    <row r="29" spans="2:11" s="870" customFormat="1" ht="15.2" customHeight="1">
      <c r="B29" s="993"/>
      <c r="C29" s="993"/>
      <c r="D29" s="876"/>
      <c r="E29" s="876"/>
      <c r="F29" s="994"/>
      <c r="G29" s="881"/>
      <c r="H29" s="881"/>
      <c r="I29" s="876"/>
      <c r="J29" s="876"/>
      <c r="K29" s="876"/>
    </row>
    <row r="30" spans="2:11" s="870" customFormat="1" ht="15.2" customHeight="1">
      <c r="B30" s="993"/>
      <c r="C30" s="993"/>
      <c r="D30" s="876"/>
      <c r="E30" s="876"/>
      <c r="F30" s="994"/>
      <c r="G30" s="881"/>
      <c r="H30" s="881"/>
      <c r="I30" s="876"/>
      <c r="J30" s="876"/>
      <c r="K30" s="876"/>
    </row>
    <row r="31" spans="2:11" s="870" customFormat="1" ht="15.2" customHeight="1">
      <c r="B31" s="880" t="s">
        <v>657</v>
      </c>
      <c r="C31" s="989"/>
      <c r="D31" s="997"/>
      <c r="E31" s="876"/>
      <c r="F31" s="991"/>
      <c r="G31" s="881"/>
      <c r="H31" s="881"/>
      <c r="I31" s="876"/>
      <c r="J31" s="876"/>
      <c r="K31" s="876">
        <v>1234</v>
      </c>
    </row>
    <row r="32" spans="2:11" s="870" customFormat="1" ht="15.2" customHeight="1">
      <c r="B32" s="992" t="s">
        <v>658</v>
      </c>
      <c r="C32" s="993"/>
      <c r="D32" s="874"/>
      <c r="E32" s="874"/>
      <c r="F32" s="874"/>
      <c r="G32" s="881"/>
      <c r="H32" s="881"/>
      <c r="K32" s="876"/>
    </row>
    <row r="33" spans="1:12" ht="15.2" customHeight="1" thickBot="1">
      <c r="A33" s="998"/>
      <c r="B33" s="999"/>
      <c r="C33" s="999"/>
      <c r="D33" s="999"/>
      <c r="E33" s="999"/>
      <c r="F33" s="1000"/>
      <c r="G33" s="999"/>
      <c r="H33" s="1001"/>
      <c r="I33" s="1001"/>
      <c r="J33" s="1002"/>
      <c r="K33" s="1001"/>
      <c r="L33" s="1001"/>
    </row>
    <row r="34" spans="1:12" ht="15.2" customHeight="1" thickTop="1">
      <c r="A34" s="893"/>
      <c r="B34" s="893"/>
      <c r="C34" s="893"/>
      <c r="D34" s="893"/>
      <c r="J34" s="962"/>
      <c r="K34" s="1003"/>
      <c r="L34" s="963" t="s">
        <v>0</v>
      </c>
    </row>
    <row r="35" spans="1:12" ht="15.2" customHeight="1">
      <c r="A35" s="893"/>
      <c r="B35" s="893"/>
      <c r="C35" s="893"/>
      <c r="D35" s="893"/>
      <c r="J35" s="893"/>
      <c r="K35" s="1003"/>
      <c r="L35" s="965" t="s">
        <v>1</v>
      </c>
    </row>
    <row r="36" spans="1:12" ht="8.25" customHeight="1">
      <c r="A36" s="1004"/>
      <c r="B36" s="1005"/>
      <c r="C36" s="1005"/>
      <c r="D36" s="1004"/>
      <c r="E36" s="1006"/>
      <c r="F36" s="1007"/>
      <c r="G36" s="1006"/>
    </row>
    <row r="37" spans="1:12" s="1012" customFormat="1" ht="15.2" customHeight="1">
      <c r="A37" s="1008"/>
      <c r="B37" s="967" t="s">
        <v>659</v>
      </c>
      <c r="C37" s="1009"/>
      <c r="D37" s="767"/>
      <c r="E37" s="1009"/>
      <c r="F37" s="1010"/>
      <c r="G37" s="1011"/>
    </row>
    <row r="38" spans="1:12" s="1012" customFormat="1" ht="15.2" customHeight="1">
      <c r="A38" s="1008"/>
      <c r="B38" s="2669" t="s">
        <v>1355</v>
      </c>
      <c r="C38" s="2669"/>
      <c r="D38" s="2669"/>
      <c r="E38" s="2669"/>
      <c r="F38" s="2669"/>
      <c r="G38" s="2669"/>
      <c r="H38" s="2669"/>
      <c r="I38" s="2669"/>
      <c r="J38" s="2669"/>
      <c r="K38" s="2669"/>
      <c r="L38" s="2669"/>
    </row>
    <row r="39" spans="1:12" s="1012" customFormat="1" ht="25.5" customHeight="1">
      <c r="A39" s="1008"/>
      <c r="B39" s="2669"/>
      <c r="C39" s="2669"/>
      <c r="D39" s="2669"/>
      <c r="E39" s="2669"/>
      <c r="F39" s="2669"/>
      <c r="G39" s="2669"/>
      <c r="H39" s="2669"/>
      <c r="I39" s="2669"/>
      <c r="J39" s="2669"/>
      <c r="K39" s="2669"/>
      <c r="L39" s="2669"/>
    </row>
    <row r="40" spans="1:12" ht="20.25" customHeight="1">
      <c r="A40" s="1716"/>
      <c r="B40" s="2670" t="s">
        <v>1356</v>
      </c>
      <c r="C40" s="2670"/>
      <c r="D40" s="2670"/>
      <c r="E40" s="2670"/>
      <c r="F40" s="2670"/>
      <c r="G40" s="2670"/>
      <c r="H40" s="2670"/>
      <c r="I40" s="2670"/>
      <c r="J40" s="2670"/>
      <c r="K40" s="2670"/>
      <c r="L40" s="2670"/>
    </row>
    <row r="41" spans="1:12" ht="8.1" customHeight="1">
      <c r="B41" s="2670"/>
      <c r="C41" s="2670"/>
      <c r="D41" s="2670"/>
      <c r="E41" s="2670"/>
      <c r="F41" s="2670"/>
      <c r="G41" s="2670"/>
      <c r="H41" s="2670"/>
      <c r="I41" s="2670"/>
      <c r="J41" s="2670"/>
      <c r="K41" s="2670"/>
      <c r="L41" s="2670"/>
    </row>
    <row r="42" spans="1:12" ht="24.75" customHeight="1">
      <c r="B42" s="2670"/>
      <c r="C42" s="2670"/>
      <c r="D42" s="2670"/>
      <c r="E42" s="2670"/>
      <c r="F42" s="2670"/>
      <c r="G42" s="2670"/>
      <c r="H42" s="2670"/>
      <c r="I42" s="2670"/>
      <c r="J42" s="2670"/>
      <c r="K42" s="2670"/>
      <c r="L42" s="2670"/>
    </row>
    <row r="43" spans="1:12" ht="15.2" customHeight="1">
      <c r="B43" s="1013"/>
      <c r="C43" s="1014"/>
      <c r="D43" s="1014"/>
      <c r="E43" s="1014"/>
      <c r="F43" s="1015"/>
    </row>
    <row r="48" spans="1:12" ht="15.2" customHeight="1">
      <c r="B48" s="1016"/>
      <c r="C48" s="1017"/>
    </row>
    <row r="49" spans="2:3" ht="15.2" customHeight="1">
      <c r="B49" s="1017"/>
      <c r="C49" s="1018"/>
    </row>
    <row r="50" spans="2:3" ht="15.2" customHeight="1">
      <c r="B50" s="1019"/>
      <c r="C50" s="1020"/>
    </row>
    <row r="51" spans="2:3" ht="15.2" customHeight="1">
      <c r="B51" s="1019"/>
      <c r="C51" s="1016"/>
    </row>
    <row r="52" spans="2:3" ht="15.2" customHeight="1">
      <c r="B52" s="1021"/>
      <c r="C52" s="1022"/>
    </row>
    <row r="53" spans="2:3" ht="15.2" customHeight="1">
      <c r="B53" s="1023"/>
      <c r="C53" s="1016"/>
    </row>
    <row r="54" spans="2:3" ht="15.2" customHeight="1">
      <c r="B54" s="1022"/>
      <c r="C54" s="1016"/>
    </row>
    <row r="55" spans="2:3" ht="15.2" customHeight="1">
      <c r="B55" s="1016"/>
      <c r="C55" s="1016"/>
    </row>
  </sheetData>
  <mergeCells count="3">
    <mergeCell ref="B6:C6"/>
    <mergeCell ref="B38:L39"/>
    <mergeCell ref="B40:L42"/>
  </mergeCells>
  <printOptions horizontalCentered="1"/>
  <pageMargins left="0.55118110236220474" right="0.55118110236220474" top="0.55118110236220474" bottom="0.55118110236220474" header="0.55118110236220474" footer="0.55118110236220474"/>
  <pageSetup paperSize="9" scale="75" orientation="portrait" r:id="rId1"/>
  <headerFooter scaleWithDoc="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theme="4" tint="0.39997558519241921"/>
    <pageSetUpPr fitToPage="1"/>
  </sheetPr>
  <dimension ref="A1:L56"/>
  <sheetViews>
    <sheetView view="pageBreakPreview" topLeftCell="A25" zoomScaleNormal="100" zoomScaleSheetLayoutView="100" workbookViewId="0">
      <selection activeCell="C11" sqref="C11"/>
    </sheetView>
  </sheetViews>
  <sheetFormatPr defaultColWidth="9.140625" defaultRowHeight="15.2" customHeight="1"/>
  <cols>
    <col min="1" max="1" width="2.28515625" style="68" customWidth="1"/>
    <col min="2" max="2" width="11.85546875" style="68" customWidth="1"/>
    <col min="3" max="3" width="22.140625" style="68" customWidth="1"/>
    <col min="4" max="4" width="6.5703125" style="68" customWidth="1"/>
    <col min="5" max="5" width="13.85546875" style="68" customWidth="1"/>
    <col min="6" max="6" width="13.85546875" style="609" customWidth="1"/>
    <col min="7" max="11" width="13.85546875" style="68" customWidth="1"/>
    <col min="12" max="12" width="1.7109375" style="68" customWidth="1"/>
    <col min="13" max="16384" width="9.140625" style="68"/>
  </cols>
  <sheetData>
    <row r="1" spans="1:12" ht="8.1" customHeight="1"/>
    <row r="2" spans="1:12" ht="8.1" customHeight="1"/>
    <row r="3" spans="1:12" ht="16.350000000000001" customHeight="1">
      <c r="B3" s="778" t="s">
        <v>660</v>
      </c>
      <c r="C3" s="1024" t="s">
        <v>1174</v>
      </c>
    </row>
    <row r="4" spans="1:12" ht="16.350000000000001" customHeight="1">
      <c r="B4" s="781" t="s">
        <v>661</v>
      </c>
      <c r="C4" s="1025" t="s">
        <v>1175</v>
      </c>
    </row>
    <row r="5" spans="1:12" ht="13.15" customHeight="1" thickBot="1">
      <c r="A5" s="1026"/>
      <c r="B5" s="1026"/>
      <c r="C5" s="1026"/>
      <c r="D5" s="1026"/>
      <c r="E5" s="1026"/>
      <c r="F5" s="1027"/>
      <c r="G5" s="1026"/>
      <c r="H5" s="81"/>
      <c r="K5" s="81"/>
      <c r="L5" s="81"/>
    </row>
    <row r="6" spans="1:12" s="476" customFormat="1" ht="54" customHeight="1" thickBot="1">
      <c r="A6" s="1028"/>
      <c r="B6" s="2671" t="s">
        <v>662</v>
      </c>
      <c r="C6" s="2671"/>
      <c r="D6" s="788" t="s">
        <v>239</v>
      </c>
      <c r="E6" s="789" t="s">
        <v>574</v>
      </c>
      <c r="F6" s="790" t="s">
        <v>575</v>
      </c>
      <c r="G6" s="790" t="s">
        <v>576</v>
      </c>
      <c r="H6" s="790" t="s">
        <v>577</v>
      </c>
      <c r="I6" s="791" t="s">
        <v>578</v>
      </c>
      <c r="J6" s="791" t="s">
        <v>579</v>
      </c>
      <c r="K6" s="791" t="s">
        <v>580</v>
      </c>
      <c r="L6" s="773"/>
    </row>
    <row r="7" spans="1:12" s="476" customFormat="1" ht="16.350000000000001" customHeight="1">
      <c r="B7" s="2672"/>
      <c r="C7" s="2672"/>
      <c r="D7" s="1029"/>
      <c r="E7" s="1029"/>
      <c r="F7" s="1030"/>
      <c r="G7" s="1029"/>
      <c r="H7" s="1029"/>
    </row>
    <row r="8" spans="1:12" s="476" customFormat="1" ht="26.85" customHeight="1">
      <c r="B8" s="2675" t="s">
        <v>663</v>
      </c>
      <c r="C8" s="2675"/>
      <c r="D8" s="1029"/>
      <c r="E8" s="1029"/>
      <c r="F8" s="1030"/>
      <c r="G8" s="1032"/>
      <c r="H8" s="1033"/>
      <c r="I8" s="399"/>
    </row>
    <row r="9" spans="1:12" s="476" customFormat="1" ht="15.2" customHeight="1">
      <c r="B9" s="1034" t="s">
        <v>664</v>
      </c>
      <c r="C9" s="1035"/>
      <c r="D9" s="1029"/>
      <c r="E9" s="1029"/>
      <c r="F9" s="1030"/>
      <c r="G9" s="1032"/>
      <c r="H9" s="1033"/>
      <c r="I9" s="399"/>
    </row>
    <row r="10" spans="1:12" s="476" customFormat="1" ht="15.2" customHeight="1">
      <c r="B10" s="1034"/>
      <c r="C10" s="1035"/>
      <c r="D10" s="1029"/>
      <c r="E10" s="1029"/>
      <c r="F10" s="1030"/>
      <c r="G10" s="1032"/>
      <c r="H10" s="1033"/>
      <c r="I10" s="399"/>
    </row>
    <row r="11" spans="1:12" s="476" customFormat="1" ht="15.2" customHeight="1">
      <c r="B11" s="1036" t="s">
        <v>665</v>
      </c>
      <c r="C11" s="1037"/>
      <c r="D11" s="803">
        <v>2022</v>
      </c>
      <c r="E11" s="1707">
        <v>123456</v>
      </c>
      <c r="F11" s="1707">
        <v>123456</v>
      </c>
      <c r="G11" s="1707">
        <v>123456</v>
      </c>
      <c r="H11" s="1707">
        <v>123456</v>
      </c>
      <c r="I11" s="1707">
        <v>123456</v>
      </c>
      <c r="J11" s="1707">
        <v>123456</v>
      </c>
      <c r="K11" s="1707">
        <v>123456</v>
      </c>
    </row>
    <row r="12" spans="1:12" s="476" customFormat="1" ht="15.2" customHeight="1">
      <c r="B12" s="1039" t="s">
        <v>666</v>
      </c>
      <c r="C12" s="1037"/>
      <c r="D12" s="803">
        <v>2024</v>
      </c>
      <c r="E12" s="1707">
        <v>123456</v>
      </c>
      <c r="F12" s="1707">
        <v>123456</v>
      </c>
      <c r="G12" s="1707">
        <v>123456</v>
      </c>
      <c r="H12" s="1707">
        <v>123456</v>
      </c>
      <c r="I12" s="1707">
        <v>123456</v>
      </c>
      <c r="J12" s="1707">
        <v>123456</v>
      </c>
      <c r="K12" s="1707">
        <v>123456</v>
      </c>
    </row>
    <row r="13" spans="1:12" s="476" customFormat="1" ht="15.2" customHeight="1">
      <c r="B13" s="1041"/>
      <c r="C13" s="1037"/>
      <c r="D13" s="1038"/>
      <c r="E13" s="1472"/>
      <c r="F13" s="1550"/>
      <c r="G13" s="1471"/>
      <c r="H13" s="1471"/>
      <c r="I13" s="579"/>
      <c r="J13" s="579"/>
      <c r="K13" s="579"/>
    </row>
    <row r="14" spans="1:12" s="476" customFormat="1" ht="15.2" customHeight="1">
      <c r="B14" s="1036" t="s">
        <v>667</v>
      </c>
      <c r="C14" s="1037"/>
      <c r="D14" s="803">
        <v>2022</v>
      </c>
      <c r="E14" s="1707">
        <v>123456</v>
      </c>
      <c r="F14" s="1707">
        <v>123456</v>
      </c>
      <c r="G14" s="1707">
        <v>123456</v>
      </c>
      <c r="H14" s="1707">
        <v>123456</v>
      </c>
      <c r="I14" s="1707">
        <v>123456</v>
      </c>
      <c r="J14" s="1707">
        <v>123456</v>
      </c>
      <c r="K14" s="1707">
        <v>123456</v>
      </c>
    </row>
    <row r="15" spans="1:12" s="476" customFormat="1" ht="15.2" customHeight="1">
      <c r="B15" s="1039" t="s">
        <v>668</v>
      </c>
      <c r="C15" s="1037"/>
      <c r="D15" s="803">
        <v>2024</v>
      </c>
      <c r="E15" s="1707">
        <v>123456</v>
      </c>
      <c r="F15" s="1707">
        <v>123456</v>
      </c>
      <c r="G15" s="1707">
        <v>123456</v>
      </c>
      <c r="H15" s="1707">
        <v>123456</v>
      </c>
      <c r="I15" s="1707">
        <v>123456</v>
      </c>
      <c r="J15" s="1707">
        <v>123456</v>
      </c>
      <c r="K15" s="1707">
        <v>123456</v>
      </c>
    </row>
    <row r="16" spans="1:12" s="476" customFormat="1" ht="15.2" customHeight="1">
      <c r="B16" s="1041"/>
      <c r="C16" s="1037"/>
      <c r="D16" s="1042"/>
      <c r="E16" s="1043"/>
      <c r="F16" s="1044"/>
      <c r="G16" s="1032"/>
      <c r="H16" s="1033"/>
      <c r="I16" s="399"/>
    </row>
    <row r="17" spans="1:12" s="476" customFormat="1" ht="24.75" customHeight="1">
      <c r="B17" s="2673" t="s">
        <v>669</v>
      </c>
      <c r="C17" s="2673"/>
      <c r="D17" s="803">
        <v>2022</v>
      </c>
      <c r="E17" s="1707">
        <v>123456</v>
      </c>
      <c r="F17" s="1707">
        <v>123456</v>
      </c>
      <c r="G17" s="1707">
        <v>123456</v>
      </c>
      <c r="H17" s="1707">
        <v>123456</v>
      </c>
      <c r="I17" s="1707">
        <v>123456</v>
      </c>
      <c r="J17" s="1707">
        <v>123456</v>
      </c>
      <c r="K17" s="1707">
        <v>123456</v>
      </c>
    </row>
    <row r="18" spans="1:12" s="476" customFormat="1" ht="27.2" customHeight="1">
      <c r="B18" s="2674" t="s">
        <v>670</v>
      </c>
      <c r="C18" s="2674"/>
      <c r="D18" s="803">
        <v>2024</v>
      </c>
      <c r="E18" s="1707">
        <v>123456</v>
      </c>
      <c r="F18" s="1707">
        <v>123456</v>
      </c>
      <c r="G18" s="1707">
        <v>123456</v>
      </c>
      <c r="H18" s="1707">
        <v>123456</v>
      </c>
      <c r="I18" s="1707">
        <v>123456</v>
      </c>
      <c r="J18" s="1707">
        <v>123456</v>
      </c>
      <c r="K18" s="1707">
        <v>123456</v>
      </c>
    </row>
    <row r="19" spans="1:12" s="476" customFormat="1" ht="15.2" customHeight="1">
      <c r="B19" s="1045"/>
      <c r="D19" s="1042"/>
      <c r="E19" s="1046"/>
      <c r="F19" s="1047"/>
      <c r="G19" s="1032"/>
      <c r="H19" s="1033"/>
      <c r="I19" s="399"/>
    </row>
    <row r="20" spans="1:12" s="476" customFormat="1" ht="15.2" customHeight="1">
      <c r="B20" s="1031" t="s">
        <v>671</v>
      </c>
      <c r="C20" s="1031"/>
      <c r="D20" s="1042"/>
      <c r="E20" s="1043"/>
      <c r="F20" s="1040"/>
      <c r="G20" s="1032"/>
      <c r="H20" s="1048"/>
    </row>
    <row r="21" spans="1:12" s="476" customFormat="1" ht="26.25" customHeight="1">
      <c r="B21" s="2674" t="s">
        <v>672</v>
      </c>
      <c r="C21" s="2674"/>
      <c r="D21" s="1042"/>
      <c r="E21" s="1043"/>
      <c r="F21" s="1040"/>
      <c r="G21" s="1032"/>
      <c r="H21" s="1033"/>
    </row>
    <row r="22" spans="1:12" s="476" customFormat="1" ht="15.2" customHeight="1">
      <c r="B22" s="1034"/>
      <c r="C22" s="1034"/>
      <c r="D22" s="1042"/>
      <c r="E22" s="1043"/>
      <c r="F22" s="1040"/>
      <c r="G22" s="1032"/>
      <c r="H22" s="1033"/>
    </row>
    <row r="23" spans="1:12" s="476" customFormat="1" ht="15.2" customHeight="1">
      <c r="B23" s="1036" t="s">
        <v>673</v>
      </c>
      <c r="C23" s="1031"/>
      <c r="D23" s="803">
        <v>2022</v>
      </c>
      <c r="E23" s="1474">
        <v>0.45600000000000002</v>
      </c>
      <c r="F23" s="1474">
        <v>0.45600000000000002</v>
      </c>
      <c r="G23" s="1474">
        <v>0.45600000000000002</v>
      </c>
      <c r="H23" s="1474">
        <v>0.45600000000000002</v>
      </c>
      <c r="I23" s="1474">
        <v>0.45600000000000002</v>
      </c>
      <c r="J23" s="1474">
        <v>0.45600000000000002</v>
      </c>
      <c r="K23" s="1474">
        <v>0.45600000000000002</v>
      </c>
    </row>
    <row r="24" spans="1:12" s="476" customFormat="1" ht="15.2" customHeight="1">
      <c r="B24" s="1039" t="s">
        <v>674</v>
      </c>
      <c r="C24" s="1034"/>
      <c r="D24" s="803">
        <v>2024</v>
      </c>
      <c r="E24" s="1474">
        <v>0.45600000000000002</v>
      </c>
      <c r="F24" s="1474">
        <v>0.45600000000000002</v>
      </c>
      <c r="G24" s="1474">
        <v>0.45600000000000002</v>
      </c>
      <c r="H24" s="1474">
        <v>0.45600000000000002</v>
      </c>
      <c r="I24" s="1474">
        <v>0.45600000000000002</v>
      </c>
      <c r="J24" s="1474">
        <v>0.45600000000000002</v>
      </c>
      <c r="K24" s="1474">
        <v>0.45600000000000002</v>
      </c>
    </row>
    <row r="25" spans="1:12" s="476" customFormat="1" ht="15.2" customHeight="1">
      <c r="B25" s="1041"/>
      <c r="C25" s="1034"/>
      <c r="E25" s="1049"/>
      <c r="F25" s="1050"/>
      <c r="G25" s="1051"/>
      <c r="H25" s="1052"/>
    </row>
    <row r="26" spans="1:12" s="476" customFormat="1" ht="15.2" customHeight="1">
      <c r="B26" s="1036" t="s">
        <v>1072</v>
      </c>
      <c r="C26" s="1031"/>
      <c r="D26" s="803">
        <v>2022</v>
      </c>
      <c r="E26" s="1053">
        <v>0.8</v>
      </c>
      <c r="F26" s="1053">
        <v>0.8</v>
      </c>
      <c r="G26" s="1053">
        <v>0.8</v>
      </c>
      <c r="H26" s="1053">
        <v>0.8</v>
      </c>
      <c r="I26" s="1053">
        <v>0.8</v>
      </c>
      <c r="J26" s="1053">
        <v>0.8</v>
      </c>
      <c r="K26" s="1053">
        <v>0.8</v>
      </c>
    </row>
    <row r="27" spans="1:12" s="476" customFormat="1" ht="15.2" customHeight="1">
      <c r="B27" s="1039" t="s">
        <v>1073</v>
      </c>
      <c r="C27" s="1034"/>
      <c r="D27" s="803">
        <v>2024</v>
      </c>
      <c r="E27" s="1053">
        <v>0.8</v>
      </c>
      <c r="F27" s="1053">
        <v>0.8</v>
      </c>
      <c r="G27" s="1053">
        <v>0.8</v>
      </c>
      <c r="H27" s="1053">
        <v>0.8</v>
      </c>
      <c r="I27" s="1053">
        <v>0.8</v>
      </c>
      <c r="J27" s="1053">
        <v>0.8</v>
      </c>
      <c r="K27" s="1053">
        <v>0.8</v>
      </c>
    </row>
    <row r="28" spans="1:12" ht="8.1" customHeight="1" thickBot="1">
      <c r="A28" s="1054"/>
      <c r="B28" s="1055"/>
      <c r="C28" s="1055"/>
      <c r="D28" s="1055"/>
      <c r="E28" s="1055"/>
      <c r="F28" s="1056"/>
      <c r="G28" s="1055"/>
      <c r="H28" s="1055"/>
      <c r="I28" s="1057"/>
      <c r="J28" s="1057"/>
      <c r="K28" s="1057"/>
      <c r="L28" s="1057"/>
    </row>
    <row r="29" spans="1:12" ht="15.2" customHeight="1" thickTop="1">
      <c r="A29" s="684"/>
      <c r="B29" s="1058"/>
      <c r="C29" s="1058"/>
      <c r="D29" s="684"/>
      <c r="H29" s="1059"/>
      <c r="J29" s="684"/>
      <c r="K29" s="682"/>
      <c r="L29" s="1060" t="s">
        <v>639</v>
      </c>
    </row>
    <row r="30" spans="1:12" ht="15.2" customHeight="1">
      <c r="A30" s="684"/>
      <c r="B30" s="684"/>
      <c r="C30" s="684"/>
      <c r="D30" s="684"/>
      <c r="J30" s="684"/>
      <c r="K30" s="682"/>
      <c r="L30" s="1061" t="s">
        <v>1</v>
      </c>
    </row>
    <row r="31" spans="1:12" ht="15.2" customHeight="1">
      <c r="A31" s="967" t="s">
        <v>640</v>
      </c>
      <c r="C31" s="684"/>
      <c r="D31" s="684"/>
      <c r="E31" s="684"/>
      <c r="F31" s="682"/>
      <c r="G31" s="684"/>
    </row>
    <row r="32" spans="1:12" ht="15.2" customHeight="1">
      <c r="A32" s="968" t="s">
        <v>3</v>
      </c>
      <c r="B32" s="2666" t="s">
        <v>1198</v>
      </c>
      <c r="C32" s="2666"/>
      <c r="D32" s="2666"/>
      <c r="E32" s="2666"/>
      <c r="F32" s="2666"/>
      <c r="G32" s="2666"/>
      <c r="H32" s="2666"/>
      <c r="I32" s="2666"/>
      <c r="J32" s="2666"/>
      <c r="K32" s="2666"/>
      <c r="L32" s="2666"/>
    </row>
    <row r="33" spans="1:12" ht="14.25" customHeight="1">
      <c r="A33" s="684"/>
      <c r="B33" s="2665" t="s">
        <v>1197</v>
      </c>
      <c r="C33" s="2665"/>
      <c r="D33" s="2665"/>
      <c r="E33" s="2665"/>
      <c r="F33" s="2665"/>
      <c r="G33" s="2665"/>
      <c r="H33" s="2665"/>
      <c r="I33" s="2665"/>
      <c r="J33" s="2665"/>
      <c r="K33" s="2665"/>
      <c r="L33" s="2665"/>
    </row>
    <row r="34" spans="1:12" ht="9.75" customHeight="1">
      <c r="A34" s="684"/>
      <c r="B34" s="1617"/>
      <c r="C34" s="1617"/>
      <c r="D34" s="1617"/>
      <c r="E34" s="1617"/>
      <c r="F34" s="1617"/>
      <c r="G34" s="1617"/>
      <c r="H34" s="1617"/>
      <c r="I34" s="1617"/>
      <c r="J34" s="1617"/>
      <c r="K34" s="1617"/>
      <c r="L34" s="1617"/>
    </row>
    <row r="35" spans="1:12" ht="15.2" customHeight="1">
      <c r="A35" s="968" t="s">
        <v>4</v>
      </c>
      <c r="B35" s="2666" t="s">
        <v>1199</v>
      </c>
      <c r="C35" s="2666"/>
      <c r="D35" s="2666"/>
      <c r="E35" s="2666"/>
      <c r="F35" s="2666"/>
      <c r="G35" s="2666"/>
      <c r="H35" s="2666"/>
      <c r="I35" s="2666"/>
      <c r="J35" s="2666"/>
      <c r="K35" s="2666"/>
      <c r="L35" s="2666"/>
    </row>
    <row r="36" spans="1:12" ht="12" customHeight="1">
      <c r="A36" s="684"/>
      <c r="B36" s="2666"/>
      <c r="C36" s="2666"/>
      <c r="D36" s="2666"/>
      <c r="E36" s="2666"/>
      <c r="F36" s="2666"/>
      <c r="G36" s="2666"/>
      <c r="H36" s="2666"/>
      <c r="I36" s="2666"/>
      <c r="J36" s="2666"/>
      <c r="K36" s="2666"/>
      <c r="L36" s="2666"/>
    </row>
    <row r="37" spans="1:12" ht="0.75" customHeight="1">
      <c r="A37" s="684"/>
      <c r="B37" s="2666"/>
      <c r="C37" s="2666"/>
      <c r="D37" s="2666"/>
      <c r="E37" s="2666"/>
      <c r="F37" s="2666"/>
      <c r="G37" s="2666"/>
      <c r="H37" s="2666"/>
      <c r="I37" s="2666"/>
      <c r="J37" s="2666"/>
      <c r="K37" s="2666"/>
      <c r="L37" s="2666"/>
    </row>
    <row r="38" spans="1:12" ht="15.2" customHeight="1">
      <c r="A38" s="684"/>
      <c r="B38" s="2665" t="s">
        <v>1200</v>
      </c>
      <c r="C38" s="2665"/>
      <c r="D38" s="2665"/>
      <c r="E38" s="2665"/>
      <c r="F38" s="2665"/>
      <c r="G38" s="2665"/>
      <c r="H38" s="2665"/>
      <c r="I38" s="2665"/>
      <c r="J38" s="2665"/>
      <c r="K38" s="2665"/>
      <c r="L38" s="2665"/>
    </row>
    <row r="39" spans="1:12" ht="15.2" customHeight="1">
      <c r="A39" s="684"/>
      <c r="B39" s="2665"/>
      <c r="C39" s="2665"/>
      <c r="D39" s="2665"/>
      <c r="E39" s="2665"/>
      <c r="F39" s="2665"/>
      <c r="G39" s="2665"/>
      <c r="H39" s="2665"/>
      <c r="I39" s="2665"/>
      <c r="J39" s="2665"/>
      <c r="K39" s="2665"/>
      <c r="L39" s="2665"/>
    </row>
    <row r="40" spans="1:12" ht="15.2" customHeight="1">
      <c r="B40" s="2665"/>
      <c r="C40" s="2665"/>
      <c r="D40" s="2665"/>
      <c r="E40" s="2665"/>
      <c r="F40" s="2665"/>
      <c r="G40" s="2665"/>
      <c r="H40" s="2665"/>
      <c r="I40" s="2665"/>
      <c r="J40" s="2665"/>
      <c r="K40" s="2665"/>
      <c r="L40" s="2665"/>
    </row>
    <row r="49" spans="2:3" ht="15.2" customHeight="1">
      <c r="B49" s="960"/>
      <c r="C49" s="1062"/>
    </row>
    <row r="50" spans="2:3" ht="15.2" customHeight="1">
      <c r="B50" s="683"/>
      <c r="C50" s="1062"/>
    </row>
    <row r="51" spans="2:3" ht="15.2" customHeight="1">
      <c r="B51" s="1063"/>
      <c r="C51" s="1062"/>
    </row>
    <row r="52" spans="2:3" ht="15.2" customHeight="1">
      <c r="B52" s="1062"/>
      <c r="C52" s="1062"/>
    </row>
    <row r="53" spans="2:3" ht="15.2" customHeight="1">
      <c r="B53" s="1062"/>
      <c r="C53" s="1062"/>
    </row>
    <row r="54" spans="2:3" ht="15.2" customHeight="1">
      <c r="B54" s="1062"/>
      <c r="C54" s="1062"/>
    </row>
    <row r="55" spans="2:3" ht="15.2" customHeight="1">
      <c r="B55" s="1062"/>
      <c r="C55" s="1062"/>
    </row>
    <row r="56" spans="2:3" ht="15.2" customHeight="1">
      <c r="B56" s="1062"/>
      <c r="C56" s="1062"/>
    </row>
  </sheetData>
  <mergeCells count="10">
    <mergeCell ref="B38:L40"/>
    <mergeCell ref="B6:C6"/>
    <mergeCell ref="B7:C7"/>
    <mergeCell ref="B32:L32"/>
    <mergeCell ref="B33:L33"/>
    <mergeCell ref="B35:L37"/>
    <mergeCell ref="B17:C17"/>
    <mergeCell ref="B18:C18"/>
    <mergeCell ref="B8:C8"/>
    <mergeCell ref="B21:C21"/>
  </mergeCells>
  <conditionalFormatting sqref="D12:D13">
    <cfRule type="cellIs" dxfId="110" priority="11" stopIfTrue="1" operator="lessThan">
      <formula>0</formula>
    </cfRule>
  </conditionalFormatting>
  <conditionalFormatting sqref="D15:D16">
    <cfRule type="cellIs" dxfId="109" priority="4" stopIfTrue="1" operator="lessThan">
      <formula>0</formula>
    </cfRule>
  </conditionalFormatting>
  <conditionalFormatting sqref="D18:D22">
    <cfRule type="cellIs" dxfId="108" priority="3" stopIfTrue="1" operator="lessThan">
      <formula>0</formula>
    </cfRule>
  </conditionalFormatting>
  <conditionalFormatting sqref="D24">
    <cfRule type="cellIs" dxfId="107" priority="2" stopIfTrue="1" operator="lessThan">
      <formula>0</formula>
    </cfRule>
  </conditionalFormatting>
  <conditionalFormatting sqref="D27">
    <cfRule type="cellIs" dxfId="106" priority="1" stopIfTrue="1" operator="lessThan">
      <formula>0</formula>
    </cfRule>
  </conditionalFormatting>
  <conditionalFormatting sqref="F25:H25">
    <cfRule type="cellIs" dxfId="105" priority="9" stopIfTrue="1" operator="lessThan">
      <formula>0</formula>
    </cfRule>
  </conditionalFormatting>
  <printOptions horizontalCentered="1"/>
  <pageMargins left="0.55118110236220474" right="0.55118110236220474" top="0.55118110236220474" bottom="0.55118110236220474" header="0.55118110236220474" footer="0.55118110236220474"/>
  <pageSetup paperSize="9" scale="64" fitToHeight="0" orientation="portrait" r:id="rId1"/>
  <headerFooter scaleWithDoc="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64DC5-D198-490B-B07B-E04A924F0A83}">
  <sheetPr codeName="Sheet9">
    <tabColor theme="4" tint="0.39997558519241921"/>
    <pageSetUpPr fitToPage="1"/>
  </sheetPr>
  <dimension ref="A1:N77"/>
  <sheetViews>
    <sheetView view="pageBreakPreview" topLeftCell="A52" zoomScaleNormal="62" zoomScaleSheetLayoutView="100" workbookViewId="0">
      <selection activeCell="F20" sqref="F20"/>
    </sheetView>
  </sheetViews>
  <sheetFormatPr defaultColWidth="9.140625" defaultRowHeight="13.5"/>
  <cols>
    <col min="1" max="1" width="2.140625" style="476" customWidth="1"/>
    <col min="2" max="2" width="11.85546875" style="476" customWidth="1"/>
    <col min="3" max="3" width="25.85546875" style="476" customWidth="1"/>
    <col min="4" max="4" width="6.5703125" style="476" customWidth="1"/>
    <col min="5" max="5" width="13.85546875" style="476" customWidth="1"/>
    <col min="6" max="6" width="13.85546875" style="675" customWidth="1"/>
    <col min="7" max="11" width="13.85546875" style="476" customWidth="1"/>
    <col min="12" max="12" width="1.5703125" style="476" customWidth="1"/>
    <col min="13" max="16384" width="9.140625" style="476"/>
  </cols>
  <sheetData>
    <row r="1" spans="1:12" ht="8.1" customHeight="1"/>
    <row r="2" spans="1:12" ht="16.350000000000001" customHeight="1">
      <c r="B2" s="778" t="s">
        <v>675</v>
      </c>
      <c r="C2" s="1064" t="s">
        <v>1357</v>
      </c>
      <c r="D2" s="1064"/>
      <c r="E2" s="1064"/>
    </row>
    <row r="3" spans="1:12" ht="16.350000000000001" customHeight="1">
      <c r="B3" s="781" t="s">
        <v>676</v>
      </c>
      <c r="C3" s="1065" t="s">
        <v>1358</v>
      </c>
      <c r="D3" s="1065"/>
      <c r="E3" s="1065"/>
    </row>
    <row r="4" spans="1:12" ht="13.15" customHeight="1" thickBot="1">
      <c r="A4" s="1066"/>
      <c r="B4" s="1066"/>
      <c r="C4" s="1066"/>
      <c r="D4" s="1066"/>
      <c r="E4" s="1066"/>
      <c r="F4" s="1067"/>
      <c r="G4" s="1066"/>
      <c r="H4" s="773"/>
      <c r="K4" s="773"/>
      <c r="L4" s="773"/>
    </row>
    <row r="5" spans="1:12" ht="54" customHeight="1" thickBot="1">
      <c r="A5" s="7"/>
      <c r="B5" s="2651" t="s">
        <v>677</v>
      </c>
      <c r="C5" s="2660"/>
      <c r="D5" s="788" t="s">
        <v>239</v>
      </c>
      <c r="E5" s="789" t="s">
        <v>574</v>
      </c>
      <c r="F5" s="790" t="s">
        <v>575</v>
      </c>
      <c r="G5" s="790" t="s">
        <v>576</v>
      </c>
      <c r="H5" s="790" t="s">
        <v>577</v>
      </c>
      <c r="I5" s="791" t="s">
        <v>578</v>
      </c>
      <c r="J5" s="791" t="s">
        <v>579</v>
      </c>
      <c r="K5" s="791" t="s">
        <v>580</v>
      </c>
      <c r="L5" s="773"/>
    </row>
    <row r="6" spans="1:12" ht="8.1" customHeight="1">
      <c r="B6" s="981"/>
      <c r="C6" s="981"/>
      <c r="D6" s="981"/>
      <c r="E6" s="981"/>
      <c r="F6" s="983"/>
      <c r="G6" s="982"/>
      <c r="H6" s="982"/>
    </row>
    <row r="7" spans="1:12" ht="15.2" customHeight="1">
      <c r="B7" s="1068" t="s">
        <v>678</v>
      </c>
      <c r="C7" s="981"/>
      <c r="D7" s="981"/>
      <c r="E7" s="1475"/>
      <c r="F7" s="1475"/>
      <c r="G7" s="1475"/>
      <c r="H7" s="1475"/>
      <c r="I7" s="672"/>
      <c r="J7" s="672"/>
      <c r="K7" s="672"/>
    </row>
    <row r="8" spans="1:12" ht="15.2" customHeight="1">
      <c r="B8" s="981"/>
      <c r="C8" s="981"/>
      <c r="D8" s="981"/>
      <c r="E8" s="1079"/>
      <c r="F8" s="1475"/>
      <c r="G8" s="1475"/>
      <c r="H8" s="1475"/>
      <c r="I8" s="579"/>
      <c r="J8" s="579"/>
      <c r="K8" s="579"/>
    </row>
    <row r="9" spans="1:12" ht="15.2" customHeight="1">
      <c r="B9" s="1069" t="s">
        <v>679</v>
      </c>
      <c r="C9" s="1070"/>
      <c r="D9" s="803">
        <v>2024</v>
      </c>
      <c r="E9" s="1476">
        <v>12345</v>
      </c>
      <c r="F9" s="1476">
        <v>12345</v>
      </c>
      <c r="G9" s="1476">
        <v>12345</v>
      </c>
      <c r="H9" s="1476">
        <v>12345</v>
      </c>
      <c r="I9" s="1476">
        <v>12345</v>
      </c>
      <c r="J9" s="1476">
        <v>12345</v>
      </c>
      <c r="K9" s="1476">
        <v>12345</v>
      </c>
    </row>
    <row r="10" spans="1:12" ht="15.2" customHeight="1">
      <c r="B10" s="1071" t="s">
        <v>680</v>
      </c>
      <c r="C10" s="1072"/>
      <c r="D10" s="803">
        <v>2025</v>
      </c>
      <c r="E10" s="1476">
        <v>12345</v>
      </c>
      <c r="F10" s="1476">
        <v>12345</v>
      </c>
      <c r="G10" s="1476">
        <v>12345</v>
      </c>
      <c r="H10" s="1476">
        <v>12345</v>
      </c>
      <c r="I10" s="1476">
        <v>12345</v>
      </c>
      <c r="J10" s="1476">
        <v>12345</v>
      </c>
      <c r="K10" s="1476">
        <v>12345</v>
      </c>
    </row>
    <row r="11" spans="1:12" ht="9.75" customHeight="1">
      <c r="B11" s="1073"/>
      <c r="C11" s="1071"/>
      <c r="D11" s="1071"/>
      <c r="E11" s="1479"/>
      <c r="F11" s="1478"/>
      <c r="G11" s="1079"/>
      <c r="H11" s="1079"/>
      <c r="I11" s="579"/>
      <c r="J11" s="579"/>
      <c r="K11" s="579"/>
    </row>
    <row r="12" spans="1:12" ht="15.2" customHeight="1">
      <c r="B12" s="1074" t="s">
        <v>681</v>
      </c>
      <c r="C12" s="1069"/>
      <c r="D12" s="803">
        <v>2024</v>
      </c>
      <c r="E12" s="579">
        <v>1234</v>
      </c>
      <c r="F12" s="579">
        <v>1234</v>
      </c>
      <c r="G12" s="579">
        <v>1234</v>
      </c>
      <c r="H12" s="579">
        <v>1234</v>
      </c>
      <c r="I12" s="579">
        <v>1234</v>
      </c>
      <c r="J12" s="579">
        <v>1234</v>
      </c>
      <c r="K12" s="579">
        <v>1234</v>
      </c>
    </row>
    <row r="13" spans="1:12" ht="15.2" customHeight="1">
      <c r="B13" s="1076" t="s">
        <v>682</v>
      </c>
      <c r="C13" s="1071"/>
      <c r="D13" s="803">
        <v>2025</v>
      </c>
      <c r="E13" s="579">
        <v>1234</v>
      </c>
      <c r="F13" s="579">
        <v>1234</v>
      </c>
      <c r="G13" s="579">
        <v>1234</v>
      </c>
      <c r="H13" s="579">
        <v>1234</v>
      </c>
      <c r="I13" s="579">
        <v>1234</v>
      </c>
      <c r="J13" s="579">
        <v>1234</v>
      </c>
      <c r="K13" s="579">
        <v>1234</v>
      </c>
    </row>
    <row r="14" spans="1:12" ht="10.5" customHeight="1">
      <c r="B14" s="987"/>
      <c r="C14" s="1071"/>
      <c r="D14" s="1071"/>
      <c r="E14" s="1479"/>
      <c r="F14" s="1478"/>
      <c r="G14" s="1079"/>
      <c r="H14" s="1079"/>
      <c r="I14" s="579"/>
      <c r="J14" s="579"/>
      <c r="K14" s="579"/>
    </row>
    <row r="15" spans="1:12" ht="15.2" customHeight="1">
      <c r="B15" s="1074" t="s">
        <v>683</v>
      </c>
      <c r="D15" s="803">
        <v>2024</v>
      </c>
      <c r="E15" s="579">
        <v>1234</v>
      </c>
      <c r="F15" s="579">
        <v>1234</v>
      </c>
      <c r="G15" s="579">
        <v>1234</v>
      </c>
      <c r="H15" s="579">
        <v>1234</v>
      </c>
      <c r="I15" s="579">
        <v>1234</v>
      </c>
      <c r="J15" s="579">
        <v>1234</v>
      </c>
      <c r="K15" s="579">
        <v>1234</v>
      </c>
    </row>
    <row r="16" spans="1:12" ht="15.2" customHeight="1">
      <c r="B16" s="1076" t="s">
        <v>684</v>
      </c>
      <c r="D16" s="803">
        <v>2025</v>
      </c>
      <c r="E16" s="579">
        <v>1234</v>
      </c>
      <c r="F16" s="579">
        <v>1234</v>
      </c>
      <c r="G16" s="579">
        <v>1234</v>
      </c>
      <c r="H16" s="579">
        <v>1234</v>
      </c>
      <c r="I16" s="579">
        <v>1234</v>
      </c>
      <c r="J16" s="579">
        <v>1234</v>
      </c>
      <c r="K16" s="579">
        <v>1234</v>
      </c>
    </row>
    <row r="17" spans="1:11" ht="15.2" customHeight="1">
      <c r="B17" s="1077"/>
      <c r="E17" s="579"/>
      <c r="F17" s="1477"/>
      <c r="G17" s="1475"/>
      <c r="H17" s="1475"/>
      <c r="I17" s="579"/>
      <c r="J17" s="579"/>
      <c r="K17" s="579"/>
    </row>
    <row r="18" spans="1:11" ht="15.2" customHeight="1">
      <c r="B18" s="1069" t="s">
        <v>685</v>
      </c>
      <c r="C18" s="1070"/>
      <c r="D18" s="803">
        <v>2024</v>
      </c>
      <c r="E18" s="1476">
        <v>12345</v>
      </c>
      <c r="F18" s="1476">
        <v>12345</v>
      </c>
      <c r="G18" s="1476">
        <v>12345</v>
      </c>
      <c r="H18" s="1476">
        <v>12345</v>
      </c>
      <c r="I18" s="1476">
        <v>12345</v>
      </c>
      <c r="J18" s="1476">
        <v>12345</v>
      </c>
      <c r="K18" s="1476">
        <v>12345</v>
      </c>
    </row>
    <row r="19" spans="1:11" ht="15.2" customHeight="1">
      <c r="B19" s="1071" t="s">
        <v>686</v>
      </c>
      <c r="C19" s="1072"/>
      <c r="D19" s="803">
        <v>2025</v>
      </c>
      <c r="E19" s="1476">
        <v>12345</v>
      </c>
      <c r="F19" s="1476">
        <v>12345</v>
      </c>
      <c r="G19" s="1476">
        <v>12345</v>
      </c>
      <c r="H19" s="1476">
        <v>12345</v>
      </c>
      <c r="I19" s="1476">
        <v>12345</v>
      </c>
      <c r="J19" s="1476">
        <v>12345</v>
      </c>
      <c r="K19" s="1476">
        <v>12345</v>
      </c>
    </row>
    <row r="20" spans="1:11" ht="11.25" customHeight="1">
      <c r="A20" s="985"/>
      <c r="B20" s="1073"/>
      <c r="C20" s="1071"/>
      <c r="D20" s="1071"/>
      <c r="E20" s="1479"/>
      <c r="F20" s="1478"/>
      <c r="G20" s="1079"/>
      <c r="H20" s="1079"/>
      <c r="I20" s="579"/>
      <c r="J20" s="579"/>
      <c r="K20" s="579"/>
    </row>
    <row r="21" spans="1:11" ht="15.2" customHeight="1">
      <c r="A21" s="985"/>
      <c r="B21" s="1074" t="s">
        <v>687</v>
      </c>
      <c r="C21" s="1069"/>
      <c r="D21" s="803">
        <v>2024</v>
      </c>
      <c r="E21" s="579">
        <v>1234</v>
      </c>
      <c r="F21" s="579">
        <v>1234</v>
      </c>
      <c r="G21" s="579">
        <v>1234</v>
      </c>
      <c r="H21" s="579">
        <v>1234</v>
      </c>
      <c r="I21" s="579">
        <v>1234</v>
      </c>
      <c r="J21" s="579">
        <v>1234</v>
      </c>
      <c r="K21" s="579">
        <v>1234</v>
      </c>
    </row>
    <row r="22" spans="1:11" ht="15.2" customHeight="1">
      <c r="B22" s="1076" t="s">
        <v>682</v>
      </c>
      <c r="C22" s="1071"/>
      <c r="D22" s="803">
        <v>2025</v>
      </c>
      <c r="E22" s="579">
        <v>1234</v>
      </c>
      <c r="F22" s="579">
        <v>1234</v>
      </c>
      <c r="G22" s="579">
        <v>1234</v>
      </c>
      <c r="H22" s="579">
        <v>1234</v>
      </c>
      <c r="I22" s="579">
        <v>1234</v>
      </c>
      <c r="J22" s="579">
        <v>1234</v>
      </c>
      <c r="K22" s="579">
        <v>1234</v>
      </c>
    </row>
    <row r="23" spans="1:11" ht="11.25" customHeight="1">
      <c r="B23" s="1071"/>
      <c r="C23" s="1071"/>
      <c r="D23" s="1071"/>
      <c r="E23" s="1479"/>
      <c r="F23" s="1478"/>
      <c r="G23" s="1079"/>
      <c r="H23" s="1079"/>
      <c r="I23" s="579"/>
      <c r="J23" s="579"/>
      <c r="K23" s="579"/>
    </row>
    <row r="24" spans="1:11" ht="15.2" customHeight="1">
      <c r="B24" s="1074" t="s">
        <v>688</v>
      </c>
      <c r="C24" s="1069"/>
      <c r="D24" s="803">
        <v>2024</v>
      </c>
      <c r="E24" s="579">
        <v>1234</v>
      </c>
      <c r="F24" s="579">
        <v>1234</v>
      </c>
      <c r="G24" s="579">
        <v>1234</v>
      </c>
      <c r="H24" s="579">
        <v>1234</v>
      </c>
      <c r="I24" s="579">
        <v>1234</v>
      </c>
      <c r="J24" s="579">
        <v>1234</v>
      </c>
      <c r="K24" s="579">
        <v>1234</v>
      </c>
    </row>
    <row r="25" spans="1:11" ht="15.2" customHeight="1">
      <c r="B25" s="1076" t="s">
        <v>684</v>
      </c>
      <c r="C25" s="1071"/>
      <c r="D25" s="803">
        <v>2025</v>
      </c>
      <c r="E25" s="579">
        <v>1234</v>
      </c>
      <c r="F25" s="579">
        <v>1234</v>
      </c>
      <c r="G25" s="579">
        <v>1234</v>
      </c>
      <c r="H25" s="579">
        <v>1234</v>
      </c>
      <c r="I25" s="579">
        <v>1234</v>
      </c>
      <c r="J25" s="579">
        <v>1234</v>
      </c>
      <c r="K25" s="579">
        <v>1234</v>
      </c>
    </row>
    <row r="26" spans="1:11" ht="15.2" customHeight="1">
      <c r="B26" s="1077"/>
      <c r="C26" s="1078"/>
      <c r="D26" s="1078"/>
      <c r="E26" s="1480"/>
      <c r="F26" s="1477"/>
      <c r="G26" s="1475"/>
      <c r="H26" s="1475"/>
      <c r="I26" s="579"/>
      <c r="J26" s="579"/>
      <c r="K26" s="579"/>
    </row>
    <row r="27" spans="1:11" ht="15.2" customHeight="1">
      <c r="B27" s="1069" t="s">
        <v>689</v>
      </c>
      <c r="C27" s="1070"/>
      <c r="D27" s="803">
        <v>2024</v>
      </c>
      <c r="E27" s="1476">
        <v>12345</v>
      </c>
      <c r="F27" s="1476">
        <v>12345</v>
      </c>
      <c r="G27" s="1476">
        <v>12345</v>
      </c>
      <c r="H27" s="1476">
        <v>12345</v>
      </c>
      <c r="I27" s="1476">
        <v>12345</v>
      </c>
      <c r="J27" s="1476">
        <v>12345</v>
      </c>
      <c r="K27" s="1476">
        <v>12345</v>
      </c>
    </row>
    <row r="28" spans="1:11" ht="15.2" customHeight="1">
      <c r="B28" s="1071" t="s">
        <v>690</v>
      </c>
      <c r="C28" s="1072"/>
      <c r="D28" s="803">
        <v>2025</v>
      </c>
      <c r="E28" s="1476">
        <v>12345</v>
      </c>
      <c r="F28" s="1476">
        <v>12345</v>
      </c>
      <c r="G28" s="1476">
        <v>12345</v>
      </c>
      <c r="H28" s="1476">
        <v>12345</v>
      </c>
      <c r="I28" s="1476">
        <v>12345</v>
      </c>
      <c r="J28" s="1476">
        <v>12345</v>
      </c>
      <c r="K28" s="1476">
        <v>12345</v>
      </c>
    </row>
    <row r="29" spans="1:11" ht="12" customHeight="1">
      <c r="B29" s="1073"/>
      <c r="C29" s="1071"/>
      <c r="D29" s="1071"/>
      <c r="E29" s="1479"/>
      <c r="F29" s="1478"/>
      <c r="G29" s="1079"/>
      <c r="H29" s="1079"/>
      <c r="I29" s="579"/>
      <c r="J29" s="579"/>
      <c r="K29" s="579"/>
    </row>
    <row r="30" spans="1:11" ht="15.2" customHeight="1">
      <c r="B30" s="1074" t="s">
        <v>687</v>
      </c>
      <c r="C30" s="1069"/>
      <c r="D30" s="803">
        <v>2024</v>
      </c>
      <c r="E30" s="579">
        <v>1234</v>
      </c>
      <c r="F30" s="579">
        <v>1234</v>
      </c>
      <c r="G30" s="579">
        <v>1234</v>
      </c>
      <c r="H30" s="579">
        <v>1234</v>
      </c>
      <c r="I30" s="579">
        <v>1234</v>
      </c>
      <c r="J30" s="579">
        <v>1234</v>
      </c>
      <c r="K30" s="579">
        <v>1234</v>
      </c>
    </row>
    <row r="31" spans="1:11" ht="15.2" customHeight="1">
      <c r="B31" s="1076" t="s">
        <v>682</v>
      </c>
      <c r="C31" s="1071"/>
      <c r="D31" s="803">
        <v>2025</v>
      </c>
      <c r="E31" s="579">
        <v>1234</v>
      </c>
      <c r="F31" s="579">
        <v>1234</v>
      </c>
      <c r="G31" s="579">
        <v>1234</v>
      </c>
      <c r="H31" s="579">
        <v>1234</v>
      </c>
      <c r="I31" s="579">
        <v>1234</v>
      </c>
      <c r="J31" s="579">
        <v>1234</v>
      </c>
      <c r="K31" s="579">
        <v>1234</v>
      </c>
    </row>
    <row r="32" spans="1:11" ht="11.25" customHeight="1">
      <c r="B32" s="1071"/>
      <c r="C32" s="1071"/>
      <c r="D32" s="1071"/>
      <c r="E32" s="1479"/>
      <c r="F32" s="1478"/>
      <c r="G32" s="1079"/>
      <c r="H32" s="1079"/>
      <c r="I32" s="579"/>
      <c r="J32" s="579"/>
      <c r="K32" s="579"/>
    </row>
    <row r="33" spans="2:13" ht="15.2" customHeight="1">
      <c r="B33" s="1074" t="s">
        <v>688</v>
      </c>
      <c r="C33" s="1069"/>
      <c r="D33" s="803">
        <v>2024</v>
      </c>
      <c r="E33" s="579">
        <v>1234</v>
      </c>
      <c r="F33" s="579">
        <v>1234</v>
      </c>
      <c r="G33" s="579">
        <v>1234</v>
      </c>
      <c r="H33" s="579">
        <v>1234</v>
      </c>
      <c r="I33" s="579">
        <v>1234</v>
      </c>
      <c r="J33" s="579">
        <v>1234</v>
      </c>
      <c r="K33" s="579">
        <v>1234</v>
      </c>
    </row>
    <row r="34" spans="2:13" ht="15.2" customHeight="1">
      <c r="B34" s="1076" t="s">
        <v>684</v>
      </c>
      <c r="C34" s="1071"/>
      <c r="D34" s="803">
        <v>2025</v>
      </c>
      <c r="E34" s="579">
        <v>1234</v>
      </c>
      <c r="F34" s="579">
        <v>1234</v>
      </c>
      <c r="G34" s="579">
        <v>1234</v>
      </c>
      <c r="H34" s="579">
        <v>1234</v>
      </c>
      <c r="I34" s="579">
        <v>1234</v>
      </c>
      <c r="J34" s="579">
        <v>1234</v>
      </c>
      <c r="K34" s="579">
        <v>1234</v>
      </c>
    </row>
    <row r="35" spans="2:13" ht="15.2" customHeight="1">
      <c r="B35" s="1076"/>
      <c r="C35" s="1071"/>
      <c r="D35" s="1071"/>
      <c r="E35" s="1479"/>
      <c r="F35" s="1079"/>
      <c r="G35" s="1079"/>
      <c r="H35" s="1079"/>
      <c r="I35" s="579"/>
      <c r="J35" s="579"/>
      <c r="K35" s="579"/>
    </row>
    <row r="36" spans="2:13" ht="15.2" customHeight="1">
      <c r="B36" s="1069" t="s">
        <v>1176</v>
      </c>
      <c r="C36" s="1070"/>
      <c r="D36" s="803">
        <v>2024</v>
      </c>
      <c r="E36" s="1476">
        <v>12345</v>
      </c>
      <c r="F36" s="1476">
        <v>12345</v>
      </c>
      <c r="G36" s="1476">
        <v>12345</v>
      </c>
      <c r="H36" s="1476">
        <v>12345</v>
      </c>
      <c r="I36" s="1476">
        <v>12345</v>
      </c>
      <c r="J36" s="1476">
        <v>12345</v>
      </c>
      <c r="K36" s="1476">
        <v>12345</v>
      </c>
    </row>
    <row r="37" spans="2:13" ht="15.2" customHeight="1">
      <c r="B37" s="1071" t="s">
        <v>1243</v>
      </c>
      <c r="C37" s="1072"/>
      <c r="D37" s="803">
        <v>2025</v>
      </c>
      <c r="E37" s="1476">
        <v>12345</v>
      </c>
      <c r="F37" s="1476">
        <v>12345</v>
      </c>
      <c r="G37" s="1476">
        <v>12345</v>
      </c>
      <c r="H37" s="1476">
        <v>12345</v>
      </c>
      <c r="I37" s="1476">
        <v>12345</v>
      </c>
      <c r="J37" s="1476">
        <v>12345</v>
      </c>
      <c r="K37" s="1476">
        <v>12345</v>
      </c>
    </row>
    <row r="38" spans="2:13" ht="12" customHeight="1">
      <c r="B38" s="1073"/>
      <c r="C38" s="1071"/>
      <c r="D38" s="1071"/>
      <c r="E38" s="1479"/>
      <c r="F38" s="1478"/>
      <c r="G38" s="1079"/>
      <c r="H38" s="1079"/>
      <c r="I38" s="579"/>
      <c r="J38" s="579"/>
      <c r="K38" s="579"/>
    </row>
    <row r="39" spans="2:13" ht="15.2" customHeight="1">
      <c r="B39" s="1074" t="s">
        <v>687</v>
      </c>
      <c r="C39" s="1069"/>
      <c r="D39" s="803">
        <v>2024</v>
      </c>
      <c r="E39" s="579">
        <v>1234</v>
      </c>
      <c r="F39" s="579">
        <v>1234</v>
      </c>
      <c r="G39" s="579">
        <v>1234</v>
      </c>
      <c r="H39" s="579">
        <v>1234</v>
      </c>
      <c r="I39" s="579">
        <v>1234</v>
      </c>
      <c r="J39" s="579">
        <v>1234</v>
      </c>
      <c r="K39" s="579">
        <v>1234</v>
      </c>
    </row>
    <row r="40" spans="2:13" ht="15.2" customHeight="1">
      <c r="B40" s="1076" t="s">
        <v>682</v>
      </c>
      <c r="C40" s="1071"/>
      <c r="D40" s="803">
        <v>2025</v>
      </c>
      <c r="E40" s="579">
        <v>1234</v>
      </c>
      <c r="F40" s="579">
        <v>1234</v>
      </c>
      <c r="G40" s="579">
        <v>1234</v>
      </c>
      <c r="H40" s="579">
        <v>1234</v>
      </c>
      <c r="I40" s="579">
        <v>1234</v>
      </c>
      <c r="J40" s="579">
        <v>1234</v>
      </c>
      <c r="K40" s="579">
        <v>1234</v>
      </c>
    </row>
    <row r="41" spans="2:13" ht="11.25" customHeight="1">
      <c r="B41" s="1071"/>
      <c r="C41" s="1071"/>
      <c r="D41" s="1071"/>
      <c r="E41" s="1479"/>
      <c r="F41" s="1478"/>
      <c r="G41" s="1079"/>
      <c r="H41" s="1079"/>
      <c r="I41" s="579"/>
      <c r="J41" s="579"/>
      <c r="K41" s="579"/>
    </row>
    <row r="42" spans="2:13" ht="15.2" customHeight="1">
      <c r="B42" s="1074" t="s">
        <v>688</v>
      </c>
      <c r="C42" s="1069"/>
      <c r="D42" s="803">
        <v>2024</v>
      </c>
      <c r="E42" s="579">
        <v>1234</v>
      </c>
      <c r="F42" s="579">
        <v>1234</v>
      </c>
      <c r="G42" s="579">
        <v>1234</v>
      </c>
      <c r="H42" s="579">
        <v>1234</v>
      </c>
      <c r="I42" s="579">
        <v>1234</v>
      </c>
      <c r="J42" s="579">
        <v>1234</v>
      </c>
      <c r="K42" s="579">
        <v>1234</v>
      </c>
    </row>
    <row r="43" spans="2:13" ht="15.2" customHeight="1">
      <c r="B43" s="1076" t="s">
        <v>684</v>
      </c>
      <c r="C43" s="1071"/>
      <c r="D43" s="803">
        <v>2025</v>
      </c>
      <c r="E43" s="579">
        <v>1234</v>
      </c>
      <c r="F43" s="579">
        <v>1234</v>
      </c>
      <c r="G43" s="579">
        <v>1234</v>
      </c>
      <c r="H43" s="579">
        <v>1234</v>
      </c>
      <c r="I43" s="579">
        <v>1234</v>
      </c>
      <c r="J43" s="579">
        <v>1234</v>
      </c>
      <c r="K43" s="579">
        <v>1234</v>
      </c>
    </row>
    <row r="44" spans="2:13" ht="15.2" customHeight="1">
      <c r="B44" s="1076"/>
      <c r="C44" s="1071"/>
      <c r="D44" s="803"/>
      <c r="E44" s="579"/>
      <c r="F44" s="579"/>
      <c r="G44" s="579"/>
      <c r="H44" s="579"/>
      <c r="I44" s="579"/>
      <c r="J44" s="579"/>
      <c r="K44" s="579"/>
    </row>
    <row r="45" spans="2:13" ht="15.2" customHeight="1">
      <c r="B45" s="1069" t="s">
        <v>1177</v>
      </c>
      <c r="C45" s="1070"/>
      <c r="D45" s="803">
        <v>2024</v>
      </c>
      <c r="E45" s="1476">
        <v>12345</v>
      </c>
      <c r="F45" s="1476">
        <v>12345</v>
      </c>
      <c r="G45" s="1476">
        <v>12345</v>
      </c>
      <c r="H45" s="1476">
        <v>12345</v>
      </c>
      <c r="I45" s="1476">
        <v>12345</v>
      </c>
      <c r="J45" s="1476">
        <v>12345</v>
      </c>
      <c r="K45" s="1476">
        <v>12345</v>
      </c>
    </row>
    <row r="46" spans="2:13" ht="15.2" customHeight="1">
      <c r="B46" s="1071" t="s">
        <v>1178</v>
      </c>
      <c r="C46" s="1072"/>
      <c r="D46" s="803">
        <v>2025</v>
      </c>
      <c r="E46" s="1476">
        <v>12345</v>
      </c>
      <c r="F46" s="1476">
        <v>12345</v>
      </c>
      <c r="G46" s="1476">
        <v>12345</v>
      </c>
      <c r="H46" s="1476">
        <v>12345</v>
      </c>
      <c r="I46" s="1476">
        <v>12345</v>
      </c>
      <c r="J46" s="1476">
        <v>12345</v>
      </c>
      <c r="K46" s="1476">
        <v>12345</v>
      </c>
    </row>
    <row r="47" spans="2:13" ht="12" customHeight="1">
      <c r="B47" s="1073"/>
      <c r="C47" s="1071"/>
      <c r="D47" s="1071"/>
      <c r="E47" s="1479"/>
      <c r="F47" s="1478"/>
      <c r="G47" s="1079"/>
      <c r="H47" s="1079"/>
      <c r="I47" s="579"/>
      <c r="J47" s="579"/>
      <c r="K47" s="579"/>
    </row>
    <row r="48" spans="2:13" ht="15.2" customHeight="1">
      <c r="B48" s="1074" t="s">
        <v>687</v>
      </c>
      <c r="C48" s="1069"/>
      <c r="D48" s="803">
        <v>2024</v>
      </c>
      <c r="E48" s="579">
        <v>1234</v>
      </c>
      <c r="F48" s="579">
        <v>1234</v>
      </c>
      <c r="G48" s="579">
        <v>1234</v>
      </c>
      <c r="H48" s="579">
        <v>1234</v>
      </c>
      <c r="I48" s="579">
        <v>1234</v>
      </c>
      <c r="J48" s="579">
        <v>1234</v>
      </c>
      <c r="K48" s="579">
        <v>1234</v>
      </c>
      <c r="M48" s="476" t="s">
        <v>557</v>
      </c>
    </row>
    <row r="49" spans="1:14" ht="15.2" customHeight="1">
      <c r="B49" s="1076" t="s">
        <v>682</v>
      </c>
      <c r="C49" s="1071"/>
      <c r="D49" s="803">
        <v>2025</v>
      </c>
      <c r="E49" s="579">
        <v>1234</v>
      </c>
      <c r="F49" s="579">
        <v>1234</v>
      </c>
      <c r="G49" s="579">
        <v>1234</v>
      </c>
      <c r="H49" s="579">
        <v>1234</v>
      </c>
      <c r="I49" s="579">
        <v>1234</v>
      </c>
      <c r="J49" s="579">
        <v>1234</v>
      </c>
      <c r="K49" s="579">
        <v>1234</v>
      </c>
    </row>
    <row r="50" spans="1:14" ht="11.25" customHeight="1">
      <c r="B50" s="1071"/>
      <c r="C50" s="1071"/>
      <c r="D50" s="1071"/>
      <c r="E50" s="1479"/>
      <c r="F50" s="1478"/>
      <c r="G50" s="1079"/>
      <c r="H50" s="1079"/>
      <c r="I50" s="579"/>
      <c r="J50" s="579"/>
      <c r="K50" s="579"/>
    </row>
    <row r="51" spans="1:14" ht="15.2" customHeight="1">
      <c r="B51" s="1074" t="s">
        <v>688</v>
      </c>
      <c r="C51" s="1069"/>
      <c r="D51" s="803">
        <v>2024</v>
      </c>
      <c r="E51" s="579">
        <v>1234</v>
      </c>
      <c r="F51" s="579">
        <v>1234</v>
      </c>
      <c r="G51" s="579">
        <v>1234</v>
      </c>
      <c r="H51" s="579">
        <v>1234</v>
      </c>
      <c r="I51" s="579">
        <v>1234</v>
      </c>
      <c r="J51" s="579">
        <v>1234</v>
      </c>
      <c r="K51" s="579">
        <v>1234</v>
      </c>
    </row>
    <row r="52" spans="1:14" ht="15.2" customHeight="1">
      <c r="B52" s="1076" t="s">
        <v>684</v>
      </c>
      <c r="C52" s="1071"/>
      <c r="D52" s="803">
        <v>2025</v>
      </c>
      <c r="E52" s="579">
        <v>1234</v>
      </c>
      <c r="F52" s="579">
        <v>1234</v>
      </c>
      <c r="G52" s="579">
        <v>1234</v>
      </c>
      <c r="H52" s="579">
        <v>1234</v>
      </c>
      <c r="I52" s="579">
        <v>1234</v>
      </c>
      <c r="J52" s="579">
        <v>1234</v>
      </c>
      <c r="K52" s="579">
        <v>1234</v>
      </c>
    </row>
    <row r="53" spans="1:14" ht="15.2" customHeight="1">
      <c r="B53" s="1076"/>
      <c r="C53" s="1071"/>
      <c r="D53" s="803"/>
      <c r="E53" s="579"/>
      <c r="F53" s="579"/>
      <c r="G53" s="579"/>
      <c r="H53" s="579"/>
      <c r="I53" s="579"/>
      <c r="J53" s="579"/>
      <c r="K53" s="579"/>
      <c r="N53" s="476" t="s">
        <v>1239</v>
      </c>
    </row>
    <row r="54" spans="1:14" ht="15.2" customHeight="1">
      <c r="B54" s="1069" t="s">
        <v>1011</v>
      </c>
      <c r="C54" s="1070"/>
      <c r="D54" s="803">
        <v>2024</v>
      </c>
      <c r="E54" s="1476">
        <v>12345</v>
      </c>
      <c r="F54" s="1476">
        <v>12345</v>
      </c>
      <c r="G54" s="1476">
        <v>12345</v>
      </c>
      <c r="H54" s="1476">
        <v>12345</v>
      </c>
      <c r="I54" s="1476">
        <v>12345</v>
      </c>
      <c r="J54" s="1476">
        <v>12345</v>
      </c>
      <c r="K54" s="1476">
        <v>12345</v>
      </c>
    </row>
    <row r="55" spans="1:14" ht="15.2" customHeight="1">
      <c r="B55" s="1071" t="s">
        <v>1012</v>
      </c>
      <c r="C55" s="1072"/>
      <c r="D55" s="803">
        <v>2025</v>
      </c>
      <c r="E55" s="1476">
        <v>12345</v>
      </c>
      <c r="F55" s="1476">
        <v>12345</v>
      </c>
      <c r="G55" s="1476">
        <v>12345</v>
      </c>
      <c r="H55" s="1476">
        <v>12345</v>
      </c>
      <c r="I55" s="1476">
        <v>12345</v>
      </c>
      <c r="J55" s="1476">
        <v>12345</v>
      </c>
      <c r="K55" s="1476">
        <v>12345</v>
      </c>
    </row>
    <row r="56" spans="1:14" ht="12" customHeight="1">
      <c r="B56" s="1073"/>
      <c r="C56" s="1071"/>
      <c r="D56" s="1071"/>
      <c r="E56" s="1479"/>
      <c r="F56" s="1478"/>
      <c r="G56" s="1079"/>
      <c r="H56" s="1079"/>
      <c r="I56" s="579"/>
      <c r="J56" s="579"/>
      <c r="K56" s="579"/>
    </row>
    <row r="57" spans="1:14" ht="15.2" customHeight="1">
      <c r="B57" s="1074" t="s">
        <v>687</v>
      </c>
      <c r="C57" s="1069"/>
      <c r="D57" s="803">
        <v>2024</v>
      </c>
      <c r="E57" s="579">
        <v>1234</v>
      </c>
      <c r="F57" s="579">
        <v>1234</v>
      </c>
      <c r="G57" s="579">
        <v>1234</v>
      </c>
      <c r="H57" s="579" t="s">
        <v>1239</v>
      </c>
      <c r="I57" s="579">
        <v>1234</v>
      </c>
      <c r="J57" s="579">
        <v>1234</v>
      </c>
      <c r="K57" s="579">
        <v>1234</v>
      </c>
      <c r="N57" s="476" t="s">
        <v>1434</v>
      </c>
    </row>
    <row r="58" spans="1:14" ht="15.2" customHeight="1">
      <c r="B58" s="1076" t="s">
        <v>682</v>
      </c>
      <c r="C58" s="1071"/>
      <c r="D58" s="803">
        <v>2025</v>
      </c>
      <c r="E58" s="579">
        <v>1234</v>
      </c>
      <c r="F58" s="579">
        <v>1234</v>
      </c>
      <c r="G58" s="579">
        <v>1234</v>
      </c>
      <c r="H58" s="579">
        <v>1234</v>
      </c>
      <c r="I58" s="579">
        <v>1234</v>
      </c>
      <c r="J58" s="579">
        <v>1234</v>
      </c>
      <c r="K58" s="579">
        <v>1234</v>
      </c>
    </row>
    <row r="59" spans="1:14" ht="11.25" customHeight="1">
      <c r="B59" s="1071"/>
      <c r="C59" s="1071"/>
      <c r="D59" s="1071"/>
      <c r="E59" s="1479"/>
      <c r="F59" s="1478"/>
      <c r="G59" s="1079"/>
      <c r="H59" s="1079"/>
      <c r="I59" s="579"/>
      <c r="J59" s="579"/>
      <c r="K59" s="579"/>
    </row>
    <row r="60" spans="1:14" ht="15.2" customHeight="1">
      <c r="B60" s="1074" t="s">
        <v>688</v>
      </c>
      <c r="C60" s="1069"/>
      <c r="D60" s="803">
        <v>2024</v>
      </c>
      <c r="E60" s="579">
        <v>1234</v>
      </c>
      <c r="F60" s="579">
        <v>1234</v>
      </c>
      <c r="G60" s="579">
        <v>1234</v>
      </c>
      <c r="H60" s="579">
        <v>1234</v>
      </c>
      <c r="I60" s="579">
        <v>1234</v>
      </c>
      <c r="J60" s="579">
        <v>1234</v>
      </c>
      <c r="K60" s="579">
        <v>1234</v>
      </c>
    </row>
    <row r="61" spans="1:14" ht="15.2" customHeight="1">
      <c r="B61" s="1076" t="s">
        <v>684</v>
      </c>
      <c r="C61" s="1071"/>
      <c r="D61" s="803">
        <v>2025</v>
      </c>
      <c r="E61" s="579">
        <v>1234</v>
      </c>
      <c r="F61" s="579">
        <v>1234</v>
      </c>
      <c r="G61" s="579">
        <v>1234</v>
      </c>
      <c r="H61" s="579">
        <v>1234</v>
      </c>
      <c r="I61" s="579">
        <v>1234</v>
      </c>
      <c r="J61" s="579">
        <v>1234</v>
      </c>
      <c r="K61" s="579">
        <v>1234</v>
      </c>
    </row>
    <row r="62" spans="1:14" ht="8.1" customHeight="1" thickBot="1">
      <c r="A62" s="999"/>
      <c r="B62" s="999"/>
      <c r="C62" s="999"/>
      <c r="D62" s="999"/>
      <c r="E62" s="999"/>
      <c r="F62" s="1000"/>
      <c r="G62" s="999"/>
      <c r="H62" s="999"/>
      <c r="I62" s="959"/>
      <c r="J62" s="959"/>
      <c r="K62" s="959"/>
      <c r="L62" s="959"/>
    </row>
    <row r="63" spans="1:14" ht="15.2" customHeight="1" thickTop="1">
      <c r="A63" s="399"/>
      <c r="B63" s="399"/>
      <c r="C63" s="767"/>
      <c r="D63" s="767"/>
      <c r="H63" s="985"/>
      <c r="J63" s="767"/>
      <c r="K63" s="1080"/>
      <c r="L63" s="1081" t="s">
        <v>691</v>
      </c>
    </row>
    <row r="64" spans="1:14" ht="15.2" customHeight="1">
      <c r="A64" s="399"/>
      <c r="B64" s="399"/>
      <c r="C64" s="767"/>
      <c r="D64" s="767"/>
      <c r="J64" s="767"/>
      <c r="K64" s="770"/>
      <c r="L64" s="769" t="s">
        <v>692</v>
      </c>
    </row>
    <row r="65" spans="1:7" ht="8.1" customHeight="1">
      <c r="A65" s="399"/>
      <c r="B65" s="399"/>
      <c r="C65" s="399"/>
      <c r="D65" s="399"/>
      <c r="E65" s="399"/>
      <c r="F65" s="765"/>
      <c r="G65" s="399"/>
    </row>
    <row r="66" spans="1:7" ht="15.2" customHeight="1">
      <c r="A66" s="399"/>
      <c r="B66" s="22" t="s">
        <v>2</v>
      </c>
      <c r="C66" s="767"/>
      <c r="D66" s="767"/>
      <c r="E66" s="767"/>
      <c r="F66" s="765"/>
      <c r="G66" s="399"/>
    </row>
    <row r="67" spans="1:7" ht="15.2" customHeight="1">
      <c r="A67" s="1082" t="s">
        <v>3</v>
      </c>
      <c r="B67" s="825" t="s">
        <v>1129</v>
      </c>
      <c r="C67" s="767"/>
      <c r="D67" s="767"/>
      <c r="E67" s="767"/>
      <c r="F67" s="765"/>
      <c r="G67" s="399"/>
    </row>
    <row r="68" spans="1:7" ht="15.2" customHeight="1">
      <c r="A68" s="764"/>
      <c r="B68" s="24" t="s">
        <v>1130</v>
      </c>
      <c r="C68" s="767"/>
      <c r="D68" s="767"/>
      <c r="E68" s="767"/>
      <c r="F68" s="765"/>
      <c r="G68" s="399"/>
    </row>
    <row r="69" spans="1:7" ht="8.1" customHeight="1">
      <c r="A69" s="764"/>
      <c r="B69" s="24"/>
      <c r="C69" s="767"/>
      <c r="D69" s="767"/>
      <c r="E69" s="767"/>
      <c r="F69" s="765"/>
      <c r="G69" s="399"/>
    </row>
    <row r="70" spans="1:7" ht="15.2" customHeight="1">
      <c r="A70" s="1083" t="s">
        <v>4</v>
      </c>
      <c r="B70" s="825" t="s">
        <v>694</v>
      </c>
      <c r="C70" s="684"/>
      <c r="D70" s="684"/>
      <c r="E70" s="684"/>
    </row>
    <row r="71" spans="1:7" ht="15.2" customHeight="1">
      <c r="B71" s="24" t="s">
        <v>695</v>
      </c>
      <c r="C71" s="684"/>
      <c r="D71" s="684"/>
      <c r="E71" s="684"/>
    </row>
    <row r="72" spans="1:7" ht="8.1" customHeight="1">
      <c r="A72" s="764"/>
      <c r="B72" s="24"/>
      <c r="C72" s="767"/>
      <c r="D72" s="767"/>
      <c r="E72" s="767"/>
      <c r="F72" s="765"/>
      <c r="G72" s="399"/>
    </row>
    <row r="73" spans="1:7" ht="15.2" customHeight="1">
      <c r="A73" s="1083" t="s">
        <v>263</v>
      </c>
      <c r="B73" s="825" t="s">
        <v>1244</v>
      </c>
      <c r="C73" s="684"/>
      <c r="D73" s="684"/>
      <c r="E73" s="684"/>
    </row>
    <row r="74" spans="1:7" ht="15.2" customHeight="1">
      <c r="B74" s="24" t="s">
        <v>696</v>
      </c>
      <c r="C74" s="684"/>
      <c r="D74" s="684"/>
      <c r="E74" s="684"/>
    </row>
    <row r="75" spans="1:7" ht="8.1" customHeight="1">
      <c r="A75" s="764"/>
      <c r="B75" s="24"/>
      <c r="C75" s="767"/>
      <c r="D75" s="767"/>
      <c r="E75" s="767"/>
      <c r="F75" s="765"/>
      <c r="G75" s="399"/>
    </row>
    <row r="76" spans="1:7" ht="15.2" customHeight="1">
      <c r="A76" s="1083" t="s">
        <v>570</v>
      </c>
      <c r="B76" s="825" t="s">
        <v>1245</v>
      </c>
      <c r="C76" s="684"/>
      <c r="D76" s="684"/>
      <c r="E76" s="684"/>
    </row>
    <row r="77" spans="1:7">
      <c r="B77" s="24" t="s">
        <v>697</v>
      </c>
    </row>
  </sheetData>
  <mergeCells count="1">
    <mergeCell ref="B5:C5"/>
  </mergeCells>
  <pageMargins left="0.55118110236220474" right="0.55118110236220474" top="0.55118110236220474" bottom="0.55118110236220474" header="0.55118110236220474" footer="0.55118110236220474"/>
  <pageSetup paperSize="9" scale="62" fitToHeight="0" orientation="portrait" r:id="rId1"/>
  <headerFooter scaleWithDoc="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1:L132"/>
  <sheetViews>
    <sheetView view="pageBreakPreview" zoomScale="90" zoomScaleNormal="62" zoomScaleSheetLayoutView="90" workbookViewId="0">
      <selection activeCell="P119" sqref="P119"/>
    </sheetView>
  </sheetViews>
  <sheetFormatPr defaultColWidth="9.140625" defaultRowHeight="13.5"/>
  <cols>
    <col min="1" max="1" width="2.5703125" style="1084" customWidth="1"/>
    <col min="2" max="2" width="10.85546875" style="1084" customWidth="1"/>
    <col min="3" max="3" width="30" style="1084" customWidth="1"/>
    <col min="4" max="4" width="6.42578125" style="1084" customWidth="1"/>
    <col min="5" max="5" width="13.140625" style="1084" customWidth="1"/>
    <col min="6" max="6" width="13.140625" style="1085" customWidth="1"/>
    <col min="7" max="11" width="13.140625" style="1084" customWidth="1"/>
    <col min="12" max="12" width="0.7109375" style="1084" customWidth="1"/>
    <col min="13" max="16384" width="9.140625" style="1084"/>
  </cols>
  <sheetData>
    <row r="1" spans="1:12" ht="8.1" customHeight="1"/>
    <row r="2" spans="1:12" ht="8.1" customHeight="1"/>
    <row r="3" spans="1:12" ht="16.350000000000001" customHeight="1">
      <c r="B3" s="778" t="s">
        <v>698</v>
      </c>
      <c r="C3" s="1086" t="s">
        <v>1359</v>
      </c>
      <c r="D3" s="1086"/>
      <c r="E3" s="1086"/>
    </row>
    <row r="4" spans="1:12" ht="16.350000000000001" customHeight="1">
      <c r="B4" s="781" t="s">
        <v>699</v>
      </c>
      <c r="C4" s="1087" t="s">
        <v>1360</v>
      </c>
      <c r="D4" s="1087"/>
      <c r="E4" s="1087"/>
    </row>
    <row r="5" spans="1:12" ht="8.25" customHeight="1" thickBot="1">
      <c r="A5" s="1088"/>
      <c r="B5" s="1088"/>
      <c r="C5" s="1088"/>
      <c r="D5" s="1088"/>
      <c r="E5" s="1088"/>
      <c r="F5" s="1089"/>
      <c r="G5" s="1088"/>
      <c r="H5" s="1090"/>
      <c r="K5" s="1090"/>
      <c r="L5" s="1090"/>
    </row>
    <row r="6" spans="1:12" ht="54" customHeight="1" thickBot="1">
      <c r="A6" s="7"/>
      <c r="B6" s="2651" t="s">
        <v>700</v>
      </c>
      <c r="C6" s="2660"/>
      <c r="D6" s="788" t="s">
        <v>239</v>
      </c>
      <c r="E6" s="789" t="s">
        <v>1057</v>
      </c>
      <c r="F6" s="790" t="s">
        <v>1059</v>
      </c>
      <c r="G6" s="790" t="s">
        <v>1058</v>
      </c>
      <c r="H6" s="790" t="s">
        <v>1063</v>
      </c>
      <c r="I6" s="791" t="s">
        <v>1060</v>
      </c>
      <c r="J6" s="791" t="s">
        <v>1061</v>
      </c>
      <c r="K6" s="791" t="s">
        <v>1062</v>
      </c>
      <c r="L6" s="1090"/>
    </row>
    <row r="7" spans="1:12" ht="6.75" customHeight="1">
      <c r="B7" s="1091"/>
      <c r="C7" s="1091"/>
      <c r="D7" s="1091"/>
      <c r="E7" s="1091"/>
      <c r="F7" s="1092"/>
      <c r="G7" s="1093"/>
      <c r="H7" s="1093"/>
    </row>
    <row r="8" spans="1:12" ht="15.2" customHeight="1">
      <c r="B8" s="1094" t="s">
        <v>701</v>
      </c>
      <c r="C8" s="1091"/>
      <c r="D8" s="1091"/>
      <c r="E8" s="1481"/>
      <c r="F8" s="1482"/>
      <c r="G8" s="1482"/>
      <c r="H8" s="1482"/>
      <c r="I8" s="1483"/>
      <c r="J8" s="1483"/>
      <c r="K8" s="1483"/>
    </row>
    <row r="9" spans="1:12" ht="9.1999999999999993" customHeight="1">
      <c r="B9" s="1091"/>
      <c r="C9" s="1091"/>
      <c r="D9" s="1091"/>
      <c r="E9" s="1481"/>
      <c r="F9" s="1482"/>
      <c r="G9" s="1482"/>
      <c r="H9" s="1482"/>
      <c r="I9" s="1483"/>
      <c r="J9" s="1483"/>
      <c r="K9" s="1483"/>
    </row>
    <row r="10" spans="1:12" ht="14.1" customHeight="1">
      <c r="B10" s="1094" t="s">
        <v>679</v>
      </c>
      <c r="C10" s="1095"/>
      <c r="D10" s="803">
        <v>2024</v>
      </c>
      <c r="E10" s="1484">
        <v>123456</v>
      </c>
      <c r="F10" s="1484">
        <v>123456</v>
      </c>
      <c r="G10" s="1484">
        <v>123456</v>
      </c>
      <c r="H10" s="1484">
        <v>123456</v>
      </c>
      <c r="I10" s="1484">
        <v>123456</v>
      </c>
      <c r="J10" s="1484">
        <v>123456</v>
      </c>
      <c r="K10" s="1484">
        <v>123456</v>
      </c>
    </row>
    <row r="11" spans="1:12" ht="14.1" customHeight="1">
      <c r="B11" s="1097" t="s">
        <v>680</v>
      </c>
      <c r="C11" s="1098"/>
      <c r="D11" s="803">
        <v>2025</v>
      </c>
      <c r="E11" s="1484">
        <v>123456</v>
      </c>
      <c r="F11" s="1484">
        <v>123456</v>
      </c>
      <c r="G11" s="1484">
        <v>123456</v>
      </c>
      <c r="H11" s="1484">
        <v>123456</v>
      </c>
      <c r="I11" s="1484">
        <v>123456</v>
      </c>
      <c r="J11" s="1484">
        <v>123456</v>
      </c>
      <c r="K11" s="1484">
        <v>123456</v>
      </c>
    </row>
    <row r="12" spans="1:12" ht="14.1" customHeight="1">
      <c r="B12" s="1097"/>
      <c r="C12" s="1099"/>
      <c r="D12" s="1099"/>
      <c r="E12" s="1486"/>
      <c r="F12" s="1485"/>
      <c r="G12" s="1481"/>
      <c r="H12" s="1481"/>
      <c r="I12" s="1483"/>
      <c r="J12" s="1483"/>
      <c r="K12" s="1483"/>
    </row>
    <row r="13" spans="1:12" ht="14.1" customHeight="1">
      <c r="B13" s="1100" t="s">
        <v>687</v>
      </c>
      <c r="C13" s="1101"/>
      <c r="D13" s="803">
        <v>2024</v>
      </c>
      <c r="E13" s="1483">
        <v>123456</v>
      </c>
      <c r="F13" s="1483">
        <v>123456</v>
      </c>
      <c r="G13" s="1483">
        <v>123456</v>
      </c>
      <c r="H13" s="1483">
        <v>123456</v>
      </c>
      <c r="I13" s="1483">
        <v>123456</v>
      </c>
      <c r="J13" s="1483">
        <v>123456</v>
      </c>
      <c r="K13" s="1483">
        <v>123456</v>
      </c>
    </row>
    <row r="14" spans="1:12" ht="14.1" customHeight="1">
      <c r="B14" s="1102" t="s">
        <v>682</v>
      </c>
      <c r="C14" s="1099"/>
      <c r="D14" s="803">
        <v>2025</v>
      </c>
      <c r="E14" s="1483">
        <v>123456</v>
      </c>
      <c r="F14" s="1483">
        <v>123456</v>
      </c>
      <c r="G14" s="1483">
        <v>123456</v>
      </c>
      <c r="H14" s="1483">
        <v>123456</v>
      </c>
      <c r="I14" s="1483">
        <v>123456</v>
      </c>
      <c r="J14" s="1483">
        <v>123456</v>
      </c>
      <c r="K14" s="1483">
        <v>123456</v>
      </c>
    </row>
    <row r="15" spans="1:12" ht="12.95" customHeight="1">
      <c r="B15" s="1102"/>
      <c r="C15" s="1099"/>
      <c r="D15" s="1099"/>
      <c r="E15" s="1486"/>
      <c r="F15" s="1485"/>
      <c r="G15" s="1481"/>
      <c r="H15" s="1481"/>
      <c r="I15" s="1483"/>
      <c r="J15" s="1483"/>
      <c r="K15" s="1483"/>
    </row>
    <row r="16" spans="1:12" ht="14.1" customHeight="1">
      <c r="B16" s="1103" t="s">
        <v>702</v>
      </c>
      <c r="C16" s="1099"/>
      <c r="D16" s="803">
        <v>2024</v>
      </c>
      <c r="E16" s="1483">
        <v>123456</v>
      </c>
      <c r="F16" s="1483">
        <v>123456</v>
      </c>
      <c r="G16" s="1483">
        <v>123456</v>
      </c>
      <c r="H16" s="1483">
        <v>123456</v>
      </c>
      <c r="I16" s="1483">
        <v>123456</v>
      </c>
      <c r="J16" s="1483">
        <v>123456</v>
      </c>
      <c r="K16" s="1483">
        <v>123456</v>
      </c>
    </row>
    <row r="17" spans="2:11" ht="14.1" customHeight="1">
      <c r="B17" s="1103"/>
      <c r="C17" s="1099"/>
      <c r="D17" s="803">
        <v>2025</v>
      </c>
      <c r="E17" s="1483">
        <v>123456</v>
      </c>
      <c r="F17" s="1483">
        <v>123456</v>
      </c>
      <c r="G17" s="1483">
        <v>123456</v>
      </c>
      <c r="H17" s="1483">
        <v>123456</v>
      </c>
      <c r="I17" s="1483">
        <v>123456</v>
      </c>
      <c r="J17" s="1483">
        <v>123456</v>
      </c>
      <c r="K17" s="1483">
        <v>123456</v>
      </c>
    </row>
    <row r="18" spans="2:11" ht="14.1" customHeight="1">
      <c r="B18" s="1103"/>
      <c r="C18" s="1099"/>
      <c r="D18" s="1099"/>
      <c r="E18" s="1483"/>
      <c r="F18" s="1483"/>
      <c r="G18" s="1483"/>
      <c r="H18" s="1483"/>
      <c r="I18" s="1483"/>
      <c r="J18" s="1483"/>
      <c r="K18" s="1483"/>
    </row>
    <row r="19" spans="2:11" ht="14.1" customHeight="1">
      <c r="B19" s="1103" t="s">
        <v>703</v>
      </c>
      <c r="C19" s="1099"/>
      <c r="D19" s="803">
        <v>2024</v>
      </c>
      <c r="E19" s="1483">
        <v>123456</v>
      </c>
      <c r="F19" s="1483">
        <v>123456</v>
      </c>
      <c r="G19" s="1483">
        <v>123456</v>
      </c>
      <c r="H19" s="1483">
        <v>123456</v>
      </c>
      <c r="I19" s="1483">
        <v>123456</v>
      </c>
      <c r="J19" s="1483">
        <v>123456</v>
      </c>
      <c r="K19" s="1483">
        <v>123456</v>
      </c>
    </row>
    <row r="20" spans="2:11" ht="14.1" customHeight="1">
      <c r="B20" s="1105"/>
      <c r="C20" s="1099"/>
      <c r="D20" s="803">
        <v>2025</v>
      </c>
      <c r="E20" s="1483">
        <v>123456</v>
      </c>
      <c r="F20" s="1483">
        <v>123456</v>
      </c>
      <c r="G20" s="1483">
        <v>123456</v>
      </c>
      <c r="H20" s="1483">
        <v>123456</v>
      </c>
      <c r="I20" s="1483">
        <v>123456</v>
      </c>
      <c r="J20" s="1483">
        <v>123456</v>
      </c>
      <c r="K20" s="1483">
        <v>123456</v>
      </c>
    </row>
    <row r="21" spans="2:11" ht="14.1" customHeight="1">
      <c r="B21" s="1105"/>
      <c r="C21" s="1099"/>
      <c r="D21" s="1099"/>
      <c r="E21" s="1486"/>
      <c r="F21" s="1485"/>
      <c r="G21" s="1481"/>
      <c r="H21" s="1481"/>
      <c r="I21" s="1483"/>
      <c r="J21" s="1483"/>
      <c r="K21" s="1483"/>
    </row>
    <row r="22" spans="2:11" ht="14.1" customHeight="1">
      <c r="B22" s="1100" t="s">
        <v>688</v>
      </c>
      <c r="D22" s="803">
        <v>2024</v>
      </c>
      <c r="E22" s="1483">
        <v>123456</v>
      </c>
      <c r="F22" s="1483">
        <v>123456</v>
      </c>
      <c r="G22" s="1483">
        <v>123456</v>
      </c>
      <c r="H22" s="1483">
        <v>123456</v>
      </c>
      <c r="I22" s="1483">
        <v>123456</v>
      </c>
      <c r="J22" s="1483">
        <v>123456</v>
      </c>
      <c r="K22" s="1483">
        <v>123456</v>
      </c>
    </row>
    <row r="23" spans="2:11" ht="14.1" customHeight="1">
      <c r="B23" s="1102" t="s">
        <v>684</v>
      </c>
      <c r="D23" s="803">
        <v>2025</v>
      </c>
      <c r="E23" s="1483">
        <v>123456</v>
      </c>
      <c r="F23" s="1483">
        <v>123456</v>
      </c>
      <c r="G23" s="1483">
        <v>123456</v>
      </c>
      <c r="H23" s="1483">
        <v>123456</v>
      </c>
      <c r="I23" s="1483">
        <v>123456</v>
      </c>
      <c r="J23" s="1483">
        <v>123456</v>
      </c>
      <c r="K23" s="1483">
        <v>123456</v>
      </c>
    </row>
    <row r="24" spans="2:11" ht="12.95" customHeight="1">
      <c r="B24" s="1102"/>
      <c r="D24" s="1099"/>
      <c r="E24" s="1483"/>
      <c r="F24" s="1485"/>
      <c r="G24" s="1481"/>
      <c r="H24" s="1481"/>
      <c r="I24" s="1483"/>
      <c r="J24" s="1483"/>
      <c r="K24" s="1483"/>
    </row>
    <row r="25" spans="2:11" ht="14.1" customHeight="1">
      <c r="B25" s="1103" t="s">
        <v>702</v>
      </c>
      <c r="C25" s="1099"/>
      <c r="D25" s="803">
        <v>2024</v>
      </c>
      <c r="E25" s="1483">
        <v>123456</v>
      </c>
      <c r="F25" s="1483">
        <v>123456</v>
      </c>
      <c r="G25" s="1483">
        <v>123456</v>
      </c>
      <c r="H25" s="1483">
        <v>123456</v>
      </c>
      <c r="I25" s="1483">
        <v>123456</v>
      </c>
      <c r="J25" s="1483">
        <v>123456</v>
      </c>
      <c r="K25" s="1483">
        <v>123456</v>
      </c>
    </row>
    <row r="26" spans="2:11" ht="14.1" customHeight="1">
      <c r="B26" s="1103"/>
      <c r="C26" s="1099"/>
      <c r="D26" s="803">
        <v>2025</v>
      </c>
      <c r="E26" s="1483">
        <v>123456</v>
      </c>
      <c r="F26" s="1483">
        <v>123456</v>
      </c>
      <c r="G26" s="1483">
        <v>123456</v>
      </c>
      <c r="H26" s="1483">
        <v>123456</v>
      </c>
      <c r="I26" s="1483">
        <v>123456</v>
      </c>
      <c r="J26" s="1483">
        <v>123456</v>
      </c>
      <c r="K26" s="1483">
        <v>123456</v>
      </c>
    </row>
    <row r="27" spans="2:11" ht="14.1" customHeight="1">
      <c r="B27" s="1103"/>
      <c r="C27" s="1099"/>
      <c r="D27" s="1099"/>
      <c r="E27" s="1483"/>
      <c r="F27" s="1483"/>
      <c r="G27" s="1483"/>
      <c r="H27" s="1483"/>
      <c r="I27" s="1483"/>
      <c r="J27" s="1483"/>
      <c r="K27" s="1483"/>
    </row>
    <row r="28" spans="2:11" ht="14.1" customHeight="1">
      <c r="B28" s="1103" t="s">
        <v>703</v>
      </c>
      <c r="C28" s="1099"/>
      <c r="D28" s="803">
        <v>2024</v>
      </c>
      <c r="E28" s="1483">
        <v>123456</v>
      </c>
      <c r="F28" s="1483">
        <v>123456</v>
      </c>
      <c r="G28" s="1483">
        <v>123456</v>
      </c>
      <c r="H28" s="1483">
        <v>123456</v>
      </c>
      <c r="I28" s="1483">
        <v>123456</v>
      </c>
      <c r="J28" s="1483">
        <v>123456</v>
      </c>
      <c r="K28" s="1483">
        <v>123456</v>
      </c>
    </row>
    <row r="29" spans="2:11" ht="14.1" customHeight="1">
      <c r="B29" s="1103"/>
      <c r="C29" s="1099"/>
      <c r="D29" s="803">
        <v>2025</v>
      </c>
      <c r="E29" s="1483">
        <v>123456</v>
      </c>
      <c r="F29" s="1483">
        <v>123456</v>
      </c>
      <c r="G29" s="1483">
        <v>123456</v>
      </c>
      <c r="H29" s="1483">
        <v>123456</v>
      </c>
      <c r="I29" s="1483">
        <v>123456</v>
      </c>
      <c r="J29" s="1483">
        <v>123456</v>
      </c>
      <c r="K29" s="1483">
        <v>123456</v>
      </c>
    </row>
    <row r="30" spans="2:11" ht="14.1" customHeight="1">
      <c r="B30" s="1103"/>
      <c r="C30" s="1099"/>
      <c r="D30" s="1099"/>
      <c r="E30" s="1483"/>
      <c r="F30" s="1483"/>
      <c r="G30" s="1483"/>
      <c r="H30" s="1483"/>
      <c r="I30" s="1483"/>
      <c r="J30" s="1483"/>
      <c r="K30" s="1483"/>
    </row>
    <row r="31" spans="2:11" ht="14.1" customHeight="1">
      <c r="B31" s="1103" t="s">
        <v>704</v>
      </c>
      <c r="C31" s="1099"/>
      <c r="D31" s="803">
        <v>2024</v>
      </c>
      <c r="E31" s="1483">
        <v>123456</v>
      </c>
      <c r="F31" s="1483">
        <v>123456</v>
      </c>
      <c r="G31" s="1483">
        <v>123456</v>
      </c>
      <c r="H31" s="1483">
        <v>123456</v>
      </c>
      <c r="I31" s="1483">
        <v>123456</v>
      </c>
      <c r="J31" s="1483">
        <v>123456</v>
      </c>
      <c r="K31" s="1483">
        <v>123456</v>
      </c>
    </row>
    <row r="32" spans="2:11" ht="14.1" customHeight="1">
      <c r="B32" s="1103"/>
      <c r="C32" s="1099"/>
      <c r="D32" s="803">
        <v>2025</v>
      </c>
      <c r="E32" s="1483">
        <v>123456</v>
      </c>
      <c r="F32" s="1483">
        <v>123456</v>
      </c>
      <c r="G32" s="1483">
        <v>123456</v>
      </c>
      <c r="H32" s="1483">
        <v>123456</v>
      </c>
      <c r="I32" s="1483">
        <v>123456</v>
      </c>
      <c r="J32" s="1483">
        <v>123456</v>
      </c>
      <c r="K32" s="1483">
        <v>123456</v>
      </c>
    </row>
    <row r="33" spans="1:11" ht="14.1" customHeight="1">
      <c r="B33" s="1103"/>
      <c r="C33" s="1099"/>
      <c r="D33" s="1099"/>
      <c r="E33" s="1486"/>
      <c r="F33" s="1485"/>
      <c r="G33" s="1481"/>
      <c r="H33" s="1481"/>
      <c r="I33" s="1483"/>
      <c r="J33" s="1483"/>
      <c r="K33" s="1483"/>
    </row>
    <row r="34" spans="1:11" ht="14.1" customHeight="1">
      <c r="B34" s="1100" t="s">
        <v>705</v>
      </c>
      <c r="D34" s="803">
        <v>2024</v>
      </c>
      <c r="E34" s="1483">
        <v>123456</v>
      </c>
      <c r="F34" s="1483">
        <v>123456</v>
      </c>
      <c r="G34" s="1483">
        <v>123456</v>
      </c>
      <c r="H34" s="1483">
        <v>123456</v>
      </c>
      <c r="I34" s="1483">
        <v>123456</v>
      </c>
      <c r="J34" s="1483">
        <v>123456</v>
      </c>
      <c r="K34" s="1483">
        <v>123456</v>
      </c>
    </row>
    <row r="35" spans="1:11" ht="14.1" customHeight="1">
      <c r="B35" s="1102" t="s">
        <v>226</v>
      </c>
      <c r="D35" s="803">
        <v>2025</v>
      </c>
      <c r="E35" s="1483">
        <v>123456</v>
      </c>
      <c r="F35" s="1483">
        <v>123456</v>
      </c>
      <c r="G35" s="1483">
        <v>123456</v>
      </c>
      <c r="H35" s="1483">
        <v>123456</v>
      </c>
      <c r="I35" s="1483">
        <v>123456</v>
      </c>
      <c r="J35" s="1483">
        <v>123456</v>
      </c>
      <c r="K35" s="1483">
        <v>123456</v>
      </c>
    </row>
    <row r="36" spans="1:11" ht="14.1" customHeight="1">
      <c r="B36" s="1102"/>
      <c r="E36" s="1486"/>
      <c r="F36" s="1485"/>
      <c r="G36" s="1481"/>
      <c r="H36" s="1481"/>
      <c r="I36" s="1483"/>
      <c r="J36" s="1483"/>
      <c r="K36" s="1483"/>
    </row>
    <row r="37" spans="1:11" ht="14.1" customHeight="1">
      <c r="B37" s="1100" t="s">
        <v>706</v>
      </c>
      <c r="D37" s="803">
        <v>2024</v>
      </c>
      <c r="E37" s="1483">
        <v>123456</v>
      </c>
      <c r="F37" s="1483">
        <v>123456</v>
      </c>
      <c r="G37" s="1483">
        <v>123456</v>
      </c>
      <c r="H37" s="1483">
        <v>123456</v>
      </c>
      <c r="I37" s="1483">
        <v>123456</v>
      </c>
      <c r="J37" s="1483">
        <v>123456</v>
      </c>
      <c r="K37" s="1483">
        <v>123456</v>
      </c>
    </row>
    <row r="38" spans="1:11" ht="14.1" customHeight="1">
      <c r="B38" s="1102" t="s">
        <v>228</v>
      </c>
      <c r="D38" s="803">
        <v>2025</v>
      </c>
      <c r="E38" s="1483">
        <v>123456</v>
      </c>
      <c r="F38" s="1483">
        <v>123456</v>
      </c>
      <c r="G38" s="1483">
        <v>123456</v>
      </c>
      <c r="H38" s="1483">
        <v>123456</v>
      </c>
      <c r="I38" s="1483">
        <v>123456</v>
      </c>
      <c r="J38" s="1483">
        <v>123456</v>
      </c>
      <c r="K38" s="1483">
        <v>123456</v>
      </c>
    </row>
    <row r="39" spans="1:11" ht="14.1" customHeight="1">
      <c r="B39" s="1102"/>
      <c r="D39" s="1099"/>
      <c r="E39" s="1486"/>
      <c r="F39" s="1485"/>
      <c r="G39" s="1481"/>
      <c r="H39" s="1481"/>
      <c r="I39" s="1483"/>
      <c r="J39" s="1483"/>
      <c r="K39" s="1483"/>
    </row>
    <row r="40" spans="1:11" ht="14.1" customHeight="1">
      <c r="B40" s="1100" t="s">
        <v>229</v>
      </c>
      <c r="D40" s="803">
        <v>2024</v>
      </c>
      <c r="E40" s="1483">
        <v>123456</v>
      </c>
      <c r="F40" s="1483">
        <v>123456</v>
      </c>
      <c r="G40" s="1483">
        <v>123456</v>
      </c>
      <c r="H40" s="1483">
        <v>123456</v>
      </c>
      <c r="I40" s="1483">
        <v>123456</v>
      </c>
      <c r="J40" s="1483">
        <v>123456</v>
      </c>
      <c r="K40" s="1483">
        <v>123456</v>
      </c>
    </row>
    <row r="41" spans="1:11" ht="14.1" customHeight="1">
      <c r="B41" s="1102" t="s">
        <v>230</v>
      </c>
      <c r="D41" s="803">
        <v>2025</v>
      </c>
      <c r="E41" s="1483">
        <v>123456</v>
      </c>
      <c r="F41" s="1483">
        <v>123456</v>
      </c>
      <c r="G41" s="1483">
        <v>123456</v>
      </c>
      <c r="H41" s="1483">
        <v>123456</v>
      </c>
      <c r="I41" s="1483">
        <v>123456</v>
      </c>
      <c r="J41" s="1483">
        <v>123456</v>
      </c>
      <c r="K41" s="1483">
        <v>123456</v>
      </c>
    </row>
    <row r="42" spans="1:11" ht="14.1" customHeight="1">
      <c r="B42" s="1102"/>
      <c r="D42" s="1099"/>
      <c r="E42" s="1486"/>
      <c r="F42" s="1485"/>
      <c r="G42" s="1481"/>
      <c r="H42" s="1481"/>
      <c r="I42" s="1483"/>
      <c r="J42" s="1483"/>
      <c r="K42" s="1483"/>
    </row>
    <row r="43" spans="1:11" ht="14.1" customHeight="1">
      <c r="B43" s="1094" t="s">
        <v>685</v>
      </c>
      <c r="C43" s="1095"/>
      <c r="D43" s="803">
        <v>2024</v>
      </c>
      <c r="E43" s="1487">
        <v>123456</v>
      </c>
      <c r="F43" s="1487">
        <v>123456</v>
      </c>
      <c r="G43" s="1487">
        <v>123456</v>
      </c>
      <c r="H43" s="1487">
        <v>123456</v>
      </c>
      <c r="I43" s="1487">
        <v>123456</v>
      </c>
      <c r="J43" s="1487">
        <v>123456</v>
      </c>
      <c r="K43" s="1487">
        <v>123456</v>
      </c>
    </row>
    <row r="44" spans="1:11" ht="14.1" customHeight="1">
      <c r="B44" s="1097" t="s">
        <v>686</v>
      </c>
      <c r="C44" s="1098"/>
      <c r="D44" s="803">
        <v>2025</v>
      </c>
      <c r="E44" s="1484">
        <v>123456</v>
      </c>
      <c r="F44" s="1484">
        <v>123456</v>
      </c>
      <c r="G44" s="1484">
        <v>123456</v>
      </c>
      <c r="H44" s="1484">
        <v>123456</v>
      </c>
      <c r="I44" s="1484">
        <v>123456</v>
      </c>
      <c r="J44" s="1484">
        <v>123456</v>
      </c>
      <c r="K44" s="1484">
        <v>123456</v>
      </c>
    </row>
    <row r="45" spans="1:11" ht="14.1" customHeight="1">
      <c r="A45" s="1096"/>
      <c r="B45" s="1097"/>
      <c r="C45" s="1099"/>
      <c r="D45" s="1099"/>
      <c r="E45" s="1486"/>
      <c r="F45" s="1485"/>
      <c r="G45" s="1481"/>
      <c r="H45" s="1481"/>
      <c r="I45" s="1483"/>
      <c r="J45" s="1483"/>
      <c r="K45" s="1483"/>
    </row>
    <row r="46" spans="1:11" ht="14.1" customHeight="1">
      <c r="B46" s="1100" t="s">
        <v>687</v>
      </c>
      <c r="C46" s="1101"/>
      <c r="D46" s="803">
        <v>2024</v>
      </c>
      <c r="E46" s="1483">
        <v>123456</v>
      </c>
      <c r="F46" s="1483">
        <v>123456</v>
      </c>
      <c r="G46" s="1483">
        <v>123456</v>
      </c>
      <c r="H46" s="1483">
        <v>123456</v>
      </c>
      <c r="I46" s="1483">
        <v>123456</v>
      </c>
      <c r="J46" s="1483">
        <v>123456</v>
      </c>
      <c r="K46" s="1483">
        <v>123456</v>
      </c>
    </row>
    <row r="47" spans="1:11" ht="14.1" customHeight="1">
      <c r="B47" s="1102" t="s">
        <v>682</v>
      </c>
      <c r="C47" s="1099"/>
      <c r="D47" s="803">
        <v>2025</v>
      </c>
      <c r="E47" s="1483">
        <v>123456</v>
      </c>
      <c r="F47" s="1483">
        <v>123456</v>
      </c>
      <c r="G47" s="1483">
        <v>123456</v>
      </c>
      <c r="H47" s="1483">
        <v>123456</v>
      </c>
      <c r="I47" s="1483">
        <v>123456</v>
      </c>
      <c r="J47" s="1483">
        <v>123456</v>
      </c>
      <c r="K47" s="1483">
        <v>123456</v>
      </c>
    </row>
    <row r="48" spans="1:11" ht="12.95" customHeight="1">
      <c r="B48" s="1102"/>
      <c r="C48" s="1099"/>
      <c r="D48" s="1099"/>
      <c r="E48" s="1486"/>
      <c r="F48" s="1485"/>
      <c r="G48" s="1481"/>
      <c r="H48" s="1481"/>
      <c r="I48" s="1483"/>
      <c r="J48" s="1483"/>
      <c r="K48" s="1483"/>
    </row>
    <row r="49" spans="2:11" ht="14.1" customHeight="1">
      <c r="B49" s="1103" t="s">
        <v>702</v>
      </c>
      <c r="C49" s="1099"/>
      <c r="D49" s="803">
        <v>2024</v>
      </c>
      <c r="E49" s="1483">
        <v>123456</v>
      </c>
      <c r="F49" s="1483">
        <v>123456</v>
      </c>
      <c r="G49" s="1483">
        <v>123456</v>
      </c>
      <c r="H49" s="1483">
        <v>123456</v>
      </c>
      <c r="I49" s="1483">
        <v>123456</v>
      </c>
      <c r="J49" s="1483">
        <v>123456</v>
      </c>
      <c r="K49" s="1483">
        <v>123456</v>
      </c>
    </row>
    <row r="50" spans="2:11" ht="14.1" customHeight="1">
      <c r="B50" s="1103"/>
      <c r="C50" s="1099"/>
      <c r="D50" s="803">
        <v>2025</v>
      </c>
      <c r="E50" s="1483">
        <v>123456</v>
      </c>
      <c r="F50" s="1483">
        <v>123456</v>
      </c>
      <c r="G50" s="1483">
        <v>123456</v>
      </c>
      <c r="H50" s="1483">
        <v>123456</v>
      </c>
      <c r="I50" s="1483">
        <v>123456</v>
      </c>
      <c r="J50" s="1483">
        <v>123456</v>
      </c>
      <c r="K50" s="1483">
        <v>123456</v>
      </c>
    </row>
    <row r="51" spans="2:11" ht="14.1" customHeight="1">
      <c r="B51" s="1103"/>
      <c r="C51" s="1099"/>
      <c r="D51" s="1099"/>
      <c r="E51" s="1483"/>
      <c r="F51" s="1483"/>
      <c r="G51" s="1483"/>
      <c r="H51" s="1483"/>
      <c r="I51" s="1483"/>
      <c r="J51" s="1483"/>
      <c r="K51" s="1483"/>
    </row>
    <row r="52" spans="2:11" ht="14.1" customHeight="1">
      <c r="B52" s="1103" t="s">
        <v>703</v>
      </c>
      <c r="C52" s="1099"/>
      <c r="D52" s="803">
        <v>2024</v>
      </c>
      <c r="E52" s="1483">
        <v>123456</v>
      </c>
      <c r="F52" s="1483">
        <v>123456</v>
      </c>
      <c r="G52" s="1483">
        <v>123456</v>
      </c>
      <c r="H52" s="1483">
        <v>123456</v>
      </c>
      <c r="I52" s="1483">
        <v>123456</v>
      </c>
      <c r="J52" s="1483">
        <v>123456</v>
      </c>
      <c r="K52" s="1483">
        <v>123456</v>
      </c>
    </row>
    <row r="53" spans="2:11" ht="14.1" customHeight="1">
      <c r="B53" s="1105"/>
      <c r="C53" s="1099"/>
      <c r="D53" s="803">
        <v>2025</v>
      </c>
      <c r="E53" s="1483">
        <v>123456</v>
      </c>
      <c r="F53" s="1483">
        <v>123456</v>
      </c>
      <c r="G53" s="1483">
        <v>123456</v>
      </c>
      <c r="H53" s="1483">
        <v>123456</v>
      </c>
      <c r="I53" s="1483">
        <v>123456</v>
      </c>
      <c r="J53" s="1483">
        <v>123456</v>
      </c>
      <c r="K53" s="1483">
        <v>123456</v>
      </c>
    </row>
    <row r="54" spans="2:11" ht="14.1" customHeight="1">
      <c r="B54" s="1105"/>
      <c r="C54" s="1099"/>
      <c r="D54" s="803"/>
      <c r="E54" s="1486"/>
      <c r="F54" s="1485"/>
      <c r="G54" s="1481"/>
      <c r="H54" s="1481"/>
      <c r="I54" s="1483"/>
      <c r="J54" s="1483"/>
      <c r="K54" s="1483"/>
    </row>
    <row r="55" spans="2:11" ht="14.1" customHeight="1">
      <c r="B55" s="1100" t="s">
        <v>688</v>
      </c>
      <c r="D55" s="803">
        <v>2024</v>
      </c>
      <c r="E55" s="1483">
        <v>123456</v>
      </c>
      <c r="F55" s="1483">
        <v>123456</v>
      </c>
      <c r="G55" s="1483">
        <v>123456</v>
      </c>
      <c r="H55" s="1483">
        <v>123456</v>
      </c>
      <c r="I55" s="1483">
        <v>123456</v>
      </c>
      <c r="J55" s="1483">
        <v>123456</v>
      </c>
      <c r="K55" s="1483">
        <v>123456</v>
      </c>
    </row>
    <row r="56" spans="2:11" ht="14.1" customHeight="1">
      <c r="B56" s="1102" t="s">
        <v>684</v>
      </c>
      <c r="D56" s="803">
        <v>2025</v>
      </c>
      <c r="E56" s="1483">
        <v>123456</v>
      </c>
      <c r="F56" s="1483">
        <v>123456</v>
      </c>
      <c r="G56" s="1483">
        <v>123456</v>
      </c>
      <c r="H56" s="1483">
        <v>123456</v>
      </c>
      <c r="I56" s="1483">
        <v>123456</v>
      </c>
      <c r="J56" s="1483">
        <v>123456</v>
      </c>
      <c r="K56" s="1483">
        <v>123456</v>
      </c>
    </row>
    <row r="57" spans="2:11" ht="12.95" customHeight="1">
      <c r="B57" s="1102"/>
      <c r="D57" s="1099"/>
      <c r="E57" s="1483"/>
      <c r="F57" s="1485"/>
      <c r="G57" s="1481"/>
      <c r="H57" s="1481"/>
      <c r="I57" s="1483"/>
      <c r="J57" s="1483"/>
      <c r="K57" s="1483"/>
    </row>
    <row r="58" spans="2:11" ht="14.1" customHeight="1">
      <c r="B58" s="1103" t="s">
        <v>702</v>
      </c>
      <c r="C58" s="1099"/>
      <c r="D58" s="803">
        <v>2024</v>
      </c>
      <c r="E58" s="1483">
        <v>123456</v>
      </c>
      <c r="F58" s="1483">
        <v>123456</v>
      </c>
      <c r="G58" s="1483">
        <v>123456</v>
      </c>
      <c r="H58" s="1483">
        <v>123456</v>
      </c>
      <c r="I58" s="1483">
        <v>123456</v>
      </c>
      <c r="J58" s="1483">
        <v>123456</v>
      </c>
      <c r="K58" s="1483">
        <v>123456</v>
      </c>
    </row>
    <row r="59" spans="2:11" ht="14.1" customHeight="1">
      <c r="B59" s="1103"/>
      <c r="C59" s="1099"/>
      <c r="D59" s="803">
        <v>2025</v>
      </c>
      <c r="E59" s="1483">
        <v>123456</v>
      </c>
      <c r="F59" s="1483">
        <v>123456</v>
      </c>
      <c r="G59" s="1483">
        <v>123456</v>
      </c>
      <c r="H59" s="1483">
        <v>123456</v>
      </c>
      <c r="I59" s="1483">
        <v>123456</v>
      </c>
      <c r="J59" s="1483">
        <v>123456</v>
      </c>
      <c r="K59" s="1483">
        <v>123456</v>
      </c>
    </row>
    <row r="60" spans="2:11" ht="14.1" customHeight="1">
      <c r="B60" s="1103"/>
      <c r="C60" s="1099"/>
      <c r="D60" s="1099"/>
      <c r="E60" s="1483"/>
      <c r="F60" s="1483"/>
      <c r="G60" s="1483"/>
      <c r="H60" s="1483"/>
      <c r="I60" s="1483"/>
      <c r="J60" s="1483"/>
      <c r="K60" s="1483"/>
    </row>
    <row r="61" spans="2:11" ht="14.1" customHeight="1">
      <c r="B61" s="1103" t="s">
        <v>703</v>
      </c>
      <c r="C61" s="1099"/>
      <c r="D61" s="803">
        <v>2024</v>
      </c>
      <c r="E61" s="1483">
        <v>123456</v>
      </c>
      <c r="F61" s="1483">
        <v>123456</v>
      </c>
      <c r="G61" s="1483">
        <v>123456</v>
      </c>
      <c r="H61" s="1483">
        <v>123456</v>
      </c>
      <c r="I61" s="1483">
        <v>123456</v>
      </c>
      <c r="J61" s="1483">
        <v>123456</v>
      </c>
      <c r="K61" s="1483">
        <v>123456</v>
      </c>
    </row>
    <row r="62" spans="2:11" ht="14.1" customHeight="1">
      <c r="B62" s="1103"/>
      <c r="C62" s="1099"/>
      <c r="D62" s="803">
        <v>2025</v>
      </c>
      <c r="E62" s="1483">
        <v>123456</v>
      </c>
      <c r="F62" s="1483">
        <v>123456</v>
      </c>
      <c r="G62" s="1483">
        <v>123456</v>
      </c>
      <c r="H62" s="1483">
        <v>123456</v>
      </c>
      <c r="I62" s="1483">
        <v>123456</v>
      </c>
      <c r="J62" s="1483">
        <v>123456</v>
      </c>
      <c r="K62" s="1483">
        <v>123456</v>
      </c>
    </row>
    <row r="63" spans="2:11" ht="14.1" customHeight="1">
      <c r="B63" s="1103"/>
      <c r="C63" s="1099"/>
      <c r="D63" s="1099"/>
      <c r="E63" s="1483"/>
      <c r="F63" s="1483"/>
      <c r="G63" s="1483"/>
      <c r="H63" s="1483"/>
      <c r="I63" s="1483"/>
      <c r="J63" s="1483"/>
      <c r="K63" s="1483"/>
    </row>
    <row r="64" spans="2:11" ht="14.1" customHeight="1">
      <c r="B64" s="1103" t="s">
        <v>704</v>
      </c>
      <c r="C64" s="1099"/>
      <c r="D64" s="803">
        <v>2024</v>
      </c>
      <c r="E64" s="1483">
        <v>123456</v>
      </c>
      <c r="F64" s="1483">
        <v>123456</v>
      </c>
      <c r="G64" s="1483">
        <v>123456</v>
      </c>
      <c r="H64" s="1483">
        <v>123456</v>
      </c>
      <c r="I64" s="1483">
        <v>123456</v>
      </c>
      <c r="J64" s="1483">
        <v>123456</v>
      </c>
      <c r="K64" s="1483">
        <v>123456</v>
      </c>
    </row>
    <row r="65" spans="1:12" ht="14.1" customHeight="1">
      <c r="B65" s="1103"/>
      <c r="C65" s="1099"/>
      <c r="D65" s="803">
        <v>2025</v>
      </c>
      <c r="E65" s="1483">
        <v>123456</v>
      </c>
      <c r="F65" s="1483">
        <v>123456</v>
      </c>
      <c r="G65" s="1483">
        <v>123456</v>
      </c>
      <c r="H65" s="1483">
        <v>123456</v>
      </c>
      <c r="I65" s="1483">
        <v>123456</v>
      </c>
      <c r="J65" s="1483">
        <v>123456</v>
      </c>
      <c r="K65" s="1483">
        <v>123456</v>
      </c>
    </row>
    <row r="66" spans="1:12" ht="14.1" customHeight="1">
      <c r="B66" s="1103"/>
      <c r="C66" s="1099"/>
      <c r="D66" s="1099"/>
      <c r="E66" s="1486"/>
      <c r="F66" s="1485"/>
      <c r="G66" s="1481"/>
      <c r="H66" s="1481"/>
      <c r="I66" s="1483"/>
      <c r="J66" s="1483"/>
      <c r="K66" s="1483"/>
    </row>
    <row r="67" spans="1:12" ht="14.1" customHeight="1">
      <c r="B67" s="1100" t="s">
        <v>705</v>
      </c>
      <c r="D67" s="803">
        <v>2024</v>
      </c>
      <c r="E67" s="1483">
        <v>123456</v>
      </c>
      <c r="F67" s="1483">
        <v>123456</v>
      </c>
      <c r="G67" s="1483">
        <v>123456</v>
      </c>
      <c r="H67" s="1483">
        <v>123456</v>
      </c>
      <c r="I67" s="1483">
        <v>123456</v>
      </c>
      <c r="J67" s="1483">
        <v>123456</v>
      </c>
      <c r="K67" s="1483">
        <v>123456</v>
      </c>
    </row>
    <row r="68" spans="1:12" ht="14.1" customHeight="1">
      <c r="B68" s="1102" t="s">
        <v>226</v>
      </c>
      <c r="D68" s="803">
        <v>2025</v>
      </c>
      <c r="E68" s="1483">
        <v>123456</v>
      </c>
      <c r="F68" s="1483">
        <v>123456</v>
      </c>
      <c r="G68" s="1483">
        <v>123456</v>
      </c>
      <c r="H68" s="1483">
        <v>123456</v>
      </c>
      <c r="I68" s="1483">
        <v>123456</v>
      </c>
      <c r="J68" s="1483">
        <v>123456</v>
      </c>
      <c r="K68" s="1483">
        <v>123456</v>
      </c>
    </row>
    <row r="69" spans="1:12" ht="14.1" customHeight="1">
      <c r="B69" s="1102"/>
      <c r="D69" s="1099"/>
      <c r="E69" s="1486"/>
      <c r="F69" s="1485"/>
      <c r="G69" s="1481"/>
      <c r="H69" s="1481"/>
      <c r="I69" s="1483"/>
      <c r="J69" s="1483"/>
      <c r="K69" s="1483"/>
    </row>
    <row r="70" spans="1:12" ht="14.1" customHeight="1">
      <c r="B70" s="1100" t="s">
        <v>706</v>
      </c>
      <c r="D70" s="803">
        <v>2024</v>
      </c>
      <c r="E70" s="1483">
        <v>123456</v>
      </c>
      <c r="F70" s="1483">
        <v>123456</v>
      </c>
      <c r="G70" s="1483">
        <v>123456</v>
      </c>
      <c r="H70" s="1483">
        <v>123456</v>
      </c>
      <c r="I70" s="1483">
        <v>123456</v>
      </c>
      <c r="J70" s="1483">
        <v>123456</v>
      </c>
      <c r="K70" s="1483">
        <v>123456</v>
      </c>
    </row>
    <row r="71" spans="1:12" ht="14.1" customHeight="1">
      <c r="B71" s="1102" t="s">
        <v>228</v>
      </c>
      <c r="D71" s="803">
        <v>2025</v>
      </c>
      <c r="E71" s="1483">
        <v>123456</v>
      </c>
      <c r="F71" s="1483">
        <v>123456</v>
      </c>
      <c r="G71" s="1483">
        <v>123456</v>
      </c>
      <c r="H71" s="1483">
        <v>123456</v>
      </c>
      <c r="I71" s="1483">
        <v>123456</v>
      </c>
      <c r="J71" s="1483">
        <v>123456</v>
      </c>
      <c r="K71" s="1483">
        <v>123456</v>
      </c>
    </row>
    <row r="72" spans="1:12" ht="14.1" customHeight="1">
      <c r="B72" s="1102"/>
      <c r="E72" s="1486"/>
      <c r="F72" s="1485"/>
      <c r="G72" s="1481"/>
      <c r="H72" s="1481"/>
      <c r="I72" s="1483"/>
      <c r="J72" s="1483"/>
      <c r="K72" s="1483"/>
    </row>
    <row r="73" spans="1:12" ht="14.1" customHeight="1">
      <c r="B73" s="1100" t="s">
        <v>229</v>
      </c>
      <c r="D73" s="803">
        <v>2024</v>
      </c>
      <c r="E73" s="1483">
        <v>123456</v>
      </c>
      <c r="F73" s="1483">
        <v>123456</v>
      </c>
      <c r="G73" s="1483">
        <v>123456</v>
      </c>
      <c r="H73" s="1483">
        <v>123456</v>
      </c>
      <c r="I73" s="1483">
        <v>123456</v>
      </c>
      <c r="J73" s="1483">
        <v>123456</v>
      </c>
      <c r="K73" s="1483">
        <v>123456</v>
      </c>
    </row>
    <row r="74" spans="1:12" ht="14.1" customHeight="1">
      <c r="B74" s="1102" t="s">
        <v>230</v>
      </c>
      <c r="D74" s="803">
        <v>2025</v>
      </c>
      <c r="E74" s="1483">
        <v>123456</v>
      </c>
      <c r="F74" s="1483">
        <v>123456</v>
      </c>
      <c r="G74" s="1483">
        <v>123456</v>
      </c>
      <c r="H74" s="1483">
        <v>123456</v>
      </c>
      <c r="I74" s="1483">
        <v>123456</v>
      </c>
      <c r="J74" s="1483">
        <v>123456</v>
      </c>
      <c r="K74" s="1483">
        <v>123456</v>
      </c>
    </row>
    <row r="75" spans="1:12" ht="8.25" customHeight="1" thickBot="1">
      <c r="A75" s="1106"/>
      <c r="B75" s="1106"/>
      <c r="C75" s="1106"/>
      <c r="D75" s="1106"/>
      <c r="E75" s="1106"/>
      <c r="F75" s="1107"/>
      <c r="G75" s="1106"/>
      <c r="H75" s="1106"/>
      <c r="I75" s="1108"/>
      <c r="J75" s="1108"/>
      <c r="K75" s="1108"/>
      <c r="L75" s="1108"/>
    </row>
    <row r="76" spans="1:12" ht="15.2" customHeight="1" thickTop="1">
      <c r="A76" s="1104"/>
      <c r="B76" s="1104"/>
      <c r="C76" s="1109"/>
      <c r="D76" s="1109"/>
      <c r="H76" s="1096"/>
      <c r="J76" s="1109"/>
      <c r="K76" s="1110"/>
      <c r="L76" s="1111" t="s">
        <v>691</v>
      </c>
    </row>
    <row r="77" spans="1:12" ht="15.2" customHeight="1">
      <c r="A77" s="1104"/>
      <c r="B77" s="1104"/>
      <c r="C77" s="1109"/>
      <c r="D77" s="1109"/>
      <c r="J77" s="1109"/>
      <c r="K77" s="1112"/>
      <c r="L77" s="1113" t="s">
        <v>692</v>
      </c>
    </row>
    <row r="78" spans="1:12" ht="8.1" customHeight="1">
      <c r="A78" s="1104"/>
      <c r="B78" s="1104"/>
      <c r="C78" s="1104"/>
      <c r="D78" s="1104"/>
      <c r="E78" s="1104"/>
      <c r="F78" s="1114"/>
      <c r="G78" s="1104"/>
    </row>
    <row r="79" spans="1:12" ht="14.1" customHeight="1">
      <c r="A79" s="1104"/>
      <c r="B79" s="22" t="s">
        <v>2</v>
      </c>
      <c r="C79" s="1109"/>
      <c r="D79" s="1109"/>
      <c r="E79" s="1109"/>
      <c r="F79" s="1114"/>
      <c r="G79" s="1104"/>
    </row>
    <row r="80" spans="1:12" ht="14.1" customHeight="1">
      <c r="A80" s="1115" t="s">
        <v>3</v>
      </c>
      <c r="B80" s="825" t="s">
        <v>237</v>
      </c>
      <c r="C80" s="1109"/>
      <c r="D80" s="1109"/>
      <c r="E80" s="1109"/>
      <c r="F80" s="1114"/>
      <c r="G80" s="1104"/>
    </row>
    <row r="81" spans="1:12" ht="14.1" customHeight="1">
      <c r="A81" s="1116"/>
      <c r="B81" s="24" t="s">
        <v>693</v>
      </c>
      <c r="C81" s="1109"/>
      <c r="D81" s="1109"/>
      <c r="E81" s="1109"/>
      <c r="F81" s="1114"/>
      <c r="G81" s="1104"/>
    </row>
    <row r="82" spans="1:12" ht="14.1" customHeight="1">
      <c r="A82" s="1116"/>
      <c r="B82" s="24"/>
      <c r="C82" s="1109"/>
      <c r="D82" s="1109"/>
      <c r="E82" s="1109"/>
      <c r="F82" s="1114"/>
      <c r="G82" s="1104"/>
    </row>
    <row r="83" spans="1:12" ht="14.1" customHeight="1">
      <c r="A83" s="1117" t="s">
        <v>4</v>
      </c>
      <c r="B83" s="825" t="s">
        <v>707</v>
      </c>
      <c r="C83" s="1118"/>
      <c r="D83" s="1118"/>
      <c r="E83" s="1118"/>
    </row>
    <row r="84" spans="1:12" ht="14.1" customHeight="1">
      <c r="B84" s="24" t="s">
        <v>708</v>
      </c>
      <c r="C84" s="1118"/>
      <c r="D84" s="1118"/>
      <c r="E84" s="1118"/>
    </row>
    <row r="86" spans="1:12" ht="16.350000000000001" customHeight="1">
      <c r="B86" s="778" t="s">
        <v>698</v>
      </c>
      <c r="C86" s="1086" t="s">
        <v>1361</v>
      </c>
      <c r="D86" s="1086"/>
      <c r="E86" s="1086"/>
    </row>
    <row r="87" spans="1:12" ht="16.350000000000001" customHeight="1">
      <c r="B87" s="781" t="s">
        <v>699</v>
      </c>
      <c r="C87" s="1087" t="s">
        <v>1362</v>
      </c>
      <c r="D87" s="1087"/>
      <c r="E87" s="1087"/>
    </row>
    <row r="88" spans="1:12" ht="8.25" customHeight="1" thickBot="1">
      <c r="A88" s="1088"/>
      <c r="B88" s="1088"/>
      <c r="C88" s="1088"/>
      <c r="D88" s="1088"/>
      <c r="E88" s="1088"/>
      <c r="F88" s="1089"/>
      <c r="G88" s="1088"/>
      <c r="H88" s="1090"/>
      <c r="K88" s="1090"/>
      <c r="L88" s="1090"/>
    </row>
    <row r="89" spans="1:12" ht="54" customHeight="1" thickBot="1">
      <c r="A89" s="7"/>
      <c r="B89" s="2651" t="s">
        <v>700</v>
      </c>
      <c r="C89" s="2660"/>
      <c r="D89" s="788" t="s">
        <v>239</v>
      </c>
      <c r="E89" s="789" t="s">
        <v>1057</v>
      </c>
      <c r="F89" s="790" t="s">
        <v>1059</v>
      </c>
      <c r="G89" s="790" t="s">
        <v>1058</v>
      </c>
      <c r="H89" s="790" t="s">
        <v>1063</v>
      </c>
      <c r="I89" s="791" t="s">
        <v>1064</v>
      </c>
      <c r="J89" s="791" t="s">
        <v>1061</v>
      </c>
      <c r="K89" s="791" t="s">
        <v>1062</v>
      </c>
      <c r="L89" s="1090"/>
    </row>
    <row r="90" spans="1:12" ht="6.75" customHeight="1">
      <c r="B90" s="1091"/>
      <c r="C90" s="1091"/>
      <c r="D90" s="1091"/>
      <c r="E90" s="1091"/>
      <c r="F90" s="1092"/>
      <c r="G90" s="1093"/>
      <c r="H90" s="1093"/>
    </row>
    <row r="91" spans="1:12" ht="15.2" customHeight="1">
      <c r="B91" s="1094" t="s">
        <v>689</v>
      </c>
      <c r="C91" s="1095"/>
      <c r="D91" s="803">
        <v>2024</v>
      </c>
      <c r="E91" s="1487">
        <v>123456</v>
      </c>
      <c r="F91" s="1487">
        <v>123456</v>
      </c>
      <c r="G91" s="1487">
        <v>123456</v>
      </c>
      <c r="H91" s="1487">
        <v>123456</v>
      </c>
      <c r="I91" s="1487">
        <v>123456</v>
      </c>
      <c r="J91" s="1487">
        <v>123456</v>
      </c>
      <c r="K91" s="1487">
        <v>123456</v>
      </c>
    </row>
    <row r="92" spans="1:12" ht="15.2" customHeight="1">
      <c r="B92" s="1097" t="s">
        <v>690</v>
      </c>
      <c r="C92" s="1098"/>
      <c r="D92" s="803">
        <v>2025</v>
      </c>
      <c r="E92" s="1487">
        <v>123456</v>
      </c>
      <c r="F92" s="1487">
        <v>123456</v>
      </c>
      <c r="G92" s="1487">
        <v>123456</v>
      </c>
      <c r="H92" s="1487">
        <v>123456</v>
      </c>
      <c r="I92" s="1487">
        <v>123456</v>
      </c>
      <c r="J92" s="1487">
        <v>123456</v>
      </c>
      <c r="K92" s="1487">
        <v>123456</v>
      </c>
    </row>
    <row r="93" spans="1:12" ht="15.2" customHeight="1">
      <c r="B93" s="1097"/>
      <c r="C93" s="1099"/>
      <c r="D93" s="1099"/>
      <c r="E93" s="1486"/>
      <c r="F93" s="1485"/>
      <c r="G93" s="1481"/>
      <c r="H93" s="1481"/>
      <c r="I93" s="1483"/>
      <c r="J93" s="1483"/>
      <c r="K93" s="1483"/>
    </row>
    <row r="94" spans="1:12" ht="15.2" customHeight="1">
      <c r="B94" s="1100" t="s">
        <v>687</v>
      </c>
      <c r="C94" s="1101"/>
      <c r="D94" s="803">
        <v>2024</v>
      </c>
      <c r="E94" s="1483">
        <v>123456</v>
      </c>
      <c r="F94" s="1483">
        <v>123456</v>
      </c>
      <c r="G94" s="1483">
        <v>123456</v>
      </c>
      <c r="H94" s="1483">
        <v>123456</v>
      </c>
      <c r="I94" s="1483">
        <v>123456</v>
      </c>
      <c r="J94" s="1483">
        <v>123456</v>
      </c>
      <c r="K94" s="1483">
        <v>123456</v>
      </c>
    </row>
    <row r="95" spans="1:12" ht="15.2" customHeight="1">
      <c r="B95" s="1102" t="s">
        <v>682</v>
      </c>
      <c r="C95" s="1099"/>
      <c r="D95" s="803">
        <v>2025</v>
      </c>
      <c r="E95" s="1483">
        <v>123456</v>
      </c>
      <c r="F95" s="1483">
        <v>123456</v>
      </c>
      <c r="G95" s="1483">
        <v>123456</v>
      </c>
      <c r="H95" s="1483">
        <v>123456</v>
      </c>
      <c r="I95" s="1483">
        <v>123456</v>
      </c>
      <c r="J95" s="1483">
        <v>123456</v>
      </c>
      <c r="K95" s="1483">
        <v>123456</v>
      </c>
    </row>
    <row r="96" spans="1:12" ht="15.2" customHeight="1">
      <c r="B96" s="1102"/>
      <c r="C96" s="1099"/>
      <c r="D96" s="1099"/>
      <c r="E96" s="1486"/>
      <c r="F96" s="1485"/>
      <c r="G96" s="1481"/>
      <c r="H96" s="1481"/>
      <c r="I96" s="1483"/>
      <c r="J96" s="1483"/>
      <c r="K96" s="1483"/>
    </row>
    <row r="97" spans="2:11" ht="15.2" customHeight="1">
      <c r="B97" s="1103" t="s">
        <v>702</v>
      </c>
      <c r="C97" s="1099"/>
      <c r="D97" s="803">
        <v>2024</v>
      </c>
      <c r="E97" s="1483">
        <v>123456</v>
      </c>
      <c r="F97" s="1483">
        <v>123456</v>
      </c>
      <c r="G97" s="1483">
        <v>123456</v>
      </c>
      <c r="H97" s="1483">
        <v>123456</v>
      </c>
      <c r="I97" s="1483">
        <v>123456</v>
      </c>
      <c r="J97" s="1483">
        <v>123456</v>
      </c>
      <c r="K97" s="1483">
        <v>123456</v>
      </c>
    </row>
    <row r="98" spans="2:11" ht="15.2" customHeight="1">
      <c r="B98" s="1103"/>
      <c r="C98" s="1099"/>
      <c r="D98" s="803">
        <v>2025</v>
      </c>
      <c r="E98" s="1483">
        <v>123456</v>
      </c>
      <c r="F98" s="1483">
        <v>123456</v>
      </c>
      <c r="G98" s="1483">
        <v>123456</v>
      </c>
      <c r="H98" s="1483">
        <v>123456</v>
      </c>
      <c r="I98" s="1483">
        <v>123456</v>
      </c>
      <c r="J98" s="1483">
        <v>123456</v>
      </c>
      <c r="K98" s="1483">
        <v>123456</v>
      </c>
    </row>
    <row r="99" spans="2:11" ht="15.2" customHeight="1">
      <c r="B99" s="1103"/>
      <c r="C99" s="1099"/>
      <c r="D99" s="1099"/>
      <c r="E99" s="1483"/>
      <c r="F99" s="1483"/>
      <c r="G99" s="1483"/>
      <c r="H99" s="1483"/>
      <c r="I99" s="1483"/>
      <c r="J99" s="1483"/>
      <c r="K99" s="1483"/>
    </row>
    <row r="100" spans="2:11" ht="15.2" customHeight="1">
      <c r="B100" s="1103" t="s">
        <v>703</v>
      </c>
      <c r="C100" s="1099"/>
      <c r="D100" s="803">
        <v>2024</v>
      </c>
      <c r="E100" s="1483">
        <v>123456</v>
      </c>
      <c r="F100" s="1483">
        <v>123456</v>
      </c>
      <c r="G100" s="1483">
        <v>123456</v>
      </c>
      <c r="H100" s="1483">
        <v>123456</v>
      </c>
      <c r="I100" s="1483">
        <v>123456</v>
      </c>
      <c r="J100" s="1483">
        <v>123456</v>
      </c>
      <c r="K100" s="1483">
        <v>123456</v>
      </c>
    </row>
    <row r="101" spans="2:11" ht="15.2" customHeight="1">
      <c r="B101" s="1105"/>
      <c r="C101" s="1099"/>
      <c r="D101" s="803">
        <v>2025</v>
      </c>
      <c r="E101" s="1483">
        <v>123456</v>
      </c>
      <c r="F101" s="1483">
        <v>123456</v>
      </c>
      <c r="G101" s="1483">
        <v>123456</v>
      </c>
      <c r="H101" s="1483">
        <v>123456</v>
      </c>
      <c r="I101" s="1483">
        <v>123456</v>
      </c>
      <c r="J101" s="1483">
        <v>123456</v>
      </c>
      <c r="K101" s="1483">
        <v>123456</v>
      </c>
    </row>
    <row r="102" spans="2:11" ht="15.2" customHeight="1">
      <c r="B102" s="1105"/>
      <c r="C102" s="1099"/>
      <c r="E102" s="1486"/>
      <c r="F102" s="1485"/>
      <c r="G102" s="1481"/>
      <c r="H102" s="1481"/>
      <c r="I102" s="1483"/>
      <c r="J102" s="1483"/>
      <c r="K102" s="1483"/>
    </row>
    <row r="103" spans="2:11" ht="15.2" customHeight="1">
      <c r="B103" s="1100" t="s">
        <v>688</v>
      </c>
      <c r="D103" s="803">
        <v>2024</v>
      </c>
      <c r="E103" s="1483">
        <v>123456</v>
      </c>
      <c r="F103" s="1483">
        <v>123456</v>
      </c>
      <c r="G103" s="1483">
        <v>123456</v>
      </c>
      <c r="H103" s="1483">
        <v>123456</v>
      </c>
      <c r="I103" s="1483">
        <v>123456</v>
      </c>
      <c r="J103" s="1483">
        <v>123456</v>
      </c>
      <c r="K103" s="1483">
        <v>123456</v>
      </c>
    </row>
    <row r="104" spans="2:11" ht="15.2" customHeight="1">
      <c r="B104" s="1102" t="s">
        <v>684</v>
      </c>
      <c r="D104" s="803">
        <v>2025</v>
      </c>
      <c r="E104" s="1483">
        <v>123456</v>
      </c>
      <c r="F104" s="1483">
        <v>123456</v>
      </c>
      <c r="G104" s="1483">
        <v>123456</v>
      </c>
      <c r="H104" s="1483">
        <v>123456</v>
      </c>
      <c r="I104" s="1483">
        <v>123456</v>
      </c>
      <c r="J104" s="1483">
        <v>123456</v>
      </c>
      <c r="K104" s="1483">
        <v>123456</v>
      </c>
    </row>
    <row r="105" spans="2:11" ht="15.2" customHeight="1">
      <c r="B105" s="1102"/>
      <c r="E105" s="1483"/>
      <c r="F105" s="1485"/>
      <c r="G105" s="1481"/>
      <c r="H105" s="1481"/>
      <c r="I105" s="1483"/>
      <c r="J105" s="1483"/>
      <c r="K105" s="1483"/>
    </row>
    <row r="106" spans="2:11" ht="15.2" customHeight="1">
      <c r="B106" s="1103" t="s">
        <v>702</v>
      </c>
      <c r="C106" s="1099"/>
      <c r="D106" s="803">
        <v>2024</v>
      </c>
      <c r="E106" s="1483">
        <v>123456</v>
      </c>
      <c r="F106" s="1483">
        <v>123456</v>
      </c>
      <c r="G106" s="1483">
        <v>123456</v>
      </c>
      <c r="H106" s="1483">
        <v>123456</v>
      </c>
      <c r="I106" s="1483">
        <v>123456</v>
      </c>
      <c r="J106" s="1483">
        <v>123456</v>
      </c>
      <c r="K106" s="1483">
        <v>123456</v>
      </c>
    </row>
    <row r="107" spans="2:11" ht="15.2" customHeight="1">
      <c r="B107" s="1103"/>
      <c r="C107" s="1099"/>
      <c r="D107" s="803">
        <v>2025</v>
      </c>
      <c r="E107" s="1483">
        <v>123456</v>
      </c>
      <c r="F107" s="1483">
        <v>123456</v>
      </c>
      <c r="G107" s="1483">
        <v>123456</v>
      </c>
      <c r="H107" s="1483">
        <v>123456</v>
      </c>
      <c r="I107" s="1483">
        <v>123456</v>
      </c>
      <c r="J107" s="1483">
        <v>123456</v>
      </c>
      <c r="K107" s="1483">
        <v>123456</v>
      </c>
    </row>
    <row r="108" spans="2:11" ht="15.2" customHeight="1">
      <c r="B108" s="1103"/>
      <c r="C108" s="1099"/>
      <c r="D108" s="1099"/>
      <c r="E108" s="1483"/>
      <c r="F108" s="1483"/>
      <c r="G108" s="1483"/>
      <c r="H108" s="1483"/>
      <c r="I108" s="1483"/>
      <c r="J108" s="1483"/>
      <c r="K108" s="1483"/>
    </row>
    <row r="109" spans="2:11" ht="15.2" customHeight="1">
      <c r="B109" s="1103" t="s">
        <v>703</v>
      </c>
      <c r="C109" s="1099"/>
      <c r="D109" s="803">
        <v>2024</v>
      </c>
      <c r="E109" s="1483">
        <v>123456</v>
      </c>
      <c r="F109" s="1483">
        <v>123456</v>
      </c>
      <c r="G109" s="1483">
        <v>123456</v>
      </c>
      <c r="H109" s="1483">
        <v>123456</v>
      </c>
      <c r="I109" s="1483">
        <v>123456</v>
      </c>
      <c r="J109" s="1483">
        <v>123456</v>
      </c>
      <c r="K109" s="1483">
        <v>123456</v>
      </c>
    </row>
    <row r="110" spans="2:11" ht="15.2" customHeight="1">
      <c r="B110" s="1103"/>
      <c r="C110" s="1099"/>
      <c r="D110" s="803">
        <v>2025</v>
      </c>
      <c r="E110" s="1483">
        <v>123456</v>
      </c>
      <c r="F110" s="1483">
        <v>123456</v>
      </c>
      <c r="G110" s="1483">
        <v>123456</v>
      </c>
      <c r="H110" s="1483">
        <v>123456</v>
      </c>
      <c r="I110" s="1483">
        <v>123456</v>
      </c>
      <c r="J110" s="1483">
        <v>123456</v>
      </c>
      <c r="K110" s="1483">
        <v>123456</v>
      </c>
    </row>
    <row r="111" spans="2:11" ht="15.2" customHeight="1">
      <c r="B111" s="1103"/>
      <c r="C111" s="1099"/>
      <c r="D111" s="1099"/>
      <c r="E111" s="1483"/>
      <c r="F111" s="1483"/>
      <c r="G111" s="1483"/>
      <c r="H111" s="1483"/>
      <c r="I111" s="1483"/>
      <c r="J111" s="1483"/>
      <c r="K111" s="1483"/>
    </row>
    <row r="112" spans="2:11" ht="15.2" customHeight="1">
      <c r="B112" s="1103" t="s">
        <v>704</v>
      </c>
      <c r="C112" s="1099"/>
      <c r="D112" s="803">
        <v>2024</v>
      </c>
      <c r="E112" s="1483">
        <v>123456</v>
      </c>
      <c r="F112" s="1483">
        <v>123456</v>
      </c>
      <c r="G112" s="1483">
        <v>123456</v>
      </c>
      <c r="H112" s="1483">
        <v>123456</v>
      </c>
      <c r="I112" s="1483">
        <v>123456</v>
      </c>
      <c r="J112" s="1483">
        <v>123456</v>
      </c>
      <c r="K112" s="1483">
        <v>123456</v>
      </c>
    </row>
    <row r="113" spans="1:12" ht="15.2" customHeight="1">
      <c r="B113" s="1103"/>
      <c r="C113" s="1099"/>
      <c r="D113" s="803">
        <v>2025</v>
      </c>
      <c r="E113" s="1483">
        <v>123456</v>
      </c>
      <c r="F113" s="1483">
        <v>123456</v>
      </c>
      <c r="G113" s="1483">
        <v>123456</v>
      </c>
      <c r="H113" s="1483">
        <v>123456</v>
      </c>
      <c r="I113" s="1483">
        <v>123456</v>
      </c>
      <c r="J113" s="1483">
        <v>123456</v>
      </c>
      <c r="K113" s="1483">
        <v>123456</v>
      </c>
    </row>
    <row r="114" spans="1:12" ht="15.2" customHeight="1">
      <c r="B114" s="1103"/>
      <c r="C114" s="1099"/>
      <c r="D114" s="1099"/>
      <c r="E114" s="1486"/>
      <c r="F114" s="1485"/>
      <c r="G114" s="1481"/>
      <c r="H114" s="1481"/>
      <c r="I114" s="1483"/>
      <c r="J114" s="1483"/>
      <c r="K114" s="1483"/>
    </row>
    <row r="115" spans="1:12" ht="15.2" customHeight="1">
      <c r="B115" s="1100" t="s">
        <v>705</v>
      </c>
      <c r="D115" s="803">
        <v>2024</v>
      </c>
      <c r="E115" s="1483">
        <v>123456</v>
      </c>
      <c r="F115" s="1483">
        <v>123456</v>
      </c>
      <c r="G115" s="1483">
        <v>123456</v>
      </c>
      <c r="H115" s="1483">
        <v>123456</v>
      </c>
      <c r="I115" s="1483">
        <v>123456</v>
      </c>
      <c r="J115" s="1483">
        <v>123456</v>
      </c>
      <c r="K115" s="1483">
        <v>123456</v>
      </c>
    </row>
    <row r="116" spans="1:12" ht="15.2" customHeight="1">
      <c r="B116" s="1102" t="s">
        <v>226</v>
      </c>
      <c r="D116" s="803">
        <v>2025</v>
      </c>
      <c r="E116" s="1483">
        <v>123456</v>
      </c>
      <c r="F116" s="1483">
        <v>123456</v>
      </c>
      <c r="G116" s="1483">
        <v>123456</v>
      </c>
      <c r="H116" s="1483">
        <v>123456</v>
      </c>
      <c r="I116" s="1483">
        <v>123456</v>
      </c>
      <c r="J116" s="1483">
        <v>123456</v>
      </c>
      <c r="K116" s="1483">
        <v>123456</v>
      </c>
    </row>
    <row r="117" spans="1:12" ht="15.2" customHeight="1">
      <c r="B117" s="1102"/>
      <c r="E117" s="1486"/>
      <c r="F117" s="1485"/>
      <c r="G117" s="1481"/>
      <c r="H117" s="1481"/>
      <c r="I117" s="1483"/>
      <c r="J117" s="1483"/>
      <c r="K117" s="1483"/>
    </row>
    <row r="118" spans="1:12" ht="15.2" customHeight="1">
      <c r="B118" s="1100" t="s">
        <v>706</v>
      </c>
      <c r="D118" s="803">
        <v>2024</v>
      </c>
      <c r="E118" s="1483">
        <v>123456</v>
      </c>
      <c r="F118" s="1483">
        <v>123456</v>
      </c>
      <c r="G118" s="1483">
        <v>123456</v>
      </c>
      <c r="H118" s="1483">
        <v>123456</v>
      </c>
      <c r="I118" s="1483">
        <v>123456</v>
      </c>
      <c r="J118" s="1483">
        <v>123456</v>
      </c>
      <c r="K118" s="1483">
        <v>123456</v>
      </c>
    </row>
    <row r="119" spans="1:12" ht="15.2" customHeight="1">
      <c r="B119" s="1102" t="s">
        <v>228</v>
      </c>
      <c r="D119" s="803">
        <v>2025</v>
      </c>
      <c r="E119" s="1483">
        <v>123456</v>
      </c>
      <c r="F119" s="1483">
        <v>123456</v>
      </c>
      <c r="G119" s="1483">
        <v>123456</v>
      </c>
      <c r="H119" s="1483">
        <v>123456</v>
      </c>
      <c r="I119" s="1483">
        <v>123456</v>
      </c>
      <c r="J119" s="1483">
        <v>123456</v>
      </c>
      <c r="K119" s="1483">
        <v>123456</v>
      </c>
    </row>
    <row r="120" spans="1:12" ht="15.2" customHeight="1">
      <c r="B120" s="1102"/>
      <c r="E120" s="1486"/>
      <c r="F120" s="1485"/>
      <c r="G120" s="1481"/>
      <c r="H120" s="1481"/>
      <c r="I120" s="1483"/>
      <c r="J120" s="1483"/>
      <c r="K120" s="1483"/>
    </row>
    <row r="121" spans="1:12" ht="14.1" customHeight="1">
      <c r="B121" s="1100" t="s">
        <v>229</v>
      </c>
      <c r="D121" s="803">
        <v>2024</v>
      </c>
      <c r="E121" s="1483">
        <v>123456</v>
      </c>
      <c r="F121" s="1483">
        <v>123456</v>
      </c>
      <c r="G121" s="1483">
        <v>123456</v>
      </c>
      <c r="H121" s="1483">
        <v>123456</v>
      </c>
      <c r="I121" s="1483">
        <v>123456</v>
      </c>
      <c r="J121" s="1483">
        <v>123456</v>
      </c>
      <c r="K121" s="1483">
        <v>123456</v>
      </c>
    </row>
    <row r="122" spans="1:12" ht="14.1" customHeight="1">
      <c r="B122" s="1102" t="s">
        <v>230</v>
      </c>
      <c r="D122" s="803">
        <v>2025</v>
      </c>
      <c r="E122" s="1483">
        <v>123456</v>
      </c>
      <c r="F122" s="1483">
        <v>123456</v>
      </c>
      <c r="G122" s="1483">
        <v>123456</v>
      </c>
      <c r="H122" s="1483">
        <v>123456</v>
      </c>
      <c r="I122" s="1483">
        <v>123456</v>
      </c>
      <c r="J122" s="1483">
        <v>123456</v>
      </c>
      <c r="K122" s="1483">
        <v>123456</v>
      </c>
    </row>
    <row r="123" spans="1:12" ht="8.25" customHeight="1" thickBot="1">
      <c r="A123" s="1106"/>
      <c r="B123" s="1106"/>
      <c r="C123" s="1106"/>
      <c r="D123" s="1106"/>
      <c r="E123" s="1106"/>
      <c r="F123" s="1107"/>
      <c r="G123" s="1106"/>
      <c r="H123" s="1106"/>
      <c r="I123" s="1108"/>
      <c r="J123" s="1108"/>
      <c r="K123" s="1108"/>
      <c r="L123" s="1108"/>
    </row>
    <row r="124" spans="1:12" ht="15.2" customHeight="1" thickTop="1">
      <c r="A124" s="1104"/>
      <c r="B124" s="1104"/>
      <c r="C124" s="1109"/>
      <c r="D124" s="1109"/>
      <c r="H124" s="1096"/>
      <c r="J124" s="1109"/>
      <c r="K124" s="1110"/>
      <c r="L124" s="1111" t="s">
        <v>691</v>
      </c>
    </row>
    <row r="125" spans="1:12" ht="15.2" customHeight="1">
      <c r="A125" s="1104"/>
      <c r="B125" s="1104"/>
      <c r="C125" s="1109"/>
      <c r="D125" s="1109"/>
      <c r="J125" s="1109"/>
      <c r="K125" s="1112"/>
      <c r="L125" s="1113" t="s">
        <v>692</v>
      </c>
    </row>
    <row r="126" spans="1:12" ht="8.1" customHeight="1">
      <c r="A126" s="1104"/>
      <c r="B126" s="1104"/>
      <c r="C126" s="1104"/>
      <c r="D126" s="1104"/>
      <c r="E126" s="1104"/>
      <c r="F126" s="1114"/>
      <c r="G126" s="1104"/>
    </row>
    <row r="127" spans="1:12" ht="15.2" customHeight="1">
      <c r="A127" s="1104"/>
      <c r="B127" s="22" t="s">
        <v>2</v>
      </c>
      <c r="C127" s="1109"/>
      <c r="D127" s="1109"/>
      <c r="E127" s="1109"/>
      <c r="F127" s="1114"/>
      <c r="G127" s="1104"/>
    </row>
    <row r="128" spans="1:12" s="476" customFormat="1" ht="15.2" customHeight="1">
      <c r="A128" s="1082" t="s">
        <v>3</v>
      </c>
      <c r="B128" s="825" t="s">
        <v>1129</v>
      </c>
      <c r="C128" s="767"/>
      <c r="D128" s="767"/>
      <c r="E128" s="767"/>
      <c r="F128" s="765"/>
      <c r="G128" s="399"/>
    </row>
    <row r="129" spans="1:7" s="476" customFormat="1" ht="15.2" customHeight="1">
      <c r="A129" s="764"/>
      <c r="B129" s="24" t="s">
        <v>1130</v>
      </c>
      <c r="C129" s="767"/>
      <c r="D129" s="767"/>
      <c r="E129" s="767"/>
      <c r="F129" s="765"/>
      <c r="G129" s="399"/>
    </row>
    <row r="130" spans="1:7" ht="8.1" customHeight="1">
      <c r="A130" s="1116"/>
      <c r="B130" s="24"/>
      <c r="C130" s="1109"/>
      <c r="D130" s="1109"/>
      <c r="E130" s="1109"/>
      <c r="F130" s="1114"/>
      <c r="G130" s="1104"/>
    </row>
    <row r="131" spans="1:7" ht="15.2" customHeight="1">
      <c r="A131" s="1117" t="s">
        <v>4</v>
      </c>
      <c r="B131" s="825" t="s">
        <v>707</v>
      </c>
      <c r="C131" s="1118"/>
      <c r="D131" s="1118"/>
      <c r="E131" s="1118"/>
    </row>
    <row r="132" spans="1:7" ht="15.2" customHeight="1">
      <c r="B132" s="24" t="s">
        <v>708</v>
      </c>
      <c r="C132" s="1118"/>
      <c r="D132" s="1118"/>
      <c r="E132" s="1118"/>
    </row>
  </sheetData>
  <mergeCells count="2">
    <mergeCell ref="B6:C6"/>
    <mergeCell ref="B89:C89"/>
  </mergeCells>
  <pageMargins left="0.55118110236220474" right="0.55118110236220474" top="0.55118110236220474" bottom="0.55118110236220474" header="0.55118110236220474" footer="0.55118110236220474"/>
  <pageSetup paperSize="9" scale="63" fitToHeight="0" orientation="portrait" r:id="rId1"/>
  <headerFooter scaleWithDoc="0"/>
  <rowBreaks count="1" manualBreakCount="1">
    <brk id="84" max="11"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tabColor theme="4" tint="0.39997558519241921"/>
    <pageSetUpPr fitToPage="1"/>
  </sheetPr>
  <dimension ref="A1:L42"/>
  <sheetViews>
    <sheetView view="pageBreakPreview" topLeftCell="A16" zoomScale="90" zoomScaleNormal="64" zoomScaleSheetLayoutView="90" workbookViewId="0">
      <selection activeCell="H21" sqref="H21"/>
    </sheetView>
  </sheetViews>
  <sheetFormatPr defaultColWidth="9.140625" defaultRowHeight="16.5"/>
  <cols>
    <col min="1" max="1" width="2.140625" style="68" customWidth="1"/>
    <col min="2" max="2" width="11.85546875" style="68" customWidth="1"/>
    <col min="3" max="3" width="19.7109375" style="68" customWidth="1"/>
    <col min="4" max="4" width="6.5703125" style="68" customWidth="1"/>
    <col min="5" max="5" width="13.85546875" style="68" customWidth="1"/>
    <col min="6" max="6" width="13.85546875" style="609" customWidth="1"/>
    <col min="7" max="8" width="13.85546875" style="68" customWidth="1"/>
    <col min="9" max="9" width="14.28515625" style="68" customWidth="1"/>
    <col min="10" max="11" width="13.85546875" style="68" customWidth="1"/>
    <col min="12" max="12" width="1.42578125" style="68" customWidth="1"/>
    <col min="13" max="16384" width="9.140625" style="68"/>
  </cols>
  <sheetData>
    <row r="1" spans="1:12" ht="8.1" customHeight="1"/>
    <row r="2" spans="1:12" ht="8.1" customHeight="1">
      <c r="B2" s="1119"/>
      <c r="C2" s="1119"/>
      <c r="D2" s="1120"/>
      <c r="E2" s="1120"/>
      <c r="F2" s="1120"/>
    </row>
    <row r="3" spans="1:12" ht="16.350000000000001" customHeight="1">
      <c r="B3" s="778" t="s">
        <v>709</v>
      </c>
      <c r="C3" s="1121" t="s">
        <v>1363</v>
      </c>
      <c r="D3" s="1122"/>
      <c r="E3" s="1122"/>
      <c r="F3" s="1120"/>
    </row>
    <row r="4" spans="1:12" ht="16.350000000000001" customHeight="1">
      <c r="B4" s="781" t="s">
        <v>710</v>
      </c>
      <c r="C4" s="1123" t="s">
        <v>1364</v>
      </c>
      <c r="D4" s="1122"/>
      <c r="E4" s="1122"/>
      <c r="F4" s="1120"/>
    </row>
    <row r="5" spans="1:12" ht="13.15" customHeight="1" thickBot="1">
      <c r="A5" s="1124"/>
      <c r="B5" s="1124"/>
      <c r="C5" s="1124"/>
      <c r="D5" s="1125"/>
      <c r="E5" s="1125"/>
      <c r="F5" s="1125"/>
      <c r="G5" s="1124"/>
      <c r="H5" s="81"/>
      <c r="K5" s="81"/>
    </row>
    <row r="6" spans="1:12" s="476" customFormat="1" ht="54" customHeight="1" thickBot="1">
      <c r="A6" s="7"/>
      <c r="B6" s="2651" t="s">
        <v>711</v>
      </c>
      <c r="C6" s="2660"/>
      <c r="D6" s="1126"/>
      <c r="E6" s="789" t="s">
        <v>1057</v>
      </c>
      <c r="F6" s="790" t="s">
        <v>1059</v>
      </c>
      <c r="G6" s="790" t="s">
        <v>1058</v>
      </c>
      <c r="H6" s="790" t="s">
        <v>1063</v>
      </c>
      <c r="I6" s="791" t="s">
        <v>1064</v>
      </c>
      <c r="J6" s="791" t="s">
        <v>1061</v>
      </c>
      <c r="K6" s="791" t="s">
        <v>1062</v>
      </c>
      <c r="L6" s="895"/>
    </row>
    <row r="7" spans="1:12" s="476" customFormat="1" ht="16.350000000000001" customHeight="1">
      <c r="B7" s="1128"/>
      <c r="C7" s="1128"/>
      <c r="D7" s="1129"/>
      <c r="E7" s="1129"/>
      <c r="F7" s="1129"/>
      <c r="G7" s="1130"/>
      <c r="H7" s="1130"/>
      <c r="L7" s="897"/>
    </row>
    <row r="8" spans="1:12" s="476" customFormat="1" ht="15.2" customHeight="1">
      <c r="B8" s="1131" t="s">
        <v>712</v>
      </c>
      <c r="C8" s="1132"/>
      <c r="D8" s="1133"/>
      <c r="E8" s="1488"/>
      <c r="F8" s="1488"/>
      <c r="G8" s="1489"/>
      <c r="H8" s="1489"/>
      <c r="I8" s="579"/>
      <c r="J8" s="579"/>
      <c r="K8" s="579"/>
    </row>
    <row r="9" spans="1:12" s="476" customFormat="1" ht="15.2" customHeight="1">
      <c r="B9" s="1134" t="s">
        <v>713</v>
      </c>
      <c r="C9" s="1135"/>
      <c r="D9" s="1133"/>
      <c r="E9" s="1488"/>
      <c r="F9" s="1488"/>
      <c r="G9" s="1489"/>
      <c r="H9" s="1489"/>
      <c r="I9" s="579"/>
      <c r="J9" s="579"/>
      <c r="K9" s="579"/>
    </row>
    <row r="10" spans="1:12" s="476" customFormat="1" ht="8.1" customHeight="1">
      <c r="B10" s="1134"/>
      <c r="C10" s="1135"/>
      <c r="D10" s="1133"/>
      <c r="E10" s="1488"/>
      <c r="F10" s="1488"/>
      <c r="G10" s="1489"/>
      <c r="H10" s="1489"/>
      <c r="I10" s="579"/>
      <c r="J10" s="579"/>
      <c r="K10" s="579"/>
    </row>
    <row r="11" spans="1:12" s="476" customFormat="1" ht="15.2" customHeight="1">
      <c r="B11" s="1136" t="s">
        <v>714</v>
      </c>
      <c r="C11" s="1137"/>
      <c r="D11" s="1138"/>
      <c r="E11" s="1207">
        <v>123456</v>
      </c>
      <c r="F11" s="1207">
        <v>123456</v>
      </c>
      <c r="G11" s="1207">
        <v>123456</v>
      </c>
      <c r="H11" s="1207">
        <v>123456</v>
      </c>
      <c r="I11" s="1207">
        <v>123456</v>
      </c>
      <c r="J11" s="1207">
        <v>123456</v>
      </c>
      <c r="K11" s="1207">
        <v>123456</v>
      </c>
    </row>
    <row r="12" spans="1:12" s="476" customFormat="1" ht="13.5">
      <c r="B12" s="1139" t="s">
        <v>1246</v>
      </c>
      <c r="C12" s="1137"/>
      <c r="D12" s="1138"/>
      <c r="E12" s="1207"/>
      <c r="F12" s="1491"/>
      <c r="G12" s="1490"/>
      <c r="H12" s="1490"/>
      <c r="I12" s="579"/>
      <c r="J12" s="579"/>
      <c r="K12" s="579"/>
    </row>
    <row r="13" spans="1:12" s="476" customFormat="1" ht="13.5">
      <c r="B13" s="1140"/>
      <c r="C13" s="1137"/>
      <c r="D13" s="1141"/>
      <c r="E13" s="1491"/>
      <c r="F13" s="1491"/>
      <c r="G13" s="1490"/>
      <c r="H13" s="1490"/>
      <c r="I13" s="579"/>
      <c r="J13" s="579"/>
      <c r="K13" s="579"/>
    </row>
    <row r="14" spans="1:12" s="476" customFormat="1" ht="15.75">
      <c r="B14" s="1136" t="s">
        <v>715</v>
      </c>
      <c r="C14" s="1137"/>
      <c r="D14" s="1138"/>
      <c r="E14" s="1207">
        <v>123456</v>
      </c>
      <c r="F14" s="1207">
        <v>123456</v>
      </c>
      <c r="G14" s="1207">
        <v>123456</v>
      </c>
      <c r="H14" s="1207">
        <v>123456</v>
      </c>
      <c r="I14" s="1207">
        <v>123456</v>
      </c>
      <c r="J14" s="1207">
        <v>123456</v>
      </c>
      <c r="K14" s="1207">
        <v>123456</v>
      </c>
    </row>
    <row r="15" spans="1:12" s="476" customFormat="1" ht="15.2" customHeight="1">
      <c r="B15" s="1139" t="s">
        <v>716</v>
      </c>
      <c r="C15" s="1137"/>
      <c r="D15" s="1138"/>
      <c r="E15" s="1207"/>
      <c r="F15" s="672"/>
      <c r="G15" s="1490"/>
      <c r="H15" s="1490"/>
      <c r="I15" s="579"/>
      <c r="J15" s="579"/>
      <c r="K15" s="579"/>
    </row>
    <row r="16" spans="1:12" s="476" customFormat="1" ht="15.2" customHeight="1">
      <c r="B16" s="1140"/>
      <c r="C16" s="1137"/>
      <c r="D16" s="1141"/>
      <c r="E16" s="1491"/>
      <c r="F16" s="1491"/>
      <c r="G16" s="1490"/>
      <c r="H16" s="1490"/>
      <c r="I16" s="579"/>
      <c r="J16" s="579"/>
      <c r="K16" s="579"/>
    </row>
    <row r="17" spans="1:11" s="476" customFormat="1" ht="13.5">
      <c r="B17" s="1131" t="s">
        <v>717</v>
      </c>
      <c r="C17" s="1132"/>
      <c r="D17" s="1142"/>
      <c r="E17" s="579"/>
      <c r="F17" s="1488"/>
      <c r="G17" s="1489"/>
      <c r="H17" s="1489"/>
      <c r="I17" s="579"/>
      <c r="J17" s="579"/>
      <c r="K17" s="579"/>
    </row>
    <row r="18" spans="1:11" s="476" customFormat="1" ht="15.2" customHeight="1">
      <c r="B18" s="1134" t="s">
        <v>718</v>
      </c>
      <c r="C18" s="1135"/>
      <c r="D18" s="1143"/>
      <c r="E18" s="1491"/>
      <c r="F18" s="1138"/>
      <c r="G18" s="1490"/>
      <c r="H18" s="1490"/>
      <c r="I18" s="579"/>
      <c r="J18" s="579"/>
      <c r="K18" s="579"/>
    </row>
    <row r="19" spans="1:11" s="476" customFormat="1" ht="15.2" customHeight="1">
      <c r="B19" s="1134"/>
      <c r="C19" s="1135"/>
      <c r="D19" s="1133"/>
      <c r="E19" s="1488"/>
      <c r="F19" s="579"/>
      <c r="G19" s="1490"/>
      <c r="H19" s="1490"/>
      <c r="I19" s="579"/>
      <c r="J19" s="579"/>
      <c r="K19" s="579"/>
    </row>
    <row r="20" spans="1:11" s="476" customFormat="1" ht="15.75">
      <c r="B20" s="1136" t="s">
        <v>719</v>
      </c>
      <c r="C20" s="1145"/>
      <c r="D20" s="1144"/>
      <c r="E20" s="1207">
        <v>123456</v>
      </c>
      <c r="F20" s="1207">
        <v>123456</v>
      </c>
      <c r="G20" s="1207">
        <v>123456</v>
      </c>
      <c r="H20" s="1207">
        <v>123456</v>
      </c>
      <c r="I20" s="1207">
        <v>123456</v>
      </c>
      <c r="J20" s="1207">
        <v>123456</v>
      </c>
      <c r="K20" s="1207">
        <v>123456</v>
      </c>
    </row>
    <row r="21" spans="1:11" s="476" customFormat="1" ht="15.2" customHeight="1">
      <c r="B21" s="1139" t="s">
        <v>720</v>
      </c>
      <c r="C21" s="1146"/>
      <c r="E21" s="579"/>
      <c r="F21" s="1492"/>
      <c r="G21" s="1490"/>
      <c r="H21" s="1490"/>
      <c r="I21" s="579"/>
      <c r="J21" s="579"/>
      <c r="K21" s="579"/>
    </row>
    <row r="22" spans="1:11" s="476" customFormat="1" ht="15.2" customHeight="1">
      <c r="B22" s="1134"/>
      <c r="C22" s="1135"/>
      <c r="D22" s="1133"/>
      <c r="E22" s="1488"/>
      <c r="F22" s="1491"/>
      <c r="G22" s="1490"/>
      <c r="H22" s="1490"/>
      <c r="I22" s="579"/>
      <c r="J22" s="579"/>
      <c r="K22" s="579"/>
    </row>
    <row r="23" spans="1:11" s="476" customFormat="1" ht="13.5">
      <c r="B23" s="1136" t="s">
        <v>721</v>
      </c>
      <c r="C23" s="1145"/>
      <c r="D23" s="1144"/>
      <c r="E23" s="1207">
        <v>123456</v>
      </c>
      <c r="F23" s="1207">
        <v>123456</v>
      </c>
      <c r="G23" s="1207">
        <v>123456</v>
      </c>
      <c r="H23" s="1207">
        <v>123456</v>
      </c>
      <c r="I23" s="1207">
        <v>123456</v>
      </c>
      <c r="J23" s="1207">
        <v>123456</v>
      </c>
      <c r="K23" s="1207">
        <v>123456</v>
      </c>
    </row>
    <row r="24" spans="1:11" s="476" customFormat="1" ht="15.2" customHeight="1">
      <c r="B24" s="1139" t="s">
        <v>722</v>
      </c>
      <c r="C24" s="1146"/>
      <c r="D24" s="1143"/>
      <c r="E24" s="1491"/>
      <c r="F24" s="1207"/>
      <c r="G24" s="1490"/>
      <c r="H24" s="1490"/>
      <c r="I24" s="579"/>
      <c r="J24" s="579"/>
      <c r="K24" s="579"/>
    </row>
    <row r="25" spans="1:11" s="476" customFormat="1" ht="15.2" customHeight="1">
      <c r="B25" s="1134"/>
      <c r="C25" s="1135"/>
      <c r="D25" s="1133"/>
      <c r="E25" s="1488"/>
      <c r="F25" s="1493"/>
      <c r="G25" s="1490"/>
      <c r="H25" s="1490"/>
      <c r="I25" s="579"/>
      <c r="J25" s="579"/>
      <c r="K25" s="579"/>
    </row>
    <row r="26" spans="1:11">
      <c r="A26" s="476"/>
      <c r="B26" s="1136" t="s">
        <v>723</v>
      </c>
      <c r="C26" s="1145"/>
      <c r="D26" s="1144"/>
      <c r="E26" s="1207">
        <v>123456</v>
      </c>
      <c r="F26" s="1207">
        <v>123456</v>
      </c>
      <c r="G26" s="1207">
        <v>123456</v>
      </c>
      <c r="H26" s="1207">
        <v>123456</v>
      </c>
      <c r="I26" s="1207">
        <v>123456</v>
      </c>
      <c r="J26" s="1207">
        <v>123456</v>
      </c>
      <c r="K26" s="1207">
        <v>123456</v>
      </c>
    </row>
    <row r="27" spans="1:11">
      <c r="A27" s="476"/>
      <c r="B27" s="1139" t="s">
        <v>724</v>
      </c>
      <c r="C27" s="1146"/>
      <c r="D27" s="1147"/>
      <c r="E27" s="1493"/>
      <c r="F27" s="1490"/>
      <c r="G27" s="1490"/>
      <c r="H27" s="1490"/>
      <c r="I27" s="1494"/>
      <c r="J27" s="1494"/>
      <c r="K27" s="1494"/>
    </row>
    <row r="28" spans="1:11">
      <c r="A28" s="476"/>
      <c r="B28" s="1139"/>
      <c r="C28" s="1146"/>
      <c r="D28" s="1147"/>
      <c r="E28" s="1493"/>
      <c r="F28" s="1490"/>
      <c r="G28" s="1490"/>
      <c r="H28" s="1490"/>
      <c r="I28" s="1494"/>
      <c r="J28" s="1494"/>
      <c r="K28" s="1494"/>
    </row>
    <row r="29" spans="1:11" s="476" customFormat="1" ht="13.5">
      <c r="B29" s="1131" t="s">
        <v>1020</v>
      </c>
      <c r="C29" s="1132"/>
      <c r="D29" s="1142"/>
      <c r="E29" s="1207">
        <v>123456</v>
      </c>
      <c r="F29" s="1207">
        <v>123456</v>
      </c>
      <c r="G29" s="1207">
        <v>123456</v>
      </c>
      <c r="H29" s="1207">
        <v>123456</v>
      </c>
      <c r="I29" s="1207">
        <v>123456</v>
      </c>
      <c r="J29" s="1207">
        <v>123456</v>
      </c>
      <c r="K29" s="1207">
        <v>123456</v>
      </c>
    </row>
    <row r="30" spans="1:11" s="476" customFormat="1" ht="15.2" customHeight="1">
      <c r="B30" s="1134" t="s">
        <v>1019</v>
      </c>
      <c r="C30" s="1135"/>
      <c r="D30" s="1143"/>
      <c r="E30" s="1491"/>
      <c r="F30" s="1138"/>
      <c r="G30" s="1490"/>
      <c r="H30" s="1490"/>
      <c r="I30" s="579"/>
      <c r="J30" s="579"/>
      <c r="K30" s="579"/>
    </row>
    <row r="31" spans="1:11" s="476" customFormat="1" ht="15.2" customHeight="1">
      <c r="B31" s="1134"/>
      <c r="C31" s="1135"/>
      <c r="D31" s="1143"/>
      <c r="E31" s="1491"/>
      <c r="F31" s="1138"/>
      <c r="G31" s="1490"/>
      <c r="H31" s="1490"/>
      <c r="I31" s="579"/>
      <c r="J31" s="579"/>
      <c r="K31" s="579"/>
    </row>
    <row r="32" spans="1:11" s="476" customFormat="1" ht="15.2" customHeight="1">
      <c r="B32" s="1131" t="s">
        <v>1022</v>
      </c>
      <c r="C32" s="1132"/>
      <c r="D32" s="1142"/>
      <c r="E32" s="1207">
        <v>123456</v>
      </c>
      <c r="F32" s="1207">
        <v>123456</v>
      </c>
      <c r="G32" s="1207">
        <v>123456</v>
      </c>
      <c r="H32" s="1207">
        <v>123456</v>
      </c>
      <c r="I32" s="1207">
        <v>123456</v>
      </c>
      <c r="J32" s="1207">
        <v>123456</v>
      </c>
      <c r="K32" s="1207">
        <v>123456</v>
      </c>
    </row>
    <row r="33" spans="1:12" s="476" customFormat="1" ht="15.2" customHeight="1">
      <c r="B33" s="1134" t="s">
        <v>1023</v>
      </c>
      <c r="C33" s="1135"/>
      <c r="D33" s="1143"/>
      <c r="E33" s="1491"/>
      <c r="F33" s="1138"/>
      <c r="G33" s="1490"/>
      <c r="H33" s="1490"/>
      <c r="I33" s="579"/>
      <c r="J33" s="579"/>
      <c r="K33" s="579"/>
    </row>
    <row r="34" spans="1:12" ht="15.2" customHeight="1" thickBot="1">
      <c r="A34" s="1151"/>
      <c r="B34" s="1152"/>
      <c r="C34" s="1153"/>
      <c r="D34" s="1057"/>
      <c r="E34" s="1057"/>
      <c r="F34" s="1057"/>
      <c r="G34" s="1057"/>
      <c r="H34" s="1153"/>
      <c r="I34" s="1057"/>
      <c r="J34" s="1057"/>
      <c r="K34" s="1057"/>
      <c r="L34" s="1057"/>
    </row>
    <row r="35" spans="1:12" ht="15.2" customHeight="1" thickTop="1">
      <c r="A35" s="767"/>
      <c r="B35" s="1154"/>
      <c r="C35" s="1154"/>
      <c r="D35" s="1155"/>
      <c r="E35" s="1133"/>
      <c r="F35" s="68"/>
      <c r="J35" s="1133"/>
      <c r="K35" s="1155"/>
      <c r="L35" s="1081" t="s">
        <v>264</v>
      </c>
    </row>
    <row r="36" spans="1:12" ht="15.2" customHeight="1">
      <c r="A36" s="767"/>
      <c r="B36" s="1156" t="s">
        <v>1242</v>
      </c>
      <c r="C36" s="1156"/>
      <c r="D36" s="1155"/>
      <c r="E36" s="1148"/>
      <c r="F36" s="68"/>
      <c r="J36" s="1148"/>
      <c r="K36" s="1155"/>
      <c r="L36" s="769" t="s">
        <v>265</v>
      </c>
    </row>
    <row r="37" spans="1:12" ht="7.9" customHeight="1">
      <c r="B37" s="684"/>
      <c r="C37" s="684"/>
      <c r="D37" s="684"/>
      <c r="E37" s="684"/>
      <c r="F37" s="682"/>
      <c r="G37" s="684"/>
    </row>
    <row r="38" spans="1:12" ht="15.2" customHeight="1">
      <c r="A38" s="1157" t="s">
        <v>3</v>
      </c>
      <c r="B38" s="1624" t="s">
        <v>1021</v>
      </c>
      <c r="C38" s="767"/>
      <c r="F38" s="1155"/>
      <c r="G38" s="1158"/>
      <c r="H38" s="1149"/>
    </row>
    <row r="39" spans="1:12" ht="15.2" customHeight="1">
      <c r="A39" s="767"/>
      <c r="B39" s="1625" t="s">
        <v>1247</v>
      </c>
      <c r="C39" s="767"/>
      <c r="F39" s="1155"/>
      <c r="G39" s="1158"/>
      <c r="H39" s="1149"/>
    </row>
    <row r="40" spans="1:12" ht="8.25" customHeight="1"/>
    <row r="41" spans="1:12">
      <c r="A41" s="1160" t="s">
        <v>4</v>
      </c>
      <c r="B41" s="1161" t="s">
        <v>725</v>
      </c>
      <c r="C41" s="1156"/>
      <c r="D41" s="1155"/>
      <c r="E41" s="1155"/>
    </row>
    <row r="42" spans="1:12">
      <c r="B42" s="1159" t="s">
        <v>726</v>
      </c>
      <c r="C42" s="1162"/>
      <c r="D42" s="1155"/>
      <c r="E42" s="1155"/>
    </row>
  </sheetData>
  <mergeCells count="1">
    <mergeCell ref="B6:C6"/>
  </mergeCells>
  <conditionalFormatting sqref="D30:E31 D33:E33">
    <cfRule type="cellIs" dxfId="104" priority="6" stopIfTrue="1" operator="lessThan">
      <formula>0</formula>
    </cfRule>
  </conditionalFormatting>
  <conditionalFormatting sqref="E13">
    <cfRule type="cellIs" dxfId="103" priority="7" stopIfTrue="1" operator="lessThan">
      <formula>0</formula>
    </cfRule>
  </conditionalFormatting>
  <conditionalFormatting sqref="E16:F16 D18:E18">
    <cfRule type="cellIs" dxfId="102" priority="8" stopIfTrue="1" operator="lessThan">
      <formula>0</formula>
    </cfRule>
  </conditionalFormatting>
  <conditionalFormatting sqref="F12:F13">
    <cfRule type="cellIs" dxfId="101" priority="9" stopIfTrue="1" operator="lessThan">
      <formula>0</formula>
    </cfRule>
  </conditionalFormatting>
  <pageMargins left="0.55118110236220474" right="0.55118110236220474" top="0.55118110236220474" bottom="0.55118110236220474" header="0.55118110236220474" footer="0.55118110236220474"/>
  <pageSetup paperSize="9" scale="65" fitToHeight="0" orientation="portrait" r:id="rId1"/>
  <headerFooter scaleWithDoc="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tabColor theme="4" tint="0.39997558519241921"/>
    <pageSetUpPr fitToPage="1"/>
  </sheetPr>
  <dimension ref="A1:Q48"/>
  <sheetViews>
    <sheetView view="pageBreakPreview" zoomScaleNormal="160" zoomScaleSheetLayoutView="100" workbookViewId="0">
      <selection activeCell="J38" sqref="J38"/>
    </sheetView>
  </sheetViews>
  <sheetFormatPr defaultColWidth="9.140625" defaultRowHeight="16.5"/>
  <cols>
    <col min="1" max="1" width="2.85546875" style="68" customWidth="1"/>
    <col min="2" max="3" width="11.7109375" style="68" customWidth="1"/>
    <col min="4" max="4" width="7.28515625" style="68" customWidth="1"/>
    <col min="5" max="5" width="9.7109375" style="68" customWidth="1"/>
    <col min="6" max="9" width="13.85546875" style="1163" customWidth="1"/>
    <col min="10" max="10" width="15.140625" style="1163" customWidth="1"/>
    <col min="11" max="12" width="13.85546875" style="1163" customWidth="1"/>
    <col min="13" max="13" width="1.7109375" style="68" customWidth="1"/>
    <col min="14" max="15" width="9.140625" style="68"/>
    <col min="16" max="16" width="10.7109375" style="68" customWidth="1"/>
    <col min="17" max="17" width="13.42578125" style="68" customWidth="1"/>
    <col min="18" max="16384" width="9.140625" style="68"/>
  </cols>
  <sheetData>
    <row r="1" spans="1:17" ht="8.1" customHeight="1"/>
    <row r="2" spans="1:17">
      <c r="B2" s="758" t="s">
        <v>727</v>
      </c>
      <c r="C2" s="150" t="s">
        <v>1054</v>
      </c>
    </row>
    <row r="3" spans="1:17" ht="16.350000000000001" customHeight="1">
      <c r="B3" s="758"/>
      <c r="C3" s="150" t="s">
        <v>1365</v>
      </c>
      <c r="D3" s="150"/>
      <c r="E3" s="150"/>
      <c r="F3" s="1164"/>
      <c r="G3" s="1164"/>
      <c r="H3" s="1164"/>
      <c r="I3" s="1164"/>
      <c r="J3" s="1164"/>
      <c r="K3" s="1164"/>
      <c r="L3" s="1164"/>
    </row>
    <row r="4" spans="1:17" ht="16.350000000000001" customHeight="1">
      <c r="B4" s="612" t="s">
        <v>728</v>
      </c>
      <c r="C4" s="151" t="s">
        <v>1170</v>
      </c>
      <c r="D4" s="150"/>
      <c r="E4" s="150"/>
      <c r="F4" s="1164"/>
      <c r="G4" s="1164"/>
      <c r="H4" s="1164"/>
      <c r="I4" s="1164"/>
      <c r="J4" s="1164"/>
      <c r="K4" s="1164"/>
      <c r="L4" s="1164"/>
    </row>
    <row r="5" spans="1:17" ht="16.350000000000001" customHeight="1">
      <c r="C5" s="613" t="s">
        <v>1365</v>
      </c>
      <c r="D5" s="151"/>
      <c r="E5" s="151"/>
      <c r="F5" s="1164"/>
      <c r="G5" s="1164"/>
      <c r="H5" s="1164"/>
      <c r="I5" s="1164"/>
      <c r="J5" s="1164"/>
      <c r="K5" s="1164"/>
      <c r="L5" s="1164"/>
    </row>
    <row r="6" spans="1:17" ht="13.15" customHeight="1" thickBot="1">
      <c r="A6" s="782"/>
      <c r="B6" s="782"/>
      <c r="C6" s="782"/>
      <c r="D6" s="782"/>
      <c r="E6" s="782"/>
      <c r="F6" s="1165"/>
      <c r="G6" s="1165"/>
      <c r="H6" s="1165"/>
      <c r="I6" s="1165"/>
      <c r="J6" s="1165"/>
      <c r="K6" s="1165"/>
      <c r="L6" s="1165"/>
    </row>
    <row r="7" spans="1:17" s="476" customFormat="1" ht="54" customHeight="1" thickBot="1">
      <c r="A7" s="895"/>
      <c r="B7" s="2676" t="s">
        <v>729</v>
      </c>
      <c r="C7" s="2676"/>
      <c r="D7" s="2676"/>
      <c r="E7" s="1652" t="s">
        <v>239</v>
      </c>
      <c r="F7" s="789" t="s">
        <v>1057</v>
      </c>
      <c r="G7" s="790" t="s">
        <v>1059</v>
      </c>
      <c r="H7" s="790" t="s">
        <v>1058</v>
      </c>
      <c r="I7" s="790" t="s">
        <v>1063</v>
      </c>
      <c r="J7" s="791" t="s">
        <v>1064</v>
      </c>
      <c r="K7" s="791" t="s">
        <v>1061</v>
      </c>
      <c r="L7" s="791" t="s">
        <v>1062</v>
      </c>
      <c r="M7" s="1166"/>
    </row>
    <row r="8" spans="1:17" s="476" customFormat="1" ht="16.350000000000001" customHeight="1">
      <c r="B8" s="1167"/>
      <c r="C8" s="1167"/>
      <c r="D8" s="1167"/>
      <c r="E8" s="1167"/>
      <c r="F8" s="918"/>
      <c r="G8" s="918"/>
      <c r="H8" s="918"/>
      <c r="I8" s="918"/>
      <c r="J8" s="918"/>
      <c r="K8" s="918"/>
      <c r="L8" s="918"/>
    </row>
    <row r="9" spans="1:17" s="476" customFormat="1" ht="15.2" customHeight="1">
      <c r="B9" s="818" t="s">
        <v>730</v>
      </c>
      <c r="C9" s="1167"/>
      <c r="D9" s="1167"/>
      <c r="E9" s="1168">
        <v>2024</v>
      </c>
      <c r="F9" s="1495">
        <v>496</v>
      </c>
      <c r="G9" s="1495">
        <v>111</v>
      </c>
      <c r="H9" s="1495">
        <v>125</v>
      </c>
      <c r="I9" s="1495">
        <v>58</v>
      </c>
      <c r="J9" s="1495">
        <v>23</v>
      </c>
      <c r="K9" s="1495">
        <v>76</v>
      </c>
      <c r="L9" s="1495">
        <v>103</v>
      </c>
    </row>
    <row r="10" spans="1:17" s="476" customFormat="1" ht="15.2" customHeight="1">
      <c r="B10" s="1167" t="s">
        <v>731</v>
      </c>
      <c r="C10" s="1167"/>
      <c r="D10" s="1167"/>
      <c r="E10" s="1168">
        <v>2025</v>
      </c>
      <c r="F10" s="1495">
        <v>496</v>
      </c>
      <c r="G10" s="1495">
        <v>111</v>
      </c>
      <c r="H10" s="1495">
        <v>125</v>
      </c>
      <c r="I10" s="1495">
        <v>58</v>
      </c>
      <c r="J10" s="1495">
        <v>23</v>
      </c>
      <c r="K10" s="1495">
        <v>76</v>
      </c>
      <c r="L10" s="1495">
        <v>103</v>
      </c>
    </row>
    <row r="11" spans="1:17" s="476" customFormat="1" ht="15.2" customHeight="1">
      <c r="B11" s="1167"/>
      <c r="C11" s="1167"/>
      <c r="D11" s="1167"/>
      <c r="E11" s="1168"/>
      <c r="F11" s="1495"/>
      <c r="G11" s="1495"/>
      <c r="H11" s="1495"/>
      <c r="I11" s="1495"/>
      <c r="J11" s="1495"/>
      <c r="K11" s="1495"/>
      <c r="L11" s="1495"/>
    </row>
    <row r="12" spans="1:17" s="476" customFormat="1" ht="15.2" customHeight="1">
      <c r="B12" s="930" t="s">
        <v>732</v>
      </c>
      <c r="C12" s="922"/>
      <c r="D12" s="922"/>
      <c r="E12" s="1168">
        <v>2024</v>
      </c>
      <c r="F12" s="1207">
        <v>42</v>
      </c>
      <c r="G12" s="1207">
        <v>5</v>
      </c>
      <c r="H12" s="1207">
        <v>7</v>
      </c>
      <c r="I12" s="1207">
        <v>7</v>
      </c>
      <c r="J12" s="1207">
        <v>2</v>
      </c>
      <c r="K12" s="1207">
        <v>6</v>
      </c>
      <c r="L12" s="1207">
        <v>15</v>
      </c>
    </row>
    <row r="13" spans="1:17" s="476" customFormat="1" ht="15.2" customHeight="1">
      <c r="B13" s="1170" t="s">
        <v>733</v>
      </c>
      <c r="C13" s="925"/>
      <c r="D13" s="925"/>
      <c r="E13" s="1168">
        <v>2025</v>
      </c>
      <c r="F13" s="1207">
        <v>42</v>
      </c>
      <c r="G13" s="1207">
        <v>5</v>
      </c>
      <c r="H13" s="1207">
        <v>7</v>
      </c>
      <c r="I13" s="1207">
        <v>7</v>
      </c>
      <c r="J13" s="1207">
        <v>2</v>
      </c>
      <c r="K13" s="1207">
        <v>6</v>
      </c>
      <c r="L13" s="1207">
        <v>15</v>
      </c>
    </row>
    <row r="14" spans="1:17" s="476" customFormat="1" ht="8.1" customHeight="1">
      <c r="B14" s="929"/>
      <c r="C14" s="925"/>
      <c r="D14" s="925"/>
      <c r="E14" s="1171"/>
      <c r="F14" s="1207"/>
      <c r="G14" s="1207"/>
      <c r="H14" s="1207"/>
      <c r="I14" s="1207"/>
      <c r="J14" s="1207"/>
      <c r="K14" s="1207"/>
      <c r="L14" s="1207"/>
    </row>
    <row r="15" spans="1:17" s="476" customFormat="1" ht="15.75" customHeight="1">
      <c r="B15" s="1172" t="s">
        <v>188</v>
      </c>
      <c r="C15" s="925"/>
      <c r="D15" s="925"/>
      <c r="E15" s="1168">
        <v>2024</v>
      </c>
      <c r="F15" s="1207">
        <v>17</v>
      </c>
      <c r="G15" s="1207">
        <v>2</v>
      </c>
      <c r="H15" s="1207">
        <v>2</v>
      </c>
      <c r="I15" s="1207">
        <v>3</v>
      </c>
      <c r="J15" s="1207" t="s">
        <v>204</v>
      </c>
      <c r="K15" s="1207">
        <v>3</v>
      </c>
      <c r="L15" s="1207">
        <v>7</v>
      </c>
      <c r="O15" s="1173"/>
      <c r="P15" s="1173"/>
      <c r="Q15" s="1173"/>
    </row>
    <row r="16" spans="1:17" s="476" customFormat="1" ht="15.2" customHeight="1">
      <c r="B16" s="1174"/>
      <c r="C16" s="925"/>
      <c r="D16" s="925"/>
      <c r="E16" s="1168">
        <v>2025</v>
      </c>
      <c r="F16" s="1207">
        <v>42</v>
      </c>
      <c r="G16" s="1207">
        <v>5</v>
      </c>
      <c r="H16" s="1207">
        <v>7</v>
      </c>
      <c r="I16" s="1207">
        <v>7</v>
      </c>
      <c r="J16" s="1207">
        <v>2</v>
      </c>
      <c r="K16" s="1207">
        <v>6</v>
      </c>
      <c r="L16" s="1207">
        <v>15</v>
      </c>
      <c r="N16" s="1175"/>
      <c r="O16" s="1173"/>
      <c r="P16" s="1173"/>
      <c r="Q16" s="1173"/>
    </row>
    <row r="17" spans="1:17" s="476" customFormat="1" ht="15.2" customHeight="1">
      <c r="B17" s="1176"/>
      <c r="C17" s="925"/>
      <c r="D17" s="925"/>
      <c r="E17" s="925"/>
      <c r="F17" s="1207"/>
      <c r="G17" s="1207"/>
      <c r="H17" s="1207"/>
      <c r="I17" s="1207"/>
      <c r="J17" s="1207"/>
      <c r="K17" s="1207"/>
      <c r="L17" s="1207"/>
      <c r="O17" s="1173"/>
      <c r="P17" s="1173"/>
      <c r="Q17" s="1173"/>
    </row>
    <row r="18" spans="1:17" s="476" customFormat="1" ht="15.75" customHeight="1">
      <c r="B18" s="1172" t="s">
        <v>1167</v>
      </c>
      <c r="C18" s="925"/>
      <c r="D18" s="925"/>
      <c r="E18" s="1168">
        <v>2024</v>
      </c>
      <c r="F18" s="1207">
        <v>25</v>
      </c>
      <c r="G18" s="1207">
        <v>3</v>
      </c>
      <c r="H18" s="1207">
        <v>5</v>
      </c>
      <c r="I18" s="1207">
        <v>4</v>
      </c>
      <c r="J18" s="1207">
        <v>2</v>
      </c>
      <c r="K18" s="1207">
        <v>3</v>
      </c>
      <c r="L18" s="1207">
        <v>8</v>
      </c>
      <c r="O18" s="1173"/>
      <c r="P18" s="1173"/>
      <c r="Q18" s="1173"/>
    </row>
    <row r="19" spans="1:17" s="476" customFormat="1" ht="15.75" customHeight="1">
      <c r="B19" s="814"/>
      <c r="C19" s="925"/>
      <c r="D19" s="925"/>
      <c r="E19" s="1168">
        <v>2025</v>
      </c>
      <c r="F19" s="1207">
        <v>42</v>
      </c>
      <c r="G19" s="1207">
        <v>5</v>
      </c>
      <c r="H19" s="1207">
        <v>7</v>
      </c>
      <c r="I19" s="1207">
        <v>7</v>
      </c>
      <c r="J19" s="1207">
        <v>2</v>
      </c>
      <c r="K19" s="1207">
        <v>6</v>
      </c>
      <c r="L19" s="1207">
        <v>15</v>
      </c>
      <c r="O19" s="1177"/>
      <c r="P19" s="1177"/>
      <c r="Q19" s="1177"/>
    </row>
    <row r="20" spans="1:17" s="476" customFormat="1" ht="15.2" customHeight="1">
      <c r="B20" s="1167"/>
      <c r="C20" s="925"/>
      <c r="D20" s="925"/>
      <c r="E20" s="925"/>
      <c r="F20" s="1207"/>
      <c r="G20" s="1207"/>
      <c r="H20" s="1207"/>
      <c r="I20" s="1207"/>
      <c r="J20" s="1207"/>
      <c r="K20" s="1207"/>
      <c r="L20" s="1207"/>
    </row>
    <row r="21" spans="1:17" s="476" customFormat="1" ht="15.2" customHeight="1">
      <c r="B21" s="930" t="s">
        <v>734</v>
      </c>
      <c r="C21" s="1178"/>
      <c r="D21" s="1178"/>
      <c r="E21" s="1168">
        <v>2024</v>
      </c>
      <c r="F21" s="1207">
        <v>461</v>
      </c>
      <c r="G21" s="1207">
        <v>109</v>
      </c>
      <c r="H21" s="1207">
        <v>113</v>
      </c>
      <c r="I21" s="1207">
        <v>44</v>
      </c>
      <c r="J21" s="1207">
        <v>22</v>
      </c>
      <c r="K21" s="1207">
        <v>77</v>
      </c>
      <c r="L21" s="1207">
        <v>96</v>
      </c>
    </row>
    <row r="22" spans="1:17" s="476" customFormat="1" ht="15.2" customHeight="1">
      <c r="B22" s="1170" t="s">
        <v>735</v>
      </c>
      <c r="C22" s="925"/>
      <c r="D22" s="925"/>
      <c r="E22" s="1168">
        <v>2025</v>
      </c>
      <c r="F22" s="1207">
        <v>42</v>
      </c>
      <c r="G22" s="1207">
        <v>5</v>
      </c>
      <c r="H22" s="1207">
        <v>7</v>
      </c>
      <c r="I22" s="1207">
        <v>7</v>
      </c>
      <c r="J22" s="1207">
        <v>2</v>
      </c>
      <c r="K22" s="1207">
        <v>6</v>
      </c>
      <c r="L22" s="1207">
        <v>15</v>
      </c>
    </row>
    <row r="23" spans="1:17" s="476" customFormat="1" ht="8.1" customHeight="1">
      <c r="B23" s="1167"/>
      <c r="C23" s="925"/>
      <c r="D23" s="925"/>
      <c r="E23" s="925"/>
      <c r="F23" s="1207"/>
      <c r="G23" s="1207"/>
      <c r="H23" s="1207"/>
      <c r="I23" s="1207"/>
      <c r="J23" s="1207"/>
      <c r="K23" s="1207"/>
      <c r="L23" s="1207"/>
    </row>
    <row r="24" spans="1:17" s="476" customFormat="1" ht="15.2" customHeight="1">
      <c r="B24" s="1172" t="s">
        <v>188</v>
      </c>
      <c r="C24" s="925"/>
      <c r="D24" s="925"/>
      <c r="E24" s="1168">
        <v>2024</v>
      </c>
      <c r="F24" s="1207">
        <v>237</v>
      </c>
      <c r="G24" s="1207">
        <v>62</v>
      </c>
      <c r="H24" s="1207">
        <v>57</v>
      </c>
      <c r="I24" s="1207">
        <v>20</v>
      </c>
      <c r="J24" s="1207">
        <v>12</v>
      </c>
      <c r="K24" s="1207">
        <v>40</v>
      </c>
      <c r="L24" s="1207">
        <v>46</v>
      </c>
    </row>
    <row r="25" spans="1:17" s="476" customFormat="1" ht="15.2" customHeight="1">
      <c r="B25" s="1170"/>
      <c r="C25" s="925"/>
      <c r="D25" s="925"/>
      <c r="E25" s="1168">
        <v>2025</v>
      </c>
      <c r="F25" s="1207">
        <v>42</v>
      </c>
      <c r="G25" s="1207">
        <v>5</v>
      </c>
      <c r="H25" s="1207">
        <v>7</v>
      </c>
      <c r="I25" s="1207">
        <v>7</v>
      </c>
      <c r="J25" s="1207">
        <v>2</v>
      </c>
      <c r="K25" s="1207">
        <v>6</v>
      </c>
      <c r="L25" s="1207">
        <v>15</v>
      </c>
    </row>
    <row r="26" spans="1:17" s="476" customFormat="1" ht="15.2" customHeight="1">
      <c r="B26" s="1179"/>
      <c r="C26" s="925"/>
      <c r="D26" s="925"/>
      <c r="E26" s="925"/>
      <c r="F26" s="1207"/>
      <c r="G26" s="1207"/>
      <c r="H26" s="1207"/>
      <c r="I26" s="1207"/>
      <c r="J26" s="1207"/>
      <c r="K26" s="1207"/>
      <c r="L26" s="1207"/>
    </row>
    <row r="27" spans="1:17" s="476" customFormat="1" ht="15.75" customHeight="1">
      <c r="B27" s="1172" t="s">
        <v>1167</v>
      </c>
      <c r="C27" s="925"/>
      <c r="D27" s="925"/>
      <c r="E27" s="1168">
        <v>2024</v>
      </c>
      <c r="F27" s="1207">
        <v>217</v>
      </c>
      <c r="G27" s="1207">
        <v>44</v>
      </c>
      <c r="H27" s="1207">
        <v>61</v>
      </c>
      <c r="I27" s="1207">
        <v>31</v>
      </c>
      <c r="J27" s="1207">
        <v>9</v>
      </c>
      <c r="K27" s="1207">
        <v>30</v>
      </c>
      <c r="L27" s="1207">
        <v>42</v>
      </c>
    </row>
    <row r="28" spans="1:17" s="476" customFormat="1" ht="15.2" customHeight="1">
      <c r="B28" s="930"/>
      <c r="C28" s="925"/>
      <c r="D28" s="925"/>
      <c r="E28" s="1168">
        <v>2025</v>
      </c>
      <c r="F28" s="1207">
        <v>42</v>
      </c>
      <c r="G28" s="1207">
        <v>5</v>
      </c>
      <c r="H28" s="1207">
        <v>7</v>
      </c>
      <c r="I28" s="1207">
        <v>7</v>
      </c>
      <c r="J28" s="1207">
        <v>2</v>
      </c>
      <c r="K28" s="1207">
        <v>6</v>
      </c>
      <c r="L28" s="1207">
        <v>15</v>
      </c>
    </row>
    <row r="29" spans="1:17" s="476" customFormat="1" ht="15.2" customHeight="1">
      <c r="B29" s="930"/>
      <c r="C29" s="925"/>
      <c r="D29" s="925"/>
      <c r="F29" s="1180"/>
      <c r="G29" s="1180"/>
      <c r="H29" s="1180"/>
      <c r="I29" s="1180"/>
      <c r="J29" s="1180"/>
      <c r="K29" s="1180"/>
      <c r="L29" s="1180"/>
    </row>
    <row r="30" spans="1:17" ht="15.2" customHeight="1" thickBot="1">
      <c r="A30" s="815"/>
      <c r="B30" s="815"/>
      <c r="C30" s="815"/>
      <c r="D30" s="815"/>
      <c r="E30" s="815"/>
      <c r="F30" s="1181"/>
      <c r="G30" s="1181"/>
      <c r="H30" s="1181"/>
      <c r="I30" s="1181"/>
      <c r="J30" s="1181"/>
      <c r="K30" s="1181"/>
      <c r="L30" s="1181"/>
      <c r="M30" s="939"/>
    </row>
    <row r="31" spans="1:17" ht="15" customHeight="1" thickTop="1">
      <c r="B31" s="1182"/>
      <c r="C31" s="1182"/>
      <c r="D31" s="1182"/>
      <c r="E31" s="476"/>
      <c r="F31" s="766"/>
      <c r="G31" s="766"/>
      <c r="H31" s="766"/>
      <c r="I31" s="766"/>
      <c r="J31" s="766"/>
      <c r="K31" s="766"/>
      <c r="L31" s="766"/>
      <c r="M31" s="1081" t="s">
        <v>736</v>
      </c>
    </row>
    <row r="32" spans="1:17" ht="15.2" customHeight="1">
      <c r="B32" s="1182"/>
      <c r="C32" s="1182"/>
      <c r="D32" s="1182"/>
      <c r="E32" s="1182"/>
      <c r="F32" s="766"/>
      <c r="G32" s="766"/>
      <c r="H32" s="766"/>
      <c r="I32" s="766"/>
      <c r="J32" s="766"/>
      <c r="K32" s="766"/>
      <c r="L32" s="766"/>
      <c r="M32" s="769" t="s">
        <v>737</v>
      </c>
    </row>
    <row r="33" spans="1:12" ht="15.2" customHeight="1">
      <c r="A33" s="1183" t="s">
        <v>738</v>
      </c>
      <c r="B33" s="684"/>
      <c r="C33" s="684"/>
      <c r="D33" s="684"/>
      <c r="E33" s="684"/>
      <c r="F33" s="1010"/>
      <c r="G33" s="1010"/>
      <c r="H33" s="1010"/>
      <c r="I33" s="1010"/>
      <c r="J33" s="1010"/>
      <c r="K33" s="1010"/>
      <c r="L33" s="1010"/>
    </row>
    <row r="34" spans="1:12" ht="15.2" customHeight="1">
      <c r="A34" s="1184" t="s">
        <v>3</v>
      </c>
      <c r="B34" s="966" t="s">
        <v>1168</v>
      </c>
      <c r="C34" s="966"/>
      <c r="D34" s="684"/>
      <c r="E34" s="684"/>
      <c r="F34" s="1010"/>
      <c r="G34" s="1010"/>
      <c r="H34" s="1010"/>
      <c r="I34" s="1010"/>
      <c r="J34" s="1010"/>
      <c r="K34" s="1010"/>
      <c r="L34" s="1010"/>
    </row>
    <row r="35" spans="1:12" ht="15" customHeight="1">
      <c r="A35" s="682"/>
      <c r="B35" s="1185" t="s">
        <v>1169</v>
      </c>
      <c r="C35" s="1186"/>
      <c r="D35" s="684"/>
      <c r="E35" s="684"/>
      <c r="F35" s="1010"/>
      <c r="G35" s="1010"/>
      <c r="H35" s="1010"/>
      <c r="I35" s="1010"/>
      <c r="J35" s="1010"/>
      <c r="K35" s="1010"/>
      <c r="L35" s="1010"/>
    </row>
    <row r="36" spans="1:12" ht="8.1" customHeight="1">
      <c r="A36" s="682"/>
      <c r="B36" s="1185"/>
      <c r="C36" s="1186"/>
      <c r="D36" s="684"/>
      <c r="E36" s="684"/>
      <c r="F36" s="1010"/>
      <c r="G36" s="1010"/>
      <c r="H36" s="1010"/>
      <c r="I36" s="1010"/>
      <c r="J36" s="1010"/>
      <c r="K36" s="1010"/>
      <c r="L36" s="1010"/>
    </row>
    <row r="37" spans="1:12" ht="15.2" customHeight="1">
      <c r="A37" s="1184" t="s">
        <v>4</v>
      </c>
      <c r="B37" s="1183" t="s">
        <v>1366</v>
      </c>
      <c r="C37" s="683"/>
      <c r="D37" s="684"/>
      <c r="E37" s="684"/>
      <c r="F37" s="1010"/>
      <c r="G37" s="1010"/>
      <c r="H37" s="1010"/>
      <c r="I37" s="1010"/>
      <c r="J37" s="1010"/>
      <c r="K37" s="1010"/>
      <c r="L37" s="1010"/>
    </row>
    <row r="38" spans="1:12" ht="15.2" customHeight="1">
      <c r="A38" s="684"/>
      <c r="B38" s="1187" t="s">
        <v>1367</v>
      </c>
      <c r="C38" s="683"/>
      <c r="D38" s="684"/>
      <c r="E38" s="684"/>
      <c r="F38" s="1010"/>
      <c r="G38" s="1010"/>
      <c r="H38" s="1188"/>
      <c r="I38" s="1010"/>
      <c r="J38" s="1010"/>
      <c r="K38" s="1010"/>
      <c r="L38" s="1010"/>
    </row>
    <row r="39" spans="1:12" ht="15.2" customHeight="1">
      <c r="A39" s="684"/>
      <c r="B39" s="684"/>
      <c r="C39" s="684"/>
      <c r="D39" s="684"/>
    </row>
    <row r="40" spans="1:12" ht="15.2" customHeight="1">
      <c r="A40" s="1184" t="s">
        <v>263</v>
      </c>
      <c r="B40" s="1183" t="s">
        <v>1248</v>
      </c>
      <c r="C40" s="683"/>
      <c r="D40" s="684"/>
      <c r="E40" s="684"/>
      <c r="F40" s="1010"/>
      <c r="G40" s="1010"/>
      <c r="H40" s="1010"/>
      <c r="I40" s="1010"/>
      <c r="J40" s="1010"/>
      <c r="K40" s="1010"/>
      <c r="L40" s="1010"/>
    </row>
    <row r="41" spans="1:12" ht="15" customHeight="1">
      <c r="A41" s="684"/>
      <c r="B41" s="1187" t="s">
        <v>1249</v>
      </c>
      <c r="C41" s="683"/>
      <c r="D41" s="684"/>
      <c r="E41" s="684"/>
      <c r="F41" s="1010"/>
      <c r="G41" s="1010"/>
      <c r="H41" s="1188"/>
      <c r="I41" s="1010"/>
      <c r="J41" s="1010"/>
      <c r="K41" s="1010"/>
      <c r="L41" s="1010"/>
    </row>
    <row r="42" spans="1:12" ht="15.2" customHeight="1">
      <c r="A42" s="684"/>
      <c r="B42" s="1187"/>
      <c r="C42" s="683"/>
      <c r="D42" s="684"/>
      <c r="E42" s="684"/>
      <c r="F42" s="1010"/>
      <c r="G42" s="1010"/>
      <c r="H42" s="1188"/>
      <c r="I42" s="1010"/>
      <c r="J42" s="1010"/>
      <c r="K42" s="1010"/>
      <c r="L42" s="1010"/>
    </row>
    <row r="43" spans="1:12" ht="15.2" customHeight="1"/>
    <row r="44" spans="1:12" ht="7.5" customHeight="1"/>
    <row r="45" spans="1:12" ht="15.2" customHeight="1"/>
    <row r="46" spans="1:12" ht="15.2" customHeight="1"/>
    <row r="47" spans="1:12" ht="15.2" customHeight="1"/>
    <row r="48" spans="1:12" ht="15.2" customHeight="1"/>
  </sheetData>
  <mergeCells count="1">
    <mergeCell ref="B7:D7"/>
  </mergeCells>
  <pageMargins left="0.55118110236220474" right="0.55118110236220474" top="0.55118110236220474" bottom="0.55118110236220474" header="0.55118110236220474" footer="0.55118110236220474"/>
  <pageSetup paperSize="9" scale="63" fitToHeight="0" orientation="portrait" r:id="rId1"/>
  <headerFooter scaleWithDoc="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3">
    <tabColor theme="4" tint="0.39997558519241921"/>
    <pageSetUpPr fitToPage="1"/>
  </sheetPr>
  <dimension ref="A1:S48"/>
  <sheetViews>
    <sheetView view="pageBreakPreview" zoomScaleNormal="130" zoomScaleSheetLayoutView="100" workbookViewId="0">
      <selection activeCell="D51" sqref="D51"/>
    </sheetView>
  </sheetViews>
  <sheetFormatPr defaultColWidth="9.140625" defaultRowHeight="16.5"/>
  <cols>
    <col min="1" max="1" width="2.7109375" style="68" customWidth="1"/>
    <col min="2" max="3" width="11.7109375" style="68" customWidth="1"/>
    <col min="4" max="4" width="8.28515625" style="68" customWidth="1"/>
    <col min="5" max="5" width="6.7109375" style="68" customWidth="1"/>
    <col min="6" max="6" width="1.28515625" style="68" customWidth="1"/>
    <col min="7" max="13" width="13.85546875" style="609" customWidth="1"/>
    <col min="14" max="14" width="1.7109375" style="68" customWidth="1"/>
    <col min="15" max="15" width="9.140625" style="68"/>
    <col min="16" max="16" width="9.140625" style="68" customWidth="1"/>
    <col min="17" max="16384" width="9.140625" style="68"/>
  </cols>
  <sheetData>
    <row r="1" spans="1:18" ht="8.1" customHeight="1"/>
    <row r="2" spans="1:18" ht="8.1" customHeight="1"/>
    <row r="3" spans="1:18" ht="16.350000000000001" customHeight="1">
      <c r="B3" s="778" t="s">
        <v>739</v>
      </c>
      <c r="C3" s="150" t="s">
        <v>740</v>
      </c>
      <c r="D3" s="150"/>
      <c r="E3" s="150"/>
      <c r="F3" s="150"/>
      <c r="G3" s="778"/>
      <c r="H3" s="778"/>
      <c r="I3" s="778"/>
      <c r="J3" s="778"/>
      <c r="K3" s="778"/>
      <c r="L3" s="778"/>
      <c r="M3" s="778"/>
    </row>
    <row r="4" spans="1:18" ht="16.350000000000001" customHeight="1">
      <c r="B4" s="778"/>
      <c r="C4" s="150" t="s">
        <v>1365</v>
      </c>
      <c r="D4" s="150"/>
      <c r="E4" s="150"/>
      <c r="F4" s="150"/>
      <c r="G4" s="778"/>
      <c r="H4" s="778"/>
      <c r="I4" s="778"/>
      <c r="J4" s="778"/>
      <c r="K4" s="778"/>
      <c r="L4" s="778"/>
      <c r="M4" s="778"/>
    </row>
    <row r="5" spans="1:18" ht="16.350000000000001" customHeight="1">
      <c r="B5" s="781" t="s">
        <v>741</v>
      </c>
      <c r="C5" s="151" t="s">
        <v>1171</v>
      </c>
      <c r="D5" s="151"/>
      <c r="E5" s="151"/>
      <c r="F5" s="151"/>
      <c r="G5" s="778"/>
      <c r="H5" s="778"/>
      <c r="I5" s="778"/>
      <c r="J5" s="778"/>
      <c r="K5" s="778"/>
      <c r="L5" s="778"/>
      <c r="M5" s="778"/>
    </row>
    <row r="6" spans="1:18" ht="15.2" customHeight="1">
      <c r="A6" s="1189"/>
      <c r="B6" s="1189"/>
      <c r="C6" s="1190" t="s">
        <v>1365</v>
      </c>
      <c r="D6" s="1191"/>
      <c r="E6" s="1191"/>
      <c r="F6" s="1191"/>
      <c r="G6" s="1192"/>
      <c r="H6" s="1193"/>
      <c r="I6" s="1193"/>
      <c r="J6" s="1193"/>
      <c r="K6" s="1193"/>
      <c r="L6" s="1193"/>
      <c r="M6" s="1193"/>
    </row>
    <row r="7" spans="1:18" ht="15.2" customHeight="1" thickBot="1">
      <c r="A7" s="782"/>
      <c r="B7" s="782"/>
      <c r="C7" s="1194"/>
      <c r="D7" s="1195"/>
      <c r="E7" s="1195"/>
      <c r="F7" s="1195"/>
      <c r="G7" s="1196"/>
      <c r="H7" s="784"/>
      <c r="I7" s="784"/>
      <c r="J7" s="784"/>
      <c r="K7" s="784"/>
      <c r="L7" s="784"/>
      <c r="M7" s="784"/>
    </row>
    <row r="8" spans="1:18" s="476" customFormat="1" ht="54" customHeight="1" thickBot="1">
      <c r="A8" s="895"/>
      <c r="B8" s="2676" t="s">
        <v>729</v>
      </c>
      <c r="C8" s="2676"/>
      <c r="D8" s="2676"/>
      <c r="E8" s="1197" t="s">
        <v>239</v>
      </c>
      <c r="F8" s="1197"/>
      <c r="G8" s="789" t="s">
        <v>1057</v>
      </c>
      <c r="H8" s="790" t="s">
        <v>1059</v>
      </c>
      <c r="I8" s="790" t="s">
        <v>1058</v>
      </c>
      <c r="J8" s="790" t="s">
        <v>1063</v>
      </c>
      <c r="K8" s="791" t="s">
        <v>1060</v>
      </c>
      <c r="L8" s="791" t="s">
        <v>1061</v>
      </c>
      <c r="M8" s="791" t="s">
        <v>1062</v>
      </c>
      <c r="N8" s="895"/>
    </row>
    <row r="9" spans="1:18" s="476" customFormat="1" ht="16.350000000000001" customHeight="1">
      <c r="B9" s="1167"/>
      <c r="C9" s="1167"/>
      <c r="D9" s="1167"/>
      <c r="E9" s="1167"/>
      <c r="F9" s="1167"/>
      <c r="G9" s="918"/>
      <c r="H9" s="918"/>
      <c r="I9" s="918"/>
      <c r="J9" s="918"/>
      <c r="K9" s="918"/>
      <c r="L9" s="918"/>
      <c r="M9" s="918"/>
    </row>
    <row r="10" spans="1:18" s="476" customFormat="1" ht="15.2" customHeight="1">
      <c r="B10" s="1198" t="s">
        <v>730</v>
      </c>
      <c r="C10" s="1167"/>
      <c r="D10" s="1167"/>
      <c r="E10" s="1168">
        <v>2024</v>
      </c>
      <c r="F10" s="1168"/>
      <c r="G10" s="1495">
        <v>496</v>
      </c>
      <c r="H10" s="1495">
        <v>111</v>
      </c>
      <c r="I10" s="1495">
        <v>125</v>
      </c>
      <c r="J10" s="1495">
        <v>58</v>
      </c>
      <c r="K10" s="1495">
        <v>23</v>
      </c>
      <c r="L10" s="1495">
        <v>76</v>
      </c>
      <c r="M10" s="1495">
        <v>103</v>
      </c>
    </row>
    <row r="11" spans="1:18" s="476" customFormat="1" ht="15.2" customHeight="1">
      <c r="B11" s="929" t="s">
        <v>731</v>
      </c>
      <c r="C11" s="1167"/>
      <c r="D11" s="1167"/>
      <c r="E11" s="1168">
        <v>2025</v>
      </c>
      <c r="F11" s="1168"/>
      <c r="G11" s="1495">
        <v>496</v>
      </c>
      <c r="H11" s="1495">
        <v>111</v>
      </c>
      <c r="I11" s="1495">
        <v>125</v>
      </c>
      <c r="J11" s="1495">
        <v>58</v>
      </c>
      <c r="K11" s="1495">
        <v>23</v>
      </c>
      <c r="L11" s="1495">
        <v>76</v>
      </c>
      <c r="M11" s="1495">
        <v>103</v>
      </c>
    </row>
    <row r="12" spans="1:18" s="476" customFormat="1" ht="8.1" customHeight="1">
      <c r="B12" s="1167"/>
      <c r="C12" s="1167"/>
      <c r="D12" s="1167"/>
      <c r="E12" s="1167"/>
      <c r="F12" s="1167"/>
      <c r="G12" s="1495"/>
      <c r="H12" s="1207"/>
      <c r="I12" s="1207"/>
      <c r="J12" s="1207"/>
      <c r="K12" s="1207"/>
      <c r="L12" s="1207"/>
      <c r="M12" s="1207"/>
    </row>
    <row r="13" spans="1:18" s="476" customFormat="1" ht="15.2" customHeight="1">
      <c r="B13" s="930" t="s">
        <v>732</v>
      </c>
      <c r="C13" s="922"/>
      <c r="D13" s="922"/>
      <c r="E13" s="1168">
        <v>2024</v>
      </c>
      <c r="F13" s="1168"/>
      <c r="G13" s="1207">
        <v>42</v>
      </c>
      <c r="H13" s="1207">
        <v>5</v>
      </c>
      <c r="I13" s="1207">
        <v>7</v>
      </c>
      <c r="J13" s="1207">
        <v>7</v>
      </c>
      <c r="K13" s="1207">
        <v>2</v>
      </c>
      <c r="L13" s="1207">
        <v>6</v>
      </c>
      <c r="M13" s="1207">
        <v>15</v>
      </c>
    </row>
    <row r="14" spans="1:18" s="476" customFormat="1" ht="15.2" customHeight="1">
      <c r="B14" s="1170" t="s">
        <v>733</v>
      </c>
      <c r="C14" s="925"/>
      <c r="D14" s="925"/>
      <c r="E14" s="1168">
        <v>2025</v>
      </c>
      <c r="F14" s="1168"/>
      <c r="G14" s="1207">
        <v>42</v>
      </c>
      <c r="H14" s="1207">
        <v>5</v>
      </c>
      <c r="I14" s="1207">
        <v>7</v>
      </c>
      <c r="J14" s="1207">
        <v>7</v>
      </c>
      <c r="K14" s="1207">
        <v>2</v>
      </c>
      <c r="L14" s="1207">
        <v>6</v>
      </c>
      <c r="M14" s="1207">
        <v>15</v>
      </c>
    </row>
    <row r="15" spans="1:18" s="476" customFormat="1" ht="8.1" customHeight="1">
      <c r="B15" s="929"/>
      <c r="C15" s="925"/>
      <c r="D15" s="925"/>
      <c r="E15" s="1171"/>
      <c r="F15" s="1171"/>
      <c r="G15" s="1207"/>
      <c r="H15" s="1207"/>
      <c r="I15" s="1207"/>
      <c r="J15" s="1207"/>
      <c r="K15" s="1207"/>
      <c r="L15" s="1207"/>
      <c r="M15" s="1207"/>
    </row>
    <row r="16" spans="1:18" s="476" customFormat="1" ht="15.2" customHeight="1">
      <c r="B16" s="1172" t="s">
        <v>602</v>
      </c>
      <c r="C16" s="1199"/>
      <c r="D16" s="925"/>
      <c r="E16" s="1168">
        <v>2024</v>
      </c>
      <c r="F16" s="1168"/>
      <c r="G16" s="1496">
        <v>30</v>
      </c>
      <c r="H16" s="1496">
        <v>5</v>
      </c>
      <c r="I16" s="1496">
        <v>5</v>
      </c>
      <c r="J16" s="1496">
        <v>1</v>
      </c>
      <c r="K16" s="1496">
        <v>1</v>
      </c>
      <c r="L16" s="1496">
        <v>5</v>
      </c>
      <c r="M16" s="1496">
        <v>13</v>
      </c>
      <c r="P16" s="1173"/>
      <c r="Q16" s="1173"/>
      <c r="R16" s="1173"/>
    </row>
    <row r="17" spans="2:19" s="476" customFormat="1" ht="15.2" customHeight="1">
      <c r="B17" s="1170"/>
      <c r="C17" s="1199"/>
      <c r="D17" s="925"/>
      <c r="E17" s="1168">
        <v>2025</v>
      </c>
      <c r="F17" s="1168"/>
      <c r="G17" s="1207">
        <v>42</v>
      </c>
      <c r="H17" s="1207">
        <v>5</v>
      </c>
      <c r="I17" s="1207">
        <v>7</v>
      </c>
      <c r="J17" s="1207">
        <v>7</v>
      </c>
      <c r="K17" s="1207">
        <v>2</v>
      </c>
      <c r="L17" s="1207">
        <v>6</v>
      </c>
      <c r="M17" s="1207">
        <v>15</v>
      </c>
      <c r="P17" s="1173"/>
      <c r="Q17" s="1173"/>
      <c r="R17" s="1173"/>
      <c r="S17" s="1200"/>
    </row>
    <row r="18" spans="2:19" s="476" customFormat="1" ht="8.1" customHeight="1">
      <c r="B18" s="1179"/>
      <c r="C18" s="1199"/>
      <c r="D18" s="925"/>
      <c r="E18" s="925"/>
      <c r="F18" s="925"/>
      <c r="G18" s="1207"/>
      <c r="H18" s="1207"/>
      <c r="I18" s="1207"/>
      <c r="J18" s="1207"/>
      <c r="K18" s="1207"/>
      <c r="L18" s="1207"/>
      <c r="M18" s="1207"/>
      <c r="P18" s="1173"/>
      <c r="Q18" s="1173"/>
      <c r="R18" s="1173"/>
      <c r="S18" s="1175"/>
    </row>
    <row r="19" spans="2:19" s="476" customFormat="1" ht="15.2" customHeight="1">
      <c r="B19" s="1172" t="s">
        <v>742</v>
      </c>
      <c r="C19" s="1199"/>
      <c r="D19" s="925"/>
      <c r="E19" s="1168">
        <v>2024</v>
      </c>
      <c r="F19" s="1168"/>
      <c r="G19" s="1207">
        <v>1</v>
      </c>
      <c r="H19" s="1207" t="s">
        <v>204</v>
      </c>
      <c r="I19" s="1207" t="s">
        <v>204</v>
      </c>
      <c r="J19" s="1207" t="s">
        <v>204</v>
      </c>
      <c r="K19" s="1207">
        <v>0</v>
      </c>
      <c r="L19" s="1207" t="s">
        <v>204</v>
      </c>
      <c r="M19" s="1207" t="s">
        <v>204</v>
      </c>
      <c r="P19" s="1177"/>
      <c r="Q19" s="1177"/>
      <c r="R19" s="1177"/>
      <c r="S19" s="1175"/>
    </row>
    <row r="20" spans="2:19" s="476" customFormat="1" ht="15.2" customHeight="1">
      <c r="B20" s="1170"/>
      <c r="C20" s="1199"/>
      <c r="D20" s="925"/>
      <c r="E20" s="1168">
        <v>2025</v>
      </c>
      <c r="F20" s="1168"/>
      <c r="G20" s="1207">
        <v>42</v>
      </c>
      <c r="H20" s="1207">
        <v>5</v>
      </c>
      <c r="I20" s="1207">
        <v>7</v>
      </c>
      <c r="J20" s="1207">
        <v>7</v>
      </c>
      <c r="K20" s="1207">
        <v>2</v>
      </c>
      <c r="L20" s="1207">
        <v>6</v>
      </c>
      <c r="M20" s="1207">
        <v>15</v>
      </c>
      <c r="P20" s="1173"/>
      <c r="Q20" s="1173"/>
      <c r="R20" s="1173"/>
    </row>
    <row r="21" spans="2:19" s="476" customFormat="1" ht="8.1" customHeight="1">
      <c r="B21" s="1170"/>
      <c r="C21" s="1199"/>
      <c r="D21" s="925"/>
      <c r="E21" s="1168"/>
      <c r="F21" s="1168"/>
      <c r="G21" s="1207"/>
      <c r="H21" s="1207"/>
      <c r="I21" s="1207"/>
      <c r="J21" s="1207"/>
      <c r="K21" s="1207"/>
      <c r="L21" s="1207"/>
      <c r="M21" s="1207"/>
      <c r="P21" s="1173"/>
      <c r="Q21" s="1173"/>
      <c r="R21" s="1173"/>
      <c r="S21" s="1175"/>
    </row>
    <row r="22" spans="2:19" s="476" customFormat="1" ht="15.2" customHeight="1">
      <c r="B22" s="1201" t="s">
        <v>743</v>
      </c>
      <c r="C22" s="1199"/>
      <c r="D22" s="925"/>
      <c r="E22" s="1168">
        <v>2024</v>
      </c>
      <c r="F22" s="1168"/>
      <c r="G22" s="1207">
        <v>11</v>
      </c>
      <c r="H22" s="1207" t="s">
        <v>204</v>
      </c>
      <c r="I22" s="1207">
        <v>2</v>
      </c>
      <c r="J22" s="1207">
        <v>6</v>
      </c>
      <c r="K22" s="1207" t="s">
        <v>204</v>
      </c>
      <c r="L22" s="1207">
        <v>1</v>
      </c>
      <c r="M22" s="1207">
        <v>2</v>
      </c>
      <c r="P22" s="1173"/>
      <c r="Q22" s="1173"/>
      <c r="R22" s="1173"/>
    </row>
    <row r="23" spans="2:19" s="476" customFormat="1" ht="15.2" customHeight="1">
      <c r="B23" s="933"/>
      <c r="C23" s="1199"/>
      <c r="D23" s="925"/>
      <c r="E23" s="1168">
        <v>2025</v>
      </c>
      <c r="F23" s="1168"/>
      <c r="G23" s="1207">
        <v>42</v>
      </c>
      <c r="H23" s="1207">
        <v>5</v>
      </c>
      <c r="I23" s="1207">
        <v>7</v>
      </c>
      <c r="J23" s="1207">
        <v>7</v>
      </c>
      <c r="K23" s="1207">
        <v>2</v>
      </c>
      <c r="L23" s="1207">
        <v>6</v>
      </c>
      <c r="M23" s="1207">
        <v>15</v>
      </c>
      <c r="P23" s="1177"/>
      <c r="Q23" s="1177"/>
      <c r="R23" s="1177"/>
    </row>
    <row r="24" spans="2:19" s="476" customFormat="1" ht="8.1" customHeight="1">
      <c r="B24" s="1202"/>
      <c r="C24" s="1199"/>
      <c r="D24" s="925"/>
      <c r="E24" s="1168"/>
      <c r="F24" s="1168"/>
      <c r="G24" s="1207"/>
      <c r="H24" s="1207"/>
      <c r="I24" s="1207"/>
      <c r="J24" s="1207"/>
      <c r="K24" s="1207"/>
      <c r="L24" s="1207"/>
      <c r="M24" s="1207"/>
      <c r="P24" s="1177"/>
      <c r="Q24" s="1177"/>
      <c r="R24" s="1177"/>
    </row>
    <row r="25" spans="2:19" s="476" customFormat="1" ht="15.2" customHeight="1">
      <c r="B25" s="930" t="s">
        <v>734</v>
      </c>
      <c r="C25" s="1178"/>
      <c r="D25" s="1178"/>
      <c r="E25" s="1168">
        <v>2024</v>
      </c>
      <c r="F25" s="1168"/>
      <c r="G25" s="1207">
        <v>454</v>
      </c>
      <c r="H25" s="1207">
        <v>106</v>
      </c>
      <c r="I25" s="1207">
        <v>118</v>
      </c>
      <c r="J25" s="1207">
        <v>51</v>
      </c>
      <c r="K25" s="1207">
        <v>21</v>
      </c>
      <c r="L25" s="1207">
        <v>70</v>
      </c>
      <c r="M25" s="1207">
        <v>88</v>
      </c>
    </row>
    <row r="26" spans="2:19" s="476" customFormat="1" ht="15.2" customHeight="1">
      <c r="B26" s="1170" t="s">
        <v>735</v>
      </c>
      <c r="C26" s="925"/>
      <c r="D26" s="925"/>
      <c r="E26" s="1168">
        <v>2025</v>
      </c>
      <c r="F26" s="1168"/>
      <c r="G26" s="1207">
        <v>42</v>
      </c>
      <c r="H26" s="1207">
        <v>5</v>
      </c>
      <c r="I26" s="1207">
        <v>7</v>
      </c>
      <c r="J26" s="1207">
        <v>7</v>
      </c>
      <c r="K26" s="1207">
        <v>2</v>
      </c>
      <c r="L26" s="1207">
        <v>6</v>
      </c>
      <c r="M26" s="1207">
        <v>15</v>
      </c>
    </row>
    <row r="27" spans="2:19" s="476" customFormat="1" ht="8.1" customHeight="1">
      <c r="B27" s="1167"/>
      <c r="C27" s="925"/>
      <c r="D27" s="925"/>
      <c r="E27" s="925"/>
      <c r="F27" s="925"/>
      <c r="G27" s="1207"/>
      <c r="H27" s="1207"/>
      <c r="I27" s="1207"/>
      <c r="J27" s="1207"/>
      <c r="K27" s="1207"/>
      <c r="L27" s="1207"/>
      <c r="M27" s="1207"/>
    </row>
    <row r="28" spans="2:19" s="476" customFormat="1" ht="15.2" customHeight="1">
      <c r="B28" s="1172" t="s">
        <v>602</v>
      </c>
      <c r="C28" s="1199"/>
      <c r="D28" s="925"/>
      <c r="E28" s="1168">
        <v>2024</v>
      </c>
      <c r="F28" s="1168"/>
      <c r="G28" s="1496">
        <v>30</v>
      </c>
      <c r="H28" s="1496">
        <v>5</v>
      </c>
      <c r="I28" s="1496">
        <v>5</v>
      </c>
      <c r="J28" s="1496">
        <v>1</v>
      </c>
      <c r="K28" s="1496">
        <v>1</v>
      </c>
      <c r="L28" s="1496">
        <v>5</v>
      </c>
      <c r="M28" s="1496">
        <v>13</v>
      </c>
      <c r="P28" s="1173"/>
      <c r="Q28" s="1173"/>
      <c r="R28" s="1173"/>
    </row>
    <row r="29" spans="2:19" s="476" customFormat="1" ht="15.2" customHeight="1">
      <c r="B29" s="1170"/>
      <c r="C29" s="1199"/>
      <c r="D29" s="925"/>
      <c r="E29" s="1168">
        <v>2025</v>
      </c>
      <c r="F29" s="1168"/>
      <c r="G29" s="1207">
        <v>42</v>
      </c>
      <c r="H29" s="1207">
        <v>5</v>
      </c>
      <c r="I29" s="1207">
        <v>7</v>
      </c>
      <c r="J29" s="1207">
        <v>7</v>
      </c>
      <c r="K29" s="1207">
        <v>2</v>
      </c>
      <c r="L29" s="1207">
        <v>6</v>
      </c>
      <c r="M29" s="1207">
        <v>15</v>
      </c>
      <c r="P29" s="1173"/>
      <c r="Q29" s="1173"/>
      <c r="R29" s="1173"/>
      <c r="S29" s="1200"/>
    </row>
    <row r="30" spans="2:19" s="476" customFormat="1" ht="8.1" customHeight="1">
      <c r="B30" s="1179"/>
      <c r="C30" s="1199"/>
      <c r="D30" s="925"/>
      <c r="E30" s="925"/>
      <c r="F30" s="925"/>
      <c r="G30" s="1207"/>
      <c r="H30" s="1207"/>
      <c r="I30" s="1207"/>
      <c r="J30" s="1207"/>
      <c r="K30" s="1207"/>
      <c r="L30" s="1207"/>
      <c r="M30" s="1207"/>
      <c r="P30" s="1173"/>
      <c r="Q30" s="1173"/>
      <c r="R30" s="1173"/>
      <c r="S30" s="1175"/>
    </row>
    <row r="31" spans="2:19" s="476" customFormat="1" ht="15.2" customHeight="1">
      <c r="B31" s="1172" t="s">
        <v>742</v>
      </c>
      <c r="C31" s="1199"/>
      <c r="D31" s="925"/>
      <c r="E31" s="1168">
        <v>2024</v>
      </c>
      <c r="F31" s="1168"/>
      <c r="G31" s="1207">
        <v>1</v>
      </c>
      <c r="H31" s="1207" t="s">
        <v>204</v>
      </c>
      <c r="I31" s="1207" t="s">
        <v>204</v>
      </c>
      <c r="J31" s="1207" t="s">
        <v>204</v>
      </c>
      <c r="K31" s="1207">
        <v>0</v>
      </c>
      <c r="L31" s="1207" t="s">
        <v>204</v>
      </c>
      <c r="M31" s="1207" t="s">
        <v>204</v>
      </c>
      <c r="P31" s="1177"/>
      <c r="Q31" s="1177"/>
      <c r="R31" s="1177"/>
      <c r="S31" s="1175"/>
    </row>
    <row r="32" spans="2:19" s="476" customFormat="1" ht="15.2" customHeight="1">
      <c r="B32" s="1170"/>
      <c r="C32" s="1199"/>
      <c r="D32" s="925"/>
      <c r="E32" s="1168">
        <v>2025</v>
      </c>
      <c r="F32" s="1168"/>
      <c r="G32" s="1207">
        <v>42</v>
      </c>
      <c r="H32" s="1207">
        <v>5</v>
      </c>
      <c r="I32" s="1207">
        <v>7</v>
      </c>
      <c r="J32" s="1207">
        <v>7</v>
      </c>
      <c r="K32" s="1207">
        <v>2</v>
      </c>
      <c r="L32" s="1207">
        <v>6</v>
      </c>
      <c r="M32" s="1207">
        <v>15</v>
      </c>
      <c r="P32" s="1173"/>
      <c r="Q32" s="1173"/>
      <c r="R32" s="1173"/>
    </row>
    <row r="33" spans="1:19" s="476" customFormat="1" ht="8.1" customHeight="1">
      <c r="B33" s="1170"/>
      <c r="C33" s="1199"/>
      <c r="D33" s="925"/>
      <c r="E33" s="1168"/>
      <c r="F33" s="1168"/>
      <c r="G33" s="1207"/>
      <c r="H33" s="1207"/>
      <c r="I33" s="1207"/>
      <c r="J33" s="1207"/>
      <c r="K33" s="1207"/>
      <c r="L33" s="1207"/>
      <c r="M33" s="1207"/>
      <c r="P33" s="1173"/>
      <c r="Q33" s="1173"/>
      <c r="R33" s="1173"/>
      <c r="S33" s="1175"/>
    </row>
    <row r="34" spans="1:19" s="476" customFormat="1" ht="15.2" customHeight="1">
      <c r="B34" s="1201" t="s">
        <v>743</v>
      </c>
      <c r="C34" s="1199"/>
      <c r="D34" s="925"/>
      <c r="E34" s="1168">
        <v>2024</v>
      </c>
      <c r="F34" s="1168"/>
      <c r="G34" s="1207">
        <v>11</v>
      </c>
      <c r="H34" s="1207" t="s">
        <v>204</v>
      </c>
      <c r="I34" s="1207">
        <v>2</v>
      </c>
      <c r="J34" s="1207">
        <v>6</v>
      </c>
      <c r="K34" s="1207" t="s">
        <v>204</v>
      </c>
      <c r="L34" s="1207">
        <v>1</v>
      </c>
      <c r="M34" s="1207">
        <v>2</v>
      </c>
      <c r="P34" s="1173"/>
      <c r="Q34" s="1173"/>
      <c r="R34" s="1173"/>
    </row>
    <row r="35" spans="1:19" s="476" customFormat="1" ht="15.2" customHeight="1">
      <c r="B35" s="933"/>
      <c r="C35" s="1199"/>
      <c r="D35" s="925"/>
      <c r="E35" s="1168">
        <v>2025</v>
      </c>
      <c r="F35" s="1168"/>
      <c r="G35" s="1207">
        <v>42</v>
      </c>
      <c r="H35" s="1207">
        <v>5</v>
      </c>
      <c r="I35" s="1207">
        <v>7</v>
      </c>
      <c r="J35" s="1207">
        <v>7</v>
      </c>
      <c r="K35" s="1207">
        <v>2</v>
      </c>
      <c r="L35" s="1207">
        <v>6</v>
      </c>
      <c r="M35" s="1207">
        <v>15</v>
      </c>
      <c r="P35" s="1177"/>
      <c r="Q35" s="1177"/>
      <c r="R35" s="1177"/>
    </row>
    <row r="36" spans="1:19" s="476" customFormat="1" ht="8.1" customHeight="1">
      <c r="B36" s="1202"/>
      <c r="C36" s="1199"/>
      <c r="D36" s="925"/>
      <c r="E36" s="1168"/>
      <c r="F36" s="1168"/>
      <c r="G36" s="1207"/>
      <c r="H36" s="1207"/>
      <c r="I36" s="1207"/>
      <c r="J36" s="1207"/>
      <c r="K36" s="1207"/>
      <c r="L36" s="1207"/>
      <c r="M36" s="1207"/>
      <c r="P36" s="1177"/>
      <c r="Q36" s="1177"/>
      <c r="R36" s="1177"/>
    </row>
    <row r="37" spans="1:19" s="476" customFormat="1" ht="8.1" customHeight="1" thickBot="1">
      <c r="A37" s="815"/>
      <c r="B37" s="815"/>
      <c r="C37" s="815"/>
      <c r="D37" s="815"/>
      <c r="E37" s="815"/>
      <c r="F37" s="815"/>
      <c r="G37" s="939"/>
      <c r="H37" s="939"/>
      <c r="I37" s="939"/>
      <c r="J37" s="939"/>
      <c r="K37" s="939"/>
      <c r="L37" s="939"/>
      <c r="M37" s="939"/>
      <c r="N37" s="939"/>
    </row>
    <row r="38" spans="1:19" ht="15.2" customHeight="1" thickTop="1">
      <c r="A38" s="684"/>
      <c r="B38" s="940"/>
      <c r="C38" s="940"/>
      <c r="D38" s="940"/>
      <c r="E38" s="684"/>
      <c r="F38" s="684"/>
      <c r="G38" s="1203"/>
      <c r="H38" s="1203"/>
      <c r="I38" s="1203"/>
      <c r="J38" s="1203"/>
      <c r="K38" s="1203"/>
      <c r="L38" s="1203"/>
      <c r="M38" s="1203"/>
      <c r="N38" s="1081" t="s">
        <v>736</v>
      </c>
    </row>
    <row r="39" spans="1:19" ht="15.2" customHeight="1">
      <c r="A39" s="684"/>
      <c r="B39" s="940"/>
      <c r="C39" s="940"/>
      <c r="D39" s="940"/>
      <c r="E39" s="940"/>
      <c r="F39" s="940"/>
      <c r="G39" s="1203"/>
      <c r="H39" s="1203"/>
      <c r="I39" s="1203"/>
      <c r="J39" s="1203"/>
      <c r="K39" s="1203"/>
      <c r="L39" s="1203"/>
      <c r="M39" s="1203"/>
      <c r="N39" s="769" t="s">
        <v>737</v>
      </c>
    </row>
    <row r="40" spans="1:19" ht="15.2" customHeight="1">
      <c r="A40" s="1183" t="s">
        <v>738</v>
      </c>
      <c r="B40" s="684"/>
      <c r="C40" s="684"/>
      <c r="D40" s="684"/>
      <c r="E40" s="684"/>
      <c r="F40" s="1010"/>
      <c r="G40" s="1010"/>
      <c r="H40" s="1010"/>
      <c r="I40" s="1010"/>
      <c r="J40" s="1010"/>
      <c r="K40" s="1010"/>
      <c r="L40" s="1010"/>
      <c r="M40" s="68"/>
    </row>
    <row r="41" spans="1:19" ht="15.2" customHeight="1">
      <c r="A41" s="1184" t="s">
        <v>3</v>
      </c>
      <c r="B41" s="966" t="s">
        <v>1168</v>
      </c>
      <c r="C41" s="966"/>
      <c r="D41" s="684"/>
      <c r="E41" s="684"/>
      <c r="F41" s="1010"/>
      <c r="G41" s="1010"/>
      <c r="H41" s="1010"/>
      <c r="I41" s="1010"/>
      <c r="J41" s="1010"/>
      <c r="K41" s="1010"/>
      <c r="L41" s="1010"/>
      <c r="M41" s="68"/>
    </row>
    <row r="42" spans="1:19" ht="15" customHeight="1">
      <c r="A42" s="682"/>
      <c r="B42" s="1185" t="s">
        <v>1169</v>
      </c>
      <c r="C42" s="1186"/>
      <c r="D42" s="684"/>
      <c r="E42" s="684"/>
      <c r="F42" s="1010"/>
      <c r="G42" s="1010"/>
      <c r="H42" s="1010"/>
      <c r="I42" s="1010"/>
      <c r="J42" s="1010"/>
      <c r="K42" s="1010"/>
      <c r="L42" s="1010"/>
      <c r="M42" s="68"/>
    </row>
    <row r="43" spans="1:19" ht="6.75" customHeight="1">
      <c r="A43" s="682"/>
      <c r="B43" s="1185"/>
      <c r="C43" s="1186"/>
      <c r="D43" s="684"/>
      <c r="E43" s="684"/>
      <c r="F43" s="1010"/>
      <c r="G43" s="1010"/>
      <c r="H43" s="1010"/>
      <c r="I43" s="1010"/>
      <c r="J43" s="1010"/>
      <c r="K43" s="1010"/>
      <c r="L43" s="1010"/>
      <c r="M43" s="68"/>
    </row>
    <row r="44" spans="1:19" ht="15.2" customHeight="1">
      <c r="A44" s="1184" t="s">
        <v>4</v>
      </c>
      <c r="B44" s="1183" t="s">
        <v>1366</v>
      </c>
      <c r="C44" s="683"/>
      <c r="D44" s="684"/>
      <c r="E44" s="684"/>
      <c r="F44" s="1010"/>
      <c r="G44" s="1010"/>
      <c r="H44" s="1010"/>
      <c r="I44" s="1010"/>
      <c r="J44" s="1010"/>
      <c r="K44" s="1010"/>
      <c r="L44" s="1010"/>
      <c r="M44" s="68"/>
    </row>
    <row r="45" spans="1:19" ht="15.2" customHeight="1">
      <c r="A45" s="684"/>
      <c r="B45" s="1187" t="s">
        <v>1367</v>
      </c>
      <c r="C45" s="683"/>
      <c r="D45" s="684"/>
      <c r="E45" s="684"/>
      <c r="F45" s="1010"/>
      <c r="G45" s="1010"/>
      <c r="H45" s="1188"/>
      <c r="I45" s="1010"/>
      <c r="J45" s="1010"/>
      <c r="K45" s="1010"/>
      <c r="L45" s="1010"/>
      <c r="M45" s="68"/>
    </row>
    <row r="46" spans="1:19" ht="7.5" customHeight="1">
      <c r="A46" s="684"/>
      <c r="B46" s="684"/>
      <c r="C46" s="684"/>
      <c r="D46" s="684"/>
      <c r="F46" s="1163"/>
      <c r="G46" s="1163"/>
      <c r="H46" s="1163"/>
      <c r="I46" s="1163"/>
      <c r="J46" s="1163"/>
      <c r="K46" s="1163"/>
      <c r="L46" s="1163"/>
      <c r="M46" s="68"/>
    </row>
    <row r="47" spans="1:19" ht="15.2" customHeight="1">
      <c r="A47" s="1184" t="s">
        <v>263</v>
      </c>
      <c r="B47" s="1183" t="s">
        <v>1248</v>
      </c>
      <c r="C47" s="683"/>
      <c r="D47" s="684"/>
      <c r="E47" s="684"/>
      <c r="F47" s="1010"/>
      <c r="G47" s="1010"/>
      <c r="H47" s="1010"/>
      <c r="I47" s="1010"/>
      <c r="J47" s="1010"/>
      <c r="K47" s="1010"/>
      <c r="L47" s="1010"/>
      <c r="M47" s="68"/>
    </row>
    <row r="48" spans="1:19" ht="15" customHeight="1">
      <c r="A48" s="684"/>
      <c r="B48" s="1187" t="s">
        <v>1249</v>
      </c>
      <c r="C48" s="683"/>
      <c r="D48" s="684"/>
      <c r="E48" s="684"/>
      <c r="F48" s="1010"/>
      <c r="G48" s="1010"/>
      <c r="H48" s="1188"/>
      <c r="I48" s="1010"/>
      <c r="J48" s="1010"/>
      <c r="K48" s="1010"/>
      <c r="L48" s="1010"/>
      <c r="M48" s="68"/>
    </row>
  </sheetData>
  <mergeCells count="1">
    <mergeCell ref="B8:D8"/>
  </mergeCells>
  <pageMargins left="0.55118110236220474" right="0.55118110236220474" top="0.55118110236220474" bottom="0.55118110236220474" header="0.55118110236220474" footer="0.55118110236220474"/>
  <pageSetup paperSize="9" scale="64" fitToHeight="0" orientation="portrait" r:id="rId1"/>
  <headerFooter scaleWithDoc="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4">
    <tabColor theme="4" tint="0.39997558519241921"/>
    <pageSetUpPr fitToPage="1"/>
  </sheetPr>
  <dimension ref="A1:R59"/>
  <sheetViews>
    <sheetView view="pageBreakPreview" zoomScaleNormal="120" zoomScaleSheetLayoutView="100" workbookViewId="0">
      <selection activeCell="A55" sqref="A55:XFD56"/>
    </sheetView>
  </sheetViews>
  <sheetFormatPr defaultColWidth="9" defaultRowHeight="16.5"/>
  <cols>
    <col min="1" max="1" width="2.85546875" style="68" customWidth="1"/>
    <col min="2" max="2" width="11.7109375" style="68" customWidth="1"/>
    <col min="3" max="3" width="14.85546875" style="68" customWidth="1"/>
    <col min="4" max="4" width="0.5703125" style="68" customWidth="1"/>
    <col min="5" max="5" width="6.7109375" style="68" customWidth="1"/>
    <col min="6" max="6" width="0.7109375" style="68" customWidth="1"/>
    <col min="7" max="13" width="13.85546875" style="609" customWidth="1"/>
    <col min="14" max="14" width="1.7109375" style="68" customWidth="1"/>
    <col min="15" max="15" width="9" style="68"/>
    <col min="16" max="16" width="11.28515625" style="68" customWidth="1"/>
    <col min="17" max="16384" width="9" style="68"/>
  </cols>
  <sheetData>
    <row r="1" spans="1:18" ht="8.1" customHeight="1"/>
    <row r="2" spans="1:18" ht="8.1" customHeight="1"/>
    <row r="3" spans="1:18" ht="16.350000000000001" customHeight="1">
      <c r="B3" s="778" t="s">
        <v>744</v>
      </c>
      <c r="C3" s="150" t="s">
        <v>1055</v>
      </c>
      <c r="D3" s="150"/>
      <c r="E3" s="150"/>
      <c r="F3" s="150"/>
      <c r="G3" s="778"/>
      <c r="H3" s="778"/>
      <c r="I3" s="778"/>
      <c r="J3" s="778"/>
      <c r="K3" s="778"/>
      <c r="L3" s="778"/>
      <c r="M3" s="778"/>
    </row>
    <row r="4" spans="1:18" ht="16.350000000000001" customHeight="1">
      <c r="B4" s="778"/>
      <c r="C4" s="150" t="s">
        <v>1365</v>
      </c>
      <c r="D4" s="150"/>
      <c r="E4" s="150"/>
      <c r="F4" s="150"/>
      <c r="G4" s="778"/>
      <c r="H4" s="778"/>
      <c r="I4" s="778"/>
      <c r="J4" s="778"/>
      <c r="K4" s="778"/>
      <c r="L4" s="778"/>
      <c r="M4" s="778"/>
    </row>
    <row r="5" spans="1:18" ht="16.350000000000001" customHeight="1">
      <c r="B5" s="781" t="s">
        <v>745</v>
      </c>
      <c r="C5" s="151" t="s">
        <v>1172</v>
      </c>
      <c r="D5" s="151"/>
      <c r="E5" s="151"/>
      <c r="F5" s="151"/>
      <c r="G5" s="778"/>
      <c r="H5" s="778"/>
      <c r="I5" s="778"/>
      <c r="J5" s="778"/>
      <c r="K5" s="778"/>
      <c r="L5" s="778"/>
      <c r="M5" s="778"/>
    </row>
    <row r="6" spans="1:18" ht="18" customHeight="1">
      <c r="A6" s="1189"/>
      <c r="B6" s="1189"/>
      <c r="C6" s="1190" t="s">
        <v>1365</v>
      </c>
      <c r="D6" s="1189"/>
      <c r="E6" s="1189"/>
      <c r="F6" s="1189"/>
      <c r="G6" s="1193"/>
      <c r="H6" s="1193"/>
      <c r="I6" s="1193"/>
      <c r="J6" s="1193"/>
      <c r="K6" s="1193"/>
      <c r="L6" s="1193"/>
      <c r="M6" s="1193"/>
      <c r="N6" s="1193"/>
    </row>
    <row r="7" spans="1:18" ht="18" customHeight="1" thickBot="1">
      <c r="A7" s="782"/>
      <c r="B7" s="782"/>
      <c r="C7" s="1194"/>
      <c r="D7" s="782"/>
      <c r="E7" s="782"/>
      <c r="F7" s="782"/>
      <c r="G7" s="784"/>
      <c r="H7" s="784"/>
      <c r="I7" s="784"/>
      <c r="J7" s="784"/>
      <c r="K7" s="784"/>
      <c r="L7" s="784"/>
      <c r="M7" s="784"/>
      <c r="N7" s="784"/>
    </row>
    <row r="8" spans="1:18" s="476" customFormat="1" ht="54" customHeight="1" thickBot="1">
      <c r="A8" s="895"/>
      <c r="B8" s="2676" t="s">
        <v>729</v>
      </c>
      <c r="C8" s="2676"/>
      <c r="D8" s="1197"/>
      <c r="E8" s="1197" t="s">
        <v>239</v>
      </c>
      <c r="F8" s="1705"/>
      <c r="G8" s="789" t="s">
        <v>1057</v>
      </c>
      <c r="H8" s="790" t="s">
        <v>1059</v>
      </c>
      <c r="I8" s="790" t="s">
        <v>1058</v>
      </c>
      <c r="J8" s="790" t="s">
        <v>1063</v>
      </c>
      <c r="K8" s="791" t="s">
        <v>1060</v>
      </c>
      <c r="L8" s="791" t="s">
        <v>1061</v>
      </c>
      <c r="M8" s="791" t="s">
        <v>1062</v>
      </c>
      <c r="N8" s="895"/>
    </row>
    <row r="9" spans="1:18" s="476" customFormat="1" ht="16.350000000000001" customHeight="1">
      <c r="B9" s="1167"/>
      <c r="C9" s="1167"/>
      <c r="D9" s="1167"/>
      <c r="E9" s="1167"/>
      <c r="F9" s="1167"/>
      <c r="G9" s="804"/>
      <c r="H9" s="804"/>
      <c r="I9" s="804"/>
      <c r="J9" s="804"/>
      <c r="K9" s="804"/>
      <c r="L9" s="804"/>
      <c r="M9" s="804"/>
    </row>
    <row r="10" spans="1:18" s="476" customFormat="1" ht="15.2" customHeight="1">
      <c r="B10" s="1198" t="s">
        <v>730</v>
      </c>
      <c r="C10" s="1167"/>
      <c r="D10" s="1167"/>
      <c r="E10" s="1168">
        <v>2024</v>
      </c>
      <c r="F10" s="1168"/>
      <c r="G10" s="1495">
        <v>496</v>
      </c>
      <c r="H10" s="1495">
        <v>111</v>
      </c>
      <c r="I10" s="1495">
        <v>125</v>
      </c>
      <c r="J10" s="1495">
        <v>58</v>
      </c>
      <c r="K10" s="1495">
        <v>23</v>
      </c>
      <c r="L10" s="1495">
        <v>76</v>
      </c>
      <c r="M10" s="1495">
        <v>103</v>
      </c>
    </row>
    <row r="11" spans="1:18" s="476" customFormat="1" ht="15.2" customHeight="1">
      <c r="B11" s="929" t="s">
        <v>731</v>
      </c>
      <c r="C11" s="1167"/>
      <c r="D11" s="1167"/>
      <c r="E11" s="1168">
        <v>2025</v>
      </c>
      <c r="F11" s="1168"/>
      <c r="G11" s="1495">
        <v>496</v>
      </c>
      <c r="H11" s="1495">
        <v>111</v>
      </c>
      <c r="I11" s="1495">
        <v>125</v>
      </c>
      <c r="J11" s="1495">
        <v>58</v>
      </c>
      <c r="K11" s="1495">
        <v>23</v>
      </c>
      <c r="L11" s="1495">
        <v>76</v>
      </c>
      <c r="M11" s="1495">
        <v>103</v>
      </c>
    </row>
    <row r="12" spans="1:18" s="476" customFormat="1" ht="8.1" customHeight="1">
      <c r="B12" s="1167"/>
      <c r="C12" s="1167"/>
      <c r="D12" s="1167"/>
      <c r="E12" s="1167"/>
      <c r="F12" s="1167"/>
      <c r="G12" s="1495"/>
      <c r="H12" s="1207"/>
      <c r="I12" s="1207"/>
      <c r="J12" s="1207"/>
      <c r="K12" s="1207"/>
      <c r="L12" s="1207"/>
      <c r="M12" s="1207"/>
    </row>
    <row r="13" spans="1:18" s="476" customFormat="1" ht="15.2" customHeight="1">
      <c r="B13" s="930" t="s">
        <v>732</v>
      </c>
      <c r="C13" s="922"/>
      <c r="D13" s="922"/>
      <c r="E13" s="1168">
        <v>2024</v>
      </c>
      <c r="F13" s="1168"/>
      <c r="G13" s="1207">
        <v>42</v>
      </c>
      <c r="H13" s="1207">
        <v>5</v>
      </c>
      <c r="I13" s="1207">
        <v>7</v>
      </c>
      <c r="J13" s="1207">
        <v>7</v>
      </c>
      <c r="K13" s="1207">
        <v>2</v>
      </c>
      <c r="L13" s="1207">
        <v>6</v>
      </c>
      <c r="M13" s="1207">
        <v>15</v>
      </c>
    </row>
    <row r="14" spans="1:18" s="476" customFormat="1" ht="15.2" customHeight="1">
      <c r="B14" s="1170" t="s">
        <v>733</v>
      </c>
      <c r="C14" s="925"/>
      <c r="D14" s="925"/>
      <c r="E14" s="1168">
        <v>2025</v>
      </c>
      <c r="F14" s="1168"/>
      <c r="G14" s="1207">
        <v>42</v>
      </c>
      <c r="H14" s="1207">
        <v>5</v>
      </c>
      <c r="I14" s="1207">
        <v>7</v>
      </c>
      <c r="J14" s="1207">
        <v>7</v>
      </c>
      <c r="K14" s="1207">
        <v>2</v>
      </c>
      <c r="L14" s="1207">
        <v>6</v>
      </c>
      <c r="M14" s="1207">
        <v>15</v>
      </c>
    </row>
    <row r="15" spans="1:18" s="476" customFormat="1" ht="8.1" customHeight="1">
      <c r="B15" s="929"/>
      <c r="C15" s="925"/>
      <c r="D15" s="925"/>
      <c r="E15" s="1171"/>
      <c r="F15" s="1171"/>
      <c r="G15" s="1207"/>
      <c r="H15" s="1207"/>
      <c r="I15" s="1207"/>
      <c r="J15" s="1207"/>
      <c r="K15" s="1207"/>
      <c r="L15" s="1207"/>
      <c r="M15" s="1207"/>
    </row>
    <row r="16" spans="1:18" s="476" customFormat="1" ht="15.2" customHeight="1">
      <c r="B16" s="1172" t="s">
        <v>746</v>
      </c>
      <c r="C16" s="925"/>
      <c r="D16" s="925"/>
      <c r="E16" s="1168">
        <v>2024</v>
      </c>
      <c r="F16" s="1168"/>
      <c r="G16" s="1496">
        <v>30</v>
      </c>
      <c r="H16" s="1496">
        <v>5</v>
      </c>
      <c r="I16" s="1496">
        <v>5</v>
      </c>
      <c r="J16" s="1496">
        <v>1</v>
      </c>
      <c r="K16" s="1496">
        <v>1</v>
      </c>
      <c r="L16" s="1496">
        <v>5</v>
      </c>
      <c r="M16" s="1496">
        <v>13</v>
      </c>
      <c r="P16" s="1173"/>
      <c r="Q16" s="1173"/>
      <c r="R16" s="1173"/>
    </row>
    <row r="17" spans="2:18" s="476" customFormat="1" ht="15.2" customHeight="1">
      <c r="B17" s="1170"/>
      <c r="C17" s="925"/>
      <c r="D17" s="925"/>
      <c r="E17" s="1168">
        <v>2025</v>
      </c>
      <c r="F17" s="1168"/>
      <c r="G17" s="1207">
        <v>42</v>
      </c>
      <c r="H17" s="1207">
        <v>5</v>
      </c>
      <c r="I17" s="1207">
        <v>7</v>
      </c>
      <c r="J17" s="1207">
        <v>7</v>
      </c>
      <c r="K17" s="1207">
        <v>2</v>
      </c>
      <c r="L17" s="1207">
        <v>6</v>
      </c>
      <c r="M17" s="1207">
        <v>15</v>
      </c>
      <c r="P17" s="1173"/>
      <c r="Q17" s="1173"/>
      <c r="R17" s="1173"/>
    </row>
    <row r="18" spans="2:18" s="476" customFormat="1" ht="8.1" customHeight="1">
      <c r="B18" s="1179"/>
      <c r="C18" s="925"/>
      <c r="D18" s="925"/>
      <c r="E18" s="925"/>
      <c r="F18" s="925"/>
      <c r="G18" s="1207"/>
      <c r="H18" s="1207"/>
      <c r="I18" s="1207"/>
      <c r="J18" s="1207"/>
      <c r="K18" s="1207"/>
      <c r="L18" s="1207"/>
      <c r="M18" s="1207"/>
      <c r="P18" s="1173"/>
      <c r="Q18" s="1173"/>
      <c r="R18" s="1173"/>
    </row>
    <row r="19" spans="2:18" s="476" customFormat="1" ht="15.2" customHeight="1">
      <c r="B19" s="1172" t="s">
        <v>747</v>
      </c>
      <c r="C19" s="925"/>
      <c r="D19" s="925"/>
      <c r="E19" s="1168">
        <v>2024</v>
      </c>
      <c r="F19" s="1168"/>
      <c r="G19" s="1207">
        <v>1</v>
      </c>
      <c r="H19" s="1207" t="s">
        <v>204</v>
      </c>
      <c r="I19" s="1207" t="s">
        <v>204</v>
      </c>
      <c r="J19" s="1207" t="s">
        <v>204</v>
      </c>
      <c r="K19" s="1207" t="s">
        <v>204</v>
      </c>
      <c r="L19" s="1207">
        <v>1</v>
      </c>
      <c r="M19" s="1207" t="s">
        <v>204</v>
      </c>
      <c r="P19" s="1173"/>
      <c r="Q19" s="1173"/>
      <c r="R19" s="1173"/>
    </row>
    <row r="20" spans="2:18" s="476" customFormat="1" ht="15.2" customHeight="1">
      <c r="B20" s="1204" t="s">
        <v>748</v>
      </c>
      <c r="C20" s="925"/>
      <c r="D20" s="925"/>
      <c r="E20" s="1168">
        <v>2025</v>
      </c>
      <c r="F20" s="1168"/>
      <c r="G20" s="1207">
        <v>42</v>
      </c>
      <c r="H20" s="1207">
        <v>5</v>
      </c>
      <c r="I20" s="1207">
        <v>7</v>
      </c>
      <c r="J20" s="1207">
        <v>7</v>
      </c>
      <c r="K20" s="1207">
        <v>2</v>
      </c>
      <c r="L20" s="1207">
        <v>6</v>
      </c>
      <c r="M20" s="1207">
        <v>15</v>
      </c>
      <c r="P20" s="1177"/>
      <c r="Q20" s="1177"/>
      <c r="R20" s="1177"/>
    </row>
    <row r="21" spans="2:18" s="476" customFormat="1" ht="8.1" customHeight="1">
      <c r="B21" s="1170"/>
      <c r="C21" s="925"/>
      <c r="D21" s="925"/>
      <c r="E21" s="1168"/>
      <c r="F21" s="1168"/>
      <c r="G21" s="1207"/>
      <c r="H21" s="1207"/>
      <c r="I21" s="1207"/>
      <c r="J21" s="1207"/>
      <c r="K21" s="1207"/>
      <c r="L21" s="1207"/>
      <c r="M21" s="1207"/>
      <c r="P21" s="1173"/>
      <c r="Q21" s="1173"/>
      <c r="R21" s="1173"/>
    </row>
    <row r="22" spans="2:18" s="476" customFormat="1" ht="15.2" customHeight="1">
      <c r="B22" s="1172" t="s">
        <v>749</v>
      </c>
      <c r="C22" s="925"/>
      <c r="D22" s="925"/>
      <c r="E22" s="1168">
        <v>2024</v>
      </c>
      <c r="F22" s="1168"/>
      <c r="G22" s="1207">
        <v>1</v>
      </c>
      <c r="H22" s="1207" t="s">
        <v>204</v>
      </c>
      <c r="I22" s="1207" t="s">
        <v>204</v>
      </c>
      <c r="J22" s="1207" t="s">
        <v>204</v>
      </c>
      <c r="K22" s="1207">
        <v>1</v>
      </c>
      <c r="L22" s="1207" t="s">
        <v>204</v>
      </c>
      <c r="M22" s="1207" t="s">
        <v>204</v>
      </c>
      <c r="P22" s="1173"/>
      <c r="Q22" s="1173"/>
      <c r="R22" s="1173"/>
    </row>
    <row r="23" spans="2:18" s="476" customFormat="1" ht="15.2" customHeight="1">
      <c r="B23" s="1205" t="s">
        <v>750</v>
      </c>
      <c r="C23" s="925"/>
      <c r="D23" s="925"/>
      <c r="E23" s="1168">
        <v>2025</v>
      </c>
      <c r="F23" s="1168"/>
      <c r="G23" s="1207">
        <v>42</v>
      </c>
      <c r="H23" s="1207">
        <v>5</v>
      </c>
      <c r="I23" s="1207">
        <v>7</v>
      </c>
      <c r="J23" s="1207">
        <v>7</v>
      </c>
      <c r="K23" s="1207">
        <v>2</v>
      </c>
      <c r="L23" s="1207">
        <v>6</v>
      </c>
      <c r="M23" s="1207">
        <v>15</v>
      </c>
      <c r="P23" s="1173"/>
      <c r="Q23" s="1173"/>
      <c r="R23" s="1173"/>
    </row>
    <row r="24" spans="2:18" s="476" customFormat="1" ht="8.1" customHeight="1">
      <c r="B24" s="1202"/>
      <c r="C24" s="925"/>
      <c r="D24" s="925"/>
      <c r="E24" s="1168"/>
      <c r="F24" s="1168"/>
      <c r="G24" s="1207"/>
      <c r="H24" s="1207"/>
      <c r="I24" s="1207"/>
      <c r="J24" s="1207"/>
      <c r="K24" s="1207"/>
      <c r="L24" s="1207"/>
      <c r="M24" s="1207"/>
      <c r="P24" s="1177"/>
      <c r="Q24" s="1177"/>
      <c r="R24" s="1177"/>
    </row>
    <row r="25" spans="2:18" s="476" customFormat="1" ht="15.2" customHeight="1">
      <c r="B25" s="1172" t="s">
        <v>751</v>
      </c>
      <c r="C25" s="925"/>
      <c r="D25" s="925"/>
      <c r="E25" s="1168">
        <v>2024</v>
      </c>
      <c r="F25" s="1168"/>
      <c r="G25" s="1207">
        <v>10</v>
      </c>
      <c r="H25" s="1207" t="s">
        <v>204</v>
      </c>
      <c r="I25" s="1207">
        <v>2</v>
      </c>
      <c r="J25" s="1207">
        <v>6</v>
      </c>
      <c r="K25" s="1207" t="s">
        <v>204</v>
      </c>
      <c r="L25" s="1207" t="s">
        <v>204</v>
      </c>
      <c r="M25" s="1207">
        <v>2</v>
      </c>
      <c r="P25" s="1177"/>
      <c r="Q25" s="1177"/>
      <c r="R25" s="1177"/>
    </row>
    <row r="26" spans="2:18" s="476" customFormat="1" ht="15.2" customHeight="1">
      <c r="B26" s="1205" t="s">
        <v>752</v>
      </c>
      <c r="C26" s="925"/>
      <c r="D26" s="925"/>
      <c r="E26" s="1168">
        <v>2025</v>
      </c>
      <c r="F26" s="1168"/>
      <c r="G26" s="1207">
        <v>42</v>
      </c>
      <c r="H26" s="1207">
        <v>5</v>
      </c>
      <c r="I26" s="1207">
        <v>7</v>
      </c>
      <c r="J26" s="1207">
        <v>7</v>
      </c>
      <c r="K26" s="1207">
        <v>2</v>
      </c>
      <c r="L26" s="1207">
        <v>6</v>
      </c>
      <c r="M26" s="1207">
        <v>15</v>
      </c>
    </row>
    <row r="27" spans="2:18" s="476" customFormat="1" ht="8.1" customHeight="1">
      <c r="B27" s="1202"/>
      <c r="C27" s="925"/>
      <c r="D27" s="925"/>
      <c r="E27" s="1168"/>
      <c r="F27" s="1168"/>
      <c r="G27" s="1207"/>
      <c r="H27" s="1207"/>
      <c r="I27" s="1207"/>
      <c r="J27" s="1207"/>
      <c r="K27" s="1207"/>
      <c r="L27" s="1207"/>
      <c r="M27" s="1207"/>
    </row>
    <row r="28" spans="2:18" s="476" customFormat="1" ht="15.2" customHeight="1">
      <c r="B28" s="1172" t="s">
        <v>753</v>
      </c>
      <c r="C28" s="925"/>
      <c r="D28" s="925"/>
      <c r="E28" s="1168">
        <v>2024</v>
      </c>
      <c r="F28" s="1168"/>
      <c r="G28" s="1207" t="s">
        <v>204</v>
      </c>
      <c r="H28" s="1207" t="s">
        <v>204</v>
      </c>
      <c r="I28" s="1207" t="s">
        <v>204</v>
      </c>
      <c r="J28" s="1207" t="s">
        <v>204</v>
      </c>
      <c r="K28" s="1207" t="s">
        <v>204</v>
      </c>
      <c r="L28" s="1207" t="s">
        <v>204</v>
      </c>
      <c r="M28" s="1207" t="s">
        <v>204</v>
      </c>
    </row>
    <row r="29" spans="2:18" s="476" customFormat="1" ht="15.2" customHeight="1">
      <c r="B29" s="1206" t="s">
        <v>754</v>
      </c>
      <c r="C29" s="925"/>
      <c r="D29" s="925"/>
      <c r="E29" s="1168">
        <v>2025</v>
      </c>
      <c r="F29" s="1168"/>
      <c r="G29" s="1207">
        <v>42</v>
      </c>
      <c r="H29" s="1207">
        <v>5</v>
      </c>
      <c r="I29" s="1207">
        <v>7</v>
      </c>
      <c r="J29" s="1207">
        <v>7</v>
      </c>
      <c r="K29" s="1207">
        <v>2</v>
      </c>
      <c r="L29" s="1207">
        <v>6</v>
      </c>
      <c r="M29" s="1207">
        <v>15</v>
      </c>
    </row>
    <row r="30" spans="2:18" s="476" customFormat="1" ht="8.1" customHeight="1">
      <c r="B30" s="1167"/>
      <c r="C30" s="925"/>
      <c r="D30" s="925"/>
      <c r="E30" s="925"/>
      <c r="F30" s="925"/>
      <c r="G30" s="1207"/>
      <c r="H30" s="1207"/>
      <c r="I30" s="1207"/>
      <c r="J30" s="1207"/>
      <c r="K30" s="1207"/>
      <c r="L30" s="1207"/>
      <c r="M30" s="1207"/>
    </row>
    <row r="31" spans="2:18" s="476" customFormat="1" ht="15.2" customHeight="1">
      <c r="B31" s="930" t="s">
        <v>734</v>
      </c>
      <c r="C31" s="1178"/>
      <c r="D31" s="1178"/>
      <c r="E31" s="1168">
        <v>2024</v>
      </c>
      <c r="F31" s="1168"/>
      <c r="G31" s="1207">
        <v>454</v>
      </c>
      <c r="H31" s="1207">
        <v>106</v>
      </c>
      <c r="I31" s="1207">
        <v>118</v>
      </c>
      <c r="J31" s="1207">
        <v>51</v>
      </c>
      <c r="K31" s="1207">
        <v>21</v>
      </c>
      <c r="L31" s="1207">
        <v>70</v>
      </c>
      <c r="M31" s="1207">
        <v>88</v>
      </c>
      <c r="N31" s="1207"/>
    </row>
    <row r="32" spans="2:18" s="476" customFormat="1" ht="15.2" customHeight="1">
      <c r="B32" s="1170" t="s">
        <v>735</v>
      </c>
      <c r="C32" s="925"/>
      <c r="D32" s="925"/>
      <c r="E32" s="1168">
        <v>2025</v>
      </c>
      <c r="F32" s="1168"/>
      <c r="G32" s="1207">
        <v>42</v>
      </c>
      <c r="H32" s="1207">
        <v>5</v>
      </c>
      <c r="I32" s="1207">
        <v>7</v>
      </c>
      <c r="J32" s="1207">
        <v>7</v>
      </c>
      <c r="K32" s="1207">
        <v>2</v>
      </c>
      <c r="L32" s="1207">
        <v>6</v>
      </c>
      <c r="M32" s="1207">
        <v>15</v>
      </c>
      <c r="N32" s="1207"/>
    </row>
    <row r="33" spans="1:14" s="476" customFormat="1" ht="8.1" customHeight="1">
      <c r="B33" s="1167"/>
      <c r="C33" s="925"/>
      <c r="D33" s="925"/>
      <c r="E33" s="925"/>
      <c r="F33" s="925"/>
      <c r="G33" s="1207"/>
      <c r="H33" s="1207"/>
      <c r="I33" s="1207"/>
      <c r="J33" s="1207"/>
      <c r="K33" s="1207"/>
      <c r="L33" s="1207"/>
      <c r="M33" s="1207"/>
    </row>
    <row r="34" spans="1:14" s="476" customFormat="1" ht="15.2" customHeight="1">
      <c r="B34" s="1172" t="s">
        <v>746</v>
      </c>
      <c r="C34" s="1199"/>
      <c r="D34" s="925"/>
      <c r="E34" s="1168">
        <v>2024</v>
      </c>
      <c r="F34" s="1168"/>
      <c r="G34" s="1207">
        <v>311</v>
      </c>
      <c r="H34" s="1207">
        <v>91</v>
      </c>
      <c r="I34" s="1207">
        <v>72</v>
      </c>
      <c r="J34" s="1207">
        <v>12</v>
      </c>
      <c r="K34" s="1207">
        <v>11</v>
      </c>
      <c r="L34" s="1207">
        <v>51</v>
      </c>
      <c r="M34" s="1207">
        <v>74</v>
      </c>
    </row>
    <row r="35" spans="1:14" s="476" customFormat="1" ht="15.2" customHeight="1">
      <c r="B35" s="1170"/>
      <c r="C35" s="1199"/>
      <c r="D35" s="925"/>
      <c r="E35" s="1168">
        <v>2025</v>
      </c>
      <c r="F35" s="1168"/>
      <c r="G35" s="1207">
        <v>42</v>
      </c>
      <c r="H35" s="1207">
        <v>5</v>
      </c>
      <c r="I35" s="1207">
        <v>7</v>
      </c>
      <c r="J35" s="1207">
        <v>7</v>
      </c>
      <c r="K35" s="1207">
        <v>2</v>
      </c>
      <c r="L35" s="1207">
        <v>6</v>
      </c>
      <c r="M35" s="1207">
        <v>15</v>
      </c>
    </row>
    <row r="36" spans="1:14" s="476" customFormat="1" ht="8.1" customHeight="1">
      <c r="B36" s="1179"/>
      <c r="C36" s="1199"/>
      <c r="D36" s="925"/>
      <c r="E36" s="925"/>
      <c r="F36" s="925"/>
      <c r="G36" s="1207"/>
      <c r="H36" s="1207"/>
      <c r="I36" s="1207"/>
      <c r="J36" s="1207"/>
      <c r="K36" s="1207"/>
      <c r="L36" s="1207"/>
      <c r="M36" s="1207"/>
    </row>
    <row r="37" spans="1:14" s="476" customFormat="1" ht="15.2" customHeight="1">
      <c r="B37" s="1172" t="s">
        <v>747</v>
      </c>
      <c r="C37" s="1199"/>
      <c r="D37" s="925"/>
      <c r="E37" s="1168">
        <v>2024</v>
      </c>
      <c r="F37" s="1168"/>
      <c r="G37" s="1207">
        <v>13</v>
      </c>
      <c r="H37" s="1207">
        <v>1</v>
      </c>
      <c r="I37" s="1207">
        <v>3</v>
      </c>
      <c r="J37" s="1207">
        <v>2</v>
      </c>
      <c r="K37" s="1207">
        <v>3</v>
      </c>
      <c r="L37" s="1207" t="s">
        <v>204</v>
      </c>
      <c r="M37" s="1207">
        <v>3</v>
      </c>
    </row>
    <row r="38" spans="1:14" s="476" customFormat="1" ht="15.2" customHeight="1">
      <c r="B38" s="1204" t="s">
        <v>748</v>
      </c>
      <c r="C38" s="1199"/>
      <c r="D38" s="925"/>
      <c r="E38" s="1168">
        <v>2025</v>
      </c>
      <c r="F38" s="1168"/>
      <c r="G38" s="1207">
        <v>42</v>
      </c>
      <c r="H38" s="1207">
        <v>5</v>
      </c>
      <c r="I38" s="1207">
        <v>7</v>
      </c>
      <c r="J38" s="1207">
        <v>7</v>
      </c>
      <c r="K38" s="1207">
        <v>2</v>
      </c>
      <c r="L38" s="1207">
        <v>6</v>
      </c>
      <c r="M38" s="1207">
        <v>15</v>
      </c>
    </row>
    <row r="39" spans="1:14" s="476" customFormat="1" ht="8.1" customHeight="1">
      <c r="B39" s="1170"/>
      <c r="C39" s="1199"/>
      <c r="D39" s="925"/>
      <c r="G39" s="1207"/>
      <c r="H39" s="1207"/>
      <c r="I39" s="1207"/>
      <c r="J39" s="1207"/>
      <c r="K39" s="1207"/>
      <c r="L39" s="1207"/>
      <c r="M39" s="1207"/>
    </row>
    <row r="40" spans="1:14" s="476" customFormat="1" ht="15.2" customHeight="1">
      <c r="B40" s="1172" t="s">
        <v>749</v>
      </c>
      <c r="C40" s="1199"/>
      <c r="D40" s="925"/>
      <c r="E40" s="1168">
        <v>2024</v>
      </c>
      <c r="F40" s="1168"/>
      <c r="G40" s="1207">
        <v>25</v>
      </c>
      <c r="H40" s="1207">
        <v>3</v>
      </c>
      <c r="I40" s="1207">
        <v>4</v>
      </c>
      <c r="J40" s="1207">
        <v>7</v>
      </c>
      <c r="K40" s="1207">
        <v>2</v>
      </c>
      <c r="L40" s="1207">
        <v>5</v>
      </c>
      <c r="M40" s="1207">
        <v>4</v>
      </c>
    </row>
    <row r="41" spans="1:14" s="476" customFormat="1" ht="15.2" customHeight="1">
      <c r="B41" s="1205" t="s">
        <v>750</v>
      </c>
      <c r="C41" s="1199"/>
      <c r="D41" s="925"/>
      <c r="E41" s="1168">
        <v>2025</v>
      </c>
      <c r="F41" s="1168"/>
      <c r="G41" s="1207">
        <v>42</v>
      </c>
      <c r="H41" s="1207">
        <v>5</v>
      </c>
      <c r="I41" s="1207">
        <v>7</v>
      </c>
      <c r="J41" s="1207">
        <v>7</v>
      </c>
      <c r="K41" s="1207">
        <v>2</v>
      </c>
      <c r="L41" s="1207">
        <v>6</v>
      </c>
      <c r="M41" s="1207">
        <v>15</v>
      </c>
    </row>
    <row r="42" spans="1:14" s="476" customFormat="1" ht="8.1" customHeight="1">
      <c r="B42" s="1202"/>
      <c r="C42" s="1199"/>
      <c r="D42" s="925"/>
      <c r="G42" s="1207"/>
      <c r="H42" s="1207"/>
      <c r="I42" s="1207"/>
      <c r="J42" s="1207"/>
      <c r="K42" s="1207"/>
      <c r="L42" s="1207"/>
      <c r="M42" s="1207"/>
    </row>
    <row r="43" spans="1:14" s="476" customFormat="1" ht="15.2" customHeight="1">
      <c r="B43" s="1172" t="s">
        <v>751</v>
      </c>
      <c r="C43" s="1199"/>
      <c r="D43" s="925"/>
      <c r="E43" s="1168">
        <v>2024</v>
      </c>
      <c r="F43" s="1168"/>
      <c r="G43" s="1207">
        <v>97</v>
      </c>
      <c r="H43" s="1207">
        <v>4</v>
      </c>
      <c r="I43" s="1207">
        <v>39</v>
      </c>
      <c r="J43" s="1207">
        <v>29</v>
      </c>
      <c r="K43" s="1207">
        <v>5</v>
      </c>
      <c r="L43" s="1207">
        <v>14</v>
      </c>
      <c r="M43" s="1207">
        <v>6</v>
      </c>
    </row>
    <row r="44" spans="1:14" s="476" customFormat="1" ht="15.2" customHeight="1">
      <c r="B44" s="1205" t="s">
        <v>752</v>
      </c>
      <c r="C44" s="1199"/>
      <c r="D44" s="925"/>
      <c r="E44" s="1168">
        <v>2025</v>
      </c>
      <c r="F44" s="1168"/>
      <c r="G44" s="1207">
        <v>42</v>
      </c>
      <c r="H44" s="1207">
        <v>5</v>
      </c>
      <c r="I44" s="1207">
        <v>7</v>
      </c>
      <c r="J44" s="1207">
        <v>7</v>
      </c>
      <c r="K44" s="1207">
        <v>2</v>
      </c>
      <c r="L44" s="1207">
        <v>6</v>
      </c>
      <c r="M44" s="1207">
        <v>15</v>
      </c>
    </row>
    <row r="45" spans="1:14" s="476" customFormat="1" ht="8.1" customHeight="1">
      <c r="B45" s="1202"/>
      <c r="C45" s="1199"/>
      <c r="D45" s="925"/>
      <c r="E45" s="1168"/>
      <c r="F45" s="1168"/>
      <c r="G45" s="1207"/>
      <c r="H45" s="1207"/>
      <c r="I45" s="1207"/>
      <c r="J45" s="1207"/>
      <c r="K45" s="1207"/>
      <c r="L45" s="1207"/>
      <c r="M45" s="1207"/>
    </row>
    <row r="46" spans="1:14" s="476" customFormat="1" ht="15.2" customHeight="1">
      <c r="B46" s="1172" t="s">
        <v>753</v>
      </c>
      <c r="C46" s="1199"/>
      <c r="D46" s="925"/>
      <c r="E46" s="1168">
        <v>2024</v>
      </c>
      <c r="F46" s="1168"/>
      <c r="G46" s="1207">
        <v>8</v>
      </c>
      <c r="H46" s="1207">
        <v>7</v>
      </c>
      <c r="I46" s="1207" t="s">
        <v>204</v>
      </c>
      <c r="J46" s="1207">
        <v>0</v>
      </c>
      <c r="K46" s="1207" t="s">
        <v>204</v>
      </c>
      <c r="L46" s="1207" t="s">
        <v>204</v>
      </c>
      <c r="M46" s="1207" t="s">
        <v>204</v>
      </c>
    </row>
    <row r="47" spans="1:14" s="476" customFormat="1" ht="15.2" customHeight="1">
      <c r="B47" s="1206" t="s">
        <v>754</v>
      </c>
      <c r="C47" s="925"/>
      <c r="D47" s="925"/>
      <c r="E47" s="1168">
        <v>2025</v>
      </c>
      <c r="F47" s="1168"/>
      <c r="G47" s="1207">
        <v>42</v>
      </c>
      <c r="H47" s="1207">
        <v>5</v>
      </c>
      <c r="I47" s="1207">
        <v>7</v>
      </c>
      <c r="J47" s="1207">
        <v>7</v>
      </c>
      <c r="K47" s="1207">
        <v>2</v>
      </c>
      <c r="L47" s="1207">
        <v>6</v>
      </c>
      <c r="M47" s="1207">
        <v>15</v>
      </c>
    </row>
    <row r="48" spans="1:14" ht="10.35" customHeight="1" thickBot="1">
      <c r="A48" s="815"/>
      <c r="B48" s="815"/>
      <c r="C48" s="815"/>
      <c r="D48" s="815"/>
      <c r="E48" s="815"/>
      <c r="F48" s="815"/>
      <c r="G48" s="939"/>
      <c r="H48" s="939"/>
      <c r="I48" s="939"/>
      <c r="J48" s="939"/>
      <c r="K48" s="939"/>
      <c r="L48" s="939"/>
      <c r="M48" s="939"/>
      <c r="N48" s="815"/>
    </row>
    <row r="49" spans="1:14" ht="15.2" customHeight="1" thickTop="1">
      <c r="A49" s="684"/>
      <c r="B49" s="940"/>
      <c r="C49" s="940"/>
      <c r="D49" s="940"/>
      <c r="E49" s="684"/>
      <c r="F49" s="684"/>
      <c r="G49" s="682"/>
      <c r="H49" s="682"/>
      <c r="I49" s="682"/>
      <c r="J49" s="682"/>
      <c r="K49" s="682"/>
      <c r="L49" s="682"/>
      <c r="M49" s="682"/>
      <c r="N49" s="1081" t="s">
        <v>736</v>
      </c>
    </row>
    <row r="50" spans="1:14" ht="15.2" customHeight="1">
      <c r="A50" s="684"/>
      <c r="B50" s="940"/>
      <c r="C50" s="940"/>
      <c r="D50" s="940"/>
      <c r="E50" s="940"/>
      <c r="F50" s="940"/>
      <c r="G50" s="682"/>
      <c r="H50" s="682"/>
      <c r="I50" s="682"/>
      <c r="J50" s="682"/>
      <c r="K50" s="682"/>
      <c r="L50" s="682"/>
      <c r="M50" s="682"/>
      <c r="N50" s="769" t="s">
        <v>737</v>
      </c>
    </row>
    <row r="51" spans="1:14" ht="15.2" customHeight="1">
      <c r="A51" s="1183" t="s">
        <v>738</v>
      </c>
      <c r="B51" s="684"/>
      <c r="C51" s="684"/>
      <c r="D51" s="684"/>
      <c r="E51" s="684"/>
      <c r="F51" s="1010"/>
      <c r="G51" s="1010"/>
      <c r="H51" s="1010"/>
      <c r="I51" s="1010"/>
      <c r="J51" s="1010"/>
      <c r="K51" s="1010"/>
      <c r="L51" s="1010"/>
      <c r="M51" s="68"/>
    </row>
    <row r="52" spans="1:14" ht="15.2" customHeight="1">
      <c r="A52" s="1184" t="s">
        <v>3</v>
      </c>
      <c r="B52" s="966" t="s">
        <v>1168</v>
      </c>
      <c r="C52" s="966"/>
      <c r="D52" s="684"/>
      <c r="E52" s="684"/>
      <c r="F52" s="1010"/>
      <c r="G52" s="1010"/>
      <c r="H52" s="1010"/>
      <c r="I52" s="1010"/>
      <c r="J52" s="1010"/>
      <c r="K52" s="1010"/>
      <c r="L52" s="1010"/>
      <c r="M52" s="68"/>
    </row>
    <row r="53" spans="1:14" ht="15" customHeight="1">
      <c r="A53" s="682"/>
      <c r="B53" s="1185" t="s">
        <v>1169</v>
      </c>
      <c r="C53" s="1186"/>
      <c r="D53" s="684"/>
      <c r="E53" s="684"/>
      <c r="F53" s="1010"/>
      <c r="G53" s="1010"/>
      <c r="H53" s="1010"/>
      <c r="I53" s="1010"/>
      <c r="J53" s="1010"/>
      <c r="K53" s="1010"/>
      <c r="L53" s="1010"/>
      <c r="M53" s="68"/>
    </row>
    <row r="54" spans="1:14" ht="6.75" customHeight="1">
      <c r="A54" s="682"/>
      <c r="B54" s="1185"/>
      <c r="C54" s="1186"/>
      <c r="D54" s="684"/>
      <c r="E54" s="684"/>
      <c r="F54" s="1010"/>
      <c r="G54" s="1010"/>
      <c r="H54" s="1010"/>
      <c r="I54" s="1010"/>
      <c r="J54" s="1010"/>
      <c r="K54" s="1010"/>
      <c r="L54" s="1010"/>
      <c r="M54" s="68"/>
    </row>
    <row r="55" spans="1:14" ht="15.2" customHeight="1">
      <c r="A55" s="1184" t="s">
        <v>4</v>
      </c>
      <c r="B55" s="1183" t="s">
        <v>1366</v>
      </c>
      <c r="C55" s="683"/>
      <c r="D55" s="684"/>
      <c r="E55" s="684"/>
      <c r="F55" s="1010"/>
      <c r="G55" s="1010"/>
      <c r="H55" s="1010"/>
      <c r="I55" s="1010"/>
      <c r="J55" s="1010"/>
      <c r="K55" s="1010"/>
      <c r="L55" s="1010"/>
      <c r="M55" s="68"/>
    </row>
    <row r="56" spans="1:14" ht="15.2" customHeight="1">
      <c r="A56" s="684"/>
      <c r="B56" s="1187" t="s">
        <v>1367</v>
      </c>
      <c r="C56" s="683"/>
      <c r="D56" s="684"/>
      <c r="E56" s="684"/>
      <c r="F56" s="1010"/>
      <c r="G56" s="1010"/>
      <c r="H56" s="1188"/>
      <c r="I56" s="1010"/>
      <c r="J56" s="1010"/>
      <c r="K56" s="1010"/>
      <c r="L56" s="1010"/>
      <c r="M56" s="68"/>
    </row>
    <row r="57" spans="1:14" ht="7.5" customHeight="1">
      <c r="A57" s="684"/>
      <c r="B57" s="684"/>
      <c r="C57" s="684"/>
      <c r="D57" s="684"/>
      <c r="F57" s="1163"/>
      <c r="G57" s="1163"/>
      <c r="H57" s="1163"/>
      <c r="I57" s="1163"/>
      <c r="J57" s="1163"/>
      <c r="K57" s="1163"/>
      <c r="L57" s="1163"/>
      <c r="M57" s="68"/>
    </row>
    <row r="58" spans="1:14" ht="15.2" customHeight="1">
      <c r="A58" s="1184" t="s">
        <v>263</v>
      </c>
      <c r="B58" s="1183" t="s">
        <v>1248</v>
      </c>
      <c r="C58" s="683"/>
      <c r="D58" s="684"/>
      <c r="E58" s="684"/>
      <c r="F58" s="1010"/>
      <c r="G58" s="1010"/>
      <c r="H58" s="1010"/>
      <c r="I58" s="1010"/>
      <c r="J58" s="1010"/>
      <c r="K58" s="1010"/>
      <c r="L58" s="1010"/>
      <c r="M58" s="68"/>
    </row>
    <row r="59" spans="1:14" ht="15" customHeight="1">
      <c r="A59" s="684"/>
      <c r="B59" s="1187" t="s">
        <v>1249</v>
      </c>
      <c r="C59" s="683"/>
      <c r="D59" s="684"/>
      <c r="E59" s="684"/>
      <c r="F59" s="1010"/>
      <c r="G59" s="1010"/>
      <c r="H59" s="1188"/>
      <c r="I59" s="1010"/>
      <c r="J59" s="1010"/>
      <c r="K59" s="1010"/>
      <c r="L59" s="1010"/>
      <c r="M59" s="68"/>
    </row>
  </sheetData>
  <mergeCells count="1">
    <mergeCell ref="B8:C8"/>
  </mergeCells>
  <pageMargins left="0.55118110236220474" right="0.55118110236220474" top="0.55118110236220474" bottom="0.55118110236220474" header="0.55118110236220474" footer="0.55118110236220474"/>
  <pageSetup paperSize="9" scale="67" fitToHeight="0" orientation="portrait" r:id="rId1"/>
  <headerFooter scaleWithDoc="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tabColor theme="4" tint="0.39997558519241921"/>
    <pageSetUpPr fitToPage="1"/>
  </sheetPr>
  <dimension ref="A1:R63"/>
  <sheetViews>
    <sheetView view="pageBreakPreview" zoomScaleNormal="130" zoomScaleSheetLayoutView="100" workbookViewId="0">
      <selection activeCell="I56" sqref="I56"/>
    </sheetView>
  </sheetViews>
  <sheetFormatPr defaultColWidth="9.140625" defaultRowHeight="16.5"/>
  <cols>
    <col min="1" max="1" width="2.85546875" style="68" customWidth="1"/>
    <col min="2" max="2" width="11.85546875" style="68" customWidth="1"/>
    <col min="3" max="3" width="9.140625" style="68"/>
    <col min="4" max="4" width="6" style="68" customWidth="1"/>
    <col min="5" max="5" width="6.7109375" style="68" customWidth="1"/>
    <col min="6" max="6" width="0.7109375" style="68" customWidth="1"/>
    <col min="7" max="13" width="13.85546875" style="609" customWidth="1"/>
    <col min="14" max="14" width="1.7109375" style="68" customWidth="1"/>
    <col min="15" max="16384" width="9.140625" style="68"/>
  </cols>
  <sheetData>
    <row r="1" spans="1:18" ht="8.1" customHeight="1"/>
    <row r="2" spans="1:18" ht="8.1" customHeight="1"/>
    <row r="3" spans="1:18" ht="16.350000000000001" customHeight="1">
      <c r="B3" s="778" t="s">
        <v>755</v>
      </c>
      <c r="C3" s="150" t="s">
        <v>1056</v>
      </c>
      <c r="D3" s="150"/>
      <c r="E3" s="150"/>
      <c r="F3" s="150"/>
      <c r="G3" s="778"/>
      <c r="H3" s="778"/>
      <c r="I3" s="778"/>
      <c r="J3" s="778"/>
      <c r="K3" s="778"/>
      <c r="L3" s="778"/>
      <c r="M3" s="778"/>
    </row>
    <row r="4" spans="1:18" ht="16.350000000000001" customHeight="1">
      <c r="B4" s="778"/>
      <c r="C4" s="150" t="s">
        <v>1365</v>
      </c>
      <c r="D4" s="150"/>
      <c r="E4" s="150"/>
      <c r="F4" s="150"/>
      <c r="G4" s="778"/>
      <c r="H4" s="778"/>
      <c r="I4" s="778"/>
      <c r="J4" s="778"/>
      <c r="K4" s="778"/>
      <c r="L4" s="778"/>
      <c r="M4" s="778"/>
    </row>
    <row r="5" spans="1:18" ht="16.149999999999999" customHeight="1">
      <c r="B5" s="781" t="s">
        <v>756</v>
      </c>
      <c r="C5" s="151" t="s">
        <v>1173</v>
      </c>
      <c r="D5" s="151"/>
      <c r="E5" s="151"/>
      <c r="F5" s="151"/>
      <c r="G5" s="778"/>
      <c r="H5" s="778"/>
      <c r="I5" s="778"/>
      <c r="J5" s="778"/>
      <c r="K5" s="778"/>
      <c r="L5" s="778"/>
      <c r="M5" s="778"/>
    </row>
    <row r="6" spans="1:18" ht="15.6" customHeight="1">
      <c r="A6" s="1189"/>
      <c r="B6" s="1189"/>
      <c r="C6" s="1190" t="s">
        <v>1365</v>
      </c>
      <c r="D6" s="1189"/>
      <c r="E6" s="1189"/>
      <c r="F6" s="1189"/>
      <c r="G6" s="1193"/>
      <c r="H6" s="1193"/>
      <c r="I6" s="1193"/>
      <c r="J6" s="1193"/>
      <c r="K6" s="1193"/>
      <c r="L6" s="1193"/>
      <c r="M6" s="1193"/>
    </row>
    <row r="7" spans="1:18" ht="15.6" customHeight="1" thickBot="1">
      <c r="A7" s="782"/>
      <c r="B7" s="782"/>
      <c r="C7" s="1194"/>
      <c r="D7" s="782"/>
      <c r="E7" s="782"/>
      <c r="F7" s="782"/>
      <c r="G7" s="784"/>
      <c r="H7" s="784"/>
      <c r="I7" s="784"/>
      <c r="J7" s="784"/>
      <c r="K7" s="784"/>
      <c r="L7" s="784"/>
      <c r="M7" s="784"/>
    </row>
    <row r="8" spans="1:18" s="476" customFormat="1" ht="54" customHeight="1" thickBot="1">
      <c r="A8" s="895"/>
      <c r="B8" s="2676" t="s">
        <v>729</v>
      </c>
      <c r="C8" s="2676"/>
      <c r="D8" s="2676"/>
      <c r="E8" s="1197" t="s">
        <v>239</v>
      </c>
      <c r="F8" s="1197"/>
      <c r="G8" s="789" t="s">
        <v>1057</v>
      </c>
      <c r="H8" s="790" t="s">
        <v>1059</v>
      </c>
      <c r="I8" s="790" t="s">
        <v>1058</v>
      </c>
      <c r="J8" s="790" t="s">
        <v>1063</v>
      </c>
      <c r="K8" s="791" t="s">
        <v>1060</v>
      </c>
      <c r="L8" s="791" t="s">
        <v>1061</v>
      </c>
      <c r="M8" s="791" t="s">
        <v>1062</v>
      </c>
      <c r="N8" s="895"/>
    </row>
    <row r="9" spans="1:18" s="476" customFormat="1" ht="16.350000000000001" customHeight="1">
      <c r="A9" s="1209"/>
      <c r="B9" s="1210"/>
      <c r="C9" s="1210"/>
      <c r="D9" s="1210"/>
      <c r="E9" s="1210"/>
      <c r="F9" s="1210"/>
      <c r="G9" s="1169"/>
      <c r="H9" s="1169"/>
      <c r="I9" s="1169"/>
      <c r="J9" s="1169"/>
      <c r="K9" s="1169"/>
      <c r="L9" s="1169"/>
      <c r="M9" s="1169"/>
    </row>
    <row r="10" spans="1:18" s="476" customFormat="1" ht="15.2" customHeight="1">
      <c r="B10" s="818" t="s">
        <v>730</v>
      </c>
      <c r="C10" s="1167"/>
      <c r="D10" s="1167"/>
      <c r="E10" s="1168">
        <v>2024</v>
      </c>
      <c r="F10" s="1168"/>
      <c r="G10" s="1495">
        <v>496</v>
      </c>
      <c r="H10" s="1495">
        <v>111</v>
      </c>
      <c r="I10" s="1495">
        <v>125</v>
      </c>
      <c r="J10" s="1495">
        <v>58</v>
      </c>
      <c r="K10" s="1495">
        <v>23</v>
      </c>
      <c r="L10" s="1495">
        <v>76</v>
      </c>
      <c r="M10" s="1495">
        <v>103</v>
      </c>
    </row>
    <row r="11" spans="1:18" s="476" customFormat="1" ht="15.2" customHeight="1">
      <c r="B11" s="1167" t="s">
        <v>731</v>
      </c>
      <c r="C11" s="1167"/>
      <c r="D11" s="1167"/>
      <c r="E11" s="1168">
        <v>2025</v>
      </c>
      <c r="F11" s="1168"/>
      <c r="G11" s="1495">
        <v>496</v>
      </c>
      <c r="H11" s="1495">
        <v>111</v>
      </c>
      <c r="I11" s="1495">
        <v>125</v>
      </c>
      <c r="J11" s="1495">
        <v>58</v>
      </c>
      <c r="K11" s="1495">
        <v>23</v>
      </c>
      <c r="L11" s="1495">
        <v>76</v>
      </c>
      <c r="M11" s="1495">
        <v>103</v>
      </c>
    </row>
    <row r="12" spans="1:18" s="476" customFormat="1" ht="8.1" customHeight="1">
      <c r="B12" s="1167"/>
      <c r="C12" s="1167"/>
      <c r="D12" s="1167"/>
      <c r="E12" s="1167"/>
      <c r="F12" s="1167"/>
      <c r="G12" s="1495"/>
      <c r="H12" s="1207"/>
      <c r="I12" s="1207"/>
      <c r="J12" s="1207"/>
      <c r="K12" s="1207"/>
      <c r="L12" s="1207"/>
      <c r="M12" s="1207"/>
    </row>
    <row r="13" spans="1:18" s="476" customFormat="1" ht="15.2" customHeight="1">
      <c r="B13" s="930" t="s">
        <v>732</v>
      </c>
      <c r="C13" s="922"/>
      <c r="D13" s="922"/>
      <c r="E13" s="1168">
        <v>2024</v>
      </c>
      <c r="F13" s="1168"/>
      <c r="G13" s="1207">
        <v>42</v>
      </c>
      <c r="H13" s="1207">
        <v>5</v>
      </c>
      <c r="I13" s="1207">
        <v>7</v>
      </c>
      <c r="J13" s="1207">
        <v>7</v>
      </c>
      <c r="K13" s="1207">
        <v>2</v>
      </c>
      <c r="L13" s="1207">
        <v>6</v>
      </c>
      <c r="M13" s="1207">
        <v>15</v>
      </c>
    </row>
    <row r="14" spans="1:18" s="476" customFormat="1" ht="15.2" customHeight="1">
      <c r="B14" s="1170" t="s">
        <v>733</v>
      </c>
      <c r="C14" s="925"/>
      <c r="D14" s="925"/>
      <c r="E14" s="1168">
        <v>2025</v>
      </c>
      <c r="F14" s="1168"/>
      <c r="G14" s="1207">
        <v>42</v>
      </c>
      <c r="H14" s="1207">
        <v>5</v>
      </c>
      <c r="I14" s="1207">
        <v>7</v>
      </c>
      <c r="J14" s="1207">
        <v>7</v>
      </c>
      <c r="K14" s="1207">
        <v>2</v>
      </c>
      <c r="L14" s="1207">
        <v>6</v>
      </c>
      <c r="M14" s="1207">
        <v>15</v>
      </c>
      <c r="O14" s="1200"/>
    </row>
    <row r="15" spans="1:18" s="476" customFormat="1" ht="8.1" customHeight="1">
      <c r="B15" s="929"/>
      <c r="C15" s="925"/>
      <c r="D15" s="925"/>
      <c r="E15" s="1171"/>
      <c r="F15" s="1171"/>
      <c r="G15" s="1207"/>
      <c r="H15" s="1207"/>
      <c r="I15" s="1207"/>
      <c r="J15" s="1207"/>
      <c r="K15" s="1207"/>
      <c r="L15" s="1207"/>
      <c r="M15" s="1207"/>
    </row>
    <row r="16" spans="1:18" s="476" customFormat="1" ht="15.2" customHeight="1">
      <c r="B16" s="1172" t="s">
        <v>757</v>
      </c>
      <c r="C16" s="925"/>
      <c r="D16" s="925"/>
      <c r="E16" s="1168">
        <v>2024</v>
      </c>
      <c r="F16" s="1168"/>
      <c r="G16" s="1207" t="s">
        <v>204</v>
      </c>
      <c r="H16" s="1207" t="s">
        <v>204</v>
      </c>
      <c r="I16" s="1207" t="s">
        <v>204</v>
      </c>
      <c r="J16" s="1207" t="s">
        <v>204</v>
      </c>
      <c r="K16" s="1207" t="s">
        <v>204</v>
      </c>
      <c r="L16" s="1207" t="s">
        <v>204</v>
      </c>
      <c r="M16" s="1207" t="s">
        <v>204</v>
      </c>
      <c r="P16" s="1173"/>
      <c r="Q16" s="1173"/>
      <c r="R16" s="1173"/>
    </row>
    <row r="17" spans="2:18" ht="15.2" customHeight="1">
      <c r="B17" s="1204" t="s">
        <v>758</v>
      </c>
      <c r="C17" s="925"/>
      <c r="D17" s="925"/>
      <c r="E17" s="1168">
        <v>2025</v>
      </c>
      <c r="F17" s="1168"/>
      <c r="G17" s="1207">
        <v>42</v>
      </c>
      <c r="H17" s="1207">
        <v>5</v>
      </c>
      <c r="I17" s="1207">
        <v>7</v>
      </c>
      <c r="J17" s="1207">
        <v>7</v>
      </c>
      <c r="K17" s="1207">
        <v>2</v>
      </c>
      <c r="L17" s="1207">
        <v>6</v>
      </c>
      <c r="M17" s="1207">
        <v>15</v>
      </c>
      <c r="P17" s="1211"/>
      <c r="Q17" s="1211"/>
      <c r="R17" s="1211"/>
    </row>
    <row r="18" spans="2:18" ht="8.1" customHeight="1">
      <c r="B18" s="1179"/>
      <c r="C18" s="925"/>
      <c r="D18" s="925"/>
      <c r="E18" s="925"/>
      <c r="F18" s="925"/>
      <c r="G18" s="1207"/>
      <c r="H18" s="1207"/>
      <c r="I18" s="1207"/>
      <c r="J18" s="1207"/>
      <c r="K18" s="1207"/>
      <c r="L18" s="1207"/>
      <c r="M18" s="1207"/>
      <c r="P18" s="1211"/>
      <c r="Q18" s="1211"/>
      <c r="R18" s="1211"/>
    </row>
    <row r="19" spans="2:18" ht="15.2" customHeight="1">
      <c r="B19" s="1172" t="s">
        <v>759</v>
      </c>
      <c r="C19" s="925"/>
      <c r="D19" s="925"/>
      <c r="E19" s="1168">
        <v>2024</v>
      </c>
      <c r="F19" s="1168"/>
      <c r="G19" s="1207">
        <v>2</v>
      </c>
      <c r="H19" s="1207" t="s">
        <v>204</v>
      </c>
      <c r="I19" s="1207" t="s">
        <v>204</v>
      </c>
      <c r="J19" s="1207" t="s">
        <v>204</v>
      </c>
      <c r="K19" s="1207" t="s">
        <v>204</v>
      </c>
      <c r="L19" s="1207">
        <v>1</v>
      </c>
      <c r="M19" s="1207">
        <v>1</v>
      </c>
      <c r="O19" s="1212"/>
      <c r="P19" s="1212"/>
      <c r="Q19" s="1212"/>
      <c r="R19" s="1212"/>
    </row>
    <row r="20" spans="2:18" ht="15.2" customHeight="1">
      <c r="B20" s="1204" t="s">
        <v>760</v>
      </c>
      <c r="C20" s="925"/>
      <c r="D20" s="925"/>
      <c r="E20" s="1168">
        <v>2025</v>
      </c>
      <c r="F20" s="1168"/>
      <c r="G20" s="1207">
        <v>42</v>
      </c>
      <c r="H20" s="1207">
        <v>5</v>
      </c>
      <c r="I20" s="1207">
        <v>7</v>
      </c>
      <c r="J20" s="1207">
        <v>7</v>
      </c>
      <c r="K20" s="1207">
        <v>2</v>
      </c>
      <c r="L20" s="1207">
        <v>6</v>
      </c>
      <c r="M20" s="1207">
        <v>15</v>
      </c>
      <c r="O20" s="1211"/>
      <c r="P20" s="1211"/>
      <c r="Q20" s="1211"/>
      <c r="R20" s="1211"/>
    </row>
    <row r="21" spans="2:18" ht="8.1" customHeight="1">
      <c r="B21" s="1170"/>
      <c r="C21" s="925"/>
      <c r="D21" s="925"/>
      <c r="E21" s="1168"/>
      <c r="F21" s="1168"/>
      <c r="G21" s="1207"/>
      <c r="H21" s="1207"/>
      <c r="I21" s="1207"/>
      <c r="J21" s="1207"/>
      <c r="K21" s="1207"/>
      <c r="L21" s="1207"/>
      <c r="M21" s="1207"/>
      <c r="O21" s="1211"/>
      <c r="P21" s="1211"/>
      <c r="Q21" s="1211"/>
      <c r="R21" s="1211"/>
    </row>
    <row r="22" spans="2:18" ht="15.2" customHeight="1">
      <c r="B22" s="1172" t="s">
        <v>761</v>
      </c>
      <c r="C22" s="925"/>
      <c r="D22" s="925"/>
      <c r="E22" s="1168">
        <v>2024</v>
      </c>
      <c r="F22" s="1168"/>
      <c r="G22" s="1207">
        <v>33</v>
      </c>
      <c r="H22" s="1207">
        <v>5</v>
      </c>
      <c r="I22" s="1207">
        <v>6</v>
      </c>
      <c r="J22" s="1207">
        <v>4</v>
      </c>
      <c r="K22" s="1207">
        <v>2</v>
      </c>
      <c r="L22" s="1207">
        <v>5</v>
      </c>
      <c r="M22" s="1207">
        <v>11</v>
      </c>
      <c r="O22" s="1211"/>
      <c r="P22" s="1211"/>
      <c r="Q22" s="1211"/>
      <c r="R22" s="1211"/>
    </row>
    <row r="23" spans="2:18" ht="15.2" customHeight="1">
      <c r="B23" s="1205" t="s">
        <v>762</v>
      </c>
      <c r="C23" s="925"/>
      <c r="D23" s="925"/>
      <c r="E23" s="1168">
        <v>2025</v>
      </c>
      <c r="F23" s="1168"/>
      <c r="G23" s="1207">
        <v>42</v>
      </c>
      <c r="H23" s="1207">
        <v>5</v>
      </c>
      <c r="I23" s="1207">
        <v>7</v>
      </c>
      <c r="J23" s="1207">
        <v>7</v>
      </c>
      <c r="K23" s="1207">
        <v>2</v>
      </c>
      <c r="L23" s="1207">
        <v>6</v>
      </c>
      <c r="M23" s="1207">
        <v>15</v>
      </c>
      <c r="O23" s="1212"/>
      <c r="P23" s="1212"/>
      <c r="Q23" s="1212"/>
      <c r="R23" s="1212"/>
    </row>
    <row r="24" spans="2:18" ht="8.1" customHeight="1">
      <c r="B24" s="1202"/>
      <c r="C24" s="925"/>
      <c r="D24" s="925"/>
      <c r="E24" s="1168"/>
      <c r="F24" s="1168"/>
      <c r="G24" s="1207"/>
      <c r="H24" s="1207"/>
      <c r="I24" s="1207"/>
      <c r="J24" s="1207"/>
      <c r="K24" s="1207"/>
      <c r="L24" s="1207"/>
      <c r="M24" s="1207"/>
    </row>
    <row r="25" spans="2:18" ht="15.2" customHeight="1">
      <c r="B25" s="1172" t="s">
        <v>763</v>
      </c>
      <c r="C25" s="925"/>
      <c r="D25" s="925"/>
      <c r="E25" s="1168">
        <v>2024</v>
      </c>
      <c r="F25" s="1168"/>
      <c r="G25" s="1207">
        <v>7</v>
      </c>
      <c r="H25" s="1207" t="s">
        <v>204</v>
      </c>
      <c r="I25" s="1207">
        <v>1</v>
      </c>
      <c r="J25" s="1207">
        <v>3</v>
      </c>
      <c r="K25" s="1207" t="s">
        <v>204</v>
      </c>
      <c r="L25" s="1207" t="s">
        <v>204</v>
      </c>
      <c r="M25" s="1207">
        <v>3</v>
      </c>
    </row>
    <row r="26" spans="2:18" ht="15.2" customHeight="1">
      <c r="B26" s="1205" t="s">
        <v>764</v>
      </c>
      <c r="C26" s="925"/>
      <c r="D26" s="925"/>
      <c r="E26" s="1168">
        <v>2025</v>
      </c>
      <c r="F26" s="1168"/>
      <c r="G26" s="1207">
        <v>42</v>
      </c>
      <c r="H26" s="1207">
        <v>5</v>
      </c>
      <c r="I26" s="1207">
        <v>7</v>
      </c>
      <c r="J26" s="1207">
        <v>7</v>
      </c>
      <c r="K26" s="1207">
        <v>2</v>
      </c>
      <c r="L26" s="1207">
        <v>6</v>
      </c>
      <c r="M26" s="1207">
        <v>15</v>
      </c>
    </row>
    <row r="27" spans="2:18" ht="7.9" customHeight="1">
      <c r="B27" s="1167"/>
      <c r="C27" s="925"/>
      <c r="D27" s="925"/>
      <c r="E27" s="925"/>
      <c r="F27" s="925"/>
      <c r="G27" s="1207"/>
      <c r="H27" s="1207"/>
      <c r="I27" s="1207"/>
      <c r="J27" s="1207"/>
      <c r="K27" s="1207"/>
      <c r="L27" s="1207"/>
      <c r="M27" s="1207"/>
    </row>
    <row r="28" spans="2:18" ht="15.2" customHeight="1">
      <c r="B28" s="930" t="s">
        <v>734</v>
      </c>
      <c r="C28" s="1178"/>
      <c r="D28" s="1178"/>
      <c r="E28" s="1168">
        <v>2024</v>
      </c>
      <c r="F28" s="1168"/>
      <c r="G28" s="1207">
        <v>454</v>
      </c>
      <c r="H28" s="1207">
        <v>106</v>
      </c>
      <c r="I28" s="1207">
        <v>118</v>
      </c>
      <c r="J28" s="1207">
        <v>51</v>
      </c>
      <c r="K28" s="1207">
        <v>21</v>
      </c>
      <c r="L28" s="1207">
        <v>70</v>
      </c>
      <c r="M28" s="1207">
        <v>88</v>
      </c>
    </row>
    <row r="29" spans="2:18" ht="15.2" customHeight="1">
      <c r="B29" s="1170" t="s">
        <v>735</v>
      </c>
      <c r="C29" s="925"/>
      <c r="D29" s="925"/>
      <c r="E29" s="1168">
        <v>2025</v>
      </c>
      <c r="F29" s="1168"/>
      <c r="G29" s="1207">
        <v>42</v>
      </c>
      <c r="H29" s="1207">
        <v>5</v>
      </c>
      <c r="I29" s="1207">
        <v>7</v>
      </c>
      <c r="J29" s="1207">
        <v>7</v>
      </c>
      <c r="K29" s="1207">
        <v>2</v>
      </c>
      <c r="L29" s="1207">
        <v>6</v>
      </c>
      <c r="M29" s="1207">
        <v>15</v>
      </c>
    </row>
    <row r="30" spans="2:18" ht="8.1" customHeight="1">
      <c r="B30" s="1167"/>
      <c r="C30" s="925"/>
      <c r="D30" s="925"/>
      <c r="E30" s="925"/>
      <c r="F30" s="925"/>
      <c r="G30" s="1207"/>
      <c r="H30" s="1207"/>
      <c r="I30" s="1207"/>
      <c r="J30" s="1207"/>
      <c r="K30" s="1207"/>
      <c r="L30" s="1207"/>
      <c r="M30" s="1207"/>
    </row>
    <row r="31" spans="2:18" ht="15.2" customHeight="1">
      <c r="B31" s="1172" t="s">
        <v>757</v>
      </c>
      <c r="C31" s="925"/>
      <c r="D31" s="925"/>
      <c r="E31" s="1168">
        <v>2024</v>
      </c>
      <c r="F31" s="1168"/>
      <c r="G31" s="1207" t="s">
        <v>204</v>
      </c>
      <c r="H31" s="1207" t="s">
        <v>204</v>
      </c>
      <c r="I31" s="1207" t="s">
        <v>204</v>
      </c>
      <c r="J31" s="1207" t="s">
        <v>204</v>
      </c>
      <c r="K31" s="1207" t="s">
        <v>204</v>
      </c>
      <c r="L31" s="1207" t="s">
        <v>204</v>
      </c>
      <c r="M31" s="1207" t="s">
        <v>204</v>
      </c>
    </row>
    <row r="32" spans="2:18" ht="15.2" customHeight="1">
      <c r="B32" s="1204" t="s">
        <v>758</v>
      </c>
      <c r="C32" s="925"/>
      <c r="D32" s="925"/>
      <c r="E32" s="1168">
        <v>2025</v>
      </c>
      <c r="F32" s="1168"/>
      <c r="G32" s="1207">
        <v>42</v>
      </c>
      <c r="H32" s="1207">
        <v>5</v>
      </c>
      <c r="I32" s="1207">
        <v>7</v>
      </c>
      <c r="J32" s="1207">
        <v>7</v>
      </c>
      <c r="K32" s="1207">
        <v>2</v>
      </c>
      <c r="L32" s="1207">
        <v>6</v>
      </c>
      <c r="M32" s="1207">
        <v>15</v>
      </c>
      <c r="O32" s="1211"/>
    </row>
    <row r="33" spans="1:15" ht="8.1" customHeight="1">
      <c r="B33" s="1179"/>
      <c r="C33" s="925"/>
      <c r="D33" s="925"/>
      <c r="E33" s="925"/>
      <c r="F33" s="925"/>
      <c r="G33" s="1207"/>
      <c r="H33" s="1207"/>
      <c r="I33" s="1207"/>
      <c r="J33" s="1207"/>
      <c r="K33" s="1207"/>
      <c r="L33" s="1207"/>
      <c r="M33" s="1207"/>
      <c r="O33" s="1211"/>
    </row>
    <row r="34" spans="1:15" ht="15.2" customHeight="1">
      <c r="B34" s="1172" t="s">
        <v>759</v>
      </c>
      <c r="C34" s="925"/>
      <c r="D34" s="925"/>
      <c r="E34" s="1168">
        <v>2024</v>
      </c>
      <c r="F34" s="1168"/>
      <c r="G34" s="1207">
        <v>6</v>
      </c>
      <c r="H34" s="1207" t="s">
        <v>204</v>
      </c>
      <c r="I34" s="1207">
        <v>1</v>
      </c>
      <c r="J34" s="1207">
        <v>2</v>
      </c>
      <c r="K34" s="1207" t="s">
        <v>204</v>
      </c>
      <c r="L34" s="1207">
        <v>1</v>
      </c>
      <c r="M34" s="1207">
        <v>2</v>
      </c>
      <c r="O34" s="1211"/>
    </row>
    <row r="35" spans="1:15" ht="15.2" customHeight="1">
      <c r="B35" s="1204" t="s">
        <v>760</v>
      </c>
      <c r="C35" s="925"/>
      <c r="D35" s="925"/>
      <c r="E35" s="1168">
        <v>2025</v>
      </c>
      <c r="F35" s="1168"/>
      <c r="G35" s="1207">
        <v>42</v>
      </c>
      <c r="H35" s="1207">
        <v>5</v>
      </c>
      <c r="I35" s="1207">
        <v>7</v>
      </c>
      <c r="J35" s="1207">
        <v>7</v>
      </c>
      <c r="K35" s="1207">
        <v>2</v>
      </c>
      <c r="L35" s="1207">
        <v>6</v>
      </c>
      <c r="M35" s="1207">
        <v>15</v>
      </c>
    </row>
    <row r="36" spans="1:15" ht="8.1" customHeight="1">
      <c r="B36" s="1170"/>
      <c r="C36" s="925"/>
      <c r="D36" s="925"/>
      <c r="E36" s="476"/>
      <c r="F36" s="476"/>
      <c r="G36" s="1207"/>
      <c r="H36" s="1207"/>
      <c r="I36" s="1207"/>
      <c r="J36" s="1207"/>
      <c r="K36" s="1207"/>
      <c r="L36" s="1207"/>
      <c r="M36" s="1207"/>
    </row>
    <row r="37" spans="1:15" ht="15.2" customHeight="1">
      <c r="B37" s="1172" t="s">
        <v>761</v>
      </c>
      <c r="C37" s="925"/>
      <c r="D37" s="925"/>
      <c r="E37" s="1168">
        <v>2024</v>
      </c>
      <c r="F37" s="1168"/>
      <c r="G37" s="1207">
        <v>321</v>
      </c>
      <c r="H37" s="1207">
        <v>65</v>
      </c>
      <c r="I37" s="1207">
        <v>92</v>
      </c>
      <c r="J37" s="1207">
        <v>32</v>
      </c>
      <c r="K37" s="1207">
        <v>12</v>
      </c>
      <c r="L37" s="1207">
        <v>53</v>
      </c>
      <c r="M37" s="1207">
        <v>67</v>
      </c>
    </row>
    <row r="38" spans="1:15" ht="15.2" customHeight="1">
      <c r="B38" s="1205" t="s">
        <v>762</v>
      </c>
      <c r="C38" s="925"/>
      <c r="D38" s="925"/>
      <c r="E38" s="1168">
        <v>2025</v>
      </c>
      <c r="F38" s="1168"/>
      <c r="G38" s="1207">
        <v>42</v>
      </c>
      <c r="H38" s="1207">
        <v>5</v>
      </c>
      <c r="I38" s="1207">
        <v>7</v>
      </c>
      <c r="J38" s="1207">
        <v>7</v>
      </c>
      <c r="K38" s="1207">
        <v>2</v>
      </c>
      <c r="L38" s="1207">
        <v>6</v>
      </c>
      <c r="M38" s="1207">
        <v>15</v>
      </c>
    </row>
    <row r="39" spans="1:15" ht="8.1" customHeight="1">
      <c r="B39" s="1202"/>
      <c r="C39" s="925"/>
      <c r="D39" s="925"/>
      <c r="E39" s="476"/>
      <c r="F39" s="476"/>
      <c r="G39" s="1207"/>
      <c r="H39" s="1207"/>
      <c r="I39" s="1207"/>
      <c r="J39" s="1207"/>
      <c r="K39" s="1207"/>
      <c r="L39" s="1207"/>
      <c r="M39" s="1207"/>
    </row>
    <row r="40" spans="1:15" ht="15.2" customHeight="1">
      <c r="B40" s="1172" t="s">
        <v>763</v>
      </c>
      <c r="C40" s="925"/>
      <c r="D40" s="925"/>
      <c r="E40" s="1168">
        <v>2024</v>
      </c>
      <c r="F40" s="1168"/>
      <c r="G40" s="1207">
        <v>127</v>
      </c>
      <c r="H40" s="1207">
        <v>41</v>
      </c>
      <c r="I40" s="1207">
        <v>25</v>
      </c>
      <c r="J40" s="1207">
        <v>17</v>
      </c>
      <c r="K40" s="1207">
        <v>9</v>
      </c>
      <c r="L40" s="1207">
        <v>16</v>
      </c>
      <c r="M40" s="1207">
        <v>19</v>
      </c>
    </row>
    <row r="41" spans="1:15" ht="15.2" customHeight="1">
      <c r="B41" s="1205" t="s">
        <v>764</v>
      </c>
      <c r="C41" s="925"/>
      <c r="D41" s="925"/>
      <c r="E41" s="1168">
        <v>2025</v>
      </c>
      <c r="F41" s="1168"/>
      <c r="G41" s="1207">
        <v>42</v>
      </c>
      <c r="H41" s="1207">
        <v>5</v>
      </c>
      <c r="I41" s="1207">
        <v>7</v>
      </c>
      <c r="J41" s="1207">
        <v>7</v>
      </c>
      <c r="K41" s="1207">
        <v>2</v>
      </c>
      <c r="L41" s="1207">
        <v>6</v>
      </c>
      <c r="M41" s="1207">
        <v>15</v>
      </c>
    </row>
    <row r="42" spans="1:15" ht="8.1" customHeight="1">
      <c r="A42" s="1213"/>
      <c r="B42" s="1213"/>
      <c r="C42" s="1213"/>
      <c r="D42" s="1213"/>
      <c r="E42" s="1213"/>
      <c r="F42" s="1213"/>
      <c r="G42" s="928"/>
      <c r="H42" s="928"/>
      <c r="I42" s="928"/>
      <c r="J42" s="928"/>
      <c r="K42" s="928"/>
      <c r="L42" s="928"/>
      <c r="M42" s="928"/>
      <c r="N42" s="928"/>
    </row>
    <row r="43" spans="1:15" ht="8.1" customHeight="1" thickBot="1">
      <c r="A43" s="815"/>
      <c r="B43" s="815"/>
      <c r="C43" s="815"/>
      <c r="D43" s="815"/>
      <c r="E43" s="815"/>
      <c r="F43" s="815"/>
      <c r="G43" s="939"/>
      <c r="H43" s="939"/>
      <c r="I43" s="939"/>
      <c r="J43" s="939"/>
      <c r="K43" s="939"/>
      <c r="L43" s="939"/>
      <c r="M43" s="939"/>
      <c r="N43" s="939"/>
    </row>
    <row r="44" spans="1:15" ht="15.2" customHeight="1" thickTop="1">
      <c r="A44" s="684"/>
      <c r="B44" s="940"/>
      <c r="C44" s="940"/>
      <c r="D44" s="940"/>
      <c r="E44" s="684"/>
      <c r="F44" s="684"/>
      <c r="G44" s="682"/>
      <c r="H44" s="682"/>
      <c r="I44" s="682"/>
      <c r="J44" s="682"/>
      <c r="K44" s="682"/>
      <c r="L44" s="682"/>
      <c r="M44" s="682"/>
      <c r="N44" s="1081" t="s">
        <v>736</v>
      </c>
    </row>
    <row r="45" spans="1:15" ht="15.2" customHeight="1">
      <c r="A45" s="684"/>
      <c r="B45" s="940"/>
      <c r="C45" s="940"/>
      <c r="D45" s="940"/>
      <c r="E45" s="940"/>
      <c r="F45" s="940"/>
      <c r="G45" s="682"/>
      <c r="H45" s="682"/>
      <c r="I45" s="682"/>
      <c r="J45" s="682"/>
      <c r="K45" s="682"/>
      <c r="L45" s="682"/>
      <c r="M45" s="682"/>
      <c r="N45" s="769" t="s">
        <v>737</v>
      </c>
    </row>
    <row r="46" spans="1:15" ht="8.1" customHeight="1">
      <c r="A46" s="684"/>
      <c r="B46" s="684"/>
      <c r="C46" s="684"/>
      <c r="D46" s="684"/>
      <c r="E46" s="684"/>
      <c r="F46" s="684"/>
      <c r="G46" s="769"/>
      <c r="H46" s="769"/>
      <c r="I46" s="769"/>
      <c r="J46" s="769"/>
      <c r="K46" s="769"/>
      <c r="L46" s="769"/>
      <c r="M46" s="769"/>
      <c r="N46" s="684"/>
    </row>
    <row r="47" spans="1:15" ht="15.2" customHeight="1">
      <c r="A47" s="1183" t="s">
        <v>738</v>
      </c>
      <c r="B47" s="684"/>
      <c r="C47" s="684"/>
      <c r="D47" s="684"/>
      <c r="E47" s="684"/>
      <c r="F47" s="1010"/>
      <c r="G47" s="1010"/>
      <c r="H47" s="1010"/>
      <c r="I47" s="1010"/>
      <c r="J47" s="1010"/>
      <c r="K47" s="1010"/>
      <c r="L47" s="1010"/>
      <c r="M47" s="68"/>
    </row>
    <row r="48" spans="1:15" ht="15.2" customHeight="1">
      <c r="A48" s="1184" t="s">
        <v>3</v>
      </c>
      <c r="B48" s="966" t="s">
        <v>1168</v>
      </c>
      <c r="C48" s="966"/>
      <c r="D48" s="684"/>
      <c r="E48" s="684"/>
      <c r="F48" s="1010"/>
      <c r="G48" s="1010"/>
      <c r="H48" s="1010"/>
      <c r="I48" s="1010"/>
      <c r="J48" s="1010"/>
      <c r="K48" s="1010"/>
      <c r="L48" s="1010"/>
      <c r="M48" s="68"/>
    </row>
    <row r="49" spans="1:15" ht="15" customHeight="1">
      <c r="A49" s="682"/>
      <c r="B49" s="1185" t="s">
        <v>1169</v>
      </c>
      <c r="C49" s="1186"/>
      <c r="D49" s="684"/>
      <c r="E49" s="684"/>
      <c r="F49" s="1010"/>
      <c r="G49" s="1010"/>
      <c r="H49" s="1010"/>
      <c r="I49" s="1010"/>
      <c r="J49" s="1010"/>
      <c r="K49" s="1010"/>
      <c r="L49" s="1010"/>
      <c r="M49" s="68"/>
    </row>
    <row r="50" spans="1:15" ht="6.75" customHeight="1">
      <c r="A50" s="682"/>
      <c r="B50" s="1185"/>
      <c r="C50" s="1186"/>
      <c r="D50" s="684"/>
      <c r="E50" s="684"/>
      <c r="F50" s="1010"/>
      <c r="G50" s="1010"/>
      <c r="H50" s="1010"/>
      <c r="I50" s="1010"/>
      <c r="J50" s="1010"/>
      <c r="K50" s="1010"/>
      <c r="L50" s="1010"/>
      <c r="M50" s="68"/>
    </row>
    <row r="51" spans="1:15" ht="15.2" customHeight="1">
      <c r="A51" s="1184" t="s">
        <v>4</v>
      </c>
      <c r="B51" s="1183" t="s">
        <v>1366</v>
      </c>
      <c r="C51" s="683"/>
      <c r="D51" s="684"/>
      <c r="E51" s="684"/>
      <c r="F51" s="1010"/>
      <c r="G51" s="1010"/>
      <c r="H51" s="1010"/>
      <c r="I51" s="1010"/>
      <c r="J51" s="1010"/>
      <c r="K51" s="1010"/>
      <c r="L51" s="1010"/>
      <c r="M51" s="68"/>
    </row>
    <row r="52" spans="1:15" ht="15.2" customHeight="1">
      <c r="A52" s="684"/>
      <c r="B52" s="1187" t="s">
        <v>1367</v>
      </c>
      <c r="C52" s="683"/>
      <c r="D52" s="684"/>
      <c r="E52" s="684"/>
      <c r="F52" s="1010"/>
      <c r="G52" s="1010"/>
      <c r="H52" s="1188"/>
      <c r="I52" s="1010"/>
      <c r="J52" s="1010"/>
      <c r="K52" s="1010"/>
      <c r="L52" s="1010"/>
      <c r="M52" s="68"/>
    </row>
    <row r="53" spans="1:15" ht="7.5" customHeight="1">
      <c r="A53" s="684"/>
      <c r="B53" s="684"/>
      <c r="C53" s="684"/>
      <c r="D53" s="684"/>
      <c r="F53" s="1163"/>
      <c r="G53" s="1163"/>
      <c r="H53" s="1163"/>
      <c r="I53" s="1163"/>
      <c r="J53" s="1163"/>
      <c r="K53" s="1163"/>
      <c r="L53" s="1163"/>
      <c r="M53" s="68"/>
    </row>
    <row r="54" spans="1:15" ht="15.2" customHeight="1">
      <c r="A54" s="1184" t="s">
        <v>263</v>
      </c>
      <c r="B54" s="1183" t="s">
        <v>1248</v>
      </c>
      <c r="C54" s="683"/>
      <c r="D54" s="684"/>
      <c r="E54" s="684"/>
      <c r="F54" s="1010"/>
      <c r="G54" s="1010"/>
      <c r="H54" s="1010"/>
      <c r="I54" s="1010"/>
      <c r="J54" s="1010"/>
      <c r="K54" s="1010"/>
      <c r="L54" s="1010"/>
      <c r="M54" s="68"/>
    </row>
    <row r="55" spans="1:15" ht="15" customHeight="1">
      <c r="A55" s="684"/>
      <c r="B55" s="1187" t="s">
        <v>1249</v>
      </c>
      <c r="C55" s="683"/>
      <c r="D55" s="684"/>
      <c r="E55" s="684"/>
      <c r="F55" s="1010"/>
      <c r="G55" s="1010"/>
      <c r="H55" s="1188"/>
      <c r="I55" s="1010"/>
      <c r="J55" s="1010"/>
      <c r="K55" s="1010"/>
      <c r="L55" s="1010"/>
      <c r="M55" s="68"/>
    </row>
    <row r="56" spans="1:15" ht="9.75" customHeight="1">
      <c r="A56" s="682"/>
      <c r="B56" s="1187"/>
      <c r="C56" s="1208"/>
      <c r="D56" s="1208"/>
      <c r="E56" s="684"/>
      <c r="F56" s="684"/>
      <c r="G56" s="682"/>
      <c r="H56" s="682"/>
      <c r="I56" s="682"/>
      <c r="J56" s="682"/>
      <c r="K56" s="682"/>
      <c r="L56" s="682"/>
      <c r="M56" s="682"/>
      <c r="N56" s="684"/>
    </row>
    <row r="57" spans="1:15" ht="15" customHeight="1">
      <c r="A57" s="1653" t="s">
        <v>570</v>
      </c>
      <c r="B57" s="2677" t="s">
        <v>765</v>
      </c>
      <c r="C57" s="2677"/>
      <c r="D57" s="2677"/>
      <c r="E57" s="2677"/>
      <c r="F57" s="2677"/>
      <c r="G57" s="2677"/>
      <c r="H57" s="2677"/>
      <c r="I57" s="2677"/>
      <c r="J57" s="2677"/>
      <c r="K57" s="2677"/>
      <c r="L57" s="2677"/>
      <c r="M57" s="2677"/>
      <c r="N57" s="2677"/>
      <c r="O57" s="1214"/>
    </row>
    <row r="58" spans="1:15" ht="26.25" customHeight="1">
      <c r="A58" s="682"/>
      <c r="B58" s="2677"/>
      <c r="C58" s="2677"/>
      <c r="D58" s="2677"/>
      <c r="E58" s="2677"/>
      <c r="F58" s="2677"/>
      <c r="G58" s="2677"/>
      <c r="H58" s="2677"/>
      <c r="I58" s="2677"/>
      <c r="J58" s="2677"/>
      <c r="K58" s="2677"/>
      <c r="L58" s="2677"/>
      <c r="M58" s="2677"/>
      <c r="N58" s="2677"/>
      <c r="O58" s="1214"/>
    </row>
    <row r="59" spans="1:15" ht="16.5" customHeight="1">
      <c r="A59" s="684"/>
      <c r="B59" s="2678" t="s">
        <v>766</v>
      </c>
      <c r="C59" s="2678"/>
      <c r="D59" s="2678"/>
      <c r="E59" s="2678"/>
      <c r="F59" s="2678"/>
      <c r="G59" s="2678"/>
      <c r="H59" s="2678"/>
      <c r="I59" s="2678"/>
      <c r="J59" s="2678"/>
      <c r="K59" s="2678"/>
      <c r="L59" s="2678"/>
      <c r="M59" s="2678"/>
      <c r="N59" s="2678"/>
      <c r="O59" s="1215"/>
    </row>
    <row r="60" spans="1:15" ht="16.5" customHeight="1">
      <c r="A60" s="684"/>
      <c r="B60" s="2678"/>
      <c r="C60" s="2678"/>
      <c r="D60" s="2678"/>
      <c r="E60" s="2678"/>
      <c r="F60" s="2678"/>
      <c r="G60" s="2678"/>
      <c r="H60" s="2678"/>
      <c r="I60" s="2678"/>
      <c r="J60" s="2678"/>
      <c r="K60" s="2678"/>
      <c r="L60" s="2678"/>
      <c r="M60" s="2678"/>
      <c r="N60" s="2678"/>
      <c r="O60" s="1215"/>
    </row>
    <row r="61" spans="1:15" ht="16.5" customHeight="1">
      <c r="A61" s="684"/>
      <c r="B61" s="2678"/>
      <c r="C61" s="2678"/>
      <c r="D61" s="2678"/>
      <c r="E61" s="2678"/>
      <c r="F61" s="2678"/>
      <c r="G61" s="2678"/>
      <c r="H61" s="2678"/>
      <c r="I61" s="2678"/>
      <c r="J61" s="2678"/>
      <c r="K61" s="2678"/>
      <c r="L61" s="2678"/>
      <c r="M61" s="2678"/>
      <c r="N61" s="2678"/>
      <c r="O61" s="1215"/>
    </row>
    <row r="62" spans="1:15" ht="9.6" customHeight="1">
      <c r="A62" s="684"/>
      <c r="B62" s="1706"/>
      <c r="C62" s="1706"/>
      <c r="D62" s="1706"/>
      <c r="E62" s="1706"/>
      <c r="F62" s="1706"/>
      <c r="G62" s="1706"/>
      <c r="H62" s="1706"/>
      <c r="I62" s="1706"/>
      <c r="J62" s="1706"/>
      <c r="K62" s="1706"/>
      <c r="L62" s="1706"/>
      <c r="M62" s="1706"/>
      <c r="N62" s="1706"/>
      <c r="O62" s="1215"/>
    </row>
    <row r="63" spans="1:15" ht="7.9" customHeight="1">
      <c r="A63" s="684"/>
      <c r="B63" s="1185"/>
      <c r="C63" s="684"/>
      <c r="D63" s="684"/>
      <c r="E63" s="684"/>
      <c r="F63" s="684"/>
      <c r="G63" s="682"/>
      <c r="H63" s="682"/>
      <c r="I63" s="682"/>
      <c r="J63" s="682"/>
      <c r="K63" s="682"/>
      <c r="L63" s="682"/>
      <c r="M63" s="682"/>
      <c r="N63" s="684"/>
    </row>
  </sheetData>
  <mergeCells count="3">
    <mergeCell ref="B8:D8"/>
    <mergeCell ref="B57:N58"/>
    <mergeCell ref="B59:N61"/>
  </mergeCells>
  <pageMargins left="0.55118110236220474" right="0.55118110236220474" top="0.55118110236220474" bottom="0.55118110236220474" header="0.55118110236220474" footer="0.55118110236220474"/>
  <pageSetup paperSize="9" scale="67" fitToHeight="0" orientation="portrait" r:id="rId1"/>
  <headerFooter scaleWithDoc="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6">
    <pageSetUpPr fitToPage="1"/>
  </sheetPr>
  <dimension ref="A1:K57"/>
  <sheetViews>
    <sheetView view="pageBreakPreview" zoomScale="90" zoomScaleNormal="64" zoomScaleSheetLayoutView="90" workbookViewId="0">
      <selection activeCell="O15" sqref="O15"/>
    </sheetView>
  </sheetViews>
  <sheetFormatPr defaultColWidth="9.140625" defaultRowHeight="16.5"/>
  <cols>
    <col min="1" max="1" width="1.5703125" style="68" customWidth="1"/>
    <col min="2" max="2" width="11.85546875" style="68" customWidth="1"/>
    <col min="3" max="3" width="28.42578125" style="68" customWidth="1"/>
    <col min="4" max="5" width="13.85546875" style="68" customWidth="1"/>
    <col min="6" max="6" width="13.85546875" style="609" customWidth="1"/>
    <col min="7" max="10" width="13.85546875" style="68" customWidth="1"/>
    <col min="11" max="11" width="1.140625" style="68" customWidth="1"/>
    <col min="12" max="16384" width="9.140625" style="68"/>
  </cols>
  <sheetData>
    <row r="1" spans="1:11" ht="8.1" customHeight="1"/>
    <row r="2" spans="1:11" ht="8.1" customHeight="1"/>
    <row r="3" spans="1:11" ht="16.350000000000001" customHeight="1">
      <c r="B3" s="1216" t="s">
        <v>767</v>
      </c>
      <c r="C3" s="1217" t="s">
        <v>1368</v>
      </c>
    </row>
    <row r="4" spans="1:11" ht="16.350000000000001" customHeight="1">
      <c r="B4" s="1218" t="s">
        <v>768</v>
      </c>
      <c r="C4" s="1219" t="s">
        <v>1369</v>
      </c>
    </row>
    <row r="5" spans="1:11" ht="13.15" customHeight="1" thickBot="1">
      <c r="A5" s="1220"/>
      <c r="B5" s="1220"/>
      <c r="C5" s="1220"/>
      <c r="D5" s="1220"/>
      <c r="E5" s="1220"/>
      <c r="F5" s="1221"/>
      <c r="G5" s="1220"/>
    </row>
    <row r="6" spans="1:11" s="476" customFormat="1" ht="54" customHeight="1" thickBot="1">
      <c r="A6" s="7"/>
      <c r="B6" s="2651" t="s">
        <v>769</v>
      </c>
      <c r="C6" s="2660"/>
      <c r="D6" s="789" t="s">
        <v>1057</v>
      </c>
      <c r="E6" s="790" t="s">
        <v>1059</v>
      </c>
      <c r="F6" s="790" t="s">
        <v>1058</v>
      </c>
      <c r="G6" s="790" t="s">
        <v>1063</v>
      </c>
      <c r="H6" s="791" t="s">
        <v>1060</v>
      </c>
      <c r="I6" s="791" t="s">
        <v>1061</v>
      </c>
      <c r="J6" s="791" t="s">
        <v>1062</v>
      </c>
      <c r="K6" s="895"/>
    </row>
    <row r="7" spans="1:11" s="476" customFormat="1" ht="16.350000000000001" customHeight="1">
      <c r="B7" s="1222"/>
      <c r="C7" s="1223"/>
      <c r="D7" s="1223"/>
      <c r="E7" s="1223"/>
      <c r="F7" s="1223"/>
      <c r="G7" s="1223"/>
      <c r="H7" s="1223"/>
    </row>
    <row r="8" spans="1:11" s="476" customFormat="1" ht="15.2" customHeight="1">
      <c r="B8" s="1224" t="s">
        <v>551</v>
      </c>
      <c r="D8" s="1497"/>
      <c r="E8" s="1497"/>
      <c r="F8" s="1497"/>
      <c r="G8" s="1497"/>
      <c r="H8" s="1497"/>
      <c r="I8" s="579"/>
      <c r="J8" s="579"/>
    </row>
    <row r="9" spans="1:11" s="476" customFormat="1" ht="15.2" customHeight="1">
      <c r="B9" s="1150" t="s">
        <v>552</v>
      </c>
      <c r="C9" s="1223"/>
      <c r="D9" s="1497"/>
      <c r="E9" s="1497"/>
      <c r="F9" s="1497"/>
      <c r="G9" s="1497"/>
      <c r="H9" s="1497"/>
      <c r="I9" s="579"/>
      <c r="J9" s="579"/>
    </row>
    <row r="10" spans="1:11" s="476" customFormat="1" ht="8.1" customHeight="1">
      <c r="B10" s="1150"/>
      <c r="C10" s="1223"/>
      <c r="D10" s="1497"/>
      <c r="E10" s="1497"/>
      <c r="F10" s="1497"/>
      <c r="G10" s="1497"/>
      <c r="H10" s="1497"/>
      <c r="I10" s="579"/>
      <c r="J10" s="579"/>
    </row>
    <row r="11" spans="1:11" s="476" customFormat="1" ht="15.2" customHeight="1">
      <c r="B11" s="1225" t="s">
        <v>770</v>
      </c>
      <c r="D11" s="1226">
        <v>23</v>
      </c>
      <c r="E11" s="1226">
        <v>23</v>
      </c>
      <c r="F11" s="1226">
        <v>23</v>
      </c>
      <c r="G11" s="1226">
        <v>23</v>
      </c>
      <c r="H11" s="1226">
        <v>23</v>
      </c>
      <c r="I11" s="1226">
        <v>23</v>
      </c>
      <c r="J11" s="1226">
        <v>23</v>
      </c>
    </row>
    <row r="12" spans="1:11" s="476" customFormat="1" ht="15.2" customHeight="1">
      <c r="B12" s="1228" t="s">
        <v>771</v>
      </c>
      <c r="C12" s="1229"/>
      <c r="D12" s="579"/>
      <c r="E12" s="579"/>
      <c r="F12" s="579"/>
      <c r="G12" s="1230"/>
      <c r="H12" s="1230"/>
      <c r="I12" s="579"/>
      <c r="J12" s="579"/>
    </row>
    <row r="13" spans="1:11" s="476" customFormat="1" ht="15.2" customHeight="1">
      <c r="B13" s="1228"/>
      <c r="C13" s="1229"/>
      <c r="D13" s="579"/>
      <c r="E13" s="579"/>
      <c r="F13" s="579"/>
      <c r="G13" s="1230"/>
      <c r="H13" s="1230"/>
      <c r="I13" s="579"/>
      <c r="J13" s="579"/>
    </row>
    <row r="14" spans="1:11" s="476" customFormat="1" ht="15.2" customHeight="1">
      <c r="B14" s="1225" t="s">
        <v>772</v>
      </c>
      <c r="C14" s="1229"/>
      <c r="D14" s="1226">
        <v>23</v>
      </c>
      <c r="E14" s="1226">
        <v>23</v>
      </c>
      <c r="F14" s="1226">
        <v>23</v>
      </c>
      <c r="G14" s="1226">
        <v>23</v>
      </c>
      <c r="H14" s="1226">
        <v>23</v>
      </c>
      <c r="I14" s="1226">
        <v>23</v>
      </c>
      <c r="J14" s="1226">
        <v>23</v>
      </c>
    </row>
    <row r="15" spans="1:11" s="476" customFormat="1" ht="15.2" customHeight="1">
      <c r="B15" s="1228" t="s">
        <v>773</v>
      </c>
      <c r="C15" s="1229"/>
      <c r="D15" s="579"/>
      <c r="E15" s="1498"/>
      <c r="F15" s="1498"/>
      <c r="G15" s="1230"/>
      <c r="H15" s="1230"/>
      <c r="I15" s="579"/>
      <c r="J15" s="579"/>
    </row>
    <row r="16" spans="1:11" s="476" customFormat="1" ht="15.2" customHeight="1">
      <c r="B16" s="1228"/>
      <c r="C16" s="1229"/>
      <c r="D16" s="579"/>
      <c r="E16" s="1498"/>
      <c r="F16" s="1498"/>
      <c r="G16" s="1230"/>
      <c r="H16" s="1230"/>
      <c r="I16" s="579"/>
      <c r="J16" s="579"/>
    </row>
    <row r="17" spans="1:11" s="476" customFormat="1" ht="15.2" customHeight="1">
      <c r="A17" s="476" t="s">
        <v>462</v>
      </c>
      <c r="B17" s="1225" t="s">
        <v>1050</v>
      </c>
      <c r="C17" s="1229"/>
      <c r="D17" s="1226">
        <v>23</v>
      </c>
      <c r="E17" s="1226">
        <v>23</v>
      </c>
      <c r="F17" s="1226">
        <v>23</v>
      </c>
      <c r="G17" s="1226">
        <v>23</v>
      </c>
      <c r="H17" s="1226">
        <v>23</v>
      </c>
      <c r="I17" s="1226">
        <v>23</v>
      </c>
      <c r="J17" s="1226">
        <v>23</v>
      </c>
    </row>
    <row r="18" spans="1:11" s="476" customFormat="1" ht="15.2" customHeight="1">
      <c r="B18" s="1228" t="s">
        <v>1051</v>
      </c>
      <c r="C18" s="1229"/>
      <c r="D18" s="579"/>
      <c r="E18" s="1498"/>
      <c r="F18" s="1498"/>
      <c r="G18" s="1230"/>
      <c r="H18" s="1230"/>
      <c r="I18" s="579"/>
      <c r="J18" s="579"/>
    </row>
    <row r="19" spans="1:11" s="476" customFormat="1" ht="15.2" customHeight="1">
      <c r="B19" s="1228"/>
      <c r="C19" s="1229"/>
      <c r="D19" s="579"/>
      <c r="E19" s="1498"/>
      <c r="F19" s="1498"/>
      <c r="G19" s="1230"/>
      <c r="H19" s="1230"/>
      <c r="I19" s="579"/>
      <c r="J19" s="579"/>
    </row>
    <row r="20" spans="1:11" s="476" customFormat="1" ht="15.2" customHeight="1">
      <c r="B20" s="1224" t="s">
        <v>1251</v>
      </c>
      <c r="C20" s="1229"/>
      <c r="D20" s="1230"/>
      <c r="E20" s="1230"/>
      <c r="F20" s="1230"/>
      <c r="G20" s="1230"/>
      <c r="H20" s="1230"/>
      <c r="I20" s="579"/>
      <c r="J20" s="579"/>
    </row>
    <row r="21" spans="1:11" s="476" customFormat="1" ht="15.2" customHeight="1">
      <c r="B21" s="1150" t="s">
        <v>774</v>
      </c>
      <c r="C21" s="1229"/>
      <c r="D21" s="1230"/>
      <c r="E21" s="1230"/>
      <c r="F21" s="1230"/>
      <c r="G21" s="1230"/>
      <c r="H21" s="1230"/>
      <c r="I21" s="579"/>
      <c r="J21" s="579"/>
    </row>
    <row r="22" spans="1:11" s="476" customFormat="1" ht="8.1" customHeight="1">
      <c r="B22" s="1150"/>
      <c r="C22" s="1229"/>
      <c r="D22" s="1230"/>
      <c r="E22" s="1230"/>
      <c r="F22" s="1230"/>
      <c r="G22" s="1230"/>
      <c r="H22" s="1230"/>
      <c r="I22" s="579"/>
      <c r="J22" s="579"/>
    </row>
    <row r="23" spans="1:11" s="476" customFormat="1" ht="15.2" customHeight="1">
      <c r="B23" s="1225" t="s">
        <v>775</v>
      </c>
      <c r="C23" s="1231"/>
      <c r="D23" s="1226">
        <v>23</v>
      </c>
      <c r="E23" s="1226">
        <v>23</v>
      </c>
      <c r="F23" s="1226">
        <v>23</v>
      </c>
      <c r="G23" s="1226">
        <v>23</v>
      </c>
      <c r="H23" s="1226">
        <v>23</v>
      </c>
      <c r="I23" s="1226">
        <v>23</v>
      </c>
      <c r="J23" s="1226">
        <v>23</v>
      </c>
    </row>
    <row r="24" spans="1:11" s="476" customFormat="1" ht="15.2" customHeight="1">
      <c r="B24" s="1228" t="s">
        <v>776</v>
      </c>
      <c r="C24" s="1223"/>
      <c r="D24" s="1230"/>
      <c r="E24" s="1230"/>
      <c r="F24" s="1230"/>
      <c r="G24" s="1230"/>
      <c r="H24" s="1230"/>
      <c r="I24" s="579"/>
      <c r="J24" s="579"/>
    </row>
    <row r="25" spans="1:11" ht="15.2" customHeight="1" thickBot="1">
      <c r="A25" s="1152"/>
      <c r="B25" s="1152"/>
      <c r="C25" s="1152"/>
      <c r="D25" s="1499"/>
      <c r="E25" s="1499"/>
      <c r="F25" s="1499"/>
      <c r="G25" s="1499"/>
      <c r="H25" s="1499"/>
      <c r="I25" s="1500"/>
      <c r="J25" s="1500"/>
      <c r="K25" s="1057"/>
    </row>
    <row r="26" spans="1:11" ht="14.25" customHeight="1" thickTop="1">
      <c r="A26" s="1232"/>
      <c r="B26" s="1232"/>
      <c r="C26" s="1232"/>
      <c r="D26" s="1232"/>
      <c r="H26" s="1227"/>
      <c r="I26" s="1232"/>
      <c r="J26" s="1233"/>
      <c r="K26" s="1081" t="s">
        <v>777</v>
      </c>
    </row>
    <row r="27" spans="1:11" ht="15.2" customHeight="1">
      <c r="A27" s="684"/>
      <c r="B27" s="684"/>
      <c r="C27" s="684"/>
      <c r="D27" s="684"/>
      <c r="H27" s="1227"/>
      <c r="I27" s="1232"/>
      <c r="J27" s="1233"/>
      <c r="K27" s="1081" t="s">
        <v>1251</v>
      </c>
    </row>
    <row r="28" spans="1:11" ht="15.2" customHeight="1">
      <c r="A28" s="684"/>
      <c r="B28" s="684"/>
      <c r="C28" s="684"/>
      <c r="D28" s="684"/>
      <c r="H28" s="1227"/>
      <c r="I28" s="1232"/>
      <c r="J28" s="1233"/>
      <c r="K28" s="769" t="s">
        <v>242</v>
      </c>
    </row>
    <row r="29" spans="1:11" ht="15.2" customHeight="1">
      <c r="A29" s="684"/>
      <c r="B29" s="684"/>
      <c r="C29" s="684"/>
      <c r="D29" s="684"/>
      <c r="H29" s="1227"/>
      <c r="I29" s="1232"/>
      <c r="J29" s="1233"/>
      <c r="K29" s="769" t="s">
        <v>774</v>
      </c>
    </row>
    <row r="30" spans="1:11" ht="7.9" customHeight="1">
      <c r="A30" s="684"/>
      <c r="B30" s="684"/>
      <c r="C30" s="684"/>
      <c r="D30" s="684"/>
      <c r="E30" s="1232"/>
      <c r="F30" s="1233"/>
      <c r="G30" s="769"/>
      <c r="H30" s="1227"/>
    </row>
    <row r="31" spans="1:11" ht="15.2" customHeight="1">
      <c r="A31" s="684"/>
      <c r="B31" s="1234" t="s">
        <v>1250</v>
      </c>
      <c r="C31" s="684"/>
      <c r="D31" s="684"/>
      <c r="E31" s="1232"/>
      <c r="F31" s="1233"/>
      <c r="G31" s="769"/>
      <c r="H31" s="1227"/>
    </row>
    <row r="32" spans="1:11" ht="6.6" customHeight="1">
      <c r="D32" s="684"/>
      <c r="E32" s="684"/>
      <c r="F32" s="682"/>
      <c r="G32" s="684"/>
    </row>
    <row r="33" spans="1:11" ht="16.5" customHeight="1">
      <c r="A33" s="1184"/>
      <c r="B33" s="2666" t="s">
        <v>778</v>
      </c>
      <c r="C33" s="2666"/>
      <c r="D33" s="2666"/>
      <c r="E33" s="2666"/>
      <c r="F33" s="2666"/>
      <c r="G33" s="2666"/>
      <c r="H33" s="2666"/>
      <c r="I33" s="2666"/>
      <c r="J33" s="2666"/>
      <c r="K33" s="2666"/>
    </row>
    <row r="34" spans="1:11" ht="10.5" customHeight="1">
      <c r="A34" s="684"/>
      <c r="B34" s="2666"/>
      <c r="C34" s="2666"/>
      <c r="D34" s="2666"/>
      <c r="E34" s="2666"/>
      <c r="F34" s="2666"/>
      <c r="G34" s="2666"/>
      <c r="H34" s="2666"/>
      <c r="I34" s="2666"/>
      <c r="J34" s="2666"/>
      <c r="K34" s="2666"/>
    </row>
    <row r="35" spans="1:11" ht="14.25" customHeight="1">
      <c r="A35" s="684"/>
      <c r="B35" s="2665" t="s">
        <v>779</v>
      </c>
      <c r="C35" s="2665"/>
      <c r="D35" s="2665"/>
      <c r="E35" s="2665"/>
      <c r="F35" s="2665"/>
      <c r="G35" s="2665"/>
      <c r="H35" s="2665"/>
      <c r="I35" s="2665"/>
      <c r="J35" s="2665"/>
      <c r="K35" s="2665"/>
    </row>
    <row r="36" spans="1:11" ht="14.25" customHeight="1">
      <c r="A36" s="684"/>
      <c r="B36" s="2665"/>
      <c r="C36" s="2665"/>
      <c r="D36" s="2665"/>
      <c r="E36" s="2665"/>
      <c r="F36" s="2665"/>
      <c r="G36" s="2665"/>
      <c r="H36" s="2665"/>
      <c r="I36" s="2665"/>
      <c r="J36" s="2665"/>
      <c r="K36" s="2665"/>
    </row>
    <row r="37" spans="1:11" ht="6.6" customHeight="1">
      <c r="D37" s="684"/>
      <c r="E37" s="684"/>
      <c r="F37" s="682"/>
      <c r="G37" s="684"/>
    </row>
    <row r="38" spans="1:11" ht="4.9000000000000004" customHeight="1"/>
    <row r="57" ht="15.2" customHeight="1"/>
  </sheetData>
  <mergeCells count="3">
    <mergeCell ref="B6:C6"/>
    <mergeCell ref="B33:K34"/>
    <mergeCell ref="B35:K36"/>
  </mergeCells>
  <conditionalFormatting sqref="C12:C13 C15:C16 C18:C19">
    <cfRule type="cellIs" dxfId="100" priority="1" stopIfTrue="1" operator="lessThan">
      <formula>0</formula>
    </cfRule>
  </conditionalFormatting>
  <conditionalFormatting sqref="C23">
    <cfRule type="cellIs" dxfId="99" priority="2" stopIfTrue="1" operator="lessThan">
      <formula>0</formula>
    </cfRule>
  </conditionalFormatting>
  <pageMargins left="0.55118110236220474" right="0.55118110236220474" top="0.55118110236220474" bottom="0.55118110236220474" header="0.55118110236220474" footer="0.55118110236220474"/>
  <pageSetup paperSize="9" scale="65" fitToHeight="0" orientation="portrait" r:id="rId1"/>
  <headerFooter scaleWithDoc="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7">
    <tabColor theme="4" tint="0.39997558519241921"/>
    <pageSetUpPr fitToPage="1"/>
  </sheetPr>
  <dimension ref="A1:K19"/>
  <sheetViews>
    <sheetView view="pageBreakPreview" zoomScaleNormal="100" zoomScaleSheetLayoutView="100" workbookViewId="0">
      <selection activeCell="L15" sqref="L15"/>
    </sheetView>
  </sheetViews>
  <sheetFormatPr defaultColWidth="9.140625" defaultRowHeight="15.2" customHeight="1"/>
  <cols>
    <col min="1" max="1" width="1.7109375" style="68" customWidth="1"/>
    <col min="2" max="2" width="11.85546875" style="68" customWidth="1"/>
    <col min="3" max="3" width="25" style="68" customWidth="1"/>
    <col min="4" max="5" width="13.85546875" style="68" customWidth="1"/>
    <col min="6" max="6" width="13.85546875" style="609" customWidth="1"/>
    <col min="7" max="10" width="13.85546875" style="68" customWidth="1"/>
    <col min="11" max="11" width="1.28515625" style="68" customWidth="1"/>
    <col min="12" max="16384" width="9.140625" style="68"/>
  </cols>
  <sheetData>
    <row r="1" spans="1:11" ht="8.1" customHeight="1"/>
    <row r="2" spans="1:11" ht="8.1" customHeight="1"/>
    <row r="3" spans="1:11" ht="16.350000000000001" customHeight="1">
      <c r="B3" s="1235" t="s">
        <v>780</v>
      </c>
      <c r="C3" s="1236" t="s">
        <v>1370</v>
      </c>
    </row>
    <row r="4" spans="1:11" ht="16.149999999999999" customHeight="1">
      <c r="B4" s="1237" t="s">
        <v>781</v>
      </c>
      <c r="C4" s="1238" t="s">
        <v>1371</v>
      </c>
    </row>
    <row r="5" spans="1:11" ht="13.15" customHeight="1" thickBot="1">
      <c r="A5" s="1239"/>
      <c r="B5" s="1239"/>
      <c r="C5" s="1239"/>
      <c r="D5" s="1239"/>
      <c r="E5" s="1239"/>
      <c r="F5" s="1240"/>
      <c r="G5" s="1239"/>
      <c r="K5" s="81"/>
    </row>
    <row r="6" spans="1:11" s="476" customFormat="1" ht="54" customHeight="1" thickBot="1">
      <c r="A6" s="895"/>
      <c r="B6" s="2651" t="s">
        <v>782</v>
      </c>
      <c r="C6" s="2651"/>
      <c r="D6" s="789" t="s">
        <v>1057</v>
      </c>
      <c r="E6" s="790" t="s">
        <v>1059</v>
      </c>
      <c r="F6" s="790" t="s">
        <v>1058</v>
      </c>
      <c r="G6" s="790" t="s">
        <v>1063</v>
      </c>
      <c r="H6" s="791" t="s">
        <v>1060</v>
      </c>
      <c r="I6" s="791" t="s">
        <v>1061</v>
      </c>
      <c r="J6" s="791" t="s">
        <v>1062</v>
      </c>
      <c r="K6" s="895"/>
    </row>
    <row r="7" spans="1:11" s="476" customFormat="1" ht="16.350000000000001" customHeight="1">
      <c r="B7" s="1241"/>
      <c r="C7" s="1242"/>
      <c r="D7" s="1242"/>
      <c r="E7" s="1242"/>
      <c r="F7" s="1243"/>
    </row>
    <row r="8" spans="1:11" s="476" customFormat="1" ht="15.2" customHeight="1">
      <c r="B8" s="1244" t="s">
        <v>1004</v>
      </c>
      <c r="C8" s="1245"/>
      <c r="D8" s="579">
        <v>23</v>
      </c>
      <c r="E8" s="579">
        <v>23</v>
      </c>
      <c r="F8" s="579">
        <v>23</v>
      </c>
      <c r="G8" s="579">
        <v>23</v>
      </c>
      <c r="H8" s="579">
        <v>23</v>
      </c>
      <c r="I8" s="579">
        <v>23</v>
      </c>
      <c r="J8" s="579">
        <v>23</v>
      </c>
    </row>
    <row r="9" spans="1:11" s="476" customFormat="1" ht="15.2" customHeight="1">
      <c r="B9" s="1244" t="s">
        <v>1024</v>
      </c>
      <c r="C9" s="1614"/>
      <c r="D9" s="1247"/>
      <c r="E9" s="1248"/>
      <c r="F9" s="1249"/>
    </row>
    <row r="10" spans="1:11" s="476" customFormat="1" ht="15.2" customHeight="1">
      <c r="B10" s="1246" t="s">
        <v>1005</v>
      </c>
      <c r="C10" s="1245"/>
      <c r="D10" s="1247"/>
      <c r="E10" s="1248"/>
      <c r="F10" s="1249"/>
    </row>
    <row r="11" spans="1:11" s="476" customFormat="1" ht="15.2" customHeight="1">
      <c r="B11" s="1616" t="s">
        <v>1006</v>
      </c>
      <c r="C11" s="1245"/>
      <c r="D11" s="1247"/>
      <c r="E11" s="1248"/>
      <c r="F11" s="1249"/>
    </row>
    <row r="12" spans="1:11" s="476" customFormat="1" ht="15.2" customHeight="1" thickBot="1">
      <c r="A12" s="1250"/>
      <c r="B12" s="1615"/>
      <c r="C12" s="1250"/>
      <c r="D12" s="1250"/>
      <c r="E12" s="1250"/>
      <c r="F12" s="1251"/>
      <c r="G12" s="1250"/>
      <c r="H12" s="959"/>
      <c r="I12" s="959"/>
      <c r="J12" s="959"/>
      <c r="K12" s="959"/>
    </row>
    <row r="13" spans="1:11" s="476" customFormat="1" ht="15.2" customHeight="1" thickTop="1">
      <c r="A13" s="1252"/>
      <c r="B13" s="1252"/>
      <c r="C13" s="1252"/>
      <c r="E13" s="2679" t="s">
        <v>1252</v>
      </c>
      <c r="F13" s="2679"/>
      <c r="G13" s="2679"/>
      <c r="H13" s="2679"/>
      <c r="I13" s="2679"/>
      <c r="J13" s="2679"/>
      <c r="K13" s="2679"/>
    </row>
    <row r="14" spans="1:11" s="476" customFormat="1" ht="15.2" customHeight="1">
      <c r="A14" s="1252"/>
      <c r="B14" s="1252"/>
      <c r="C14" s="1252"/>
      <c r="F14" s="2680" t="s">
        <v>1253</v>
      </c>
      <c r="G14" s="2680"/>
      <c r="H14" s="2680"/>
      <c r="I14" s="2680"/>
      <c r="J14" s="2680"/>
      <c r="K14" s="2680"/>
    </row>
    <row r="15" spans="1:11" s="476" customFormat="1" ht="15.2" customHeight="1">
      <c r="A15" s="1252"/>
      <c r="B15" s="1252"/>
      <c r="C15" s="1252"/>
      <c r="H15" s="1252"/>
      <c r="I15" s="1252"/>
      <c r="J15" s="1253"/>
      <c r="K15" s="1081"/>
    </row>
    <row r="16" spans="1:11" ht="15.2" customHeight="1">
      <c r="A16" s="684"/>
      <c r="B16" s="1254"/>
      <c r="C16" s="1255"/>
      <c r="D16" s="1256"/>
      <c r="E16" s="684"/>
      <c r="F16" s="1257"/>
      <c r="G16" s="684"/>
      <c r="H16" s="1258"/>
      <c r="I16" s="1258"/>
      <c r="J16" s="1258"/>
    </row>
    <row r="17" spans="2:10" ht="15.2" customHeight="1">
      <c r="B17" s="1259"/>
      <c r="C17" s="1260"/>
      <c r="D17" s="1261"/>
      <c r="E17" s="1262"/>
      <c r="F17" s="1262"/>
      <c r="H17" s="1263"/>
      <c r="I17" s="1263"/>
      <c r="J17" s="1263"/>
    </row>
    <row r="18" spans="2:10" ht="15.2" customHeight="1">
      <c r="B18" s="1264"/>
    </row>
    <row r="19" spans="2:10" ht="15.2" customHeight="1">
      <c r="B19" s="1265"/>
    </row>
  </sheetData>
  <mergeCells count="3">
    <mergeCell ref="B6:C6"/>
    <mergeCell ref="E13:K13"/>
    <mergeCell ref="F14:K14"/>
  </mergeCells>
  <pageMargins left="0.55118110236220474" right="0.55118110236220474" top="0.55118110236220474" bottom="0.55118110236220474" header="0.55118110236220474" footer="0.55118110236220474"/>
  <pageSetup paperSize="9" scale="66" fitToHeight="0" orientation="portrait" r:id="rId1"/>
  <headerFooter scaleWithDoc="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tabColor theme="4" tint="0.39997558519241921"/>
    <pageSetUpPr fitToPage="1"/>
  </sheetPr>
  <dimension ref="A1:L51"/>
  <sheetViews>
    <sheetView view="pageBreakPreview" zoomScaleNormal="145" zoomScaleSheetLayoutView="100" workbookViewId="0">
      <selection activeCell="J49" sqref="J49"/>
    </sheetView>
  </sheetViews>
  <sheetFormatPr defaultColWidth="9.140625" defaultRowHeight="15.2" customHeight="1"/>
  <cols>
    <col min="1" max="1" width="2.5703125" style="68" customWidth="1"/>
    <col min="2" max="2" width="11.85546875" style="68" customWidth="1"/>
    <col min="3" max="3" width="20.28515625" style="68" customWidth="1"/>
    <col min="4" max="4" width="6.7109375" style="68" customWidth="1"/>
    <col min="5" max="7" width="13.85546875" style="68" customWidth="1"/>
    <col min="8" max="8" width="13.85546875" style="609" customWidth="1"/>
    <col min="9" max="11" width="13.85546875" style="68" customWidth="1"/>
    <col min="12" max="12" width="1.42578125" style="68" customWidth="1"/>
    <col min="13" max="16384" width="9.140625" style="68"/>
  </cols>
  <sheetData>
    <row r="1" spans="1:12" ht="8.1" customHeight="1"/>
    <row r="2" spans="1:12" ht="8.1" customHeight="1"/>
    <row r="3" spans="1:12" ht="16.350000000000001" customHeight="1">
      <c r="B3" s="188" t="s">
        <v>783</v>
      </c>
      <c r="C3" s="1266" t="s">
        <v>2023</v>
      </c>
      <c r="D3" s="1266"/>
      <c r="E3" s="1266"/>
      <c r="F3" s="1267"/>
      <c r="G3" s="1267"/>
      <c r="H3" s="1268"/>
      <c r="I3" s="1267"/>
    </row>
    <row r="4" spans="1:12" ht="16.350000000000001" customHeight="1">
      <c r="B4" s="145" t="s">
        <v>784</v>
      </c>
      <c r="C4" s="1269" t="s">
        <v>2024</v>
      </c>
      <c r="D4" s="1269"/>
      <c r="E4" s="1269"/>
    </row>
    <row r="5" spans="1:12" ht="13.15" customHeight="1" thickBot="1">
      <c r="A5" s="1239"/>
      <c r="B5" s="1239"/>
      <c r="C5" s="1239"/>
      <c r="D5" s="1239"/>
      <c r="E5" s="1239"/>
      <c r="F5" s="1239"/>
      <c r="G5" s="1239"/>
      <c r="H5" s="1240"/>
      <c r="I5" s="1239"/>
    </row>
    <row r="6" spans="1:12" s="476" customFormat="1" ht="54" customHeight="1" thickBot="1">
      <c r="A6" s="1270"/>
      <c r="B6" s="2651" t="s">
        <v>785</v>
      </c>
      <c r="C6" s="2660"/>
      <c r="D6" s="788" t="s">
        <v>239</v>
      </c>
      <c r="E6" s="789" t="s">
        <v>1057</v>
      </c>
      <c r="F6" s="790" t="s">
        <v>1059</v>
      </c>
      <c r="G6" s="790" t="s">
        <v>1058</v>
      </c>
      <c r="H6" s="790" t="s">
        <v>1063</v>
      </c>
      <c r="I6" s="791" t="s">
        <v>1060</v>
      </c>
      <c r="J6" s="791" t="s">
        <v>1061</v>
      </c>
      <c r="K6" s="791" t="s">
        <v>1062</v>
      </c>
      <c r="L6" s="897"/>
    </row>
    <row r="7" spans="1:12" s="476" customFormat="1" ht="16.350000000000001" customHeight="1">
      <c r="B7" s="1271"/>
      <c r="C7" s="1271"/>
      <c r="D7" s="1271"/>
      <c r="E7" s="1271"/>
      <c r="F7" s="1272"/>
      <c r="G7" s="1272"/>
      <c r="H7" s="1273"/>
      <c r="I7" s="1272"/>
      <c r="J7" s="1272"/>
      <c r="L7" s="897"/>
    </row>
    <row r="8" spans="1:12" s="476" customFormat="1" ht="15.2" customHeight="1">
      <c r="B8" s="1274" t="s">
        <v>786</v>
      </c>
      <c r="C8" s="1275"/>
      <c r="D8" s="1275"/>
      <c r="E8" s="1276"/>
      <c r="F8" s="1276"/>
      <c r="G8" s="1276"/>
      <c r="H8" s="1276"/>
      <c r="I8" s="1501"/>
      <c r="J8" s="1501"/>
      <c r="K8" s="761"/>
    </row>
    <row r="9" spans="1:12" s="476" customFormat="1" ht="15.2" customHeight="1">
      <c r="B9" s="1278" t="s">
        <v>787</v>
      </c>
      <c r="C9" s="1279"/>
      <c r="D9" s="1279"/>
      <c r="E9" s="1502"/>
      <c r="F9" s="761"/>
      <c r="G9" s="1501"/>
      <c r="H9" s="1501"/>
      <c r="I9" s="1501"/>
      <c r="J9" s="1501"/>
      <c r="K9" s="761"/>
    </row>
    <row r="10" spans="1:12" s="476" customFormat="1" ht="15.2" customHeight="1">
      <c r="B10" s="1278"/>
      <c r="C10" s="1279"/>
      <c r="D10" s="1279"/>
      <c r="E10" s="1502"/>
      <c r="F10" s="761"/>
      <c r="G10" s="1501"/>
      <c r="H10" s="1501"/>
      <c r="I10" s="1501"/>
      <c r="J10" s="1501"/>
      <c r="K10" s="761"/>
    </row>
    <row r="11" spans="1:12" s="476" customFormat="1" ht="15.2" customHeight="1">
      <c r="B11" s="1280" t="s">
        <v>788</v>
      </c>
      <c r="C11" s="1281"/>
      <c r="D11" s="803">
        <v>2022</v>
      </c>
      <c r="E11" s="1501">
        <v>123</v>
      </c>
      <c r="F11" s="1501">
        <v>123</v>
      </c>
      <c r="G11" s="1501">
        <v>123</v>
      </c>
      <c r="H11" s="1501">
        <v>123</v>
      </c>
      <c r="I11" s="1501">
        <v>123</v>
      </c>
      <c r="J11" s="1501">
        <v>123</v>
      </c>
      <c r="K11" s="1501">
        <v>123</v>
      </c>
    </row>
    <row r="12" spans="1:12" s="476" customFormat="1" ht="15.2" customHeight="1">
      <c r="B12" s="1282" t="s">
        <v>789</v>
      </c>
      <c r="C12" s="1283"/>
      <c r="D12" s="803">
        <v>2024</v>
      </c>
      <c r="E12" s="1501">
        <v>123</v>
      </c>
      <c r="F12" s="1501">
        <v>123</v>
      </c>
      <c r="G12" s="1501">
        <v>123</v>
      </c>
      <c r="H12" s="1501">
        <v>123</v>
      </c>
      <c r="I12" s="1501">
        <v>123</v>
      </c>
      <c r="J12" s="1501">
        <v>123</v>
      </c>
      <c r="K12" s="1501">
        <v>123</v>
      </c>
    </row>
    <row r="13" spans="1:12" s="476" customFormat="1" ht="15.2" customHeight="1">
      <c r="B13" s="1282"/>
      <c r="C13" s="1283"/>
      <c r="D13" s="803"/>
      <c r="E13" s="1504"/>
      <c r="F13" s="761"/>
      <c r="G13" s="761"/>
      <c r="H13" s="1284"/>
      <c r="I13" s="1501"/>
      <c r="J13" s="761"/>
      <c r="K13" s="761"/>
    </row>
    <row r="14" spans="1:12" s="476" customFormat="1" ht="15.2" customHeight="1">
      <c r="B14" s="1280" t="s">
        <v>790</v>
      </c>
      <c r="C14" s="1283"/>
      <c r="D14" s="803">
        <v>2022</v>
      </c>
      <c r="E14" s="1501">
        <v>123</v>
      </c>
      <c r="F14" s="1501">
        <v>123</v>
      </c>
      <c r="G14" s="1501">
        <v>123</v>
      </c>
      <c r="H14" s="1501">
        <v>123</v>
      </c>
      <c r="I14" s="1501">
        <v>123</v>
      </c>
      <c r="J14" s="1501">
        <v>123</v>
      </c>
      <c r="K14" s="1501">
        <v>123</v>
      </c>
    </row>
    <row r="15" spans="1:12" s="476" customFormat="1" ht="15.2" customHeight="1">
      <c r="B15" s="1282" t="s">
        <v>791</v>
      </c>
      <c r="C15" s="1283"/>
      <c r="D15" s="803">
        <v>2024</v>
      </c>
      <c r="E15" s="1501">
        <v>123</v>
      </c>
      <c r="F15" s="1501">
        <v>123</v>
      </c>
      <c r="G15" s="1501">
        <v>123</v>
      </c>
      <c r="H15" s="1501">
        <v>123</v>
      </c>
      <c r="I15" s="1501">
        <v>123</v>
      </c>
      <c r="J15" s="1501">
        <v>123</v>
      </c>
      <c r="K15" s="1501">
        <v>123</v>
      </c>
    </row>
    <row r="16" spans="1:12" s="476" customFormat="1" ht="15.2" customHeight="1">
      <c r="B16" s="1282"/>
      <c r="C16" s="1283"/>
      <c r="D16" s="1283"/>
      <c r="E16" s="1504"/>
      <c r="F16" s="761"/>
      <c r="G16" s="1503"/>
      <c r="H16" s="1505"/>
      <c r="I16" s="1501"/>
      <c r="J16" s="761"/>
      <c r="K16" s="761"/>
    </row>
    <row r="17" spans="1:12" s="476" customFormat="1" ht="15.2" customHeight="1">
      <c r="B17" s="1280" t="s">
        <v>792</v>
      </c>
      <c r="C17" s="1283"/>
      <c r="D17" s="803">
        <v>2022</v>
      </c>
      <c r="E17" s="1501">
        <v>123</v>
      </c>
      <c r="F17" s="1501">
        <v>123</v>
      </c>
      <c r="G17" s="1501">
        <v>123</v>
      </c>
      <c r="H17" s="1501">
        <v>123</v>
      </c>
      <c r="I17" s="1501">
        <v>123</v>
      </c>
      <c r="J17" s="1501">
        <v>123</v>
      </c>
      <c r="K17" s="1501">
        <v>123</v>
      </c>
      <c r="L17" s="1249"/>
    </row>
    <row r="18" spans="1:12" s="476" customFormat="1" ht="15.2" customHeight="1">
      <c r="B18" s="1282" t="s">
        <v>793</v>
      </c>
      <c r="C18" s="1283"/>
      <c r="D18" s="803">
        <v>2024</v>
      </c>
      <c r="E18" s="1501">
        <v>123</v>
      </c>
      <c r="F18" s="1501">
        <v>123</v>
      </c>
      <c r="G18" s="1501">
        <v>123</v>
      </c>
      <c r="H18" s="1501">
        <v>123</v>
      </c>
      <c r="I18" s="1501">
        <v>123</v>
      </c>
      <c r="J18" s="1501">
        <v>123</v>
      </c>
      <c r="K18" s="1501">
        <v>123</v>
      </c>
      <c r="L18" s="761"/>
    </row>
    <row r="19" spans="1:12" s="476" customFormat="1" ht="15.2" customHeight="1">
      <c r="B19" s="1285"/>
      <c r="C19" s="1283"/>
      <c r="D19" s="1283"/>
      <c r="E19" s="1504"/>
      <c r="F19" s="761"/>
      <c r="G19" s="1284"/>
      <c r="H19" s="1284"/>
      <c r="I19" s="1501"/>
      <c r="J19" s="761"/>
      <c r="K19" s="761"/>
      <c r="L19" s="761"/>
    </row>
    <row r="20" spans="1:12" s="476" customFormat="1" ht="15.2" customHeight="1">
      <c r="B20" s="1286" t="s">
        <v>794</v>
      </c>
      <c r="C20" s="1286"/>
      <c r="D20" s="1286"/>
      <c r="E20" s="1506"/>
      <c r="F20" s="761"/>
      <c r="G20" s="1276"/>
      <c r="H20" s="1276"/>
      <c r="I20" s="1501"/>
      <c r="J20" s="761"/>
      <c r="K20" s="761"/>
    </row>
    <row r="21" spans="1:12" s="476" customFormat="1" ht="15.2" customHeight="1">
      <c r="B21" s="1285" t="s">
        <v>795</v>
      </c>
      <c r="C21" s="1285"/>
      <c r="D21" s="1285"/>
      <c r="E21" s="1504"/>
      <c r="F21" s="761"/>
      <c r="G21" s="1284"/>
      <c r="H21" s="1284"/>
      <c r="I21" s="1501"/>
      <c r="J21" s="761"/>
      <c r="K21" s="761"/>
    </row>
    <row r="22" spans="1:12" s="476" customFormat="1" ht="15.2" customHeight="1">
      <c r="B22" s="1285"/>
      <c r="C22" s="1285"/>
      <c r="D22" s="1285"/>
      <c r="E22" s="1504"/>
      <c r="F22" s="761"/>
      <c r="G22" s="1284"/>
      <c r="H22" s="1284"/>
      <c r="I22" s="1501"/>
      <c r="J22" s="761"/>
      <c r="K22" s="761"/>
    </row>
    <row r="23" spans="1:12" s="476" customFormat="1" ht="15.2" customHeight="1">
      <c r="A23" s="1287"/>
      <c r="B23" s="1280" t="s">
        <v>796</v>
      </c>
      <c r="C23" s="1285"/>
      <c r="D23" s="803">
        <v>2022</v>
      </c>
      <c r="E23" s="1501">
        <v>123</v>
      </c>
      <c r="F23" s="1501">
        <v>123</v>
      </c>
      <c r="G23" s="1501">
        <v>123</v>
      </c>
      <c r="H23" s="1501">
        <v>123</v>
      </c>
      <c r="I23" s="1501">
        <v>123</v>
      </c>
      <c r="J23" s="1501">
        <v>123</v>
      </c>
      <c r="K23" s="1501">
        <v>123</v>
      </c>
    </row>
    <row r="24" spans="1:12" s="476" customFormat="1" ht="15.2" customHeight="1">
      <c r="B24" s="1282" t="s">
        <v>797</v>
      </c>
      <c r="C24" s="1285"/>
      <c r="D24" s="803">
        <v>2024</v>
      </c>
      <c r="E24" s="1501">
        <v>123</v>
      </c>
      <c r="F24" s="1501">
        <v>123</v>
      </c>
      <c r="G24" s="1501">
        <v>123</v>
      </c>
      <c r="H24" s="1501">
        <v>123</v>
      </c>
      <c r="I24" s="1501">
        <v>123</v>
      </c>
      <c r="J24" s="1501">
        <v>123</v>
      </c>
      <c r="K24" s="1501">
        <v>123</v>
      </c>
    </row>
    <row r="25" spans="1:12" s="476" customFormat="1" ht="15.2" customHeight="1">
      <c r="B25" s="1282"/>
      <c r="C25" s="1285"/>
      <c r="D25" s="1285"/>
      <c r="E25" s="1504"/>
      <c r="F25" s="761"/>
      <c r="G25" s="761"/>
      <c r="H25" s="761"/>
      <c r="I25" s="1501"/>
      <c r="J25" s="761"/>
      <c r="K25" s="761"/>
    </row>
    <row r="26" spans="1:12" s="476" customFormat="1" ht="15.2" customHeight="1">
      <c r="B26" s="1280" t="s">
        <v>798</v>
      </c>
      <c r="C26" s="1285"/>
      <c r="D26" s="803">
        <v>2022</v>
      </c>
      <c r="E26" s="1501">
        <v>123</v>
      </c>
      <c r="F26" s="1501">
        <v>123</v>
      </c>
      <c r="G26" s="1501">
        <v>123</v>
      </c>
      <c r="H26" s="1501">
        <v>123</v>
      </c>
      <c r="I26" s="1501">
        <v>123</v>
      </c>
      <c r="J26" s="1501">
        <v>123</v>
      </c>
      <c r="K26" s="1501">
        <v>123</v>
      </c>
    </row>
    <row r="27" spans="1:12" s="476" customFormat="1" ht="15.2" customHeight="1">
      <c r="B27" s="1282" t="s">
        <v>799</v>
      </c>
      <c r="C27" s="1285"/>
      <c r="D27" s="803">
        <v>2024</v>
      </c>
      <c r="E27" s="1501">
        <v>123</v>
      </c>
      <c r="F27" s="1501">
        <v>123</v>
      </c>
      <c r="G27" s="1501">
        <v>123</v>
      </c>
      <c r="H27" s="1501">
        <v>123</v>
      </c>
      <c r="I27" s="1501">
        <v>123</v>
      </c>
      <c r="J27" s="1501">
        <v>123</v>
      </c>
      <c r="K27" s="1501">
        <v>123</v>
      </c>
    </row>
    <row r="28" spans="1:12" s="476" customFormat="1" ht="15.2" customHeight="1">
      <c r="B28" s="1285"/>
      <c r="C28" s="1285"/>
      <c r="D28" s="1285"/>
      <c r="E28" s="1504"/>
      <c r="F28" s="1284"/>
      <c r="G28" s="1284"/>
      <c r="H28" s="1284"/>
      <c r="I28" s="1501"/>
      <c r="J28" s="761"/>
      <c r="K28" s="761"/>
    </row>
    <row r="29" spans="1:12" s="476" customFormat="1" ht="15.2" customHeight="1">
      <c r="B29" s="1286" t="s">
        <v>800</v>
      </c>
      <c r="C29" s="1286"/>
      <c r="D29" s="1286"/>
      <c r="E29" s="1506"/>
      <c r="F29" s="1276"/>
      <c r="G29" s="1276"/>
      <c r="H29" s="1276"/>
      <c r="I29" s="1501"/>
      <c r="J29" s="761"/>
      <c r="K29" s="761"/>
    </row>
    <row r="30" spans="1:12" s="476" customFormat="1" ht="15.2" customHeight="1">
      <c r="B30" s="1285" t="s">
        <v>801</v>
      </c>
      <c r="C30" s="1285"/>
      <c r="D30" s="1285"/>
      <c r="E30" s="1504"/>
      <c r="F30" s="1284"/>
      <c r="G30" s="1284"/>
      <c r="H30" s="1284"/>
      <c r="I30" s="1501"/>
      <c r="J30" s="761"/>
      <c r="K30" s="761"/>
    </row>
    <row r="31" spans="1:12" s="476" customFormat="1" ht="15.2" customHeight="1">
      <c r="B31" s="1285"/>
      <c r="C31" s="1285"/>
      <c r="D31" s="1285"/>
      <c r="E31" s="1504"/>
      <c r="F31" s="1284"/>
      <c r="G31" s="1284"/>
      <c r="H31" s="1284"/>
      <c r="I31" s="1501"/>
      <c r="J31" s="761"/>
      <c r="K31" s="761"/>
    </row>
    <row r="32" spans="1:12" s="476" customFormat="1" ht="15.2" customHeight="1">
      <c r="B32" s="1280" t="s">
        <v>802</v>
      </c>
      <c r="C32" s="1288"/>
      <c r="D32" s="803">
        <v>2022</v>
      </c>
      <c r="E32" s="1501">
        <v>123</v>
      </c>
      <c r="F32" s="1501">
        <v>123</v>
      </c>
      <c r="G32" s="1501">
        <v>123</v>
      </c>
      <c r="H32" s="1501">
        <v>123</v>
      </c>
      <c r="I32" s="1501">
        <v>123</v>
      </c>
      <c r="J32" s="1501">
        <v>123</v>
      </c>
      <c r="K32" s="1501">
        <v>123</v>
      </c>
    </row>
    <row r="33" spans="1:12" s="476" customFormat="1" ht="15.2" customHeight="1">
      <c r="B33" s="1282" t="s">
        <v>803</v>
      </c>
      <c r="C33" s="1289"/>
      <c r="D33" s="803">
        <v>2024</v>
      </c>
      <c r="E33" s="1501">
        <v>123</v>
      </c>
      <c r="F33" s="1501">
        <v>123</v>
      </c>
      <c r="G33" s="1501">
        <v>123</v>
      </c>
      <c r="H33" s="1501">
        <v>123</v>
      </c>
      <c r="I33" s="1501">
        <v>123</v>
      </c>
      <c r="J33" s="1501">
        <v>123</v>
      </c>
      <c r="K33" s="1501">
        <v>123</v>
      </c>
    </row>
    <row r="34" spans="1:12" s="476" customFormat="1" ht="15.2" customHeight="1">
      <c r="B34" s="1282"/>
      <c r="C34" s="1289"/>
      <c r="D34" s="1289"/>
      <c r="E34" s="1504"/>
      <c r="F34" s="761"/>
      <c r="G34" s="761"/>
      <c r="H34" s="761"/>
      <c r="I34" s="1501"/>
      <c r="J34" s="761"/>
      <c r="K34" s="761"/>
    </row>
    <row r="35" spans="1:12" s="476" customFormat="1" ht="15.2" customHeight="1">
      <c r="B35" s="1290" t="s">
        <v>804</v>
      </c>
      <c r="C35" s="1291"/>
      <c r="D35" s="803">
        <v>2022</v>
      </c>
      <c r="E35" s="1501">
        <v>123</v>
      </c>
      <c r="F35" s="1501">
        <v>123</v>
      </c>
      <c r="G35" s="1501">
        <v>123</v>
      </c>
      <c r="H35" s="1501">
        <v>123</v>
      </c>
      <c r="I35" s="1501">
        <v>123</v>
      </c>
      <c r="J35" s="1501">
        <v>123</v>
      </c>
      <c r="K35" s="1501">
        <v>123</v>
      </c>
    </row>
    <row r="36" spans="1:12" s="476" customFormat="1" ht="15.2" customHeight="1">
      <c r="B36" s="1282" t="s">
        <v>805</v>
      </c>
      <c r="C36" s="1289"/>
      <c r="D36" s="803">
        <v>2024</v>
      </c>
      <c r="E36" s="1501">
        <v>123</v>
      </c>
      <c r="F36" s="1501">
        <v>123</v>
      </c>
      <c r="G36" s="1501">
        <v>123</v>
      </c>
      <c r="H36" s="1501">
        <v>123</v>
      </c>
      <c r="I36" s="1501">
        <v>123</v>
      </c>
      <c r="J36" s="1501">
        <v>123</v>
      </c>
      <c r="K36" s="1501">
        <v>123</v>
      </c>
    </row>
    <row r="37" spans="1:12" s="476" customFormat="1" ht="15.2" customHeight="1">
      <c r="B37" s="1282"/>
      <c r="C37" s="1289"/>
      <c r="D37" s="1289"/>
      <c r="E37" s="1504"/>
      <c r="F37" s="761"/>
      <c r="G37" s="1284"/>
      <c r="H37" s="1284"/>
      <c r="I37" s="1501"/>
      <c r="J37" s="1501"/>
      <c r="K37" s="761"/>
    </row>
    <row r="38" spans="1:12" s="476" customFormat="1" ht="15.2" customHeight="1">
      <c r="B38" s="1280" t="s">
        <v>806</v>
      </c>
      <c r="C38" s="1288"/>
      <c r="D38" s="803">
        <v>2022</v>
      </c>
      <c r="E38" s="1501">
        <v>123</v>
      </c>
      <c r="F38" s="1501">
        <v>123</v>
      </c>
      <c r="G38" s="1501">
        <v>123</v>
      </c>
      <c r="H38" s="1501">
        <v>123</v>
      </c>
      <c r="I38" s="1501">
        <v>123</v>
      </c>
      <c r="J38" s="1501">
        <v>123</v>
      </c>
      <c r="K38" s="1501">
        <v>123</v>
      </c>
    </row>
    <row r="39" spans="1:12" s="476" customFormat="1" ht="15.2" customHeight="1">
      <c r="B39" s="1282" t="s">
        <v>807</v>
      </c>
      <c r="C39" s="1289"/>
      <c r="D39" s="803">
        <v>2024</v>
      </c>
      <c r="E39" s="1501">
        <v>123</v>
      </c>
      <c r="F39" s="1501">
        <v>123</v>
      </c>
      <c r="G39" s="1501">
        <v>123</v>
      </c>
      <c r="H39" s="1501">
        <v>123</v>
      </c>
      <c r="I39" s="1501">
        <v>123</v>
      </c>
      <c r="J39" s="1501">
        <v>123</v>
      </c>
      <c r="K39" s="1501">
        <v>123</v>
      </c>
    </row>
    <row r="40" spans="1:12" ht="8.1" customHeight="1">
      <c r="A40" s="684"/>
      <c r="B40" s="684"/>
      <c r="C40" s="684"/>
      <c r="D40" s="684"/>
      <c r="E40" s="1507"/>
      <c r="F40" s="2681"/>
      <c r="G40" s="2681"/>
      <c r="H40" s="2681"/>
      <c r="I40" s="1508"/>
      <c r="J40" s="1501"/>
      <c r="K40" s="1509"/>
    </row>
    <row r="41" spans="1:12" s="476" customFormat="1" ht="15.2" customHeight="1" thickBot="1">
      <c r="A41" s="1293"/>
      <c r="B41" s="1293"/>
      <c r="C41" s="1293"/>
      <c r="D41" s="1293"/>
      <c r="E41" s="1293"/>
      <c r="F41" s="1293"/>
      <c r="G41" s="1293"/>
      <c r="H41" s="1294"/>
      <c r="I41" s="1293"/>
      <c r="J41" s="1293"/>
      <c r="K41" s="959"/>
      <c r="L41" s="959"/>
    </row>
    <row r="42" spans="1:12" ht="15.2" customHeight="1" thickTop="1">
      <c r="A42" s="1295"/>
      <c r="B42" s="1292"/>
      <c r="C42" s="1292"/>
      <c r="D42" s="1292"/>
      <c r="E42" s="1292"/>
      <c r="F42" s="1292"/>
      <c r="J42" s="1292"/>
      <c r="K42" s="1296"/>
      <c r="L42" s="1081" t="s">
        <v>0</v>
      </c>
    </row>
    <row r="43" spans="1:12" ht="15.2" customHeight="1">
      <c r="A43" s="1295"/>
      <c r="B43" s="1292"/>
      <c r="C43" s="1292"/>
      <c r="D43" s="1292"/>
      <c r="E43" s="1292"/>
      <c r="F43" s="1292"/>
      <c r="J43" s="1292"/>
      <c r="K43" s="1296"/>
      <c r="L43" s="769" t="s">
        <v>1</v>
      </c>
    </row>
    <row r="44" spans="1:12" ht="8.1" customHeight="1">
      <c r="A44" s="684"/>
      <c r="B44" s="684"/>
      <c r="C44" s="684"/>
      <c r="D44" s="684"/>
      <c r="E44" s="684"/>
      <c r="F44" s="2682"/>
      <c r="G44" s="2682"/>
      <c r="H44" s="2682"/>
      <c r="I44" s="1292"/>
      <c r="J44" s="1277"/>
    </row>
    <row r="45" spans="1:12" ht="15.2" customHeight="1">
      <c r="A45" s="966" t="s">
        <v>738</v>
      </c>
      <c r="B45" s="684"/>
      <c r="C45" s="684"/>
      <c r="D45" s="684"/>
      <c r="E45" s="684"/>
      <c r="F45" s="684"/>
      <c r="G45" s="684"/>
      <c r="H45" s="682"/>
      <c r="I45" s="684"/>
    </row>
    <row r="46" spans="1:12" ht="15.2" customHeight="1">
      <c r="A46" s="1297" t="s">
        <v>3</v>
      </c>
      <c r="B46" s="1298" t="s">
        <v>1070</v>
      </c>
      <c r="C46" s="684"/>
      <c r="D46" s="684"/>
      <c r="E46" s="684"/>
      <c r="F46" s="684"/>
      <c r="G46" s="684"/>
      <c r="H46" s="682"/>
    </row>
    <row r="47" spans="1:12" ht="15.2" customHeight="1">
      <c r="A47" s="1081"/>
      <c r="B47" s="1299" t="s">
        <v>808</v>
      </c>
      <c r="C47" s="684"/>
      <c r="D47" s="684"/>
      <c r="E47" s="684"/>
      <c r="F47" s="684"/>
      <c r="G47" s="684"/>
      <c r="H47" s="682"/>
    </row>
    <row r="48" spans="1:12" ht="7.9" customHeight="1">
      <c r="A48" s="1081"/>
      <c r="B48" s="1299"/>
      <c r="C48" s="684"/>
      <c r="D48" s="684"/>
      <c r="E48" s="684"/>
      <c r="F48" s="684"/>
      <c r="G48" s="684"/>
      <c r="H48" s="682"/>
    </row>
    <row r="49" spans="1:9" ht="15.2" customHeight="1">
      <c r="A49" s="1297" t="s">
        <v>4</v>
      </c>
      <c r="B49" s="1300" t="s">
        <v>809</v>
      </c>
      <c r="C49" s="684"/>
      <c r="D49" s="684"/>
      <c r="E49" s="684"/>
      <c r="F49" s="684"/>
      <c r="G49" s="684"/>
      <c r="H49" s="682"/>
      <c r="I49" s="684"/>
    </row>
    <row r="50" spans="1:9" ht="15.2" customHeight="1">
      <c r="A50" s="684"/>
      <c r="B50" s="1299" t="s">
        <v>1071</v>
      </c>
      <c r="C50" s="684"/>
      <c r="D50" s="684"/>
      <c r="E50" s="684"/>
      <c r="F50" s="684"/>
      <c r="G50" s="684"/>
      <c r="H50" s="682"/>
      <c r="I50" s="684"/>
    </row>
    <row r="51" spans="1:9" ht="7.9" customHeight="1">
      <c r="A51" s="684"/>
      <c r="B51" s="684"/>
      <c r="C51" s="684"/>
      <c r="D51" s="684"/>
      <c r="E51" s="684"/>
      <c r="F51" s="684"/>
      <c r="G51" s="684"/>
      <c r="H51" s="682"/>
    </row>
  </sheetData>
  <mergeCells count="3">
    <mergeCell ref="B6:C6"/>
    <mergeCell ref="F40:H40"/>
    <mergeCell ref="F44:H44"/>
  </mergeCells>
  <pageMargins left="0.55118110236220474" right="0.55118110236220474" top="0.55118110236220474" bottom="0.55118110236220474" header="0.55118110236220474" footer="0.55118110236220474"/>
  <pageSetup paperSize="9" scale="65" fitToHeight="0" orientation="portrait" r:id="rId1"/>
  <headerFooter scaleWithDoc="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9">
    <tabColor theme="4" tint="0.39997558519241921"/>
    <pageSetUpPr fitToPage="1"/>
  </sheetPr>
  <dimension ref="A1:Q53"/>
  <sheetViews>
    <sheetView view="pageBreakPreview" zoomScale="90" zoomScaleNormal="130" zoomScaleSheetLayoutView="90" workbookViewId="0">
      <selection activeCell="O41" sqref="O41"/>
    </sheetView>
  </sheetViews>
  <sheetFormatPr defaultColWidth="9.140625" defaultRowHeight="12.95" customHeight="1"/>
  <cols>
    <col min="1" max="1" width="2.5703125" style="1301" customWidth="1"/>
    <col min="2" max="2" width="11.85546875" style="1302" customWidth="1"/>
    <col min="3" max="3" width="11.28515625" style="1302" customWidth="1"/>
    <col min="4" max="4" width="7" style="1302" customWidth="1"/>
    <col min="5" max="5" width="7.7109375" style="1302" hidden="1" customWidth="1"/>
    <col min="6" max="6" width="10.42578125" style="1302" customWidth="1"/>
    <col min="7" max="13" width="13.85546875" style="1303" customWidth="1"/>
    <col min="14" max="14" width="1.42578125" style="1302" customWidth="1"/>
    <col min="15" max="15" width="12.28515625" style="1302" customWidth="1"/>
    <col min="16" max="16384" width="9.140625" style="1302"/>
  </cols>
  <sheetData>
    <row r="1" spans="1:14" ht="8.1" customHeight="1"/>
    <row r="2" spans="1:14" ht="8.1" customHeight="1"/>
    <row r="3" spans="1:14" ht="16.350000000000001" customHeight="1">
      <c r="A3" s="1302"/>
      <c r="B3" s="1304" t="s">
        <v>810</v>
      </c>
      <c r="C3" s="150" t="s">
        <v>1960</v>
      </c>
      <c r="D3" s="150"/>
      <c r="E3" s="150"/>
      <c r="F3" s="150"/>
      <c r="G3" s="778"/>
      <c r="H3" s="778"/>
      <c r="I3" s="778"/>
      <c r="J3" s="778"/>
      <c r="K3" s="778"/>
      <c r="L3" s="778"/>
      <c r="M3" s="778"/>
      <c r="N3" s="150"/>
    </row>
    <row r="4" spans="1:14" ht="16.899999999999999" customHeight="1">
      <c r="A4" s="1302"/>
      <c r="B4" s="1305" t="s">
        <v>811</v>
      </c>
      <c r="C4" s="151" t="s">
        <v>1961</v>
      </c>
      <c r="D4" s="151"/>
      <c r="E4" s="151"/>
      <c r="F4" s="151"/>
      <c r="G4" s="781"/>
      <c r="H4" s="781"/>
      <c r="I4" s="781"/>
      <c r="J4" s="781"/>
      <c r="K4" s="781"/>
      <c r="L4" s="781"/>
      <c r="M4" s="781"/>
      <c r="N4" s="150"/>
    </row>
    <row r="5" spans="1:14" ht="13.15" customHeight="1" thickBot="1">
      <c r="A5" s="1306"/>
      <c r="B5" s="1306"/>
      <c r="C5" s="1306"/>
      <c r="D5" s="1306"/>
      <c r="E5" s="1306"/>
      <c r="F5" s="1306"/>
      <c r="G5" s="1307"/>
      <c r="H5" s="1307"/>
      <c r="I5" s="1307"/>
      <c r="J5" s="1307"/>
      <c r="K5" s="1307"/>
      <c r="L5" s="1307"/>
      <c r="M5" s="1307"/>
      <c r="N5" s="1307"/>
    </row>
    <row r="6" spans="1:14" ht="54" customHeight="1" thickBot="1">
      <c r="A6" s="7"/>
      <c r="B6" s="2651" t="s">
        <v>812</v>
      </c>
      <c r="C6" s="2660"/>
      <c r="D6" s="2660"/>
      <c r="E6" s="2660"/>
      <c r="F6" s="2660"/>
      <c r="G6" s="789" t="s">
        <v>1057</v>
      </c>
      <c r="H6" s="790" t="s">
        <v>1059</v>
      </c>
      <c r="I6" s="790" t="s">
        <v>1058</v>
      </c>
      <c r="J6" s="790" t="s">
        <v>1063</v>
      </c>
      <c r="K6" s="791" t="s">
        <v>1060</v>
      </c>
      <c r="L6" s="791" t="s">
        <v>1061</v>
      </c>
      <c r="M6" s="791" t="s">
        <v>1062</v>
      </c>
      <c r="N6" s="7"/>
    </row>
    <row r="7" spans="1:14" ht="16.350000000000001" customHeight="1">
      <c r="A7" s="275"/>
      <c r="B7" s="1308"/>
      <c r="C7" s="275"/>
      <c r="D7" s="275"/>
      <c r="E7" s="275"/>
      <c r="F7" s="275"/>
      <c r="G7" s="1169"/>
      <c r="H7" s="1169"/>
      <c r="I7" s="1169"/>
      <c r="J7" s="1169"/>
      <c r="K7" s="1169"/>
      <c r="L7" s="1169"/>
      <c r="M7" s="1169"/>
      <c r="N7" s="275"/>
    </row>
    <row r="8" spans="1:14" ht="15.2" customHeight="1">
      <c r="A8" s="1302"/>
      <c r="B8" s="1309" t="s">
        <v>813</v>
      </c>
      <c r="C8" s="1167"/>
      <c r="D8" s="1167"/>
      <c r="E8" s="1167"/>
      <c r="F8" s="1167"/>
      <c r="G8" s="1510"/>
      <c r="H8" s="1510"/>
      <c r="I8" s="1510"/>
      <c r="J8" s="1510"/>
      <c r="K8" s="1510"/>
      <c r="L8" s="1510"/>
      <c r="M8" s="1510"/>
    </row>
    <row r="9" spans="1:14" ht="15.2" customHeight="1">
      <c r="A9" s="1302"/>
      <c r="B9" s="1310" t="s">
        <v>814</v>
      </c>
      <c r="C9" s="1167"/>
      <c r="D9" s="1167"/>
      <c r="E9" s="1167"/>
      <c r="F9" s="1167"/>
      <c r="G9" s="1511"/>
      <c r="H9" s="1511"/>
      <c r="I9" s="1511"/>
      <c r="J9" s="1511"/>
      <c r="K9" s="1511"/>
      <c r="L9" s="1511"/>
      <c r="M9" s="1511"/>
    </row>
    <row r="10" spans="1:14" ht="8.1" customHeight="1">
      <c r="A10" s="1302"/>
      <c r="B10" s="1167"/>
      <c r="C10" s="1167"/>
      <c r="D10" s="1167"/>
      <c r="E10" s="1167"/>
      <c r="F10" s="1167"/>
      <c r="G10" s="1511"/>
      <c r="H10" s="1511"/>
      <c r="I10" s="1511"/>
      <c r="J10" s="1511"/>
      <c r="K10" s="1511"/>
      <c r="L10" s="1511"/>
      <c r="M10" s="1511"/>
    </row>
    <row r="11" spans="1:14" s="1311" customFormat="1" ht="15.2" customHeight="1">
      <c r="B11" s="1312" t="s">
        <v>815</v>
      </c>
      <c r="C11" s="1313"/>
      <c r="D11" s="1313"/>
      <c r="E11" s="1313"/>
      <c r="F11" s="1313"/>
      <c r="G11" s="1512">
        <v>155</v>
      </c>
      <c r="H11" s="1512">
        <v>35</v>
      </c>
      <c r="I11" s="1512">
        <v>45</v>
      </c>
      <c r="J11" s="1512">
        <v>37</v>
      </c>
      <c r="K11" s="1512">
        <v>9</v>
      </c>
      <c r="L11" s="1512">
        <v>11</v>
      </c>
      <c r="M11" s="1512">
        <v>13</v>
      </c>
    </row>
    <row r="12" spans="1:14" ht="15.2" customHeight="1">
      <c r="A12" s="1302"/>
      <c r="B12" s="1314" t="s">
        <v>816</v>
      </c>
      <c r="C12" s="1315"/>
      <c r="D12" s="1315"/>
      <c r="E12" s="1315"/>
      <c r="F12" s="1315"/>
      <c r="G12" s="1511"/>
      <c r="H12" s="1511"/>
      <c r="I12" s="1511"/>
      <c r="J12" s="1511"/>
      <c r="K12" s="1511"/>
      <c r="L12" s="1511"/>
      <c r="M12" s="1511"/>
    </row>
    <row r="13" spans="1:14" ht="8.1" customHeight="1">
      <c r="A13" s="1302"/>
      <c r="B13" s="1314"/>
      <c r="C13" s="1315"/>
      <c r="D13" s="1315"/>
      <c r="E13" s="1315"/>
      <c r="F13" s="1315"/>
      <c r="G13" s="1511"/>
      <c r="H13" s="1511"/>
      <c r="I13" s="1511"/>
      <c r="J13" s="1511"/>
      <c r="K13" s="1511"/>
      <c r="L13" s="1511"/>
      <c r="M13" s="1511"/>
    </row>
    <row r="14" spans="1:14" ht="15.2" customHeight="1">
      <c r="A14" s="1302"/>
      <c r="B14" s="1316" t="s">
        <v>817</v>
      </c>
      <c r="C14" s="1315"/>
      <c r="D14" s="1315"/>
      <c r="E14" s="1315"/>
      <c r="F14" s="1315"/>
      <c r="G14" s="1463">
        <v>99</v>
      </c>
      <c r="H14" s="1463">
        <v>23</v>
      </c>
      <c r="I14" s="1463">
        <v>33</v>
      </c>
      <c r="J14" s="1463">
        <v>21</v>
      </c>
      <c r="K14" s="1463">
        <v>3</v>
      </c>
      <c r="L14" s="1463">
        <v>10</v>
      </c>
      <c r="M14" s="1463">
        <v>9</v>
      </c>
    </row>
    <row r="15" spans="1:14" ht="15.2" customHeight="1">
      <c r="A15" s="1302"/>
      <c r="B15" s="1317" t="s">
        <v>818</v>
      </c>
      <c r="C15" s="1315"/>
      <c r="D15" s="1315"/>
      <c r="E15" s="1315"/>
      <c r="F15" s="1315"/>
      <c r="G15" s="1463"/>
      <c r="H15" s="1463"/>
      <c r="I15" s="1463"/>
      <c r="J15" s="1463"/>
      <c r="K15" s="1463"/>
      <c r="L15" s="1463"/>
      <c r="M15" s="1463"/>
    </row>
    <row r="16" spans="1:14" ht="8.1" customHeight="1">
      <c r="A16" s="1302"/>
      <c r="B16" s="1318"/>
      <c r="C16" s="1315"/>
      <c r="D16" s="1315"/>
      <c r="E16" s="1315"/>
      <c r="F16" s="1315"/>
      <c r="G16" s="1463"/>
      <c r="H16" s="1463"/>
      <c r="I16" s="1463"/>
      <c r="J16" s="1463"/>
      <c r="K16" s="1463"/>
      <c r="L16" s="1463"/>
      <c r="M16" s="1463"/>
    </row>
    <row r="17" spans="1:13" ht="15.2" customHeight="1">
      <c r="A17" s="1302"/>
      <c r="B17" s="1316" t="s">
        <v>819</v>
      </c>
      <c r="C17" s="1315"/>
      <c r="D17" s="1315"/>
      <c r="E17" s="1315"/>
      <c r="F17" s="1315"/>
      <c r="G17" s="1463">
        <v>33</v>
      </c>
      <c r="H17" s="1463">
        <v>8</v>
      </c>
      <c r="I17" s="1463">
        <v>11</v>
      </c>
      <c r="J17" s="1463">
        <v>8</v>
      </c>
      <c r="K17" s="1463">
        <v>5</v>
      </c>
      <c r="L17" s="1463" t="s">
        <v>205</v>
      </c>
      <c r="M17" s="1463" t="s">
        <v>204</v>
      </c>
    </row>
    <row r="18" spans="1:13" ht="15.2" customHeight="1">
      <c r="A18" s="1302"/>
      <c r="B18" s="1317" t="s">
        <v>820</v>
      </c>
      <c r="C18" s="1315"/>
      <c r="D18" s="1315"/>
      <c r="E18" s="1315"/>
      <c r="F18" s="1315"/>
      <c r="G18" s="1463"/>
      <c r="H18" s="1463"/>
      <c r="I18" s="1463"/>
      <c r="J18" s="1463"/>
      <c r="K18" s="1463"/>
      <c r="L18" s="1463"/>
      <c r="M18" s="1463"/>
    </row>
    <row r="19" spans="1:13" ht="8.1" customHeight="1">
      <c r="A19" s="1302"/>
      <c r="B19" s="1318"/>
      <c r="C19" s="1315"/>
      <c r="D19" s="1315"/>
      <c r="E19" s="1315"/>
      <c r="F19" s="1315"/>
      <c r="G19" s="1463"/>
      <c r="H19" s="1463"/>
      <c r="I19" s="1463"/>
      <c r="J19" s="1463"/>
      <c r="K19" s="1463"/>
      <c r="L19" s="1463"/>
      <c r="M19" s="1463"/>
    </row>
    <row r="20" spans="1:13" ht="15.2" customHeight="1">
      <c r="A20" s="1302"/>
      <c r="B20" s="1316" t="s">
        <v>821</v>
      </c>
      <c r="C20" s="1315"/>
      <c r="D20" s="1315"/>
      <c r="E20" s="1315"/>
      <c r="F20" s="1315"/>
      <c r="G20" s="1463">
        <v>16</v>
      </c>
      <c r="H20" s="1463">
        <v>3</v>
      </c>
      <c r="I20" s="1463">
        <v>5</v>
      </c>
      <c r="J20" s="1463">
        <v>5</v>
      </c>
      <c r="K20" s="1463" t="s">
        <v>205</v>
      </c>
      <c r="L20" s="1463" t="s">
        <v>204</v>
      </c>
      <c r="M20" s="1463" t="s">
        <v>204</v>
      </c>
    </row>
    <row r="21" spans="1:13" ht="15.2" customHeight="1">
      <c r="A21" s="1302"/>
      <c r="B21" s="1317" t="s">
        <v>822</v>
      </c>
      <c r="C21" s="1315"/>
      <c r="D21" s="1315"/>
      <c r="E21" s="1315"/>
      <c r="F21" s="1315"/>
      <c r="G21" s="1463"/>
      <c r="H21" s="1463"/>
      <c r="I21" s="1463"/>
      <c r="J21" s="1463"/>
      <c r="K21" s="1463"/>
      <c r="L21" s="1463"/>
      <c r="M21" s="1463"/>
    </row>
    <row r="22" spans="1:13" ht="8.1" customHeight="1">
      <c r="A22" s="1302"/>
      <c r="B22" s="1319"/>
      <c r="C22" s="1315"/>
      <c r="D22" s="1315"/>
      <c r="E22" s="1315"/>
      <c r="F22" s="1315"/>
      <c r="G22" s="1463"/>
      <c r="H22" s="1463"/>
      <c r="I22" s="1463"/>
      <c r="J22" s="1463"/>
      <c r="K22" s="1463"/>
      <c r="L22" s="1463"/>
      <c r="M22" s="1463"/>
    </row>
    <row r="23" spans="1:13" ht="15.2" customHeight="1">
      <c r="A23" s="1302"/>
      <c r="B23" s="1316" t="s">
        <v>823</v>
      </c>
      <c r="C23" s="1320"/>
      <c r="D23" s="1315"/>
      <c r="E23" s="1315"/>
      <c r="F23" s="1315"/>
      <c r="G23" s="1463">
        <v>7</v>
      </c>
      <c r="H23" s="1463" t="s">
        <v>204</v>
      </c>
      <c r="I23" s="1463" t="s">
        <v>204</v>
      </c>
      <c r="J23" s="1463">
        <v>3</v>
      </c>
      <c r="K23" s="1463" t="s">
        <v>204</v>
      </c>
      <c r="L23" s="1463" t="s">
        <v>205</v>
      </c>
      <c r="M23" s="1463" t="s">
        <v>204</v>
      </c>
    </row>
    <row r="24" spans="1:13" ht="15.2" customHeight="1">
      <c r="A24" s="1302"/>
      <c r="B24" s="1317" t="s">
        <v>824</v>
      </c>
      <c r="C24" s="1321"/>
      <c r="D24" s="1315"/>
      <c r="E24" s="1315"/>
      <c r="F24" s="1315"/>
      <c r="G24" s="1463"/>
      <c r="H24" s="1463"/>
      <c r="I24" s="1463"/>
      <c r="J24" s="1463"/>
      <c r="K24" s="1463"/>
      <c r="L24" s="1463"/>
      <c r="M24" s="1463"/>
    </row>
    <row r="25" spans="1:13" ht="8.1" customHeight="1">
      <c r="A25" s="1302"/>
      <c r="B25" s="1322"/>
      <c r="C25" s="1315"/>
      <c r="D25" s="1315"/>
      <c r="E25" s="1315"/>
      <c r="F25" s="1315"/>
      <c r="G25" s="1463"/>
      <c r="H25" s="1463"/>
      <c r="I25" s="1463"/>
      <c r="J25" s="1463"/>
      <c r="K25" s="1463"/>
      <c r="L25" s="1463"/>
      <c r="M25" s="1463"/>
    </row>
    <row r="26" spans="1:13" ht="15.2" customHeight="1">
      <c r="A26" s="1302"/>
      <c r="B26" s="1312" t="s">
        <v>825</v>
      </c>
      <c r="C26" s="1315"/>
      <c r="D26" s="1315"/>
      <c r="E26" s="1315"/>
      <c r="F26" s="1315"/>
      <c r="G26" s="1463">
        <v>24</v>
      </c>
      <c r="H26" s="1463">
        <v>3</v>
      </c>
      <c r="I26" s="1463">
        <v>11</v>
      </c>
      <c r="J26" s="1463">
        <v>3</v>
      </c>
      <c r="K26" s="1463">
        <v>3</v>
      </c>
      <c r="L26" s="1463" t="s">
        <v>205</v>
      </c>
      <c r="M26" s="1463">
        <v>4</v>
      </c>
    </row>
    <row r="27" spans="1:13" ht="15.2" customHeight="1">
      <c r="A27" s="1302"/>
      <c r="B27" s="1314" t="s">
        <v>826</v>
      </c>
      <c r="C27" s="1315"/>
      <c r="D27" s="1315"/>
      <c r="E27" s="1315"/>
      <c r="F27" s="1315"/>
      <c r="G27" s="1463"/>
      <c r="H27" s="1463"/>
      <c r="I27" s="1463"/>
      <c r="J27" s="1463"/>
      <c r="K27" s="1463"/>
      <c r="L27" s="1463"/>
      <c r="M27" s="1463"/>
    </row>
    <row r="28" spans="1:13" ht="8.1" customHeight="1">
      <c r="A28" s="1302"/>
      <c r="B28" s="1322"/>
      <c r="C28" s="1315"/>
      <c r="D28" s="1315"/>
      <c r="E28" s="1315"/>
      <c r="F28" s="1315"/>
      <c r="G28" s="1463"/>
      <c r="H28" s="1463"/>
      <c r="I28" s="1463"/>
      <c r="J28" s="1463"/>
      <c r="K28" s="1463"/>
      <c r="L28" s="1463"/>
      <c r="M28" s="1463"/>
    </row>
    <row r="29" spans="1:13" ht="15.2" customHeight="1">
      <c r="A29" s="1302"/>
      <c r="B29" s="1312" t="s">
        <v>452</v>
      </c>
      <c r="C29" s="1315"/>
      <c r="D29" s="1315"/>
      <c r="E29" s="1315"/>
      <c r="F29" s="1315"/>
      <c r="G29" s="1463">
        <v>895</v>
      </c>
      <c r="H29" s="1463">
        <v>101</v>
      </c>
      <c r="I29" s="1463">
        <v>417</v>
      </c>
      <c r="J29" s="1463">
        <v>147</v>
      </c>
      <c r="K29" s="1463">
        <v>50</v>
      </c>
      <c r="L29" s="1463">
        <v>78</v>
      </c>
      <c r="M29" s="1463">
        <v>102</v>
      </c>
    </row>
    <row r="30" spans="1:13" ht="15.2" customHeight="1">
      <c r="A30" s="1302"/>
      <c r="B30" s="1314" t="s">
        <v>827</v>
      </c>
      <c r="C30" s="1315"/>
      <c r="D30" s="1315"/>
      <c r="E30" s="1315"/>
      <c r="F30" s="1315"/>
      <c r="G30" s="1463"/>
      <c r="H30" s="1463"/>
      <c r="I30" s="1463"/>
      <c r="J30" s="1463"/>
      <c r="K30" s="1463"/>
      <c r="L30" s="1463"/>
      <c r="M30" s="1463"/>
    </row>
    <row r="31" spans="1:13" ht="8.1" customHeight="1">
      <c r="A31" s="1302"/>
      <c r="B31" s="1314"/>
      <c r="C31" s="1315"/>
      <c r="D31" s="1315"/>
      <c r="E31" s="1315"/>
      <c r="F31" s="1315"/>
      <c r="G31" s="1463"/>
      <c r="H31" s="1463"/>
      <c r="I31" s="1463"/>
      <c r="J31" s="1463"/>
      <c r="K31" s="1463"/>
      <c r="L31" s="1463"/>
      <c r="M31" s="1463"/>
    </row>
    <row r="32" spans="1:13" ht="15.2" customHeight="1">
      <c r="A32" s="1302"/>
      <c r="B32" s="1312" t="s">
        <v>828</v>
      </c>
      <c r="C32" s="1315"/>
      <c r="D32" s="1315"/>
      <c r="E32" s="1315"/>
      <c r="F32" s="1315"/>
      <c r="G32" s="1463">
        <v>1049</v>
      </c>
      <c r="H32" s="1463">
        <v>160</v>
      </c>
      <c r="I32" s="1463">
        <v>307</v>
      </c>
      <c r="J32" s="1463">
        <v>177</v>
      </c>
      <c r="K32" s="1463">
        <v>71</v>
      </c>
      <c r="L32" s="1463">
        <v>164</v>
      </c>
      <c r="M32" s="1463">
        <v>170</v>
      </c>
    </row>
    <row r="33" spans="1:17" ht="15.2" customHeight="1">
      <c r="A33" s="1302"/>
      <c r="B33" s="1314" t="s">
        <v>829</v>
      </c>
      <c r="C33" s="1315"/>
      <c r="D33" s="1315"/>
      <c r="E33" s="1315"/>
      <c r="F33" s="1315"/>
      <c r="G33" s="1463"/>
      <c r="H33" s="1463"/>
      <c r="I33" s="1463"/>
      <c r="J33" s="1463"/>
      <c r="K33" s="1463"/>
      <c r="L33" s="1463"/>
      <c r="M33" s="1463"/>
    </row>
    <row r="34" spans="1:17" ht="8.1" customHeight="1">
      <c r="A34" s="1302"/>
      <c r="B34" s="1314"/>
      <c r="C34" s="1315"/>
      <c r="D34" s="1315"/>
      <c r="E34" s="1315"/>
      <c r="F34" s="1315"/>
      <c r="G34" s="1463"/>
      <c r="H34" s="1463"/>
      <c r="I34" s="1463"/>
      <c r="J34" s="1463"/>
      <c r="K34" s="1463"/>
      <c r="L34" s="1463"/>
      <c r="M34" s="1463"/>
    </row>
    <row r="35" spans="1:17" ht="15.2" customHeight="1">
      <c r="A35" s="1302"/>
      <c r="B35" s="1320" t="s">
        <v>830</v>
      </c>
      <c r="C35" s="1315"/>
      <c r="D35" s="1315"/>
      <c r="E35" s="1315"/>
      <c r="F35" s="1315"/>
      <c r="G35" s="1463">
        <v>8663</v>
      </c>
      <c r="H35" s="1463">
        <v>1042</v>
      </c>
      <c r="I35" s="1463">
        <v>3362</v>
      </c>
      <c r="J35" s="1463">
        <v>1944</v>
      </c>
      <c r="K35" s="1463">
        <v>525</v>
      </c>
      <c r="L35" s="1463">
        <v>764</v>
      </c>
      <c r="M35" s="1463">
        <v>1026</v>
      </c>
    </row>
    <row r="36" spans="1:17" ht="15.2" customHeight="1">
      <c r="A36" s="1302"/>
      <c r="B36" s="1321" t="s">
        <v>831</v>
      </c>
      <c r="C36" s="1315"/>
      <c r="D36" s="1315"/>
      <c r="E36" s="1315"/>
      <c r="F36" s="1315"/>
      <c r="G36" s="1511"/>
      <c r="H36" s="1511"/>
      <c r="I36" s="1511"/>
      <c r="J36" s="1511"/>
      <c r="K36" s="1511"/>
      <c r="L36" s="1511"/>
      <c r="M36" s="1511"/>
    </row>
    <row r="37" spans="1:17" ht="15.2" customHeight="1">
      <c r="A37" s="1302"/>
      <c r="B37" s="1321"/>
      <c r="C37" s="1315"/>
      <c r="D37" s="1315"/>
      <c r="E37" s="1315"/>
      <c r="F37" s="1315"/>
      <c r="G37" s="1511"/>
      <c r="H37" s="1511"/>
      <c r="I37" s="1511"/>
      <c r="J37" s="1511"/>
      <c r="K37" s="1511"/>
      <c r="L37" s="1511"/>
      <c r="M37" s="1511"/>
    </row>
    <row r="38" spans="1:17" ht="8.1" customHeight="1" thickBot="1">
      <c r="A38" s="815"/>
      <c r="B38" s="815"/>
      <c r="C38" s="815"/>
      <c r="D38" s="815"/>
      <c r="E38" s="815"/>
      <c r="F38" s="815"/>
      <c r="G38" s="939"/>
      <c r="H38" s="939"/>
      <c r="I38" s="939"/>
      <c r="J38" s="939"/>
      <c r="K38" s="939"/>
      <c r="L38" s="939"/>
      <c r="M38" s="939"/>
      <c r="N38" s="939"/>
      <c r="O38" s="928"/>
    </row>
    <row r="39" spans="1:17" s="1335" customFormat="1" ht="15.2" customHeight="1" thickTop="1">
      <c r="C39" s="1336"/>
      <c r="D39" s="1336"/>
      <c r="G39" s="1337"/>
      <c r="H39" s="1337"/>
      <c r="I39" s="1337"/>
      <c r="J39" s="1337"/>
      <c r="K39" s="1337"/>
      <c r="L39" s="1337"/>
      <c r="M39" s="1337"/>
      <c r="N39" s="1338" t="s">
        <v>0</v>
      </c>
      <c r="Q39" s="1339"/>
    </row>
    <row r="40" spans="1:17" s="1335" customFormat="1" ht="15.75" customHeight="1">
      <c r="C40" s="1336"/>
      <c r="D40" s="1336"/>
      <c r="E40" s="1336"/>
      <c r="F40" s="1336"/>
      <c r="G40" s="1337"/>
      <c r="H40" s="1337"/>
      <c r="I40" s="1337"/>
      <c r="J40" s="1337"/>
      <c r="K40" s="1337"/>
      <c r="L40" s="1337"/>
      <c r="M40" s="1337"/>
      <c r="N40" s="1340" t="s">
        <v>1</v>
      </c>
    </row>
    <row r="41" spans="1:17" s="1335" customFormat="1" ht="15.2" customHeight="1">
      <c r="G41" s="1341"/>
      <c r="H41" s="1341"/>
      <c r="I41" s="1341"/>
      <c r="J41" s="1341"/>
      <c r="K41" s="1341"/>
      <c r="L41" s="1341"/>
      <c r="M41" s="1341"/>
      <c r="N41" s="1342"/>
    </row>
    <row r="42" spans="1:17" s="1335" customFormat="1" ht="15.2" customHeight="1">
      <c r="A42" s="1343" t="s">
        <v>2</v>
      </c>
      <c r="G42" s="1344"/>
      <c r="H42" s="1344"/>
      <c r="I42" s="1344"/>
      <c r="J42" s="1344"/>
      <c r="K42" s="1344"/>
      <c r="L42" s="1344"/>
      <c r="M42" s="1344"/>
      <c r="N42" s="1345"/>
    </row>
    <row r="43" spans="1:17" s="1335" customFormat="1" ht="15.2" customHeight="1">
      <c r="A43" s="1346" t="s">
        <v>3</v>
      </c>
      <c r="B43" s="1347" t="s">
        <v>1971</v>
      </c>
      <c r="C43" s="1348"/>
      <c r="D43" s="1349"/>
      <c r="G43" s="1344"/>
      <c r="H43" s="1344"/>
      <c r="I43" s="1344"/>
      <c r="J43" s="1344"/>
      <c r="K43" s="1344"/>
      <c r="L43" s="1344"/>
      <c r="M43" s="1344"/>
    </row>
    <row r="44" spans="1:17" s="1335" customFormat="1" ht="15.2" customHeight="1">
      <c r="A44" s="1349"/>
      <c r="B44" s="1350" t="s">
        <v>1962</v>
      </c>
      <c r="C44" s="1348"/>
      <c r="D44" s="1349"/>
      <c r="G44" s="1344"/>
      <c r="H44" s="1344"/>
      <c r="I44" s="1344"/>
      <c r="J44" s="1344"/>
      <c r="K44" s="1344"/>
      <c r="L44" s="1344"/>
      <c r="M44" s="1344"/>
    </row>
    <row r="45" spans="1:17" s="1335" customFormat="1" ht="8.1" customHeight="1">
      <c r="A45" s="1349"/>
      <c r="B45" s="1348"/>
      <c r="C45" s="1348"/>
      <c r="D45" s="1349"/>
      <c r="G45" s="1344"/>
      <c r="H45" s="1344"/>
      <c r="I45" s="1344"/>
      <c r="J45" s="1344"/>
      <c r="K45" s="1344"/>
      <c r="L45" s="1344"/>
      <c r="M45" s="1344"/>
    </row>
    <row r="46" spans="1:17" s="1335" customFormat="1" ht="15.2" customHeight="1">
      <c r="A46" s="1346" t="s">
        <v>4</v>
      </c>
      <c r="B46" s="1351" t="s">
        <v>832</v>
      </c>
      <c r="C46" s="1348"/>
      <c r="D46" s="1349"/>
      <c r="G46" s="1344"/>
      <c r="H46" s="1344"/>
      <c r="I46" s="1344"/>
      <c r="J46" s="1344"/>
      <c r="K46" s="1344"/>
      <c r="L46" s="1344"/>
      <c r="M46" s="1344"/>
    </row>
    <row r="47" spans="1:17" s="1335" customFormat="1" ht="15.2" customHeight="1">
      <c r="A47" s="1349"/>
      <c r="B47" s="1352" t="s">
        <v>833</v>
      </c>
      <c r="C47" s="1353"/>
      <c r="G47" s="1344"/>
      <c r="H47" s="1344"/>
      <c r="I47" s="1344"/>
      <c r="J47" s="1344"/>
      <c r="K47" s="1344"/>
      <c r="L47" s="1344"/>
      <c r="M47" s="1344"/>
    </row>
    <row r="48" spans="1:17" s="1335" customFormat="1" ht="8.1" customHeight="1">
      <c r="A48" s="1349"/>
      <c r="B48" s="1348"/>
      <c r="C48" s="1353"/>
      <c r="G48" s="1344"/>
      <c r="H48" s="1344"/>
      <c r="I48" s="1344"/>
      <c r="J48" s="1344"/>
      <c r="K48" s="1344"/>
      <c r="L48" s="1344"/>
      <c r="M48" s="1344"/>
    </row>
    <row r="49" spans="1:15" s="1335" customFormat="1" ht="15.2" customHeight="1">
      <c r="A49" s="1346" t="s">
        <v>263</v>
      </c>
      <c r="B49" s="1348" t="s">
        <v>1424</v>
      </c>
      <c r="C49" s="1349"/>
      <c r="G49" s="1344"/>
      <c r="H49" s="1344"/>
      <c r="I49" s="1344"/>
      <c r="J49" s="1344"/>
      <c r="K49" s="1344"/>
      <c r="L49" s="1344"/>
      <c r="M49" s="1344"/>
    </row>
    <row r="50" spans="1:15" s="1335" customFormat="1" ht="15.2" customHeight="1">
      <c r="B50" s="1354" t="s">
        <v>1425</v>
      </c>
      <c r="C50" s="1355"/>
      <c r="G50" s="1344"/>
      <c r="H50" s="1344"/>
      <c r="I50" s="1344"/>
      <c r="J50" s="1344"/>
      <c r="K50" s="1344"/>
      <c r="L50" s="1344"/>
      <c r="M50" s="1344"/>
    </row>
    <row r="51" spans="1:15" ht="12.95" customHeight="1">
      <c r="A51" s="1349"/>
      <c r="B51" s="1348"/>
      <c r="C51" s="1353"/>
      <c r="D51" s="1335"/>
      <c r="E51" s="1335"/>
      <c r="F51" s="1335"/>
      <c r="G51" s="1344"/>
      <c r="H51" s="1344"/>
      <c r="I51" s="1344"/>
      <c r="J51" s="1344"/>
      <c r="K51" s="1344"/>
      <c r="L51" s="1344"/>
      <c r="M51" s="1344"/>
      <c r="N51" s="1335"/>
      <c r="O51" s="1335"/>
    </row>
    <row r="52" spans="1:15" ht="12.95" customHeight="1">
      <c r="A52" s="1346" t="s">
        <v>570</v>
      </c>
      <c r="B52" s="1347" t="s">
        <v>1254</v>
      </c>
      <c r="C52" s="1020"/>
      <c r="N52" s="1356"/>
    </row>
    <row r="53" spans="1:15" ht="12.95" customHeight="1">
      <c r="B53" s="1350" t="s">
        <v>1255</v>
      </c>
    </row>
  </sheetData>
  <mergeCells count="1">
    <mergeCell ref="B6:F6"/>
  </mergeCells>
  <conditionalFormatting sqref="D43:D46">
    <cfRule type="cellIs" dxfId="98" priority="1" stopIfTrue="1" operator="lessThan">
      <formula>0</formula>
    </cfRule>
  </conditionalFormatting>
  <pageMargins left="0.55118110236220474" right="0.55118110236220474" top="0.55118110236220474" bottom="0.55118110236220474" header="0.55118110236220474" footer="0.55118110236220474"/>
  <pageSetup paperSize="9" scale="64" fitToHeight="0" orientation="portrait" r:id="rId1"/>
  <headerFooter scaleWithDoc="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0">
    <tabColor theme="4" tint="0.39997558519241921"/>
    <pageSetUpPr fitToPage="1"/>
  </sheetPr>
  <dimension ref="A1:O90"/>
  <sheetViews>
    <sheetView view="pageBreakPreview" topLeftCell="A68" zoomScaleNormal="100" zoomScaleSheetLayoutView="100" workbookViewId="0">
      <selection activeCell="H76" sqref="H76:N76"/>
    </sheetView>
  </sheetViews>
  <sheetFormatPr defaultRowHeight="15"/>
  <cols>
    <col min="1" max="1" width="2.42578125" customWidth="1"/>
    <col min="2" max="2" width="10.7109375" customWidth="1"/>
    <col min="7" max="7" width="10.28515625" customWidth="1"/>
    <col min="8" max="8" width="13.28515625" customWidth="1"/>
    <col min="9" max="14" width="13.5703125" customWidth="1"/>
  </cols>
  <sheetData>
    <row r="1" spans="1:14" s="1302" customFormat="1" ht="8.1" customHeight="1">
      <c r="A1" s="1301"/>
    </row>
    <row r="2" spans="1:14" s="1302" customFormat="1" ht="8.1" customHeight="1">
      <c r="A2" s="1301"/>
    </row>
    <row r="3" spans="1:14" s="1302" customFormat="1" ht="16.350000000000001" customHeight="1">
      <c r="B3" s="1357" t="s">
        <v>834</v>
      </c>
      <c r="C3" s="1358" t="s">
        <v>1963</v>
      </c>
      <c r="D3" s="150"/>
      <c r="E3" s="150"/>
      <c r="F3" s="150"/>
      <c r="G3" s="150"/>
      <c r="H3" s="150"/>
    </row>
    <row r="4" spans="1:14" s="1302" customFormat="1" ht="16.350000000000001" hidden="1" customHeight="1">
      <c r="B4" s="1357"/>
      <c r="C4" s="1358" t="s">
        <v>1007</v>
      </c>
      <c r="D4" s="150"/>
      <c r="E4" s="150"/>
      <c r="F4" s="150"/>
      <c r="G4" s="150"/>
      <c r="H4" s="150"/>
    </row>
    <row r="5" spans="1:14" s="1302" customFormat="1" ht="16.350000000000001" customHeight="1">
      <c r="B5" s="1359" t="s">
        <v>835</v>
      </c>
      <c r="C5" s="1360" t="s">
        <v>1964</v>
      </c>
      <c r="D5" s="151"/>
      <c r="E5" s="151"/>
      <c r="F5" s="151"/>
      <c r="G5" s="151"/>
      <c r="H5" s="150"/>
    </row>
    <row r="6" spans="1:14" s="1302" customFormat="1" ht="16.149999999999999" hidden="1" customHeight="1">
      <c r="A6" s="1382"/>
      <c r="B6" s="1382"/>
      <c r="C6" s="1383" t="s">
        <v>1008</v>
      </c>
      <c r="D6" s="1382"/>
      <c r="E6" s="1382"/>
      <c r="F6" s="1382"/>
      <c r="G6" s="1384"/>
      <c r="H6" s="1384"/>
    </row>
    <row r="7" spans="1:14" s="1302" customFormat="1" ht="13.35" customHeight="1" thickBot="1">
      <c r="A7" s="1306"/>
      <c r="B7" s="1306"/>
      <c r="C7" s="1361"/>
      <c r="D7" s="1306"/>
      <c r="E7" s="1306"/>
      <c r="F7" s="1306"/>
      <c r="G7" s="1307"/>
      <c r="H7" s="1307"/>
      <c r="I7" s="1362"/>
      <c r="J7" s="1362"/>
      <c r="K7" s="1362"/>
    </row>
    <row r="8" spans="1:14" s="836" customFormat="1" ht="54" customHeight="1" thickBot="1">
      <c r="A8" s="833"/>
      <c r="B8" s="2651" t="s">
        <v>812</v>
      </c>
      <c r="C8" s="2660"/>
      <c r="D8" s="2660"/>
      <c r="E8" s="2660"/>
      <c r="F8" s="2660"/>
      <c r="G8" s="1363"/>
      <c r="H8" s="789" t="s">
        <v>1057</v>
      </c>
      <c r="I8" s="790" t="s">
        <v>1059</v>
      </c>
      <c r="J8" s="790" t="s">
        <v>1058</v>
      </c>
      <c r="K8" s="790" t="s">
        <v>1063</v>
      </c>
      <c r="L8" s="791" t="s">
        <v>1060</v>
      </c>
      <c r="M8" s="791" t="s">
        <v>1061</v>
      </c>
      <c r="N8" s="791" t="s">
        <v>1062</v>
      </c>
    </row>
    <row r="9" spans="1:14" s="1302" customFormat="1" ht="5.25" customHeight="1">
      <c r="A9" s="275"/>
      <c r="B9" s="1308"/>
      <c r="C9" s="275"/>
      <c r="D9" s="275"/>
      <c r="E9" s="275"/>
      <c r="F9" s="275"/>
      <c r="G9" s="1169"/>
      <c r="H9" s="1169"/>
      <c r="I9" s="1169"/>
      <c r="J9" s="1169"/>
    </row>
    <row r="10" spans="1:14" s="836" customFormat="1" ht="15.2" customHeight="1">
      <c r="B10" s="1309" t="s">
        <v>813</v>
      </c>
      <c r="C10" s="1167"/>
      <c r="D10" s="1167"/>
      <c r="E10" s="1167"/>
      <c r="F10" s="1323"/>
      <c r="G10" s="1324"/>
      <c r="H10" s="849"/>
      <c r="I10" s="849"/>
      <c r="J10" s="849"/>
      <c r="K10" s="849"/>
      <c r="L10" s="849"/>
      <c r="M10" s="849"/>
      <c r="N10" s="849"/>
    </row>
    <row r="11" spans="1:14" s="836" customFormat="1" ht="15.2" customHeight="1">
      <c r="B11" s="1310" t="s">
        <v>814</v>
      </c>
      <c r="C11" s="1167"/>
      <c r="D11" s="1167"/>
      <c r="E11" s="1167"/>
      <c r="F11" s="1323"/>
      <c r="G11" s="1324"/>
      <c r="H11" s="849"/>
      <c r="I11" s="849"/>
      <c r="J11" s="849"/>
      <c r="K11" s="849"/>
      <c r="L11" s="849"/>
      <c r="M11" s="849"/>
      <c r="N11" s="849"/>
    </row>
    <row r="12" spans="1:14" s="836" customFormat="1" ht="5.25" customHeight="1">
      <c r="A12" s="1167"/>
      <c r="B12" s="1167"/>
      <c r="C12" s="1167"/>
      <c r="D12" s="1167"/>
      <c r="E12" s="1167"/>
      <c r="F12" s="1167"/>
      <c r="G12" s="1324"/>
      <c r="H12" s="849"/>
      <c r="I12" s="849"/>
      <c r="J12" s="849"/>
      <c r="K12" s="849"/>
      <c r="L12" s="849"/>
      <c r="M12" s="849"/>
      <c r="N12" s="849"/>
    </row>
    <row r="13" spans="1:14" s="836" customFormat="1" ht="15.2" customHeight="1">
      <c r="B13" s="1364" t="s">
        <v>836</v>
      </c>
      <c r="C13" s="1326"/>
      <c r="D13" s="1326"/>
      <c r="E13" s="1326"/>
      <c r="F13" s="1323"/>
      <c r="G13" s="1365"/>
      <c r="H13" s="1514">
        <v>8155</v>
      </c>
      <c r="I13" s="1514">
        <v>909</v>
      </c>
      <c r="J13" s="1514">
        <v>3284</v>
      </c>
      <c r="K13" s="1514">
        <v>1861</v>
      </c>
      <c r="L13" s="1514">
        <v>515</v>
      </c>
      <c r="M13" s="1514">
        <v>686</v>
      </c>
      <c r="N13" s="1514">
        <v>900</v>
      </c>
    </row>
    <row r="14" spans="1:14" s="836" customFormat="1" ht="15.2" customHeight="1">
      <c r="B14" s="1366" t="s">
        <v>837</v>
      </c>
      <c r="C14" s="1326"/>
      <c r="D14" s="1326"/>
      <c r="E14" s="1326"/>
      <c r="F14" s="1323"/>
      <c r="G14" s="1324"/>
      <c r="H14" s="849"/>
      <c r="I14" s="849"/>
      <c r="J14" s="849"/>
      <c r="K14" s="849"/>
      <c r="L14" s="849"/>
      <c r="M14" s="849"/>
      <c r="N14" s="849"/>
    </row>
    <row r="15" spans="1:14" s="836" customFormat="1" ht="8.1" customHeight="1">
      <c r="A15" s="1367"/>
      <c r="B15" s="1326"/>
      <c r="C15" s="1326"/>
      <c r="D15" s="1326"/>
      <c r="E15" s="1326"/>
      <c r="F15" s="1323"/>
      <c r="G15" s="1324"/>
      <c r="H15" s="849"/>
      <c r="I15" s="849"/>
      <c r="J15" s="849"/>
      <c r="K15" s="849"/>
      <c r="L15" s="849"/>
      <c r="M15" s="849"/>
      <c r="N15" s="849"/>
    </row>
    <row r="16" spans="1:14" s="836" customFormat="1" ht="15.2" customHeight="1">
      <c r="B16" s="1325" t="s">
        <v>838</v>
      </c>
      <c r="C16" s="1326"/>
      <c r="D16" s="1326"/>
      <c r="E16" s="1326"/>
      <c r="F16" s="1323"/>
      <c r="G16" s="1324"/>
      <c r="H16" s="849">
        <v>7</v>
      </c>
      <c r="I16" s="1514">
        <v>3</v>
      </c>
      <c r="J16" s="1514">
        <v>2</v>
      </c>
      <c r="K16" s="1514">
        <v>1</v>
      </c>
      <c r="L16" s="1514" t="s">
        <v>839</v>
      </c>
      <c r="M16" s="1514" t="s">
        <v>839</v>
      </c>
      <c r="N16" s="1514">
        <v>1</v>
      </c>
    </row>
    <row r="17" spans="2:14" s="836" customFormat="1" ht="15.2" customHeight="1">
      <c r="B17" s="1327" t="s">
        <v>840</v>
      </c>
      <c r="C17" s="1326"/>
      <c r="D17" s="1326"/>
      <c r="E17" s="1326"/>
      <c r="F17" s="1323"/>
      <c r="G17" s="1324"/>
      <c r="H17" s="849"/>
      <c r="I17" s="1514"/>
      <c r="J17" s="1514"/>
      <c r="K17" s="1514"/>
      <c r="L17" s="1514"/>
      <c r="M17" s="1514"/>
      <c r="N17" s="1514"/>
    </row>
    <row r="18" spans="2:14" s="836" customFormat="1" ht="8.1" customHeight="1">
      <c r="B18" s="1328"/>
      <c r="C18" s="1326"/>
      <c r="D18" s="1326"/>
      <c r="E18" s="1326"/>
      <c r="F18" s="1323"/>
      <c r="G18" s="1324"/>
      <c r="H18" s="849"/>
      <c r="I18" s="1514"/>
      <c r="J18" s="1514"/>
      <c r="K18" s="1514"/>
      <c r="L18" s="1514"/>
      <c r="M18" s="1514"/>
      <c r="N18" s="1514"/>
    </row>
    <row r="19" spans="2:14" s="836" customFormat="1" ht="15.2" customHeight="1">
      <c r="B19" s="1325" t="s">
        <v>841</v>
      </c>
      <c r="C19" s="1326"/>
      <c r="D19" s="1326"/>
      <c r="E19" s="1326"/>
      <c r="F19" s="1323"/>
      <c r="G19" s="1324"/>
      <c r="H19" s="849">
        <v>26</v>
      </c>
      <c r="I19" s="1514">
        <v>2</v>
      </c>
      <c r="J19" s="1514">
        <v>14</v>
      </c>
      <c r="K19" s="1514">
        <v>4</v>
      </c>
      <c r="L19" s="1514" t="s">
        <v>839</v>
      </c>
      <c r="M19" s="1514">
        <v>4</v>
      </c>
      <c r="N19" s="1514">
        <v>2</v>
      </c>
    </row>
    <row r="20" spans="2:14" s="836" customFormat="1" ht="15.2" customHeight="1">
      <c r="B20" s="1325" t="s">
        <v>842</v>
      </c>
      <c r="C20" s="1326"/>
      <c r="D20" s="1326"/>
      <c r="E20" s="1326"/>
      <c r="F20" s="1323"/>
      <c r="G20" s="1324"/>
      <c r="H20" s="849"/>
      <c r="I20" s="1514"/>
      <c r="J20" s="1514"/>
      <c r="K20" s="1514"/>
      <c r="L20" s="1514"/>
      <c r="M20" s="1514"/>
      <c r="N20" s="1514"/>
    </row>
    <row r="21" spans="2:14" s="836" customFormat="1" ht="15.2" customHeight="1">
      <c r="B21" s="1327" t="s">
        <v>843</v>
      </c>
      <c r="C21" s="1326"/>
      <c r="D21" s="1326"/>
      <c r="E21" s="1326"/>
      <c r="F21" s="1323"/>
      <c r="G21" s="1324"/>
      <c r="H21" s="849"/>
      <c r="I21" s="1514"/>
      <c r="J21" s="1514"/>
      <c r="K21" s="1514"/>
      <c r="L21" s="1514"/>
      <c r="M21" s="1514"/>
      <c r="N21" s="1514"/>
    </row>
    <row r="22" spans="2:14" s="836" customFormat="1" ht="14.25" customHeight="1">
      <c r="B22" s="1327" t="s">
        <v>844</v>
      </c>
      <c r="C22" s="1326"/>
      <c r="D22" s="1326"/>
      <c r="E22" s="1326"/>
      <c r="F22" s="1323"/>
      <c r="G22" s="1324"/>
      <c r="H22" s="849"/>
      <c r="I22" s="1514"/>
      <c r="J22" s="1514"/>
      <c r="K22" s="1514"/>
      <c r="L22" s="1514"/>
      <c r="M22" s="1514"/>
      <c r="N22" s="1514"/>
    </row>
    <row r="23" spans="2:14" s="836" customFormat="1" ht="8.65" customHeight="1">
      <c r="B23" s="1327"/>
      <c r="C23" s="1326"/>
      <c r="D23" s="1326"/>
      <c r="E23" s="1326"/>
      <c r="F23" s="1323"/>
      <c r="G23" s="1324"/>
      <c r="H23" s="849"/>
      <c r="I23" s="1514"/>
      <c r="J23" s="1514"/>
      <c r="K23" s="1514"/>
      <c r="L23" s="1514"/>
      <c r="M23" s="1514"/>
      <c r="N23" s="1514"/>
    </row>
    <row r="24" spans="2:14" s="836" customFormat="1" ht="24" customHeight="1">
      <c r="B24" s="2685" t="s">
        <v>845</v>
      </c>
      <c r="C24" s="2685"/>
      <c r="D24" s="2685"/>
      <c r="E24" s="2685"/>
      <c r="F24" s="2685"/>
      <c r="G24" s="2685"/>
      <c r="H24" s="849">
        <v>3470</v>
      </c>
      <c r="I24" s="1514">
        <v>336</v>
      </c>
      <c r="J24" s="1514">
        <v>1441</v>
      </c>
      <c r="K24" s="1514">
        <v>710</v>
      </c>
      <c r="L24" s="1514">
        <v>198</v>
      </c>
      <c r="M24" s="1514">
        <v>320</v>
      </c>
      <c r="N24" s="1514">
        <v>465</v>
      </c>
    </row>
    <row r="25" spans="2:14" s="836" customFormat="1" ht="15.2" customHeight="1">
      <c r="B25" s="1325" t="s">
        <v>846</v>
      </c>
      <c r="C25" s="1178"/>
      <c r="D25" s="1178"/>
      <c r="E25" s="1178"/>
      <c r="F25" s="1323"/>
      <c r="G25" s="1324"/>
      <c r="H25" s="849"/>
      <c r="I25" s="1514"/>
      <c r="J25" s="1514"/>
      <c r="K25" s="1514"/>
      <c r="L25" s="1514"/>
      <c r="M25" s="1514"/>
      <c r="N25" s="1514"/>
    </row>
    <row r="26" spans="2:14" s="836" customFormat="1" ht="15.2" customHeight="1">
      <c r="B26" s="1327" t="s">
        <v>847</v>
      </c>
      <c r="C26" s="1326"/>
      <c r="D26" s="1326"/>
      <c r="E26" s="1326"/>
      <c r="F26" s="1323"/>
      <c r="G26" s="1324"/>
      <c r="H26" s="849"/>
      <c r="I26" s="1514"/>
      <c r="J26" s="1514"/>
      <c r="K26" s="1514"/>
      <c r="L26" s="1514"/>
      <c r="M26" s="1514"/>
      <c r="N26" s="1514"/>
    </row>
    <row r="27" spans="2:14" s="836" customFormat="1" ht="15.2" customHeight="1">
      <c r="B27" s="1327" t="s">
        <v>848</v>
      </c>
      <c r="C27" s="1326"/>
      <c r="D27" s="1326"/>
      <c r="E27" s="1326"/>
      <c r="F27" s="1323"/>
      <c r="G27" s="1324"/>
      <c r="H27" s="849"/>
      <c r="I27" s="1514"/>
      <c r="J27" s="1514"/>
      <c r="K27" s="1514"/>
      <c r="L27" s="1514"/>
      <c r="M27" s="1514"/>
      <c r="N27" s="1514"/>
    </row>
    <row r="28" spans="2:14" s="836" customFormat="1" ht="8.65" customHeight="1">
      <c r="B28" s="1329"/>
      <c r="C28" s="1326"/>
      <c r="D28" s="1326"/>
      <c r="E28" s="1326"/>
      <c r="F28" s="1323"/>
      <c r="G28" s="1324"/>
      <c r="H28" s="849"/>
      <c r="I28" s="1514"/>
      <c r="J28" s="1514"/>
      <c r="K28" s="1514"/>
      <c r="L28" s="1514"/>
      <c r="M28" s="1514"/>
      <c r="N28" s="1514"/>
    </row>
    <row r="29" spans="2:14" s="836" customFormat="1" ht="15.2" customHeight="1">
      <c r="B29" s="1368" t="s">
        <v>850</v>
      </c>
      <c r="C29" s="1178"/>
      <c r="D29" s="1178"/>
      <c r="E29" s="1178"/>
      <c r="F29" s="1323"/>
      <c r="G29" s="1324"/>
      <c r="H29" s="849">
        <v>58</v>
      </c>
      <c r="I29" s="1514">
        <v>8</v>
      </c>
      <c r="J29" s="1514">
        <v>29</v>
      </c>
      <c r="K29" s="1514">
        <v>7</v>
      </c>
      <c r="L29" s="1514">
        <v>1</v>
      </c>
      <c r="M29" s="1514">
        <v>5</v>
      </c>
      <c r="N29" s="1514">
        <v>8</v>
      </c>
    </row>
    <row r="30" spans="2:14" s="836" customFormat="1" ht="15.2" customHeight="1">
      <c r="B30" s="1368" t="s">
        <v>851</v>
      </c>
      <c r="C30" s="1178"/>
      <c r="D30" s="1178"/>
      <c r="E30" s="1178"/>
      <c r="F30" s="1323"/>
      <c r="G30" s="1324"/>
      <c r="H30" s="849"/>
      <c r="I30" s="1514"/>
      <c r="J30" s="1514"/>
      <c r="K30" s="1514"/>
      <c r="L30" s="1514"/>
      <c r="M30" s="1514"/>
      <c r="N30" s="1514"/>
    </row>
    <row r="31" spans="2:14" s="836" customFormat="1" ht="15.2" customHeight="1">
      <c r="B31" s="1369" t="s">
        <v>852</v>
      </c>
      <c r="C31" s="1326"/>
      <c r="D31" s="1326"/>
      <c r="E31" s="1326"/>
      <c r="F31" s="1323"/>
      <c r="G31" s="1324"/>
      <c r="H31" s="849"/>
      <c r="I31" s="1514"/>
      <c r="J31" s="1514"/>
      <c r="K31" s="1514"/>
      <c r="L31" s="1514"/>
      <c r="M31" s="1514"/>
      <c r="N31" s="1514"/>
    </row>
    <row r="32" spans="2:14" s="836" customFormat="1" ht="13.9" customHeight="1">
      <c r="B32" s="1369" t="s">
        <v>849</v>
      </c>
      <c r="C32" s="1326"/>
      <c r="D32" s="1326"/>
      <c r="E32" s="1326"/>
      <c r="F32" s="1323"/>
      <c r="G32" s="1324"/>
      <c r="H32" s="849"/>
      <c r="I32" s="1514"/>
      <c r="J32" s="1514"/>
      <c r="K32" s="1514"/>
      <c r="L32" s="1514"/>
      <c r="M32" s="1514"/>
      <c r="N32" s="1514"/>
    </row>
    <row r="33" spans="2:14" s="836" customFormat="1" ht="8.1" customHeight="1">
      <c r="B33" s="1370"/>
      <c r="C33" s="1326"/>
      <c r="D33" s="1326"/>
      <c r="E33" s="1326"/>
      <c r="F33" s="1323"/>
      <c r="G33" s="1324"/>
      <c r="H33" s="849"/>
      <c r="I33" s="1514"/>
      <c r="J33" s="1514"/>
      <c r="K33" s="1514"/>
      <c r="L33" s="1514"/>
      <c r="M33" s="1514"/>
      <c r="N33" s="1514"/>
    </row>
    <row r="34" spans="2:14" s="836" customFormat="1" ht="15.2" customHeight="1">
      <c r="B34" s="1368" t="s">
        <v>853</v>
      </c>
      <c r="C34" s="1178"/>
      <c r="D34" s="1178"/>
      <c r="E34" s="1178"/>
      <c r="F34" s="1323"/>
      <c r="G34" s="1324"/>
      <c r="H34" s="849">
        <v>3024</v>
      </c>
      <c r="I34" s="1514">
        <v>294</v>
      </c>
      <c r="J34" s="1514">
        <v>1251</v>
      </c>
      <c r="K34" s="1514">
        <v>635</v>
      </c>
      <c r="L34" s="1514">
        <v>178</v>
      </c>
      <c r="M34" s="1514">
        <v>276</v>
      </c>
      <c r="N34" s="1514">
        <v>390</v>
      </c>
    </row>
    <row r="35" spans="2:14" s="836" customFormat="1" ht="15.2" customHeight="1">
      <c r="B35" s="1369" t="s">
        <v>854</v>
      </c>
      <c r="C35" s="1326"/>
      <c r="D35" s="1326"/>
      <c r="E35" s="1326"/>
      <c r="F35" s="1323"/>
      <c r="G35" s="1324"/>
      <c r="H35" s="849"/>
      <c r="I35" s="1514"/>
      <c r="J35" s="1514"/>
      <c r="K35" s="1514"/>
      <c r="L35" s="1514"/>
      <c r="M35" s="1514"/>
      <c r="N35" s="1514"/>
    </row>
    <row r="36" spans="2:14" s="836" customFormat="1" ht="8.1" customHeight="1">
      <c r="B36" s="1329"/>
      <c r="C36" s="1326"/>
      <c r="D36" s="1326"/>
      <c r="E36" s="1326"/>
      <c r="F36" s="1323"/>
      <c r="G36" s="1324"/>
      <c r="H36" s="849"/>
      <c r="I36" s="1514"/>
      <c r="J36" s="1514"/>
      <c r="K36" s="1514"/>
      <c r="L36" s="1514"/>
      <c r="M36" s="1514"/>
      <c r="N36" s="1514"/>
    </row>
    <row r="37" spans="2:14" s="836" customFormat="1" ht="15.2" customHeight="1">
      <c r="B37" s="1325" t="s">
        <v>855</v>
      </c>
      <c r="C37" s="1326"/>
      <c r="D37" s="1326"/>
      <c r="E37" s="1326"/>
      <c r="F37" s="1323"/>
      <c r="G37" s="1324"/>
      <c r="H37" s="849">
        <v>406</v>
      </c>
      <c r="I37" s="1514">
        <v>54</v>
      </c>
      <c r="J37" s="1514">
        <v>186</v>
      </c>
      <c r="K37" s="1514">
        <v>71</v>
      </c>
      <c r="L37" s="1514">
        <v>23</v>
      </c>
      <c r="M37" s="1514">
        <v>33</v>
      </c>
      <c r="N37" s="1514">
        <v>39</v>
      </c>
    </row>
    <row r="38" spans="2:14" s="836" customFormat="1" ht="15.2" customHeight="1">
      <c r="B38" s="1327" t="s">
        <v>856</v>
      </c>
      <c r="C38" s="1326"/>
      <c r="D38" s="1326"/>
      <c r="E38" s="1326"/>
      <c r="F38" s="1323"/>
      <c r="G38" s="1324"/>
      <c r="H38" s="849"/>
      <c r="I38" s="1514"/>
      <c r="J38" s="1514"/>
      <c r="K38" s="1514"/>
      <c r="L38" s="1514"/>
      <c r="M38" s="1514"/>
      <c r="N38" s="1514"/>
    </row>
    <row r="39" spans="2:14" s="836" customFormat="1" ht="4.5" customHeight="1">
      <c r="B39" s="1329"/>
      <c r="C39" s="1326"/>
      <c r="D39" s="1326"/>
      <c r="E39" s="1326"/>
      <c r="F39" s="1323"/>
      <c r="G39" s="1324"/>
      <c r="H39" s="849"/>
      <c r="I39" s="1514"/>
      <c r="J39" s="1514"/>
      <c r="K39" s="1514"/>
      <c r="L39" s="1514"/>
      <c r="M39" s="1514"/>
      <c r="N39" s="1514"/>
    </row>
    <row r="40" spans="2:14" s="836" customFormat="1" ht="15.2" customHeight="1">
      <c r="B40" s="1325" t="s">
        <v>857</v>
      </c>
      <c r="C40" s="1326"/>
      <c r="D40" s="1326"/>
      <c r="E40" s="1326"/>
      <c r="F40" s="1323"/>
      <c r="G40" s="1324"/>
      <c r="H40" s="849">
        <v>1550</v>
      </c>
      <c r="I40" s="1514">
        <v>196</v>
      </c>
      <c r="J40" s="1514">
        <v>629</v>
      </c>
      <c r="K40" s="1514">
        <v>421</v>
      </c>
      <c r="L40" s="1514">
        <v>107</v>
      </c>
      <c r="M40" s="1514">
        <v>100</v>
      </c>
      <c r="N40" s="1514">
        <v>97</v>
      </c>
    </row>
    <row r="41" spans="2:14" s="836" customFormat="1" ht="15.2" customHeight="1">
      <c r="B41" s="1325" t="s">
        <v>858</v>
      </c>
      <c r="C41" s="1326"/>
      <c r="D41" s="1326"/>
      <c r="E41" s="1326"/>
      <c r="F41" s="1323"/>
      <c r="G41" s="1324"/>
      <c r="H41" s="849"/>
      <c r="I41" s="1514"/>
      <c r="J41" s="1514"/>
      <c r="K41" s="1514"/>
      <c r="L41" s="1514"/>
      <c r="M41" s="1514"/>
      <c r="N41" s="1514"/>
    </row>
    <row r="42" spans="2:14" s="836" customFormat="1" ht="15.2" customHeight="1">
      <c r="B42" s="1327" t="s">
        <v>859</v>
      </c>
      <c r="C42" s="1326"/>
      <c r="D42" s="1326"/>
      <c r="E42" s="1326"/>
      <c r="F42" s="1323"/>
      <c r="G42" s="1324"/>
      <c r="H42" s="849"/>
      <c r="I42" s="1514"/>
      <c r="J42" s="1514"/>
      <c r="K42" s="1514"/>
      <c r="L42" s="1514"/>
      <c r="M42" s="1514"/>
      <c r="N42" s="1514"/>
    </row>
    <row r="43" spans="2:14" s="836" customFormat="1" ht="8.1" customHeight="1">
      <c r="B43" s="1369"/>
      <c r="C43" s="1326"/>
      <c r="D43" s="1326"/>
      <c r="E43" s="1326"/>
      <c r="F43" s="1323"/>
      <c r="G43" s="1324"/>
      <c r="H43" s="849"/>
      <c r="I43" s="849"/>
      <c r="J43" s="849"/>
      <c r="K43" s="849"/>
      <c r="L43" s="849"/>
      <c r="M43" s="849"/>
      <c r="N43" s="849"/>
    </row>
    <row r="44" spans="2:14" s="836" customFormat="1" ht="15.2" customHeight="1">
      <c r="B44" s="1368" t="s">
        <v>860</v>
      </c>
      <c r="C44" s="1326"/>
      <c r="D44" s="1326"/>
      <c r="E44" s="1326"/>
      <c r="F44" s="1323"/>
      <c r="G44" s="1324"/>
      <c r="H44" s="849">
        <v>11</v>
      </c>
      <c r="I44" s="1514">
        <v>1</v>
      </c>
      <c r="J44" s="1514">
        <v>6</v>
      </c>
      <c r="K44" s="1514">
        <v>4</v>
      </c>
      <c r="L44" s="1514" t="s">
        <v>839</v>
      </c>
      <c r="M44" s="1514" t="s">
        <v>839</v>
      </c>
      <c r="N44" s="1514" t="s">
        <v>839</v>
      </c>
    </row>
    <row r="45" spans="2:14" s="836" customFormat="1" ht="15.2" customHeight="1">
      <c r="B45" s="1369" t="s">
        <v>861</v>
      </c>
      <c r="C45" s="1326"/>
      <c r="D45" s="1326"/>
      <c r="E45" s="1326"/>
      <c r="F45" s="1323"/>
      <c r="G45" s="1324"/>
      <c r="H45" s="849"/>
      <c r="I45" s="1514"/>
      <c r="J45" s="1514"/>
      <c r="K45" s="1514"/>
      <c r="L45" s="1514"/>
      <c r="M45" s="1514"/>
      <c r="N45" s="1514"/>
    </row>
    <row r="46" spans="2:14" s="836" customFormat="1" ht="7.9" customHeight="1">
      <c r="B46" s="1369"/>
      <c r="C46" s="1326"/>
      <c r="D46" s="1326"/>
      <c r="E46" s="1326"/>
      <c r="F46" s="1323"/>
      <c r="G46" s="1324"/>
      <c r="H46" s="849"/>
      <c r="I46" s="1514"/>
      <c r="J46" s="1514"/>
      <c r="K46" s="1514"/>
      <c r="L46" s="1514"/>
      <c r="M46" s="1514"/>
      <c r="N46" s="1514"/>
    </row>
    <row r="47" spans="2:14" s="836" customFormat="1" ht="15.2" customHeight="1">
      <c r="B47" s="1368" t="s">
        <v>862</v>
      </c>
      <c r="C47" s="1326"/>
      <c r="D47" s="1326"/>
      <c r="E47" s="1326"/>
      <c r="F47" s="1323"/>
      <c r="G47" s="1324"/>
      <c r="H47" s="849">
        <v>25</v>
      </c>
      <c r="I47" s="1514">
        <v>3</v>
      </c>
      <c r="J47" s="1514">
        <v>5</v>
      </c>
      <c r="K47" s="1514">
        <v>9</v>
      </c>
      <c r="L47" s="1514">
        <v>5</v>
      </c>
      <c r="M47" s="1514">
        <v>1</v>
      </c>
      <c r="N47" s="1514">
        <v>2</v>
      </c>
    </row>
    <row r="48" spans="2:14" s="836" customFormat="1" ht="15.2" customHeight="1">
      <c r="B48" s="1369" t="s">
        <v>862</v>
      </c>
      <c r="C48" s="1326"/>
      <c r="D48" s="1326"/>
      <c r="E48" s="1326"/>
      <c r="F48" s="1323"/>
      <c r="G48" s="1324"/>
      <c r="H48" s="849"/>
      <c r="I48" s="1514"/>
      <c r="J48" s="1514"/>
      <c r="K48" s="1514"/>
      <c r="L48" s="1514"/>
      <c r="M48" s="1514"/>
      <c r="N48" s="1514"/>
    </row>
    <row r="49" spans="2:14" s="836" customFormat="1" ht="7.9" customHeight="1">
      <c r="B49" s="1369"/>
      <c r="C49" s="1326"/>
      <c r="D49" s="1326"/>
      <c r="E49" s="1326"/>
      <c r="F49" s="1323"/>
      <c r="G49" s="1324"/>
      <c r="H49" s="849"/>
      <c r="I49" s="1514"/>
      <c r="J49" s="1514"/>
      <c r="K49" s="1514"/>
      <c r="L49" s="1514"/>
      <c r="M49" s="1514"/>
      <c r="N49" s="1514"/>
    </row>
    <row r="50" spans="2:14" s="836" customFormat="1" ht="15.2" customHeight="1">
      <c r="B50" s="1368" t="s">
        <v>863</v>
      </c>
      <c r="C50" s="1326"/>
      <c r="D50" s="1326"/>
      <c r="E50" s="1326"/>
      <c r="F50" s="1323"/>
      <c r="G50" s="1324"/>
      <c r="H50" s="849">
        <v>5</v>
      </c>
      <c r="I50" s="1514">
        <v>1</v>
      </c>
      <c r="J50" s="1514">
        <v>2</v>
      </c>
      <c r="K50" s="1514" t="s">
        <v>839</v>
      </c>
      <c r="L50" s="1514" t="s">
        <v>839</v>
      </c>
      <c r="M50" s="1514" t="s">
        <v>839</v>
      </c>
      <c r="N50" s="1514">
        <v>2</v>
      </c>
    </row>
    <row r="51" spans="2:14" s="836" customFormat="1" ht="15.2" customHeight="1">
      <c r="B51" s="1369" t="s">
        <v>863</v>
      </c>
      <c r="C51" s="1326"/>
      <c r="D51" s="1326"/>
      <c r="E51" s="1326"/>
      <c r="F51" s="1323"/>
      <c r="G51" s="1324"/>
      <c r="H51" s="849"/>
      <c r="I51" s="1514"/>
      <c r="J51" s="1514"/>
      <c r="K51" s="1514"/>
      <c r="L51" s="1514"/>
      <c r="M51" s="1514"/>
      <c r="N51" s="1514"/>
    </row>
    <row r="52" spans="2:14" s="836" customFormat="1" ht="8.1" customHeight="1">
      <c r="B52" s="1371"/>
      <c r="C52" s="1326"/>
      <c r="D52" s="1326"/>
      <c r="E52" s="1326"/>
      <c r="F52" s="1323"/>
      <c r="G52" s="1324"/>
      <c r="H52" s="849"/>
      <c r="I52" s="1514"/>
      <c r="J52" s="1514"/>
      <c r="K52" s="1514"/>
      <c r="L52" s="1514"/>
      <c r="M52" s="1514"/>
      <c r="N52" s="1514"/>
    </row>
    <row r="53" spans="2:14" s="836" customFormat="1" ht="15.2" customHeight="1">
      <c r="B53" s="1368" t="s">
        <v>864</v>
      </c>
      <c r="C53" s="1178"/>
      <c r="D53" s="1178"/>
      <c r="E53" s="1178"/>
      <c r="F53" s="1323"/>
      <c r="G53" s="1324"/>
      <c r="H53" s="849">
        <v>682</v>
      </c>
      <c r="I53" s="1514">
        <v>98</v>
      </c>
      <c r="J53" s="1514">
        <v>242</v>
      </c>
      <c r="K53" s="1514">
        <v>230</v>
      </c>
      <c r="L53" s="1514">
        <v>43</v>
      </c>
      <c r="M53" s="1514">
        <v>37</v>
      </c>
      <c r="N53" s="1514">
        <v>32</v>
      </c>
    </row>
    <row r="54" spans="2:14" s="836" customFormat="1" ht="15.2" customHeight="1">
      <c r="B54" s="1369" t="s">
        <v>865</v>
      </c>
      <c r="C54" s="1326"/>
      <c r="D54" s="1326"/>
      <c r="E54" s="1326"/>
      <c r="F54" s="1323"/>
      <c r="G54" s="1324"/>
      <c r="H54" s="849"/>
      <c r="I54" s="1514"/>
      <c r="J54" s="1514"/>
      <c r="K54" s="1514"/>
      <c r="L54" s="1514"/>
      <c r="M54" s="1514"/>
      <c r="N54" s="1514"/>
    </row>
    <row r="55" spans="2:14" s="836" customFormat="1" ht="7.9" customHeight="1">
      <c r="B55" s="1369"/>
      <c r="C55" s="1326"/>
      <c r="D55" s="1326"/>
      <c r="E55" s="1326"/>
      <c r="F55" s="1323"/>
      <c r="G55" s="1324"/>
      <c r="H55" s="849"/>
      <c r="I55" s="1514"/>
      <c r="J55" s="1514"/>
      <c r="K55" s="1514"/>
      <c r="L55" s="1514"/>
      <c r="M55" s="1514"/>
      <c r="N55" s="1514"/>
    </row>
    <row r="56" spans="2:14" s="836" customFormat="1" ht="15.2" customHeight="1">
      <c r="B56" s="1368" t="s">
        <v>866</v>
      </c>
      <c r="C56" s="1326"/>
      <c r="D56" s="1326"/>
      <c r="E56" s="1326"/>
      <c r="F56" s="1323"/>
      <c r="G56" s="1324"/>
      <c r="H56" s="849">
        <v>83</v>
      </c>
      <c r="I56" s="1514">
        <v>12</v>
      </c>
      <c r="J56" s="1514">
        <v>33</v>
      </c>
      <c r="K56" s="1514">
        <v>11</v>
      </c>
      <c r="L56" s="1514">
        <v>4</v>
      </c>
      <c r="M56" s="1514">
        <v>12</v>
      </c>
      <c r="N56" s="1514">
        <v>11</v>
      </c>
    </row>
    <row r="57" spans="2:14" s="836" customFormat="1" ht="15.2" customHeight="1">
      <c r="B57" s="1368" t="s">
        <v>1074</v>
      </c>
      <c r="C57" s="1326"/>
      <c r="D57" s="1326"/>
      <c r="E57" s="1326"/>
      <c r="F57" s="1323"/>
      <c r="G57" s="1324"/>
      <c r="H57" s="849"/>
      <c r="I57" s="1514"/>
      <c r="J57" s="1514"/>
      <c r="K57" s="1514"/>
      <c r="L57" s="1514"/>
      <c r="M57" s="1514"/>
      <c r="N57" s="1514"/>
    </row>
    <row r="58" spans="2:14" s="836" customFormat="1" ht="15.2" customHeight="1">
      <c r="B58" s="1369" t="s">
        <v>1256</v>
      </c>
      <c r="C58" s="1326"/>
      <c r="D58" s="1326"/>
      <c r="E58" s="1326"/>
      <c r="F58" s="1323"/>
      <c r="G58" s="1324"/>
      <c r="H58" s="849"/>
      <c r="I58" s="1514"/>
      <c r="J58" s="1514"/>
      <c r="K58" s="1514"/>
      <c r="L58" s="1514"/>
      <c r="M58" s="1514"/>
      <c r="N58" s="1514"/>
    </row>
    <row r="59" spans="2:14" s="836" customFormat="1" ht="13.5">
      <c r="B59" s="1369" t="s">
        <v>1075</v>
      </c>
      <c r="C59" s="1326"/>
      <c r="D59" s="1326"/>
      <c r="E59" s="1326"/>
      <c r="F59" s="1323"/>
      <c r="G59" s="1324"/>
      <c r="H59" s="849"/>
      <c r="I59" s="1514"/>
      <c r="J59" s="1514"/>
      <c r="K59" s="1514"/>
      <c r="L59" s="1514"/>
      <c r="M59" s="1514"/>
      <c r="N59" s="1514"/>
    </row>
    <row r="60" spans="2:14" s="836" customFormat="1" ht="10.9" customHeight="1">
      <c r="B60" s="1370"/>
      <c r="C60" s="1326"/>
      <c r="D60" s="1326"/>
      <c r="E60" s="1326"/>
      <c r="F60" s="1323"/>
      <c r="G60" s="1324"/>
      <c r="H60" s="849"/>
      <c r="I60" s="1514"/>
      <c r="J60" s="1514"/>
      <c r="K60" s="1514"/>
      <c r="L60" s="1514"/>
      <c r="M60" s="1514"/>
      <c r="N60" s="1514"/>
    </row>
    <row r="61" spans="2:14" s="836" customFormat="1" ht="15.2" customHeight="1">
      <c r="B61" s="1368" t="s">
        <v>867</v>
      </c>
      <c r="C61" s="1178"/>
      <c r="D61" s="1178"/>
      <c r="E61" s="1326"/>
      <c r="F61" s="1323"/>
      <c r="G61" s="1324"/>
      <c r="H61" s="849">
        <v>2</v>
      </c>
      <c r="I61" s="1514" t="s">
        <v>839</v>
      </c>
      <c r="J61" s="1514">
        <v>1</v>
      </c>
      <c r="K61" s="1514" t="s">
        <v>839</v>
      </c>
      <c r="L61" s="1514" t="s">
        <v>839</v>
      </c>
      <c r="M61" s="1514">
        <v>1</v>
      </c>
      <c r="N61" s="1514" t="s">
        <v>839</v>
      </c>
    </row>
    <row r="62" spans="2:14" s="836" customFormat="1" ht="15.2" customHeight="1">
      <c r="B62" s="1369" t="s">
        <v>868</v>
      </c>
      <c r="C62" s="1326"/>
      <c r="D62" s="1326"/>
      <c r="E62" s="1178"/>
      <c r="F62" s="1323"/>
      <c r="G62" s="1324"/>
      <c r="H62" s="849"/>
      <c r="I62" s="849"/>
      <c r="J62" s="849"/>
      <c r="K62" s="849"/>
      <c r="L62" s="849"/>
      <c r="M62" s="849"/>
      <c r="N62" s="849"/>
    </row>
    <row r="63" spans="2:14" s="836" customFormat="1" ht="7.9" customHeight="1">
      <c r="B63" s="1329"/>
      <c r="C63" s="1326"/>
      <c r="D63" s="1326"/>
      <c r="E63" s="1326"/>
      <c r="F63" s="1323"/>
      <c r="G63" s="1324"/>
      <c r="H63" s="849"/>
      <c r="I63" s="1514"/>
      <c r="J63" s="1514"/>
      <c r="K63" s="1514"/>
      <c r="L63" s="1514"/>
      <c r="M63" s="1514"/>
      <c r="N63" s="1514"/>
    </row>
    <row r="64" spans="2:14" s="836" customFormat="1" ht="15.2" customHeight="1">
      <c r="B64" s="1368" t="s">
        <v>869</v>
      </c>
      <c r="C64" s="1178"/>
      <c r="D64" s="1178"/>
      <c r="E64" s="1326"/>
      <c r="F64" s="1323"/>
      <c r="G64" s="1324"/>
      <c r="H64" s="849">
        <v>324</v>
      </c>
      <c r="I64" s="1514">
        <v>23</v>
      </c>
      <c r="J64" s="1514">
        <v>144</v>
      </c>
      <c r="K64" s="1514">
        <v>90</v>
      </c>
      <c r="L64" s="1514">
        <v>31</v>
      </c>
      <c r="M64" s="1514">
        <v>19</v>
      </c>
      <c r="N64" s="1514">
        <v>17</v>
      </c>
    </row>
    <row r="65" spans="1:14" s="836" customFormat="1" ht="15.2" customHeight="1">
      <c r="B65" s="1369" t="s">
        <v>870</v>
      </c>
      <c r="C65" s="1326"/>
      <c r="D65" s="1326"/>
      <c r="E65" s="1178"/>
      <c r="F65" s="1323"/>
      <c r="G65" s="1324"/>
      <c r="H65" s="849"/>
      <c r="I65" s="1514"/>
      <c r="J65" s="1514"/>
      <c r="K65" s="1514"/>
      <c r="L65" s="1514"/>
      <c r="M65" s="1514"/>
      <c r="N65" s="1514"/>
    </row>
    <row r="66" spans="1:14" s="836" customFormat="1" ht="7.9" customHeight="1">
      <c r="B66" s="1370"/>
      <c r="C66" s="1326"/>
      <c r="D66" s="1326"/>
      <c r="E66" s="1326"/>
      <c r="F66" s="1323"/>
      <c r="G66" s="1324"/>
      <c r="H66" s="849"/>
      <c r="I66" s="1514"/>
      <c r="J66" s="1514"/>
      <c r="K66" s="1514"/>
      <c r="L66" s="1514"/>
      <c r="M66" s="1514"/>
      <c r="N66" s="1514"/>
    </row>
    <row r="67" spans="1:14" s="836" customFormat="1" ht="15.2" customHeight="1">
      <c r="B67" s="1368" t="s">
        <v>871</v>
      </c>
      <c r="C67" s="1178"/>
      <c r="D67" s="1178"/>
      <c r="E67" s="1326"/>
      <c r="F67" s="1323"/>
      <c r="G67" s="1372"/>
      <c r="H67" s="849">
        <v>35</v>
      </c>
      <c r="I67" s="1514">
        <v>2</v>
      </c>
      <c r="J67" s="1514">
        <v>20</v>
      </c>
      <c r="K67" s="1514">
        <v>8</v>
      </c>
      <c r="L67" s="1514">
        <v>1</v>
      </c>
      <c r="M67" s="1514">
        <v>1</v>
      </c>
      <c r="N67" s="1514">
        <v>3</v>
      </c>
    </row>
    <row r="68" spans="1:14" s="836" customFormat="1" ht="15.2" customHeight="1">
      <c r="B68" s="1369" t="s">
        <v>872</v>
      </c>
      <c r="C68" s="1326"/>
      <c r="D68" s="1326"/>
      <c r="E68" s="1178"/>
      <c r="F68" s="1323"/>
      <c r="G68" s="1324"/>
      <c r="H68" s="849"/>
      <c r="I68" s="1514"/>
      <c r="J68" s="1514"/>
      <c r="K68" s="1514"/>
      <c r="L68" s="1514"/>
      <c r="M68" s="1514"/>
      <c r="N68" s="1514"/>
    </row>
    <row r="69" spans="1:14" s="836" customFormat="1" ht="7.9" customHeight="1">
      <c r="B69" s="1370"/>
      <c r="C69" s="1326"/>
      <c r="D69" s="1326"/>
      <c r="E69" s="1326"/>
      <c r="F69" s="1323"/>
      <c r="G69" s="1324"/>
      <c r="H69" s="849"/>
      <c r="I69" s="1514"/>
      <c r="J69" s="1514"/>
      <c r="K69" s="1514"/>
      <c r="L69" s="1514"/>
      <c r="M69" s="1514"/>
      <c r="N69" s="1514"/>
    </row>
    <row r="70" spans="1:14" s="836" customFormat="1" ht="15.2" customHeight="1">
      <c r="B70" s="1368" t="s">
        <v>853</v>
      </c>
      <c r="C70" s="1178"/>
      <c r="D70" s="1178"/>
      <c r="E70" s="1326"/>
      <c r="F70" s="1323"/>
      <c r="G70" s="1372"/>
      <c r="H70" s="849">
        <v>383</v>
      </c>
      <c r="I70" s="1514">
        <v>56</v>
      </c>
      <c r="J70" s="1514">
        <v>176</v>
      </c>
      <c r="K70" s="1514">
        <v>69</v>
      </c>
      <c r="L70" s="1514">
        <v>23</v>
      </c>
      <c r="M70" s="1514">
        <v>29</v>
      </c>
      <c r="N70" s="1514">
        <v>30</v>
      </c>
    </row>
    <row r="71" spans="1:14" s="836" customFormat="1" ht="15.2" customHeight="1">
      <c r="B71" s="1369" t="s">
        <v>854</v>
      </c>
      <c r="C71" s="1326"/>
      <c r="D71" s="1326"/>
      <c r="E71" s="1178"/>
      <c r="F71" s="1323"/>
      <c r="G71" s="1324"/>
      <c r="H71" s="849"/>
      <c r="I71" s="1514"/>
      <c r="J71" s="1514"/>
      <c r="K71" s="1514"/>
      <c r="L71" s="1514"/>
      <c r="M71" s="1514"/>
      <c r="N71" s="1514"/>
    </row>
    <row r="72" spans="1:14" s="836" customFormat="1" ht="4.5" customHeight="1">
      <c r="B72" s="1370"/>
      <c r="C72" s="1326"/>
      <c r="D72" s="1326"/>
      <c r="E72" s="1326"/>
      <c r="F72" s="1323"/>
      <c r="G72" s="1324"/>
      <c r="H72" s="849"/>
      <c r="I72" s="1514"/>
      <c r="J72" s="1514"/>
      <c r="K72" s="1514"/>
      <c r="L72" s="1514"/>
      <c r="M72" s="1514"/>
      <c r="N72" s="1514"/>
    </row>
    <row r="73" spans="1:14" s="836" customFormat="1" ht="9.6" customHeight="1">
      <c r="B73" s="1373"/>
      <c r="C73" s="1178"/>
      <c r="D73" s="1178"/>
      <c r="E73" s="1326"/>
      <c r="F73" s="1323"/>
      <c r="G73" s="1372"/>
      <c r="H73" s="849"/>
      <c r="I73" s="1514"/>
      <c r="J73" s="1514"/>
      <c r="K73" s="1514"/>
      <c r="L73" s="1514"/>
      <c r="M73" s="1514"/>
      <c r="N73" s="1514"/>
    </row>
    <row r="74" spans="1:14" s="836" customFormat="1" ht="15.2" customHeight="1" thickBot="1">
      <c r="A74" s="1374"/>
      <c r="B74" s="1375"/>
      <c r="C74" s="1376"/>
      <c r="D74" s="1376"/>
      <c r="E74" s="1374"/>
      <c r="F74" s="1374"/>
      <c r="G74" s="1377"/>
      <c r="H74" s="1378"/>
      <c r="I74" s="1378"/>
      <c r="J74" s="1378"/>
      <c r="K74" s="1378"/>
      <c r="L74" s="1515"/>
      <c r="M74" s="1515"/>
      <c r="N74" s="1515"/>
    </row>
    <row r="75" spans="1:14" s="836" customFormat="1" ht="15.2" customHeight="1">
      <c r="A75" s="1379"/>
      <c r="B75" s="1380"/>
      <c r="C75" s="1380"/>
      <c r="D75" s="1380"/>
      <c r="E75" s="1379"/>
      <c r="F75" s="1379"/>
      <c r="G75" s="1379"/>
      <c r="H75" s="2683" t="s">
        <v>0</v>
      </c>
      <c r="I75" s="2683"/>
      <c r="J75" s="2683"/>
      <c r="K75" s="2683"/>
      <c r="L75" s="2683"/>
      <c r="M75" s="2683"/>
      <c r="N75" s="2683"/>
    </row>
    <row r="76" spans="1:14" s="836" customFormat="1" ht="15.2" customHeight="1">
      <c r="A76" s="1379"/>
      <c r="B76" s="1213"/>
      <c r="C76" s="1213"/>
      <c r="D76" s="1213"/>
      <c r="E76" s="1381"/>
      <c r="F76" s="1381"/>
      <c r="G76" s="1379"/>
      <c r="H76" s="2684" t="s">
        <v>1</v>
      </c>
      <c r="I76" s="2684"/>
      <c r="J76" s="2684"/>
      <c r="K76" s="2684"/>
      <c r="L76" s="2684"/>
      <c r="M76" s="2684"/>
      <c r="N76" s="2684"/>
    </row>
    <row r="77" spans="1:14" s="1335" customFormat="1" ht="15.2" customHeight="1">
      <c r="A77" s="1343" t="s">
        <v>2</v>
      </c>
      <c r="G77" s="1344"/>
      <c r="H77" s="1344"/>
      <c r="I77" s="1344"/>
      <c r="J77" s="1344"/>
      <c r="K77" s="1344"/>
      <c r="L77" s="1344"/>
      <c r="M77" s="1344"/>
      <c r="N77" s="1345"/>
    </row>
    <row r="78" spans="1:14" s="1335" customFormat="1" ht="15.2" customHeight="1">
      <c r="A78" s="1346" t="s">
        <v>3</v>
      </c>
      <c r="B78" s="1347" t="s">
        <v>1971</v>
      </c>
      <c r="C78" s="1348"/>
      <c r="D78" s="1349"/>
      <c r="G78" s="1344"/>
      <c r="H78" s="1344"/>
      <c r="I78" s="1344"/>
      <c r="J78" s="1344"/>
      <c r="K78" s="1344"/>
      <c r="L78" s="1344"/>
      <c r="M78" s="1344"/>
    </row>
    <row r="79" spans="1:14" s="1335" customFormat="1" ht="15.2" customHeight="1">
      <c r="A79" s="1349"/>
      <c r="B79" s="1350" t="s">
        <v>1962</v>
      </c>
      <c r="C79" s="1348"/>
      <c r="D79" s="1349"/>
      <c r="G79" s="1344"/>
      <c r="H79" s="1344"/>
      <c r="I79" s="1344"/>
      <c r="J79" s="1344"/>
      <c r="K79" s="1344"/>
      <c r="L79" s="1344"/>
      <c r="M79" s="1344"/>
    </row>
    <row r="80" spans="1:14" s="1335" customFormat="1" ht="8.1" customHeight="1">
      <c r="A80" s="1349"/>
      <c r="B80" s="1348"/>
      <c r="C80" s="1348"/>
      <c r="D80" s="1349"/>
      <c r="G80" s="1344"/>
      <c r="H80" s="1344"/>
      <c r="I80" s="1344"/>
      <c r="J80" s="1344"/>
      <c r="K80" s="1344"/>
      <c r="L80" s="1344"/>
      <c r="M80" s="1344"/>
    </row>
    <row r="81" spans="1:15" s="1335" customFormat="1" ht="15.2" customHeight="1">
      <c r="A81" s="1346" t="s">
        <v>4</v>
      </c>
      <c r="B81" s="1351" t="s">
        <v>832</v>
      </c>
      <c r="C81" s="1348"/>
      <c r="D81" s="1349"/>
      <c r="G81" s="1344"/>
      <c r="H81" s="1344"/>
      <c r="I81" s="1344"/>
      <c r="J81" s="1344"/>
      <c r="K81" s="1344"/>
      <c r="L81" s="1344"/>
      <c r="M81" s="1344"/>
    </row>
    <row r="82" spans="1:15" s="1335" customFormat="1" ht="15.2" customHeight="1">
      <c r="A82" s="1349"/>
      <c r="B82" s="1352" t="s">
        <v>833</v>
      </c>
      <c r="C82" s="1353"/>
      <c r="G82" s="1344"/>
      <c r="H82" s="1344"/>
      <c r="I82" s="1344"/>
      <c r="J82" s="1344"/>
      <c r="K82" s="1344"/>
      <c r="L82" s="1344"/>
      <c r="M82" s="1344"/>
    </row>
    <row r="83" spans="1:15" s="1335" customFormat="1" ht="8.1" customHeight="1">
      <c r="A83" s="1349"/>
      <c r="B83" s="1348"/>
      <c r="C83" s="1353"/>
      <c r="G83" s="1344"/>
      <c r="H83" s="1344"/>
      <c r="I83" s="1344"/>
      <c r="J83" s="1344"/>
      <c r="K83" s="1344"/>
      <c r="L83" s="1344"/>
      <c r="M83" s="1344"/>
    </row>
    <row r="84" spans="1:15" s="1335" customFormat="1" ht="15.2" customHeight="1">
      <c r="A84" s="1346" t="s">
        <v>263</v>
      </c>
      <c r="B84" s="1348" t="s">
        <v>1424</v>
      </c>
      <c r="C84" s="1349"/>
      <c r="G84" s="1344"/>
      <c r="H84" s="1344"/>
      <c r="I84" s="1344"/>
      <c r="J84" s="1344"/>
      <c r="K84" s="1344"/>
      <c r="L84" s="1344"/>
      <c r="M84" s="1344"/>
    </row>
    <row r="85" spans="1:15" s="1335" customFormat="1" ht="15.2" customHeight="1">
      <c r="B85" s="1354" t="s">
        <v>1425</v>
      </c>
      <c r="C85" s="1355"/>
      <c r="G85" s="1344"/>
      <c r="H85" s="1344"/>
      <c r="I85" s="1344"/>
      <c r="J85" s="1344"/>
      <c r="K85" s="1344"/>
      <c r="L85" s="1344"/>
      <c r="M85" s="1344"/>
    </row>
    <row r="86" spans="1:15" s="1302" customFormat="1" ht="12.95" customHeight="1">
      <c r="A86" s="1349"/>
      <c r="B86" s="1348"/>
      <c r="C86" s="1353"/>
      <c r="D86" s="1335"/>
      <c r="E86" s="1335"/>
      <c r="F86" s="1335"/>
      <c r="G86" s="1344"/>
      <c r="H86" s="1344"/>
      <c r="I86" s="1344"/>
      <c r="J86" s="1344"/>
      <c r="K86" s="1344"/>
      <c r="L86" s="1344"/>
      <c r="M86" s="1344"/>
      <c r="N86" s="1335"/>
      <c r="O86" s="1335"/>
    </row>
    <row r="87" spans="1:15" s="1302" customFormat="1" ht="15.2" customHeight="1">
      <c r="A87" s="1346" t="s">
        <v>570</v>
      </c>
      <c r="B87" s="1347" t="s">
        <v>1257</v>
      </c>
      <c r="C87" s="1020"/>
      <c r="G87" s="1303"/>
      <c r="H87" s="1303"/>
      <c r="I87" s="1303"/>
      <c r="J87" s="1303"/>
      <c r="K87" s="1303"/>
      <c r="L87" s="1303"/>
      <c r="M87" s="1303"/>
      <c r="N87" s="1356"/>
    </row>
    <row r="88" spans="1:15" s="1302" customFormat="1" ht="12.95" customHeight="1">
      <c r="A88" s="1301"/>
      <c r="B88" s="1350" t="s">
        <v>1255</v>
      </c>
      <c r="G88" s="1303"/>
      <c r="H88" s="1303"/>
      <c r="I88" s="1303"/>
      <c r="J88" s="1303"/>
      <c r="K88" s="1303"/>
      <c r="L88" s="1303"/>
      <c r="M88" s="1303"/>
    </row>
    <row r="89" spans="1:15" s="836" customFormat="1" ht="13.5">
      <c r="B89" s="1350"/>
    </row>
    <row r="90" spans="1:15" s="836" customFormat="1" ht="13.5"/>
  </sheetData>
  <mergeCells count="4">
    <mergeCell ref="B8:F8"/>
    <mergeCell ref="H75:N75"/>
    <mergeCell ref="H76:N76"/>
    <mergeCell ref="B24:G24"/>
  </mergeCells>
  <conditionalFormatting sqref="D78:D81">
    <cfRule type="cellIs" dxfId="97" priority="1" stopIfTrue="1" operator="lessThan">
      <formula>0</formula>
    </cfRule>
  </conditionalFormatting>
  <pageMargins left="0.55118110236220474" right="0.55118110236220474" top="0.55118110236220474" bottom="0.55118110236220474" header="0.31496062992125984" footer="0.31496062992125984"/>
  <pageSetup paperSize="9" scale="59" fitToHeight="0"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1">
    <tabColor theme="4" tint="0.39997558519241921"/>
    <pageSetUpPr fitToPage="1"/>
  </sheetPr>
  <dimension ref="A1:O52"/>
  <sheetViews>
    <sheetView view="pageBreakPreview" zoomScaleNormal="100" zoomScaleSheetLayoutView="100" workbookViewId="0">
      <selection activeCell="J38" sqref="J38"/>
    </sheetView>
  </sheetViews>
  <sheetFormatPr defaultRowHeight="15"/>
  <cols>
    <col min="1" max="1" width="1.85546875" customWidth="1"/>
    <col min="2" max="2" width="10.7109375" customWidth="1"/>
    <col min="7" max="7" width="5.5703125" customWidth="1"/>
    <col min="8" max="8" width="1.42578125" customWidth="1"/>
    <col min="9" max="15" width="13.85546875" customWidth="1"/>
  </cols>
  <sheetData>
    <row r="1" spans="1:15" s="1302" customFormat="1" ht="8.1" customHeight="1">
      <c r="A1" s="1301"/>
    </row>
    <row r="2" spans="1:15" s="1302" customFormat="1" ht="18" customHeight="1">
      <c r="B2" s="1357" t="s">
        <v>834</v>
      </c>
      <c r="C2" s="1358" t="s">
        <v>1965</v>
      </c>
      <c r="D2" s="150"/>
      <c r="E2" s="150"/>
      <c r="F2" s="150"/>
      <c r="G2" s="150"/>
      <c r="H2" s="150"/>
    </row>
    <row r="3" spans="1:15" s="1302" customFormat="1" ht="18" hidden="1" customHeight="1">
      <c r="B3" s="1357"/>
      <c r="C3" s="1358" t="s">
        <v>1009</v>
      </c>
      <c r="D3" s="150"/>
      <c r="E3" s="150"/>
      <c r="F3" s="150"/>
      <c r="G3" s="150"/>
      <c r="H3" s="150"/>
    </row>
    <row r="4" spans="1:15" s="1302" customFormat="1" ht="18" customHeight="1">
      <c r="B4" s="1359" t="s">
        <v>835</v>
      </c>
      <c r="C4" s="1360" t="s">
        <v>1966</v>
      </c>
      <c r="D4" s="151"/>
      <c r="E4" s="151"/>
      <c r="F4" s="151"/>
      <c r="G4" s="151"/>
      <c r="H4" s="150"/>
    </row>
    <row r="5" spans="1:15" s="1302" customFormat="1" ht="18" hidden="1" customHeight="1">
      <c r="A5" s="1382"/>
      <c r="B5" s="1382"/>
      <c r="C5" s="1383" t="s">
        <v>1010</v>
      </c>
      <c r="D5" s="1382"/>
      <c r="E5" s="1382"/>
      <c r="F5" s="1382"/>
      <c r="G5" s="1384"/>
      <c r="H5" s="1384"/>
    </row>
    <row r="6" spans="1:15" s="1302" customFormat="1" ht="13.35" customHeight="1" thickBot="1">
      <c r="A6" s="1382"/>
      <c r="B6" s="1382"/>
      <c r="C6" s="1383"/>
      <c r="D6" s="1382"/>
      <c r="E6" s="1382"/>
      <c r="F6" s="1382"/>
      <c r="G6" s="1384"/>
      <c r="H6" s="1384"/>
      <c r="I6" s="1362"/>
      <c r="J6" s="1362"/>
      <c r="K6" s="1362"/>
      <c r="L6" s="1362"/>
    </row>
    <row r="7" spans="1:15" s="836" customFormat="1" ht="54" customHeight="1" thickBot="1">
      <c r="A7" s="833"/>
      <c r="B7" s="2651" t="s">
        <v>812</v>
      </c>
      <c r="C7" s="2651"/>
      <c r="D7" s="2651"/>
      <c r="E7" s="2651"/>
      <c r="F7" s="2651"/>
      <c r="G7" s="1363"/>
      <c r="H7" s="791"/>
      <c r="I7" s="789" t="s">
        <v>1057</v>
      </c>
      <c r="J7" s="790" t="s">
        <v>1059</v>
      </c>
      <c r="K7" s="790" t="s">
        <v>1058</v>
      </c>
      <c r="L7" s="790" t="s">
        <v>1063</v>
      </c>
      <c r="M7" s="791" t="s">
        <v>1060</v>
      </c>
      <c r="N7" s="791" t="s">
        <v>1061</v>
      </c>
      <c r="O7" s="791" t="s">
        <v>1062</v>
      </c>
    </row>
    <row r="8" spans="1:15" s="1302" customFormat="1" ht="5.25" customHeight="1">
      <c r="A8" s="275"/>
      <c r="B8" s="1308"/>
      <c r="C8" s="275"/>
      <c r="D8" s="275"/>
      <c r="E8" s="275"/>
      <c r="F8" s="275"/>
      <c r="G8" s="1169"/>
      <c r="H8" s="1169"/>
      <c r="I8" s="1169"/>
      <c r="J8" s="1169"/>
      <c r="K8" s="1169"/>
    </row>
    <row r="9" spans="1:15" s="836" customFormat="1" ht="12.75" customHeight="1">
      <c r="B9" s="1368"/>
      <c r="C9" s="1178"/>
      <c r="D9" s="1178"/>
      <c r="E9" s="1178"/>
      <c r="F9" s="1323"/>
      <c r="G9" s="1324"/>
      <c r="H9" s="1365"/>
      <c r="I9" s="1324"/>
      <c r="J9" s="1365"/>
      <c r="K9" s="1365"/>
      <c r="L9" s="1365"/>
      <c r="M9" s="1365"/>
      <c r="N9" s="1365"/>
      <c r="O9" s="1365"/>
    </row>
    <row r="10" spans="1:15" s="836" customFormat="1" ht="15.2" customHeight="1">
      <c r="B10" s="1373" t="s">
        <v>1078</v>
      </c>
      <c r="C10" s="1178"/>
      <c r="D10" s="1178"/>
      <c r="E10" s="1326"/>
      <c r="F10" s="1323"/>
      <c r="G10" s="1372"/>
      <c r="H10" s="1365"/>
      <c r="I10" s="849">
        <v>1488</v>
      </c>
      <c r="J10" s="1514">
        <v>179</v>
      </c>
      <c r="K10" s="1514">
        <v>548</v>
      </c>
      <c r="L10" s="1514">
        <v>401</v>
      </c>
      <c r="M10" s="1514">
        <v>103</v>
      </c>
      <c r="N10" s="1514">
        <v>104</v>
      </c>
      <c r="O10" s="1514">
        <v>153</v>
      </c>
    </row>
    <row r="11" spans="1:15" s="836" customFormat="1" ht="15.2" customHeight="1">
      <c r="B11" s="1373" t="s">
        <v>1077</v>
      </c>
      <c r="C11" s="1178"/>
      <c r="D11" s="1178"/>
      <c r="E11" s="1326"/>
      <c r="F11" s="1323"/>
      <c r="G11" s="1372"/>
      <c r="H11" s="1365"/>
      <c r="I11" s="849"/>
      <c r="J11" s="1514"/>
      <c r="K11" s="1514"/>
      <c r="L11" s="1514"/>
      <c r="M11" s="1514"/>
      <c r="N11" s="1514"/>
      <c r="O11" s="1514"/>
    </row>
    <row r="12" spans="1:15" s="836" customFormat="1" ht="15.2" customHeight="1">
      <c r="B12" s="1385" t="s">
        <v>1076</v>
      </c>
      <c r="C12" s="1386"/>
      <c r="D12" s="1386"/>
      <c r="E12" s="1387"/>
      <c r="F12" s="1388"/>
      <c r="G12" s="1389"/>
      <c r="H12" s="1390"/>
      <c r="I12" s="849"/>
      <c r="J12" s="1514"/>
      <c r="K12" s="1514"/>
      <c r="L12" s="1514"/>
      <c r="M12" s="1514"/>
      <c r="N12" s="1514"/>
      <c r="O12" s="1514"/>
    </row>
    <row r="13" spans="1:15" s="836" customFormat="1" ht="15.2" customHeight="1">
      <c r="B13" s="1385" t="s">
        <v>1079</v>
      </c>
      <c r="C13" s="1386"/>
      <c r="D13" s="1386"/>
      <c r="E13" s="1387"/>
      <c r="F13" s="1388"/>
      <c r="G13" s="1389"/>
      <c r="H13" s="1390"/>
      <c r="I13" s="849"/>
      <c r="J13" s="1514"/>
      <c r="K13" s="1514"/>
      <c r="L13" s="1514"/>
      <c r="M13" s="1514"/>
      <c r="N13" s="1514"/>
      <c r="O13" s="1514"/>
    </row>
    <row r="14" spans="1:15" s="836" customFormat="1" ht="12" customHeight="1">
      <c r="B14" s="1385"/>
      <c r="C14" s="1386"/>
      <c r="D14" s="1386"/>
      <c r="E14" s="1387"/>
      <c r="F14" s="1388"/>
      <c r="G14" s="1389"/>
      <c r="H14" s="1390"/>
      <c r="I14" s="849"/>
      <c r="J14" s="1514"/>
      <c r="K14" s="1514"/>
      <c r="L14" s="1514"/>
      <c r="M14" s="1514"/>
      <c r="N14" s="1514"/>
      <c r="O14" s="1514"/>
    </row>
    <row r="15" spans="1:15" s="836" customFormat="1" ht="15.2" customHeight="1">
      <c r="B15" s="1325" t="s">
        <v>873</v>
      </c>
      <c r="C15" s="937"/>
      <c r="D15" s="937"/>
      <c r="E15" s="937"/>
      <c r="F15" s="1323"/>
      <c r="G15" s="1372"/>
      <c r="H15" s="1365"/>
      <c r="I15" s="849">
        <v>503</v>
      </c>
      <c r="J15" s="1514">
        <v>52</v>
      </c>
      <c r="K15" s="1514">
        <v>205</v>
      </c>
      <c r="L15" s="1514">
        <v>101</v>
      </c>
      <c r="M15" s="1514">
        <v>43</v>
      </c>
      <c r="N15" s="1514">
        <v>62</v>
      </c>
      <c r="O15" s="1514">
        <v>40</v>
      </c>
    </row>
    <row r="16" spans="1:15" s="836" customFormat="1" ht="15.2" customHeight="1">
      <c r="B16" s="1325" t="s">
        <v>874</v>
      </c>
      <c r="C16" s="937"/>
      <c r="D16" s="937"/>
      <c r="E16" s="937"/>
      <c r="F16" s="1323"/>
      <c r="G16" s="1372"/>
      <c r="H16" s="1365"/>
      <c r="I16" s="849"/>
      <c r="J16" s="1514"/>
      <c r="K16" s="1514"/>
      <c r="L16" s="1514"/>
      <c r="M16" s="1514"/>
      <c r="N16" s="1514"/>
      <c r="O16" s="1514"/>
    </row>
    <row r="17" spans="1:15" s="836" customFormat="1" ht="15.2" customHeight="1">
      <c r="B17" s="1327" t="s">
        <v>875</v>
      </c>
      <c r="C17" s="937"/>
      <c r="D17" s="937"/>
      <c r="E17" s="937"/>
      <c r="F17" s="1323"/>
      <c r="G17" s="1324"/>
      <c r="H17" s="1365"/>
      <c r="I17" s="849"/>
      <c r="J17" s="1514"/>
      <c r="K17" s="1514"/>
      <c r="L17" s="1514"/>
      <c r="M17" s="1514"/>
      <c r="N17" s="1514"/>
      <c r="O17" s="1514"/>
    </row>
    <row r="18" spans="1:15" s="836" customFormat="1" ht="12.75" customHeight="1">
      <c r="B18" s="1329"/>
      <c r="C18" s="937"/>
      <c r="D18" s="937"/>
      <c r="E18" s="937"/>
      <c r="F18" s="1323"/>
      <c r="G18" s="1324"/>
      <c r="H18" s="1365"/>
      <c r="I18" s="849"/>
      <c r="J18" s="1514"/>
      <c r="K18" s="1514"/>
      <c r="L18" s="1514"/>
      <c r="M18" s="1514"/>
      <c r="N18" s="1514"/>
      <c r="O18" s="1514"/>
    </row>
    <row r="19" spans="1:15" s="836" customFormat="1" ht="15.2" customHeight="1">
      <c r="B19" s="1325" t="s">
        <v>876</v>
      </c>
      <c r="C19" s="937"/>
      <c r="D19" s="937"/>
      <c r="E19" s="1326"/>
      <c r="F19" s="1323"/>
      <c r="G19" s="1372"/>
      <c r="H19" s="1365"/>
      <c r="I19" s="849">
        <v>617</v>
      </c>
      <c r="J19" s="1514">
        <v>77</v>
      </c>
      <c r="K19" s="1514">
        <v>218</v>
      </c>
      <c r="L19" s="1514">
        <v>135</v>
      </c>
      <c r="M19" s="1514">
        <v>36</v>
      </c>
      <c r="N19" s="1514">
        <v>55</v>
      </c>
      <c r="O19" s="1514">
        <v>96</v>
      </c>
    </row>
    <row r="20" spans="1:15" s="836" customFormat="1" ht="15.2" customHeight="1">
      <c r="B20" s="1327" t="s">
        <v>877</v>
      </c>
      <c r="C20" s="937"/>
      <c r="D20" s="937"/>
      <c r="E20" s="1178"/>
      <c r="F20" s="1323"/>
      <c r="G20" s="1324"/>
      <c r="H20" s="1365"/>
      <c r="I20" s="849"/>
      <c r="J20" s="1514"/>
      <c r="K20" s="1514"/>
      <c r="L20" s="1514"/>
      <c r="M20" s="1514"/>
      <c r="N20" s="1514"/>
      <c r="O20" s="1514"/>
    </row>
    <row r="21" spans="1:15" s="836" customFormat="1" ht="7.9" customHeight="1">
      <c r="B21" s="1329"/>
      <c r="C21" s="1326"/>
      <c r="D21" s="1326"/>
      <c r="E21" s="1326"/>
      <c r="F21" s="1323"/>
      <c r="G21" s="1324"/>
      <c r="H21" s="1365"/>
      <c r="I21" s="849"/>
      <c r="J21" s="1514"/>
      <c r="K21" s="1514"/>
      <c r="L21" s="1514"/>
      <c r="M21" s="1514"/>
      <c r="N21" s="1514"/>
      <c r="O21" s="1514"/>
    </row>
    <row r="22" spans="1:15" s="836" customFormat="1" ht="15.2" customHeight="1">
      <c r="B22" s="1391" t="s">
        <v>878</v>
      </c>
      <c r="C22" s="1178"/>
      <c r="D22" s="1178"/>
      <c r="E22" s="1326"/>
      <c r="F22" s="1323"/>
      <c r="G22" s="1372"/>
      <c r="H22" s="1365"/>
      <c r="I22" s="849">
        <v>131</v>
      </c>
      <c r="J22" s="1514">
        <v>10</v>
      </c>
      <c r="K22" s="1514">
        <v>46</v>
      </c>
      <c r="L22" s="1514">
        <v>36</v>
      </c>
      <c r="M22" s="1514">
        <v>3</v>
      </c>
      <c r="N22" s="1514">
        <v>13</v>
      </c>
      <c r="O22" s="1514">
        <v>23</v>
      </c>
    </row>
    <row r="23" spans="1:15" s="836" customFormat="1" ht="15.2" customHeight="1">
      <c r="B23" s="1371" t="s">
        <v>879</v>
      </c>
      <c r="C23" s="1326"/>
      <c r="D23" s="1326"/>
      <c r="E23" s="1178"/>
      <c r="F23" s="1323"/>
      <c r="G23" s="1324"/>
      <c r="H23" s="1324"/>
      <c r="I23" s="849"/>
      <c r="J23" s="849"/>
      <c r="K23" s="849"/>
      <c r="L23" s="849"/>
      <c r="M23" s="849"/>
      <c r="N23" s="849"/>
      <c r="O23" s="849"/>
    </row>
    <row r="24" spans="1:15" s="836" customFormat="1" ht="8.25" customHeight="1">
      <c r="B24" s="1369"/>
      <c r="C24" s="1326"/>
      <c r="D24" s="1326"/>
      <c r="E24" s="1326"/>
      <c r="F24" s="1323"/>
      <c r="G24" s="1324"/>
      <c r="H24" s="1365"/>
      <c r="I24" s="849"/>
      <c r="J24" s="1514"/>
      <c r="K24" s="1514"/>
      <c r="L24" s="1514"/>
      <c r="M24" s="1514"/>
      <c r="N24" s="1514"/>
      <c r="O24" s="1514"/>
    </row>
    <row r="25" spans="1:15" s="1393" customFormat="1" ht="15.2" customHeight="1">
      <c r="A25" s="1380"/>
      <c r="B25" s="1391" t="s">
        <v>853</v>
      </c>
      <c r="C25" s="1178"/>
      <c r="D25" s="1178"/>
      <c r="E25" s="1380"/>
      <c r="F25" s="1380"/>
      <c r="G25" s="1392"/>
      <c r="H25" s="1365"/>
      <c r="I25" s="1516">
        <v>462</v>
      </c>
      <c r="J25" s="1514">
        <v>66</v>
      </c>
      <c r="K25" s="1514">
        <v>160</v>
      </c>
      <c r="L25" s="1514">
        <v>96</v>
      </c>
      <c r="M25" s="1514">
        <v>31</v>
      </c>
      <c r="N25" s="1514">
        <v>39</v>
      </c>
      <c r="O25" s="1514">
        <v>70</v>
      </c>
    </row>
    <row r="26" spans="1:15" s="836" customFormat="1" ht="15.2" customHeight="1">
      <c r="A26" s="1213"/>
      <c r="B26" s="1371" t="s">
        <v>854</v>
      </c>
      <c r="C26" s="1326"/>
      <c r="D26" s="1326"/>
      <c r="E26" s="1213"/>
      <c r="F26" s="1213"/>
      <c r="G26" s="927"/>
      <c r="H26" s="927"/>
      <c r="I26" s="928"/>
      <c r="J26" s="928"/>
      <c r="K26" s="928"/>
      <c r="L26" s="928"/>
      <c r="M26" s="849"/>
      <c r="N26" s="849"/>
      <c r="O26" s="849"/>
    </row>
    <row r="27" spans="1:15" s="836" customFormat="1" ht="15.2" customHeight="1">
      <c r="B27" s="1369"/>
      <c r="C27" s="1326"/>
      <c r="D27" s="1326"/>
      <c r="E27" s="1326"/>
      <c r="F27" s="1323"/>
      <c r="G27" s="1324"/>
      <c r="H27" s="1365"/>
      <c r="I27" s="849"/>
      <c r="J27" s="1514"/>
      <c r="K27" s="1514"/>
      <c r="L27" s="1514"/>
      <c r="M27" s="1514"/>
      <c r="N27" s="1514"/>
      <c r="O27" s="1514"/>
    </row>
    <row r="28" spans="1:15" s="836" customFormat="1" ht="8.1" customHeight="1">
      <c r="B28" s="1371"/>
      <c r="C28" s="1326"/>
      <c r="D28" s="1326"/>
      <c r="E28" s="1326"/>
      <c r="F28" s="1323"/>
      <c r="G28" s="1324"/>
      <c r="H28" s="1365"/>
      <c r="I28" s="849"/>
      <c r="J28" s="1514"/>
      <c r="K28" s="1514"/>
      <c r="L28" s="1514"/>
      <c r="M28" s="1514"/>
      <c r="N28" s="1514"/>
      <c r="O28" s="1514"/>
    </row>
    <row r="29" spans="1:15" s="1393" customFormat="1" ht="15.2" customHeight="1">
      <c r="A29" s="1380"/>
      <c r="B29" s="1391"/>
      <c r="C29" s="1178"/>
      <c r="D29" s="1178"/>
      <c r="E29" s="1380"/>
      <c r="F29" s="1380"/>
      <c r="G29" s="1392"/>
      <c r="H29" s="1365"/>
      <c r="I29" s="1516"/>
      <c r="J29" s="1514"/>
      <c r="K29" s="1514"/>
      <c r="L29" s="1514"/>
      <c r="M29" s="1514"/>
      <c r="N29" s="1514"/>
      <c r="O29" s="1514"/>
    </row>
    <row r="30" spans="1:15" s="836" customFormat="1" ht="15.2" customHeight="1">
      <c r="A30" s="1213"/>
      <c r="B30" s="1371"/>
      <c r="C30" s="1326"/>
      <c r="D30" s="1326"/>
      <c r="E30" s="1213"/>
      <c r="F30" s="1213"/>
      <c r="G30" s="927"/>
      <c r="H30" s="927"/>
      <c r="I30" s="928"/>
      <c r="J30" s="928"/>
      <c r="K30" s="928"/>
      <c r="L30" s="928"/>
      <c r="M30" s="849"/>
      <c r="N30" s="849"/>
      <c r="O30" s="849"/>
    </row>
    <row r="31" spans="1:15" s="836" customFormat="1" ht="15.2" customHeight="1">
      <c r="B31" s="1391"/>
      <c r="C31" s="1178"/>
      <c r="D31" s="1178"/>
      <c r="E31" s="1326"/>
      <c r="F31" s="1323"/>
      <c r="G31" s="1372"/>
      <c r="H31" s="1365"/>
      <c r="I31" s="849"/>
      <c r="J31" s="1514"/>
      <c r="K31" s="1514"/>
      <c r="L31" s="1514"/>
      <c r="M31" s="1514"/>
      <c r="N31" s="1514"/>
      <c r="O31" s="1514"/>
    </row>
    <row r="32" spans="1:15" s="836" customFormat="1" ht="15.2" customHeight="1">
      <c r="B32" s="1371"/>
      <c r="C32" s="1326"/>
      <c r="D32" s="1326"/>
      <c r="E32" s="1178"/>
      <c r="F32" s="1323"/>
      <c r="G32" s="1324"/>
      <c r="H32" s="1324"/>
      <c r="I32" s="849"/>
      <c r="J32" s="849"/>
      <c r="K32" s="849"/>
      <c r="L32" s="849"/>
      <c r="M32" s="849"/>
      <c r="N32" s="849"/>
      <c r="O32" s="849"/>
    </row>
    <row r="33" spans="1:15" s="836" customFormat="1" ht="5.25" customHeight="1">
      <c r="B33" s="1329"/>
      <c r="C33" s="1326"/>
      <c r="D33" s="1326"/>
      <c r="E33" s="1326"/>
      <c r="F33" s="1323"/>
      <c r="G33" s="1324"/>
      <c r="H33" s="1324"/>
      <c r="I33" s="849"/>
      <c r="J33" s="849"/>
      <c r="K33" s="849"/>
      <c r="L33" s="849"/>
      <c r="M33" s="849"/>
      <c r="N33" s="849"/>
      <c r="O33" s="849"/>
    </row>
    <row r="34" spans="1:15" s="1393" customFormat="1" ht="15.2" customHeight="1">
      <c r="A34" s="1380"/>
      <c r="B34" s="1391"/>
      <c r="C34" s="1178"/>
      <c r="D34" s="1178"/>
      <c r="E34" s="1380"/>
      <c r="F34" s="1380"/>
      <c r="G34" s="1392"/>
      <c r="H34" s="1365"/>
      <c r="I34" s="1516"/>
      <c r="J34" s="1514"/>
      <c r="K34" s="1514"/>
      <c r="L34" s="1514"/>
      <c r="M34" s="1514"/>
      <c r="N34" s="1514"/>
      <c r="O34" s="1514"/>
    </row>
    <row r="35" spans="1:15" s="836" customFormat="1" ht="15.2" customHeight="1" thickBot="1">
      <c r="A35" s="1374"/>
      <c r="B35" s="1375"/>
      <c r="C35" s="1376"/>
      <c r="D35" s="1376"/>
      <c r="E35" s="1374"/>
      <c r="F35" s="1374"/>
      <c r="G35" s="1377"/>
      <c r="H35" s="1377"/>
      <c r="I35" s="1378"/>
      <c r="J35" s="1378"/>
      <c r="K35" s="1378"/>
      <c r="L35" s="1378"/>
      <c r="M35" s="1515"/>
      <c r="N35" s="1515"/>
      <c r="O35" s="1515"/>
    </row>
    <row r="36" spans="1:15" s="836" customFormat="1" ht="15.2" customHeight="1">
      <c r="A36" s="1379"/>
      <c r="B36" s="1380"/>
      <c r="C36" s="1380"/>
      <c r="D36" s="1380"/>
      <c r="E36" s="1379"/>
      <c r="F36" s="1379"/>
      <c r="G36" s="1379"/>
      <c r="H36" s="1379"/>
      <c r="I36" s="2683" t="s">
        <v>0</v>
      </c>
      <c r="J36" s="2683"/>
      <c r="K36" s="2683"/>
      <c r="L36" s="2683"/>
      <c r="M36" s="2683"/>
      <c r="N36" s="2683"/>
      <c r="O36" s="2683"/>
    </row>
    <row r="37" spans="1:15" s="836" customFormat="1" ht="15.2" customHeight="1">
      <c r="A37" s="1379"/>
      <c r="B37" s="1213"/>
      <c r="C37" s="1213"/>
      <c r="D37" s="1213"/>
      <c r="E37" s="1381"/>
      <c r="F37" s="1381"/>
      <c r="G37" s="1379"/>
      <c r="H37" s="1379"/>
      <c r="I37" s="2684" t="s">
        <v>1</v>
      </c>
      <c r="J37" s="2684"/>
      <c r="K37" s="2684"/>
      <c r="L37" s="2684"/>
      <c r="M37" s="2684"/>
      <c r="N37" s="2684"/>
      <c r="O37" s="2684"/>
    </row>
    <row r="38" spans="1:15" s="1335" customFormat="1" ht="15.2" customHeight="1">
      <c r="A38" s="1343" t="s">
        <v>2</v>
      </c>
      <c r="G38" s="1344"/>
      <c r="H38" s="1344"/>
      <c r="I38" s="1344"/>
      <c r="J38" s="1344"/>
      <c r="K38" s="1344"/>
      <c r="L38" s="1344"/>
      <c r="M38" s="1344"/>
      <c r="N38" s="1345"/>
    </row>
    <row r="39" spans="1:15" s="1335" customFormat="1" ht="15.2" customHeight="1">
      <c r="A39" s="1346" t="s">
        <v>3</v>
      </c>
      <c r="B39" s="1347" t="s">
        <v>1971</v>
      </c>
      <c r="C39" s="1348"/>
      <c r="D39" s="1349"/>
      <c r="G39" s="1344"/>
      <c r="H39" s="1344"/>
      <c r="I39" s="1344"/>
      <c r="J39" s="1344"/>
      <c r="K39" s="1344"/>
      <c r="L39" s="1344"/>
      <c r="M39" s="1344"/>
    </row>
    <row r="40" spans="1:15" s="1335" customFormat="1" ht="15.2" customHeight="1">
      <c r="A40" s="1349"/>
      <c r="B40" s="1350" t="s">
        <v>1962</v>
      </c>
      <c r="C40" s="1348"/>
      <c r="D40" s="1349"/>
      <c r="G40" s="1344"/>
      <c r="H40" s="1344"/>
      <c r="I40" s="1344"/>
      <c r="J40" s="1344"/>
      <c r="K40" s="1344"/>
      <c r="L40" s="1344"/>
      <c r="M40" s="1344"/>
    </row>
    <row r="41" spans="1:15" s="1335" customFormat="1" ht="8.1" customHeight="1">
      <c r="A41" s="1349"/>
      <c r="B41" s="1348"/>
      <c r="C41" s="1348"/>
      <c r="D41" s="1349"/>
      <c r="G41" s="1344"/>
      <c r="H41" s="1344"/>
      <c r="I41" s="1344"/>
      <c r="J41" s="1344"/>
      <c r="K41" s="1344"/>
      <c r="L41" s="1344"/>
      <c r="M41" s="1344"/>
    </row>
    <row r="42" spans="1:15" s="1335" customFormat="1" ht="15.2" customHeight="1">
      <c r="A42" s="1346" t="s">
        <v>4</v>
      </c>
      <c r="B42" s="1351" t="s">
        <v>832</v>
      </c>
      <c r="C42" s="1348"/>
      <c r="D42" s="1349"/>
      <c r="G42" s="1344"/>
      <c r="H42" s="1344"/>
      <c r="I42" s="1344"/>
      <c r="J42" s="1344"/>
      <c r="K42" s="1344"/>
      <c r="L42" s="1344"/>
      <c r="M42" s="1344"/>
    </row>
    <row r="43" spans="1:15" s="1335" customFormat="1" ht="15.2" customHeight="1">
      <c r="A43" s="1349"/>
      <c r="B43" s="1352" t="s">
        <v>833</v>
      </c>
      <c r="C43" s="1353"/>
      <c r="G43" s="1344"/>
      <c r="H43" s="1344"/>
      <c r="I43" s="1344"/>
      <c r="J43" s="1344"/>
      <c r="K43" s="1344"/>
      <c r="L43" s="1344"/>
      <c r="M43" s="1344"/>
    </row>
    <row r="44" spans="1:15" s="1335" customFormat="1" ht="8.1" customHeight="1">
      <c r="A44" s="1349"/>
      <c r="B44" s="1348"/>
      <c r="C44" s="1353"/>
      <c r="G44" s="1344"/>
      <c r="H44" s="1344"/>
      <c r="I44" s="1344"/>
      <c r="J44" s="1344"/>
      <c r="K44" s="1344"/>
      <c r="L44" s="1344"/>
      <c r="M44" s="1344"/>
    </row>
    <row r="45" spans="1:15" s="1335" customFormat="1" ht="15.2" customHeight="1">
      <c r="A45" s="1346" t="s">
        <v>263</v>
      </c>
      <c r="B45" s="1348" t="s">
        <v>1424</v>
      </c>
      <c r="C45" s="1349"/>
      <c r="G45" s="1344"/>
      <c r="H45" s="1344"/>
      <c r="I45" s="1344"/>
      <c r="J45" s="1344"/>
      <c r="K45" s="1344"/>
      <c r="L45" s="1344"/>
      <c r="M45" s="1344"/>
    </row>
    <row r="46" spans="1:15" s="1335" customFormat="1" ht="15.2" customHeight="1">
      <c r="B46" s="1354" t="s">
        <v>1425</v>
      </c>
      <c r="C46" s="1355"/>
      <c r="G46" s="1344"/>
      <c r="H46" s="1344"/>
      <c r="I46" s="1344"/>
      <c r="J46" s="1344"/>
      <c r="K46" s="1344"/>
      <c r="L46" s="1344"/>
      <c r="M46" s="1344"/>
    </row>
    <row r="47" spans="1:15" s="1302" customFormat="1" ht="12.95" customHeight="1">
      <c r="A47" s="1349"/>
      <c r="B47" s="1348"/>
      <c r="C47" s="1353"/>
      <c r="D47" s="1335"/>
      <c r="E47" s="1335"/>
      <c r="F47" s="1335"/>
      <c r="G47" s="1344"/>
      <c r="H47" s="1344"/>
      <c r="I47" s="1344"/>
      <c r="J47" s="1344"/>
      <c r="K47" s="1344"/>
      <c r="L47" s="1344"/>
      <c r="M47" s="1344"/>
      <c r="N47" s="1335"/>
      <c r="O47" s="1335"/>
    </row>
    <row r="48" spans="1:15" s="1302" customFormat="1" ht="15.2" customHeight="1">
      <c r="A48" s="1346" t="s">
        <v>570</v>
      </c>
      <c r="B48" s="1347" t="s">
        <v>1257</v>
      </c>
      <c r="C48" s="1020"/>
      <c r="G48" s="1303"/>
      <c r="H48" s="1303"/>
      <c r="I48" s="1303"/>
      <c r="J48" s="1303"/>
      <c r="K48" s="1303"/>
      <c r="L48" s="1303"/>
      <c r="M48" s="1303"/>
      <c r="N48" s="1356"/>
    </row>
    <row r="49" spans="1:13" s="1302" customFormat="1" ht="12.95" customHeight="1">
      <c r="A49" s="1301"/>
      <c r="B49" s="1350" t="s">
        <v>1255</v>
      </c>
      <c r="G49" s="1303"/>
      <c r="H49" s="1303"/>
      <c r="I49" s="1303"/>
      <c r="J49" s="1303"/>
      <c r="K49" s="1303"/>
      <c r="L49" s="1303"/>
      <c r="M49" s="1303"/>
    </row>
    <row r="50" spans="1:13" s="836" customFormat="1" ht="14.25">
      <c r="B50" s="1347"/>
      <c r="C50" s="1379"/>
      <c r="D50" s="1379"/>
    </row>
    <row r="51" spans="1:13" s="836" customFormat="1" ht="13.5">
      <c r="B51" s="1350"/>
    </row>
    <row r="52" spans="1:13" s="836" customFormat="1" ht="13.5"/>
  </sheetData>
  <mergeCells count="3">
    <mergeCell ref="B7:F7"/>
    <mergeCell ref="I36:O36"/>
    <mergeCell ref="I37:O37"/>
  </mergeCells>
  <conditionalFormatting sqref="D39:D42">
    <cfRule type="cellIs" dxfId="96" priority="1" stopIfTrue="1" operator="lessThan">
      <formula>0</formula>
    </cfRule>
  </conditionalFormatting>
  <pageMargins left="0.55118110236220474" right="0.55118110236220474" top="0.55118110236220474" bottom="0.55118110236220474" header="0.31496062992125984" footer="0.31496062992125984"/>
  <pageSetup paperSize="9" scale="59" fitToHeight="0"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2">
    <tabColor theme="4" tint="0.39997558519241921"/>
    <pageSetUpPr fitToPage="1"/>
  </sheetPr>
  <dimension ref="A1:GE63"/>
  <sheetViews>
    <sheetView view="pageBreakPreview" zoomScaleNormal="100" zoomScaleSheetLayoutView="100" workbookViewId="0">
      <selection activeCell="G53" sqref="G53"/>
    </sheetView>
  </sheetViews>
  <sheetFormatPr defaultColWidth="9.140625" defaultRowHeight="15.2" customHeight="1"/>
  <cols>
    <col min="1" max="1" width="3" style="1394" customWidth="1"/>
    <col min="2" max="2" width="11.85546875" style="1394" customWidth="1"/>
    <col min="3" max="3" width="16.42578125" style="1394" customWidth="1"/>
    <col min="4" max="4" width="6" style="1394" customWidth="1"/>
    <col min="5" max="11" width="13.85546875" style="1394" customWidth="1"/>
    <col min="12" max="12" width="0.7109375" style="1394" customWidth="1"/>
    <col min="13" max="13" width="11.85546875" style="1394" customWidth="1"/>
    <col min="14" max="16384" width="9.140625" style="1394"/>
  </cols>
  <sheetData>
    <row r="1" spans="1:187" ht="8.1" customHeight="1"/>
    <row r="2" spans="1:187" ht="8.1" customHeight="1"/>
    <row r="3" spans="1:187" ht="16.5" customHeight="1">
      <c r="A3" s="1395"/>
      <c r="B3" s="1396" t="s">
        <v>880</v>
      </c>
      <c r="C3" s="1397" t="s">
        <v>1967</v>
      </c>
      <c r="D3" s="1398"/>
      <c r="E3" s="1398"/>
      <c r="F3" s="1398"/>
      <c r="G3" s="1398"/>
      <c r="H3" s="1398"/>
      <c r="I3" s="1398"/>
      <c r="J3" s="1398"/>
      <c r="K3" s="1398"/>
      <c r="L3" s="1398"/>
    </row>
    <row r="4" spans="1:187" ht="16.5" customHeight="1">
      <c r="A4" s="1330"/>
      <c r="B4" s="1399" t="s">
        <v>881</v>
      </c>
      <c r="C4" s="1400" t="s">
        <v>1968</v>
      </c>
      <c r="D4" s="1401"/>
      <c r="E4" s="1401"/>
      <c r="F4" s="1401"/>
      <c r="G4" s="1401"/>
      <c r="H4" s="1401"/>
      <c r="I4" s="1401"/>
      <c r="J4" s="1401"/>
      <c r="K4" s="1401"/>
      <c r="L4" s="1401"/>
    </row>
    <row r="5" spans="1:187" ht="13.15" customHeight="1" thickBot="1">
      <c r="A5" s="1402"/>
      <c r="B5" s="1402"/>
      <c r="C5" s="1402"/>
      <c r="D5" s="1402"/>
      <c r="E5" s="1402"/>
      <c r="F5" s="1402"/>
      <c r="G5" s="1402"/>
      <c r="H5" s="1402"/>
      <c r="I5" s="1402"/>
      <c r="J5" s="1402"/>
      <c r="K5" s="1402"/>
      <c r="L5" s="1402"/>
    </row>
    <row r="6" spans="1:187" s="1330" customFormat="1" ht="54" customHeight="1" thickBot="1">
      <c r="A6" s="1403"/>
      <c r="B6" s="2664" t="s">
        <v>882</v>
      </c>
      <c r="C6" s="2664"/>
      <c r="D6" s="1403"/>
      <c r="E6" s="789" t="s">
        <v>1057</v>
      </c>
      <c r="F6" s="790" t="s">
        <v>1059</v>
      </c>
      <c r="G6" s="790" t="s">
        <v>1058</v>
      </c>
      <c r="H6" s="790" t="s">
        <v>1063</v>
      </c>
      <c r="I6" s="791" t="s">
        <v>1060</v>
      </c>
      <c r="J6" s="791" t="s">
        <v>1061</v>
      </c>
      <c r="K6" s="791" t="s">
        <v>1062</v>
      </c>
      <c r="L6" s="1404"/>
      <c r="M6" s="1405"/>
    </row>
    <row r="7" spans="1:187" s="1330" customFormat="1" ht="16.350000000000001" customHeight="1">
      <c r="B7" s="1406"/>
      <c r="C7" s="1405"/>
      <c r="D7" s="1405"/>
      <c r="E7" s="1207"/>
      <c r="F7" s="1207"/>
      <c r="G7" s="1517"/>
      <c r="H7" s="1517"/>
      <c r="I7" s="1207"/>
      <c r="J7" s="1207"/>
      <c r="K7" s="1207"/>
      <c r="L7" s="1407"/>
      <c r="M7" s="1408"/>
      <c r="N7" s="1407"/>
      <c r="O7" s="1407"/>
      <c r="P7" s="1407"/>
      <c r="Q7" s="1407"/>
      <c r="R7" s="1407"/>
      <c r="S7" s="1407"/>
      <c r="T7" s="1407"/>
      <c r="U7" s="1407"/>
      <c r="V7" s="1407"/>
      <c r="W7" s="1407"/>
      <c r="X7" s="1407"/>
      <c r="Y7" s="1407"/>
      <c r="Z7" s="1407"/>
      <c r="AA7" s="1407"/>
      <c r="AB7" s="1407"/>
      <c r="AC7" s="1407"/>
      <c r="AD7" s="1407"/>
      <c r="AE7" s="1407"/>
      <c r="AF7" s="1407"/>
      <c r="AG7" s="1407"/>
      <c r="AH7" s="1407"/>
      <c r="AI7" s="1407"/>
      <c r="AJ7" s="1407"/>
      <c r="AK7" s="1407"/>
      <c r="AL7" s="1407"/>
      <c r="AM7" s="1407"/>
      <c r="AN7" s="1407"/>
      <c r="AO7" s="1407"/>
      <c r="AP7" s="1407"/>
      <c r="AQ7" s="1407"/>
      <c r="AR7" s="1407"/>
      <c r="AS7" s="1407"/>
      <c r="AT7" s="1407"/>
      <c r="AU7" s="1407"/>
      <c r="AV7" s="1407"/>
      <c r="AW7" s="1407"/>
      <c r="AX7" s="1407"/>
      <c r="AY7" s="1407"/>
      <c r="AZ7" s="1407"/>
      <c r="BA7" s="1407"/>
      <c r="BB7" s="1407"/>
      <c r="BC7" s="1407"/>
      <c r="BD7" s="1407"/>
      <c r="BE7" s="1407"/>
      <c r="BF7" s="1407"/>
      <c r="BG7" s="1407"/>
      <c r="BH7" s="1407"/>
      <c r="BI7" s="1407"/>
      <c r="BJ7" s="1407"/>
      <c r="BK7" s="1407"/>
      <c r="BL7" s="1407"/>
      <c r="BM7" s="1407"/>
      <c r="BN7" s="1407"/>
      <c r="BO7" s="1407"/>
      <c r="BP7" s="1407"/>
      <c r="BQ7" s="1407"/>
      <c r="BR7" s="1407"/>
      <c r="BS7" s="1407"/>
      <c r="BT7" s="1407"/>
      <c r="BU7" s="1407"/>
      <c r="BV7" s="1407"/>
      <c r="BW7" s="1407"/>
      <c r="BX7" s="1407"/>
      <c r="BY7" s="1407"/>
      <c r="BZ7" s="1407"/>
      <c r="CA7" s="1407"/>
      <c r="CB7" s="1407"/>
      <c r="CC7" s="1407"/>
      <c r="CD7" s="1407"/>
      <c r="CE7" s="1407"/>
      <c r="CF7" s="1407"/>
      <c r="CG7" s="1407"/>
      <c r="CH7" s="1407"/>
      <c r="CI7" s="1407"/>
      <c r="CJ7" s="1407"/>
      <c r="CK7" s="1407"/>
      <c r="CL7" s="1407"/>
      <c r="CM7" s="1407"/>
      <c r="CN7" s="1407"/>
      <c r="CO7" s="1407"/>
      <c r="CP7" s="1407"/>
      <c r="CQ7" s="1407"/>
      <c r="CR7" s="1407"/>
      <c r="CS7" s="1407"/>
      <c r="CT7" s="1407"/>
      <c r="CU7" s="1407"/>
      <c r="CV7" s="1407"/>
      <c r="CW7" s="1407"/>
      <c r="CX7" s="1407"/>
      <c r="CY7" s="1407"/>
      <c r="CZ7" s="1407"/>
      <c r="DA7" s="1407"/>
      <c r="DB7" s="1407"/>
      <c r="DC7" s="1407"/>
      <c r="DD7" s="1407"/>
      <c r="DE7" s="1407"/>
      <c r="DF7" s="1407"/>
      <c r="DG7" s="1407"/>
      <c r="DH7" s="1407"/>
      <c r="DI7" s="1407"/>
      <c r="DJ7" s="1407"/>
      <c r="DK7" s="1407"/>
      <c r="DL7" s="1407"/>
      <c r="DM7" s="1407"/>
      <c r="DN7" s="1407"/>
      <c r="DO7" s="1407"/>
      <c r="DP7" s="1407"/>
      <c r="DQ7" s="1407"/>
      <c r="DR7" s="1407"/>
      <c r="DS7" s="1407"/>
      <c r="DT7" s="1407"/>
      <c r="DU7" s="1407"/>
      <c r="DV7" s="1407"/>
      <c r="DW7" s="1407"/>
      <c r="DX7" s="1407"/>
      <c r="DY7" s="1407"/>
      <c r="DZ7" s="1407"/>
      <c r="EA7" s="1407"/>
      <c r="EB7" s="1407"/>
      <c r="EC7" s="1407"/>
      <c r="ED7" s="1407"/>
      <c r="EE7" s="1407"/>
      <c r="EF7" s="1407"/>
      <c r="EG7" s="1407"/>
      <c r="EH7" s="1407"/>
      <c r="EI7" s="1407"/>
      <c r="EJ7" s="1407"/>
      <c r="EK7" s="1407"/>
      <c r="EL7" s="1407"/>
      <c r="EM7" s="1407"/>
      <c r="EN7" s="1407"/>
      <c r="EO7" s="1407"/>
      <c r="EP7" s="1407"/>
      <c r="EQ7" s="1407"/>
      <c r="ER7" s="1407"/>
      <c r="ES7" s="1407"/>
      <c r="ET7" s="1407"/>
      <c r="EU7" s="1407"/>
      <c r="EV7" s="1407"/>
      <c r="EW7" s="1407"/>
      <c r="EX7" s="1407"/>
      <c r="EY7" s="1407"/>
      <c r="EZ7" s="1407"/>
      <c r="FA7" s="1407"/>
      <c r="FB7" s="1407"/>
      <c r="FC7" s="1407"/>
      <c r="FD7" s="1407"/>
      <c r="FE7" s="1407"/>
      <c r="FF7" s="1407"/>
      <c r="FG7" s="1407"/>
      <c r="FH7" s="1407"/>
      <c r="FI7" s="1407"/>
      <c r="FJ7" s="1407"/>
      <c r="FK7" s="1407"/>
      <c r="FL7" s="1407"/>
      <c r="FM7" s="1407"/>
      <c r="FN7" s="1407"/>
      <c r="FO7" s="1407"/>
      <c r="FP7" s="1407"/>
      <c r="FQ7" s="1407"/>
      <c r="FR7" s="1407"/>
      <c r="FS7" s="1407"/>
      <c r="FT7" s="1407"/>
      <c r="FU7" s="1407"/>
      <c r="FV7" s="1407"/>
      <c r="FW7" s="1407"/>
      <c r="FX7" s="1407"/>
      <c r="FY7" s="1407"/>
      <c r="FZ7" s="1407"/>
      <c r="GA7" s="1407"/>
      <c r="GB7" s="1407"/>
      <c r="GC7" s="1407"/>
      <c r="GD7" s="1407"/>
      <c r="GE7" s="1407"/>
    </row>
    <row r="8" spans="1:187" s="1330" customFormat="1" ht="15.2" customHeight="1">
      <c r="B8" s="1409" t="s">
        <v>883</v>
      </c>
      <c r="E8" s="1463">
        <v>123456</v>
      </c>
      <c r="F8" s="1463">
        <v>123456</v>
      </c>
      <c r="G8" s="1463">
        <v>123456</v>
      </c>
      <c r="H8" s="1463">
        <v>123456</v>
      </c>
      <c r="I8" s="1463">
        <v>123456</v>
      </c>
      <c r="J8" s="1463">
        <v>123456</v>
      </c>
      <c r="K8" s="1463">
        <v>123456</v>
      </c>
      <c r="L8" s="1410"/>
      <c r="M8" s="1410"/>
      <c r="N8" s="1407"/>
      <c r="O8" s="1407"/>
      <c r="P8" s="1407"/>
      <c r="Q8" s="1407"/>
      <c r="R8" s="1407"/>
      <c r="S8" s="1407"/>
      <c r="T8" s="1407"/>
      <c r="U8" s="1407"/>
      <c r="V8" s="1407"/>
      <c r="W8" s="1407"/>
      <c r="X8" s="1407"/>
      <c r="Y8" s="1407"/>
      <c r="Z8" s="1407"/>
      <c r="AA8" s="1407"/>
      <c r="AB8" s="1407"/>
      <c r="AC8" s="1407"/>
      <c r="AD8" s="1407"/>
      <c r="AE8" s="1407"/>
      <c r="AF8" s="1407"/>
      <c r="AG8" s="1407"/>
      <c r="AH8" s="1407"/>
      <c r="AI8" s="1407"/>
      <c r="AJ8" s="1407"/>
      <c r="AK8" s="1407"/>
      <c r="AL8" s="1407"/>
      <c r="AM8" s="1407"/>
      <c r="AN8" s="1407"/>
      <c r="AO8" s="1407"/>
      <c r="AP8" s="1407"/>
      <c r="AQ8" s="1407"/>
      <c r="AR8" s="1407"/>
      <c r="AS8" s="1407"/>
      <c r="AT8" s="1407"/>
      <c r="AU8" s="1407"/>
      <c r="AV8" s="1407"/>
      <c r="AW8" s="1407"/>
      <c r="AX8" s="1407"/>
      <c r="AY8" s="1407"/>
      <c r="AZ8" s="1407"/>
      <c r="BA8" s="1407"/>
      <c r="BB8" s="1407"/>
      <c r="BC8" s="1407"/>
      <c r="BD8" s="1407"/>
      <c r="BE8" s="1407"/>
      <c r="BF8" s="1407"/>
      <c r="BG8" s="1407"/>
      <c r="BH8" s="1407"/>
      <c r="BI8" s="1407"/>
      <c r="BJ8" s="1407"/>
      <c r="BK8" s="1407"/>
      <c r="BL8" s="1407"/>
      <c r="BM8" s="1407"/>
      <c r="BN8" s="1407"/>
      <c r="BO8" s="1407"/>
      <c r="BP8" s="1407"/>
      <c r="BQ8" s="1407"/>
      <c r="BR8" s="1407"/>
      <c r="BS8" s="1407"/>
      <c r="BT8" s="1407"/>
      <c r="BU8" s="1407"/>
      <c r="BV8" s="1407"/>
      <c r="BW8" s="1407"/>
      <c r="BX8" s="1407"/>
      <c r="BY8" s="1407"/>
      <c r="BZ8" s="1407"/>
      <c r="CA8" s="1407"/>
      <c r="CB8" s="1407"/>
      <c r="CC8" s="1407"/>
      <c r="CD8" s="1407"/>
      <c r="CE8" s="1407"/>
      <c r="CF8" s="1407"/>
      <c r="CG8" s="1407"/>
      <c r="CH8" s="1407"/>
      <c r="CI8" s="1407"/>
      <c r="CJ8" s="1407"/>
      <c r="CK8" s="1407"/>
      <c r="CL8" s="1407"/>
      <c r="CM8" s="1407"/>
      <c r="CN8" s="1407"/>
      <c r="CO8" s="1407"/>
      <c r="CP8" s="1407"/>
      <c r="CQ8" s="1407"/>
      <c r="CR8" s="1407"/>
      <c r="CS8" s="1407"/>
      <c r="CT8" s="1407"/>
      <c r="CU8" s="1407"/>
      <c r="CV8" s="1407"/>
      <c r="CW8" s="1407"/>
      <c r="CX8" s="1407"/>
      <c r="CY8" s="1407"/>
      <c r="CZ8" s="1407"/>
      <c r="DA8" s="1407"/>
      <c r="DB8" s="1407"/>
      <c r="DC8" s="1407"/>
      <c r="DD8" s="1407"/>
      <c r="DE8" s="1407"/>
      <c r="DF8" s="1407"/>
      <c r="DG8" s="1407"/>
      <c r="DH8" s="1407"/>
      <c r="DI8" s="1407"/>
      <c r="DJ8" s="1407"/>
      <c r="DK8" s="1407"/>
      <c r="DL8" s="1407"/>
      <c r="DM8" s="1407"/>
      <c r="DN8" s="1407"/>
      <c r="DO8" s="1407"/>
      <c r="DP8" s="1407"/>
      <c r="DQ8" s="1407"/>
      <c r="DR8" s="1407"/>
      <c r="DS8" s="1407"/>
      <c r="DT8" s="1407"/>
      <c r="DU8" s="1407"/>
      <c r="DV8" s="1407"/>
      <c r="DW8" s="1407"/>
      <c r="DX8" s="1407"/>
      <c r="DY8" s="1407"/>
      <c r="DZ8" s="1407"/>
      <c r="EA8" s="1407"/>
      <c r="EB8" s="1407"/>
      <c r="EC8" s="1407"/>
      <c r="ED8" s="1407"/>
      <c r="EE8" s="1407"/>
      <c r="EF8" s="1407"/>
      <c r="EG8" s="1407"/>
      <c r="EH8" s="1407"/>
      <c r="EI8" s="1407"/>
      <c r="EJ8" s="1407"/>
      <c r="EK8" s="1407"/>
      <c r="EL8" s="1407"/>
      <c r="EM8" s="1407"/>
      <c r="EN8" s="1407"/>
      <c r="EO8" s="1407"/>
      <c r="EP8" s="1407"/>
      <c r="EQ8" s="1407"/>
      <c r="ER8" s="1407"/>
      <c r="ES8" s="1407"/>
      <c r="ET8" s="1407"/>
      <c r="EU8" s="1407"/>
      <c r="EV8" s="1407"/>
      <c r="EW8" s="1407"/>
      <c r="EX8" s="1407"/>
      <c r="EY8" s="1407"/>
      <c r="EZ8" s="1407"/>
      <c r="FA8" s="1407"/>
      <c r="FB8" s="1407"/>
      <c r="FC8" s="1407"/>
      <c r="FD8" s="1407"/>
      <c r="FE8" s="1407"/>
      <c r="FF8" s="1407"/>
      <c r="FG8" s="1407"/>
      <c r="FH8" s="1407"/>
      <c r="FI8" s="1407"/>
      <c r="FJ8" s="1407"/>
      <c r="FK8" s="1407"/>
      <c r="FL8" s="1407"/>
      <c r="FM8" s="1407"/>
      <c r="FN8" s="1407"/>
      <c r="FO8" s="1407"/>
      <c r="FP8" s="1407"/>
      <c r="FQ8" s="1407"/>
      <c r="FR8" s="1407"/>
      <c r="FS8" s="1407"/>
      <c r="FT8" s="1407"/>
      <c r="FU8" s="1407"/>
      <c r="FV8" s="1407"/>
      <c r="FW8" s="1407"/>
      <c r="FX8" s="1407"/>
      <c r="FY8" s="1407"/>
      <c r="FZ8" s="1407"/>
      <c r="GA8" s="1407"/>
      <c r="GB8" s="1407"/>
      <c r="GC8" s="1407"/>
      <c r="GD8" s="1407"/>
      <c r="GE8" s="1407"/>
    </row>
    <row r="9" spans="1:187" s="1330" customFormat="1" ht="15.2" customHeight="1">
      <c r="B9" s="1331" t="s">
        <v>884</v>
      </c>
      <c r="C9" s="1332"/>
      <c r="E9" s="1463"/>
      <c r="F9" s="1463"/>
      <c r="G9" s="1517"/>
      <c r="H9" s="1517"/>
      <c r="I9" s="1463"/>
      <c r="J9" s="1463"/>
      <c r="K9" s="1463"/>
      <c r="L9" s="1411"/>
      <c r="M9" s="1412"/>
      <c r="N9" s="1407"/>
      <c r="O9" s="1407"/>
      <c r="P9" s="1407"/>
      <c r="Q9" s="1407"/>
      <c r="R9" s="1407"/>
      <c r="S9" s="1407"/>
      <c r="T9" s="1407"/>
      <c r="U9" s="1407"/>
      <c r="V9" s="1407"/>
      <c r="W9" s="1407"/>
      <c r="X9" s="1407"/>
      <c r="Y9" s="1407"/>
      <c r="Z9" s="1407"/>
      <c r="AA9" s="1407"/>
      <c r="AB9" s="1407"/>
      <c r="AC9" s="1407"/>
      <c r="AD9" s="1407"/>
      <c r="AE9" s="1407"/>
      <c r="AF9" s="1407"/>
      <c r="AG9" s="1407"/>
      <c r="AH9" s="1407"/>
      <c r="AI9" s="1407"/>
      <c r="AJ9" s="1407"/>
      <c r="AK9" s="1407"/>
      <c r="AL9" s="1407"/>
      <c r="AM9" s="1407"/>
      <c r="AN9" s="1407"/>
      <c r="AO9" s="1407"/>
      <c r="AP9" s="1407"/>
      <c r="AQ9" s="1407"/>
      <c r="AR9" s="1407"/>
      <c r="AS9" s="1407"/>
      <c r="AT9" s="1407"/>
      <c r="AU9" s="1407"/>
      <c r="AV9" s="1407"/>
      <c r="AW9" s="1407"/>
      <c r="AX9" s="1407"/>
      <c r="AY9" s="1407"/>
      <c r="AZ9" s="1407"/>
      <c r="BA9" s="1407"/>
      <c r="BB9" s="1407"/>
      <c r="BC9" s="1407"/>
      <c r="BD9" s="1407"/>
      <c r="BE9" s="1407"/>
      <c r="BF9" s="1407"/>
      <c r="BG9" s="1407"/>
      <c r="BH9" s="1407"/>
      <c r="BI9" s="1407"/>
      <c r="BJ9" s="1407"/>
      <c r="BK9" s="1407"/>
      <c r="BL9" s="1407"/>
      <c r="BM9" s="1407"/>
      <c r="BN9" s="1407"/>
      <c r="BO9" s="1407"/>
      <c r="BP9" s="1407"/>
      <c r="BQ9" s="1407"/>
      <c r="BR9" s="1407"/>
      <c r="BS9" s="1407"/>
      <c r="BT9" s="1407"/>
      <c r="BU9" s="1407"/>
      <c r="BV9" s="1407"/>
      <c r="BW9" s="1407"/>
      <c r="BX9" s="1407"/>
      <c r="BY9" s="1407"/>
      <c r="BZ9" s="1407"/>
      <c r="CA9" s="1407"/>
      <c r="CB9" s="1407"/>
      <c r="CC9" s="1407"/>
      <c r="CD9" s="1407"/>
      <c r="CE9" s="1407"/>
      <c r="CF9" s="1407"/>
      <c r="CG9" s="1407"/>
      <c r="CH9" s="1407"/>
      <c r="CI9" s="1407"/>
      <c r="CJ9" s="1407"/>
      <c r="CK9" s="1407"/>
      <c r="CL9" s="1407"/>
      <c r="CM9" s="1407"/>
      <c r="CN9" s="1407"/>
      <c r="CO9" s="1407"/>
      <c r="CP9" s="1407"/>
      <c r="CQ9" s="1407"/>
      <c r="CR9" s="1407"/>
      <c r="CS9" s="1407"/>
      <c r="CT9" s="1407"/>
      <c r="CU9" s="1407"/>
      <c r="CV9" s="1407"/>
      <c r="CW9" s="1407"/>
      <c r="CX9" s="1407"/>
      <c r="CY9" s="1407"/>
      <c r="CZ9" s="1407"/>
      <c r="DA9" s="1407"/>
      <c r="DB9" s="1407"/>
      <c r="DC9" s="1407"/>
      <c r="DD9" s="1407"/>
      <c r="DE9" s="1407"/>
      <c r="DF9" s="1407"/>
      <c r="DG9" s="1407"/>
      <c r="DH9" s="1407"/>
      <c r="DI9" s="1407"/>
      <c r="DJ9" s="1407"/>
      <c r="DK9" s="1407"/>
      <c r="DL9" s="1407"/>
      <c r="DM9" s="1407"/>
      <c r="DN9" s="1407"/>
      <c r="DO9" s="1407"/>
      <c r="DP9" s="1407"/>
      <c r="DQ9" s="1407"/>
      <c r="DR9" s="1407"/>
      <c r="DS9" s="1407"/>
      <c r="DT9" s="1407"/>
      <c r="DU9" s="1407"/>
      <c r="DV9" s="1407"/>
      <c r="DW9" s="1407"/>
      <c r="DX9" s="1407"/>
      <c r="DY9" s="1407"/>
      <c r="DZ9" s="1407"/>
      <c r="EA9" s="1407"/>
      <c r="EB9" s="1407"/>
      <c r="EC9" s="1407"/>
      <c r="ED9" s="1407"/>
      <c r="EE9" s="1407"/>
      <c r="EF9" s="1407"/>
      <c r="EG9" s="1407"/>
      <c r="EH9" s="1407"/>
      <c r="EI9" s="1407"/>
      <c r="EJ9" s="1407"/>
      <c r="EK9" s="1407"/>
      <c r="EL9" s="1407"/>
      <c r="EM9" s="1407"/>
      <c r="EN9" s="1407"/>
      <c r="EO9" s="1407"/>
      <c r="EP9" s="1407"/>
      <c r="EQ9" s="1407"/>
      <c r="ER9" s="1407"/>
      <c r="ES9" s="1407"/>
      <c r="ET9" s="1407"/>
      <c r="EU9" s="1407"/>
      <c r="EV9" s="1407"/>
      <c r="EW9" s="1407"/>
      <c r="EX9" s="1407"/>
      <c r="EY9" s="1407"/>
      <c r="EZ9" s="1407"/>
      <c r="FA9" s="1407"/>
      <c r="FB9" s="1407"/>
      <c r="FC9" s="1407"/>
      <c r="FD9" s="1407"/>
      <c r="FE9" s="1407"/>
      <c r="FF9" s="1407"/>
      <c r="FG9" s="1407"/>
      <c r="FH9" s="1407"/>
      <c r="FI9" s="1407"/>
      <c r="FJ9" s="1407"/>
      <c r="FK9" s="1407"/>
      <c r="FL9" s="1407"/>
      <c r="FM9" s="1407"/>
      <c r="FN9" s="1407"/>
      <c r="FO9" s="1407"/>
      <c r="FP9" s="1407"/>
      <c r="FQ9" s="1407"/>
      <c r="FR9" s="1407"/>
      <c r="FS9" s="1407"/>
      <c r="FT9" s="1407"/>
      <c r="FU9" s="1407"/>
      <c r="FV9" s="1407"/>
      <c r="FW9" s="1407"/>
      <c r="FX9" s="1407"/>
      <c r="FY9" s="1407"/>
      <c r="FZ9" s="1407"/>
      <c r="GA9" s="1407"/>
      <c r="GB9" s="1407"/>
      <c r="GC9" s="1407"/>
      <c r="GD9" s="1407"/>
      <c r="GE9" s="1407"/>
    </row>
    <row r="10" spans="1:187" s="1330" customFormat="1" ht="15.2" customHeight="1">
      <c r="B10" s="1331"/>
      <c r="C10" s="1332"/>
      <c r="E10" s="1463"/>
      <c r="F10" s="1463"/>
      <c r="G10" s="1517"/>
      <c r="H10" s="1517"/>
      <c r="I10" s="1463"/>
      <c r="J10" s="1463"/>
      <c r="K10" s="1463"/>
      <c r="L10" s="1411"/>
      <c r="M10" s="1412"/>
      <c r="N10" s="1407"/>
      <c r="O10" s="1407"/>
      <c r="P10" s="1407"/>
      <c r="Q10" s="1407"/>
      <c r="R10" s="1407"/>
      <c r="S10" s="1407"/>
      <c r="T10" s="1407"/>
      <c r="U10" s="1407"/>
      <c r="V10" s="1407"/>
      <c r="W10" s="1407"/>
      <c r="X10" s="1407"/>
      <c r="Y10" s="1407"/>
      <c r="Z10" s="1407"/>
      <c r="AA10" s="1407"/>
      <c r="AB10" s="1407"/>
      <c r="AC10" s="1407"/>
      <c r="AD10" s="1407"/>
      <c r="AE10" s="1407"/>
      <c r="AF10" s="1407"/>
      <c r="AG10" s="1407"/>
      <c r="AH10" s="1407"/>
      <c r="AI10" s="1407"/>
      <c r="AJ10" s="1407"/>
      <c r="AK10" s="1407"/>
      <c r="AL10" s="1407"/>
      <c r="AM10" s="1407"/>
      <c r="AN10" s="1407"/>
      <c r="AO10" s="1407"/>
      <c r="AP10" s="1407"/>
      <c r="AQ10" s="1407"/>
      <c r="AR10" s="1407"/>
      <c r="AS10" s="1407"/>
      <c r="AT10" s="1407"/>
      <c r="AU10" s="1407"/>
      <c r="AV10" s="1407"/>
      <c r="AW10" s="1407"/>
      <c r="AX10" s="1407"/>
      <c r="AY10" s="1407"/>
      <c r="AZ10" s="1407"/>
      <c r="BA10" s="1407"/>
      <c r="BB10" s="1407"/>
      <c r="BC10" s="1407"/>
      <c r="BD10" s="1407"/>
      <c r="BE10" s="1407"/>
      <c r="BF10" s="1407"/>
      <c r="BG10" s="1407"/>
      <c r="BH10" s="1407"/>
      <c r="BI10" s="1407"/>
      <c r="BJ10" s="1407"/>
      <c r="BK10" s="1407"/>
      <c r="BL10" s="1407"/>
      <c r="BM10" s="1407"/>
      <c r="BN10" s="1407"/>
      <c r="BO10" s="1407"/>
      <c r="BP10" s="1407"/>
      <c r="BQ10" s="1407"/>
      <c r="BR10" s="1407"/>
      <c r="BS10" s="1407"/>
      <c r="BT10" s="1407"/>
      <c r="BU10" s="1407"/>
      <c r="BV10" s="1407"/>
      <c r="BW10" s="1407"/>
      <c r="BX10" s="1407"/>
      <c r="BY10" s="1407"/>
      <c r="BZ10" s="1407"/>
      <c r="CA10" s="1407"/>
      <c r="CB10" s="1407"/>
      <c r="CC10" s="1407"/>
      <c r="CD10" s="1407"/>
      <c r="CE10" s="1407"/>
      <c r="CF10" s="1407"/>
      <c r="CG10" s="1407"/>
      <c r="CH10" s="1407"/>
      <c r="CI10" s="1407"/>
      <c r="CJ10" s="1407"/>
      <c r="CK10" s="1407"/>
      <c r="CL10" s="1407"/>
      <c r="CM10" s="1407"/>
      <c r="CN10" s="1407"/>
      <c r="CO10" s="1407"/>
      <c r="CP10" s="1407"/>
      <c r="CQ10" s="1407"/>
      <c r="CR10" s="1407"/>
      <c r="CS10" s="1407"/>
      <c r="CT10" s="1407"/>
      <c r="CU10" s="1407"/>
      <c r="CV10" s="1407"/>
      <c r="CW10" s="1407"/>
      <c r="CX10" s="1407"/>
      <c r="CY10" s="1407"/>
      <c r="CZ10" s="1407"/>
      <c r="DA10" s="1407"/>
      <c r="DB10" s="1407"/>
      <c r="DC10" s="1407"/>
      <c r="DD10" s="1407"/>
      <c r="DE10" s="1407"/>
      <c r="DF10" s="1407"/>
      <c r="DG10" s="1407"/>
      <c r="DH10" s="1407"/>
      <c r="DI10" s="1407"/>
      <c r="DJ10" s="1407"/>
      <c r="DK10" s="1407"/>
      <c r="DL10" s="1407"/>
      <c r="DM10" s="1407"/>
      <c r="DN10" s="1407"/>
      <c r="DO10" s="1407"/>
      <c r="DP10" s="1407"/>
      <c r="DQ10" s="1407"/>
      <c r="DR10" s="1407"/>
      <c r="DS10" s="1407"/>
      <c r="DT10" s="1407"/>
      <c r="DU10" s="1407"/>
      <c r="DV10" s="1407"/>
      <c r="DW10" s="1407"/>
      <c r="DX10" s="1407"/>
      <c r="DY10" s="1407"/>
      <c r="DZ10" s="1407"/>
      <c r="EA10" s="1407"/>
      <c r="EB10" s="1407"/>
      <c r="EC10" s="1407"/>
      <c r="ED10" s="1407"/>
      <c r="EE10" s="1407"/>
      <c r="EF10" s="1407"/>
      <c r="EG10" s="1407"/>
      <c r="EH10" s="1407"/>
      <c r="EI10" s="1407"/>
      <c r="EJ10" s="1407"/>
      <c r="EK10" s="1407"/>
      <c r="EL10" s="1407"/>
      <c r="EM10" s="1407"/>
      <c r="EN10" s="1407"/>
      <c r="EO10" s="1407"/>
      <c r="EP10" s="1407"/>
      <c r="EQ10" s="1407"/>
      <c r="ER10" s="1407"/>
      <c r="ES10" s="1407"/>
      <c r="ET10" s="1407"/>
      <c r="EU10" s="1407"/>
      <c r="EV10" s="1407"/>
      <c r="EW10" s="1407"/>
      <c r="EX10" s="1407"/>
      <c r="EY10" s="1407"/>
      <c r="EZ10" s="1407"/>
      <c r="FA10" s="1407"/>
      <c r="FB10" s="1407"/>
      <c r="FC10" s="1407"/>
      <c r="FD10" s="1407"/>
      <c r="FE10" s="1407"/>
      <c r="FF10" s="1407"/>
      <c r="FG10" s="1407"/>
      <c r="FH10" s="1407"/>
      <c r="FI10" s="1407"/>
      <c r="FJ10" s="1407"/>
      <c r="FK10" s="1407"/>
      <c r="FL10" s="1407"/>
      <c r="FM10" s="1407"/>
      <c r="FN10" s="1407"/>
      <c r="FO10" s="1407"/>
      <c r="FP10" s="1407"/>
      <c r="FQ10" s="1407"/>
      <c r="FR10" s="1407"/>
      <c r="FS10" s="1407"/>
      <c r="FT10" s="1407"/>
      <c r="FU10" s="1407"/>
      <c r="FV10" s="1407"/>
      <c r="FW10" s="1407"/>
      <c r="FX10" s="1407"/>
      <c r="FY10" s="1407"/>
      <c r="FZ10" s="1407"/>
      <c r="GA10" s="1407"/>
      <c r="GB10" s="1407"/>
      <c r="GC10" s="1407"/>
      <c r="GD10" s="1407"/>
      <c r="GE10" s="1407"/>
    </row>
    <row r="11" spans="1:187" s="1330" customFormat="1" ht="15.2" customHeight="1">
      <c r="B11" s="1409" t="s">
        <v>885</v>
      </c>
      <c r="C11" s="1332"/>
      <c r="E11" s="1463">
        <v>123456</v>
      </c>
      <c r="F11" s="1463">
        <v>123456</v>
      </c>
      <c r="G11" s="1463">
        <v>123456</v>
      </c>
      <c r="H11" s="1463">
        <v>123456</v>
      </c>
      <c r="I11" s="1463">
        <v>123456</v>
      </c>
      <c r="J11" s="1463">
        <v>123456</v>
      </c>
      <c r="K11" s="1463">
        <v>123456</v>
      </c>
      <c r="L11" s="1411"/>
      <c r="M11" s="1412"/>
      <c r="N11" s="1407"/>
      <c r="O11" s="1407"/>
      <c r="P11" s="1407"/>
      <c r="Q11" s="1407"/>
      <c r="R11" s="1407"/>
      <c r="S11" s="1407"/>
      <c r="T11" s="1407"/>
      <c r="U11" s="1407"/>
      <c r="V11" s="1407"/>
      <c r="W11" s="1407"/>
      <c r="X11" s="1407"/>
      <c r="Y11" s="1407"/>
      <c r="Z11" s="1407"/>
      <c r="AA11" s="1407"/>
      <c r="AB11" s="1407"/>
      <c r="AC11" s="1407"/>
      <c r="AD11" s="1407"/>
      <c r="AE11" s="1407"/>
      <c r="AF11" s="1407"/>
      <c r="AG11" s="1407"/>
      <c r="AH11" s="1407"/>
      <c r="AI11" s="1407"/>
      <c r="AJ11" s="1407"/>
      <c r="AK11" s="1407"/>
      <c r="AL11" s="1407"/>
      <c r="AM11" s="1407"/>
      <c r="AN11" s="1407"/>
      <c r="AO11" s="1407"/>
      <c r="AP11" s="1407"/>
      <c r="AQ11" s="1407"/>
      <c r="AR11" s="1407"/>
      <c r="AS11" s="1407"/>
      <c r="AT11" s="1407"/>
      <c r="AU11" s="1407"/>
      <c r="AV11" s="1407"/>
      <c r="AW11" s="1407"/>
      <c r="AX11" s="1407"/>
      <c r="AY11" s="1407"/>
      <c r="AZ11" s="1407"/>
      <c r="BA11" s="1407"/>
      <c r="BB11" s="1407"/>
      <c r="BC11" s="1407"/>
      <c r="BD11" s="1407"/>
      <c r="BE11" s="1407"/>
      <c r="BF11" s="1407"/>
      <c r="BG11" s="1407"/>
      <c r="BH11" s="1407"/>
      <c r="BI11" s="1407"/>
      <c r="BJ11" s="1407"/>
      <c r="BK11" s="1407"/>
      <c r="BL11" s="1407"/>
      <c r="BM11" s="1407"/>
      <c r="BN11" s="1407"/>
      <c r="BO11" s="1407"/>
      <c r="BP11" s="1407"/>
      <c r="BQ11" s="1407"/>
      <c r="BR11" s="1407"/>
      <c r="BS11" s="1407"/>
      <c r="BT11" s="1407"/>
      <c r="BU11" s="1407"/>
      <c r="BV11" s="1407"/>
      <c r="BW11" s="1407"/>
      <c r="BX11" s="1407"/>
      <c r="BY11" s="1407"/>
      <c r="BZ11" s="1407"/>
      <c r="CA11" s="1407"/>
      <c r="CB11" s="1407"/>
      <c r="CC11" s="1407"/>
      <c r="CD11" s="1407"/>
      <c r="CE11" s="1407"/>
      <c r="CF11" s="1407"/>
      <c r="CG11" s="1407"/>
      <c r="CH11" s="1407"/>
      <c r="CI11" s="1407"/>
      <c r="CJ11" s="1407"/>
      <c r="CK11" s="1407"/>
      <c r="CL11" s="1407"/>
      <c r="CM11" s="1407"/>
      <c r="CN11" s="1407"/>
      <c r="CO11" s="1407"/>
      <c r="CP11" s="1407"/>
      <c r="CQ11" s="1407"/>
      <c r="CR11" s="1407"/>
      <c r="CS11" s="1407"/>
      <c r="CT11" s="1407"/>
      <c r="CU11" s="1407"/>
      <c r="CV11" s="1407"/>
      <c r="CW11" s="1407"/>
      <c r="CX11" s="1407"/>
      <c r="CY11" s="1407"/>
      <c r="CZ11" s="1407"/>
      <c r="DA11" s="1407"/>
      <c r="DB11" s="1407"/>
      <c r="DC11" s="1407"/>
      <c r="DD11" s="1407"/>
      <c r="DE11" s="1407"/>
      <c r="DF11" s="1407"/>
      <c r="DG11" s="1407"/>
      <c r="DH11" s="1407"/>
      <c r="DI11" s="1407"/>
      <c r="DJ11" s="1407"/>
      <c r="DK11" s="1407"/>
      <c r="DL11" s="1407"/>
      <c r="DM11" s="1407"/>
      <c r="DN11" s="1407"/>
      <c r="DO11" s="1407"/>
      <c r="DP11" s="1407"/>
      <c r="DQ11" s="1407"/>
      <c r="DR11" s="1407"/>
      <c r="DS11" s="1407"/>
      <c r="DT11" s="1407"/>
      <c r="DU11" s="1407"/>
      <c r="DV11" s="1407"/>
      <c r="DW11" s="1407"/>
      <c r="DX11" s="1407"/>
      <c r="DY11" s="1407"/>
      <c r="DZ11" s="1407"/>
      <c r="EA11" s="1407"/>
      <c r="EB11" s="1407"/>
      <c r="EC11" s="1407"/>
      <c r="ED11" s="1407"/>
      <c r="EE11" s="1407"/>
      <c r="EF11" s="1407"/>
      <c r="EG11" s="1407"/>
      <c r="EH11" s="1407"/>
      <c r="EI11" s="1407"/>
      <c r="EJ11" s="1407"/>
      <c r="EK11" s="1407"/>
      <c r="EL11" s="1407"/>
      <c r="EM11" s="1407"/>
      <c r="EN11" s="1407"/>
      <c r="EO11" s="1407"/>
      <c r="EP11" s="1407"/>
      <c r="EQ11" s="1407"/>
      <c r="ER11" s="1407"/>
      <c r="ES11" s="1407"/>
      <c r="ET11" s="1407"/>
      <c r="EU11" s="1407"/>
      <c r="EV11" s="1407"/>
      <c r="EW11" s="1407"/>
      <c r="EX11" s="1407"/>
      <c r="EY11" s="1407"/>
      <c r="EZ11" s="1407"/>
      <c r="FA11" s="1407"/>
      <c r="FB11" s="1407"/>
      <c r="FC11" s="1407"/>
      <c r="FD11" s="1407"/>
      <c r="FE11" s="1407"/>
      <c r="FF11" s="1407"/>
      <c r="FG11" s="1407"/>
      <c r="FH11" s="1407"/>
      <c r="FI11" s="1407"/>
      <c r="FJ11" s="1407"/>
      <c r="FK11" s="1407"/>
      <c r="FL11" s="1407"/>
      <c r="FM11" s="1407"/>
      <c r="FN11" s="1407"/>
      <c r="FO11" s="1407"/>
      <c r="FP11" s="1407"/>
      <c r="FQ11" s="1407"/>
      <c r="FR11" s="1407"/>
      <c r="FS11" s="1407"/>
      <c r="FT11" s="1407"/>
      <c r="FU11" s="1407"/>
      <c r="FV11" s="1407"/>
      <c r="FW11" s="1407"/>
      <c r="FX11" s="1407"/>
      <c r="FY11" s="1407"/>
      <c r="FZ11" s="1407"/>
      <c r="GA11" s="1407"/>
      <c r="GB11" s="1407"/>
      <c r="GC11" s="1407"/>
      <c r="GD11" s="1407"/>
      <c r="GE11" s="1407"/>
    </row>
    <row r="12" spans="1:187" s="1330" customFormat="1" ht="15.2" customHeight="1">
      <c r="B12" s="1331" t="s">
        <v>886</v>
      </c>
      <c r="C12" s="1332"/>
      <c r="E12" s="1463"/>
      <c r="F12" s="1463"/>
      <c r="G12" s="1517"/>
      <c r="H12" s="1517"/>
      <c r="I12" s="1463"/>
      <c r="J12" s="1463"/>
      <c r="K12" s="1463"/>
      <c r="L12" s="1411"/>
      <c r="M12" s="1412"/>
      <c r="N12" s="1407"/>
      <c r="O12" s="1407"/>
      <c r="P12" s="1407"/>
      <c r="Q12" s="1407"/>
      <c r="R12" s="1407"/>
      <c r="S12" s="1407"/>
      <c r="T12" s="1407"/>
      <c r="U12" s="1407"/>
      <c r="V12" s="1407"/>
      <c r="W12" s="1407"/>
      <c r="X12" s="1407"/>
      <c r="Y12" s="1407"/>
      <c r="Z12" s="1407"/>
      <c r="AA12" s="1407"/>
      <c r="AB12" s="1407"/>
      <c r="AC12" s="1407"/>
      <c r="AD12" s="1407"/>
      <c r="AE12" s="1407"/>
      <c r="AF12" s="1407"/>
      <c r="AG12" s="1407"/>
      <c r="AH12" s="1407"/>
      <c r="AI12" s="1407"/>
      <c r="AJ12" s="1407"/>
      <c r="AK12" s="1407"/>
      <c r="AL12" s="1407"/>
      <c r="AM12" s="1407"/>
      <c r="AN12" s="1407"/>
      <c r="AO12" s="1407"/>
      <c r="AP12" s="1407"/>
      <c r="AQ12" s="1407"/>
      <c r="AR12" s="1407"/>
      <c r="AS12" s="1407"/>
      <c r="AT12" s="1407"/>
      <c r="AU12" s="1407"/>
      <c r="AV12" s="1407"/>
      <c r="AW12" s="1407"/>
      <c r="AX12" s="1407"/>
      <c r="AY12" s="1407"/>
      <c r="AZ12" s="1407"/>
      <c r="BA12" s="1407"/>
      <c r="BB12" s="1407"/>
      <c r="BC12" s="1407"/>
      <c r="BD12" s="1407"/>
      <c r="BE12" s="1407"/>
      <c r="BF12" s="1407"/>
      <c r="BG12" s="1407"/>
      <c r="BH12" s="1407"/>
      <c r="BI12" s="1407"/>
      <c r="BJ12" s="1407"/>
      <c r="BK12" s="1407"/>
      <c r="BL12" s="1407"/>
      <c r="BM12" s="1407"/>
      <c r="BN12" s="1407"/>
      <c r="BO12" s="1407"/>
      <c r="BP12" s="1407"/>
      <c r="BQ12" s="1407"/>
      <c r="BR12" s="1407"/>
      <c r="BS12" s="1407"/>
      <c r="BT12" s="1407"/>
      <c r="BU12" s="1407"/>
      <c r="BV12" s="1407"/>
      <c r="BW12" s="1407"/>
      <c r="BX12" s="1407"/>
      <c r="BY12" s="1407"/>
      <c r="BZ12" s="1407"/>
      <c r="CA12" s="1407"/>
      <c r="CB12" s="1407"/>
      <c r="CC12" s="1407"/>
      <c r="CD12" s="1407"/>
      <c r="CE12" s="1407"/>
      <c r="CF12" s="1407"/>
      <c r="CG12" s="1407"/>
      <c r="CH12" s="1407"/>
      <c r="CI12" s="1407"/>
      <c r="CJ12" s="1407"/>
      <c r="CK12" s="1407"/>
      <c r="CL12" s="1407"/>
      <c r="CM12" s="1407"/>
      <c r="CN12" s="1407"/>
      <c r="CO12" s="1407"/>
      <c r="CP12" s="1407"/>
      <c r="CQ12" s="1407"/>
      <c r="CR12" s="1407"/>
      <c r="CS12" s="1407"/>
      <c r="CT12" s="1407"/>
      <c r="CU12" s="1407"/>
      <c r="CV12" s="1407"/>
      <c r="CW12" s="1407"/>
      <c r="CX12" s="1407"/>
      <c r="CY12" s="1407"/>
      <c r="CZ12" s="1407"/>
      <c r="DA12" s="1407"/>
      <c r="DB12" s="1407"/>
      <c r="DC12" s="1407"/>
      <c r="DD12" s="1407"/>
      <c r="DE12" s="1407"/>
      <c r="DF12" s="1407"/>
      <c r="DG12" s="1407"/>
      <c r="DH12" s="1407"/>
      <c r="DI12" s="1407"/>
      <c r="DJ12" s="1407"/>
      <c r="DK12" s="1407"/>
      <c r="DL12" s="1407"/>
      <c r="DM12" s="1407"/>
      <c r="DN12" s="1407"/>
      <c r="DO12" s="1407"/>
      <c r="DP12" s="1407"/>
      <c r="DQ12" s="1407"/>
      <c r="DR12" s="1407"/>
      <c r="DS12" s="1407"/>
      <c r="DT12" s="1407"/>
      <c r="DU12" s="1407"/>
      <c r="DV12" s="1407"/>
      <c r="DW12" s="1407"/>
      <c r="DX12" s="1407"/>
      <c r="DY12" s="1407"/>
      <c r="DZ12" s="1407"/>
      <c r="EA12" s="1407"/>
      <c r="EB12" s="1407"/>
      <c r="EC12" s="1407"/>
      <c r="ED12" s="1407"/>
      <c r="EE12" s="1407"/>
      <c r="EF12" s="1407"/>
      <c r="EG12" s="1407"/>
      <c r="EH12" s="1407"/>
      <c r="EI12" s="1407"/>
      <c r="EJ12" s="1407"/>
      <c r="EK12" s="1407"/>
      <c r="EL12" s="1407"/>
      <c r="EM12" s="1407"/>
      <c r="EN12" s="1407"/>
      <c r="EO12" s="1407"/>
      <c r="EP12" s="1407"/>
      <c r="EQ12" s="1407"/>
      <c r="ER12" s="1407"/>
      <c r="ES12" s="1407"/>
      <c r="ET12" s="1407"/>
      <c r="EU12" s="1407"/>
      <c r="EV12" s="1407"/>
      <c r="EW12" s="1407"/>
      <c r="EX12" s="1407"/>
      <c r="EY12" s="1407"/>
      <c r="EZ12" s="1407"/>
      <c r="FA12" s="1407"/>
      <c r="FB12" s="1407"/>
      <c r="FC12" s="1407"/>
      <c r="FD12" s="1407"/>
      <c r="FE12" s="1407"/>
      <c r="FF12" s="1407"/>
      <c r="FG12" s="1407"/>
      <c r="FH12" s="1407"/>
      <c r="FI12" s="1407"/>
      <c r="FJ12" s="1407"/>
      <c r="FK12" s="1407"/>
      <c r="FL12" s="1407"/>
      <c r="FM12" s="1407"/>
      <c r="FN12" s="1407"/>
      <c r="FO12" s="1407"/>
      <c r="FP12" s="1407"/>
      <c r="FQ12" s="1407"/>
      <c r="FR12" s="1407"/>
      <c r="FS12" s="1407"/>
      <c r="FT12" s="1407"/>
      <c r="FU12" s="1407"/>
      <c r="FV12" s="1407"/>
      <c r="FW12" s="1407"/>
      <c r="FX12" s="1407"/>
      <c r="FY12" s="1407"/>
      <c r="FZ12" s="1407"/>
      <c r="GA12" s="1407"/>
      <c r="GB12" s="1407"/>
      <c r="GC12" s="1407"/>
      <c r="GD12" s="1407"/>
      <c r="GE12" s="1407"/>
    </row>
    <row r="13" spans="1:187" s="1330" customFormat="1" ht="15.2" customHeight="1">
      <c r="B13" s="1331"/>
      <c r="C13" s="1332"/>
      <c r="E13" s="1463"/>
      <c r="F13" s="1463"/>
      <c r="G13" s="1517"/>
      <c r="H13" s="1517"/>
      <c r="I13" s="1463"/>
      <c r="J13" s="1463"/>
      <c r="K13" s="1463"/>
      <c r="L13" s="1411"/>
      <c r="M13" s="1412"/>
      <c r="N13" s="1407"/>
      <c r="O13" s="1407"/>
      <c r="P13" s="1407"/>
      <c r="Q13" s="1407"/>
      <c r="R13" s="1407"/>
      <c r="S13" s="1407"/>
      <c r="T13" s="1407"/>
      <c r="U13" s="1407"/>
      <c r="V13" s="1407"/>
      <c r="W13" s="1407"/>
      <c r="X13" s="1407"/>
      <c r="Y13" s="1407"/>
      <c r="Z13" s="1407"/>
      <c r="AA13" s="1407"/>
      <c r="AB13" s="1407"/>
      <c r="AC13" s="1407"/>
      <c r="AD13" s="1407"/>
      <c r="AE13" s="1407"/>
      <c r="AF13" s="1407"/>
      <c r="AG13" s="1407"/>
      <c r="AH13" s="1407"/>
      <c r="AI13" s="1407"/>
      <c r="AJ13" s="1407"/>
      <c r="AK13" s="1407"/>
      <c r="AL13" s="1407"/>
      <c r="AM13" s="1407"/>
      <c r="AN13" s="1407"/>
      <c r="AO13" s="1407"/>
      <c r="AP13" s="1407"/>
      <c r="AQ13" s="1407"/>
      <c r="AR13" s="1407"/>
      <c r="AS13" s="1407"/>
      <c r="AT13" s="1407"/>
      <c r="AU13" s="1407"/>
      <c r="AV13" s="1407"/>
      <c r="AW13" s="1407"/>
      <c r="AX13" s="1407"/>
      <c r="AY13" s="1407"/>
      <c r="AZ13" s="1407"/>
      <c r="BA13" s="1407"/>
      <c r="BB13" s="1407"/>
      <c r="BC13" s="1407"/>
      <c r="BD13" s="1407"/>
      <c r="BE13" s="1407"/>
      <c r="BF13" s="1407"/>
      <c r="BG13" s="1407"/>
      <c r="BH13" s="1407"/>
      <c r="BI13" s="1407"/>
      <c r="BJ13" s="1407"/>
      <c r="BK13" s="1407"/>
      <c r="BL13" s="1407"/>
      <c r="BM13" s="1407"/>
      <c r="BN13" s="1407"/>
      <c r="BO13" s="1407"/>
      <c r="BP13" s="1407"/>
      <c r="BQ13" s="1407"/>
      <c r="BR13" s="1407"/>
      <c r="BS13" s="1407"/>
      <c r="BT13" s="1407"/>
      <c r="BU13" s="1407"/>
      <c r="BV13" s="1407"/>
      <c r="BW13" s="1407"/>
      <c r="BX13" s="1407"/>
      <c r="BY13" s="1407"/>
      <c r="BZ13" s="1407"/>
      <c r="CA13" s="1407"/>
      <c r="CB13" s="1407"/>
      <c r="CC13" s="1407"/>
      <c r="CD13" s="1407"/>
      <c r="CE13" s="1407"/>
      <c r="CF13" s="1407"/>
      <c r="CG13" s="1407"/>
      <c r="CH13" s="1407"/>
      <c r="CI13" s="1407"/>
      <c r="CJ13" s="1407"/>
      <c r="CK13" s="1407"/>
      <c r="CL13" s="1407"/>
      <c r="CM13" s="1407"/>
      <c r="CN13" s="1407"/>
      <c r="CO13" s="1407"/>
      <c r="CP13" s="1407"/>
      <c r="CQ13" s="1407"/>
      <c r="CR13" s="1407"/>
      <c r="CS13" s="1407"/>
      <c r="CT13" s="1407"/>
      <c r="CU13" s="1407"/>
      <c r="CV13" s="1407"/>
      <c r="CW13" s="1407"/>
      <c r="CX13" s="1407"/>
      <c r="CY13" s="1407"/>
      <c r="CZ13" s="1407"/>
      <c r="DA13" s="1407"/>
      <c r="DB13" s="1407"/>
      <c r="DC13" s="1407"/>
      <c r="DD13" s="1407"/>
      <c r="DE13" s="1407"/>
      <c r="DF13" s="1407"/>
      <c r="DG13" s="1407"/>
      <c r="DH13" s="1407"/>
      <c r="DI13" s="1407"/>
      <c r="DJ13" s="1407"/>
      <c r="DK13" s="1407"/>
      <c r="DL13" s="1407"/>
      <c r="DM13" s="1407"/>
      <c r="DN13" s="1407"/>
      <c r="DO13" s="1407"/>
      <c r="DP13" s="1407"/>
      <c r="DQ13" s="1407"/>
      <c r="DR13" s="1407"/>
      <c r="DS13" s="1407"/>
      <c r="DT13" s="1407"/>
      <c r="DU13" s="1407"/>
      <c r="DV13" s="1407"/>
      <c r="DW13" s="1407"/>
      <c r="DX13" s="1407"/>
      <c r="DY13" s="1407"/>
      <c r="DZ13" s="1407"/>
      <c r="EA13" s="1407"/>
      <c r="EB13" s="1407"/>
      <c r="EC13" s="1407"/>
      <c r="ED13" s="1407"/>
      <c r="EE13" s="1407"/>
      <c r="EF13" s="1407"/>
      <c r="EG13" s="1407"/>
      <c r="EH13" s="1407"/>
      <c r="EI13" s="1407"/>
      <c r="EJ13" s="1407"/>
      <c r="EK13" s="1407"/>
      <c r="EL13" s="1407"/>
      <c r="EM13" s="1407"/>
      <c r="EN13" s="1407"/>
      <c r="EO13" s="1407"/>
      <c r="EP13" s="1407"/>
      <c r="EQ13" s="1407"/>
      <c r="ER13" s="1407"/>
      <c r="ES13" s="1407"/>
      <c r="ET13" s="1407"/>
      <c r="EU13" s="1407"/>
      <c r="EV13" s="1407"/>
      <c r="EW13" s="1407"/>
      <c r="EX13" s="1407"/>
      <c r="EY13" s="1407"/>
      <c r="EZ13" s="1407"/>
      <c r="FA13" s="1407"/>
      <c r="FB13" s="1407"/>
      <c r="FC13" s="1407"/>
      <c r="FD13" s="1407"/>
      <c r="FE13" s="1407"/>
      <c r="FF13" s="1407"/>
      <c r="FG13" s="1407"/>
      <c r="FH13" s="1407"/>
      <c r="FI13" s="1407"/>
      <c r="FJ13" s="1407"/>
      <c r="FK13" s="1407"/>
      <c r="FL13" s="1407"/>
      <c r="FM13" s="1407"/>
      <c r="FN13" s="1407"/>
      <c r="FO13" s="1407"/>
      <c r="FP13" s="1407"/>
      <c r="FQ13" s="1407"/>
      <c r="FR13" s="1407"/>
      <c r="FS13" s="1407"/>
      <c r="FT13" s="1407"/>
      <c r="FU13" s="1407"/>
      <c r="FV13" s="1407"/>
      <c r="FW13" s="1407"/>
      <c r="FX13" s="1407"/>
      <c r="FY13" s="1407"/>
      <c r="FZ13" s="1407"/>
      <c r="GA13" s="1407"/>
      <c r="GB13" s="1407"/>
      <c r="GC13" s="1407"/>
      <c r="GD13" s="1407"/>
      <c r="GE13" s="1407"/>
    </row>
    <row r="14" spans="1:187" s="1330" customFormat="1" ht="15.2" customHeight="1">
      <c r="B14" s="1409" t="s">
        <v>887</v>
      </c>
      <c r="C14" s="1332"/>
      <c r="E14" s="1463">
        <v>123456</v>
      </c>
      <c r="F14" s="1463">
        <v>123456</v>
      </c>
      <c r="G14" s="1463">
        <v>123456</v>
      </c>
      <c r="H14" s="1463">
        <v>123456</v>
      </c>
      <c r="I14" s="1463">
        <v>123456</v>
      </c>
      <c r="J14" s="1463">
        <v>123456</v>
      </c>
      <c r="K14" s="1463">
        <v>123456</v>
      </c>
      <c r="L14" s="1411"/>
      <c r="M14" s="1412"/>
      <c r="N14" s="1407"/>
      <c r="O14" s="1407"/>
      <c r="P14" s="1407"/>
      <c r="Q14" s="1407"/>
      <c r="R14" s="1407"/>
      <c r="S14" s="1407"/>
      <c r="T14" s="1407"/>
      <c r="U14" s="1407"/>
      <c r="V14" s="1407"/>
      <c r="W14" s="1407"/>
      <c r="X14" s="1407"/>
      <c r="Y14" s="1407"/>
      <c r="Z14" s="1407"/>
      <c r="AA14" s="1407"/>
      <c r="AB14" s="1407"/>
      <c r="AC14" s="1407"/>
      <c r="AD14" s="1407"/>
      <c r="AE14" s="1407"/>
      <c r="AF14" s="1407"/>
      <c r="AG14" s="1407"/>
      <c r="AH14" s="1407"/>
      <c r="AI14" s="1407"/>
      <c r="AJ14" s="1407"/>
      <c r="AK14" s="1407"/>
      <c r="AL14" s="1407"/>
      <c r="AM14" s="1407"/>
      <c r="AN14" s="1407"/>
      <c r="AO14" s="1407"/>
      <c r="AP14" s="1407"/>
      <c r="AQ14" s="1407"/>
      <c r="AR14" s="1407"/>
      <c r="AS14" s="1407"/>
      <c r="AT14" s="1407"/>
      <c r="AU14" s="1407"/>
      <c r="AV14" s="1407"/>
      <c r="AW14" s="1407"/>
      <c r="AX14" s="1407"/>
      <c r="AY14" s="1407"/>
      <c r="AZ14" s="1407"/>
      <c r="BA14" s="1407"/>
      <c r="BB14" s="1407"/>
      <c r="BC14" s="1407"/>
      <c r="BD14" s="1407"/>
      <c r="BE14" s="1407"/>
      <c r="BF14" s="1407"/>
      <c r="BG14" s="1407"/>
      <c r="BH14" s="1407"/>
      <c r="BI14" s="1407"/>
      <c r="BJ14" s="1407"/>
      <c r="BK14" s="1407"/>
      <c r="BL14" s="1407"/>
      <c r="BM14" s="1407"/>
      <c r="BN14" s="1407"/>
      <c r="BO14" s="1407"/>
      <c r="BP14" s="1407"/>
      <c r="BQ14" s="1407"/>
      <c r="BR14" s="1407"/>
      <c r="BS14" s="1407"/>
      <c r="BT14" s="1407"/>
      <c r="BU14" s="1407"/>
      <c r="BV14" s="1407"/>
      <c r="BW14" s="1407"/>
      <c r="BX14" s="1407"/>
      <c r="BY14" s="1407"/>
      <c r="BZ14" s="1407"/>
      <c r="CA14" s="1407"/>
      <c r="CB14" s="1407"/>
      <c r="CC14" s="1407"/>
      <c r="CD14" s="1407"/>
      <c r="CE14" s="1407"/>
      <c r="CF14" s="1407"/>
      <c r="CG14" s="1407"/>
      <c r="CH14" s="1407"/>
      <c r="CI14" s="1407"/>
      <c r="CJ14" s="1407"/>
      <c r="CK14" s="1407"/>
      <c r="CL14" s="1407"/>
      <c r="CM14" s="1407"/>
      <c r="CN14" s="1407"/>
      <c r="CO14" s="1407"/>
      <c r="CP14" s="1407"/>
      <c r="CQ14" s="1407"/>
      <c r="CR14" s="1407"/>
      <c r="CS14" s="1407"/>
      <c r="CT14" s="1407"/>
      <c r="CU14" s="1407"/>
      <c r="CV14" s="1407"/>
      <c r="CW14" s="1407"/>
      <c r="CX14" s="1407"/>
      <c r="CY14" s="1407"/>
      <c r="CZ14" s="1407"/>
      <c r="DA14" s="1407"/>
      <c r="DB14" s="1407"/>
      <c r="DC14" s="1407"/>
      <c r="DD14" s="1407"/>
      <c r="DE14" s="1407"/>
      <c r="DF14" s="1407"/>
      <c r="DG14" s="1407"/>
      <c r="DH14" s="1407"/>
      <c r="DI14" s="1407"/>
      <c r="DJ14" s="1407"/>
      <c r="DK14" s="1407"/>
      <c r="DL14" s="1407"/>
      <c r="DM14" s="1407"/>
      <c r="DN14" s="1407"/>
      <c r="DO14" s="1407"/>
      <c r="DP14" s="1407"/>
      <c r="DQ14" s="1407"/>
      <c r="DR14" s="1407"/>
      <c r="DS14" s="1407"/>
      <c r="DT14" s="1407"/>
      <c r="DU14" s="1407"/>
      <c r="DV14" s="1407"/>
      <c r="DW14" s="1407"/>
      <c r="DX14" s="1407"/>
      <c r="DY14" s="1407"/>
      <c r="DZ14" s="1407"/>
      <c r="EA14" s="1407"/>
      <c r="EB14" s="1407"/>
      <c r="EC14" s="1407"/>
      <c r="ED14" s="1407"/>
      <c r="EE14" s="1407"/>
      <c r="EF14" s="1407"/>
      <c r="EG14" s="1407"/>
      <c r="EH14" s="1407"/>
      <c r="EI14" s="1407"/>
      <c r="EJ14" s="1407"/>
      <c r="EK14" s="1407"/>
      <c r="EL14" s="1407"/>
      <c r="EM14" s="1407"/>
      <c r="EN14" s="1407"/>
      <c r="EO14" s="1407"/>
      <c r="EP14" s="1407"/>
      <c r="EQ14" s="1407"/>
      <c r="ER14" s="1407"/>
      <c r="ES14" s="1407"/>
      <c r="ET14" s="1407"/>
      <c r="EU14" s="1407"/>
      <c r="EV14" s="1407"/>
      <c r="EW14" s="1407"/>
      <c r="EX14" s="1407"/>
      <c r="EY14" s="1407"/>
      <c r="EZ14" s="1407"/>
      <c r="FA14" s="1407"/>
      <c r="FB14" s="1407"/>
      <c r="FC14" s="1407"/>
      <c r="FD14" s="1407"/>
      <c r="FE14" s="1407"/>
      <c r="FF14" s="1407"/>
      <c r="FG14" s="1407"/>
      <c r="FH14" s="1407"/>
      <c r="FI14" s="1407"/>
      <c r="FJ14" s="1407"/>
      <c r="FK14" s="1407"/>
      <c r="FL14" s="1407"/>
      <c r="FM14" s="1407"/>
      <c r="FN14" s="1407"/>
      <c r="FO14" s="1407"/>
      <c r="FP14" s="1407"/>
      <c r="FQ14" s="1407"/>
      <c r="FR14" s="1407"/>
      <c r="FS14" s="1407"/>
      <c r="FT14" s="1407"/>
      <c r="FU14" s="1407"/>
      <c r="FV14" s="1407"/>
      <c r="FW14" s="1407"/>
      <c r="FX14" s="1407"/>
      <c r="FY14" s="1407"/>
      <c r="FZ14" s="1407"/>
      <c r="GA14" s="1407"/>
      <c r="GB14" s="1407"/>
      <c r="GC14" s="1407"/>
      <c r="GD14" s="1407"/>
      <c r="GE14" s="1407"/>
    </row>
    <row r="15" spans="1:187" s="1330" customFormat="1" ht="15.2" customHeight="1">
      <c r="B15" s="1331" t="s">
        <v>888</v>
      </c>
      <c r="C15" s="1332"/>
      <c r="E15" s="1463"/>
      <c r="F15" s="1463"/>
      <c r="G15" s="1517"/>
      <c r="H15" s="1517"/>
      <c r="I15" s="1463"/>
      <c r="J15" s="1463"/>
      <c r="K15" s="1463"/>
      <c r="L15" s="1411"/>
      <c r="M15" s="1412"/>
      <c r="N15" s="1407"/>
      <c r="O15" s="1407"/>
      <c r="P15" s="1407"/>
      <c r="Q15" s="1407"/>
      <c r="R15" s="1407"/>
      <c r="S15" s="1407"/>
      <c r="T15" s="1407"/>
      <c r="U15" s="1407"/>
      <c r="V15" s="1407"/>
      <c r="W15" s="1407"/>
      <c r="X15" s="1407"/>
      <c r="Y15" s="1407"/>
      <c r="Z15" s="1407"/>
      <c r="AA15" s="1407"/>
      <c r="AB15" s="1407"/>
      <c r="AC15" s="1407"/>
      <c r="AD15" s="1407"/>
      <c r="AE15" s="1407"/>
      <c r="AF15" s="1407"/>
      <c r="AG15" s="1407"/>
      <c r="AH15" s="1407"/>
      <c r="AI15" s="1407"/>
      <c r="AJ15" s="1407"/>
      <c r="AK15" s="1407"/>
      <c r="AL15" s="1407"/>
      <c r="AM15" s="1407"/>
      <c r="AN15" s="1407"/>
      <c r="AO15" s="1407"/>
      <c r="AP15" s="1407"/>
      <c r="AQ15" s="1407"/>
      <c r="AR15" s="1407"/>
      <c r="AS15" s="1407"/>
      <c r="AT15" s="1407"/>
      <c r="AU15" s="1407"/>
      <c r="AV15" s="1407"/>
      <c r="AW15" s="1407"/>
      <c r="AX15" s="1407"/>
      <c r="AY15" s="1407"/>
      <c r="AZ15" s="1407"/>
      <c r="BA15" s="1407"/>
      <c r="BB15" s="1407"/>
      <c r="BC15" s="1407"/>
      <c r="BD15" s="1407"/>
      <c r="BE15" s="1407"/>
      <c r="BF15" s="1407"/>
      <c r="BG15" s="1407"/>
      <c r="BH15" s="1407"/>
      <c r="BI15" s="1407"/>
      <c r="BJ15" s="1407"/>
      <c r="BK15" s="1407"/>
      <c r="BL15" s="1407"/>
      <c r="BM15" s="1407"/>
      <c r="BN15" s="1407"/>
      <c r="BO15" s="1407"/>
      <c r="BP15" s="1407"/>
      <c r="BQ15" s="1407"/>
      <c r="BR15" s="1407"/>
      <c r="BS15" s="1407"/>
      <c r="BT15" s="1407"/>
      <c r="BU15" s="1407"/>
      <c r="BV15" s="1407"/>
      <c r="BW15" s="1407"/>
      <c r="BX15" s="1407"/>
      <c r="BY15" s="1407"/>
      <c r="BZ15" s="1407"/>
      <c r="CA15" s="1407"/>
      <c r="CB15" s="1407"/>
      <c r="CC15" s="1407"/>
      <c r="CD15" s="1407"/>
      <c r="CE15" s="1407"/>
      <c r="CF15" s="1407"/>
      <c r="CG15" s="1407"/>
      <c r="CH15" s="1407"/>
      <c r="CI15" s="1407"/>
      <c r="CJ15" s="1407"/>
      <c r="CK15" s="1407"/>
      <c r="CL15" s="1407"/>
      <c r="CM15" s="1407"/>
      <c r="CN15" s="1407"/>
      <c r="CO15" s="1407"/>
      <c r="CP15" s="1407"/>
      <c r="CQ15" s="1407"/>
      <c r="CR15" s="1407"/>
      <c r="CS15" s="1407"/>
      <c r="CT15" s="1407"/>
      <c r="CU15" s="1407"/>
      <c r="CV15" s="1407"/>
      <c r="CW15" s="1407"/>
      <c r="CX15" s="1407"/>
      <c r="CY15" s="1407"/>
      <c r="CZ15" s="1407"/>
      <c r="DA15" s="1407"/>
      <c r="DB15" s="1407"/>
      <c r="DC15" s="1407"/>
      <c r="DD15" s="1407"/>
      <c r="DE15" s="1407"/>
      <c r="DF15" s="1407"/>
      <c r="DG15" s="1407"/>
      <c r="DH15" s="1407"/>
      <c r="DI15" s="1407"/>
      <c r="DJ15" s="1407"/>
      <c r="DK15" s="1407"/>
      <c r="DL15" s="1407"/>
      <c r="DM15" s="1407"/>
      <c r="DN15" s="1407"/>
      <c r="DO15" s="1407"/>
      <c r="DP15" s="1407"/>
      <c r="DQ15" s="1407"/>
      <c r="DR15" s="1407"/>
      <c r="DS15" s="1407"/>
      <c r="DT15" s="1407"/>
      <c r="DU15" s="1407"/>
      <c r="DV15" s="1407"/>
      <c r="DW15" s="1407"/>
      <c r="DX15" s="1407"/>
      <c r="DY15" s="1407"/>
      <c r="DZ15" s="1407"/>
      <c r="EA15" s="1407"/>
      <c r="EB15" s="1407"/>
      <c r="EC15" s="1407"/>
      <c r="ED15" s="1407"/>
      <c r="EE15" s="1407"/>
      <c r="EF15" s="1407"/>
      <c r="EG15" s="1407"/>
      <c r="EH15" s="1407"/>
      <c r="EI15" s="1407"/>
      <c r="EJ15" s="1407"/>
      <c r="EK15" s="1407"/>
      <c r="EL15" s="1407"/>
      <c r="EM15" s="1407"/>
      <c r="EN15" s="1407"/>
      <c r="EO15" s="1407"/>
      <c r="EP15" s="1407"/>
      <c r="EQ15" s="1407"/>
      <c r="ER15" s="1407"/>
      <c r="ES15" s="1407"/>
      <c r="ET15" s="1407"/>
      <c r="EU15" s="1407"/>
      <c r="EV15" s="1407"/>
      <c r="EW15" s="1407"/>
      <c r="EX15" s="1407"/>
      <c r="EY15" s="1407"/>
      <c r="EZ15" s="1407"/>
      <c r="FA15" s="1407"/>
      <c r="FB15" s="1407"/>
      <c r="FC15" s="1407"/>
      <c r="FD15" s="1407"/>
      <c r="FE15" s="1407"/>
      <c r="FF15" s="1407"/>
      <c r="FG15" s="1407"/>
      <c r="FH15" s="1407"/>
      <c r="FI15" s="1407"/>
      <c r="FJ15" s="1407"/>
      <c r="FK15" s="1407"/>
      <c r="FL15" s="1407"/>
      <c r="FM15" s="1407"/>
      <c r="FN15" s="1407"/>
      <c r="FO15" s="1407"/>
      <c r="FP15" s="1407"/>
      <c r="FQ15" s="1407"/>
      <c r="FR15" s="1407"/>
      <c r="FS15" s="1407"/>
      <c r="FT15" s="1407"/>
      <c r="FU15" s="1407"/>
      <c r="FV15" s="1407"/>
      <c r="FW15" s="1407"/>
      <c r="FX15" s="1407"/>
      <c r="FY15" s="1407"/>
      <c r="FZ15" s="1407"/>
      <c r="GA15" s="1407"/>
      <c r="GB15" s="1407"/>
      <c r="GC15" s="1407"/>
      <c r="GD15" s="1407"/>
      <c r="GE15" s="1407"/>
    </row>
    <row r="16" spans="1:187" s="1330" customFormat="1" ht="15.2" customHeight="1">
      <c r="B16" s="1331"/>
      <c r="C16" s="1332"/>
      <c r="E16" s="1463"/>
      <c r="F16" s="1463"/>
      <c r="G16" s="1517"/>
      <c r="H16" s="1517"/>
      <c r="I16" s="1463"/>
      <c r="J16" s="1463"/>
      <c r="K16" s="1463"/>
      <c r="L16" s="1411"/>
      <c r="M16" s="1412"/>
      <c r="N16" s="1407"/>
      <c r="O16" s="1407"/>
      <c r="P16" s="1407"/>
      <c r="Q16" s="1407"/>
      <c r="R16" s="1407"/>
      <c r="S16" s="1407"/>
      <c r="T16" s="1407"/>
      <c r="U16" s="1407"/>
      <c r="V16" s="1407"/>
      <c r="W16" s="1407"/>
      <c r="X16" s="1407"/>
      <c r="Y16" s="1407"/>
      <c r="Z16" s="1407"/>
      <c r="AA16" s="1407"/>
      <c r="AB16" s="1407"/>
      <c r="AC16" s="1407"/>
      <c r="AD16" s="1407"/>
      <c r="AE16" s="1407"/>
      <c r="AF16" s="1407"/>
      <c r="AG16" s="1407"/>
      <c r="AH16" s="1407"/>
      <c r="AI16" s="1407"/>
      <c r="AJ16" s="1407"/>
      <c r="AK16" s="1407"/>
      <c r="AL16" s="1407"/>
      <c r="AM16" s="1407"/>
      <c r="AN16" s="1407"/>
      <c r="AO16" s="1407"/>
      <c r="AP16" s="1407"/>
      <c r="AQ16" s="1407"/>
      <c r="AR16" s="1407"/>
      <c r="AS16" s="1407"/>
      <c r="AT16" s="1407"/>
      <c r="AU16" s="1407"/>
      <c r="AV16" s="1407"/>
      <c r="AW16" s="1407"/>
      <c r="AX16" s="1407"/>
      <c r="AY16" s="1407"/>
      <c r="AZ16" s="1407"/>
      <c r="BA16" s="1407"/>
      <c r="BB16" s="1407"/>
      <c r="BC16" s="1407"/>
      <c r="BD16" s="1407"/>
      <c r="BE16" s="1407"/>
      <c r="BF16" s="1407"/>
      <c r="BG16" s="1407"/>
      <c r="BH16" s="1407"/>
      <c r="BI16" s="1407"/>
      <c r="BJ16" s="1407"/>
      <c r="BK16" s="1407"/>
      <c r="BL16" s="1407"/>
      <c r="BM16" s="1407"/>
      <c r="BN16" s="1407"/>
      <c r="BO16" s="1407"/>
      <c r="BP16" s="1407"/>
      <c r="BQ16" s="1407"/>
      <c r="BR16" s="1407"/>
      <c r="BS16" s="1407"/>
      <c r="BT16" s="1407"/>
      <c r="BU16" s="1407"/>
      <c r="BV16" s="1407"/>
      <c r="BW16" s="1407"/>
      <c r="BX16" s="1407"/>
      <c r="BY16" s="1407"/>
      <c r="BZ16" s="1407"/>
      <c r="CA16" s="1407"/>
      <c r="CB16" s="1407"/>
      <c r="CC16" s="1407"/>
      <c r="CD16" s="1407"/>
      <c r="CE16" s="1407"/>
      <c r="CF16" s="1407"/>
      <c r="CG16" s="1407"/>
      <c r="CH16" s="1407"/>
      <c r="CI16" s="1407"/>
      <c r="CJ16" s="1407"/>
      <c r="CK16" s="1407"/>
      <c r="CL16" s="1407"/>
      <c r="CM16" s="1407"/>
      <c r="CN16" s="1407"/>
      <c r="CO16" s="1407"/>
      <c r="CP16" s="1407"/>
      <c r="CQ16" s="1407"/>
      <c r="CR16" s="1407"/>
      <c r="CS16" s="1407"/>
      <c r="CT16" s="1407"/>
      <c r="CU16" s="1407"/>
      <c r="CV16" s="1407"/>
      <c r="CW16" s="1407"/>
      <c r="CX16" s="1407"/>
      <c r="CY16" s="1407"/>
      <c r="CZ16" s="1407"/>
      <c r="DA16" s="1407"/>
      <c r="DB16" s="1407"/>
      <c r="DC16" s="1407"/>
      <c r="DD16" s="1407"/>
      <c r="DE16" s="1407"/>
      <c r="DF16" s="1407"/>
      <c r="DG16" s="1407"/>
      <c r="DH16" s="1407"/>
      <c r="DI16" s="1407"/>
      <c r="DJ16" s="1407"/>
      <c r="DK16" s="1407"/>
      <c r="DL16" s="1407"/>
      <c r="DM16" s="1407"/>
      <c r="DN16" s="1407"/>
      <c r="DO16" s="1407"/>
      <c r="DP16" s="1407"/>
      <c r="DQ16" s="1407"/>
      <c r="DR16" s="1407"/>
      <c r="DS16" s="1407"/>
      <c r="DT16" s="1407"/>
      <c r="DU16" s="1407"/>
      <c r="DV16" s="1407"/>
      <c r="DW16" s="1407"/>
      <c r="DX16" s="1407"/>
      <c r="DY16" s="1407"/>
      <c r="DZ16" s="1407"/>
      <c r="EA16" s="1407"/>
      <c r="EB16" s="1407"/>
      <c r="EC16" s="1407"/>
      <c r="ED16" s="1407"/>
      <c r="EE16" s="1407"/>
      <c r="EF16" s="1407"/>
      <c r="EG16" s="1407"/>
      <c r="EH16" s="1407"/>
      <c r="EI16" s="1407"/>
      <c r="EJ16" s="1407"/>
      <c r="EK16" s="1407"/>
      <c r="EL16" s="1407"/>
      <c r="EM16" s="1407"/>
      <c r="EN16" s="1407"/>
      <c r="EO16" s="1407"/>
      <c r="EP16" s="1407"/>
      <c r="EQ16" s="1407"/>
      <c r="ER16" s="1407"/>
      <c r="ES16" s="1407"/>
      <c r="ET16" s="1407"/>
      <c r="EU16" s="1407"/>
      <c r="EV16" s="1407"/>
      <c r="EW16" s="1407"/>
      <c r="EX16" s="1407"/>
      <c r="EY16" s="1407"/>
      <c r="EZ16" s="1407"/>
      <c r="FA16" s="1407"/>
      <c r="FB16" s="1407"/>
      <c r="FC16" s="1407"/>
      <c r="FD16" s="1407"/>
      <c r="FE16" s="1407"/>
      <c r="FF16" s="1407"/>
      <c r="FG16" s="1407"/>
      <c r="FH16" s="1407"/>
      <c r="FI16" s="1407"/>
      <c r="FJ16" s="1407"/>
      <c r="FK16" s="1407"/>
      <c r="FL16" s="1407"/>
      <c r="FM16" s="1407"/>
      <c r="FN16" s="1407"/>
      <c r="FO16" s="1407"/>
      <c r="FP16" s="1407"/>
      <c r="FQ16" s="1407"/>
      <c r="FR16" s="1407"/>
      <c r="FS16" s="1407"/>
      <c r="FT16" s="1407"/>
      <c r="FU16" s="1407"/>
      <c r="FV16" s="1407"/>
      <c r="FW16" s="1407"/>
      <c r="FX16" s="1407"/>
      <c r="FY16" s="1407"/>
      <c r="FZ16" s="1407"/>
      <c r="GA16" s="1407"/>
      <c r="GB16" s="1407"/>
      <c r="GC16" s="1407"/>
      <c r="GD16" s="1407"/>
      <c r="GE16" s="1407"/>
    </row>
    <row r="17" spans="1:187" s="1330" customFormat="1" ht="15.2" customHeight="1">
      <c r="B17" s="1409" t="s">
        <v>889</v>
      </c>
      <c r="C17" s="1332"/>
      <c r="E17" s="1463">
        <v>123456</v>
      </c>
      <c r="F17" s="1463">
        <v>123456</v>
      </c>
      <c r="G17" s="1463">
        <v>123456</v>
      </c>
      <c r="H17" s="1463">
        <v>123456</v>
      </c>
      <c r="I17" s="1463">
        <v>123456</v>
      </c>
      <c r="J17" s="1463">
        <v>123456</v>
      </c>
      <c r="K17" s="1463">
        <v>123456</v>
      </c>
      <c r="L17" s="1411"/>
      <c r="M17" s="1412"/>
      <c r="N17" s="1407"/>
      <c r="O17" s="1407"/>
      <c r="P17" s="1407"/>
      <c r="Q17" s="1407"/>
      <c r="R17" s="1407"/>
      <c r="S17" s="1407"/>
      <c r="T17" s="1407"/>
      <c r="U17" s="1407"/>
      <c r="V17" s="1407"/>
      <c r="W17" s="1407"/>
      <c r="X17" s="1407"/>
      <c r="Y17" s="1407"/>
      <c r="Z17" s="1407"/>
      <c r="AA17" s="1407"/>
      <c r="AB17" s="1407"/>
      <c r="AC17" s="1407"/>
      <c r="AD17" s="1407"/>
      <c r="AE17" s="1407"/>
      <c r="AF17" s="1407"/>
      <c r="AG17" s="1407"/>
      <c r="AH17" s="1407"/>
      <c r="AI17" s="1407"/>
      <c r="AJ17" s="1407"/>
      <c r="AK17" s="1407"/>
      <c r="AL17" s="1407"/>
      <c r="AM17" s="1407"/>
      <c r="AN17" s="1407"/>
      <c r="AO17" s="1407"/>
      <c r="AP17" s="1407"/>
      <c r="AQ17" s="1407"/>
      <c r="AR17" s="1407"/>
      <c r="AS17" s="1407"/>
      <c r="AT17" s="1407"/>
      <c r="AU17" s="1407"/>
      <c r="AV17" s="1407"/>
      <c r="AW17" s="1407"/>
      <c r="AX17" s="1407"/>
      <c r="AY17" s="1407"/>
      <c r="AZ17" s="1407"/>
      <c r="BA17" s="1407"/>
      <c r="BB17" s="1407"/>
      <c r="BC17" s="1407"/>
      <c r="BD17" s="1407"/>
      <c r="BE17" s="1407"/>
      <c r="BF17" s="1407"/>
      <c r="BG17" s="1407"/>
      <c r="BH17" s="1407"/>
      <c r="BI17" s="1407"/>
      <c r="BJ17" s="1407"/>
      <c r="BK17" s="1407"/>
      <c r="BL17" s="1407"/>
      <c r="BM17" s="1407"/>
      <c r="BN17" s="1407"/>
      <c r="BO17" s="1407"/>
      <c r="BP17" s="1407"/>
      <c r="BQ17" s="1407"/>
      <c r="BR17" s="1407"/>
      <c r="BS17" s="1407"/>
      <c r="BT17" s="1407"/>
      <c r="BU17" s="1407"/>
      <c r="BV17" s="1407"/>
      <c r="BW17" s="1407"/>
      <c r="BX17" s="1407"/>
      <c r="BY17" s="1407"/>
      <c r="BZ17" s="1407"/>
      <c r="CA17" s="1407"/>
      <c r="CB17" s="1407"/>
      <c r="CC17" s="1407"/>
      <c r="CD17" s="1407"/>
      <c r="CE17" s="1407"/>
      <c r="CF17" s="1407"/>
      <c r="CG17" s="1407"/>
      <c r="CH17" s="1407"/>
      <c r="CI17" s="1407"/>
      <c r="CJ17" s="1407"/>
      <c r="CK17" s="1407"/>
      <c r="CL17" s="1407"/>
      <c r="CM17" s="1407"/>
      <c r="CN17" s="1407"/>
      <c r="CO17" s="1407"/>
      <c r="CP17" s="1407"/>
      <c r="CQ17" s="1407"/>
      <c r="CR17" s="1407"/>
      <c r="CS17" s="1407"/>
      <c r="CT17" s="1407"/>
      <c r="CU17" s="1407"/>
      <c r="CV17" s="1407"/>
      <c r="CW17" s="1407"/>
      <c r="CX17" s="1407"/>
      <c r="CY17" s="1407"/>
      <c r="CZ17" s="1407"/>
      <c r="DA17" s="1407"/>
      <c r="DB17" s="1407"/>
      <c r="DC17" s="1407"/>
      <c r="DD17" s="1407"/>
      <c r="DE17" s="1407"/>
      <c r="DF17" s="1407"/>
      <c r="DG17" s="1407"/>
      <c r="DH17" s="1407"/>
      <c r="DI17" s="1407"/>
      <c r="DJ17" s="1407"/>
      <c r="DK17" s="1407"/>
      <c r="DL17" s="1407"/>
      <c r="DM17" s="1407"/>
      <c r="DN17" s="1407"/>
      <c r="DO17" s="1407"/>
      <c r="DP17" s="1407"/>
      <c r="DQ17" s="1407"/>
      <c r="DR17" s="1407"/>
      <c r="DS17" s="1407"/>
      <c r="DT17" s="1407"/>
      <c r="DU17" s="1407"/>
      <c r="DV17" s="1407"/>
      <c r="DW17" s="1407"/>
      <c r="DX17" s="1407"/>
      <c r="DY17" s="1407"/>
      <c r="DZ17" s="1407"/>
      <c r="EA17" s="1407"/>
      <c r="EB17" s="1407"/>
      <c r="EC17" s="1407"/>
      <c r="ED17" s="1407"/>
      <c r="EE17" s="1407"/>
      <c r="EF17" s="1407"/>
      <c r="EG17" s="1407"/>
      <c r="EH17" s="1407"/>
      <c r="EI17" s="1407"/>
      <c r="EJ17" s="1407"/>
      <c r="EK17" s="1407"/>
      <c r="EL17" s="1407"/>
      <c r="EM17" s="1407"/>
      <c r="EN17" s="1407"/>
      <c r="EO17" s="1407"/>
      <c r="EP17" s="1407"/>
      <c r="EQ17" s="1407"/>
      <c r="ER17" s="1407"/>
      <c r="ES17" s="1407"/>
      <c r="ET17" s="1407"/>
      <c r="EU17" s="1407"/>
      <c r="EV17" s="1407"/>
      <c r="EW17" s="1407"/>
      <c r="EX17" s="1407"/>
      <c r="EY17" s="1407"/>
      <c r="EZ17" s="1407"/>
      <c r="FA17" s="1407"/>
      <c r="FB17" s="1407"/>
      <c r="FC17" s="1407"/>
      <c r="FD17" s="1407"/>
      <c r="FE17" s="1407"/>
      <c r="FF17" s="1407"/>
      <c r="FG17" s="1407"/>
      <c r="FH17" s="1407"/>
      <c r="FI17" s="1407"/>
      <c r="FJ17" s="1407"/>
      <c r="FK17" s="1407"/>
      <c r="FL17" s="1407"/>
      <c r="FM17" s="1407"/>
      <c r="FN17" s="1407"/>
      <c r="FO17" s="1407"/>
      <c r="FP17" s="1407"/>
      <c r="FQ17" s="1407"/>
      <c r="FR17" s="1407"/>
      <c r="FS17" s="1407"/>
      <c r="FT17" s="1407"/>
      <c r="FU17" s="1407"/>
      <c r="FV17" s="1407"/>
      <c r="FW17" s="1407"/>
      <c r="FX17" s="1407"/>
      <c r="FY17" s="1407"/>
      <c r="FZ17" s="1407"/>
      <c r="GA17" s="1407"/>
      <c r="GB17" s="1407"/>
      <c r="GC17" s="1407"/>
      <c r="GD17" s="1407"/>
      <c r="GE17" s="1407"/>
    </row>
    <row r="18" spans="1:187" s="1330" customFormat="1" ht="15.2" customHeight="1">
      <c r="B18" s="1331" t="s">
        <v>890</v>
      </c>
      <c r="C18" s="1332"/>
      <c r="E18" s="1463"/>
      <c r="F18" s="1463"/>
      <c r="G18" s="1517"/>
      <c r="H18" s="1517"/>
      <c r="I18" s="1463"/>
      <c r="J18" s="1463"/>
      <c r="K18" s="1463"/>
      <c r="L18" s="1411"/>
      <c r="M18" s="1412"/>
      <c r="N18" s="1407"/>
      <c r="O18" s="1407"/>
      <c r="P18" s="1407"/>
      <c r="Q18" s="1407"/>
      <c r="R18" s="1407"/>
      <c r="S18" s="1407"/>
      <c r="T18" s="1407"/>
      <c r="U18" s="1407"/>
      <c r="V18" s="1407"/>
      <c r="W18" s="1407"/>
      <c r="X18" s="1407"/>
      <c r="Y18" s="1407"/>
      <c r="Z18" s="1407"/>
      <c r="AA18" s="1407"/>
      <c r="AB18" s="1407"/>
      <c r="AC18" s="1407"/>
      <c r="AD18" s="1407"/>
      <c r="AE18" s="1407"/>
      <c r="AF18" s="1407"/>
      <c r="AG18" s="1407"/>
      <c r="AH18" s="1407"/>
      <c r="AI18" s="1407"/>
      <c r="AJ18" s="1407"/>
      <c r="AK18" s="1407"/>
      <c r="AL18" s="1407"/>
      <c r="AM18" s="1407"/>
      <c r="AN18" s="1407"/>
      <c r="AO18" s="1407"/>
      <c r="AP18" s="1407"/>
      <c r="AQ18" s="1407"/>
      <c r="AR18" s="1407"/>
      <c r="AS18" s="1407"/>
      <c r="AT18" s="1407"/>
      <c r="AU18" s="1407"/>
      <c r="AV18" s="1407"/>
      <c r="AW18" s="1407"/>
      <c r="AX18" s="1407"/>
      <c r="AY18" s="1407"/>
      <c r="AZ18" s="1407"/>
      <c r="BA18" s="1407"/>
      <c r="BB18" s="1407"/>
      <c r="BC18" s="1407"/>
      <c r="BD18" s="1407"/>
      <c r="BE18" s="1407"/>
      <c r="BF18" s="1407"/>
      <c r="BG18" s="1407"/>
      <c r="BH18" s="1407"/>
      <c r="BI18" s="1407"/>
      <c r="BJ18" s="1407"/>
      <c r="BK18" s="1407"/>
      <c r="BL18" s="1407"/>
      <c r="BM18" s="1407"/>
      <c r="BN18" s="1407"/>
      <c r="BO18" s="1407"/>
      <c r="BP18" s="1407"/>
      <c r="BQ18" s="1407"/>
      <c r="BR18" s="1407"/>
      <c r="BS18" s="1407"/>
      <c r="BT18" s="1407"/>
      <c r="BU18" s="1407"/>
      <c r="BV18" s="1407"/>
      <c r="BW18" s="1407"/>
      <c r="BX18" s="1407"/>
      <c r="BY18" s="1407"/>
      <c r="BZ18" s="1407"/>
      <c r="CA18" s="1407"/>
      <c r="CB18" s="1407"/>
      <c r="CC18" s="1407"/>
      <c r="CD18" s="1407"/>
      <c r="CE18" s="1407"/>
      <c r="CF18" s="1407"/>
      <c r="CG18" s="1407"/>
      <c r="CH18" s="1407"/>
      <c r="CI18" s="1407"/>
      <c r="CJ18" s="1407"/>
      <c r="CK18" s="1407"/>
      <c r="CL18" s="1407"/>
      <c r="CM18" s="1407"/>
      <c r="CN18" s="1407"/>
      <c r="CO18" s="1407"/>
      <c r="CP18" s="1407"/>
      <c r="CQ18" s="1407"/>
      <c r="CR18" s="1407"/>
      <c r="CS18" s="1407"/>
      <c r="CT18" s="1407"/>
      <c r="CU18" s="1407"/>
      <c r="CV18" s="1407"/>
      <c r="CW18" s="1407"/>
      <c r="CX18" s="1407"/>
      <c r="CY18" s="1407"/>
      <c r="CZ18" s="1407"/>
      <c r="DA18" s="1407"/>
      <c r="DB18" s="1407"/>
      <c r="DC18" s="1407"/>
      <c r="DD18" s="1407"/>
      <c r="DE18" s="1407"/>
      <c r="DF18" s="1407"/>
      <c r="DG18" s="1407"/>
      <c r="DH18" s="1407"/>
      <c r="DI18" s="1407"/>
      <c r="DJ18" s="1407"/>
      <c r="DK18" s="1407"/>
      <c r="DL18" s="1407"/>
      <c r="DM18" s="1407"/>
      <c r="DN18" s="1407"/>
      <c r="DO18" s="1407"/>
      <c r="DP18" s="1407"/>
      <c r="DQ18" s="1407"/>
      <c r="DR18" s="1407"/>
      <c r="DS18" s="1407"/>
      <c r="DT18" s="1407"/>
      <c r="DU18" s="1407"/>
      <c r="DV18" s="1407"/>
      <c r="DW18" s="1407"/>
      <c r="DX18" s="1407"/>
      <c r="DY18" s="1407"/>
      <c r="DZ18" s="1407"/>
      <c r="EA18" s="1407"/>
      <c r="EB18" s="1407"/>
      <c r="EC18" s="1407"/>
      <c r="ED18" s="1407"/>
      <c r="EE18" s="1407"/>
      <c r="EF18" s="1407"/>
      <c r="EG18" s="1407"/>
      <c r="EH18" s="1407"/>
      <c r="EI18" s="1407"/>
      <c r="EJ18" s="1407"/>
      <c r="EK18" s="1407"/>
      <c r="EL18" s="1407"/>
      <c r="EM18" s="1407"/>
      <c r="EN18" s="1407"/>
      <c r="EO18" s="1407"/>
      <c r="EP18" s="1407"/>
      <c r="EQ18" s="1407"/>
      <c r="ER18" s="1407"/>
      <c r="ES18" s="1407"/>
      <c r="ET18" s="1407"/>
      <c r="EU18" s="1407"/>
      <c r="EV18" s="1407"/>
      <c r="EW18" s="1407"/>
      <c r="EX18" s="1407"/>
      <c r="EY18" s="1407"/>
      <c r="EZ18" s="1407"/>
      <c r="FA18" s="1407"/>
      <c r="FB18" s="1407"/>
      <c r="FC18" s="1407"/>
      <c r="FD18" s="1407"/>
      <c r="FE18" s="1407"/>
      <c r="FF18" s="1407"/>
      <c r="FG18" s="1407"/>
      <c r="FH18" s="1407"/>
      <c r="FI18" s="1407"/>
      <c r="FJ18" s="1407"/>
      <c r="FK18" s="1407"/>
      <c r="FL18" s="1407"/>
      <c r="FM18" s="1407"/>
      <c r="FN18" s="1407"/>
      <c r="FO18" s="1407"/>
      <c r="FP18" s="1407"/>
      <c r="FQ18" s="1407"/>
      <c r="FR18" s="1407"/>
      <c r="FS18" s="1407"/>
      <c r="FT18" s="1407"/>
      <c r="FU18" s="1407"/>
      <c r="FV18" s="1407"/>
      <c r="FW18" s="1407"/>
      <c r="FX18" s="1407"/>
      <c r="FY18" s="1407"/>
      <c r="FZ18" s="1407"/>
      <c r="GA18" s="1407"/>
      <c r="GB18" s="1407"/>
      <c r="GC18" s="1407"/>
      <c r="GD18" s="1407"/>
      <c r="GE18" s="1407"/>
    </row>
    <row r="19" spans="1:187" s="1330" customFormat="1" ht="15.2" customHeight="1">
      <c r="B19" s="1331"/>
      <c r="C19" s="1332"/>
      <c r="E19" s="1463"/>
      <c r="F19" s="1463"/>
      <c r="G19" s="1517"/>
      <c r="H19" s="1517"/>
      <c r="I19" s="1463"/>
      <c r="J19" s="1463"/>
      <c r="K19" s="1463"/>
      <c r="L19" s="1411"/>
      <c r="M19" s="1412"/>
      <c r="N19" s="1407"/>
      <c r="O19" s="1407"/>
      <c r="P19" s="1407"/>
      <c r="Q19" s="1407"/>
      <c r="R19" s="1407"/>
      <c r="S19" s="1407"/>
      <c r="T19" s="1407"/>
      <c r="U19" s="1407"/>
      <c r="V19" s="1407"/>
      <c r="W19" s="1407"/>
      <c r="X19" s="1407"/>
      <c r="Y19" s="1407"/>
      <c r="Z19" s="1407"/>
      <c r="AA19" s="1407"/>
      <c r="AB19" s="1407"/>
      <c r="AC19" s="1407"/>
      <c r="AD19" s="1407"/>
      <c r="AE19" s="1407"/>
      <c r="AF19" s="1407"/>
      <c r="AG19" s="1407"/>
      <c r="AH19" s="1407"/>
      <c r="AI19" s="1407"/>
      <c r="AJ19" s="1407"/>
      <c r="AK19" s="1407"/>
      <c r="AL19" s="1407"/>
      <c r="AM19" s="1407"/>
      <c r="AN19" s="1407"/>
      <c r="AO19" s="1407"/>
      <c r="AP19" s="1407"/>
      <c r="AQ19" s="1407"/>
      <c r="AR19" s="1407"/>
      <c r="AS19" s="1407"/>
      <c r="AT19" s="1407"/>
      <c r="AU19" s="1407"/>
      <c r="AV19" s="1407"/>
      <c r="AW19" s="1407"/>
      <c r="AX19" s="1407"/>
      <c r="AY19" s="1407"/>
      <c r="AZ19" s="1407"/>
      <c r="BA19" s="1407"/>
      <c r="BB19" s="1407"/>
      <c r="BC19" s="1407"/>
      <c r="BD19" s="1407"/>
      <c r="BE19" s="1407"/>
      <c r="BF19" s="1407"/>
      <c r="BG19" s="1407"/>
      <c r="BH19" s="1407"/>
      <c r="BI19" s="1407"/>
      <c r="BJ19" s="1407"/>
      <c r="BK19" s="1407"/>
      <c r="BL19" s="1407"/>
      <c r="BM19" s="1407"/>
      <c r="BN19" s="1407"/>
      <c r="BO19" s="1407"/>
      <c r="BP19" s="1407"/>
      <c r="BQ19" s="1407"/>
      <c r="BR19" s="1407"/>
      <c r="BS19" s="1407"/>
      <c r="BT19" s="1407"/>
      <c r="BU19" s="1407"/>
      <c r="BV19" s="1407"/>
      <c r="BW19" s="1407"/>
      <c r="BX19" s="1407"/>
      <c r="BY19" s="1407"/>
      <c r="BZ19" s="1407"/>
      <c r="CA19" s="1407"/>
      <c r="CB19" s="1407"/>
      <c r="CC19" s="1407"/>
      <c r="CD19" s="1407"/>
      <c r="CE19" s="1407"/>
      <c r="CF19" s="1407"/>
      <c r="CG19" s="1407"/>
      <c r="CH19" s="1407"/>
      <c r="CI19" s="1407"/>
      <c r="CJ19" s="1407"/>
      <c r="CK19" s="1407"/>
      <c r="CL19" s="1407"/>
      <c r="CM19" s="1407"/>
      <c r="CN19" s="1407"/>
      <c r="CO19" s="1407"/>
      <c r="CP19" s="1407"/>
      <c r="CQ19" s="1407"/>
      <c r="CR19" s="1407"/>
      <c r="CS19" s="1407"/>
      <c r="CT19" s="1407"/>
      <c r="CU19" s="1407"/>
      <c r="CV19" s="1407"/>
      <c r="CW19" s="1407"/>
      <c r="CX19" s="1407"/>
      <c r="CY19" s="1407"/>
      <c r="CZ19" s="1407"/>
      <c r="DA19" s="1407"/>
      <c r="DB19" s="1407"/>
      <c r="DC19" s="1407"/>
      <c r="DD19" s="1407"/>
      <c r="DE19" s="1407"/>
      <c r="DF19" s="1407"/>
      <c r="DG19" s="1407"/>
      <c r="DH19" s="1407"/>
      <c r="DI19" s="1407"/>
      <c r="DJ19" s="1407"/>
      <c r="DK19" s="1407"/>
      <c r="DL19" s="1407"/>
      <c r="DM19" s="1407"/>
      <c r="DN19" s="1407"/>
      <c r="DO19" s="1407"/>
      <c r="DP19" s="1407"/>
      <c r="DQ19" s="1407"/>
      <c r="DR19" s="1407"/>
      <c r="DS19" s="1407"/>
      <c r="DT19" s="1407"/>
      <c r="DU19" s="1407"/>
      <c r="DV19" s="1407"/>
      <c r="DW19" s="1407"/>
      <c r="DX19" s="1407"/>
      <c r="DY19" s="1407"/>
      <c r="DZ19" s="1407"/>
      <c r="EA19" s="1407"/>
      <c r="EB19" s="1407"/>
      <c r="EC19" s="1407"/>
      <c r="ED19" s="1407"/>
      <c r="EE19" s="1407"/>
      <c r="EF19" s="1407"/>
      <c r="EG19" s="1407"/>
      <c r="EH19" s="1407"/>
      <c r="EI19" s="1407"/>
      <c r="EJ19" s="1407"/>
      <c r="EK19" s="1407"/>
      <c r="EL19" s="1407"/>
      <c r="EM19" s="1407"/>
      <c r="EN19" s="1407"/>
      <c r="EO19" s="1407"/>
      <c r="EP19" s="1407"/>
      <c r="EQ19" s="1407"/>
      <c r="ER19" s="1407"/>
      <c r="ES19" s="1407"/>
      <c r="ET19" s="1407"/>
      <c r="EU19" s="1407"/>
      <c r="EV19" s="1407"/>
      <c r="EW19" s="1407"/>
      <c r="EX19" s="1407"/>
      <c r="EY19" s="1407"/>
      <c r="EZ19" s="1407"/>
      <c r="FA19" s="1407"/>
      <c r="FB19" s="1407"/>
      <c r="FC19" s="1407"/>
      <c r="FD19" s="1407"/>
      <c r="FE19" s="1407"/>
      <c r="FF19" s="1407"/>
      <c r="FG19" s="1407"/>
      <c r="FH19" s="1407"/>
      <c r="FI19" s="1407"/>
      <c r="FJ19" s="1407"/>
      <c r="FK19" s="1407"/>
      <c r="FL19" s="1407"/>
      <c r="FM19" s="1407"/>
      <c r="FN19" s="1407"/>
      <c r="FO19" s="1407"/>
      <c r="FP19" s="1407"/>
      <c r="FQ19" s="1407"/>
      <c r="FR19" s="1407"/>
      <c r="FS19" s="1407"/>
      <c r="FT19" s="1407"/>
      <c r="FU19" s="1407"/>
      <c r="FV19" s="1407"/>
      <c r="FW19" s="1407"/>
      <c r="FX19" s="1407"/>
      <c r="FY19" s="1407"/>
      <c r="FZ19" s="1407"/>
      <c r="GA19" s="1407"/>
      <c r="GB19" s="1407"/>
      <c r="GC19" s="1407"/>
      <c r="GD19" s="1407"/>
      <c r="GE19" s="1407"/>
    </row>
    <row r="20" spans="1:187" s="1330" customFormat="1" ht="15.2" customHeight="1">
      <c r="B20" s="1409" t="s">
        <v>891</v>
      </c>
      <c r="C20" s="1332"/>
      <c r="E20" s="1463">
        <v>123456</v>
      </c>
      <c r="F20" s="1463">
        <v>123456</v>
      </c>
      <c r="G20" s="1463">
        <v>123456</v>
      </c>
      <c r="H20" s="1463">
        <v>123456</v>
      </c>
      <c r="I20" s="1463">
        <v>123456</v>
      </c>
      <c r="J20" s="1463">
        <v>123456</v>
      </c>
      <c r="K20" s="1463">
        <v>123456</v>
      </c>
      <c r="L20" s="1411"/>
      <c r="M20" s="1412"/>
      <c r="N20" s="1407"/>
      <c r="O20" s="1407"/>
      <c r="P20" s="1407"/>
      <c r="Q20" s="1407"/>
      <c r="R20" s="1407"/>
      <c r="S20" s="1407"/>
      <c r="T20" s="1407"/>
      <c r="U20" s="1407"/>
      <c r="V20" s="1407"/>
      <c r="W20" s="1407"/>
      <c r="X20" s="1407"/>
      <c r="Y20" s="1407"/>
      <c r="Z20" s="1407"/>
      <c r="AA20" s="1407"/>
      <c r="AB20" s="1407"/>
      <c r="AC20" s="1407"/>
      <c r="AD20" s="1407"/>
      <c r="AE20" s="1407"/>
      <c r="AF20" s="1407"/>
      <c r="AG20" s="1407"/>
      <c r="AH20" s="1407"/>
      <c r="AI20" s="1407"/>
      <c r="AJ20" s="1407"/>
      <c r="AK20" s="1407"/>
      <c r="AL20" s="1407"/>
      <c r="AM20" s="1407"/>
      <c r="AN20" s="1407"/>
      <c r="AO20" s="1407"/>
      <c r="AP20" s="1407"/>
      <c r="AQ20" s="1407"/>
      <c r="AR20" s="1407"/>
      <c r="AS20" s="1407"/>
      <c r="AT20" s="1407"/>
      <c r="AU20" s="1407"/>
      <c r="AV20" s="1407"/>
      <c r="AW20" s="1407"/>
      <c r="AX20" s="1407"/>
      <c r="AY20" s="1407"/>
      <c r="AZ20" s="1407"/>
      <c r="BA20" s="1407"/>
      <c r="BB20" s="1407"/>
      <c r="BC20" s="1407"/>
      <c r="BD20" s="1407"/>
      <c r="BE20" s="1407"/>
      <c r="BF20" s="1407"/>
      <c r="BG20" s="1407"/>
      <c r="BH20" s="1407"/>
      <c r="BI20" s="1407"/>
      <c r="BJ20" s="1407"/>
      <c r="BK20" s="1407"/>
      <c r="BL20" s="1407"/>
      <c r="BM20" s="1407"/>
      <c r="BN20" s="1407"/>
      <c r="BO20" s="1407"/>
      <c r="BP20" s="1407"/>
      <c r="BQ20" s="1407"/>
      <c r="BR20" s="1407"/>
      <c r="BS20" s="1407"/>
      <c r="BT20" s="1407"/>
      <c r="BU20" s="1407"/>
      <c r="BV20" s="1407"/>
      <c r="BW20" s="1407"/>
      <c r="BX20" s="1407"/>
      <c r="BY20" s="1407"/>
      <c r="BZ20" s="1407"/>
      <c r="CA20" s="1407"/>
      <c r="CB20" s="1407"/>
      <c r="CC20" s="1407"/>
      <c r="CD20" s="1407"/>
      <c r="CE20" s="1407"/>
      <c r="CF20" s="1407"/>
      <c r="CG20" s="1407"/>
      <c r="CH20" s="1407"/>
      <c r="CI20" s="1407"/>
      <c r="CJ20" s="1407"/>
      <c r="CK20" s="1407"/>
      <c r="CL20" s="1407"/>
      <c r="CM20" s="1407"/>
      <c r="CN20" s="1407"/>
      <c r="CO20" s="1407"/>
      <c r="CP20" s="1407"/>
      <c r="CQ20" s="1407"/>
      <c r="CR20" s="1407"/>
      <c r="CS20" s="1407"/>
      <c r="CT20" s="1407"/>
      <c r="CU20" s="1407"/>
      <c r="CV20" s="1407"/>
      <c r="CW20" s="1407"/>
      <c r="CX20" s="1407"/>
      <c r="CY20" s="1407"/>
      <c r="CZ20" s="1407"/>
      <c r="DA20" s="1407"/>
      <c r="DB20" s="1407"/>
      <c r="DC20" s="1407"/>
      <c r="DD20" s="1407"/>
      <c r="DE20" s="1407"/>
      <c r="DF20" s="1407"/>
      <c r="DG20" s="1407"/>
      <c r="DH20" s="1407"/>
      <c r="DI20" s="1407"/>
      <c r="DJ20" s="1407"/>
      <c r="DK20" s="1407"/>
      <c r="DL20" s="1407"/>
      <c r="DM20" s="1407"/>
      <c r="DN20" s="1407"/>
      <c r="DO20" s="1407"/>
      <c r="DP20" s="1407"/>
      <c r="DQ20" s="1407"/>
      <c r="DR20" s="1407"/>
      <c r="DS20" s="1407"/>
      <c r="DT20" s="1407"/>
      <c r="DU20" s="1407"/>
      <c r="DV20" s="1407"/>
      <c r="DW20" s="1407"/>
      <c r="DX20" s="1407"/>
      <c r="DY20" s="1407"/>
      <c r="DZ20" s="1407"/>
      <c r="EA20" s="1407"/>
      <c r="EB20" s="1407"/>
      <c r="EC20" s="1407"/>
      <c r="ED20" s="1407"/>
      <c r="EE20" s="1407"/>
      <c r="EF20" s="1407"/>
      <c r="EG20" s="1407"/>
      <c r="EH20" s="1407"/>
      <c r="EI20" s="1407"/>
      <c r="EJ20" s="1407"/>
      <c r="EK20" s="1407"/>
      <c r="EL20" s="1407"/>
      <c r="EM20" s="1407"/>
      <c r="EN20" s="1407"/>
      <c r="EO20" s="1407"/>
      <c r="EP20" s="1407"/>
      <c r="EQ20" s="1407"/>
      <c r="ER20" s="1407"/>
      <c r="ES20" s="1407"/>
      <c r="ET20" s="1407"/>
      <c r="EU20" s="1407"/>
      <c r="EV20" s="1407"/>
      <c r="EW20" s="1407"/>
      <c r="EX20" s="1407"/>
      <c r="EY20" s="1407"/>
      <c r="EZ20" s="1407"/>
      <c r="FA20" s="1407"/>
      <c r="FB20" s="1407"/>
      <c r="FC20" s="1407"/>
      <c r="FD20" s="1407"/>
      <c r="FE20" s="1407"/>
      <c r="FF20" s="1407"/>
      <c r="FG20" s="1407"/>
      <c r="FH20" s="1407"/>
      <c r="FI20" s="1407"/>
      <c r="FJ20" s="1407"/>
      <c r="FK20" s="1407"/>
      <c r="FL20" s="1407"/>
      <c r="FM20" s="1407"/>
      <c r="FN20" s="1407"/>
      <c r="FO20" s="1407"/>
      <c r="FP20" s="1407"/>
      <c r="FQ20" s="1407"/>
      <c r="FR20" s="1407"/>
      <c r="FS20" s="1407"/>
      <c r="FT20" s="1407"/>
      <c r="FU20" s="1407"/>
      <c r="FV20" s="1407"/>
      <c r="FW20" s="1407"/>
      <c r="FX20" s="1407"/>
      <c r="FY20" s="1407"/>
      <c r="FZ20" s="1407"/>
      <c r="GA20" s="1407"/>
      <c r="GB20" s="1407"/>
      <c r="GC20" s="1407"/>
      <c r="GD20" s="1407"/>
      <c r="GE20" s="1407"/>
    </row>
    <row r="21" spans="1:187" s="1330" customFormat="1" ht="15.2" customHeight="1">
      <c r="B21" s="1331" t="s">
        <v>892</v>
      </c>
      <c r="C21" s="1332"/>
      <c r="E21" s="1463"/>
      <c r="F21" s="1463"/>
      <c r="G21" s="1517"/>
      <c r="H21" s="1517"/>
      <c r="I21" s="1463"/>
      <c r="J21" s="1463"/>
      <c r="K21" s="1463"/>
      <c r="L21" s="1411"/>
      <c r="M21" s="1412"/>
      <c r="N21" s="1407"/>
      <c r="O21" s="1407"/>
      <c r="P21" s="1407"/>
      <c r="Q21" s="1407"/>
      <c r="R21" s="1407"/>
      <c r="S21" s="1407"/>
      <c r="T21" s="1407"/>
      <c r="U21" s="1407"/>
      <c r="V21" s="1407"/>
      <c r="W21" s="1407"/>
      <c r="X21" s="1407"/>
      <c r="Y21" s="1407"/>
      <c r="Z21" s="1407"/>
      <c r="AA21" s="1407"/>
      <c r="AB21" s="1407"/>
      <c r="AC21" s="1407"/>
      <c r="AD21" s="1407"/>
      <c r="AE21" s="1407"/>
      <c r="AF21" s="1407"/>
      <c r="AG21" s="1407"/>
      <c r="AH21" s="1407"/>
      <c r="AI21" s="1407"/>
      <c r="AJ21" s="1407"/>
      <c r="AK21" s="1407"/>
      <c r="AL21" s="1407"/>
      <c r="AM21" s="1407"/>
      <c r="AN21" s="1407"/>
      <c r="AO21" s="1407"/>
      <c r="AP21" s="1407"/>
      <c r="AQ21" s="1407"/>
      <c r="AR21" s="1407"/>
      <c r="AS21" s="1407"/>
      <c r="AT21" s="1407"/>
      <c r="AU21" s="1407"/>
      <c r="AV21" s="1407"/>
      <c r="AW21" s="1407"/>
      <c r="AX21" s="1407"/>
      <c r="AY21" s="1407"/>
      <c r="AZ21" s="1407"/>
      <c r="BA21" s="1407"/>
      <c r="BB21" s="1407"/>
      <c r="BC21" s="1407"/>
      <c r="BD21" s="1407"/>
      <c r="BE21" s="1407"/>
      <c r="BF21" s="1407"/>
      <c r="BG21" s="1407"/>
      <c r="BH21" s="1407"/>
      <c r="BI21" s="1407"/>
      <c r="BJ21" s="1407"/>
      <c r="BK21" s="1407"/>
      <c r="BL21" s="1407"/>
      <c r="BM21" s="1407"/>
      <c r="BN21" s="1407"/>
      <c r="BO21" s="1407"/>
      <c r="BP21" s="1407"/>
      <c r="BQ21" s="1407"/>
      <c r="BR21" s="1407"/>
      <c r="BS21" s="1407"/>
      <c r="BT21" s="1407"/>
      <c r="BU21" s="1407"/>
      <c r="BV21" s="1407"/>
      <c r="BW21" s="1407"/>
      <c r="BX21" s="1407"/>
      <c r="BY21" s="1407"/>
      <c r="BZ21" s="1407"/>
      <c r="CA21" s="1407"/>
      <c r="CB21" s="1407"/>
      <c r="CC21" s="1407"/>
      <c r="CD21" s="1407"/>
      <c r="CE21" s="1407"/>
      <c r="CF21" s="1407"/>
      <c r="CG21" s="1407"/>
      <c r="CH21" s="1407"/>
      <c r="CI21" s="1407"/>
      <c r="CJ21" s="1407"/>
      <c r="CK21" s="1407"/>
      <c r="CL21" s="1407"/>
      <c r="CM21" s="1407"/>
      <c r="CN21" s="1407"/>
      <c r="CO21" s="1407"/>
      <c r="CP21" s="1407"/>
      <c r="CQ21" s="1407"/>
      <c r="CR21" s="1407"/>
      <c r="CS21" s="1407"/>
      <c r="CT21" s="1407"/>
      <c r="CU21" s="1407"/>
      <c r="CV21" s="1407"/>
      <c r="CW21" s="1407"/>
      <c r="CX21" s="1407"/>
      <c r="CY21" s="1407"/>
      <c r="CZ21" s="1407"/>
      <c r="DA21" s="1407"/>
      <c r="DB21" s="1407"/>
      <c r="DC21" s="1407"/>
      <c r="DD21" s="1407"/>
      <c r="DE21" s="1407"/>
      <c r="DF21" s="1407"/>
      <c r="DG21" s="1407"/>
      <c r="DH21" s="1407"/>
      <c r="DI21" s="1407"/>
      <c r="DJ21" s="1407"/>
      <c r="DK21" s="1407"/>
      <c r="DL21" s="1407"/>
      <c r="DM21" s="1407"/>
      <c r="DN21" s="1407"/>
      <c r="DO21" s="1407"/>
      <c r="DP21" s="1407"/>
      <c r="DQ21" s="1407"/>
      <c r="DR21" s="1407"/>
      <c r="DS21" s="1407"/>
      <c r="DT21" s="1407"/>
      <c r="DU21" s="1407"/>
      <c r="DV21" s="1407"/>
      <c r="DW21" s="1407"/>
      <c r="DX21" s="1407"/>
      <c r="DY21" s="1407"/>
      <c r="DZ21" s="1407"/>
      <c r="EA21" s="1407"/>
      <c r="EB21" s="1407"/>
      <c r="EC21" s="1407"/>
      <c r="ED21" s="1407"/>
      <c r="EE21" s="1407"/>
      <c r="EF21" s="1407"/>
      <c r="EG21" s="1407"/>
      <c r="EH21" s="1407"/>
      <c r="EI21" s="1407"/>
      <c r="EJ21" s="1407"/>
      <c r="EK21" s="1407"/>
      <c r="EL21" s="1407"/>
      <c r="EM21" s="1407"/>
      <c r="EN21" s="1407"/>
      <c r="EO21" s="1407"/>
      <c r="EP21" s="1407"/>
      <c r="EQ21" s="1407"/>
      <c r="ER21" s="1407"/>
      <c r="ES21" s="1407"/>
      <c r="ET21" s="1407"/>
      <c r="EU21" s="1407"/>
      <c r="EV21" s="1407"/>
      <c r="EW21" s="1407"/>
      <c r="EX21" s="1407"/>
      <c r="EY21" s="1407"/>
      <c r="EZ21" s="1407"/>
      <c r="FA21" s="1407"/>
      <c r="FB21" s="1407"/>
      <c r="FC21" s="1407"/>
      <c r="FD21" s="1407"/>
      <c r="FE21" s="1407"/>
      <c r="FF21" s="1407"/>
      <c r="FG21" s="1407"/>
      <c r="FH21" s="1407"/>
      <c r="FI21" s="1407"/>
      <c r="FJ21" s="1407"/>
      <c r="FK21" s="1407"/>
      <c r="FL21" s="1407"/>
      <c r="FM21" s="1407"/>
      <c r="FN21" s="1407"/>
      <c r="FO21" s="1407"/>
      <c r="FP21" s="1407"/>
      <c r="FQ21" s="1407"/>
      <c r="FR21" s="1407"/>
      <c r="FS21" s="1407"/>
      <c r="FT21" s="1407"/>
      <c r="FU21" s="1407"/>
      <c r="FV21" s="1407"/>
      <c r="FW21" s="1407"/>
      <c r="FX21" s="1407"/>
      <c r="FY21" s="1407"/>
      <c r="FZ21" s="1407"/>
      <c r="GA21" s="1407"/>
      <c r="GB21" s="1407"/>
      <c r="GC21" s="1407"/>
      <c r="GD21" s="1407"/>
      <c r="GE21" s="1407"/>
    </row>
    <row r="22" spans="1:187" s="1330" customFormat="1" ht="15.2" customHeight="1">
      <c r="B22" s="1331"/>
      <c r="C22" s="1332"/>
      <c r="E22" s="1463"/>
      <c r="F22" s="1463"/>
      <c r="G22" s="1517"/>
      <c r="H22" s="1517"/>
      <c r="I22" s="1463"/>
      <c r="J22" s="1463"/>
      <c r="K22" s="1463"/>
      <c r="L22" s="1411"/>
      <c r="M22" s="1412"/>
      <c r="N22" s="1407"/>
      <c r="O22" s="1407"/>
      <c r="P22" s="1407"/>
      <c r="Q22" s="1407"/>
      <c r="R22" s="1407"/>
      <c r="S22" s="1407"/>
      <c r="T22" s="1407"/>
      <c r="U22" s="1407"/>
      <c r="V22" s="1407"/>
      <c r="W22" s="1407"/>
      <c r="X22" s="1407"/>
      <c r="Y22" s="1407"/>
      <c r="Z22" s="1407"/>
      <c r="AA22" s="1407"/>
      <c r="AB22" s="1407"/>
      <c r="AC22" s="1407"/>
      <c r="AD22" s="1407"/>
      <c r="AE22" s="1407"/>
      <c r="AF22" s="1407"/>
      <c r="AG22" s="1407"/>
      <c r="AH22" s="1407"/>
      <c r="AI22" s="1407"/>
      <c r="AJ22" s="1407"/>
      <c r="AK22" s="1407"/>
      <c r="AL22" s="1407"/>
      <c r="AM22" s="1407"/>
      <c r="AN22" s="1407"/>
      <c r="AO22" s="1407"/>
      <c r="AP22" s="1407"/>
      <c r="AQ22" s="1407"/>
      <c r="AR22" s="1407"/>
      <c r="AS22" s="1407"/>
      <c r="AT22" s="1407"/>
      <c r="AU22" s="1407"/>
      <c r="AV22" s="1407"/>
      <c r="AW22" s="1407"/>
      <c r="AX22" s="1407"/>
      <c r="AY22" s="1407"/>
      <c r="AZ22" s="1407"/>
      <c r="BA22" s="1407"/>
      <c r="BB22" s="1407"/>
      <c r="BC22" s="1407"/>
      <c r="BD22" s="1407"/>
      <c r="BE22" s="1407"/>
      <c r="BF22" s="1407"/>
      <c r="BG22" s="1407"/>
      <c r="BH22" s="1407"/>
      <c r="BI22" s="1407"/>
      <c r="BJ22" s="1407"/>
      <c r="BK22" s="1407"/>
      <c r="BL22" s="1407"/>
      <c r="BM22" s="1407"/>
      <c r="BN22" s="1407"/>
      <c r="BO22" s="1407"/>
      <c r="BP22" s="1407"/>
      <c r="BQ22" s="1407"/>
      <c r="BR22" s="1407"/>
      <c r="BS22" s="1407"/>
      <c r="BT22" s="1407"/>
      <c r="BU22" s="1407"/>
      <c r="BV22" s="1407"/>
      <c r="BW22" s="1407"/>
      <c r="BX22" s="1407"/>
      <c r="BY22" s="1407"/>
      <c r="BZ22" s="1407"/>
      <c r="CA22" s="1407"/>
      <c r="CB22" s="1407"/>
      <c r="CC22" s="1407"/>
      <c r="CD22" s="1407"/>
      <c r="CE22" s="1407"/>
      <c r="CF22" s="1407"/>
      <c r="CG22" s="1407"/>
      <c r="CH22" s="1407"/>
      <c r="CI22" s="1407"/>
      <c r="CJ22" s="1407"/>
      <c r="CK22" s="1407"/>
      <c r="CL22" s="1407"/>
      <c r="CM22" s="1407"/>
      <c r="CN22" s="1407"/>
      <c r="CO22" s="1407"/>
      <c r="CP22" s="1407"/>
      <c r="CQ22" s="1407"/>
      <c r="CR22" s="1407"/>
      <c r="CS22" s="1407"/>
      <c r="CT22" s="1407"/>
      <c r="CU22" s="1407"/>
      <c r="CV22" s="1407"/>
      <c r="CW22" s="1407"/>
      <c r="CX22" s="1407"/>
      <c r="CY22" s="1407"/>
      <c r="CZ22" s="1407"/>
      <c r="DA22" s="1407"/>
      <c r="DB22" s="1407"/>
      <c r="DC22" s="1407"/>
      <c r="DD22" s="1407"/>
      <c r="DE22" s="1407"/>
      <c r="DF22" s="1407"/>
      <c r="DG22" s="1407"/>
      <c r="DH22" s="1407"/>
      <c r="DI22" s="1407"/>
      <c r="DJ22" s="1407"/>
      <c r="DK22" s="1407"/>
      <c r="DL22" s="1407"/>
      <c r="DM22" s="1407"/>
      <c r="DN22" s="1407"/>
      <c r="DO22" s="1407"/>
      <c r="DP22" s="1407"/>
      <c r="DQ22" s="1407"/>
      <c r="DR22" s="1407"/>
      <c r="DS22" s="1407"/>
      <c r="DT22" s="1407"/>
      <c r="DU22" s="1407"/>
      <c r="DV22" s="1407"/>
      <c r="DW22" s="1407"/>
      <c r="DX22" s="1407"/>
      <c r="DY22" s="1407"/>
      <c r="DZ22" s="1407"/>
      <c r="EA22" s="1407"/>
      <c r="EB22" s="1407"/>
      <c r="EC22" s="1407"/>
      <c r="ED22" s="1407"/>
      <c r="EE22" s="1407"/>
      <c r="EF22" s="1407"/>
      <c r="EG22" s="1407"/>
      <c r="EH22" s="1407"/>
      <c r="EI22" s="1407"/>
      <c r="EJ22" s="1407"/>
      <c r="EK22" s="1407"/>
      <c r="EL22" s="1407"/>
      <c r="EM22" s="1407"/>
      <c r="EN22" s="1407"/>
      <c r="EO22" s="1407"/>
      <c r="EP22" s="1407"/>
      <c r="EQ22" s="1407"/>
      <c r="ER22" s="1407"/>
      <c r="ES22" s="1407"/>
      <c r="ET22" s="1407"/>
      <c r="EU22" s="1407"/>
      <c r="EV22" s="1407"/>
      <c r="EW22" s="1407"/>
      <c r="EX22" s="1407"/>
      <c r="EY22" s="1407"/>
      <c r="EZ22" s="1407"/>
      <c r="FA22" s="1407"/>
      <c r="FB22" s="1407"/>
      <c r="FC22" s="1407"/>
      <c r="FD22" s="1407"/>
      <c r="FE22" s="1407"/>
      <c r="FF22" s="1407"/>
      <c r="FG22" s="1407"/>
      <c r="FH22" s="1407"/>
      <c r="FI22" s="1407"/>
      <c r="FJ22" s="1407"/>
      <c r="FK22" s="1407"/>
      <c r="FL22" s="1407"/>
      <c r="FM22" s="1407"/>
      <c r="FN22" s="1407"/>
      <c r="FO22" s="1407"/>
      <c r="FP22" s="1407"/>
      <c r="FQ22" s="1407"/>
      <c r="FR22" s="1407"/>
      <c r="FS22" s="1407"/>
      <c r="FT22" s="1407"/>
      <c r="FU22" s="1407"/>
      <c r="FV22" s="1407"/>
      <c r="FW22" s="1407"/>
      <c r="FX22" s="1407"/>
      <c r="FY22" s="1407"/>
      <c r="FZ22" s="1407"/>
      <c r="GA22" s="1407"/>
      <c r="GB22" s="1407"/>
      <c r="GC22" s="1407"/>
      <c r="GD22" s="1407"/>
      <c r="GE22" s="1407"/>
    </row>
    <row r="23" spans="1:187" s="1330" customFormat="1" ht="15.2" customHeight="1">
      <c r="B23" s="1409" t="s">
        <v>893</v>
      </c>
      <c r="C23" s="1332"/>
      <c r="E23" s="1463">
        <v>123456</v>
      </c>
      <c r="F23" s="1463">
        <v>123456</v>
      </c>
      <c r="G23" s="1463">
        <v>123456</v>
      </c>
      <c r="H23" s="1463">
        <v>123456</v>
      </c>
      <c r="I23" s="1463">
        <v>123456</v>
      </c>
      <c r="J23" s="1463">
        <v>123456</v>
      </c>
      <c r="K23" s="1463">
        <v>123456</v>
      </c>
      <c r="L23" s="1411"/>
      <c r="M23" s="1412"/>
      <c r="N23" s="1407"/>
      <c r="O23" s="1407"/>
      <c r="P23" s="1407"/>
      <c r="Q23" s="1407"/>
      <c r="R23" s="1407"/>
      <c r="S23" s="1407"/>
      <c r="T23" s="1407"/>
      <c r="U23" s="1407"/>
      <c r="V23" s="1407"/>
      <c r="W23" s="1407"/>
      <c r="X23" s="1407"/>
      <c r="Y23" s="1407"/>
      <c r="Z23" s="1407"/>
      <c r="AA23" s="1407"/>
      <c r="AB23" s="1407"/>
      <c r="AC23" s="1407"/>
      <c r="AD23" s="1407"/>
      <c r="AE23" s="1407"/>
      <c r="AF23" s="1407"/>
      <c r="AG23" s="1407"/>
      <c r="AH23" s="1407"/>
      <c r="AI23" s="1407"/>
      <c r="AJ23" s="1407"/>
      <c r="AK23" s="1407"/>
      <c r="AL23" s="1407"/>
      <c r="AM23" s="1407"/>
      <c r="AN23" s="1407"/>
      <c r="AO23" s="1407"/>
      <c r="AP23" s="1407"/>
      <c r="AQ23" s="1407"/>
      <c r="AR23" s="1407"/>
      <c r="AS23" s="1407"/>
      <c r="AT23" s="1407"/>
      <c r="AU23" s="1407"/>
      <c r="AV23" s="1407"/>
      <c r="AW23" s="1407"/>
      <c r="AX23" s="1407"/>
      <c r="AY23" s="1407"/>
      <c r="AZ23" s="1407"/>
      <c r="BA23" s="1407"/>
      <c r="BB23" s="1407"/>
      <c r="BC23" s="1407"/>
      <c r="BD23" s="1407"/>
      <c r="BE23" s="1407"/>
      <c r="BF23" s="1407"/>
      <c r="BG23" s="1407"/>
      <c r="BH23" s="1407"/>
      <c r="BI23" s="1407"/>
      <c r="BJ23" s="1407"/>
      <c r="BK23" s="1407"/>
      <c r="BL23" s="1407"/>
      <c r="BM23" s="1407"/>
      <c r="BN23" s="1407"/>
      <c r="BO23" s="1407"/>
      <c r="BP23" s="1407"/>
      <c r="BQ23" s="1407"/>
      <c r="BR23" s="1407"/>
      <c r="BS23" s="1407"/>
      <c r="BT23" s="1407"/>
      <c r="BU23" s="1407"/>
      <c r="BV23" s="1407"/>
      <c r="BW23" s="1407"/>
      <c r="BX23" s="1407"/>
      <c r="BY23" s="1407"/>
      <c r="BZ23" s="1407"/>
      <c r="CA23" s="1407"/>
      <c r="CB23" s="1407"/>
      <c r="CC23" s="1407"/>
      <c r="CD23" s="1407"/>
      <c r="CE23" s="1407"/>
      <c r="CF23" s="1407"/>
      <c r="CG23" s="1407"/>
      <c r="CH23" s="1407"/>
      <c r="CI23" s="1407"/>
      <c r="CJ23" s="1407"/>
      <c r="CK23" s="1407"/>
      <c r="CL23" s="1407"/>
      <c r="CM23" s="1407"/>
      <c r="CN23" s="1407"/>
      <c r="CO23" s="1407"/>
      <c r="CP23" s="1407"/>
      <c r="CQ23" s="1407"/>
      <c r="CR23" s="1407"/>
      <c r="CS23" s="1407"/>
      <c r="CT23" s="1407"/>
      <c r="CU23" s="1407"/>
      <c r="CV23" s="1407"/>
      <c r="CW23" s="1407"/>
      <c r="CX23" s="1407"/>
      <c r="CY23" s="1407"/>
      <c r="CZ23" s="1407"/>
      <c r="DA23" s="1407"/>
      <c r="DB23" s="1407"/>
      <c r="DC23" s="1407"/>
      <c r="DD23" s="1407"/>
      <c r="DE23" s="1407"/>
      <c r="DF23" s="1407"/>
      <c r="DG23" s="1407"/>
      <c r="DH23" s="1407"/>
      <c r="DI23" s="1407"/>
      <c r="DJ23" s="1407"/>
      <c r="DK23" s="1407"/>
      <c r="DL23" s="1407"/>
      <c r="DM23" s="1407"/>
      <c r="DN23" s="1407"/>
      <c r="DO23" s="1407"/>
      <c r="DP23" s="1407"/>
      <c r="DQ23" s="1407"/>
      <c r="DR23" s="1407"/>
      <c r="DS23" s="1407"/>
      <c r="DT23" s="1407"/>
      <c r="DU23" s="1407"/>
      <c r="DV23" s="1407"/>
      <c r="DW23" s="1407"/>
      <c r="DX23" s="1407"/>
      <c r="DY23" s="1407"/>
      <c r="DZ23" s="1407"/>
      <c r="EA23" s="1407"/>
      <c r="EB23" s="1407"/>
      <c r="EC23" s="1407"/>
      <c r="ED23" s="1407"/>
      <c r="EE23" s="1407"/>
      <c r="EF23" s="1407"/>
      <c r="EG23" s="1407"/>
      <c r="EH23" s="1407"/>
      <c r="EI23" s="1407"/>
      <c r="EJ23" s="1407"/>
      <c r="EK23" s="1407"/>
      <c r="EL23" s="1407"/>
      <c r="EM23" s="1407"/>
      <c r="EN23" s="1407"/>
      <c r="EO23" s="1407"/>
      <c r="EP23" s="1407"/>
      <c r="EQ23" s="1407"/>
      <c r="ER23" s="1407"/>
      <c r="ES23" s="1407"/>
      <c r="ET23" s="1407"/>
      <c r="EU23" s="1407"/>
      <c r="EV23" s="1407"/>
      <c r="EW23" s="1407"/>
      <c r="EX23" s="1407"/>
      <c r="EY23" s="1407"/>
      <c r="EZ23" s="1407"/>
      <c r="FA23" s="1407"/>
      <c r="FB23" s="1407"/>
      <c r="FC23" s="1407"/>
      <c r="FD23" s="1407"/>
      <c r="FE23" s="1407"/>
      <c r="FF23" s="1407"/>
      <c r="FG23" s="1407"/>
      <c r="FH23" s="1407"/>
      <c r="FI23" s="1407"/>
      <c r="FJ23" s="1407"/>
      <c r="FK23" s="1407"/>
      <c r="FL23" s="1407"/>
      <c r="FM23" s="1407"/>
      <c r="FN23" s="1407"/>
      <c r="FO23" s="1407"/>
      <c r="FP23" s="1407"/>
      <c r="FQ23" s="1407"/>
      <c r="FR23" s="1407"/>
      <c r="FS23" s="1407"/>
      <c r="FT23" s="1407"/>
      <c r="FU23" s="1407"/>
      <c r="FV23" s="1407"/>
      <c r="FW23" s="1407"/>
      <c r="FX23" s="1407"/>
      <c r="FY23" s="1407"/>
      <c r="FZ23" s="1407"/>
      <c r="GA23" s="1407"/>
      <c r="GB23" s="1407"/>
      <c r="GC23" s="1407"/>
      <c r="GD23" s="1407"/>
      <c r="GE23" s="1407"/>
    </row>
    <row r="24" spans="1:187" s="1330" customFormat="1" ht="15.2" customHeight="1">
      <c r="B24" s="1331" t="s">
        <v>894</v>
      </c>
      <c r="C24" s="1332"/>
      <c r="E24" s="1463"/>
      <c r="F24" s="1463"/>
      <c r="G24" s="1517"/>
      <c r="H24" s="1517"/>
      <c r="I24" s="1463"/>
      <c r="J24" s="1463"/>
      <c r="K24" s="1463"/>
      <c r="L24" s="1411"/>
      <c r="M24" s="1412"/>
      <c r="N24" s="1407"/>
      <c r="O24" s="1407"/>
      <c r="P24" s="1407"/>
      <c r="Q24" s="1407"/>
      <c r="R24" s="1407"/>
      <c r="S24" s="1407"/>
      <c r="T24" s="1407"/>
      <c r="U24" s="1407"/>
      <c r="V24" s="1407"/>
      <c r="W24" s="1407"/>
      <c r="X24" s="1407"/>
      <c r="Y24" s="1407"/>
      <c r="Z24" s="1407"/>
      <c r="AA24" s="1407"/>
      <c r="AB24" s="1407"/>
      <c r="AC24" s="1407"/>
      <c r="AD24" s="1407"/>
      <c r="AE24" s="1407"/>
      <c r="AF24" s="1407"/>
      <c r="AG24" s="1407"/>
      <c r="AH24" s="1407"/>
      <c r="AI24" s="1407"/>
      <c r="AJ24" s="1407"/>
      <c r="AK24" s="1407"/>
      <c r="AL24" s="1407"/>
      <c r="AM24" s="1407"/>
      <c r="AN24" s="1407"/>
      <c r="AO24" s="1407"/>
      <c r="AP24" s="1407"/>
      <c r="AQ24" s="1407"/>
      <c r="AR24" s="1407"/>
      <c r="AS24" s="1407"/>
      <c r="AT24" s="1407"/>
      <c r="AU24" s="1407"/>
      <c r="AV24" s="1407"/>
      <c r="AW24" s="1407"/>
      <c r="AX24" s="1407"/>
      <c r="AY24" s="1407"/>
      <c r="AZ24" s="1407"/>
      <c r="BA24" s="1407"/>
      <c r="BB24" s="1407"/>
      <c r="BC24" s="1407"/>
      <c r="BD24" s="1407"/>
      <c r="BE24" s="1407"/>
      <c r="BF24" s="1407"/>
      <c r="BG24" s="1407"/>
      <c r="BH24" s="1407"/>
      <c r="BI24" s="1407"/>
      <c r="BJ24" s="1407"/>
      <c r="BK24" s="1407"/>
      <c r="BL24" s="1407"/>
      <c r="BM24" s="1407"/>
      <c r="BN24" s="1407"/>
      <c r="BO24" s="1407"/>
      <c r="BP24" s="1407"/>
      <c r="BQ24" s="1407"/>
      <c r="BR24" s="1407"/>
      <c r="BS24" s="1407"/>
      <c r="BT24" s="1407"/>
      <c r="BU24" s="1407"/>
      <c r="BV24" s="1407"/>
      <c r="BW24" s="1407"/>
      <c r="BX24" s="1407"/>
      <c r="BY24" s="1407"/>
      <c r="BZ24" s="1407"/>
      <c r="CA24" s="1407"/>
      <c r="CB24" s="1407"/>
      <c r="CC24" s="1407"/>
      <c r="CD24" s="1407"/>
      <c r="CE24" s="1407"/>
      <c r="CF24" s="1407"/>
      <c r="CG24" s="1407"/>
      <c r="CH24" s="1407"/>
      <c r="CI24" s="1407"/>
      <c r="CJ24" s="1407"/>
      <c r="CK24" s="1407"/>
      <c r="CL24" s="1407"/>
      <c r="CM24" s="1407"/>
      <c r="CN24" s="1407"/>
      <c r="CO24" s="1407"/>
      <c r="CP24" s="1407"/>
      <c r="CQ24" s="1407"/>
      <c r="CR24" s="1407"/>
      <c r="CS24" s="1407"/>
      <c r="CT24" s="1407"/>
      <c r="CU24" s="1407"/>
      <c r="CV24" s="1407"/>
      <c r="CW24" s="1407"/>
      <c r="CX24" s="1407"/>
      <c r="CY24" s="1407"/>
      <c r="CZ24" s="1407"/>
      <c r="DA24" s="1407"/>
      <c r="DB24" s="1407"/>
      <c r="DC24" s="1407"/>
      <c r="DD24" s="1407"/>
      <c r="DE24" s="1407"/>
      <c r="DF24" s="1407"/>
      <c r="DG24" s="1407"/>
      <c r="DH24" s="1407"/>
      <c r="DI24" s="1407"/>
      <c r="DJ24" s="1407"/>
      <c r="DK24" s="1407"/>
      <c r="DL24" s="1407"/>
      <c r="DM24" s="1407"/>
      <c r="DN24" s="1407"/>
      <c r="DO24" s="1407"/>
      <c r="DP24" s="1407"/>
      <c r="DQ24" s="1407"/>
      <c r="DR24" s="1407"/>
      <c r="DS24" s="1407"/>
      <c r="DT24" s="1407"/>
      <c r="DU24" s="1407"/>
      <c r="DV24" s="1407"/>
      <c r="DW24" s="1407"/>
      <c r="DX24" s="1407"/>
      <c r="DY24" s="1407"/>
      <c r="DZ24" s="1407"/>
      <c r="EA24" s="1407"/>
      <c r="EB24" s="1407"/>
      <c r="EC24" s="1407"/>
      <c r="ED24" s="1407"/>
      <c r="EE24" s="1407"/>
      <c r="EF24" s="1407"/>
      <c r="EG24" s="1407"/>
      <c r="EH24" s="1407"/>
      <c r="EI24" s="1407"/>
      <c r="EJ24" s="1407"/>
      <c r="EK24" s="1407"/>
      <c r="EL24" s="1407"/>
      <c r="EM24" s="1407"/>
      <c r="EN24" s="1407"/>
      <c r="EO24" s="1407"/>
      <c r="EP24" s="1407"/>
      <c r="EQ24" s="1407"/>
      <c r="ER24" s="1407"/>
      <c r="ES24" s="1407"/>
      <c r="ET24" s="1407"/>
      <c r="EU24" s="1407"/>
      <c r="EV24" s="1407"/>
      <c r="EW24" s="1407"/>
      <c r="EX24" s="1407"/>
      <c r="EY24" s="1407"/>
      <c r="EZ24" s="1407"/>
      <c r="FA24" s="1407"/>
      <c r="FB24" s="1407"/>
      <c r="FC24" s="1407"/>
      <c r="FD24" s="1407"/>
      <c r="FE24" s="1407"/>
      <c r="FF24" s="1407"/>
      <c r="FG24" s="1407"/>
      <c r="FH24" s="1407"/>
      <c r="FI24" s="1407"/>
      <c r="FJ24" s="1407"/>
      <c r="FK24" s="1407"/>
      <c r="FL24" s="1407"/>
      <c r="FM24" s="1407"/>
      <c r="FN24" s="1407"/>
      <c r="FO24" s="1407"/>
      <c r="FP24" s="1407"/>
      <c r="FQ24" s="1407"/>
      <c r="FR24" s="1407"/>
      <c r="FS24" s="1407"/>
      <c r="FT24" s="1407"/>
      <c r="FU24" s="1407"/>
      <c r="FV24" s="1407"/>
      <c r="FW24" s="1407"/>
      <c r="FX24" s="1407"/>
      <c r="FY24" s="1407"/>
      <c r="FZ24" s="1407"/>
      <c r="GA24" s="1407"/>
      <c r="GB24" s="1407"/>
      <c r="GC24" s="1407"/>
      <c r="GD24" s="1407"/>
      <c r="GE24" s="1407"/>
    </row>
    <row r="25" spans="1:187" s="1330" customFormat="1" ht="15.2" customHeight="1">
      <c r="B25" s="1331"/>
      <c r="C25" s="1332"/>
      <c r="E25" s="1463"/>
      <c r="F25" s="1463"/>
      <c r="G25" s="1517"/>
      <c r="H25" s="1517"/>
      <c r="I25" s="1463"/>
      <c r="J25" s="1463"/>
      <c r="K25" s="1463"/>
      <c r="L25" s="1411"/>
      <c r="M25" s="1412"/>
      <c r="N25" s="1407"/>
      <c r="O25" s="1407"/>
      <c r="P25" s="1407"/>
      <c r="Q25" s="1407"/>
      <c r="R25" s="1407"/>
      <c r="S25" s="1407"/>
      <c r="T25" s="1407"/>
      <c r="U25" s="1407"/>
      <c r="V25" s="1407"/>
      <c r="W25" s="1407"/>
      <c r="X25" s="1407"/>
      <c r="Y25" s="1407"/>
      <c r="Z25" s="1407"/>
      <c r="AA25" s="1407"/>
      <c r="AB25" s="1407"/>
      <c r="AC25" s="1407"/>
      <c r="AD25" s="1407"/>
      <c r="AE25" s="1407"/>
      <c r="AF25" s="1407"/>
      <c r="AG25" s="1407"/>
      <c r="AH25" s="1407"/>
      <c r="AI25" s="1407"/>
      <c r="AJ25" s="1407"/>
      <c r="AK25" s="1407"/>
      <c r="AL25" s="1407"/>
      <c r="AM25" s="1407"/>
      <c r="AN25" s="1407"/>
      <c r="AO25" s="1407"/>
      <c r="AP25" s="1407"/>
      <c r="AQ25" s="1407"/>
      <c r="AR25" s="1407"/>
      <c r="AS25" s="1407"/>
      <c r="AT25" s="1407"/>
      <c r="AU25" s="1407"/>
      <c r="AV25" s="1407"/>
      <c r="AW25" s="1407"/>
      <c r="AX25" s="1407"/>
      <c r="AY25" s="1407"/>
      <c r="AZ25" s="1407"/>
      <c r="BA25" s="1407"/>
      <c r="BB25" s="1407"/>
      <c r="BC25" s="1407"/>
      <c r="BD25" s="1407"/>
      <c r="BE25" s="1407"/>
      <c r="BF25" s="1407"/>
      <c r="BG25" s="1407"/>
      <c r="BH25" s="1407"/>
      <c r="BI25" s="1407"/>
      <c r="BJ25" s="1407"/>
      <c r="BK25" s="1407"/>
      <c r="BL25" s="1407"/>
      <c r="BM25" s="1407"/>
      <c r="BN25" s="1407"/>
      <c r="BO25" s="1407"/>
      <c r="BP25" s="1407"/>
      <c r="BQ25" s="1407"/>
      <c r="BR25" s="1407"/>
      <c r="BS25" s="1407"/>
      <c r="BT25" s="1407"/>
      <c r="BU25" s="1407"/>
      <c r="BV25" s="1407"/>
      <c r="BW25" s="1407"/>
      <c r="BX25" s="1407"/>
      <c r="BY25" s="1407"/>
      <c r="BZ25" s="1407"/>
      <c r="CA25" s="1407"/>
      <c r="CB25" s="1407"/>
      <c r="CC25" s="1407"/>
      <c r="CD25" s="1407"/>
      <c r="CE25" s="1407"/>
      <c r="CF25" s="1407"/>
      <c r="CG25" s="1407"/>
      <c r="CH25" s="1407"/>
      <c r="CI25" s="1407"/>
      <c r="CJ25" s="1407"/>
      <c r="CK25" s="1407"/>
      <c r="CL25" s="1407"/>
      <c r="CM25" s="1407"/>
      <c r="CN25" s="1407"/>
      <c r="CO25" s="1407"/>
      <c r="CP25" s="1407"/>
      <c r="CQ25" s="1407"/>
      <c r="CR25" s="1407"/>
      <c r="CS25" s="1407"/>
      <c r="CT25" s="1407"/>
      <c r="CU25" s="1407"/>
      <c r="CV25" s="1407"/>
      <c r="CW25" s="1407"/>
      <c r="CX25" s="1407"/>
      <c r="CY25" s="1407"/>
      <c r="CZ25" s="1407"/>
      <c r="DA25" s="1407"/>
      <c r="DB25" s="1407"/>
      <c r="DC25" s="1407"/>
      <c r="DD25" s="1407"/>
      <c r="DE25" s="1407"/>
      <c r="DF25" s="1407"/>
      <c r="DG25" s="1407"/>
      <c r="DH25" s="1407"/>
      <c r="DI25" s="1407"/>
      <c r="DJ25" s="1407"/>
      <c r="DK25" s="1407"/>
      <c r="DL25" s="1407"/>
      <c r="DM25" s="1407"/>
      <c r="DN25" s="1407"/>
      <c r="DO25" s="1407"/>
      <c r="DP25" s="1407"/>
      <c r="DQ25" s="1407"/>
      <c r="DR25" s="1407"/>
      <c r="DS25" s="1407"/>
      <c r="DT25" s="1407"/>
      <c r="DU25" s="1407"/>
      <c r="DV25" s="1407"/>
      <c r="DW25" s="1407"/>
      <c r="DX25" s="1407"/>
      <c r="DY25" s="1407"/>
      <c r="DZ25" s="1407"/>
      <c r="EA25" s="1407"/>
      <c r="EB25" s="1407"/>
      <c r="EC25" s="1407"/>
      <c r="ED25" s="1407"/>
      <c r="EE25" s="1407"/>
      <c r="EF25" s="1407"/>
      <c r="EG25" s="1407"/>
      <c r="EH25" s="1407"/>
      <c r="EI25" s="1407"/>
      <c r="EJ25" s="1407"/>
      <c r="EK25" s="1407"/>
      <c r="EL25" s="1407"/>
      <c r="EM25" s="1407"/>
      <c r="EN25" s="1407"/>
      <c r="EO25" s="1407"/>
      <c r="EP25" s="1407"/>
      <c r="EQ25" s="1407"/>
      <c r="ER25" s="1407"/>
      <c r="ES25" s="1407"/>
      <c r="ET25" s="1407"/>
      <c r="EU25" s="1407"/>
      <c r="EV25" s="1407"/>
      <c r="EW25" s="1407"/>
      <c r="EX25" s="1407"/>
      <c r="EY25" s="1407"/>
      <c r="EZ25" s="1407"/>
      <c r="FA25" s="1407"/>
      <c r="FB25" s="1407"/>
      <c r="FC25" s="1407"/>
      <c r="FD25" s="1407"/>
      <c r="FE25" s="1407"/>
      <c r="FF25" s="1407"/>
      <c r="FG25" s="1407"/>
      <c r="FH25" s="1407"/>
      <c r="FI25" s="1407"/>
      <c r="FJ25" s="1407"/>
      <c r="FK25" s="1407"/>
      <c r="FL25" s="1407"/>
      <c r="FM25" s="1407"/>
      <c r="FN25" s="1407"/>
      <c r="FO25" s="1407"/>
      <c r="FP25" s="1407"/>
      <c r="FQ25" s="1407"/>
      <c r="FR25" s="1407"/>
      <c r="FS25" s="1407"/>
      <c r="FT25" s="1407"/>
      <c r="FU25" s="1407"/>
      <c r="FV25" s="1407"/>
      <c r="FW25" s="1407"/>
      <c r="FX25" s="1407"/>
      <c r="FY25" s="1407"/>
      <c r="FZ25" s="1407"/>
      <c r="GA25" s="1407"/>
      <c r="GB25" s="1407"/>
      <c r="GC25" s="1407"/>
      <c r="GD25" s="1407"/>
      <c r="GE25" s="1407"/>
    </row>
    <row r="26" spans="1:187" s="1330" customFormat="1" ht="15.2" customHeight="1">
      <c r="B26" s="1409" t="s">
        <v>1161</v>
      </c>
      <c r="C26" s="1332"/>
      <c r="E26" s="1463">
        <v>123456</v>
      </c>
      <c r="F26" s="1463">
        <v>123456</v>
      </c>
      <c r="G26" s="1463">
        <v>123456</v>
      </c>
      <c r="H26" s="1463">
        <v>123456</v>
      </c>
      <c r="I26" s="1463">
        <v>123456</v>
      </c>
      <c r="J26" s="1463">
        <v>123456</v>
      </c>
      <c r="K26" s="1463">
        <v>123456</v>
      </c>
      <c r="L26" s="1411"/>
      <c r="M26" s="1412"/>
      <c r="N26" s="1407"/>
      <c r="O26" s="1407"/>
      <c r="P26" s="1407"/>
      <c r="Q26" s="1407"/>
      <c r="R26" s="1407"/>
      <c r="S26" s="1407"/>
      <c r="T26" s="1407"/>
      <c r="U26" s="1407"/>
      <c r="V26" s="1407"/>
      <c r="W26" s="1407"/>
      <c r="X26" s="1407"/>
      <c r="Y26" s="1407"/>
      <c r="Z26" s="1407"/>
      <c r="AA26" s="1407"/>
      <c r="AB26" s="1407"/>
      <c r="AC26" s="1407"/>
      <c r="AD26" s="1407"/>
      <c r="AE26" s="1407"/>
      <c r="AF26" s="1407"/>
      <c r="AG26" s="1407"/>
      <c r="AH26" s="1407"/>
      <c r="AI26" s="1407"/>
      <c r="AJ26" s="1407"/>
      <c r="AK26" s="1407"/>
      <c r="AL26" s="1407"/>
      <c r="AM26" s="1407"/>
      <c r="AN26" s="1407"/>
      <c r="AO26" s="1407"/>
      <c r="AP26" s="1407"/>
      <c r="AQ26" s="1407"/>
      <c r="AR26" s="1407"/>
      <c r="AS26" s="1407"/>
      <c r="AT26" s="1407"/>
      <c r="AU26" s="1407"/>
      <c r="AV26" s="1407"/>
      <c r="AW26" s="1407"/>
      <c r="AX26" s="1407"/>
      <c r="AY26" s="1407"/>
      <c r="AZ26" s="1407"/>
      <c r="BA26" s="1407"/>
      <c r="BB26" s="1407"/>
      <c r="BC26" s="1407"/>
      <c r="BD26" s="1407"/>
      <c r="BE26" s="1407"/>
      <c r="BF26" s="1407"/>
      <c r="BG26" s="1407"/>
      <c r="BH26" s="1407"/>
      <c r="BI26" s="1407"/>
      <c r="BJ26" s="1407"/>
      <c r="BK26" s="1407"/>
      <c r="BL26" s="1407"/>
      <c r="BM26" s="1407"/>
      <c r="BN26" s="1407"/>
      <c r="BO26" s="1407"/>
      <c r="BP26" s="1407"/>
      <c r="BQ26" s="1407"/>
      <c r="BR26" s="1407"/>
      <c r="BS26" s="1407"/>
      <c r="BT26" s="1407"/>
      <c r="BU26" s="1407"/>
      <c r="BV26" s="1407"/>
      <c r="BW26" s="1407"/>
      <c r="BX26" s="1407"/>
      <c r="BY26" s="1407"/>
      <c r="BZ26" s="1407"/>
      <c r="CA26" s="1407"/>
      <c r="CB26" s="1407"/>
      <c r="CC26" s="1407"/>
      <c r="CD26" s="1407"/>
      <c r="CE26" s="1407"/>
      <c r="CF26" s="1407"/>
      <c r="CG26" s="1407"/>
      <c r="CH26" s="1407"/>
      <c r="CI26" s="1407"/>
      <c r="CJ26" s="1407"/>
      <c r="CK26" s="1407"/>
      <c r="CL26" s="1407"/>
      <c r="CM26" s="1407"/>
      <c r="CN26" s="1407"/>
      <c r="CO26" s="1407"/>
      <c r="CP26" s="1407"/>
      <c r="CQ26" s="1407"/>
      <c r="CR26" s="1407"/>
      <c r="CS26" s="1407"/>
      <c r="CT26" s="1407"/>
      <c r="CU26" s="1407"/>
      <c r="CV26" s="1407"/>
      <c r="CW26" s="1407"/>
      <c r="CX26" s="1407"/>
      <c r="CY26" s="1407"/>
      <c r="CZ26" s="1407"/>
      <c r="DA26" s="1407"/>
      <c r="DB26" s="1407"/>
      <c r="DC26" s="1407"/>
      <c r="DD26" s="1407"/>
      <c r="DE26" s="1407"/>
      <c r="DF26" s="1407"/>
      <c r="DG26" s="1407"/>
      <c r="DH26" s="1407"/>
      <c r="DI26" s="1407"/>
      <c r="DJ26" s="1407"/>
      <c r="DK26" s="1407"/>
      <c r="DL26" s="1407"/>
      <c r="DM26" s="1407"/>
      <c r="DN26" s="1407"/>
      <c r="DO26" s="1407"/>
      <c r="DP26" s="1407"/>
      <c r="DQ26" s="1407"/>
      <c r="DR26" s="1407"/>
      <c r="DS26" s="1407"/>
      <c r="DT26" s="1407"/>
      <c r="DU26" s="1407"/>
      <c r="DV26" s="1407"/>
      <c r="DW26" s="1407"/>
      <c r="DX26" s="1407"/>
      <c r="DY26" s="1407"/>
      <c r="DZ26" s="1407"/>
      <c r="EA26" s="1407"/>
      <c r="EB26" s="1407"/>
      <c r="EC26" s="1407"/>
      <c r="ED26" s="1407"/>
      <c r="EE26" s="1407"/>
      <c r="EF26" s="1407"/>
      <c r="EG26" s="1407"/>
      <c r="EH26" s="1407"/>
      <c r="EI26" s="1407"/>
      <c r="EJ26" s="1407"/>
      <c r="EK26" s="1407"/>
      <c r="EL26" s="1407"/>
      <c r="EM26" s="1407"/>
      <c r="EN26" s="1407"/>
      <c r="EO26" s="1407"/>
      <c r="EP26" s="1407"/>
      <c r="EQ26" s="1407"/>
      <c r="ER26" s="1407"/>
      <c r="ES26" s="1407"/>
      <c r="ET26" s="1407"/>
      <c r="EU26" s="1407"/>
      <c r="EV26" s="1407"/>
      <c r="EW26" s="1407"/>
      <c r="EX26" s="1407"/>
      <c r="EY26" s="1407"/>
      <c r="EZ26" s="1407"/>
      <c r="FA26" s="1407"/>
      <c r="FB26" s="1407"/>
      <c r="FC26" s="1407"/>
      <c r="FD26" s="1407"/>
      <c r="FE26" s="1407"/>
      <c r="FF26" s="1407"/>
      <c r="FG26" s="1407"/>
      <c r="FH26" s="1407"/>
      <c r="FI26" s="1407"/>
      <c r="FJ26" s="1407"/>
      <c r="FK26" s="1407"/>
      <c r="FL26" s="1407"/>
      <c r="FM26" s="1407"/>
      <c r="FN26" s="1407"/>
      <c r="FO26" s="1407"/>
      <c r="FP26" s="1407"/>
      <c r="FQ26" s="1407"/>
      <c r="FR26" s="1407"/>
      <c r="FS26" s="1407"/>
      <c r="FT26" s="1407"/>
      <c r="FU26" s="1407"/>
      <c r="FV26" s="1407"/>
      <c r="FW26" s="1407"/>
      <c r="FX26" s="1407"/>
      <c r="FY26" s="1407"/>
      <c r="FZ26" s="1407"/>
      <c r="GA26" s="1407"/>
      <c r="GB26" s="1407"/>
      <c r="GC26" s="1407"/>
      <c r="GD26" s="1407"/>
      <c r="GE26" s="1407"/>
    </row>
    <row r="27" spans="1:187" s="1330" customFormat="1" ht="15.2" customHeight="1">
      <c r="B27" s="1331" t="s">
        <v>1162</v>
      </c>
      <c r="C27" s="1332"/>
      <c r="E27" s="1463"/>
      <c r="F27" s="1463"/>
      <c r="G27" s="1517"/>
      <c r="H27" s="1517"/>
      <c r="I27" s="1463"/>
      <c r="J27" s="1463"/>
      <c r="K27" s="1463"/>
      <c r="L27" s="1411"/>
      <c r="M27" s="1412"/>
      <c r="N27" s="1407"/>
      <c r="O27" s="1407"/>
      <c r="P27" s="1407"/>
      <c r="Q27" s="1407"/>
      <c r="R27" s="1407"/>
      <c r="S27" s="1407"/>
      <c r="T27" s="1407"/>
      <c r="U27" s="1407"/>
      <c r="V27" s="1407"/>
      <c r="W27" s="1407"/>
      <c r="X27" s="1407"/>
      <c r="Y27" s="1407"/>
      <c r="Z27" s="1407"/>
      <c r="AA27" s="1407"/>
      <c r="AB27" s="1407"/>
      <c r="AC27" s="1407"/>
      <c r="AD27" s="1407"/>
      <c r="AE27" s="1407"/>
      <c r="AF27" s="1407"/>
      <c r="AG27" s="1407"/>
      <c r="AH27" s="1407"/>
      <c r="AI27" s="1407"/>
      <c r="AJ27" s="1407"/>
      <c r="AK27" s="1407"/>
      <c r="AL27" s="1407"/>
      <c r="AM27" s="1407"/>
      <c r="AN27" s="1407"/>
      <c r="AO27" s="1407"/>
      <c r="AP27" s="1407"/>
      <c r="AQ27" s="1407"/>
      <c r="AR27" s="1407"/>
      <c r="AS27" s="1407"/>
      <c r="AT27" s="1407"/>
      <c r="AU27" s="1407"/>
      <c r="AV27" s="1407"/>
      <c r="AW27" s="1407"/>
      <c r="AX27" s="1407"/>
      <c r="AY27" s="1407"/>
      <c r="AZ27" s="1407"/>
      <c r="BA27" s="1407"/>
      <c r="BB27" s="1407"/>
      <c r="BC27" s="1407"/>
      <c r="BD27" s="1407"/>
      <c r="BE27" s="1407"/>
      <c r="BF27" s="1407"/>
      <c r="BG27" s="1407"/>
      <c r="BH27" s="1407"/>
      <c r="BI27" s="1407"/>
      <c r="BJ27" s="1407"/>
      <c r="BK27" s="1407"/>
      <c r="BL27" s="1407"/>
      <c r="BM27" s="1407"/>
      <c r="BN27" s="1407"/>
      <c r="BO27" s="1407"/>
      <c r="BP27" s="1407"/>
      <c r="BQ27" s="1407"/>
      <c r="BR27" s="1407"/>
      <c r="BS27" s="1407"/>
      <c r="BT27" s="1407"/>
      <c r="BU27" s="1407"/>
      <c r="BV27" s="1407"/>
      <c r="BW27" s="1407"/>
      <c r="BX27" s="1407"/>
      <c r="BY27" s="1407"/>
      <c r="BZ27" s="1407"/>
      <c r="CA27" s="1407"/>
      <c r="CB27" s="1407"/>
      <c r="CC27" s="1407"/>
      <c r="CD27" s="1407"/>
      <c r="CE27" s="1407"/>
      <c r="CF27" s="1407"/>
      <c r="CG27" s="1407"/>
      <c r="CH27" s="1407"/>
      <c r="CI27" s="1407"/>
      <c r="CJ27" s="1407"/>
      <c r="CK27" s="1407"/>
      <c r="CL27" s="1407"/>
      <c r="CM27" s="1407"/>
      <c r="CN27" s="1407"/>
      <c r="CO27" s="1407"/>
      <c r="CP27" s="1407"/>
      <c r="CQ27" s="1407"/>
      <c r="CR27" s="1407"/>
      <c r="CS27" s="1407"/>
      <c r="CT27" s="1407"/>
      <c r="CU27" s="1407"/>
      <c r="CV27" s="1407"/>
      <c r="CW27" s="1407"/>
      <c r="CX27" s="1407"/>
      <c r="CY27" s="1407"/>
      <c r="CZ27" s="1407"/>
      <c r="DA27" s="1407"/>
      <c r="DB27" s="1407"/>
      <c r="DC27" s="1407"/>
      <c r="DD27" s="1407"/>
      <c r="DE27" s="1407"/>
      <c r="DF27" s="1407"/>
      <c r="DG27" s="1407"/>
      <c r="DH27" s="1407"/>
      <c r="DI27" s="1407"/>
      <c r="DJ27" s="1407"/>
      <c r="DK27" s="1407"/>
      <c r="DL27" s="1407"/>
      <c r="DM27" s="1407"/>
      <c r="DN27" s="1407"/>
      <c r="DO27" s="1407"/>
      <c r="DP27" s="1407"/>
      <c r="DQ27" s="1407"/>
      <c r="DR27" s="1407"/>
      <c r="DS27" s="1407"/>
      <c r="DT27" s="1407"/>
      <c r="DU27" s="1407"/>
      <c r="DV27" s="1407"/>
      <c r="DW27" s="1407"/>
      <c r="DX27" s="1407"/>
      <c r="DY27" s="1407"/>
      <c r="DZ27" s="1407"/>
      <c r="EA27" s="1407"/>
      <c r="EB27" s="1407"/>
      <c r="EC27" s="1407"/>
      <c r="ED27" s="1407"/>
      <c r="EE27" s="1407"/>
      <c r="EF27" s="1407"/>
      <c r="EG27" s="1407"/>
      <c r="EH27" s="1407"/>
      <c r="EI27" s="1407"/>
      <c r="EJ27" s="1407"/>
      <c r="EK27" s="1407"/>
      <c r="EL27" s="1407"/>
      <c r="EM27" s="1407"/>
      <c r="EN27" s="1407"/>
      <c r="EO27" s="1407"/>
      <c r="EP27" s="1407"/>
      <c r="EQ27" s="1407"/>
      <c r="ER27" s="1407"/>
      <c r="ES27" s="1407"/>
      <c r="ET27" s="1407"/>
      <c r="EU27" s="1407"/>
      <c r="EV27" s="1407"/>
      <c r="EW27" s="1407"/>
      <c r="EX27" s="1407"/>
      <c r="EY27" s="1407"/>
      <c r="EZ27" s="1407"/>
      <c r="FA27" s="1407"/>
      <c r="FB27" s="1407"/>
      <c r="FC27" s="1407"/>
      <c r="FD27" s="1407"/>
      <c r="FE27" s="1407"/>
      <c r="FF27" s="1407"/>
      <c r="FG27" s="1407"/>
      <c r="FH27" s="1407"/>
      <c r="FI27" s="1407"/>
      <c r="FJ27" s="1407"/>
      <c r="FK27" s="1407"/>
      <c r="FL27" s="1407"/>
      <c r="FM27" s="1407"/>
      <c r="FN27" s="1407"/>
      <c r="FO27" s="1407"/>
      <c r="FP27" s="1407"/>
      <c r="FQ27" s="1407"/>
      <c r="FR27" s="1407"/>
      <c r="FS27" s="1407"/>
      <c r="FT27" s="1407"/>
      <c r="FU27" s="1407"/>
      <c r="FV27" s="1407"/>
      <c r="FW27" s="1407"/>
      <c r="FX27" s="1407"/>
      <c r="FY27" s="1407"/>
      <c r="FZ27" s="1407"/>
      <c r="GA27" s="1407"/>
      <c r="GB27" s="1407"/>
      <c r="GC27" s="1407"/>
      <c r="GD27" s="1407"/>
      <c r="GE27" s="1407"/>
    </row>
    <row r="28" spans="1:187" s="1330" customFormat="1" ht="15.2" customHeight="1">
      <c r="B28" s="1331"/>
      <c r="C28" s="1332"/>
      <c r="E28" s="1463"/>
      <c r="F28" s="1463"/>
      <c r="G28" s="1517"/>
      <c r="H28" s="1517"/>
      <c r="I28" s="1463"/>
      <c r="J28" s="1463"/>
      <c r="K28" s="1463"/>
      <c r="L28" s="1411"/>
      <c r="M28" s="1412"/>
      <c r="N28" s="1407"/>
      <c r="O28" s="1407"/>
      <c r="P28" s="1407"/>
      <c r="Q28" s="1407"/>
      <c r="R28" s="1407"/>
      <c r="S28" s="1407"/>
      <c r="T28" s="1407"/>
      <c r="U28" s="1407"/>
      <c r="V28" s="1407"/>
      <c r="W28" s="1407"/>
      <c r="X28" s="1407"/>
      <c r="Y28" s="1407"/>
      <c r="Z28" s="1407"/>
      <c r="AA28" s="1407"/>
      <c r="AB28" s="1407"/>
      <c r="AC28" s="1407"/>
      <c r="AD28" s="1407"/>
      <c r="AE28" s="1407"/>
      <c r="AF28" s="1407"/>
      <c r="AG28" s="1407"/>
      <c r="AH28" s="1407"/>
      <c r="AI28" s="1407"/>
      <c r="AJ28" s="1407"/>
      <c r="AK28" s="1407"/>
      <c r="AL28" s="1407"/>
      <c r="AM28" s="1407"/>
      <c r="AN28" s="1407"/>
      <c r="AO28" s="1407"/>
      <c r="AP28" s="1407"/>
      <c r="AQ28" s="1407"/>
      <c r="AR28" s="1407"/>
      <c r="AS28" s="1407"/>
      <c r="AT28" s="1407"/>
      <c r="AU28" s="1407"/>
      <c r="AV28" s="1407"/>
      <c r="AW28" s="1407"/>
      <c r="AX28" s="1407"/>
      <c r="AY28" s="1407"/>
      <c r="AZ28" s="1407"/>
      <c r="BA28" s="1407"/>
      <c r="BB28" s="1407"/>
      <c r="BC28" s="1407"/>
      <c r="BD28" s="1407"/>
      <c r="BE28" s="1407"/>
      <c r="BF28" s="1407"/>
      <c r="BG28" s="1407"/>
      <c r="BH28" s="1407"/>
      <c r="BI28" s="1407"/>
      <c r="BJ28" s="1407"/>
      <c r="BK28" s="1407"/>
      <c r="BL28" s="1407"/>
      <c r="BM28" s="1407"/>
      <c r="BN28" s="1407"/>
      <c r="BO28" s="1407"/>
      <c r="BP28" s="1407"/>
      <c r="BQ28" s="1407"/>
      <c r="BR28" s="1407"/>
      <c r="BS28" s="1407"/>
      <c r="BT28" s="1407"/>
      <c r="BU28" s="1407"/>
      <c r="BV28" s="1407"/>
      <c r="BW28" s="1407"/>
      <c r="BX28" s="1407"/>
      <c r="BY28" s="1407"/>
      <c r="BZ28" s="1407"/>
      <c r="CA28" s="1407"/>
      <c r="CB28" s="1407"/>
      <c r="CC28" s="1407"/>
      <c r="CD28" s="1407"/>
      <c r="CE28" s="1407"/>
      <c r="CF28" s="1407"/>
      <c r="CG28" s="1407"/>
      <c r="CH28" s="1407"/>
      <c r="CI28" s="1407"/>
      <c r="CJ28" s="1407"/>
      <c r="CK28" s="1407"/>
      <c r="CL28" s="1407"/>
      <c r="CM28" s="1407"/>
      <c r="CN28" s="1407"/>
      <c r="CO28" s="1407"/>
      <c r="CP28" s="1407"/>
      <c r="CQ28" s="1407"/>
      <c r="CR28" s="1407"/>
      <c r="CS28" s="1407"/>
      <c r="CT28" s="1407"/>
      <c r="CU28" s="1407"/>
      <c r="CV28" s="1407"/>
      <c r="CW28" s="1407"/>
      <c r="CX28" s="1407"/>
      <c r="CY28" s="1407"/>
      <c r="CZ28" s="1407"/>
      <c r="DA28" s="1407"/>
      <c r="DB28" s="1407"/>
      <c r="DC28" s="1407"/>
      <c r="DD28" s="1407"/>
      <c r="DE28" s="1407"/>
      <c r="DF28" s="1407"/>
      <c r="DG28" s="1407"/>
      <c r="DH28" s="1407"/>
      <c r="DI28" s="1407"/>
      <c r="DJ28" s="1407"/>
      <c r="DK28" s="1407"/>
      <c r="DL28" s="1407"/>
      <c r="DM28" s="1407"/>
      <c r="DN28" s="1407"/>
      <c r="DO28" s="1407"/>
      <c r="DP28" s="1407"/>
      <c r="DQ28" s="1407"/>
      <c r="DR28" s="1407"/>
      <c r="DS28" s="1407"/>
      <c r="DT28" s="1407"/>
      <c r="DU28" s="1407"/>
      <c r="DV28" s="1407"/>
      <c r="DW28" s="1407"/>
      <c r="DX28" s="1407"/>
      <c r="DY28" s="1407"/>
      <c r="DZ28" s="1407"/>
      <c r="EA28" s="1407"/>
      <c r="EB28" s="1407"/>
      <c r="EC28" s="1407"/>
      <c r="ED28" s="1407"/>
      <c r="EE28" s="1407"/>
      <c r="EF28" s="1407"/>
      <c r="EG28" s="1407"/>
      <c r="EH28" s="1407"/>
      <c r="EI28" s="1407"/>
      <c r="EJ28" s="1407"/>
      <c r="EK28" s="1407"/>
      <c r="EL28" s="1407"/>
      <c r="EM28" s="1407"/>
      <c r="EN28" s="1407"/>
      <c r="EO28" s="1407"/>
      <c r="EP28" s="1407"/>
      <c r="EQ28" s="1407"/>
      <c r="ER28" s="1407"/>
      <c r="ES28" s="1407"/>
      <c r="ET28" s="1407"/>
      <c r="EU28" s="1407"/>
      <c r="EV28" s="1407"/>
      <c r="EW28" s="1407"/>
      <c r="EX28" s="1407"/>
      <c r="EY28" s="1407"/>
      <c r="EZ28" s="1407"/>
      <c r="FA28" s="1407"/>
      <c r="FB28" s="1407"/>
      <c r="FC28" s="1407"/>
      <c r="FD28" s="1407"/>
      <c r="FE28" s="1407"/>
      <c r="FF28" s="1407"/>
      <c r="FG28" s="1407"/>
      <c r="FH28" s="1407"/>
      <c r="FI28" s="1407"/>
      <c r="FJ28" s="1407"/>
      <c r="FK28" s="1407"/>
      <c r="FL28" s="1407"/>
      <c r="FM28" s="1407"/>
      <c r="FN28" s="1407"/>
      <c r="FO28" s="1407"/>
      <c r="FP28" s="1407"/>
      <c r="FQ28" s="1407"/>
      <c r="FR28" s="1407"/>
      <c r="FS28" s="1407"/>
      <c r="FT28" s="1407"/>
      <c r="FU28" s="1407"/>
      <c r="FV28" s="1407"/>
      <c r="FW28" s="1407"/>
      <c r="FX28" s="1407"/>
      <c r="FY28" s="1407"/>
      <c r="FZ28" s="1407"/>
      <c r="GA28" s="1407"/>
      <c r="GB28" s="1407"/>
      <c r="GC28" s="1407"/>
      <c r="GD28" s="1407"/>
      <c r="GE28" s="1407"/>
    </row>
    <row r="29" spans="1:187" s="1380" customFormat="1" ht="15.2" customHeight="1">
      <c r="A29" s="1330"/>
      <c r="B29" s="1409" t="s">
        <v>895</v>
      </c>
      <c r="C29" s="1332"/>
      <c r="D29" s="1330"/>
      <c r="E29" s="1463">
        <v>123456</v>
      </c>
      <c r="F29" s="1463">
        <v>123456</v>
      </c>
      <c r="G29" s="1463">
        <v>123456</v>
      </c>
      <c r="H29" s="1463">
        <v>123456</v>
      </c>
      <c r="I29" s="1463">
        <v>123456</v>
      </c>
      <c r="J29" s="1463">
        <v>123456</v>
      </c>
      <c r="K29" s="1463">
        <v>123456</v>
      </c>
      <c r="L29" s="1411"/>
      <c r="M29" s="1414"/>
    </row>
    <row r="30" spans="1:187" s="1380" customFormat="1" ht="15.2" customHeight="1">
      <c r="A30" s="1330"/>
      <c r="B30" s="1331" t="s">
        <v>896</v>
      </c>
      <c r="C30" s="1332"/>
      <c r="D30" s="1330"/>
      <c r="E30" s="1517"/>
      <c r="F30" s="1517"/>
      <c r="G30" s="1517"/>
      <c r="H30" s="1517"/>
      <c r="I30" s="1517"/>
      <c r="J30" s="1517"/>
      <c r="K30" s="1517"/>
      <c r="L30" s="1411"/>
      <c r="M30" s="1414"/>
    </row>
    <row r="31" spans="1:187" s="1380" customFormat="1" ht="15.2" customHeight="1">
      <c r="A31" s="1330"/>
      <c r="B31" s="1331"/>
      <c r="C31" s="1332"/>
      <c r="D31" s="1330"/>
      <c r="E31" s="1517"/>
      <c r="F31" s="1517"/>
      <c r="G31" s="1517"/>
      <c r="H31" s="1517"/>
      <c r="I31" s="1517"/>
      <c r="J31" s="1517"/>
      <c r="K31" s="1517"/>
      <c r="L31" s="1411"/>
      <c r="M31" s="1414"/>
    </row>
    <row r="32" spans="1:187" s="1330" customFormat="1" ht="15.2" customHeight="1">
      <c r="B32" s="2688" t="s">
        <v>1195</v>
      </c>
      <c r="C32" s="2688"/>
      <c r="D32" s="2688"/>
      <c r="E32" s="1463">
        <v>123456</v>
      </c>
      <c r="F32" s="1463">
        <v>123456</v>
      </c>
      <c r="G32" s="1463">
        <v>123456</v>
      </c>
      <c r="H32" s="1463">
        <v>123456</v>
      </c>
      <c r="I32" s="1463">
        <v>123456</v>
      </c>
      <c r="J32" s="1463">
        <v>123456</v>
      </c>
      <c r="K32" s="1463">
        <v>123456</v>
      </c>
      <c r="L32" s="1413"/>
      <c r="M32" s="1407"/>
      <c r="N32" s="1407"/>
      <c r="O32" s="1411"/>
      <c r="P32" s="1412"/>
      <c r="Q32" s="1407"/>
      <c r="R32" s="1407"/>
      <c r="S32" s="1407"/>
      <c r="T32" s="1407"/>
      <c r="U32" s="1407"/>
      <c r="V32" s="1407"/>
      <c r="W32" s="1407"/>
      <c r="X32" s="1407"/>
      <c r="Y32" s="1407"/>
      <c r="Z32" s="1407"/>
      <c r="AA32" s="1407"/>
      <c r="AB32" s="1407"/>
      <c r="AC32" s="1407"/>
      <c r="AD32" s="1407"/>
      <c r="AE32" s="1407"/>
      <c r="AF32" s="1407"/>
      <c r="AG32" s="1407"/>
      <c r="AH32" s="1407"/>
      <c r="AI32" s="1407"/>
      <c r="AJ32" s="1407"/>
      <c r="AK32" s="1407"/>
      <c r="AL32" s="1407"/>
      <c r="AM32" s="1407"/>
      <c r="AN32" s="1407"/>
      <c r="AO32" s="1407"/>
      <c r="AP32" s="1407"/>
      <c r="AQ32" s="1407"/>
      <c r="AR32" s="1407"/>
      <c r="AS32" s="1407"/>
      <c r="AT32" s="1407"/>
      <c r="AU32" s="1407"/>
      <c r="AV32" s="1407"/>
      <c r="AW32" s="1407"/>
      <c r="AX32" s="1407"/>
      <c r="AY32" s="1407"/>
      <c r="AZ32" s="1407"/>
      <c r="BA32" s="1407"/>
      <c r="BB32" s="1407"/>
      <c r="BC32" s="1407"/>
      <c r="BD32" s="1407"/>
      <c r="BE32" s="1407"/>
      <c r="BF32" s="1407"/>
      <c r="BG32" s="1407"/>
      <c r="BH32" s="1407"/>
      <c r="BI32" s="1407"/>
      <c r="BJ32" s="1407"/>
      <c r="BK32" s="1407"/>
      <c r="BL32" s="1407"/>
      <c r="BM32" s="1407"/>
      <c r="BN32" s="1407"/>
      <c r="BO32" s="1407"/>
      <c r="BP32" s="1407"/>
      <c r="BQ32" s="1407"/>
      <c r="BR32" s="1407"/>
      <c r="BS32" s="1407"/>
      <c r="BT32" s="1407"/>
      <c r="BU32" s="1407"/>
      <c r="BV32" s="1407"/>
      <c r="BW32" s="1407"/>
      <c r="BX32" s="1407"/>
      <c r="BY32" s="1407"/>
      <c r="BZ32" s="1407"/>
      <c r="CA32" s="1407"/>
      <c r="CB32" s="1407"/>
      <c r="CC32" s="1407"/>
      <c r="CD32" s="1407"/>
      <c r="CE32" s="1407"/>
      <c r="CF32" s="1407"/>
      <c r="CG32" s="1407"/>
      <c r="CH32" s="1407"/>
      <c r="CI32" s="1407"/>
      <c r="CJ32" s="1407"/>
      <c r="CK32" s="1407"/>
      <c r="CL32" s="1407"/>
      <c r="CM32" s="1407"/>
      <c r="CN32" s="1407"/>
      <c r="CO32" s="1407"/>
      <c r="CP32" s="1407"/>
      <c r="CQ32" s="1407"/>
      <c r="CR32" s="1407"/>
      <c r="CS32" s="1407"/>
      <c r="CT32" s="1407"/>
      <c r="CU32" s="1407"/>
      <c r="CV32" s="1407"/>
      <c r="CW32" s="1407"/>
      <c r="CX32" s="1407"/>
      <c r="CY32" s="1407"/>
      <c r="CZ32" s="1407"/>
      <c r="DA32" s="1407"/>
      <c r="DB32" s="1407"/>
      <c r="DC32" s="1407"/>
      <c r="DD32" s="1407"/>
      <c r="DE32" s="1407"/>
      <c r="DF32" s="1407"/>
      <c r="DG32" s="1407"/>
      <c r="DH32" s="1407"/>
      <c r="DI32" s="1407"/>
      <c r="DJ32" s="1407"/>
      <c r="DK32" s="1407"/>
      <c r="DL32" s="1407"/>
      <c r="DM32" s="1407"/>
      <c r="DN32" s="1407"/>
      <c r="DO32" s="1407"/>
      <c r="DP32" s="1407"/>
      <c r="DQ32" s="1407"/>
      <c r="DR32" s="1407"/>
      <c r="DS32" s="1407"/>
      <c r="DT32" s="1407"/>
      <c r="DU32" s="1407"/>
      <c r="DV32" s="1407"/>
      <c r="DW32" s="1407"/>
      <c r="DX32" s="1407"/>
      <c r="DY32" s="1407"/>
      <c r="DZ32" s="1407"/>
      <c r="EA32" s="1407"/>
      <c r="EB32" s="1407"/>
      <c r="EC32" s="1407"/>
      <c r="ED32" s="1407"/>
      <c r="EE32" s="1407"/>
      <c r="EF32" s="1407"/>
      <c r="EG32" s="1407"/>
      <c r="EH32" s="1407"/>
      <c r="EI32" s="1407"/>
      <c r="EJ32" s="1407"/>
      <c r="EK32" s="1407"/>
      <c r="EL32" s="1407"/>
      <c r="EM32" s="1407"/>
      <c r="EN32" s="1407"/>
      <c r="EO32" s="1407"/>
      <c r="EP32" s="1407"/>
      <c r="EQ32" s="1407"/>
      <c r="ER32" s="1407"/>
      <c r="ES32" s="1407"/>
      <c r="ET32" s="1407"/>
      <c r="EU32" s="1407"/>
      <c r="EV32" s="1407"/>
      <c r="EW32" s="1407"/>
      <c r="EX32" s="1407"/>
      <c r="EY32" s="1407"/>
      <c r="EZ32" s="1407"/>
      <c r="FA32" s="1407"/>
      <c r="FB32" s="1407"/>
      <c r="FC32" s="1407"/>
      <c r="FD32" s="1407"/>
      <c r="FE32" s="1407"/>
      <c r="FF32" s="1407"/>
      <c r="FG32" s="1407"/>
      <c r="FH32" s="1407"/>
      <c r="FI32" s="1407"/>
      <c r="FJ32" s="1407"/>
      <c r="FK32" s="1407"/>
      <c r="FL32" s="1407"/>
      <c r="FM32" s="1407"/>
      <c r="FN32" s="1407"/>
      <c r="FO32" s="1407"/>
      <c r="FP32" s="1407"/>
      <c r="FQ32" s="1407"/>
      <c r="FR32" s="1407"/>
      <c r="FS32" s="1407"/>
      <c r="FT32" s="1407"/>
      <c r="FU32" s="1407"/>
      <c r="FV32" s="1407"/>
      <c r="FW32" s="1407"/>
      <c r="FX32" s="1407"/>
      <c r="FY32" s="1407"/>
      <c r="FZ32" s="1407"/>
      <c r="GA32" s="1407"/>
      <c r="GB32" s="1407"/>
      <c r="GC32" s="1407"/>
      <c r="GD32" s="1407"/>
      <c r="GE32" s="1407"/>
    </row>
    <row r="33" spans="1:187" s="1330" customFormat="1" ht="15.2" customHeight="1">
      <c r="B33" s="1331" t="s">
        <v>1025</v>
      </c>
      <c r="C33" s="1332"/>
      <c r="E33" s="1517"/>
      <c r="F33" s="1517"/>
      <c r="G33" s="1517"/>
      <c r="H33" s="1517"/>
      <c r="I33" s="1517"/>
      <c r="J33" s="1517"/>
      <c r="K33" s="1517"/>
      <c r="L33" s="1411"/>
      <c r="M33" s="1412"/>
      <c r="N33" s="1407"/>
      <c r="O33" s="1407"/>
      <c r="P33" s="1407"/>
      <c r="Q33" s="1407"/>
      <c r="R33" s="1407"/>
      <c r="S33" s="1407"/>
      <c r="T33" s="1407"/>
      <c r="U33" s="1407"/>
      <c r="V33" s="1407"/>
      <c r="W33" s="1407"/>
      <c r="X33" s="1407"/>
      <c r="Y33" s="1407"/>
      <c r="Z33" s="1407"/>
      <c r="AA33" s="1407"/>
      <c r="AB33" s="1407"/>
      <c r="AC33" s="1407"/>
      <c r="AD33" s="1407"/>
      <c r="AE33" s="1407"/>
      <c r="AF33" s="1407"/>
      <c r="AG33" s="1407"/>
      <c r="AH33" s="1407"/>
      <c r="AI33" s="1407"/>
      <c r="AJ33" s="1407"/>
      <c r="AK33" s="1407"/>
      <c r="AL33" s="1407"/>
      <c r="AM33" s="1407"/>
      <c r="AN33" s="1407"/>
      <c r="AO33" s="1407"/>
      <c r="AP33" s="1407"/>
      <c r="AQ33" s="1407"/>
      <c r="AR33" s="1407"/>
      <c r="AS33" s="1407"/>
      <c r="AT33" s="1407"/>
      <c r="AU33" s="1407"/>
      <c r="AV33" s="1407"/>
      <c r="AW33" s="1407"/>
      <c r="AX33" s="1407"/>
      <c r="AY33" s="1407"/>
      <c r="AZ33" s="1407"/>
      <c r="BA33" s="1407"/>
      <c r="BB33" s="1407"/>
      <c r="BC33" s="1407"/>
      <c r="BD33" s="1407"/>
      <c r="BE33" s="1407"/>
      <c r="BF33" s="1407"/>
      <c r="BG33" s="1407"/>
      <c r="BH33" s="1407"/>
      <c r="BI33" s="1407"/>
      <c r="BJ33" s="1407"/>
      <c r="BK33" s="1407"/>
      <c r="BL33" s="1407"/>
      <c r="BM33" s="1407"/>
      <c r="BN33" s="1407"/>
      <c r="BO33" s="1407"/>
      <c r="BP33" s="1407"/>
      <c r="BQ33" s="1407"/>
      <c r="BR33" s="1407"/>
      <c r="BS33" s="1407"/>
      <c r="BT33" s="1407"/>
      <c r="BU33" s="1407"/>
      <c r="BV33" s="1407"/>
      <c r="BW33" s="1407"/>
      <c r="BX33" s="1407"/>
      <c r="BY33" s="1407"/>
      <c r="BZ33" s="1407"/>
      <c r="CA33" s="1407"/>
      <c r="CB33" s="1407"/>
      <c r="CC33" s="1407"/>
      <c r="CD33" s="1407"/>
      <c r="CE33" s="1407"/>
      <c r="CF33" s="1407"/>
      <c r="CG33" s="1407"/>
      <c r="CH33" s="1407"/>
      <c r="CI33" s="1407"/>
      <c r="CJ33" s="1407"/>
      <c r="CK33" s="1407"/>
      <c r="CL33" s="1407"/>
      <c r="CM33" s="1407"/>
      <c r="CN33" s="1407"/>
      <c r="CO33" s="1407"/>
      <c r="CP33" s="1407"/>
      <c r="CQ33" s="1407"/>
      <c r="CR33" s="1407"/>
      <c r="CS33" s="1407"/>
      <c r="CT33" s="1407"/>
      <c r="CU33" s="1407"/>
      <c r="CV33" s="1407"/>
      <c r="CW33" s="1407"/>
      <c r="CX33" s="1407"/>
      <c r="CY33" s="1407"/>
      <c r="CZ33" s="1407"/>
      <c r="DA33" s="1407"/>
      <c r="DB33" s="1407"/>
      <c r="DC33" s="1407"/>
      <c r="DD33" s="1407"/>
      <c r="DE33" s="1407"/>
      <c r="DF33" s="1407"/>
      <c r="DG33" s="1407"/>
      <c r="DH33" s="1407"/>
      <c r="DI33" s="1407"/>
      <c r="DJ33" s="1407"/>
      <c r="DK33" s="1407"/>
      <c r="DL33" s="1407"/>
      <c r="DM33" s="1407"/>
      <c r="DN33" s="1407"/>
      <c r="DO33" s="1407"/>
      <c r="DP33" s="1407"/>
      <c r="DQ33" s="1407"/>
      <c r="DR33" s="1407"/>
      <c r="DS33" s="1407"/>
      <c r="DT33" s="1407"/>
      <c r="DU33" s="1407"/>
      <c r="DV33" s="1407"/>
      <c r="DW33" s="1407"/>
      <c r="DX33" s="1407"/>
      <c r="DY33" s="1407"/>
      <c r="DZ33" s="1407"/>
      <c r="EA33" s="1407"/>
      <c r="EB33" s="1407"/>
      <c r="EC33" s="1407"/>
      <c r="ED33" s="1407"/>
      <c r="EE33" s="1407"/>
      <c r="EF33" s="1407"/>
      <c r="EG33" s="1407"/>
      <c r="EH33" s="1407"/>
      <c r="EI33" s="1407"/>
      <c r="EJ33" s="1407"/>
      <c r="EK33" s="1407"/>
      <c r="EL33" s="1407"/>
      <c r="EM33" s="1407"/>
      <c r="EN33" s="1407"/>
      <c r="EO33" s="1407"/>
      <c r="EP33" s="1407"/>
      <c r="EQ33" s="1407"/>
      <c r="ER33" s="1407"/>
      <c r="ES33" s="1407"/>
      <c r="ET33" s="1407"/>
      <c r="EU33" s="1407"/>
      <c r="EV33" s="1407"/>
      <c r="EW33" s="1407"/>
      <c r="EX33" s="1407"/>
      <c r="EY33" s="1407"/>
      <c r="EZ33" s="1407"/>
      <c r="FA33" s="1407"/>
      <c r="FB33" s="1407"/>
      <c r="FC33" s="1407"/>
      <c r="FD33" s="1407"/>
      <c r="FE33" s="1407"/>
      <c r="FF33" s="1407"/>
      <c r="FG33" s="1407"/>
      <c r="FH33" s="1407"/>
      <c r="FI33" s="1407"/>
      <c r="FJ33" s="1407"/>
      <c r="FK33" s="1407"/>
      <c r="FL33" s="1407"/>
      <c r="FM33" s="1407"/>
      <c r="FN33" s="1407"/>
      <c r="FO33" s="1407"/>
      <c r="FP33" s="1407"/>
      <c r="FQ33" s="1407"/>
      <c r="FR33" s="1407"/>
      <c r="FS33" s="1407"/>
      <c r="FT33" s="1407"/>
      <c r="FU33" s="1407"/>
      <c r="FV33" s="1407"/>
      <c r="FW33" s="1407"/>
      <c r="FX33" s="1407"/>
      <c r="FY33" s="1407"/>
      <c r="FZ33" s="1407"/>
      <c r="GA33" s="1407"/>
      <c r="GB33" s="1407"/>
      <c r="GC33" s="1407"/>
      <c r="GD33" s="1407"/>
      <c r="GE33" s="1407"/>
    </row>
    <row r="34" spans="1:187" s="1330" customFormat="1" ht="15.2" customHeight="1">
      <c r="B34" s="1331"/>
      <c r="C34" s="1332"/>
      <c r="E34" s="1517"/>
      <c r="F34" s="1517"/>
      <c r="G34" s="1517"/>
      <c r="H34" s="1517"/>
      <c r="I34" s="1517"/>
      <c r="J34" s="1517"/>
      <c r="K34" s="1517"/>
      <c r="L34" s="1411"/>
      <c r="M34" s="1412"/>
      <c r="N34" s="1407"/>
      <c r="O34" s="1407"/>
      <c r="P34" s="1407"/>
      <c r="Q34" s="1407"/>
      <c r="R34" s="1407"/>
      <c r="S34" s="1407"/>
      <c r="T34" s="1407"/>
      <c r="U34" s="1407"/>
      <c r="V34" s="1407"/>
      <c r="W34" s="1407"/>
      <c r="X34" s="1407"/>
      <c r="Y34" s="1407"/>
      <c r="Z34" s="1407"/>
      <c r="AA34" s="1407"/>
      <c r="AB34" s="1407"/>
      <c r="AC34" s="1407"/>
      <c r="AD34" s="1407"/>
      <c r="AE34" s="1407"/>
      <c r="AF34" s="1407"/>
      <c r="AG34" s="1407"/>
      <c r="AH34" s="1407"/>
      <c r="AI34" s="1407"/>
      <c r="AJ34" s="1407"/>
      <c r="AK34" s="1407"/>
      <c r="AL34" s="1407"/>
      <c r="AM34" s="1407"/>
      <c r="AN34" s="1407"/>
      <c r="AO34" s="1407"/>
      <c r="AP34" s="1407"/>
      <c r="AQ34" s="1407"/>
      <c r="AR34" s="1407"/>
      <c r="AS34" s="1407"/>
      <c r="AT34" s="1407"/>
      <c r="AU34" s="1407"/>
      <c r="AV34" s="1407"/>
      <c r="AW34" s="1407"/>
      <c r="AX34" s="1407"/>
      <c r="AY34" s="1407"/>
      <c r="AZ34" s="1407"/>
      <c r="BA34" s="1407"/>
      <c r="BB34" s="1407"/>
      <c r="BC34" s="1407"/>
      <c r="BD34" s="1407"/>
      <c r="BE34" s="1407"/>
      <c r="BF34" s="1407"/>
      <c r="BG34" s="1407"/>
      <c r="BH34" s="1407"/>
      <c r="BI34" s="1407"/>
      <c r="BJ34" s="1407"/>
      <c r="BK34" s="1407"/>
      <c r="BL34" s="1407"/>
      <c r="BM34" s="1407"/>
      <c r="BN34" s="1407"/>
      <c r="BO34" s="1407"/>
      <c r="BP34" s="1407"/>
      <c r="BQ34" s="1407"/>
      <c r="BR34" s="1407"/>
      <c r="BS34" s="1407"/>
      <c r="BT34" s="1407"/>
      <c r="BU34" s="1407"/>
      <c r="BV34" s="1407"/>
      <c r="BW34" s="1407"/>
      <c r="BX34" s="1407"/>
      <c r="BY34" s="1407"/>
      <c r="BZ34" s="1407"/>
      <c r="CA34" s="1407"/>
      <c r="CB34" s="1407"/>
      <c r="CC34" s="1407"/>
      <c r="CD34" s="1407"/>
      <c r="CE34" s="1407"/>
      <c r="CF34" s="1407"/>
      <c r="CG34" s="1407"/>
      <c r="CH34" s="1407"/>
      <c r="CI34" s="1407"/>
      <c r="CJ34" s="1407"/>
      <c r="CK34" s="1407"/>
      <c r="CL34" s="1407"/>
      <c r="CM34" s="1407"/>
      <c r="CN34" s="1407"/>
      <c r="CO34" s="1407"/>
      <c r="CP34" s="1407"/>
      <c r="CQ34" s="1407"/>
      <c r="CR34" s="1407"/>
      <c r="CS34" s="1407"/>
      <c r="CT34" s="1407"/>
      <c r="CU34" s="1407"/>
      <c r="CV34" s="1407"/>
      <c r="CW34" s="1407"/>
      <c r="CX34" s="1407"/>
      <c r="CY34" s="1407"/>
      <c r="CZ34" s="1407"/>
      <c r="DA34" s="1407"/>
      <c r="DB34" s="1407"/>
      <c r="DC34" s="1407"/>
      <c r="DD34" s="1407"/>
      <c r="DE34" s="1407"/>
      <c r="DF34" s="1407"/>
      <c r="DG34" s="1407"/>
      <c r="DH34" s="1407"/>
      <c r="DI34" s="1407"/>
      <c r="DJ34" s="1407"/>
      <c r="DK34" s="1407"/>
      <c r="DL34" s="1407"/>
      <c r="DM34" s="1407"/>
      <c r="DN34" s="1407"/>
      <c r="DO34" s="1407"/>
      <c r="DP34" s="1407"/>
      <c r="DQ34" s="1407"/>
      <c r="DR34" s="1407"/>
      <c r="DS34" s="1407"/>
      <c r="DT34" s="1407"/>
      <c r="DU34" s="1407"/>
      <c r="DV34" s="1407"/>
      <c r="DW34" s="1407"/>
      <c r="DX34" s="1407"/>
      <c r="DY34" s="1407"/>
      <c r="DZ34" s="1407"/>
      <c r="EA34" s="1407"/>
      <c r="EB34" s="1407"/>
      <c r="EC34" s="1407"/>
      <c r="ED34" s="1407"/>
      <c r="EE34" s="1407"/>
      <c r="EF34" s="1407"/>
      <c r="EG34" s="1407"/>
      <c r="EH34" s="1407"/>
      <c r="EI34" s="1407"/>
      <c r="EJ34" s="1407"/>
      <c r="EK34" s="1407"/>
      <c r="EL34" s="1407"/>
      <c r="EM34" s="1407"/>
      <c r="EN34" s="1407"/>
      <c r="EO34" s="1407"/>
      <c r="EP34" s="1407"/>
      <c r="EQ34" s="1407"/>
      <c r="ER34" s="1407"/>
      <c r="ES34" s="1407"/>
      <c r="ET34" s="1407"/>
      <c r="EU34" s="1407"/>
      <c r="EV34" s="1407"/>
      <c r="EW34" s="1407"/>
      <c r="EX34" s="1407"/>
      <c r="EY34" s="1407"/>
      <c r="EZ34" s="1407"/>
      <c r="FA34" s="1407"/>
      <c r="FB34" s="1407"/>
      <c r="FC34" s="1407"/>
      <c r="FD34" s="1407"/>
      <c r="FE34" s="1407"/>
      <c r="FF34" s="1407"/>
      <c r="FG34" s="1407"/>
      <c r="FH34" s="1407"/>
      <c r="FI34" s="1407"/>
      <c r="FJ34" s="1407"/>
      <c r="FK34" s="1407"/>
      <c r="FL34" s="1407"/>
      <c r="FM34" s="1407"/>
      <c r="FN34" s="1407"/>
      <c r="FO34" s="1407"/>
      <c r="FP34" s="1407"/>
      <c r="FQ34" s="1407"/>
      <c r="FR34" s="1407"/>
      <c r="FS34" s="1407"/>
      <c r="FT34" s="1407"/>
      <c r="FU34" s="1407"/>
      <c r="FV34" s="1407"/>
      <c r="FW34" s="1407"/>
      <c r="FX34" s="1407"/>
      <c r="FY34" s="1407"/>
      <c r="FZ34" s="1407"/>
      <c r="GA34" s="1407"/>
      <c r="GB34" s="1407"/>
      <c r="GC34" s="1407"/>
      <c r="GD34" s="1407"/>
      <c r="GE34" s="1407"/>
    </row>
    <row r="35" spans="1:187" s="1330" customFormat="1" ht="15.2" customHeight="1">
      <c r="B35" s="2689" t="s">
        <v>1196</v>
      </c>
      <c r="C35" s="2689"/>
      <c r="D35" s="2689"/>
      <c r="E35" s="1463">
        <v>123456</v>
      </c>
      <c r="F35" s="1463">
        <v>123456</v>
      </c>
      <c r="G35" s="1463">
        <v>123456</v>
      </c>
      <c r="H35" s="1463">
        <v>123456</v>
      </c>
      <c r="I35" s="1463">
        <v>123456</v>
      </c>
      <c r="J35" s="1463">
        <v>123456</v>
      </c>
      <c r="K35" s="1463">
        <v>123456</v>
      </c>
      <c r="L35" s="1413"/>
      <c r="M35" s="1407"/>
      <c r="N35" s="1407"/>
      <c r="O35" s="1411"/>
      <c r="P35" s="1412"/>
      <c r="Q35" s="1407"/>
      <c r="R35" s="1407"/>
      <c r="S35" s="1407"/>
      <c r="T35" s="1407"/>
      <c r="U35" s="1407"/>
      <c r="V35" s="1407"/>
      <c r="W35" s="1407"/>
      <c r="X35" s="1407"/>
      <c r="Y35" s="1407"/>
      <c r="Z35" s="1407"/>
      <c r="AA35" s="1407"/>
      <c r="AB35" s="1407"/>
      <c r="AC35" s="1407"/>
      <c r="AD35" s="1407"/>
      <c r="AE35" s="1407"/>
      <c r="AF35" s="1407"/>
      <c r="AG35" s="1407"/>
      <c r="AH35" s="1407"/>
      <c r="AI35" s="1407"/>
      <c r="AJ35" s="1407"/>
      <c r="AK35" s="1407"/>
      <c r="AL35" s="1407"/>
      <c r="AM35" s="1407"/>
      <c r="AN35" s="1407"/>
      <c r="AO35" s="1407"/>
      <c r="AP35" s="1407"/>
      <c r="AQ35" s="1407"/>
      <c r="AR35" s="1407"/>
      <c r="AS35" s="1407"/>
      <c r="AT35" s="1407"/>
      <c r="AU35" s="1407"/>
      <c r="AV35" s="1407"/>
      <c r="AW35" s="1407"/>
      <c r="AX35" s="1407"/>
      <c r="AY35" s="1407"/>
      <c r="AZ35" s="1407"/>
      <c r="BA35" s="1407"/>
      <c r="BB35" s="1407"/>
      <c r="BC35" s="1407"/>
      <c r="BD35" s="1407"/>
      <c r="BE35" s="1407"/>
      <c r="BF35" s="1407"/>
      <c r="BG35" s="1407"/>
      <c r="BH35" s="1407"/>
      <c r="BI35" s="1407"/>
      <c r="BJ35" s="1407"/>
      <c r="BK35" s="1407"/>
      <c r="BL35" s="1407"/>
      <c r="BM35" s="1407"/>
      <c r="BN35" s="1407"/>
      <c r="BO35" s="1407"/>
      <c r="BP35" s="1407"/>
      <c r="BQ35" s="1407"/>
      <c r="BR35" s="1407"/>
      <c r="BS35" s="1407"/>
      <c r="BT35" s="1407"/>
      <c r="BU35" s="1407"/>
      <c r="BV35" s="1407"/>
      <c r="BW35" s="1407"/>
      <c r="BX35" s="1407"/>
      <c r="BY35" s="1407"/>
      <c r="BZ35" s="1407"/>
      <c r="CA35" s="1407"/>
      <c r="CB35" s="1407"/>
      <c r="CC35" s="1407"/>
      <c r="CD35" s="1407"/>
      <c r="CE35" s="1407"/>
      <c r="CF35" s="1407"/>
      <c r="CG35" s="1407"/>
      <c r="CH35" s="1407"/>
      <c r="CI35" s="1407"/>
      <c r="CJ35" s="1407"/>
      <c r="CK35" s="1407"/>
      <c r="CL35" s="1407"/>
      <c r="CM35" s="1407"/>
      <c r="CN35" s="1407"/>
      <c r="CO35" s="1407"/>
      <c r="CP35" s="1407"/>
      <c r="CQ35" s="1407"/>
      <c r="CR35" s="1407"/>
      <c r="CS35" s="1407"/>
      <c r="CT35" s="1407"/>
      <c r="CU35" s="1407"/>
      <c r="CV35" s="1407"/>
      <c r="CW35" s="1407"/>
      <c r="CX35" s="1407"/>
      <c r="CY35" s="1407"/>
      <c r="CZ35" s="1407"/>
      <c r="DA35" s="1407"/>
      <c r="DB35" s="1407"/>
      <c r="DC35" s="1407"/>
      <c r="DD35" s="1407"/>
      <c r="DE35" s="1407"/>
      <c r="DF35" s="1407"/>
      <c r="DG35" s="1407"/>
      <c r="DH35" s="1407"/>
      <c r="DI35" s="1407"/>
      <c r="DJ35" s="1407"/>
      <c r="DK35" s="1407"/>
      <c r="DL35" s="1407"/>
      <c r="DM35" s="1407"/>
      <c r="DN35" s="1407"/>
      <c r="DO35" s="1407"/>
      <c r="DP35" s="1407"/>
      <c r="DQ35" s="1407"/>
      <c r="DR35" s="1407"/>
      <c r="DS35" s="1407"/>
      <c r="DT35" s="1407"/>
      <c r="DU35" s="1407"/>
      <c r="DV35" s="1407"/>
      <c r="DW35" s="1407"/>
      <c r="DX35" s="1407"/>
      <c r="DY35" s="1407"/>
      <c r="DZ35" s="1407"/>
      <c r="EA35" s="1407"/>
      <c r="EB35" s="1407"/>
      <c r="EC35" s="1407"/>
      <c r="ED35" s="1407"/>
      <c r="EE35" s="1407"/>
      <c r="EF35" s="1407"/>
      <c r="EG35" s="1407"/>
      <c r="EH35" s="1407"/>
      <c r="EI35" s="1407"/>
      <c r="EJ35" s="1407"/>
      <c r="EK35" s="1407"/>
      <c r="EL35" s="1407"/>
      <c r="EM35" s="1407"/>
      <c r="EN35" s="1407"/>
      <c r="EO35" s="1407"/>
      <c r="EP35" s="1407"/>
      <c r="EQ35" s="1407"/>
      <c r="ER35" s="1407"/>
      <c r="ES35" s="1407"/>
      <c r="ET35" s="1407"/>
      <c r="EU35" s="1407"/>
      <c r="EV35" s="1407"/>
      <c r="EW35" s="1407"/>
      <c r="EX35" s="1407"/>
      <c r="EY35" s="1407"/>
      <c r="EZ35" s="1407"/>
      <c r="FA35" s="1407"/>
      <c r="FB35" s="1407"/>
      <c r="FC35" s="1407"/>
      <c r="FD35" s="1407"/>
      <c r="FE35" s="1407"/>
      <c r="FF35" s="1407"/>
      <c r="FG35" s="1407"/>
      <c r="FH35" s="1407"/>
      <c r="FI35" s="1407"/>
      <c r="FJ35" s="1407"/>
      <c r="FK35" s="1407"/>
      <c r="FL35" s="1407"/>
      <c r="FM35" s="1407"/>
      <c r="FN35" s="1407"/>
      <c r="FO35" s="1407"/>
      <c r="FP35" s="1407"/>
      <c r="FQ35" s="1407"/>
      <c r="FR35" s="1407"/>
      <c r="FS35" s="1407"/>
      <c r="FT35" s="1407"/>
      <c r="FU35" s="1407"/>
      <c r="FV35" s="1407"/>
      <c r="FW35" s="1407"/>
      <c r="FX35" s="1407"/>
      <c r="FY35" s="1407"/>
      <c r="FZ35" s="1407"/>
      <c r="GA35" s="1407"/>
      <c r="GB35" s="1407"/>
      <c r="GC35" s="1407"/>
      <c r="GD35" s="1407"/>
      <c r="GE35" s="1407"/>
    </row>
    <row r="36" spans="1:187" s="1330" customFormat="1" ht="15.2" customHeight="1">
      <c r="B36" s="1331" t="s">
        <v>1026</v>
      </c>
      <c r="C36" s="1332"/>
      <c r="E36" s="1517"/>
      <c r="F36" s="1517"/>
      <c r="G36" s="1517"/>
      <c r="H36" s="1517"/>
      <c r="I36" s="1517"/>
      <c r="J36" s="1517"/>
      <c r="K36" s="1517"/>
      <c r="L36" s="1411"/>
      <c r="M36" s="1412"/>
      <c r="N36" s="1407"/>
      <c r="O36" s="1407"/>
      <c r="P36" s="1407"/>
      <c r="Q36" s="1407"/>
      <c r="R36" s="1407"/>
      <c r="S36" s="1407"/>
      <c r="T36" s="1407"/>
      <c r="U36" s="1407"/>
      <c r="V36" s="1407"/>
      <c r="W36" s="1407"/>
      <c r="X36" s="1407"/>
      <c r="Y36" s="1407"/>
      <c r="Z36" s="1407"/>
      <c r="AA36" s="1407"/>
      <c r="AB36" s="1407"/>
      <c r="AC36" s="1407"/>
      <c r="AD36" s="1407"/>
      <c r="AE36" s="1407"/>
      <c r="AF36" s="1407"/>
      <c r="AG36" s="1407"/>
      <c r="AH36" s="1407"/>
      <c r="AI36" s="1407"/>
      <c r="AJ36" s="1407"/>
      <c r="AK36" s="1407"/>
      <c r="AL36" s="1407"/>
      <c r="AM36" s="1407"/>
      <c r="AN36" s="1407"/>
      <c r="AO36" s="1407"/>
      <c r="AP36" s="1407"/>
      <c r="AQ36" s="1407"/>
      <c r="AR36" s="1407"/>
      <c r="AS36" s="1407"/>
      <c r="AT36" s="1407"/>
      <c r="AU36" s="1407"/>
      <c r="AV36" s="1407"/>
      <c r="AW36" s="1407"/>
      <c r="AX36" s="1407"/>
      <c r="AY36" s="1407"/>
      <c r="AZ36" s="1407"/>
      <c r="BA36" s="1407"/>
      <c r="BB36" s="1407"/>
      <c r="BC36" s="1407"/>
      <c r="BD36" s="1407"/>
      <c r="BE36" s="1407"/>
      <c r="BF36" s="1407"/>
      <c r="BG36" s="1407"/>
      <c r="BH36" s="1407"/>
      <c r="BI36" s="1407"/>
      <c r="BJ36" s="1407"/>
      <c r="BK36" s="1407"/>
      <c r="BL36" s="1407"/>
      <c r="BM36" s="1407"/>
      <c r="BN36" s="1407"/>
      <c r="BO36" s="1407"/>
      <c r="BP36" s="1407"/>
      <c r="BQ36" s="1407"/>
      <c r="BR36" s="1407"/>
      <c r="BS36" s="1407"/>
      <c r="BT36" s="1407"/>
      <c r="BU36" s="1407"/>
      <c r="BV36" s="1407"/>
      <c r="BW36" s="1407"/>
      <c r="BX36" s="1407"/>
      <c r="BY36" s="1407"/>
      <c r="BZ36" s="1407"/>
      <c r="CA36" s="1407"/>
      <c r="CB36" s="1407"/>
      <c r="CC36" s="1407"/>
      <c r="CD36" s="1407"/>
      <c r="CE36" s="1407"/>
      <c r="CF36" s="1407"/>
      <c r="CG36" s="1407"/>
      <c r="CH36" s="1407"/>
      <c r="CI36" s="1407"/>
      <c r="CJ36" s="1407"/>
      <c r="CK36" s="1407"/>
      <c r="CL36" s="1407"/>
      <c r="CM36" s="1407"/>
      <c r="CN36" s="1407"/>
      <c r="CO36" s="1407"/>
      <c r="CP36" s="1407"/>
      <c r="CQ36" s="1407"/>
      <c r="CR36" s="1407"/>
      <c r="CS36" s="1407"/>
      <c r="CT36" s="1407"/>
      <c r="CU36" s="1407"/>
      <c r="CV36" s="1407"/>
      <c r="CW36" s="1407"/>
      <c r="CX36" s="1407"/>
      <c r="CY36" s="1407"/>
      <c r="CZ36" s="1407"/>
      <c r="DA36" s="1407"/>
      <c r="DB36" s="1407"/>
      <c r="DC36" s="1407"/>
      <c r="DD36" s="1407"/>
      <c r="DE36" s="1407"/>
      <c r="DF36" s="1407"/>
      <c r="DG36" s="1407"/>
      <c r="DH36" s="1407"/>
      <c r="DI36" s="1407"/>
      <c r="DJ36" s="1407"/>
      <c r="DK36" s="1407"/>
      <c r="DL36" s="1407"/>
      <c r="DM36" s="1407"/>
      <c r="DN36" s="1407"/>
      <c r="DO36" s="1407"/>
      <c r="DP36" s="1407"/>
      <c r="DQ36" s="1407"/>
      <c r="DR36" s="1407"/>
      <c r="DS36" s="1407"/>
      <c r="DT36" s="1407"/>
      <c r="DU36" s="1407"/>
      <c r="DV36" s="1407"/>
      <c r="DW36" s="1407"/>
      <c r="DX36" s="1407"/>
      <c r="DY36" s="1407"/>
      <c r="DZ36" s="1407"/>
      <c r="EA36" s="1407"/>
      <c r="EB36" s="1407"/>
      <c r="EC36" s="1407"/>
      <c r="ED36" s="1407"/>
      <c r="EE36" s="1407"/>
      <c r="EF36" s="1407"/>
      <c r="EG36" s="1407"/>
      <c r="EH36" s="1407"/>
      <c r="EI36" s="1407"/>
      <c r="EJ36" s="1407"/>
      <c r="EK36" s="1407"/>
      <c r="EL36" s="1407"/>
      <c r="EM36" s="1407"/>
      <c r="EN36" s="1407"/>
      <c r="EO36" s="1407"/>
      <c r="EP36" s="1407"/>
      <c r="EQ36" s="1407"/>
      <c r="ER36" s="1407"/>
      <c r="ES36" s="1407"/>
      <c r="ET36" s="1407"/>
      <c r="EU36" s="1407"/>
      <c r="EV36" s="1407"/>
      <c r="EW36" s="1407"/>
      <c r="EX36" s="1407"/>
      <c r="EY36" s="1407"/>
      <c r="EZ36" s="1407"/>
      <c r="FA36" s="1407"/>
      <c r="FB36" s="1407"/>
      <c r="FC36" s="1407"/>
      <c r="FD36" s="1407"/>
      <c r="FE36" s="1407"/>
      <c r="FF36" s="1407"/>
      <c r="FG36" s="1407"/>
      <c r="FH36" s="1407"/>
      <c r="FI36" s="1407"/>
      <c r="FJ36" s="1407"/>
      <c r="FK36" s="1407"/>
      <c r="FL36" s="1407"/>
      <c r="FM36" s="1407"/>
      <c r="FN36" s="1407"/>
      <c r="FO36" s="1407"/>
      <c r="FP36" s="1407"/>
      <c r="FQ36" s="1407"/>
      <c r="FR36" s="1407"/>
      <c r="FS36" s="1407"/>
      <c r="FT36" s="1407"/>
      <c r="FU36" s="1407"/>
      <c r="FV36" s="1407"/>
      <c r="FW36" s="1407"/>
      <c r="FX36" s="1407"/>
      <c r="FY36" s="1407"/>
      <c r="FZ36" s="1407"/>
      <c r="GA36" s="1407"/>
      <c r="GB36" s="1407"/>
      <c r="GC36" s="1407"/>
      <c r="GD36" s="1407"/>
      <c r="GE36" s="1407"/>
    </row>
    <row r="37" spans="1:187" s="1380" customFormat="1" ht="15.2" customHeight="1" thickBot="1">
      <c r="A37" s="1415"/>
      <c r="B37" s="1415"/>
      <c r="C37" s="1415"/>
      <c r="D37" s="1415"/>
      <c r="E37" s="1518"/>
      <c r="F37" s="1518"/>
      <c r="G37" s="1518"/>
      <c r="H37" s="1518"/>
      <c r="I37" s="1518"/>
      <c r="J37" s="1518"/>
      <c r="K37" s="1518"/>
      <c r="L37" s="1415"/>
      <c r="M37" s="1414"/>
    </row>
    <row r="38" spans="1:187" s="1380" customFormat="1" ht="15.2" customHeight="1" thickTop="1">
      <c r="H38" s="2687" t="s">
        <v>0</v>
      </c>
      <c r="I38" s="2687"/>
      <c r="J38" s="2687"/>
      <c r="K38" s="2687"/>
      <c r="L38" s="2687"/>
      <c r="M38" s="1414"/>
    </row>
    <row r="39" spans="1:187" s="1380" customFormat="1" ht="15.2" customHeight="1">
      <c r="H39" s="2683" t="s">
        <v>1034</v>
      </c>
      <c r="I39" s="2683"/>
      <c r="J39" s="2683"/>
      <c r="K39" s="2683"/>
      <c r="L39" s="2683"/>
      <c r="M39" s="1414"/>
    </row>
    <row r="40" spans="1:187" s="1380" customFormat="1" ht="15.2" customHeight="1">
      <c r="H40" s="2684" t="s">
        <v>1</v>
      </c>
      <c r="I40" s="2684"/>
      <c r="J40" s="2684"/>
      <c r="K40" s="2684"/>
      <c r="L40" s="2684"/>
      <c r="M40" s="1414"/>
    </row>
    <row r="41" spans="1:187" s="1380" customFormat="1" ht="15.2" customHeight="1">
      <c r="G41" s="2684" t="s">
        <v>1035</v>
      </c>
      <c r="H41" s="2684"/>
      <c r="I41" s="2684"/>
      <c r="J41" s="2684"/>
      <c r="K41" s="2684"/>
      <c r="L41" s="2684"/>
      <c r="M41" s="1414"/>
    </row>
    <row r="42" spans="1:187" s="1380" customFormat="1" ht="15.2" customHeight="1">
      <c r="G42" s="1340"/>
      <c r="H42" s="1340"/>
      <c r="I42" s="1340"/>
      <c r="J42" s="1340"/>
      <c r="K42" s="1340"/>
      <c r="L42" s="1340"/>
      <c r="M42" s="1414"/>
    </row>
    <row r="43" spans="1:187" s="1380" customFormat="1" ht="15.2" customHeight="1">
      <c r="A43" s="1343" t="s">
        <v>2</v>
      </c>
      <c r="H43" s="2684"/>
      <c r="I43" s="2686"/>
      <c r="J43" s="2686"/>
      <c r="K43" s="2686"/>
      <c r="L43" s="2686"/>
      <c r="M43" s="1414"/>
    </row>
    <row r="44" spans="1:187" s="1380" customFormat="1" ht="15.75">
      <c r="A44" s="1346" t="s">
        <v>3</v>
      </c>
      <c r="B44" s="1416" t="s">
        <v>1426</v>
      </c>
      <c r="L44" s="1414"/>
      <c r="M44" s="1414"/>
    </row>
    <row r="45" spans="1:187" s="1380" customFormat="1" ht="14.25">
      <c r="A45" s="836"/>
      <c r="B45" s="1352" t="s">
        <v>1427</v>
      </c>
      <c r="L45" s="1414"/>
      <c r="M45" s="1414"/>
    </row>
    <row r="46" spans="1:187" s="1380" customFormat="1" ht="8.1" customHeight="1">
      <c r="A46" s="1417"/>
      <c r="B46" s="1352"/>
      <c r="L46" s="1414"/>
      <c r="M46" s="1414"/>
    </row>
    <row r="47" spans="1:187" s="1380" customFormat="1" ht="15.75">
      <c r="A47" s="1346" t="s">
        <v>4</v>
      </c>
      <c r="B47" s="1351" t="s">
        <v>1428</v>
      </c>
      <c r="L47" s="1414"/>
      <c r="M47" s="1414"/>
    </row>
    <row r="48" spans="1:187" s="1380" customFormat="1" ht="14.25">
      <c r="B48" s="1352" t="s">
        <v>1429</v>
      </c>
      <c r="L48" s="1414"/>
      <c r="M48" s="1414"/>
    </row>
    <row r="49" spans="1:13" s="1380" customFormat="1" ht="8.1" customHeight="1">
      <c r="B49" s="1352"/>
      <c r="L49" s="1414"/>
      <c r="M49" s="1414"/>
    </row>
    <row r="50" spans="1:13" s="1419" customFormat="1" ht="15.2" customHeight="1">
      <c r="A50" s="1346" t="s">
        <v>263</v>
      </c>
      <c r="B50" s="1351" t="s">
        <v>1430</v>
      </c>
      <c r="C50" s="1380"/>
      <c r="D50" s="1380"/>
      <c r="E50" s="1380"/>
      <c r="F50" s="1380"/>
      <c r="G50" s="1380"/>
      <c r="H50" s="1380"/>
      <c r="I50" s="1380"/>
      <c r="J50" s="1380"/>
      <c r="K50" s="1380"/>
      <c r="L50" s="1414"/>
      <c r="M50" s="1418"/>
    </row>
    <row r="51" spans="1:13" s="1380" customFormat="1" ht="14.25">
      <c r="A51" s="1419"/>
      <c r="B51" s="1352" t="s">
        <v>1431</v>
      </c>
      <c r="C51" s="1419"/>
      <c r="D51" s="1419"/>
      <c r="E51" s="1419"/>
      <c r="F51" s="1419"/>
      <c r="G51" s="1419"/>
      <c r="H51" s="1419"/>
      <c r="I51" s="1419"/>
      <c r="J51" s="1419"/>
      <c r="K51" s="1419"/>
      <c r="L51" s="1418"/>
      <c r="M51" s="1414"/>
    </row>
    <row r="52" spans="1:13" s="1380" customFormat="1" ht="7.9" customHeight="1">
      <c r="B52" s="1352"/>
      <c r="L52" s="1414"/>
      <c r="M52" s="1414"/>
    </row>
    <row r="53" spans="1:13" s="1335" customFormat="1" ht="15.2" customHeight="1">
      <c r="A53" s="1346" t="s">
        <v>570</v>
      </c>
      <c r="B53" s="1347" t="s">
        <v>1969</v>
      </c>
      <c r="C53" s="1348"/>
      <c r="D53" s="1349"/>
      <c r="G53" s="1344"/>
      <c r="H53" s="1344"/>
      <c r="I53" s="1344"/>
      <c r="J53" s="1344"/>
      <c r="K53" s="1344"/>
      <c r="L53" s="1344"/>
      <c r="M53" s="1344"/>
    </row>
    <row r="54" spans="1:13" s="1335" customFormat="1" ht="15.2" customHeight="1">
      <c r="A54" s="1349"/>
      <c r="B54" s="1350" t="s">
        <v>1962</v>
      </c>
      <c r="C54" s="1348"/>
      <c r="D54" s="1349"/>
      <c r="G54" s="1344"/>
      <c r="H54" s="1344"/>
      <c r="I54" s="1344"/>
      <c r="J54" s="1344"/>
      <c r="K54" s="1344"/>
      <c r="L54" s="1344"/>
      <c r="M54" s="1344"/>
    </row>
    <row r="55" spans="1:13" ht="8.1" customHeight="1">
      <c r="A55" s="1417"/>
      <c r="B55" s="1352"/>
      <c r="C55" s="1380"/>
      <c r="D55" s="1380"/>
      <c r="E55" s="1380"/>
      <c r="F55" s="1380"/>
      <c r="G55" s="1380"/>
      <c r="H55" s="1380"/>
      <c r="I55" s="1380"/>
      <c r="J55" s="1380"/>
      <c r="K55" s="1380"/>
      <c r="L55" s="1414"/>
    </row>
    <row r="56" spans="1:13" ht="15.2" customHeight="1">
      <c r="A56" s="1346" t="s">
        <v>1970</v>
      </c>
      <c r="B56" s="1351" t="s">
        <v>832</v>
      </c>
      <c r="C56" s="1380"/>
      <c r="D56" s="1380"/>
      <c r="E56" s="1380"/>
      <c r="F56" s="1380"/>
      <c r="G56" s="1380"/>
      <c r="H56" s="1380"/>
      <c r="I56" s="1380"/>
      <c r="J56" s="1380"/>
      <c r="K56" s="1380"/>
      <c r="L56" s="1414"/>
    </row>
    <row r="57" spans="1:13" ht="15.2" customHeight="1">
      <c r="A57" s="1417"/>
      <c r="B57" s="1352" t="s">
        <v>833</v>
      </c>
      <c r="C57" s="1380"/>
      <c r="D57" s="1380"/>
      <c r="E57" s="1380"/>
      <c r="F57" s="1380"/>
      <c r="G57" s="1380"/>
      <c r="H57" s="1380"/>
      <c r="I57" s="1380"/>
      <c r="J57" s="1380"/>
      <c r="K57" s="1380"/>
      <c r="L57" s="1414"/>
    </row>
    <row r="58" spans="1:13" ht="8.1" customHeight="1">
      <c r="A58" s="1417"/>
      <c r="B58" s="1352"/>
      <c r="C58" s="1380"/>
      <c r="D58" s="1380"/>
      <c r="E58" s="1380"/>
      <c r="F58" s="1380"/>
      <c r="G58" s="1380"/>
      <c r="H58" s="1380"/>
      <c r="I58" s="1380"/>
      <c r="J58" s="1380"/>
      <c r="K58" s="1380"/>
      <c r="L58" s="1414"/>
    </row>
    <row r="59" spans="1:13" ht="15.2" customHeight="1">
      <c r="A59" s="1346" t="s">
        <v>897</v>
      </c>
      <c r="B59" s="1351" t="s">
        <v>1028</v>
      </c>
      <c r="C59" s="1380"/>
      <c r="D59" s="1380"/>
      <c r="E59" s="1380"/>
      <c r="F59" s="1380"/>
      <c r="G59" s="1380"/>
      <c r="H59" s="1380"/>
      <c r="I59" s="1380"/>
      <c r="J59" s="1380"/>
      <c r="K59" s="1380"/>
      <c r="L59" s="1414"/>
    </row>
    <row r="60" spans="1:13" ht="15.2" customHeight="1">
      <c r="A60" s="1417"/>
      <c r="B60" s="1352" t="s">
        <v>1029</v>
      </c>
      <c r="C60" s="1380"/>
      <c r="D60" s="1380"/>
      <c r="E60" s="1380"/>
      <c r="F60" s="1380"/>
      <c r="G60" s="1380"/>
      <c r="H60" s="1380"/>
      <c r="I60" s="1380"/>
      <c r="J60" s="1380"/>
      <c r="K60" s="1380"/>
      <c r="L60" s="1414"/>
    </row>
    <row r="61" spans="1:13" ht="8.1" customHeight="1"/>
    <row r="62" spans="1:13" ht="15.2" customHeight="1">
      <c r="A62" s="1346" t="s">
        <v>1027</v>
      </c>
      <c r="B62" s="1351" t="s">
        <v>1031</v>
      </c>
      <c r="C62" s="1380"/>
      <c r="D62" s="1380"/>
      <c r="E62" s="1380"/>
      <c r="F62" s="1380"/>
      <c r="G62" s="1380"/>
      <c r="H62" s="1380"/>
      <c r="I62" s="1380"/>
      <c r="J62" s="1380"/>
      <c r="K62" s="1380"/>
      <c r="L62" s="1414"/>
    </row>
    <row r="63" spans="1:13" ht="15.2" customHeight="1">
      <c r="A63" s="1417"/>
      <c r="B63" s="1352" t="s">
        <v>1030</v>
      </c>
      <c r="C63" s="1380"/>
      <c r="D63" s="1380"/>
      <c r="E63" s="1380"/>
      <c r="F63" s="1380"/>
      <c r="G63" s="1380"/>
      <c r="H63" s="1380"/>
      <c r="I63" s="1380"/>
      <c r="J63" s="1380"/>
      <c r="K63" s="1380"/>
      <c r="L63" s="1414"/>
    </row>
  </sheetData>
  <mergeCells count="8">
    <mergeCell ref="H43:L43"/>
    <mergeCell ref="B6:C6"/>
    <mergeCell ref="H38:L38"/>
    <mergeCell ref="H40:L40"/>
    <mergeCell ref="B32:D32"/>
    <mergeCell ref="B35:D35"/>
    <mergeCell ref="H39:L39"/>
    <mergeCell ref="G41:L41"/>
  </mergeCells>
  <conditionalFormatting sqref="C9:C31">
    <cfRule type="cellIs" dxfId="95" priority="9" stopIfTrue="1" operator="lessThan">
      <formula>0</formula>
    </cfRule>
  </conditionalFormatting>
  <conditionalFormatting sqref="C33:C34">
    <cfRule type="cellIs" dxfId="94" priority="4" stopIfTrue="1" operator="lessThan">
      <formula>0</formula>
    </cfRule>
  </conditionalFormatting>
  <conditionalFormatting sqref="C36">
    <cfRule type="cellIs" dxfId="93" priority="3" stopIfTrue="1" operator="lessThan">
      <formula>0</formula>
    </cfRule>
  </conditionalFormatting>
  <conditionalFormatting sqref="D53:D54">
    <cfRule type="cellIs" dxfId="92" priority="1" stopIfTrue="1" operator="lessThan">
      <formula>0</formula>
    </cfRule>
  </conditionalFormatting>
  <pageMargins left="0.55118110236220474" right="0.55118110236220474" top="0.55118110236220474" bottom="0.55118110236220474" header="0.55118110236220474" footer="0.55118110236220474"/>
  <pageSetup paperSize="9" scale="67" fitToHeight="0" orientation="portrait" r:id="rId1"/>
  <headerFooter scaleWithDoc="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3">
    <tabColor theme="4" tint="0.39997558519241921"/>
    <pageSetUpPr fitToPage="1"/>
  </sheetPr>
  <dimension ref="A1:P81"/>
  <sheetViews>
    <sheetView view="pageBreakPreview" zoomScale="110" zoomScaleNormal="100" zoomScaleSheetLayoutView="110" workbookViewId="0">
      <selection activeCell="C3" sqref="C3"/>
    </sheetView>
  </sheetViews>
  <sheetFormatPr defaultColWidth="9.140625" defaultRowHeight="15.2" customHeight="1"/>
  <cols>
    <col min="1" max="1" width="3" style="1394" customWidth="1"/>
    <col min="2" max="2" width="11.85546875" style="1394" customWidth="1"/>
    <col min="3" max="3" width="30.7109375" style="1394" customWidth="1"/>
    <col min="4" max="4" width="3.42578125" style="1394" customWidth="1"/>
    <col min="5" max="5" width="6.42578125" style="1394" customWidth="1"/>
    <col min="6" max="6" width="0.85546875" style="1394" customWidth="1"/>
    <col min="7" max="7" width="2.7109375" style="1394" customWidth="1"/>
    <col min="8" max="14" width="13.5703125" style="1394" customWidth="1"/>
    <col min="15" max="15" width="0.85546875" style="1394" customWidth="1"/>
    <col min="16" max="16384" width="9.140625" style="1394"/>
  </cols>
  <sheetData>
    <row r="1" spans="1:15" ht="8.1" customHeight="1"/>
    <row r="2" spans="1:15" ht="8.1" customHeight="1"/>
    <row r="3" spans="1:15" s="1423" customFormat="1" ht="16.5" customHeight="1">
      <c r="A3" s="1395"/>
      <c r="B3" s="1396" t="s">
        <v>898</v>
      </c>
      <c r="C3" s="1422" t="s">
        <v>1985</v>
      </c>
      <c r="D3" s="1398"/>
      <c r="E3" s="1398"/>
      <c r="F3" s="1398"/>
      <c r="G3" s="1398"/>
      <c r="H3" s="1398"/>
      <c r="I3" s="1398"/>
      <c r="J3" s="1398"/>
      <c r="K3" s="1398"/>
      <c r="L3" s="1398"/>
      <c r="M3" s="1394"/>
      <c r="N3" s="1394"/>
      <c r="O3" s="1394"/>
    </row>
    <row r="4" spans="1:15" s="1423" customFormat="1" ht="16.5" customHeight="1">
      <c r="A4" s="1330"/>
      <c r="B4" s="1424" t="s">
        <v>899</v>
      </c>
      <c r="C4" s="1425" t="s">
        <v>1986</v>
      </c>
      <c r="D4" s="1401"/>
      <c r="E4" s="1401"/>
      <c r="F4" s="1401"/>
      <c r="G4" s="1401"/>
      <c r="H4" s="1401"/>
      <c r="I4" s="1401"/>
      <c r="J4" s="1401"/>
      <c r="K4" s="1401"/>
      <c r="L4" s="1401"/>
      <c r="M4" s="1394"/>
      <c r="N4" s="1394"/>
      <c r="O4" s="1394"/>
    </row>
    <row r="5" spans="1:15" ht="13.15" customHeight="1" thickBot="1">
      <c r="A5" s="1402"/>
      <c r="B5" s="1402"/>
      <c r="C5" s="1402"/>
      <c r="D5" s="1402"/>
      <c r="E5" s="1402"/>
      <c r="F5" s="1402"/>
      <c r="G5" s="1402"/>
      <c r="H5" s="1402"/>
      <c r="I5" s="1402"/>
      <c r="J5" s="1402"/>
      <c r="K5" s="1402"/>
      <c r="L5" s="1402"/>
    </row>
    <row r="6" spans="1:15" s="1330" customFormat="1" ht="54" customHeight="1" thickBot="1">
      <c r="A6" s="1403"/>
      <c r="B6" s="2664" t="s">
        <v>900</v>
      </c>
      <c r="C6" s="2664"/>
      <c r="D6" s="1403"/>
      <c r="E6" s="791"/>
      <c r="F6" s="791"/>
      <c r="G6" s="791"/>
      <c r="H6" s="789" t="s">
        <v>1057</v>
      </c>
      <c r="I6" s="790" t="s">
        <v>1057</v>
      </c>
      <c r="J6" s="790" t="s">
        <v>1057</v>
      </c>
      <c r="K6" s="790" t="s">
        <v>1057</v>
      </c>
      <c r="L6" s="790" t="s">
        <v>1057</v>
      </c>
      <c r="M6" s="791" t="s">
        <v>1061</v>
      </c>
      <c r="N6" s="791" t="s">
        <v>1062</v>
      </c>
      <c r="O6" s="1404"/>
    </row>
    <row r="7" spans="1:15" s="1330" customFormat="1" ht="16.350000000000001" customHeight="1">
      <c r="B7" s="1406"/>
      <c r="C7" s="1405"/>
      <c r="D7" s="1405"/>
      <c r="E7" s="1426"/>
      <c r="F7" s="1426"/>
      <c r="G7" s="1426"/>
      <c r="H7" s="1495"/>
      <c r="I7" s="1495"/>
      <c r="J7" s="1495"/>
      <c r="K7" s="1495"/>
      <c r="L7" s="1517"/>
      <c r="M7" s="1519"/>
      <c r="N7" s="1517"/>
    </row>
    <row r="8" spans="1:15" s="1330" customFormat="1" ht="15.2" customHeight="1">
      <c r="B8" s="1409" t="s">
        <v>901</v>
      </c>
      <c r="C8" s="1332"/>
      <c r="E8" s="1333"/>
      <c r="F8" s="1333"/>
      <c r="G8" s="1333"/>
      <c r="H8" s="1463">
        <v>123456</v>
      </c>
      <c r="I8" s="1463">
        <v>123456</v>
      </c>
      <c r="J8" s="1463">
        <v>123456</v>
      </c>
      <c r="K8" s="1463">
        <v>123456</v>
      </c>
      <c r="L8" s="1463">
        <v>123456</v>
      </c>
      <c r="M8" s="1463">
        <v>123456</v>
      </c>
      <c r="N8" s="1463">
        <v>123456</v>
      </c>
    </row>
    <row r="9" spans="1:15" s="1330" customFormat="1" ht="15.2" customHeight="1">
      <c r="B9" s="1428" t="s">
        <v>1069</v>
      </c>
      <c r="C9" s="1332"/>
      <c r="E9" s="1333"/>
      <c r="F9" s="1333"/>
      <c r="G9" s="1333"/>
      <c r="H9" s="1463">
        <v>123456</v>
      </c>
      <c r="I9" s="1463">
        <v>123456</v>
      </c>
      <c r="J9" s="1463">
        <v>123456</v>
      </c>
      <c r="K9" s="1463">
        <v>123456</v>
      </c>
      <c r="L9" s="1463">
        <v>123456</v>
      </c>
      <c r="M9" s="1463">
        <v>123456</v>
      </c>
      <c r="N9" s="1463">
        <v>123456</v>
      </c>
    </row>
    <row r="10" spans="1:15" s="1330" customFormat="1" ht="15.2" customHeight="1">
      <c r="B10" s="1428" t="s">
        <v>902</v>
      </c>
      <c r="C10" s="1332"/>
      <c r="E10" s="1333"/>
      <c r="F10" s="1333"/>
      <c r="G10" s="1333"/>
      <c r="H10" s="1463">
        <v>123456</v>
      </c>
      <c r="I10" s="1463">
        <v>123456</v>
      </c>
      <c r="J10" s="1463">
        <v>123456</v>
      </c>
      <c r="K10" s="1463">
        <v>123456</v>
      </c>
      <c r="L10" s="1463">
        <v>123456</v>
      </c>
      <c r="M10" s="1463">
        <v>123456</v>
      </c>
      <c r="N10" s="1463">
        <v>123456</v>
      </c>
    </row>
    <row r="11" spans="1:15" s="1330" customFormat="1" ht="15.2" customHeight="1">
      <c r="B11" s="1428" t="s">
        <v>903</v>
      </c>
      <c r="C11" s="1332"/>
      <c r="E11" s="1333"/>
      <c r="F11" s="1333"/>
      <c r="G11" s="1333"/>
      <c r="H11" s="1463">
        <v>123456</v>
      </c>
      <c r="I11" s="1463">
        <v>123456</v>
      </c>
      <c r="J11" s="1463">
        <v>123456</v>
      </c>
      <c r="K11" s="1463">
        <v>123456</v>
      </c>
      <c r="L11" s="1463">
        <v>123456</v>
      </c>
      <c r="M11" s="1463">
        <v>123456</v>
      </c>
      <c r="N11" s="1463">
        <v>123456</v>
      </c>
    </row>
    <row r="12" spans="1:15" s="1330" customFormat="1" ht="15.2" customHeight="1">
      <c r="B12" s="1331"/>
      <c r="C12" s="1332"/>
      <c r="E12" s="1333"/>
      <c r="F12" s="1333"/>
      <c r="G12" s="1333"/>
      <c r="H12" s="1463"/>
      <c r="I12" s="1463"/>
      <c r="J12" s="1463"/>
      <c r="K12" s="1463"/>
      <c r="L12" s="1513"/>
      <c r="M12" s="1513"/>
      <c r="N12" s="1517"/>
    </row>
    <row r="13" spans="1:15" s="1330" customFormat="1" ht="15.2" customHeight="1">
      <c r="B13" s="1409" t="s">
        <v>904</v>
      </c>
      <c r="C13" s="1332"/>
      <c r="E13" s="1333"/>
      <c r="F13" s="1333"/>
      <c r="G13" s="1333"/>
      <c r="H13" s="1463">
        <v>123456</v>
      </c>
      <c r="I13" s="1463">
        <v>123456</v>
      </c>
      <c r="J13" s="1463">
        <v>123456</v>
      </c>
      <c r="K13" s="1463">
        <v>123456</v>
      </c>
      <c r="L13" s="1463">
        <v>123456</v>
      </c>
      <c r="M13" s="1463">
        <v>123456</v>
      </c>
      <c r="N13" s="1463">
        <v>123456</v>
      </c>
    </row>
    <row r="14" spans="1:15" s="1330" customFormat="1" ht="15.2" customHeight="1">
      <c r="B14" s="1428" t="s">
        <v>1069</v>
      </c>
      <c r="C14" s="1332"/>
      <c r="E14" s="1333"/>
      <c r="F14" s="1333"/>
      <c r="G14" s="1333"/>
      <c r="H14" s="1463">
        <v>123456</v>
      </c>
      <c r="I14" s="1463">
        <v>123456</v>
      </c>
      <c r="J14" s="1463">
        <v>123456</v>
      </c>
      <c r="K14" s="1463">
        <v>123456</v>
      </c>
      <c r="L14" s="1463">
        <v>123456</v>
      </c>
      <c r="M14" s="1463">
        <v>123456</v>
      </c>
      <c r="N14" s="1463">
        <v>123456</v>
      </c>
    </row>
    <row r="15" spans="1:15" s="1330" customFormat="1" ht="15.2" customHeight="1">
      <c r="B15" s="1428" t="s">
        <v>902</v>
      </c>
      <c r="C15" s="1332"/>
      <c r="E15" s="1333"/>
      <c r="F15" s="1333"/>
      <c r="G15" s="1333"/>
      <c r="H15" s="1463">
        <v>123456</v>
      </c>
      <c r="I15" s="1463">
        <v>123456</v>
      </c>
      <c r="J15" s="1463">
        <v>123456</v>
      </c>
      <c r="K15" s="1463">
        <v>123456</v>
      </c>
      <c r="L15" s="1463">
        <v>123456</v>
      </c>
      <c r="M15" s="1463">
        <v>123456</v>
      </c>
      <c r="N15" s="1463">
        <v>123456</v>
      </c>
    </row>
    <row r="16" spans="1:15" s="1330" customFormat="1" ht="15.2" customHeight="1">
      <c r="B16" s="1428" t="s">
        <v>903</v>
      </c>
      <c r="C16" s="1332"/>
      <c r="E16" s="1333"/>
      <c r="F16" s="1333"/>
      <c r="G16" s="1333"/>
      <c r="H16" s="1463">
        <v>123456</v>
      </c>
      <c r="I16" s="1463">
        <v>123456</v>
      </c>
      <c r="J16" s="1463">
        <v>123456</v>
      </c>
      <c r="K16" s="1463">
        <v>123456</v>
      </c>
      <c r="L16" s="1463">
        <v>123456</v>
      </c>
      <c r="M16" s="1463">
        <v>123456</v>
      </c>
      <c r="N16" s="1463">
        <v>123456</v>
      </c>
    </row>
    <row r="17" spans="2:14" s="1330" customFormat="1" ht="15.2" customHeight="1">
      <c r="B17" s="1331"/>
      <c r="C17" s="1332"/>
      <c r="E17" s="1333"/>
      <c r="F17" s="1333"/>
      <c r="G17" s="1333"/>
      <c r="H17" s="1463"/>
      <c r="I17" s="1463"/>
      <c r="J17" s="1463"/>
      <c r="K17" s="1463"/>
      <c r="L17" s="1513"/>
      <c r="M17" s="1513"/>
      <c r="N17" s="1517"/>
    </row>
    <row r="18" spans="2:14" s="1330" customFormat="1" ht="15.2" customHeight="1">
      <c r="B18" s="1409" t="s">
        <v>905</v>
      </c>
      <c r="C18" s="1332"/>
      <c r="E18" s="1333"/>
      <c r="F18" s="1333"/>
      <c r="G18" s="1333"/>
      <c r="H18" s="1463">
        <v>123456</v>
      </c>
      <c r="I18" s="1463">
        <v>123456</v>
      </c>
      <c r="J18" s="1463">
        <v>123456</v>
      </c>
      <c r="K18" s="1463">
        <v>123456</v>
      </c>
      <c r="L18" s="1463">
        <v>123456</v>
      </c>
      <c r="M18" s="1463">
        <v>123456</v>
      </c>
      <c r="N18" s="1463">
        <v>123456</v>
      </c>
    </row>
    <row r="19" spans="2:14" s="1330" customFormat="1" ht="15.2" customHeight="1">
      <c r="B19" s="1428" t="s">
        <v>906</v>
      </c>
      <c r="C19" s="1332"/>
      <c r="E19" s="1333"/>
      <c r="F19" s="1333"/>
      <c r="G19" s="1333"/>
      <c r="H19" s="1463">
        <v>123456</v>
      </c>
      <c r="I19" s="1463">
        <v>123456</v>
      </c>
      <c r="J19" s="1463">
        <v>123456</v>
      </c>
      <c r="K19" s="1463">
        <v>123456</v>
      </c>
      <c r="L19" s="1463">
        <v>123456</v>
      </c>
      <c r="M19" s="1463">
        <v>123456</v>
      </c>
      <c r="N19" s="1463">
        <v>123456</v>
      </c>
    </row>
    <row r="20" spans="2:14" s="1330" customFormat="1" ht="15.2" customHeight="1">
      <c r="B20" s="1428" t="s">
        <v>907</v>
      </c>
      <c r="C20" s="1332"/>
      <c r="E20" s="1333"/>
      <c r="F20" s="1333"/>
      <c r="G20" s="1333"/>
      <c r="H20" s="1463">
        <v>123456</v>
      </c>
      <c r="I20" s="1463">
        <v>123456</v>
      </c>
      <c r="J20" s="1463">
        <v>123456</v>
      </c>
      <c r="K20" s="1463">
        <v>123456</v>
      </c>
      <c r="L20" s="1463">
        <v>123456</v>
      </c>
      <c r="M20" s="1463">
        <v>123456</v>
      </c>
      <c r="N20" s="1463">
        <v>123456</v>
      </c>
    </row>
    <row r="21" spans="2:14" s="1330" customFormat="1" ht="15.2" customHeight="1">
      <c r="B21" s="1428" t="s">
        <v>908</v>
      </c>
      <c r="C21" s="1332"/>
      <c r="E21" s="1333"/>
      <c r="F21" s="1333"/>
      <c r="G21" s="1333"/>
      <c r="H21" s="1463">
        <v>123456</v>
      </c>
      <c r="I21" s="1463">
        <v>123456</v>
      </c>
      <c r="J21" s="1463">
        <v>123456</v>
      </c>
      <c r="K21" s="1463">
        <v>123456</v>
      </c>
      <c r="L21" s="1463">
        <v>123456</v>
      </c>
      <c r="M21" s="1463">
        <v>123456</v>
      </c>
      <c r="N21" s="1463">
        <v>123456</v>
      </c>
    </row>
    <row r="22" spans="2:14" s="1330" customFormat="1" ht="15.2" customHeight="1">
      <c r="B22" s="1331"/>
      <c r="C22" s="1332"/>
      <c r="E22" s="1333"/>
      <c r="F22" s="1333"/>
      <c r="G22" s="1333"/>
      <c r="H22" s="1463"/>
      <c r="I22" s="1463"/>
      <c r="J22" s="1463"/>
      <c r="K22" s="1463"/>
      <c r="L22" s="1513"/>
      <c r="M22" s="1513"/>
      <c r="N22" s="1517"/>
    </row>
    <row r="23" spans="2:14" s="1330" customFormat="1" ht="15.2" customHeight="1">
      <c r="B23" s="1409" t="s">
        <v>909</v>
      </c>
      <c r="C23" s="1332"/>
      <c r="E23" s="1333"/>
      <c r="F23" s="1333"/>
      <c r="G23" s="1333"/>
      <c r="H23" s="1463">
        <v>123456</v>
      </c>
      <c r="I23" s="1463">
        <v>123456</v>
      </c>
      <c r="J23" s="1463">
        <v>123456</v>
      </c>
      <c r="K23" s="1463">
        <v>123456</v>
      </c>
      <c r="L23" s="1463">
        <v>123456</v>
      </c>
      <c r="M23" s="1463">
        <v>123456</v>
      </c>
      <c r="N23" s="1463">
        <v>123456</v>
      </c>
    </row>
    <row r="24" spans="2:14" s="1330" customFormat="1" ht="15.2" customHeight="1">
      <c r="B24" s="1331"/>
      <c r="C24" s="1332"/>
      <c r="E24" s="1333"/>
      <c r="F24" s="1333"/>
      <c r="G24" s="1333"/>
      <c r="H24" s="1463"/>
      <c r="I24" s="1463"/>
      <c r="J24" s="1517"/>
      <c r="K24" s="1517"/>
      <c r="L24" s="1513"/>
      <c r="M24" s="1513"/>
      <c r="N24" s="1517"/>
    </row>
    <row r="25" spans="2:14" s="1330" customFormat="1" ht="15.2" customHeight="1">
      <c r="B25" s="1409" t="s">
        <v>910</v>
      </c>
      <c r="C25" s="1332"/>
      <c r="E25" s="1333"/>
      <c r="F25" s="1333"/>
      <c r="G25" s="1333"/>
      <c r="H25" s="1463">
        <v>123456</v>
      </c>
      <c r="I25" s="1463">
        <v>123456</v>
      </c>
      <c r="J25" s="1463">
        <v>123456</v>
      </c>
      <c r="K25" s="1463">
        <v>123456</v>
      </c>
      <c r="L25" s="1463">
        <v>123456</v>
      </c>
      <c r="M25" s="1463">
        <v>123456</v>
      </c>
      <c r="N25" s="1463">
        <v>123456</v>
      </c>
    </row>
    <row r="26" spans="2:14" s="1330" customFormat="1" ht="15.2" customHeight="1">
      <c r="B26" s="1331" t="s">
        <v>911</v>
      </c>
      <c r="C26" s="1332"/>
      <c r="E26" s="1333"/>
      <c r="F26" s="1333"/>
      <c r="G26" s="1333"/>
      <c r="H26" s="1463"/>
      <c r="I26" s="1463"/>
      <c r="J26" s="1517"/>
      <c r="K26" s="1517"/>
      <c r="L26" s="1513"/>
      <c r="M26" s="1513"/>
      <c r="N26" s="1517"/>
    </row>
    <row r="27" spans="2:14" s="1330" customFormat="1" ht="15.2" customHeight="1">
      <c r="B27" s="1331"/>
      <c r="C27" s="1332"/>
      <c r="E27" s="1333"/>
      <c r="F27" s="1333"/>
      <c r="G27" s="1333"/>
      <c r="H27" s="1463"/>
      <c r="I27" s="1463"/>
      <c r="J27" s="1517"/>
      <c r="K27" s="1517"/>
      <c r="L27" s="1513"/>
      <c r="M27" s="1513"/>
      <c r="N27" s="1517"/>
    </row>
    <row r="28" spans="2:14" s="1330" customFormat="1" ht="15.2" customHeight="1">
      <c r="B28" s="1409" t="s">
        <v>912</v>
      </c>
      <c r="C28" s="1332"/>
      <c r="E28" s="1333"/>
      <c r="F28" s="1333"/>
      <c r="G28" s="1333"/>
      <c r="H28" s="1463">
        <v>123456</v>
      </c>
      <c r="I28" s="1463">
        <v>123456</v>
      </c>
      <c r="J28" s="1463">
        <v>123456</v>
      </c>
      <c r="K28" s="1463">
        <v>123456</v>
      </c>
      <c r="L28" s="1463">
        <v>123456</v>
      </c>
      <c r="M28" s="1463">
        <v>123456</v>
      </c>
      <c r="N28" s="1463">
        <v>123456</v>
      </c>
    </row>
    <row r="29" spans="2:14" s="1330" customFormat="1" ht="15.2" customHeight="1">
      <c r="B29" s="1331"/>
      <c r="C29" s="1332"/>
      <c r="E29" s="1333"/>
      <c r="F29" s="1333"/>
      <c r="G29" s="1333"/>
      <c r="H29" s="1463"/>
      <c r="I29" s="1463"/>
      <c r="J29" s="1463"/>
      <c r="K29" s="1463"/>
      <c r="L29" s="1513"/>
      <c r="M29" s="1513"/>
      <c r="N29" s="1517"/>
    </row>
    <row r="30" spans="2:14" s="1330" customFormat="1" ht="15.2" customHeight="1">
      <c r="B30" s="1409" t="s">
        <v>913</v>
      </c>
      <c r="C30" s="1332"/>
      <c r="E30" s="1333"/>
      <c r="F30" s="1333"/>
      <c r="G30" s="1333"/>
      <c r="H30" s="1463">
        <v>123456</v>
      </c>
      <c r="I30" s="1463">
        <v>123456</v>
      </c>
      <c r="J30" s="1463">
        <v>123456</v>
      </c>
      <c r="K30" s="1463">
        <v>123456</v>
      </c>
      <c r="L30" s="1463">
        <v>123456</v>
      </c>
      <c r="M30" s="1463">
        <v>123456</v>
      </c>
      <c r="N30" s="1463">
        <v>123456</v>
      </c>
    </row>
    <row r="31" spans="2:14" s="1330" customFormat="1" ht="15.2" customHeight="1">
      <c r="B31" s="1331"/>
      <c r="C31" s="1332"/>
      <c r="E31" s="1333"/>
      <c r="F31" s="1333"/>
      <c r="G31" s="1333"/>
      <c r="H31" s="1463"/>
      <c r="I31" s="1463"/>
      <c r="J31" s="1463"/>
      <c r="K31" s="1463"/>
      <c r="L31" s="1513"/>
      <c r="M31" s="1513"/>
      <c r="N31" s="1517"/>
    </row>
    <row r="32" spans="2:14" s="1330" customFormat="1" ht="15.2" customHeight="1">
      <c r="B32" s="1409" t="s">
        <v>914</v>
      </c>
      <c r="C32" s="1332"/>
      <c r="E32" s="1333"/>
      <c r="F32" s="1333"/>
      <c r="G32" s="1333"/>
      <c r="H32" s="1463">
        <v>123456</v>
      </c>
      <c r="I32" s="1463">
        <v>123456</v>
      </c>
      <c r="J32" s="1463">
        <v>123456</v>
      </c>
      <c r="K32" s="1463">
        <v>123456</v>
      </c>
      <c r="L32" s="1463">
        <v>123456</v>
      </c>
      <c r="M32" s="1463">
        <v>123456</v>
      </c>
      <c r="N32" s="1463">
        <v>123456</v>
      </c>
    </row>
    <row r="33" spans="2:14" s="1330" customFormat="1" ht="15.2" customHeight="1">
      <c r="B33" s="1331"/>
      <c r="C33" s="1332"/>
      <c r="E33" s="1333"/>
      <c r="F33" s="1333"/>
      <c r="G33" s="1333"/>
      <c r="H33" s="1463"/>
      <c r="I33" s="1463"/>
      <c r="J33" s="1463"/>
      <c r="K33" s="1463"/>
      <c r="L33" s="1513"/>
      <c r="M33" s="1513"/>
      <c r="N33" s="1517"/>
    </row>
    <row r="34" spans="2:14" s="1330" customFormat="1" ht="15.2" customHeight="1">
      <c r="B34" s="1409" t="s">
        <v>915</v>
      </c>
      <c r="C34" s="1332"/>
      <c r="E34" s="1333"/>
      <c r="F34" s="1333"/>
      <c r="G34" s="1333"/>
      <c r="H34" s="1463">
        <v>123456</v>
      </c>
      <c r="I34" s="1463">
        <v>123456</v>
      </c>
      <c r="J34" s="1463">
        <v>123456</v>
      </c>
      <c r="K34" s="1463">
        <v>123456</v>
      </c>
      <c r="L34" s="1463">
        <v>123456</v>
      </c>
      <c r="M34" s="1463">
        <v>123456</v>
      </c>
      <c r="N34" s="1463">
        <v>123456</v>
      </c>
    </row>
    <row r="35" spans="2:14" s="1330" customFormat="1" ht="15.2" customHeight="1">
      <c r="B35" s="1428" t="s">
        <v>916</v>
      </c>
      <c r="C35" s="1332"/>
      <c r="E35" s="1333"/>
      <c r="F35" s="1333"/>
      <c r="G35" s="1333"/>
      <c r="H35" s="1463">
        <v>123456</v>
      </c>
      <c r="I35" s="1463">
        <v>123456</v>
      </c>
      <c r="J35" s="1463">
        <v>123456</v>
      </c>
      <c r="K35" s="1463">
        <v>123456</v>
      </c>
      <c r="L35" s="1463">
        <v>123456</v>
      </c>
      <c r="M35" s="1463">
        <v>123456</v>
      </c>
      <c r="N35" s="1463">
        <v>123456</v>
      </c>
    </row>
    <row r="36" spans="2:14" s="1330" customFormat="1" ht="15.2" customHeight="1">
      <c r="B36" s="1428" t="s">
        <v>917</v>
      </c>
      <c r="C36" s="1332"/>
      <c r="E36" s="1333"/>
      <c r="F36" s="1333"/>
      <c r="G36" s="1333"/>
      <c r="H36" s="1463">
        <v>123456</v>
      </c>
      <c r="I36" s="1463">
        <v>123456</v>
      </c>
      <c r="J36" s="1463">
        <v>123456</v>
      </c>
      <c r="K36" s="1463">
        <v>123456</v>
      </c>
      <c r="L36" s="1463">
        <v>123456</v>
      </c>
      <c r="M36" s="1463">
        <v>123456</v>
      </c>
      <c r="N36" s="1463">
        <v>123456</v>
      </c>
    </row>
    <row r="37" spans="2:14" s="1330" customFormat="1" ht="15.2" customHeight="1">
      <c r="B37" s="1331"/>
      <c r="C37" s="1332"/>
      <c r="E37" s="1333"/>
      <c r="F37" s="1333"/>
      <c r="G37" s="1333"/>
      <c r="H37" s="1463"/>
      <c r="I37" s="1463"/>
      <c r="J37" s="1463"/>
      <c r="K37" s="1463"/>
      <c r="L37" s="1513"/>
      <c r="M37" s="1513"/>
      <c r="N37" s="1517"/>
    </row>
    <row r="38" spans="2:14" s="1330" customFormat="1" ht="15.2" customHeight="1">
      <c r="B38" s="1409" t="s">
        <v>918</v>
      </c>
      <c r="C38" s="1332"/>
      <c r="E38" s="1333"/>
      <c r="F38" s="1333"/>
      <c r="G38" s="1333"/>
      <c r="H38" s="1463">
        <v>123456</v>
      </c>
      <c r="I38" s="1463">
        <v>123456</v>
      </c>
      <c r="J38" s="1463">
        <v>123456</v>
      </c>
      <c r="K38" s="1463">
        <v>123456</v>
      </c>
      <c r="L38" s="1463">
        <v>123456</v>
      </c>
      <c r="M38" s="1463">
        <v>123456</v>
      </c>
      <c r="N38" s="1463">
        <v>123456</v>
      </c>
    </row>
    <row r="39" spans="2:14" s="1330" customFormat="1" ht="15.2" customHeight="1">
      <c r="B39" s="1331"/>
      <c r="C39" s="1332"/>
      <c r="E39" s="1333"/>
      <c r="F39" s="1333"/>
      <c r="G39" s="1333"/>
      <c r="H39" s="1463"/>
      <c r="I39" s="1463"/>
      <c r="J39" s="1463"/>
      <c r="K39" s="1463"/>
      <c r="L39" s="1513"/>
      <c r="M39" s="1513"/>
      <c r="N39" s="1517"/>
    </row>
    <row r="40" spans="2:14" s="1330" customFormat="1" ht="15.2" customHeight="1">
      <c r="B40" s="1409" t="s">
        <v>919</v>
      </c>
      <c r="C40" s="1332"/>
      <c r="E40" s="1333"/>
      <c r="F40" s="1333"/>
      <c r="G40" s="1333"/>
      <c r="H40" s="1463">
        <v>123456</v>
      </c>
      <c r="I40" s="1463">
        <v>123456</v>
      </c>
      <c r="J40" s="1463">
        <v>123456</v>
      </c>
      <c r="K40" s="1463">
        <v>123456</v>
      </c>
      <c r="L40" s="1463">
        <v>123456</v>
      </c>
      <c r="M40" s="1463">
        <v>123456</v>
      </c>
      <c r="N40" s="1463">
        <v>123456</v>
      </c>
    </row>
    <row r="41" spans="2:14" s="1330" customFormat="1" ht="15.2" customHeight="1">
      <c r="B41" s="1428" t="s">
        <v>920</v>
      </c>
      <c r="C41" s="1332"/>
      <c r="E41" s="1333"/>
      <c r="F41" s="1333"/>
      <c r="G41" s="1333"/>
      <c r="H41" s="1463">
        <v>123456</v>
      </c>
      <c r="I41" s="1463">
        <v>123456</v>
      </c>
      <c r="J41" s="1463">
        <v>123456</v>
      </c>
      <c r="K41" s="1463">
        <v>123456</v>
      </c>
      <c r="L41" s="1463">
        <v>123456</v>
      </c>
      <c r="M41" s="1463">
        <v>123456</v>
      </c>
      <c r="N41" s="1463">
        <v>123456</v>
      </c>
    </row>
    <row r="42" spans="2:14" s="1330" customFormat="1" ht="15.2" customHeight="1">
      <c r="B42" s="1428" t="s">
        <v>921</v>
      </c>
      <c r="C42" s="1332"/>
      <c r="E42" s="1333"/>
      <c r="F42" s="1333"/>
      <c r="G42" s="1333"/>
      <c r="H42" s="1463">
        <v>123456</v>
      </c>
      <c r="I42" s="1463">
        <v>123456</v>
      </c>
      <c r="J42" s="1463">
        <v>123456</v>
      </c>
      <c r="K42" s="1463">
        <v>123456</v>
      </c>
      <c r="L42" s="1463">
        <v>123456</v>
      </c>
      <c r="M42" s="1463">
        <v>123456</v>
      </c>
      <c r="N42" s="1463">
        <v>123456</v>
      </c>
    </row>
    <row r="43" spans="2:14" s="1330" customFormat="1" ht="15.2" customHeight="1">
      <c r="B43" s="1331"/>
      <c r="C43" s="1332"/>
      <c r="E43" s="1333"/>
      <c r="F43" s="1333"/>
      <c r="G43" s="1333"/>
      <c r="H43" s="1463"/>
      <c r="I43" s="1463"/>
      <c r="J43" s="1463"/>
      <c r="K43" s="1463"/>
      <c r="L43" s="1513"/>
      <c r="M43" s="1513"/>
      <c r="N43" s="1517"/>
    </row>
    <row r="44" spans="2:14" s="1330" customFormat="1" ht="15.2" customHeight="1">
      <c r="B44" s="1409" t="s">
        <v>922</v>
      </c>
      <c r="C44" s="1332"/>
      <c r="E44" s="1333"/>
      <c r="F44" s="1333"/>
      <c r="G44" s="1333"/>
      <c r="H44" s="1463">
        <v>123456</v>
      </c>
      <c r="I44" s="1463">
        <v>123456</v>
      </c>
      <c r="J44" s="1463">
        <v>123456</v>
      </c>
      <c r="K44" s="1463">
        <v>123456</v>
      </c>
      <c r="L44" s="1463">
        <v>123456</v>
      </c>
      <c r="M44" s="1463">
        <v>123456</v>
      </c>
      <c r="N44" s="1463">
        <v>123456</v>
      </c>
    </row>
    <row r="45" spans="2:14" s="1330" customFormat="1" ht="15.2" customHeight="1">
      <c r="B45" s="1331" t="s">
        <v>923</v>
      </c>
      <c r="C45" s="1332"/>
      <c r="E45" s="1333"/>
      <c r="F45" s="1333"/>
      <c r="G45" s="1333"/>
      <c r="H45" s="1463"/>
      <c r="I45" s="1463"/>
      <c r="J45" s="1463"/>
      <c r="K45" s="1463"/>
      <c r="L45" s="1513"/>
      <c r="M45" s="1513"/>
      <c r="N45" s="1517"/>
    </row>
    <row r="46" spans="2:14" s="1330" customFormat="1" ht="15.2" customHeight="1">
      <c r="B46" s="1429" t="s">
        <v>924</v>
      </c>
      <c r="C46" s="1332"/>
      <c r="E46" s="1333"/>
      <c r="F46" s="1333"/>
      <c r="G46" s="1333"/>
      <c r="H46" s="1463">
        <v>123456</v>
      </c>
      <c r="I46" s="1463">
        <v>123456</v>
      </c>
      <c r="J46" s="1463">
        <v>123456</v>
      </c>
      <c r="K46" s="1463">
        <v>123456</v>
      </c>
      <c r="L46" s="1463">
        <v>123456</v>
      </c>
      <c r="M46" s="1463">
        <v>123456</v>
      </c>
      <c r="N46" s="1463">
        <v>123456</v>
      </c>
    </row>
    <row r="47" spans="2:14" s="1330" customFormat="1" ht="15.2" customHeight="1">
      <c r="B47" s="326" t="s">
        <v>925</v>
      </c>
      <c r="C47" s="1332"/>
      <c r="E47" s="1333"/>
      <c r="F47" s="1333"/>
      <c r="G47" s="1333"/>
      <c r="H47" s="1463"/>
      <c r="I47" s="1463"/>
      <c r="J47" s="1463"/>
      <c r="K47" s="1463"/>
      <c r="L47" s="1513"/>
      <c r="M47" s="1513"/>
      <c r="N47" s="1517"/>
    </row>
    <row r="48" spans="2:14" s="1330" customFormat="1" ht="15.2" customHeight="1">
      <c r="B48" s="1430" t="s">
        <v>926</v>
      </c>
      <c r="C48" s="1332"/>
      <c r="E48" s="1333"/>
      <c r="F48" s="1333"/>
      <c r="G48" s="1333"/>
      <c r="H48" s="1463">
        <v>123456</v>
      </c>
      <c r="I48" s="1463">
        <v>123456</v>
      </c>
      <c r="J48" s="1463">
        <v>123456</v>
      </c>
      <c r="K48" s="1463">
        <v>123456</v>
      </c>
      <c r="L48" s="1463">
        <v>123456</v>
      </c>
      <c r="M48" s="1463">
        <v>123456</v>
      </c>
      <c r="N48" s="1463">
        <v>123456</v>
      </c>
    </row>
    <row r="49" spans="2:14" s="1330" customFormat="1" ht="15.2" customHeight="1">
      <c r="B49" s="326" t="s">
        <v>927</v>
      </c>
      <c r="C49" s="1332"/>
      <c r="E49" s="1333"/>
      <c r="F49" s="1333"/>
      <c r="G49" s="1333"/>
      <c r="H49" s="1463"/>
      <c r="I49" s="1463"/>
      <c r="J49" s="1463"/>
      <c r="K49" s="1463"/>
      <c r="L49" s="1513"/>
      <c r="M49" s="1513"/>
      <c r="N49" s="1517"/>
    </row>
    <row r="50" spans="2:14" s="1330" customFormat="1" ht="15.2" customHeight="1">
      <c r="B50" s="1331"/>
      <c r="C50" s="1332"/>
      <c r="E50" s="1333"/>
      <c r="F50" s="1333"/>
      <c r="G50" s="1333"/>
      <c r="H50" s="1463"/>
      <c r="I50" s="1463"/>
      <c r="J50" s="1463"/>
      <c r="K50" s="1463"/>
      <c r="L50" s="1513"/>
      <c r="M50" s="1513"/>
      <c r="N50" s="1517"/>
    </row>
    <row r="51" spans="2:14" s="1330" customFormat="1" ht="15.2" customHeight="1">
      <c r="B51" s="1409" t="s">
        <v>928</v>
      </c>
      <c r="C51" s="1332"/>
      <c r="E51" s="1333"/>
      <c r="F51" s="1333"/>
      <c r="G51" s="1333"/>
      <c r="H51" s="1463">
        <v>123456</v>
      </c>
      <c r="I51" s="1463">
        <v>123456</v>
      </c>
      <c r="J51" s="1463">
        <v>123456</v>
      </c>
      <c r="K51" s="1463">
        <v>123456</v>
      </c>
      <c r="L51" s="1463">
        <v>123456</v>
      </c>
      <c r="M51" s="1463">
        <v>123456</v>
      </c>
      <c r="N51" s="1463">
        <v>123456</v>
      </c>
    </row>
    <row r="52" spans="2:14" s="1330" customFormat="1" ht="15.2" customHeight="1">
      <c r="B52" s="1428" t="s">
        <v>929</v>
      </c>
      <c r="C52" s="1332"/>
      <c r="E52" s="1333"/>
      <c r="F52" s="1333"/>
      <c r="G52" s="1333"/>
      <c r="H52" s="1463">
        <v>123456</v>
      </c>
      <c r="I52" s="1463">
        <v>123456</v>
      </c>
      <c r="J52" s="1463">
        <v>123456</v>
      </c>
      <c r="K52" s="1463">
        <v>123456</v>
      </c>
      <c r="L52" s="1463">
        <v>123456</v>
      </c>
      <c r="M52" s="1463">
        <v>123456</v>
      </c>
      <c r="N52" s="1463">
        <v>123456</v>
      </c>
    </row>
    <row r="53" spans="2:14" s="1330" customFormat="1" ht="15.2" customHeight="1">
      <c r="B53" s="1428" t="s">
        <v>930</v>
      </c>
      <c r="C53" s="1332"/>
      <c r="E53" s="1333"/>
      <c r="F53" s="1333"/>
      <c r="G53" s="1333"/>
      <c r="H53" s="1463">
        <v>123456</v>
      </c>
      <c r="I53" s="1463">
        <v>123456</v>
      </c>
      <c r="J53" s="1463">
        <v>123456</v>
      </c>
      <c r="K53" s="1463">
        <v>123456</v>
      </c>
      <c r="L53" s="1463">
        <v>123456</v>
      </c>
      <c r="M53" s="1463">
        <v>123456</v>
      </c>
      <c r="N53" s="1463">
        <v>123456</v>
      </c>
    </row>
    <row r="54" spans="2:14" s="1330" customFormat="1" ht="15.2" customHeight="1">
      <c r="B54" s="1331"/>
      <c r="C54" s="1332"/>
      <c r="E54" s="1333"/>
      <c r="F54" s="1333"/>
      <c r="G54" s="1333"/>
      <c r="H54" s="1463"/>
      <c r="I54" s="1463"/>
      <c r="J54" s="1463"/>
      <c r="K54" s="1463"/>
      <c r="L54" s="1513"/>
      <c r="M54" s="1513"/>
      <c r="N54" s="1517"/>
    </row>
    <row r="55" spans="2:14" s="1330" customFormat="1" ht="15.2" customHeight="1">
      <c r="B55" s="1409" t="s">
        <v>931</v>
      </c>
      <c r="C55" s="1332"/>
      <c r="E55" s="1333"/>
      <c r="F55" s="1333"/>
      <c r="G55" s="1333"/>
      <c r="H55" s="1463">
        <v>123456</v>
      </c>
      <c r="I55" s="1463">
        <v>123456</v>
      </c>
      <c r="J55" s="1463">
        <v>123456</v>
      </c>
      <c r="K55" s="1463">
        <v>123456</v>
      </c>
      <c r="L55" s="1463">
        <v>123456</v>
      </c>
      <c r="M55" s="1463">
        <v>123456</v>
      </c>
      <c r="N55" s="1463">
        <v>123456</v>
      </c>
    </row>
    <row r="56" spans="2:14" s="1330" customFormat="1" ht="15.2" customHeight="1">
      <c r="B56" s="1430" t="s">
        <v>932</v>
      </c>
      <c r="C56" s="1332"/>
      <c r="E56" s="1333"/>
      <c r="F56" s="1333"/>
      <c r="G56" s="1333"/>
      <c r="H56" s="1463">
        <v>123456</v>
      </c>
      <c r="I56" s="1463">
        <v>123456</v>
      </c>
      <c r="J56" s="1463">
        <v>123456</v>
      </c>
      <c r="K56" s="1463">
        <v>123456</v>
      </c>
      <c r="L56" s="1463">
        <v>123456</v>
      </c>
      <c r="M56" s="1463">
        <v>123456</v>
      </c>
      <c r="N56" s="1463">
        <v>123456</v>
      </c>
    </row>
    <row r="57" spans="2:14" s="1330" customFormat="1" ht="15.2" customHeight="1">
      <c r="B57" s="1431" t="s">
        <v>933</v>
      </c>
      <c r="C57" s="1332"/>
      <c r="E57" s="1333"/>
      <c r="F57" s="1333"/>
      <c r="G57" s="1333"/>
      <c r="H57" s="1463"/>
      <c r="I57" s="1463"/>
      <c r="J57" s="1463"/>
      <c r="K57" s="1463"/>
      <c r="L57" s="1513"/>
      <c r="M57" s="1513"/>
      <c r="N57" s="1517"/>
    </row>
    <row r="58" spans="2:14" s="1330" customFormat="1" ht="15.2" customHeight="1">
      <c r="B58" s="1430" t="s">
        <v>934</v>
      </c>
      <c r="C58" s="1332"/>
      <c r="E58" s="1333"/>
      <c r="F58" s="1333"/>
      <c r="G58" s="1333"/>
      <c r="H58" s="1463">
        <v>123456</v>
      </c>
      <c r="I58" s="1463">
        <v>123456</v>
      </c>
      <c r="J58" s="1463">
        <v>123456</v>
      </c>
      <c r="K58" s="1463">
        <v>123456</v>
      </c>
      <c r="L58" s="1463">
        <v>123456</v>
      </c>
      <c r="M58" s="1463">
        <v>123456</v>
      </c>
      <c r="N58" s="1463">
        <v>123456</v>
      </c>
    </row>
    <row r="59" spans="2:14" s="1330" customFormat="1" ht="15.2" customHeight="1">
      <c r="B59" s="326" t="s">
        <v>935</v>
      </c>
      <c r="C59" s="1332"/>
      <c r="E59" s="1333"/>
      <c r="F59" s="1333"/>
      <c r="G59" s="1333"/>
      <c r="H59" s="1463"/>
      <c r="I59" s="1463"/>
      <c r="J59" s="1463"/>
      <c r="K59" s="1463"/>
      <c r="L59" s="1513"/>
      <c r="M59" s="1513"/>
      <c r="N59" s="1517"/>
    </row>
    <row r="60" spans="2:14" s="1330" customFormat="1" ht="15.2" customHeight="1">
      <c r="B60" s="1331"/>
      <c r="C60" s="1332"/>
      <c r="E60" s="1333"/>
      <c r="F60" s="1333"/>
      <c r="G60" s="1333"/>
      <c r="H60" s="1463"/>
      <c r="I60" s="1463"/>
      <c r="J60" s="1463"/>
      <c r="K60" s="1463"/>
      <c r="L60" s="1513"/>
      <c r="M60" s="1513"/>
      <c r="N60" s="1517"/>
    </row>
    <row r="61" spans="2:14" s="1330" customFormat="1" ht="15.2" customHeight="1">
      <c r="B61" s="1409" t="s">
        <v>936</v>
      </c>
      <c r="C61" s="1332"/>
      <c r="E61" s="1333"/>
      <c r="F61" s="1333"/>
      <c r="G61" s="1333"/>
      <c r="H61" s="1463">
        <v>123456</v>
      </c>
      <c r="I61" s="1463">
        <v>123456</v>
      </c>
      <c r="J61" s="1463">
        <v>123456</v>
      </c>
      <c r="K61" s="1463">
        <v>123456</v>
      </c>
      <c r="L61" s="1463">
        <v>123456</v>
      </c>
      <c r="M61" s="1463">
        <v>123456</v>
      </c>
      <c r="N61" s="1463">
        <v>123456</v>
      </c>
    </row>
    <row r="62" spans="2:14" s="1330" customFormat="1" ht="15.2" customHeight="1">
      <c r="B62" s="1428" t="s">
        <v>937</v>
      </c>
      <c r="C62" s="1332"/>
      <c r="E62" s="1333"/>
      <c r="F62" s="1333"/>
      <c r="G62" s="1333"/>
      <c r="H62" s="1463">
        <v>123456</v>
      </c>
      <c r="I62" s="1463">
        <v>123456</v>
      </c>
      <c r="J62" s="1463">
        <v>123456</v>
      </c>
      <c r="K62" s="1463">
        <v>123456</v>
      </c>
      <c r="L62" s="1463">
        <v>123456</v>
      </c>
      <c r="M62" s="1463">
        <v>123456</v>
      </c>
      <c r="N62" s="1463">
        <v>123456</v>
      </c>
    </row>
    <row r="63" spans="2:14" s="1330" customFormat="1" ht="15.2" customHeight="1">
      <c r="B63" s="1428" t="s">
        <v>938</v>
      </c>
      <c r="C63" s="1332"/>
      <c r="E63" s="1333"/>
      <c r="F63" s="1333"/>
      <c r="G63" s="1333"/>
      <c r="H63" s="1463">
        <v>123456</v>
      </c>
      <c r="I63" s="1463">
        <v>123456</v>
      </c>
      <c r="J63" s="1463">
        <v>123456</v>
      </c>
      <c r="K63" s="1463">
        <v>123456</v>
      </c>
      <c r="L63" s="1463">
        <v>123456</v>
      </c>
      <c r="M63" s="1463">
        <v>123456</v>
      </c>
      <c r="N63" s="1463">
        <v>123456</v>
      </c>
    </row>
    <row r="64" spans="2:14" s="1330" customFormat="1" ht="15.2" customHeight="1">
      <c r="B64" s="1429" t="s">
        <v>939</v>
      </c>
      <c r="C64" s="1332"/>
      <c r="E64" s="1333"/>
      <c r="F64" s="1333"/>
      <c r="G64" s="1333"/>
      <c r="H64" s="1463">
        <v>123456</v>
      </c>
      <c r="I64" s="1463">
        <v>123456</v>
      </c>
      <c r="J64" s="1463">
        <v>123456</v>
      </c>
      <c r="K64" s="1463">
        <v>123456</v>
      </c>
      <c r="L64" s="1463">
        <v>123456</v>
      </c>
      <c r="M64" s="1463">
        <v>123456</v>
      </c>
      <c r="N64" s="1463">
        <v>123456</v>
      </c>
    </row>
    <row r="65" spans="1:16" s="1330" customFormat="1" ht="15.2" customHeight="1">
      <c r="B65" s="1331"/>
      <c r="C65" s="1332"/>
      <c r="E65" s="1333"/>
      <c r="F65" s="1333"/>
      <c r="G65" s="1333"/>
      <c r="H65" s="1463"/>
      <c r="I65" s="1463"/>
      <c r="J65" s="1463"/>
      <c r="K65" s="1463"/>
      <c r="L65" s="1513"/>
      <c r="M65" s="1513"/>
      <c r="N65" s="1517"/>
    </row>
    <row r="66" spans="1:16" s="1330" customFormat="1" ht="15.2" customHeight="1">
      <c r="B66" s="1409" t="s">
        <v>940</v>
      </c>
      <c r="C66" s="1332"/>
      <c r="E66" s="1333"/>
      <c r="F66" s="1333"/>
      <c r="G66" s="1333"/>
      <c r="H66" s="1463">
        <v>123456</v>
      </c>
      <c r="I66" s="1463">
        <v>123456</v>
      </c>
      <c r="J66" s="1463">
        <v>123456</v>
      </c>
      <c r="K66" s="1463">
        <v>123456</v>
      </c>
      <c r="L66" s="1463">
        <v>123456</v>
      </c>
      <c r="M66" s="1463">
        <v>123456</v>
      </c>
      <c r="N66" s="1463">
        <v>123456</v>
      </c>
    </row>
    <row r="67" spans="1:16" s="1330" customFormat="1" ht="15.2" customHeight="1">
      <c r="B67" s="1428" t="s">
        <v>941</v>
      </c>
      <c r="C67" s="1332"/>
      <c r="E67" s="1333"/>
      <c r="F67" s="1333"/>
      <c r="G67" s="1333"/>
      <c r="H67" s="1463">
        <v>123456</v>
      </c>
      <c r="I67" s="1463">
        <v>123456</v>
      </c>
      <c r="J67" s="1463">
        <v>123456</v>
      </c>
      <c r="K67" s="1463">
        <v>123456</v>
      </c>
      <c r="L67" s="1463">
        <v>123456</v>
      </c>
      <c r="M67" s="1463">
        <v>123456</v>
      </c>
      <c r="N67" s="1463">
        <v>123456</v>
      </c>
    </row>
    <row r="68" spans="1:16" s="1330" customFormat="1" ht="15.2" customHeight="1">
      <c r="B68" s="1428" t="s">
        <v>942</v>
      </c>
      <c r="C68" s="1332"/>
      <c r="E68" s="1333"/>
      <c r="F68" s="1333"/>
      <c r="G68" s="1333"/>
      <c r="H68" s="1463">
        <v>123456</v>
      </c>
      <c r="I68" s="1463">
        <v>123456</v>
      </c>
      <c r="J68" s="1463">
        <v>123456</v>
      </c>
      <c r="K68" s="1463">
        <v>123456</v>
      </c>
      <c r="L68" s="1463">
        <v>123456</v>
      </c>
      <c r="M68" s="1463">
        <v>123456</v>
      </c>
      <c r="N68" s="1463">
        <v>123456</v>
      </c>
    </row>
    <row r="69" spans="1:16" ht="15.2" customHeight="1" thickBot="1">
      <c r="A69" s="1415"/>
      <c r="B69" s="1415"/>
      <c r="C69" s="1415"/>
      <c r="D69" s="1415"/>
      <c r="E69" s="1415"/>
      <c r="F69" s="1415"/>
      <c r="G69" s="1415"/>
      <c r="H69" s="1518"/>
      <c r="I69" s="1518"/>
      <c r="J69" s="1518"/>
      <c r="K69" s="1518"/>
      <c r="L69" s="1518"/>
      <c r="M69" s="1518"/>
      <c r="N69" s="1520"/>
      <c r="O69" s="1432"/>
    </row>
    <row r="70" spans="1:16" s="1393" customFormat="1" ht="15.2" customHeight="1" thickTop="1">
      <c r="A70" s="1380"/>
      <c r="B70" s="1380"/>
      <c r="C70" s="1380"/>
      <c r="D70" s="1380"/>
      <c r="E70" s="1380"/>
      <c r="F70" s="1380"/>
      <c r="G70" s="1380"/>
      <c r="H70" s="1380"/>
      <c r="I70" s="1380"/>
      <c r="J70" s="1380"/>
      <c r="K70" s="1380"/>
      <c r="L70" s="1338"/>
      <c r="M70" s="1414"/>
      <c r="N70" s="292" t="s">
        <v>0</v>
      </c>
      <c r="O70" s="1380"/>
      <c r="P70" s="1380"/>
    </row>
    <row r="71" spans="1:16" s="1393" customFormat="1" ht="15.2" customHeight="1">
      <c r="A71" s="1380"/>
      <c r="B71" s="1380"/>
      <c r="C71" s="1380"/>
      <c r="D71" s="1380"/>
      <c r="E71" s="1380"/>
      <c r="F71" s="1380"/>
      <c r="G71" s="1380"/>
      <c r="H71" s="1380"/>
      <c r="I71" s="1380"/>
      <c r="J71" s="1380"/>
      <c r="K71" s="1380"/>
      <c r="L71" s="1338"/>
      <c r="M71" s="1414"/>
      <c r="N71" s="293" t="s">
        <v>1</v>
      </c>
      <c r="O71" s="1380"/>
      <c r="P71" s="1380"/>
    </row>
    <row r="72" spans="1:16" s="1393" customFormat="1" ht="15.2" customHeight="1">
      <c r="A72" s="1343" t="s">
        <v>2</v>
      </c>
      <c r="B72" s="1380"/>
      <c r="C72" s="1380"/>
      <c r="D72" s="1380"/>
      <c r="E72" s="1380"/>
      <c r="F72" s="1380"/>
      <c r="G72" s="1380"/>
      <c r="H72" s="1380"/>
      <c r="I72" s="1380"/>
      <c r="J72" s="1380"/>
      <c r="K72" s="1380"/>
      <c r="L72" s="1340"/>
      <c r="M72" s="1414"/>
      <c r="N72" s="1380"/>
      <c r="O72" s="1380"/>
      <c r="P72" s="1380"/>
    </row>
    <row r="73" spans="1:16" s="1393" customFormat="1" ht="15.2" customHeight="1">
      <c r="A73" s="297" t="s">
        <v>3</v>
      </c>
      <c r="B73" s="1420" t="s">
        <v>1258</v>
      </c>
      <c r="C73" s="1380"/>
      <c r="D73" s="1380"/>
      <c r="E73" s="1380"/>
      <c r="F73" s="1380"/>
      <c r="G73" s="1380"/>
      <c r="H73" s="1380"/>
      <c r="I73" s="1380"/>
      <c r="J73" s="1380"/>
      <c r="K73" s="1380"/>
      <c r="L73" s="1340"/>
      <c r="M73" s="1414"/>
      <c r="N73" s="1380"/>
      <c r="O73" s="1380"/>
      <c r="P73" s="1380"/>
    </row>
    <row r="74" spans="1:16" s="1393" customFormat="1" ht="15.2" customHeight="1">
      <c r="A74" s="1380"/>
      <c r="B74" s="1419" t="s">
        <v>943</v>
      </c>
      <c r="C74" s="1380"/>
      <c r="D74" s="1380"/>
      <c r="E74" s="1380"/>
      <c r="F74" s="1380"/>
      <c r="G74" s="1380"/>
      <c r="H74" s="1380"/>
      <c r="I74" s="1380"/>
      <c r="J74" s="1380"/>
      <c r="K74" s="1380"/>
      <c r="L74" s="1340"/>
      <c r="M74" s="1414"/>
      <c r="N74" s="1380"/>
      <c r="O74" s="1380"/>
      <c r="P74" s="1380"/>
    </row>
    <row r="75" spans="1:16" s="1393" customFormat="1" ht="15.2" customHeight="1">
      <c r="A75" s="1380"/>
      <c r="B75" s="1343"/>
      <c r="C75" s="1380"/>
      <c r="D75" s="1380"/>
      <c r="E75" s="1380"/>
      <c r="F75" s="1380"/>
      <c r="G75" s="1380"/>
      <c r="H75" s="1380"/>
      <c r="I75" s="1380"/>
      <c r="J75" s="1380"/>
      <c r="K75" s="1380"/>
      <c r="L75" s="1340"/>
      <c r="M75" s="1414"/>
      <c r="N75" s="1380"/>
      <c r="O75" s="1380"/>
      <c r="P75" s="1380"/>
    </row>
    <row r="76" spans="1:16" s="1" customFormat="1" ht="16.5">
      <c r="A76" s="297" t="s">
        <v>4</v>
      </c>
      <c r="B76" s="1651" t="s">
        <v>1987</v>
      </c>
    </row>
    <row r="77" spans="1:16" s="1" customFormat="1" ht="16.5">
      <c r="B77" s="24" t="s">
        <v>1983</v>
      </c>
    </row>
    <row r="78" spans="1:16" s="1380" customFormat="1" ht="8.1" customHeight="1">
      <c r="B78" s="1352"/>
      <c r="L78" s="1414"/>
      <c r="M78" s="1414"/>
    </row>
    <row r="79" spans="1:16" s="1380" customFormat="1" ht="8.1" customHeight="1">
      <c r="B79" s="1352"/>
      <c r="L79" s="1414"/>
      <c r="M79" s="1414"/>
    </row>
    <row r="80" spans="1:16" s="1380" customFormat="1" ht="15.2" customHeight="1">
      <c r="B80" s="1352"/>
      <c r="C80" s="1433"/>
      <c r="D80" s="1434"/>
      <c r="E80" s="1434"/>
      <c r="F80" s="1434"/>
      <c r="G80" s="1434"/>
      <c r="H80" s="1434"/>
      <c r="I80" s="1434"/>
      <c r="J80" s="1434"/>
      <c r="K80" s="1434"/>
      <c r="L80" s="1435"/>
      <c r="M80" s="1436"/>
      <c r="N80" s="1436"/>
      <c r="O80" s="1435"/>
      <c r="P80" s="1435"/>
    </row>
    <row r="81" spans="5:13" ht="8.1" customHeight="1">
      <c r="E81" s="1421"/>
      <c r="F81" s="1421"/>
      <c r="G81" s="1421"/>
      <c r="H81" s="1421"/>
      <c r="I81" s="1421"/>
      <c r="J81" s="1421"/>
      <c r="K81" s="1421"/>
      <c r="L81" s="1421"/>
      <c r="M81" s="1421"/>
    </row>
  </sheetData>
  <mergeCells count="1">
    <mergeCell ref="B6:C6"/>
  </mergeCells>
  <conditionalFormatting sqref="C8:C68">
    <cfRule type="cellIs" dxfId="91" priority="1" stopIfTrue="1" operator="lessThan">
      <formula>0</formula>
    </cfRule>
  </conditionalFormatting>
  <pageMargins left="0.55118110236220474" right="0.55118110236220474" top="0.55118110236220474" bottom="0.55118110236220474" header="0" footer="0"/>
  <pageSetup paperSize="9" scale="58" fitToHeight="0"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4">
    <tabColor theme="4" tint="0.39997558519241921"/>
    <pageSetUpPr fitToPage="1"/>
  </sheetPr>
  <dimension ref="A1:P70"/>
  <sheetViews>
    <sheetView view="pageBreakPreview" zoomScale="90" zoomScaleNormal="100" zoomScaleSheetLayoutView="90" workbookViewId="0">
      <selection activeCell="Q8" sqref="Q8"/>
    </sheetView>
  </sheetViews>
  <sheetFormatPr defaultColWidth="9.140625" defaultRowHeight="16.5"/>
  <cols>
    <col min="1" max="1" width="3.28515625" style="1394" customWidth="1"/>
    <col min="2" max="2" width="11.85546875" style="1394" customWidth="1"/>
    <col min="3" max="3" width="18.7109375" style="1394" customWidth="1"/>
    <col min="4" max="4" width="0.5703125" style="1394" customWidth="1"/>
    <col min="5" max="5" width="10.7109375" style="1394" customWidth="1"/>
    <col min="6" max="6" width="4.28515625" style="1394" customWidth="1"/>
    <col min="7" max="7" width="2" style="1394" customWidth="1"/>
    <col min="8" max="14" width="13.85546875" style="1394" customWidth="1"/>
    <col min="15" max="15" width="0.85546875" style="1394" customWidth="1"/>
    <col min="16" max="16384" width="9.140625" style="1394"/>
  </cols>
  <sheetData>
    <row r="1" spans="1:15" ht="8.1" customHeight="1"/>
    <row r="2" spans="1:15" ht="8.1" customHeight="1"/>
    <row r="3" spans="1:15" s="1423" customFormat="1" ht="16.5" customHeight="1">
      <c r="A3" s="1395"/>
      <c r="B3" s="1396" t="s">
        <v>898</v>
      </c>
      <c r="C3" s="1422" t="s">
        <v>1988</v>
      </c>
      <c r="D3" s="1398"/>
      <c r="E3" s="1398"/>
      <c r="F3" s="1398"/>
      <c r="G3" s="1398"/>
      <c r="H3" s="1398"/>
      <c r="I3" s="1398"/>
      <c r="J3" s="1398"/>
      <c r="K3" s="1398"/>
      <c r="L3" s="1398"/>
      <c r="M3" s="1394"/>
      <c r="N3" s="1394"/>
      <c r="O3" s="1394"/>
    </row>
    <row r="4" spans="1:15" s="1423" customFormat="1" ht="16.5" customHeight="1">
      <c r="A4" s="1330"/>
      <c r="B4" s="1424" t="s">
        <v>899</v>
      </c>
      <c r="C4" s="1425" t="s">
        <v>1989</v>
      </c>
      <c r="D4" s="1401"/>
      <c r="E4" s="1401"/>
      <c r="F4" s="1401"/>
      <c r="G4" s="1401"/>
      <c r="H4" s="1401"/>
      <c r="I4" s="1401"/>
      <c r="J4" s="1401"/>
      <c r="K4" s="1401"/>
      <c r="L4" s="1401"/>
      <c r="M4" s="1394"/>
      <c r="N4" s="1394"/>
      <c r="O4" s="1394"/>
    </row>
    <row r="5" spans="1:15" ht="13.15" customHeight="1" thickBot="1">
      <c r="A5" s="1402"/>
      <c r="B5" s="1402"/>
      <c r="C5" s="1402"/>
      <c r="D5" s="1402"/>
      <c r="E5" s="1402"/>
      <c r="F5" s="1402"/>
      <c r="G5" s="1402"/>
      <c r="H5" s="1402"/>
      <c r="I5" s="1402"/>
      <c r="J5" s="1402"/>
      <c r="K5" s="1402"/>
      <c r="L5" s="1402"/>
    </row>
    <row r="6" spans="1:15" s="1330" customFormat="1" ht="54" customHeight="1" thickBot="1">
      <c r="A6" s="1403"/>
      <c r="B6" s="2664" t="s">
        <v>900</v>
      </c>
      <c r="C6" s="2664"/>
      <c r="D6" s="1403"/>
      <c r="E6" s="791"/>
      <c r="F6" s="791"/>
      <c r="G6" s="791"/>
      <c r="H6" s="789" t="s">
        <v>1057</v>
      </c>
      <c r="I6" s="790" t="s">
        <v>1059</v>
      </c>
      <c r="J6" s="790" t="s">
        <v>1058</v>
      </c>
      <c r="K6" s="790" t="s">
        <v>1063</v>
      </c>
      <c r="L6" s="791" t="s">
        <v>1060</v>
      </c>
      <c r="M6" s="791" t="s">
        <v>1061</v>
      </c>
      <c r="N6" s="791" t="s">
        <v>1062</v>
      </c>
      <c r="O6" s="1404"/>
    </row>
    <row r="7" spans="1:15" s="1330" customFormat="1" ht="16.350000000000001" customHeight="1">
      <c r="B7" s="1406"/>
      <c r="C7" s="1405"/>
      <c r="D7" s="1405"/>
      <c r="E7" s="1426"/>
      <c r="F7" s="1426"/>
      <c r="G7" s="1426"/>
      <c r="H7" s="1426"/>
      <c r="I7" s="1495"/>
      <c r="J7" s="1495"/>
      <c r="K7" s="1495"/>
      <c r="L7" s="1517"/>
      <c r="M7" s="1519"/>
      <c r="N7" s="1517"/>
    </row>
    <row r="8" spans="1:15" s="1330" customFormat="1" ht="15.2" customHeight="1">
      <c r="B8" s="1409" t="s">
        <v>944</v>
      </c>
      <c r="E8" s="1333"/>
      <c r="F8" s="1333"/>
      <c r="G8" s="1333"/>
      <c r="H8" s="1463">
        <v>123456</v>
      </c>
      <c r="I8" s="1463">
        <v>123456</v>
      </c>
      <c r="J8" s="1463">
        <v>123456</v>
      </c>
      <c r="K8" s="1463">
        <v>123456</v>
      </c>
      <c r="L8" s="1463">
        <v>123456</v>
      </c>
      <c r="M8" s="1463">
        <v>123456</v>
      </c>
      <c r="N8" s="1463">
        <v>123456</v>
      </c>
    </row>
    <row r="9" spans="1:15" s="1330" customFormat="1" ht="15.2" customHeight="1">
      <c r="B9" s="1438" t="s">
        <v>945</v>
      </c>
      <c r="E9" s="1333"/>
      <c r="F9" s="1333"/>
      <c r="G9" s="1333"/>
      <c r="H9" s="1463">
        <v>123456</v>
      </c>
      <c r="I9" s="1463">
        <v>123456</v>
      </c>
      <c r="J9" s="1463">
        <v>123456</v>
      </c>
      <c r="K9" s="1463">
        <v>123456</v>
      </c>
      <c r="L9" s="1463">
        <v>123456</v>
      </c>
      <c r="M9" s="1463">
        <v>123456</v>
      </c>
      <c r="N9" s="1463">
        <v>123456</v>
      </c>
    </row>
    <row r="10" spans="1:15" s="1330" customFormat="1" ht="15.2" customHeight="1">
      <c r="B10" s="1438" t="s">
        <v>946</v>
      </c>
      <c r="E10" s="1333"/>
      <c r="F10" s="1333"/>
      <c r="G10" s="1333"/>
      <c r="H10" s="1463">
        <v>123456</v>
      </c>
      <c r="I10" s="1463">
        <v>123456</v>
      </c>
      <c r="J10" s="1463">
        <v>123456</v>
      </c>
      <c r="K10" s="1463">
        <v>123456</v>
      </c>
      <c r="L10" s="1463">
        <v>123456</v>
      </c>
      <c r="M10" s="1463">
        <v>123456</v>
      </c>
      <c r="N10" s="1463">
        <v>123456</v>
      </c>
    </row>
    <row r="11" spans="1:15" s="1330" customFormat="1" ht="15.2" customHeight="1">
      <c r="B11" s="363" t="s">
        <v>947</v>
      </c>
      <c r="E11" s="1333"/>
      <c r="F11" s="1333"/>
      <c r="G11" s="1333"/>
      <c r="H11" s="1463">
        <v>123456</v>
      </c>
      <c r="I11" s="1463">
        <v>123456</v>
      </c>
      <c r="J11" s="1463">
        <v>123456</v>
      </c>
      <c r="K11" s="1463">
        <v>123456</v>
      </c>
      <c r="L11" s="1463">
        <v>123456</v>
      </c>
      <c r="M11" s="1463">
        <v>123456</v>
      </c>
      <c r="N11" s="1463">
        <v>123456</v>
      </c>
    </row>
    <row r="12" spans="1:15" s="1330" customFormat="1" ht="15.2" customHeight="1">
      <c r="B12" s="1331"/>
      <c r="C12" s="1332"/>
      <c r="E12" s="1333"/>
      <c r="F12" s="1333"/>
      <c r="G12" s="1333"/>
      <c r="H12" s="1463"/>
      <c r="I12" s="1463"/>
      <c r="J12" s="1463"/>
      <c r="K12" s="1463"/>
      <c r="L12" s="1513"/>
      <c r="M12" s="1513"/>
      <c r="N12" s="1517"/>
    </row>
    <row r="13" spans="1:15" s="1330" customFormat="1" ht="15.2" customHeight="1">
      <c r="B13" s="1409" t="s">
        <v>948</v>
      </c>
      <c r="C13" s="1332"/>
      <c r="E13" s="1333"/>
      <c r="F13" s="1333"/>
      <c r="G13" s="1333"/>
      <c r="H13" s="1463">
        <v>123456</v>
      </c>
      <c r="I13" s="1463">
        <v>123456</v>
      </c>
      <c r="J13" s="1463">
        <v>123456</v>
      </c>
      <c r="K13" s="1463">
        <v>123456</v>
      </c>
      <c r="L13" s="1463">
        <v>123456</v>
      </c>
      <c r="M13" s="1463">
        <v>123456</v>
      </c>
      <c r="N13" s="1463">
        <v>123456</v>
      </c>
    </row>
    <row r="14" spans="1:15" s="1330" customFormat="1" ht="15.2" customHeight="1">
      <c r="B14" s="363" t="s">
        <v>945</v>
      </c>
      <c r="C14" s="1332"/>
      <c r="E14" s="1333"/>
      <c r="F14" s="1333"/>
      <c r="G14" s="1333"/>
      <c r="H14" s="1463">
        <v>123456</v>
      </c>
      <c r="I14" s="1463">
        <v>123456</v>
      </c>
      <c r="J14" s="1463">
        <v>123456</v>
      </c>
      <c r="K14" s="1463">
        <v>123456</v>
      </c>
      <c r="L14" s="1463">
        <v>123456</v>
      </c>
      <c r="M14" s="1463">
        <v>123456</v>
      </c>
      <c r="N14" s="1463">
        <v>123456</v>
      </c>
    </row>
    <row r="15" spans="1:15" s="1330" customFormat="1" ht="15.2" customHeight="1">
      <c r="B15" s="1438" t="s">
        <v>946</v>
      </c>
      <c r="C15" s="1332"/>
      <c r="E15" s="1333"/>
      <c r="F15" s="1333"/>
      <c r="G15" s="1333"/>
      <c r="H15" s="1463">
        <v>123456</v>
      </c>
      <c r="I15" s="1463">
        <v>123456</v>
      </c>
      <c r="J15" s="1463">
        <v>123456</v>
      </c>
      <c r="K15" s="1463">
        <v>123456</v>
      </c>
      <c r="L15" s="1463">
        <v>123456</v>
      </c>
      <c r="M15" s="1463">
        <v>123456</v>
      </c>
      <c r="N15" s="1463">
        <v>123456</v>
      </c>
    </row>
    <row r="16" spans="1:15" s="1330" customFormat="1" ht="15.2" customHeight="1">
      <c r="B16" s="363" t="s">
        <v>947</v>
      </c>
      <c r="C16" s="1332"/>
      <c r="E16" s="1333"/>
      <c r="F16" s="1333"/>
      <c r="G16" s="1333"/>
      <c r="H16" s="1463">
        <v>123456</v>
      </c>
      <c r="I16" s="1463">
        <v>123456</v>
      </c>
      <c r="J16" s="1463">
        <v>123456</v>
      </c>
      <c r="K16" s="1463">
        <v>123456</v>
      </c>
      <c r="L16" s="1463">
        <v>123456</v>
      </c>
      <c r="M16" s="1463">
        <v>123456</v>
      </c>
      <c r="N16" s="1463">
        <v>123456</v>
      </c>
    </row>
    <row r="17" spans="2:14" s="1330" customFormat="1" ht="15.2" customHeight="1">
      <c r="B17" s="1331"/>
      <c r="C17" s="1332"/>
      <c r="E17" s="1333"/>
      <c r="F17" s="1333"/>
      <c r="G17" s="1333"/>
      <c r="H17" s="1463"/>
      <c r="I17" s="1463"/>
      <c r="J17" s="1463"/>
      <c r="K17" s="1463"/>
      <c r="L17" s="1513"/>
      <c r="M17" s="1513"/>
      <c r="N17" s="1517"/>
    </row>
    <row r="18" spans="2:14" s="1330" customFormat="1" ht="15.2" customHeight="1">
      <c r="B18" s="1409" t="s">
        <v>949</v>
      </c>
      <c r="C18" s="1332"/>
      <c r="E18" s="1333"/>
      <c r="F18" s="1333"/>
      <c r="G18" s="1333"/>
      <c r="H18" s="1463">
        <v>123456</v>
      </c>
      <c r="I18" s="1463">
        <v>123456</v>
      </c>
      <c r="J18" s="1463">
        <v>123456</v>
      </c>
      <c r="K18" s="1463">
        <v>123456</v>
      </c>
      <c r="L18" s="1463">
        <v>123456</v>
      </c>
      <c r="M18" s="1463">
        <v>123456</v>
      </c>
      <c r="N18" s="1463">
        <v>123456</v>
      </c>
    </row>
    <row r="19" spans="2:14" s="1330" customFormat="1" ht="15.2" customHeight="1">
      <c r="B19" s="363" t="s">
        <v>950</v>
      </c>
      <c r="C19" s="1332"/>
      <c r="E19" s="1333"/>
      <c r="F19" s="1333"/>
      <c r="G19" s="1333"/>
      <c r="H19" s="1463">
        <v>123456</v>
      </c>
      <c r="I19" s="1463">
        <v>123456</v>
      </c>
      <c r="J19" s="1463">
        <v>123456</v>
      </c>
      <c r="K19" s="1463">
        <v>123456</v>
      </c>
      <c r="L19" s="1463">
        <v>123456</v>
      </c>
      <c r="M19" s="1463">
        <v>123456</v>
      </c>
      <c r="N19" s="1463">
        <v>123456</v>
      </c>
    </row>
    <row r="20" spans="2:14" s="1330" customFormat="1" ht="15.2" customHeight="1">
      <c r="B20" s="1438" t="s">
        <v>951</v>
      </c>
      <c r="C20" s="1332"/>
      <c r="E20" s="1333"/>
      <c r="F20" s="1333"/>
      <c r="G20" s="1333"/>
      <c r="H20" s="1463">
        <v>123456</v>
      </c>
      <c r="I20" s="1463">
        <v>123456</v>
      </c>
      <c r="J20" s="1463">
        <v>123456</v>
      </c>
      <c r="K20" s="1463">
        <v>123456</v>
      </c>
      <c r="L20" s="1463">
        <v>123456</v>
      </c>
      <c r="M20" s="1463">
        <v>123456</v>
      </c>
      <c r="N20" s="1463">
        <v>123456</v>
      </c>
    </row>
    <row r="21" spans="2:14" s="1330" customFormat="1" ht="15.2" customHeight="1">
      <c r="B21" s="363" t="s">
        <v>952</v>
      </c>
      <c r="C21" s="1332"/>
      <c r="E21" s="1333"/>
      <c r="F21" s="1333"/>
      <c r="G21" s="1333"/>
      <c r="H21" s="1463">
        <v>123456</v>
      </c>
      <c r="I21" s="1463">
        <v>123456</v>
      </c>
      <c r="J21" s="1463">
        <v>123456</v>
      </c>
      <c r="K21" s="1463">
        <v>123456</v>
      </c>
      <c r="L21" s="1463">
        <v>123456</v>
      </c>
      <c r="M21" s="1463">
        <v>123456</v>
      </c>
      <c r="N21" s="1463">
        <v>123456</v>
      </c>
    </row>
    <row r="22" spans="2:14" s="1330" customFormat="1" ht="15.2" customHeight="1">
      <c r="B22" s="1331"/>
      <c r="C22" s="1332"/>
      <c r="E22" s="1333"/>
      <c r="F22" s="1333"/>
      <c r="G22" s="1333"/>
      <c r="H22" s="1463"/>
      <c r="I22" s="1463"/>
      <c r="J22" s="1463"/>
      <c r="K22" s="1463"/>
      <c r="L22" s="1513"/>
      <c r="M22" s="1513"/>
      <c r="N22" s="1517"/>
    </row>
    <row r="23" spans="2:14" s="1330" customFormat="1" ht="15.2" customHeight="1">
      <c r="B23" s="1409" t="s">
        <v>953</v>
      </c>
      <c r="C23" s="1332"/>
      <c r="E23" s="1333"/>
      <c r="F23" s="1333"/>
      <c r="G23" s="1333"/>
      <c r="H23" s="1463">
        <v>123456</v>
      </c>
      <c r="I23" s="1463">
        <v>123456</v>
      </c>
      <c r="J23" s="1463">
        <v>123456</v>
      </c>
      <c r="K23" s="1463">
        <v>123456</v>
      </c>
      <c r="L23" s="1463">
        <v>123456</v>
      </c>
      <c r="M23" s="1463">
        <v>123456</v>
      </c>
      <c r="N23" s="1463">
        <v>123456</v>
      </c>
    </row>
    <row r="24" spans="2:14" s="1330" customFormat="1" ht="15.2" customHeight="1">
      <c r="B24" s="363" t="s">
        <v>954</v>
      </c>
      <c r="C24" s="1332"/>
      <c r="E24" s="1333"/>
      <c r="F24" s="1333"/>
      <c r="G24" s="1333"/>
      <c r="H24" s="1463">
        <v>123456</v>
      </c>
      <c r="I24" s="1463">
        <v>123456</v>
      </c>
      <c r="J24" s="1463">
        <v>123456</v>
      </c>
      <c r="K24" s="1463">
        <v>123456</v>
      </c>
      <c r="L24" s="1463">
        <v>123456</v>
      </c>
      <c r="M24" s="1463">
        <v>123456</v>
      </c>
      <c r="N24" s="1463">
        <v>123456</v>
      </c>
    </row>
    <row r="25" spans="2:14" s="1330" customFormat="1" ht="15.2" customHeight="1">
      <c r="B25" s="363" t="s">
        <v>955</v>
      </c>
      <c r="C25" s="1332"/>
      <c r="E25" s="1333"/>
      <c r="F25" s="1333"/>
      <c r="G25" s="1333"/>
      <c r="H25" s="1463">
        <v>123456</v>
      </c>
      <c r="I25" s="1463">
        <v>123456</v>
      </c>
      <c r="J25" s="1463">
        <v>123456</v>
      </c>
      <c r="K25" s="1463">
        <v>123456</v>
      </c>
      <c r="L25" s="1463">
        <v>123456</v>
      </c>
      <c r="M25" s="1463">
        <v>123456</v>
      </c>
      <c r="N25" s="1463">
        <v>123456</v>
      </c>
    </row>
    <row r="26" spans="2:14" s="1330" customFormat="1" ht="15.2" customHeight="1">
      <c r="B26" s="363" t="s">
        <v>956</v>
      </c>
      <c r="C26" s="1332"/>
      <c r="E26" s="1333"/>
      <c r="F26" s="1333"/>
      <c r="G26" s="1333"/>
      <c r="H26" s="1463">
        <v>123456</v>
      </c>
      <c r="I26" s="1463">
        <v>123456</v>
      </c>
      <c r="J26" s="1463">
        <v>123456</v>
      </c>
      <c r="K26" s="1463">
        <v>123456</v>
      </c>
      <c r="L26" s="1463">
        <v>123456</v>
      </c>
      <c r="M26" s="1463">
        <v>123456</v>
      </c>
      <c r="N26" s="1463">
        <v>123456</v>
      </c>
    </row>
    <row r="27" spans="2:14" s="1330" customFormat="1" ht="15.2" customHeight="1">
      <c r="B27" s="1331"/>
      <c r="C27" s="1332"/>
      <c r="E27" s="1333"/>
      <c r="F27" s="1333"/>
      <c r="G27" s="1333"/>
      <c r="H27" s="1463"/>
      <c r="I27" s="1463"/>
      <c r="J27" s="1463"/>
      <c r="K27" s="1463"/>
      <c r="L27" s="1513"/>
      <c r="M27" s="1513"/>
      <c r="N27" s="1517"/>
    </row>
    <row r="28" spans="2:14" s="1330" customFormat="1" ht="15.2" customHeight="1">
      <c r="B28" s="1409" t="s">
        <v>1013</v>
      </c>
      <c r="C28" s="1332"/>
      <c r="E28" s="1333"/>
      <c r="F28" s="1333"/>
      <c r="G28" s="1333"/>
      <c r="H28" s="1463">
        <v>123456</v>
      </c>
      <c r="I28" s="1463">
        <v>123456</v>
      </c>
      <c r="J28" s="1463">
        <v>123456</v>
      </c>
      <c r="K28" s="1463">
        <v>123456</v>
      </c>
      <c r="L28" s="1463">
        <v>123456</v>
      </c>
      <c r="M28" s="1463">
        <v>123456</v>
      </c>
      <c r="N28" s="1463">
        <v>123456</v>
      </c>
    </row>
    <row r="29" spans="2:14" s="1330" customFormat="1" ht="15.2" customHeight="1">
      <c r="B29" s="1331"/>
      <c r="C29" s="1332"/>
      <c r="E29" s="1333"/>
      <c r="F29" s="1333"/>
      <c r="G29" s="1333"/>
      <c r="H29" s="1463"/>
      <c r="I29" s="1463"/>
      <c r="J29" s="1463"/>
      <c r="K29" s="1463"/>
      <c r="L29" s="1513"/>
      <c r="M29" s="1513"/>
      <c r="N29" s="1517"/>
    </row>
    <row r="30" spans="2:14" s="1330" customFormat="1" ht="15.2" customHeight="1">
      <c r="B30" s="1409" t="s">
        <v>957</v>
      </c>
      <c r="C30" s="1332"/>
      <c r="E30" s="1333"/>
      <c r="F30" s="1333"/>
      <c r="G30" s="1333"/>
      <c r="H30" s="1463">
        <v>123456</v>
      </c>
      <c r="I30" s="1463">
        <v>123456</v>
      </c>
      <c r="J30" s="1463">
        <v>123456</v>
      </c>
      <c r="K30" s="1463">
        <v>123456</v>
      </c>
      <c r="L30" s="1463">
        <v>123456</v>
      </c>
      <c r="M30" s="1463">
        <v>123456</v>
      </c>
      <c r="N30" s="1463">
        <v>123456</v>
      </c>
    </row>
    <row r="31" spans="2:14" s="1330" customFormat="1" ht="15.2" customHeight="1">
      <c r="B31" s="1331"/>
      <c r="C31" s="1332"/>
      <c r="E31" s="1333"/>
      <c r="F31" s="1333"/>
      <c r="G31" s="1333"/>
      <c r="H31" s="1463"/>
      <c r="I31" s="1463"/>
      <c r="J31" s="1463"/>
      <c r="K31" s="1463"/>
      <c r="L31" s="1513"/>
      <c r="M31" s="1513"/>
      <c r="N31" s="1517"/>
    </row>
    <row r="32" spans="2:14" s="1330" customFormat="1" ht="15.2" customHeight="1">
      <c r="B32" s="1409" t="s">
        <v>958</v>
      </c>
      <c r="C32" s="1332"/>
      <c r="E32" s="1333"/>
      <c r="F32" s="1333"/>
      <c r="G32" s="1333"/>
      <c r="H32" s="1463">
        <v>123456</v>
      </c>
      <c r="I32" s="1463">
        <v>123456</v>
      </c>
      <c r="J32" s="1463">
        <v>123456</v>
      </c>
      <c r="K32" s="1463">
        <v>123456</v>
      </c>
      <c r="L32" s="1463">
        <v>123456</v>
      </c>
      <c r="M32" s="1463">
        <v>123456</v>
      </c>
      <c r="N32" s="1463">
        <v>123456</v>
      </c>
    </row>
    <row r="33" spans="2:16" s="1330" customFormat="1" ht="15.2" customHeight="1">
      <c r="B33" s="1331"/>
      <c r="C33" s="1332"/>
      <c r="E33" s="1333"/>
      <c r="F33" s="1333"/>
      <c r="G33" s="1333"/>
      <c r="H33" s="1463"/>
      <c r="I33" s="1463"/>
      <c r="J33" s="1463"/>
      <c r="K33" s="1463"/>
      <c r="L33" s="1513"/>
      <c r="M33" s="1513"/>
      <c r="N33" s="1517"/>
    </row>
    <row r="34" spans="2:16" s="1330" customFormat="1" ht="15.2" customHeight="1">
      <c r="B34" s="1409" t="s">
        <v>959</v>
      </c>
      <c r="C34" s="1332"/>
      <c r="E34" s="1333"/>
      <c r="F34" s="1333"/>
      <c r="G34" s="1333"/>
      <c r="H34" s="1463">
        <v>123456</v>
      </c>
      <c r="I34" s="1463">
        <v>123456</v>
      </c>
      <c r="J34" s="1463">
        <v>123456</v>
      </c>
      <c r="K34" s="1463">
        <v>123456</v>
      </c>
      <c r="L34" s="1463">
        <v>123456</v>
      </c>
      <c r="M34" s="1463">
        <v>123456</v>
      </c>
      <c r="N34" s="1463">
        <v>123456</v>
      </c>
    </row>
    <row r="35" spans="2:16" s="1330" customFormat="1" ht="15.2" customHeight="1">
      <c r="B35" s="1331"/>
      <c r="C35" s="1332"/>
      <c r="E35" s="1333"/>
      <c r="F35" s="1333"/>
      <c r="G35" s="1333"/>
      <c r="H35" s="1463"/>
      <c r="I35" s="1463"/>
      <c r="J35" s="1463"/>
      <c r="K35" s="1463"/>
      <c r="L35" s="1513"/>
      <c r="M35" s="1513"/>
      <c r="N35" s="1517"/>
    </row>
    <row r="36" spans="2:16" s="1330" customFormat="1" ht="15.2" customHeight="1">
      <c r="B36" s="1409" t="s">
        <v>960</v>
      </c>
      <c r="C36" s="1332"/>
      <c r="E36" s="1333"/>
      <c r="F36" s="1333"/>
      <c r="G36" s="1333"/>
      <c r="H36" s="1463">
        <v>123456</v>
      </c>
      <c r="I36" s="1463">
        <v>123456</v>
      </c>
      <c r="J36" s="1463">
        <v>123456</v>
      </c>
      <c r="K36" s="1463">
        <v>123456</v>
      </c>
      <c r="L36" s="1463">
        <v>123456</v>
      </c>
      <c r="M36" s="1463">
        <v>123456</v>
      </c>
      <c r="N36" s="1463">
        <v>123456</v>
      </c>
    </row>
    <row r="37" spans="2:16" s="1330" customFormat="1" ht="15.2" customHeight="1">
      <c r="B37" s="1331"/>
      <c r="C37" s="1332"/>
      <c r="E37" s="1333"/>
      <c r="F37" s="1333"/>
      <c r="G37" s="1333"/>
      <c r="H37" s="1463"/>
      <c r="I37" s="1463"/>
      <c r="J37" s="1463"/>
      <c r="K37" s="1463"/>
      <c r="L37" s="1513"/>
      <c r="M37" s="1513"/>
      <c r="N37" s="1517"/>
    </row>
    <row r="38" spans="2:16" s="1330" customFormat="1" ht="15.2" customHeight="1">
      <c r="B38" s="1409" t="s">
        <v>961</v>
      </c>
      <c r="C38" s="1332"/>
      <c r="E38" s="1333"/>
      <c r="F38" s="1333"/>
      <c r="G38" s="1333"/>
      <c r="H38" s="1463">
        <v>123456</v>
      </c>
      <c r="I38" s="1463">
        <v>123456</v>
      </c>
      <c r="J38" s="1463">
        <v>123456</v>
      </c>
      <c r="K38" s="1463">
        <v>123456</v>
      </c>
      <c r="L38" s="1463">
        <v>123456</v>
      </c>
      <c r="M38" s="1463">
        <v>123456</v>
      </c>
      <c r="N38" s="1463">
        <v>123456</v>
      </c>
      <c r="O38" s="1334"/>
      <c r="P38" s="1427"/>
    </row>
    <row r="39" spans="2:16" s="1330" customFormat="1" ht="15.75" customHeight="1">
      <c r="B39" s="1331" t="s">
        <v>962</v>
      </c>
      <c r="C39" s="1332"/>
      <c r="H39" s="1517"/>
      <c r="I39" s="1517"/>
      <c r="J39" s="1517"/>
      <c r="K39" s="1517"/>
      <c r="L39" s="1513"/>
      <c r="M39" s="1513"/>
      <c r="N39" s="1517"/>
    </row>
    <row r="40" spans="2:16" s="1330" customFormat="1" ht="15.75" customHeight="1">
      <c r="B40" s="1331"/>
      <c r="C40" s="1332"/>
      <c r="H40" s="1517"/>
      <c r="I40" s="1517"/>
      <c r="J40" s="1517"/>
      <c r="K40" s="1517"/>
      <c r="L40" s="1513"/>
      <c r="M40" s="1513"/>
      <c r="N40" s="1517"/>
    </row>
    <row r="41" spans="2:16" s="1330" customFormat="1" ht="15.75" customHeight="1">
      <c r="B41" s="1438" t="s">
        <v>963</v>
      </c>
      <c r="C41" s="1332"/>
      <c r="H41" s="1463">
        <v>123456</v>
      </c>
      <c r="I41" s="1463">
        <v>123456</v>
      </c>
      <c r="J41" s="1463">
        <v>123456</v>
      </c>
      <c r="K41" s="1463">
        <v>123456</v>
      </c>
      <c r="L41" s="1463">
        <v>123456</v>
      </c>
      <c r="M41" s="1463">
        <v>123456</v>
      </c>
      <c r="N41" s="1463">
        <v>123456</v>
      </c>
    </row>
    <row r="42" spans="2:16" s="1330" customFormat="1" ht="15.75" customHeight="1">
      <c r="B42" s="1439" t="s">
        <v>964</v>
      </c>
      <c r="C42" s="1332"/>
      <c r="H42" s="1463">
        <v>123456</v>
      </c>
      <c r="I42" s="1463">
        <v>123456</v>
      </c>
      <c r="J42" s="1463">
        <v>123456</v>
      </c>
      <c r="K42" s="1463">
        <v>123456</v>
      </c>
      <c r="L42" s="1463">
        <v>123456</v>
      </c>
      <c r="M42" s="1463">
        <v>123456</v>
      </c>
      <c r="N42" s="1463">
        <v>123456</v>
      </c>
    </row>
    <row r="43" spans="2:16" s="1330" customFormat="1" ht="15.75" customHeight="1">
      <c r="B43" s="1439" t="s">
        <v>965</v>
      </c>
      <c r="C43" s="1332"/>
      <c r="H43" s="1463">
        <v>123456</v>
      </c>
      <c r="I43" s="1463">
        <v>123456</v>
      </c>
      <c r="J43" s="1463">
        <v>123456</v>
      </c>
      <c r="K43" s="1463">
        <v>123456</v>
      </c>
      <c r="L43" s="1463">
        <v>123456</v>
      </c>
      <c r="M43" s="1463">
        <v>123456</v>
      </c>
      <c r="N43" s="1463">
        <v>123456</v>
      </c>
    </row>
    <row r="44" spans="2:16" s="1330" customFormat="1" ht="15.75" customHeight="1">
      <c r="B44" s="1439" t="s">
        <v>966</v>
      </c>
      <c r="C44" s="1332"/>
      <c r="H44" s="1463">
        <v>123456</v>
      </c>
      <c r="I44" s="1463">
        <v>123456</v>
      </c>
      <c r="J44" s="1463">
        <v>123456</v>
      </c>
      <c r="K44" s="1463">
        <v>123456</v>
      </c>
      <c r="L44" s="1463">
        <v>123456</v>
      </c>
      <c r="M44" s="1463">
        <v>123456</v>
      </c>
      <c r="N44" s="1463">
        <v>123456</v>
      </c>
    </row>
    <row r="45" spans="2:16" s="1330" customFormat="1" ht="15.2" customHeight="1">
      <c r="B45" s="1439" t="s">
        <v>967</v>
      </c>
      <c r="C45" s="1332"/>
      <c r="E45" s="1333"/>
      <c r="F45" s="1333"/>
      <c r="G45" s="1333"/>
      <c r="H45" s="1463">
        <v>123456</v>
      </c>
      <c r="I45" s="1463">
        <v>123456</v>
      </c>
      <c r="J45" s="1463">
        <v>123456</v>
      </c>
      <c r="K45" s="1463">
        <v>123456</v>
      </c>
      <c r="L45" s="1463">
        <v>123456</v>
      </c>
      <c r="M45" s="1463">
        <v>123456</v>
      </c>
      <c r="N45" s="1463">
        <v>123456</v>
      </c>
    </row>
    <row r="46" spans="2:16" s="476" customFormat="1" ht="8.1" customHeight="1">
      <c r="B46" s="1440"/>
      <c r="C46" s="1441"/>
      <c r="D46" s="1441"/>
      <c r="E46" s="1075"/>
      <c r="F46" s="1442"/>
      <c r="G46" s="1442"/>
      <c r="H46" s="579"/>
      <c r="I46" s="579"/>
      <c r="J46" s="579"/>
      <c r="K46" s="579"/>
      <c r="L46" s="579"/>
      <c r="M46" s="579"/>
      <c r="N46" s="579"/>
    </row>
    <row r="47" spans="2:16" s="1330" customFormat="1" ht="15.2" customHeight="1">
      <c r="B47" s="1438" t="s">
        <v>968</v>
      </c>
      <c r="C47" s="1332"/>
      <c r="E47" s="1333"/>
      <c r="F47" s="1333"/>
      <c r="G47" s="1333"/>
      <c r="H47" s="1463">
        <v>123456</v>
      </c>
      <c r="I47" s="1463">
        <v>123456</v>
      </c>
      <c r="J47" s="1463">
        <v>123456</v>
      </c>
      <c r="K47" s="1463">
        <v>123456</v>
      </c>
      <c r="L47" s="1463">
        <v>123456</v>
      </c>
      <c r="M47" s="1463">
        <v>123456</v>
      </c>
      <c r="N47" s="1463">
        <v>123456</v>
      </c>
    </row>
    <row r="48" spans="2:16" s="476" customFormat="1" ht="8.1" customHeight="1">
      <c r="B48" s="1440"/>
      <c r="C48" s="1441"/>
      <c r="D48" s="1441"/>
      <c r="E48" s="1075"/>
      <c r="F48" s="1442"/>
      <c r="G48" s="1442"/>
      <c r="H48" s="579"/>
      <c r="I48" s="579"/>
      <c r="J48" s="579"/>
      <c r="K48" s="579"/>
      <c r="L48" s="579"/>
      <c r="M48" s="579"/>
      <c r="N48" s="579"/>
    </row>
    <row r="49" spans="1:16" s="1330" customFormat="1" ht="15.2" customHeight="1">
      <c r="B49" s="1438" t="s">
        <v>969</v>
      </c>
      <c r="C49" s="1332"/>
      <c r="E49" s="1333"/>
      <c r="F49" s="1333"/>
      <c r="G49" s="1333"/>
      <c r="H49" s="1463">
        <v>123456</v>
      </c>
      <c r="I49" s="1463">
        <v>123456</v>
      </c>
      <c r="J49" s="1463">
        <v>123456</v>
      </c>
      <c r="K49" s="1463">
        <v>123456</v>
      </c>
      <c r="L49" s="1463">
        <v>123456</v>
      </c>
      <c r="M49" s="1463">
        <v>123456</v>
      </c>
      <c r="N49" s="1463">
        <v>123456</v>
      </c>
    </row>
    <row r="50" spans="1:16" s="476" customFormat="1" ht="8.1" customHeight="1">
      <c r="B50" s="1440"/>
      <c r="C50" s="1441"/>
      <c r="D50" s="1441"/>
      <c r="E50" s="1075"/>
      <c r="F50" s="1442"/>
      <c r="G50" s="1442"/>
      <c r="H50" s="579"/>
      <c r="I50" s="579"/>
      <c r="J50" s="579"/>
      <c r="K50" s="579"/>
      <c r="L50" s="579"/>
      <c r="M50" s="579"/>
      <c r="N50" s="579"/>
    </row>
    <row r="51" spans="1:16" s="1330" customFormat="1" ht="15.2" customHeight="1">
      <c r="B51" s="1438" t="s">
        <v>970</v>
      </c>
      <c r="C51" s="1332"/>
      <c r="E51" s="1333"/>
      <c r="F51" s="1333"/>
      <c r="G51" s="1333"/>
      <c r="H51" s="1463">
        <v>123456</v>
      </c>
      <c r="I51" s="1463">
        <v>123456</v>
      </c>
      <c r="J51" s="1463">
        <v>123456</v>
      </c>
      <c r="K51" s="1463">
        <v>123456</v>
      </c>
      <c r="L51" s="1463">
        <v>123456</v>
      </c>
      <c r="M51" s="1463">
        <v>123456</v>
      </c>
      <c r="N51" s="1463">
        <v>123456</v>
      </c>
    </row>
    <row r="52" spans="1:16" s="476" customFormat="1" ht="8.1" customHeight="1">
      <c r="B52" s="1440"/>
      <c r="C52" s="1441"/>
      <c r="D52" s="1441"/>
      <c r="E52" s="1075"/>
      <c r="F52" s="1442"/>
      <c r="G52" s="1442"/>
      <c r="H52" s="579"/>
      <c r="I52" s="579"/>
      <c r="J52" s="579"/>
      <c r="K52" s="579"/>
      <c r="L52" s="579"/>
      <c r="M52" s="579"/>
      <c r="N52" s="579"/>
    </row>
    <row r="53" spans="1:16" s="1330" customFormat="1" ht="15.2" customHeight="1">
      <c r="B53" s="1438" t="s">
        <v>971</v>
      </c>
      <c r="C53" s="1332"/>
      <c r="E53" s="1333"/>
      <c r="F53" s="1333"/>
      <c r="G53" s="1333"/>
      <c r="H53" s="1463">
        <v>123456</v>
      </c>
      <c r="I53" s="1463">
        <v>123456</v>
      </c>
      <c r="J53" s="1463">
        <v>123456</v>
      </c>
      <c r="K53" s="1463">
        <v>123456</v>
      </c>
      <c r="L53" s="1463">
        <v>123456</v>
      </c>
      <c r="M53" s="1463">
        <v>123456</v>
      </c>
      <c r="N53" s="1463">
        <v>123456</v>
      </c>
    </row>
    <row r="54" spans="1:16" s="1330" customFormat="1" ht="15.2" customHeight="1">
      <c r="B54" s="1439"/>
      <c r="C54" s="1332"/>
      <c r="E54" s="1333"/>
      <c r="F54" s="1333"/>
      <c r="G54" s="1333"/>
      <c r="H54" s="1463"/>
      <c r="I54" s="1463"/>
      <c r="J54" s="1463"/>
      <c r="K54" s="1463"/>
      <c r="L54" s="1513"/>
      <c r="M54" s="1513"/>
      <c r="N54" s="1517"/>
    </row>
    <row r="55" spans="1:16" s="1330" customFormat="1" ht="15.2" customHeight="1">
      <c r="B55" s="1409" t="s">
        <v>972</v>
      </c>
      <c r="C55" s="1332"/>
      <c r="E55" s="1333"/>
      <c r="F55" s="1333"/>
      <c r="G55" s="1333"/>
      <c r="H55" s="1463">
        <v>123456</v>
      </c>
      <c r="I55" s="1463">
        <v>123456</v>
      </c>
      <c r="J55" s="1463">
        <v>123456</v>
      </c>
      <c r="K55" s="1463">
        <v>123456</v>
      </c>
      <c r="L55" s="1463">
        <v>123456</v>
      </c>
      <c r="M55" s="1463">
        <v>123456</v>
      </c>
      <c r="N55" s="1463">
        <v>123456</v>
      </c>
    </row>
    <row r="56" spans="1:16" s="1330" customFormat="1" ht="15.2" customHeight="1">
      <c r="B56" s="1331" t="s">
        <v>973</v>
      </c>
      <c r="C56" s="1332"/>
      <c r="E56" s="1333"/>
      <c r="F56" s="1333"/>
      <c r="G56" s="1333"/>
      <c r="H56" s="1463"/>
      <c r="I56" s="1463"/>
      <c r="J56" s="1463"/>
      <c r="K56" s="1463"/>
      <c r="L56" s="1513"/>
      <c r="M56" s="1513"/>
      <c r="N56" s="1517"/>
    </row>
    <row r="57" spans="1:16" s="1330" customFormat="1" ht="15.2" customHeight="1">
      <c r="B57" s="1438" t="s">
        <v>974</v>
      </c>
      <c r="C57" s="1332"/>
      <c r="E57" s="1333"/>
      <c r="F57" s="1333"/>
      <c r="G57" s="1333"/>
      <c r="H57" s="1463">
        <v>123456</v>
      </c>
      <c r="I57" s="1463">
        <v>123456</v>
      </c>
      <c r="J57" s="1463">
        <v>123456</v>
      </c>
      <c r="K57" s="1463">
        <v>123456</v>
      </c>
      <c r="L57" s="1463">
        <v>123456</v>
      </c>
      <c r="M57" s="1463">
        <v>123456</v>
      </c>
      <c r="N57" s="1463">
        <v>123456</v>
      </c>
    </row>
    <row r="58" spans="1:16" s="1330" customFormat="1" ht="15.2" customHeight="1">
      <c r="B58" s="1438" t="s">
        <v>975</v>
      </c>
      <c r="C58" s="1332"/>
      <c r="E58" s="1333"/>
      <c r="F58" s="1333"/>
      <c r="G58" s="1333"/>
      <c r="H58" s="1463">
        <v>123456</v>
      </c>
      <c r="I58" s="1463">
        <v>123456</v>
      </c>
      <c r="J58" s="1463">
        <v>123456</v>
      </c>
      <c r="K58" s="1463">
        <v>123456</v>
      </c>
      <c r="L58" s="1463">
        <v>123456</v>
      </c>
      <c r="M58" s="1463">
        <v>123456</v>
      </c>
      <c r="N58" s="1463">
        <v>123456</v>
      </c>
    </row>
    <row r="59" spans="1:16" s="1330" customFormat="1" ht="15.2" customHeight="1">
      <c r="B59" s="363" t="s">
        <v>976</v>
      </c>
      <c r="C59" s="1332"/>
      <c r="E59" s="1333"/>
      <c r="F59" s="1333"/>
      <c r="G59" s="1333"/>
      <c r="H59" s="1463">
        <v>123456</v>
      </c>
      <c r="I59" s="1463">
        <v>123456</v>
      </c>
      <c r="J59" s="1463">
        <v>123456</v>
      </c>
      <c r="K59" s="1463">
        <v>123456</v>
      </c>
      <c r="L59" s="1463">
        <v>123456</v>
      </c>
      <c r="M59" s="1463">
        <v>123456</v>
      </c>
      <c r="N59" s="1463">
        <v>123456</v>
      </c>
    </row>
    <row r="60" spans="1:16" s="1330" customFormat="1" ht="15.2" customHeight="1">
      <c r="B60" s="1331"/>
      <c r="C60" s="1332"/>
      <c r="E60" s="1333"/>
      <c r="F60" s="1333"/>
      <c r="G60" s="1333"/>
      <c r="H60" s="1333"/>
      <c r="I60" s="1463"/>
      <c r="J60" s="1463"/>
      <c r="K60" s="1463"/>
      <c r="L60" s="1513"/>
      <c r="M60" s="1513"/>
      <c r="N60" s="1517"/>
    </row>
    <row r="61" spans="1:16" ht="8.1" customHeight="1" thickBot="1">
      <c r="A61" s="1415"/>
      <c r="B61" s="1415"/>
      <c r="C61" s="1415"/>
      <c r="D61" s="1415"/>
      <c r="E61" s="1415"/>
      <c r="F61" s="1415"/>
      <c r="G61" s="1415"/>
      <c r="H61" s="1415"/>
      <c r="I61" s="1415"/>
      <c r="J61" s="1415"/>
      <c r="K61" s="1415"/>
      <c r="L61" s="1415"/>
      <c r="M61" s="1415"/>
      <c r="N61" s="1432"/>
      <c r="O61" s="1432"/>
    </row>
    <row r="62" spans="1:16" s="1393" customFormat="1" ht="15.2" customHeight="1" thickTop="1">
      <c r="A62" s="1380"/>
      <c r="B62" s="1380"/>
      <c r="C62" s="1380"/>
      <c r="D62" s="1380"/>
      <c r="E62" s="1380"/>
      <c r="F62" s="1380"/>
      <c r="G62" s="1380"/>
      <c r="H62" s="1380"/>
      <c r="I62" s="1380"/>
      <c r="J62" s="1380"/>
      <c r="K62" s="1380"/>
      <c r="L62" s="1338"/>
      <c r="M62" s="1414"/>
      <c r="N62" s="292" t="s">
        <v>0</v>
      </c>
      <c r="O62" s="1380"/>
      <c r="P62" s="1380"/>
    </row>
    <row r="63" spans="1:16" s="1393" customFormat="1" ht="15.2" customHeight="1">
      <c r="A63" s="1380"/>
      <c r="B63" s="1380"/>
      <c r="C63" s="1380"/>
      <c r="D63" s="1380"/>
      <c r="E63" s="1380"/>
      <c r="F63" s="1380"/>
      <c r="G63" s="1380"/>
      <c r="H63" s="1380"/>
      <c r="I63" s="1380"/>
      <c r="J63" s="1380"/>
      <c r="K63" s="1380"/>
      <c r="L63" s="1338"/>
      <c r="M63" s="1414"/>
      <c r="N63" s="293" t="s">
        <v>1</v>
      </c>
      <c r="O63" s="1380"/>
      <c r="P63" s="1380"/>
    </row>
    <row r="64" spans="1:16" ht="14.25" customHeight="1">
      <c r="E64" s="1421"/>
      <c r="F64" s="1421"/>
      <c r="G64" s="1421"/>
      <c r="H64" s="1421"/>
      <c r="I64" s="1421"/>
      <c r="J64" s="1421"/>
      <c r="K64" s="1421"/>
      <c r="L64" s="1421"/>
      <c r="M64" s="1421"/>
    </row>
    <row r="65" spans="1:16" s="1393" customFormat="1" ht="15.2" customHeight="1">
      <c r="A65" s="1343" t="s">
        <v>2</v>
      </c>
      <c r="B65" s="1380"/>
      <c r="C65" s="1380"/>
      <c r="D65" s="1380"/>
      <c r="E65" s="1380"/>
      <c r="F65" s="1380"/>
      <c r="G65" s="1380"/>
      <c r="H65" s="1380"/>
      <c r="I65" s="1380"/>
      <c r="J65" s="1380"/>
      <c r="K65" s="1380"/>
      <c r="L65" s="1340"/>
      <c r="M65" s="1414"/>
      <c r="N65" s="1380"/>
      <c r="O65" s="1380"/>
      <c r="P65" s="1380"/>
    </row>
    <row r="66" spans="1:16" s="1393" customFormat="1" ht="15.2" customHeight="1">
      <c r="A66" s="297" t="s">
        <v>3</v>
      </c>
      <c r="B66" s="1420" t="s">
        <v>1258</v>
      </c>
      <c r="C66" s="1380"/>
      <c r="D66" s="1380"/>
      <c r="E66" s="1380"/>
      <c r="F66" s="1380"/>
      <c r="G66" s="1380"/>
      <c r="H66" s="1380"/>
      <c r="I66" s="1380"/>
      <c r="J66" s="1380"/>
      <c r="K66" s="1380"/>
      <c r="L66" s="1340"/>
      <c r="M66" s="1414"/>
      <c r="N66" s="1380"/>
      <c r="O66" s="1380"/>
      <c r="P66" s="1380"/>
    </row>
    <row r="67" spans="1:16" s="1393" customFormat="1" ht="15.2" customHeight="1">
      <c r="A67" s="1380"/>
      <c r="B67" s="1419" t="s">
        <v>943</v>
      </c>
      <c r="C67" s="1380"/>
      <c r="D67" s="1380"/>
      <c r="E67" s="1380"/>
      <c r="F67" s="1380"/>
      <c r="G67" s="1380"/>
      <c r="H67" s="1380"/>
      <c r="I67" s="1380"/>
      <c r="J67" s="1380"/>
      <c r="K67" s="1380"/>
      <c r="L67" s="1340"/>
      <c r="M67" s="1414"/>
      <c r="N67" s="1380"/>
      <c r="O67" s="1380"/>
      <c r="P67" s="1380"/>
    </row>
    <row r="68" spans="1:16" s="1393" customFormat="1" ht="15.2" customHeight="1">
      <c r="A68" s="1380"/>
      <c r="B68" s="1343"/>
      <c r="C68" s="1380"/>
      <c r="D68" s="1380"/>
      <c r="E68" s="1380"/>
      <c r="F68" s="1380"/>
      <c r="G68" s="1380"/>
      <c r="H68" s="1380"/>
      <c r="I68" s="1380"/>
      <c r="J68" s="1380"/>
      <c r="K68" s="1380"/>
      <c r="L68" s="1340"/>
      <c r="M68" s="1414"/>
      <c r="N68" s="1380"/>
      <c r="O68" s="1380"/>
      <c r="P68" s="1380"/>
    </row>
    <row r="69" spans="1:16" s="1" customFormat="1">
      <c r="A69" s="297" t="s">
        <v>4</v>
      </c>
      <c r="B69" s="1651" t="s">
        <v>1987</v>
      </c>
    </row>
    <row r="70" spans="1:16" s="1" customFormat="1">
      <c r="B70" s="24" t="s">
        <v>1983</v>
      </c>
    </row>
  </sheetData>
  <mergeCells count="1">
    <mergeCell ref="B6:C6"/>
  </mergeCells>
  <conditionalFormatting sqref="C12:C60">
    <cfRule type="cellIs" dxfId="90" priority="1" stopIfTrue="1" operator="lessThan">
      <formula>0</formula>
    </cfRule>
  </conditionalFormatting>
  <pageMargins left="0.55118110236220474" right="0.55118110236220474" top="0.55118110236220474" bottom="0.55118110236220474" header="0.31496062992125984" footer="0.31496062992125984"/>
  <pageSetup paperSize="9" scale="61" fitToHeight="0"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5">
    <tabColor theme="4" tint="0.39997558519241921"/>
    <pageSetUpPr fitToPage="1"/>
  </sheetPr>
  <dimension ref="A1:O36"/>
  <sheetViews>
    <sheetView view="pageBreakPreview" zoomScale="90" zoomScaleNormal="100" zoomScaleSheetLayoutView="90" workbookViewId="0">
      <selection activeCell="F22" sqref="F22"/>
    </sheetView>
  </sheetViews>
  <sheetFormatPr defaultRowHeight="15"/>
  <cols>
    <col min="1" max="1" width="3.28515625" customWidth="1"/>
    <col min="2" max="2" width="9.140625" customWidth="1"/>
    <col min="3" max="3" width="20.7109375" customWidth="1"/>
    <col min="4" max="4" width="9.140625" customWidth="1"/>
    <col min="5" max="5" width="14.5703125" customWidth="1"/>
    <col min="6" max="12" width="13.5703125" customWidth="1"/>
  </cols>
  <sheetData>
    <row r="1" spans="1:13" s="1394" customFormat="1" ht="8.1" customHeight="1"/>
    <row r="2" spans="1:13" s="1394" customFormat="1" ht="8.1" customHeight="1"/>
    <row r="3" spans="1:13" s="1394" customFormat="1" ht="16.5" customHeight="1">
      <c r="A3" s="1395"/>
      <c r="B3" s="1396" t="s">
        <v>977</v>
      </c>
      <c r="C3" s="1422" t="s">
        <v>1337</v>
      </c>
      <c r="D3" s="1398"/>
      <c r="E3" s="1398"/>
      <c r="F3" s="1398"/>
      <c r="G3" s="1398"/>
      <c r="H3" s="1398"/>
      <c r="I3" s="1398"/>
      <c r="J3" s="1398"/>
      <c r="K3" s="1398"/>
      <c r="L3" s="1398"/>
    </row>
    <row r="4" spans="1:13" s="1394" customFormat="1" ht="16.5" customHeight="1">
      <c r="B4" s="1399" t="s">
        <v>978</v>
      </c>
      <c r="C4" s="1425" t="s">
        <v>1338</v>
      </c>
      <c r="D4" s="1401"/>
      <c r="E4" s="1401"/>
      <c r="F4" s="1401"/>
      <c r="G4" s="1401"/>
      <c r="H4" s="1401"/>
      <c r="I4" s="1401"/>
      <c r="J4" s="1401"/>
      <c r="K4" s="1401"/>
      <c r="L4" s="1401"/>
    </row>
    <row r="5" spans="1:13" s="1394" customFormat="1" ht="13.15" customHeight="1" thickBot="1">
      <c r="A5" s="1402"/>
      <c r="B5" s="1402"/>
      <c r="C5" s="1402"/>
      <c r="D5" s="1402"/>
      <c r="E5" s="1402"/>
      <c r="F5" s="1402"/>
      <c r="G5" s="1402"/>
      <c r="H5" s="1402"/>
      <c r="I5" s="1402"/>
      <c r="J5" s="1402"/>
      <c r="K5" s="1402"/>
      <c r="L5" s="1402"/>
    </row>
    <row r="6" spans="1:13" s="1330" customFormat="1" ht="54" customHeight="1" thickBot="1">
      <c r="A6" s="1403"/>
      <c r="B6" s="2664" t="s">
        <v>979</v>
      </c>
      <c r="C6" s="2664"/>
      <c r="D6" s="1403"/>
      <c r="E6" s="791"/>
      <c r="F6" s="789" t="s">
        <v>1057</v>
      </c>
      <c r="G6" s="790" t="s">
        <v>1059</v>
      </c>
      <c r="H6" s="790" t="s">
        <v>1058</v>
      </c>
      <c r="I6" s="790" t="s">
        <v>1063</v>
      </c>
      <c r="J6" s="791" t="s">
        <v>1060</v>
      </c>
      <c r="K6" s="791" t="s">
        <v>1061</v>
      </c>
      <c r="L6" s="791" t="s">
        <v>1062</v>
      </c>
      <c r="M6" s="1405"/>
    </row>
    <row r="7" spans="1:13" s="1330" customFormat="1" ht="16.350000000000001" customHeight="1">
      <c r="B7" s="1406"/>
      <c r="C7" s="1405"/>
      <c r="D7" s="1405"/>
      <c r="E7" s="1426"/>
      <c r="F7" s="1426"/>
      <c r="G7" s="1426"/>
      <c r="H7" s="1426"/>
      <c r="I7" s="1426"/>
      <c r="J7" s="1426"/>
      <c r="K7" s="1426"/>
      <c r="M7" s="1405"/>
    </row>
    <row r="8" spans="1:13" s="1330" customFormat="1" ht="15.2" customHeight="1">
      <c r="B8" s="1409" t="s">
        <v>1259</v>
      </c>
      <c r="C8" s="1332"/>
      <c r="E8" s="1333"/>
      <c r="F8" s="1463">
        <v>123456</v>
      </c>
      <c r="G8" s="1463">
        <v>123456</v>
      </c>
      <c r="H8" s="1463">
        <v>123456</v>
      </c>
      <c r="I8" s="1463">
        <v>123456</v>
      </c>
      <c r="J8" s="1463">
        <v>123456</v>
      </c>
      <c r="K8" s="1463">
        <v>123456</v>
      </c>
      <c r="L8" s="1463">
        <v>123456</v>
      </c>
      <c r="M8" s="1427"/>
    </row>
    <row r="9" spans="1:13" s="1330" customFormat="1" ht="15.2" customHeight="1">
      <c r="B9" s="1331" t="s">
        <v>980</v>
      </c>
      <c r="C9" s="1332"/>
      <c r="E9" s="1333"/>
      <c r="F9" s="1463"/>
      <c r="G9" s="1463"/>
      <c r="H9" s="1463"/>
      <c r="I9" s="1463"/>
      <c r="J9" s="1463"/>
      <c r="K9" s="1463"/>
      <c r="L9" s="1513"/>
      <c r="M9" s="1427"/>
    </row>
    <row r="10" spans="1:13" s="1330" customFormat="1" ht="15.2" customHeight="1">
      <c r="B10" s="1331"/>
      <c r="C10" s="1332"/>
      <c r="E10" s="1333"/>
      <c r="F10" s="1463"/>
      <c r="G10" s="1463"/>
      <c r="H10" s="1463"/>
      <c r="I10" s="1463"/>
      <c r="J10" s="1463"/>
      <c r="K10" s="1463"/>
      <c r="L10" s="1513"/>
      <c r="M10" s="1427"/>
    </row>
    <row r="11" spans="1:13" s="1330" customFormat="1" ht="15.2" customHeight="1">
      <c r="B11" s="1409" t="s">
        <v>1341</v>
      </c>
      <c r="C11" s="1332"/>
      <c r="E11" s="1333"/>
      <c r="F11" s="1463">
        <v>123456</v>
      </c>
      <c r="G11" s="1463">
        <v>123456</v>
      </c>
      <c r="H11" s="1463">
        <v>123456</v>
      </c>
      <c r="I11" s="1463">
        <v>123456</v>
      </c>
      <c r="J11" s="1463">
        <v>123456</v>
      </c>
      <c r="K11" s="1463">
        <v>123456</v>
      </c>
      <c r="L11" s="1463">
        <v>123456</v>
      </c>
      <c r="M11" s="1427"/>
    </row>
    <row r="12" spans="1:13" s="1330" customFormat="1" ht="15.2" customHeight="1">
      <c r="B12" s="1331" t="s">
        <v>981</v>
      </c>
      <c r="C12" s="1332"/>
      <c r="E12" s="1333"/>
      <c r="F12" s="1463"/>
      <c r="G12" s="1463"/>
      <c r="H12" s="1463"/>
      <c r="I12" s="1463"/>
      <c r="J12" s="1463"/>
      <c r="K12" s="1463"/>
      <c r="L12" s="1513"/>
      <c r="M12" s="1427"/>
    </row>
    <row r="13" spans="1:13" s="1330" customFormat="1" ht="15.2" customHeight="1">
      <c r="B13" s="1331"/>
      <c r="C13" s="1332"/>
      <c r="E13" s="1333"/>
      <c r="F13" s="1333"/>
      <c r="G13" s="1333"/>
      <c r="H13" s="1333"/>
      <c r="I13" s="1333"/>
      <c r="J13" s="1333"/>
      <c r="K13" s="1333"/>
      <c r="L13" s="1334"/>
      <c r="M13" s="1427"/>
    </row>
    <row r="14" spans="1:13" s="1330" customFormat="1" ht="15.2" customHeight="1">
      <c r="B14" s="1409" t="s">
        <v>1339</v>
      </c>
      <c r="C14" s="1443"/>
      <c r="E14" s="1333"/>
      <c r="F14" s="1463">
        <v>12345</v>
      </c>
      <c r="G14" s="1463">
        <v>12345</v>
      </c>
      <c r="H14" s="1463">
        <v>12345</v>
      </c>
      <c r="I14" s="1463">
        <v>12345</v>
      </c>
      <c r="J14" s="1463">
        <v>12345</v>
      </c>
      <c r="K14" s="1463">
        <v>12345</v>
      </c>
      <c r="L14" s="1463">
        <v>12345</v>
      </c>
      <c r="M14" s="1427"/>
    </row>
    <row r="15" spans="1:13" s="1330" customFormat="1" ht="15.2" customHeight="1">
      <c r="B15" s="1331" t="s">
        <v>1066</v>
      </c>
      <c r="C15" s="1444"/>
      <c r="E15" s="1333"/>
      <c r="F15" s="1333"/>
      <c r="G15" s="1333"/>
      <c r="H15" s="1333"/>
      <c r="I15" s="1333"/>
      <c r="J15" s="1333"/>
      <c r="K15" s="1333"/>
      <c r="L15" s="1334"/>
      <c r="M15" s="1427"/>
    </row>
    <row r="16" spans="1:13" s="1330" customFormat="1" ht="15.2" customHeight="1">
      <c r="B16" s="1331"/>
      <c r="C16" s="1444"/>
      <c r="E16" s="1333"/>
      <c r="F16" s="1333"/>
      <c r="G16" s="1333"/>
      <c r="H16" s="1333"/>
      <c r="I16" s="1333"/>
      <c r="J16" s="1333"/>
      <c r="K16" s="1333"/>
      <c r="L16" s="1334"/>
      <c r="M16" s="1427"/>
    </row>
    <row r="17" spans="1:15" s="1330" customFormat="1" ht="15.2" customHeight="1">
      <c r="B17" s="1409" t="s">
        <v>1340</v>
      </c>
      <c r="C17" s="1332"/>
      <c r="E17" s="1333"/>
      <c r="F17" s="1463">
        <v>123456</v>
      </c>
      <c r="G17" s="1463">
        <v>123456</v>
      </c>
      <c r="H17" s="1463">
        <v>123456</v>
      </c>
      <c r="I17" s="1463">
        <v>123456</v>
      </c>
      <c r="J17" s="1463">
        <v>123456</v>
      </c>
      <c r="K17" s="1463">
        <v>123456</v>
      </c>
      <c r="L17" s="1463">
        <v>123456</v>
      </c>
      <c r="M17" s="1427"/>
    </row>
    <row r="18" spans="1:15" s="1330" customFormat="1" ht="15.2" customHeight="1">
      <c r="B18" s="1331" t="s">
        <v>1336</v>
      </c>
      <c r="C18" s="1332"/>
      <c r="E18" s="1333"/>
      <c r="F18" s="1463"/>
      <c r="G18" s="1463"/>
      <c r="H18" s="1463"/>
      <c r="I18" s="1463"/>
      <c r="J18" s="1463"/>
      <c r="K18" s="1463"/>
      <c r="L18" s="1513"/>
      <c r="M18" s="1427"/>
    </row>
    <row r="19" spans="1:15" s="1330" customFormat="1" ht="15.2" customHeight="1">
      <c r="B19" s="1331"/>
      <c r="C19" s="1332"/>
      <c r="E19" s="1333"/>
      <c r="F19" s="1333"/>
      <c r="G19" s="1333"/>
      <c r="H19" s="1333"/>
      <c r="I19" s="1333"/>
      <c r="J19" s="1333"/>
      <c r="K19" s="1333"/>
      <c r="L19" s="1334"/>
      <c r="M19" s="1427"/>
    </row>
    <row r="20" spans="1:15" s="1394" customFormat="1" ht="8.1" customHeight="1" thickBot="1">
      <c r="A20" s="1415"/>
      <c r="B20" s="1415"/>
      <c r="C20" s="1415"/>
      <c r="D20" s="1415"/>
      <c r="E20" s="1415"/>
      <c r="F20" s="1415"/>
      <c r="G20" s="1415"/>
      <c r="H20" s="1415"/>
      <c r="I20" s="1415"/>
      <c r="J20" s="1415"/>
      <c r="K20" s="1415"/>
      <c r="L20" s="1415"/>
      <c r="M20" s="1437"/>
    </row>
    <row r="21" spans="1:15" s="1393" customFormat="1" ht="15.2" customHeight="1" thickTop="1">
      <c r="A21" s="1380"/>
      <c r="B21" s="1380"/>
      <c r="C21" s="1380"/>
      <c r="D21" s="1380"/>
      <c r="E21" s="1380"/>
      <c r="F21" s="1380"/>
      <c r="G21" s="1380"/>
      <c r="H21" s="1380"/>
      <c r="I21" s="1380"/>
      <c r="J21" s="1380"/>
      <c r="K21" s="1338"/>
      <c r="L21" s="292" t="s">
        <v>0</v>
      </c>
      <c r="M21" s="1380"/>
      <c r="N21" s="1380"/>
      <c r="O21" s="1380"/>
    </row>
    <row r="22" spans="1:15" s="1393" customFormat="1" ht="15.2" customHeight="1">
      <c r="A22" s="1380"/>
      <c r="B22" s="1380"/>
      <c r="C22" s="1380"/>
      <c r="D22" s="1380"/>
      <c r="E22" s="1380"/>
      <c r="F22" s="1380"/>
      <c r="G22" s="1380"/>
      <c r="H22" s="2683" t="s">
        <v>1032</v>
      </c>
      <c r="I22" s="2683"/>
      <c r="J22" s="2683"/>
      <c r="K22" s="2683"/>
      <c r="L22" s="2683"/>
      <c r="M22" s="1380"/>
      <c r="N22" s="1380"/>
      <c r="O22" s="1380"/>
    </row>
    <row r="23" spans="1:15" s="1393" customFormat="1" ht="15.2" customHeight="1">
      <c r="A23" s="1380"/>
      <c r="B23" s="1380"/>
      <c r="C23" s="1380"/>
      <c r="D23" s="1380"/>
      <c r="E23" s="1380"/>
      <c r="F23" s="1380"/>
      <c r="G23" s="1380"/>
      <c r="H23" s="1380"/>
      <c r="I23" s="1380"/>
      <c r="J23" s="1380"/>
      <c r="K23" s="1338"/>
      <c r="L23" s="293" t="s">
        <v>1</v>
      </c>
      <c r="M23" s="1380"/>
      <c r="N23" s="1380"/>
      <c r="O23" s="1380"/>
    </row>
    <row r="24" spans="1:15" s="1393" customFormat="1" ht="15.2" customHeight="1">
      <c r="A24" s="1380"/>
      <c r="B24" s="1380"/>
      <c r="C24" s="1380"/>
      <c r="D24" s="1380"/>
      <c r="E24" s="1380"/>
      <c r="F24" s="1380"/>
      <c r="G24" s="2684" t="s">
        <v>1033</v>
      </c>
      <c r="H24" s="2684"/>
      <c r="I24" s="2684"/>
      <c r="J24" s="2684"/>
      <c r="K24" s="2684"/>
      <c r="L24" s="2684"/>
      <c r="M24" s="1380"/>
      <c r="N24" s="1380"/>
      <c r="O24" s="1380"/>
    </row>
    <row r="25" spans="1:15" s="1393" customFormat="1" ht="15.2" customHeight="1">
      <c r="A25" s="1380"/>
      <c r="B25" s="1380"/>
      <c r="C25" s="1380"/>
      <c r="D25" s="1380"/>
      <c r="E25" s="1380"/>
      <c r="F25" s="1380"/>
      <c r="G25" s="1340"/>
      <c r="H25" s="1340"/>
      <c r="I25" s="1340"/>
      <c r="J25" s="1340"/>
      <c r="K25" s="1340"/>
      <c r="L25" s="1340"/>
      <c r="M25" s="1380"/>
      <c r="N25" s="1380"/>
      <c r="O25" s="1380"/>
    </row>
    <row r="26" spans="1:15" s="1393" customFormat="1" ht="15.2" customHeight="1">
      <c r="A26" s="1343" t="s">
        <v>2</v>
      </c>
      <c r="B26" s="1380"/>
      <c r="C26" s="1380"/>
      <c r="D26" s="1380"/>
      <c r="E26" s="1380"/>
      <c r="F26" s="1380"/>
      <c r="G26" s="1380"/>
      <c r="H26" s="1380"/>
      <c r="I26" s="1380"/>
      <c r="J26" s="1380"/>
      <c r="K26" s="1340"/>
      <c r="L26" s="1414"/>
      <c r="M26" s="1380"/>
      <c r="N26" s="1380"/>
      <c r="O26" s="1380"/>
    </row>
    <row r="27" spans="1:15" s="1393" customFormat="1" ht="15.2" customHeight="1">
      <c r="A27" s="1445" t="s">
        <v>3</v>
      </c>
      <c r="B27" s="1420" t="s">
        <v>1258</v>
      </c>
      <c r="C27" s="1380"/>
      <c r="D27" s="1380"/>
      <c r="E27" s="1380"/>
      <c r="F27" s="1380"/>
      <c r="G27" s="1380"/>
      <c r="H27" s="1380"/>
      <c r="I27" s="1380"/>
      <c r="J27" s="1380"/>
      <c r="K27" s="1340"/>
      <c r="L27" s="1414"/>
      <c r="M27" s="1380"/>
      <c r="N27" s="1380"/>
      <c r="O27" s="1380"/>
    </row>
    <row r="28" spans="1:15" s="1393" customFormat="1" ht="15.2" customHeight="1">
      <c r="A28" s="1380"/>
      <c r="B28" s="1419" t="s">
        <v>943</v>
      </c>
      <c r="C28" s="1380"/>
      <c r="D28" s="1380"/>
      <c r="E28" s="1380"/>
      <c r="F28" s="1380"/>
      <c r="G28" s="1380"/>
      <c r="H28" s="1380"/>
      <c r="I28" s="1380"/>
      <c r="J28" s="1380"/>
      <c r="K28" s="1340"/>
      <c r="L28" s="1414"/>
      <c r="M28" s="1380"/>
      <c r="N28" s="1380"/>
      <c r="O28" s="1380"/>
    </row>
    <row r="29" spans="1:15" s="1394" customFormat="1" ht="15.2" customHeight="1"/>
    <row r="30" spans="1:15" s="1394" customFormat="1" ht="15.2" customHeight="1">
      <c r="A30" s="1445" t="s">
        <v>4</v>
      </c>
      <c r="B30" s="1420" t="s">
        <v>1342</v>
      </c>
    </row>
    <row r="31" spans="1:15" ht="15.75">
      <c r="B31" s="1419" t="s">
        <v>1343</v>
      </c>
    </row>
    <row r="33" spans="1:2" s="1394" customFormat="1" ht="15.2" customHeight="1">
      <c r="A33" s="1445" t="s">
        <v>263</v>
      </c>
      <c r="B33" s="1420" t="s">
        <v>1202</v>
      </c>
    </row>
    <row r="34" spans="1:2" s="1394" customFormat="1" ht="15.2" customHeight="1">
      <c r="A34" s="1445"/>
      <c r="B34" s="1420" t="s">
        <v>1260</v>
      </c>
    </row>
    <row r="35" spans="1:2">
      <c r="B35" s="1419" t="s">
        <v>1067</v>
      </c>
    </row>
    <row r="36" spans="1:2">
      <c r="B36" s="1419" t="s">
        <v>1065</v>
      </c>
    </row>
  </sheetData>
  <mergeCells count="3">
    <mergeCell ref="G24:L24"/>
    <mergeCell ref="B6:C6"/>
    <mergeCell ref="H22:L22"/>
  </mergeCells>
  <conditionalFormatting sqref="C8:C19">
    <cfRule type="cellIs" dxfId="89" priority="1" stopIfTrue="1" operator="lessThan">
      <formula>0</formula>
    </cfRule>
  </conditionalFormatting>
  <pageMargins left="0.55118110236220474" right="0.55118110236220474" top="0.55118110236220474" bottom="0.55118110236220474" header="0.31496062992125984" footer="0.31496062992125984"/>
  <pageSetup paperSize="9" scale="60" fitToHeight="0"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6">
    <tabColor theme="4" tint="0.39997558519241921"/>
    <pageSetUpPr fitToPage="1"/>
  </sheetPr>
  <dimension ref="A1:P19"/>
  <sheetViews>
    <sheetView view="pageBreakPreview" zoomScaleNormal="100" zoomScaleSheetLayoutView="100" workbookViewId="0">
      <selection activeCell="Q15" sqref="Q15"/>
    </sheetView>
  </sheetViews>
  <sheetFormatPr defaultRowHeight="15"/>
  <cols>
    <col min="1" max="1" width="3.140625" customWidth="1"/>
    <col min="2" max="2" width="9.140625" customWidth="1"/>
    <col min="3" max="3" width="16.7109375" customWidth="1"/>
    <col min="4" max="4" width="5.7109375" customWidth="1"/>
    <col min="5" max="5" width="7.28515625" customWidth="1"/>
    <col min="6" max="6" width="1.28515625" hidden="1" customWidth="1"/>
    <col min="7" max="13" width="13.85546875" customWidth="1"/>
  </cols>
  <sheetData>
    <row r="1" spans="1:16" s="1394" customFormat="1" ht="8.1" customHeight="1"/>
    <row r="2" spans="1:16" s="1394" customFormat="1" ht="8.1" customHeight="1"/>
    <row r="3" spans="1:16" s="1394" customFormat="1" ht="16.5" customHeight="1">
      <c r="A3" s="1395"/>
      <c r="B3" s="1396" t="s">
        <v>982</v>
      </c>
      <c r="C3" s="1422" t="s">
        <v>1432</v>
      </c>
      <c r="D3" s="1398"/>
      <c r="E3" s="1398"/>
      <c r="F3" s="1398"/>
      <c r="G3" s="1398"/>
      <c r="H3" s="1398"/>
      <c r="I3" s="1398"/>
      <c r="J3" s="1398"/>
      <c r="K3" s="1398"/>
      <c r="L3" s="1398"/>
      <c r="M3" s="1398"/>
    </row>
    <row r="4" spans="1:16" s="1394" customFormat="1" ht="16.5" customHeight="1">
      <c r="B4" s="1399" t="s">
        <v>983</v>
      </c>
      <c r="C4" s="1425" t="s">
        <v>1433</v>
      </c>
      <c r="D4" s="1401"/>
      <c r="E4" s="1401"/>
      <c r="F4" s="1401"/>
      <c r="G4" s="1401"/>
      <c r="H4" s="1401"/>
      <c r="I4" s="1401"/>
      <c r="J4" s="1401"/>
      <c r="K4" s="1401"/>
      <c r="L4" s="1401"/>
      <c r="M4" s="1401"/>
    </row>
    <row r="5" spans="1:16" s="1394" customFormat="1" ht="13.15" customHeight="1" thickBot="1">
      <c r="A5" s="1402"/>
      <c r="B5" s="1402"/>
      <c r="C5" s="1402"/>
      <c r="D5" s="1402"/>
      <c r="E5" s="1402"/>
      <c r="F5" s="1402"/>
      <c r="G5" s="1402"/>
      <c r="H5" s="1402"/>
      <c r="I5" s="1402"/>
      <c r="J5" s="1402"/>
      <c r="K5" s="1402"/>
      <c r="L5" s="1402"/>
      <c r="M5" s="1402"/>
    </row>
    <row r="6" spans="1:16" s="1330" customFormat="1" ht="54" customHeight="1" thickBot="1">
      <c r="A6" s="1403"/>
      <c r="B6" s="2664" t="s">
        <v>984</v>
      </c>
      <c r="C6" s="2664"/>
      <c r="D6" s="1403"/>
      <c r="E6" s="788" t="s">
        <v>239</v>
      </c>
      <c r="F6" s="1363"/>
      <c r="G6" s="789" t="s">
        <v>1057</v>
      </c>
      <c r="H6" s="790" t="s">
        <v>1059</v>
      </c>
      <c r="I6" s="790" t="s">
        <v>1058</v>
      </c>
      <c r="J6" s="790" t="s">
        <v>1063</v>
      </c>
      <c r="K6" s="791" t="s">
        <v>1060</v>
      </c>
      <c r="L6" s="791" t="s">
        <v>1061</v>
      </c>
      <c r="M6" s="791" t="s">
        <v>1062</v>
      </c>
      <c r="N6" s="1405"/>
    </row>
    <row r="7" spans="1:16" s="1330" customFormat="1" ht="16.350000000000001" customHeight="1">
      <c r="B7" s="1406"/>
      <c r="C7" s="1405"/>
      <c r="D7" s="1405"/>
      <c r="E7" s="1426"/>
      <c r="F7" s="1426"/>
      <c r="G7" s="1426"/>
      <c r="H7" s="1426"/>
      <c r="I7" s="1426"/>
      <c r="J7" s="1426"/>
      <c r="K7" s="1426"/>
      <c r="L7" s="1426"/>
      <c r="N7" s="1405"/>
    </row>
    <row r="8" spans="1:16" s="1330" customFormat="1" ht="15.2" customHeight="1">
      <c r="B8" s="1409" t="s">
        <v>985</v>
      </c>
      <c r="C8" s="1443"/>
      <c r="E8" s="803">
        <v>2023</v>
      </c>
      <c r="F8" s="1333"/>
      <c r="G8" s="1463">
        <v>12345</v>
      </c>
      <c r="H8" s="1463">
        <v>12345</v>
      </c>
      <c r="I8" s="1463">
        <v>12345</v>
      </c>
      <c r="J8" s="1463">
        <v>12345</v>
      </c>
      <c r="K8" s="1463">
        <v>12345</v>
      </c>
      <c r="L8" s="1463">
        <v>12345</v>
      </c>
      <c r="M8" s="1463">
        <v>12345</v>
      </c>
      <c r="N8" s="1427"/>
    </row>
    <row r="9" spans="1:16" s="1330" customFormat="1" ht="15.2" customHeight="1">
      <c r="B9" s="1331" t="s">
        <v>986</v>
      </c>
      <c r="C9" s="1444"/>
      <c r="E9" s="803">
        <v>2024</v>
      </c>
      <c r="F9" s="1333"/>
      <c r="G9" s="1463">
        <v>12345</v>
      </c>
      <c r="H9" s="1463">
        <v>12345</v>
      </c>
      <c r="I9" s="1463">
        <v>12345</v>
      </c>
      <c r="J9" s="1463">
        <v>12345</v>
      </c>
      <c r="K9" s="1463">
        <v>12345</v>
      </c>
      <c r="L9" s="1463">
        <v>12345</v>
      </c>
      <c r="M9" s="1463">
        <v>12345</v>
      </c>
      <c r="N9" s="1427"/>
    </row>
    <row r="10" spans="1:16" s="1330" customFormat="1" ht="15.2" customHeight="1">
      <c r="B10" s="1331"/>
      <c r="C10" s="1332"/>
      <c r="E10" s="803">
        <v>2025</v>
      </c>
      <c r="F10" s="1333"/>
      <c r="G10" s="1463">
        <v>12345</v>
      </c>
      <c r="H10" s="1463">
        <v>12345</v>
      </c>
      <c r="I10" s="1463">
        <v>12345</v>
      </c>
      <c r="J10" s="1463">
        <v>12345</v>
      </c>
      <c r="K10" s="1463">
        <v>12345</v>
      </c>
      <c r="L10" s="1463">
        <v>12345</v>
      </c>
      <c r="M10" s="1463">
        <v>12345</v>
      </c>
      <c r="N10" s="1427"/>
    </row>
    <row r="11" spans="1:16" s="1330" customFormat="1" ht="15.2" customHeight="1">
      <c r="B11" s="1331"/>
      <c r="C11" s="1332"/>
      <c r="E11" s="1333"/>
      <c r="F11" s="1333"/>
      <c r="G11" s="1333"/>
      <c r="H11" s="1333"/>
      <c r="I11" s="1333"/>
      <c r="J11" s="1333"/>
      <c r="K11" s="1333"/>
      <c r="L11" s="1333"/>
      <c r="M11" s="1334"/>
      <c r="N11" s="1427"/>
    </row>
    <row r="12" spans="1:16" s="1394" customFormat="1" ht="8.1" customHeight="1" thickBot="1">
      <c r="A12" s="1415"/>
      <c r="B12" s="1415"/>
      <c r="C12" s="1415"/>
      <c r="D12" s="1415"/>
      <c r="E12" s="1415"/>
      <c r="F12" s="1415"/>
      <c r="G12" s="1415"/>
      <c r="H12" s="1415"/>
      <c r="I12" s="1415"/>
      <c r="J12" s="1415"/>
      <c r="K12" s="1415"/>
      <c r="L12" s="1415"/>
      <c r="M12" s="1415"/>
      <c r="N12" s="1437"/>
    </row>
    <row r="13" spans="1:16" s="1393" customFormat="1" ht="15.2" customHeight="1" thickTop="1">
      <c r="A13" s="1380"/>
      <c r="B13" s="1380"/>
      <c r="C13" s="1380"/>
      <c r="D13" s="1380"/>
      <c r="E13" s="1380"/>
      <c r="F13" s="1380"/>
      <c r="G13" s="1380"/>
      <c r="H13" s="1380"/>
      <c r="I13" s="1380"/>
      <c r="J13" s="1380"/>
      <c r="K13" s="1380"/>
      <c r="L13" s="1338"/>
      <c r="M13" s="292" t="s">
        <v>0</v>
      </c>
      <c r="N13" s="1380"/>
      <c r="O13" s="1380"/>
      <c r="P13" s="1380"/>
    </row>
    <row r="14" spans="1:16" s="1393" customFormat="1" ht="15.2" customHeight="1">
      <c r="A14" s="1380"/>
      <c r="B14" s="1380"/>
      <c r="C14" s="1380"/>
      <c r="D14" s="1380"/>
      <c r="E14" s="1380"/>
      <c r="F14" s="1380"/>
      <c r="G14" s="1380"/>
      <c r="H14" s="1380"/>
      <c r="I14" s="1380"/>
      <c r="J14" s="1380"/>
      <c r="K14" s="1380"/>
      <c r="L14" s="1338"/>
      <c r="M14" s="293" t="s">
        <v>1</v>
      </c>
      <c r="N14" s="1380"/>
      <c r="O14" s="1380"/>
      <c r="P14" s="1380"/>
    </row>
    <row r="15" spans="1:16" s="1393" customFormat="1" ht="15.2" customHeight="1">
      <c r="A15" s="1343"/>
      <c r="B15" s="1380"/>
      <c r="C15" s="1380"/>
      <c r="D15" s="1380"/>
      <c r="E15" s="1380"/>
      <c r="F15" s="1380"/>
      <c r="G15" s="1380"/>
      <c r="H15" s="1380"/>
      <c r="I15" s="1380"/>
      <c r="J15" s="1380"/>
      <c r="K15" s="1380"/>
      <c r="L15" s="1340"/>
      <c r="M15" s="1414"/>
      <c r="N15" s="1380"/>
      <c r="O15" s="1380"/>
      <c r="P15" s="1380"/>
    </row>
    <row r="16" spans="1:16" s="1393" customFormat="1" ht="15.2" customHeight="1">
      <c r="A16" s="1343"/>
      <c r="B16" s="1420"/>
      <c r="C16" s="1380"/>
      <c r="D16" s="1380"/>
      <c r="E16" s="1380"/>
      <c r="F16" s="1380"/>
      <c r="G16" s="1380"/>
      <c r="H16" s="1380"/>
      <c r="I16" s="1380"/>
      <c r="J16" s="1380"/>
      <c r="K16" s="1380"/>
      <c r="L16" s="1340"/>
      <c r="M16" s="1414"/>
      <c r="N16" s="1380"/>
      <c r="O16" s="1380"/>
      <c r="P16" s="1380"/>
    </row>
    <row r="17" spans="1:16" s="1393" customFormat="1" ht="15.2" customHeight="1">
      <c r="A17" s="1380"/>
      <c r="B17" s="1419"/>
      <c r="C17" s="1380"/>
      <c r="D17" s="1380"/>
      <c r="E17" s="1380"/>
      <c r="F17" s="1380"/>
      <c r="G17" s="1380"/>
      <c r="H17" s="1380"/>
      <c r="I17" s="1380"/>
      <c r="J17" s="1380"/>
      <c r="K17" s="1380"/>
      <c r="L17" s="1340"/>
      <c r="M17" s="1414"/>
      <c r="N17" s="1380"/>
      <c r="O17" s="1380"/>
      <c r="P17" s="1380"/>
    </row>
    <row r="18" spans="1:16" s="1394" customFormat="1" ht="15.2" customHeight="1"/>
    <row r="19" spans="1:16" s="1394" customFormat="1" ht="15.2" customHeight="1"/>
  </sheetData>
  <mergeCells count="1">
    <mergeCell ref="B6:C6"/>
  </mergeCells>
  <conditionalFormatting sqref="C8:C11">
    <cfRule type="cellIs" dxfId="88" priority="1" stopIfTrue="1" operator="lessThan">
      <formula>0</formula>
    </cfRule>
  </conditionalFormatting>
  <pageMargins left="0.55118110236220474" right="0.55118110236220474" top="0.55118110236220474" bottom="0.55118110236220474" header="0.31496062992125984" footer="0.31496062992125984"/>
  <pageSetup paperSize="9" scale="65" fitToHeight="0"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7">
    <tabColor theme="4" tint="0.39997558519241921"/>
    <pageSetUpPr fitToPage="1"/>
  </sheetPr>
  <dimension ref="A1:M57"/>
  <sheetViews>
    <sheetView view="pageBreakPreview" zoomScale="80" zoomScaleNormal="70" zoomScaleSheetLayoutView="80" workbookViewId="0">
      <selection activeCell="J13" sqref="J13"/>
    </sheetView>
  </sheetViews>
  <sheetFormatPr defaultRowHeight="15"/>
  <cols>
    <col min="1" max="1" width="3.5703125" customWidth="1"/>
    <col min="3" max="3" width="21.5703125" customWidth="1"/>
    <col min="4" max="4" width="60.28515625" customWidth="1"/>
    <col min="5" max="5" width="14.5703125" customWidth="1"/>
    <col min="6" max="6" width="15.5703125" customWidth="1"/>
    <col min="7" max="7" width="15.28515625" customWidth="1"/>
  </cols>
  <sheetData>
    <row r="1" spans="1:8" s="149" customFormat="1" ht="8.25" customHeight="1"/>
    <row r="2" spans="1:8" s="149" customFormat="1" ht="8.25" customHeight="1"/>
    <row r="3" spans="1:8" s="149" customFormat="1" ht="16.5" customHeight="1">
      <c r="A3"/>
      <c r="B3" s="57" t="s">
        <v>286</v>
      </c>
      <c r="C3" s="150" t="s">
        <v>1372</v>
      </c>
      <c r="D3"/>
      <c r="E3"/>
      <c r="F3" s="272"/>
      <c r="G3"/>
      <c r="H3"/>
    </row>
    <row r="4" spans="1:8" s="149" customFormat="1" ht="16.5" customHeight="1">
      <c r="A4"/>
      <c r="B4" s="60" t="s">
        <v>287</v>
      </c>
      <c r="C4" s="151" t="s">
        <v>1373</v>
      </c>
      <c r="D4" s="273"/>
      <c r="E4" s="152"/>
      <c r="F4" s="272"/>
      <c r="G4"/>
      <c r="H4"/>
    </row>
    <row r="5" spans="1:8" s="149" customFormat="1" ht="13.15" customHeight="1" thickBot="1">
      <c r="A5" s="153"/>
      <c r="B5" s="2691"/>
      <c r="C5" s="2691"/>
      <c r="D5" s="2691"/>
      <c r="E5" s="2691"/>
      <c r="F5" s="2691"/>
      <c r="G5"/>
      <c r="H5"/>
    </row>
    <row r="6" spans="1:8" s="154" customFormat="1" ht="51.6" customHeight="1" thickBot="1">
      <c r="A6" s="7"/>
      <c r="B6" s="2651" t="s">
        <v>992</v>
      </c>
      <c r="C6" s="2651"/>
      <c r="D6" s="2651"/>
      <c r="E6" s="274">
        <v>2023</v>
      </c>
      <c r="F6" s="274">
        <v>2024</v>
      </c>
      <c r="G6" s="274">
        <v>2025</v>
      </c>
    </row>
    <row r="7" spans="1:8" s="154" customFormat="1" ht="19.899999999999999" customHeight="1">
      <c r="A7" s="275"/>
      <c r="B7" s="2692" t="s">
        <v>1266</v>
      </c>
      <c r="C7" s="2692"/>
      <c r="D7" s="2692"/>
      <c r="E7" s="276"/>
      <c r="F7" s="276"/>
    </row>
    <row r="8" spans="1:8" s="154" customFormat="1" ht="19.899999999999999" customHeight="1">
      <c r="A8" s="275"/>
      <c r="B8" s="2693" t="s">
        <v>1286</v>
      </c>
      <c r="C8" s="2693"/>
      <c r="D8" s="2693"/>
      <c r="E8" s="276"/>
      <c r="F8" s="276"/>
    </row>
    <row r="9" spans="1:8" s="158" customFormat="1" ht="15.2" customHeight="1">
      <c r="B9" s="2694"/>
      <c r="C9" s="2694"/>
      <c r="D9" s="2694"/>
      <c r="E9" s="2694"/>
      <c r="F9" s="2694"/>
    </row>
    <row r="10" spans="1:8" s="158" customFormat="1" ht="31.15" customHeight="1">
      <c r="B10" s="2690" t="s">
        <v>288</v>
      </c>
      <c r="C10" s="2690"/>
      <c r="D10" s="2690"/>
      <c r="E10" s="277">
        <v>1513157</v>
      </c>
      <c r="F10" s="277">
        <v>1416605</v>
      </c>
      <c r="G10" s="277">
        <v>1544214</v>
      </c>
    </row>
    <row r="11" spans="1:8" s="158" customFormat="1" ht="20.25" customHeight="1">
      <c r="B11" s="2695" t="s">
        <v>1203</v>
      </c>
      <c r="C11" s="2695"/>
      <c r="D11" s="2695"/>
      <c r="E11" s="1521">
        <v>109549</v>
      </c>
      <c r="F11" s="1521">
        <v>116084</v>
      </c>
      <c r="G11" s="1521">
        <v>148449</v>
      </c>
    </row>
    <row r="12" spans="1:8" s="158" customFormat="1" ht="20.25" customHeight="1">
      <c r="B12" s="2695" t="s">
        <v>1204</v>
      </c>
      <c r="C12" s="2695"/>
      <c r="D12" s="2695"/>
      <c r="E12" s="1521">
        <v>131117</v>
      </c>
      <c r="F12" s="1521">
        <v>95328</v>
      </c>
      <c r="G12" s="1521">
        <v>122801</v>
      </c>
    </row>
    <row r="13" spans="1:8" s="158" customFormat="1" ht="20.25" customHeight="1">
      <c r="B13" s="2695" t="s">
        <v>1205</v>
      </c>
      <c r="C13" s="2695"/>
      <c r="D13" s="2695"/>
      <c r="E13" s="1521">
        <v>323862</v>
      </c>
      <c r="F13" s="1521">
        <v>315608</v>
      </c>
      <c r="G13" s="1521">
        <v>362757</v>
      </c>
    </row>
    <row r="14" spans="1:8" s="158" customFormat="1" ht="20.25" customHeight="1">
      <c r="B14" s="2695" t="s">
        <v>1206</v>
      </c>
      <c r="C14" s="2695"/>
      <c r="D14" s="2695"/>
      <c r="E14" s="1521">
        <v>71067</v>
      </c>
      <c r="F14" s="1521">
        <v>57537</v>
      </c>
      <c r="G14" s="1521">
        <v>55538</v>
      </c>
    </row>
    <row r="15" spans="1:8" s="158" customFormat="1" ht="20.25" customHeight="1">
      <c r="B15" s="2695" t="s">
        <v>1207</v>
      </c>
      <c r="C15" s="2695"/>
      <c r="D15" s="2695"/>
      <c r="E15" s="1521">
        <v>860497</v>
      </c>
      <c r="F15" s="1521">
        <v>816292</v>
      </c>
      <c r="G15" s="1521">
        <v>837586</v>
      </c>
    </row>
    <row r="16" spans="1:8" s="158" customFormat="1" ht="20.25" customHeight="1">
      <c r="B16" s="2695" t="s">
        <v>1208</v>
      </c>
      <c r="C16" s="2695"/>
      <c r="D16" s="2695"/>
      <c r="E16" s="1521">
        <v>17065</v>
      </c>
      <c r="F16" s="1521">
        <v>15755</v>
      </c>
      <c r="G16" s="1521">
        <v>17084</v>
      </c>
    </row>
    <row r="17" spans="2:8" s="158" customFormat="1" ht="15.2" customHeight="1">
      <c r="C17" s="172"/>
      <c r="D17" s="165"/>
      <c r="E17" s="168"/>
      <c r="F17" s="1522"/>
      <c r="G17" s="168"/>
    </row>
    <row r="18" spans="2:8" s="158" customFormat="1" ht="19.899999999999999" customHeight="1">
      <c r="B18" s="2696" t="s">
        <v>289</v>
      </c>
      <c r="C18" s="2696"/>
      <c r="D18" s="2696"/>
      <c r="E18" s="2697"/>
      <c r="F18" s="2697"/>
      <c r="G18" s="168"/>
    </row>
    <row r="19" spans="2:8" s="158" customFormat="1" ht="19.899999999999999" customHeight="1">
      <c r="B19" s="2698" t="s">
        <v>290</v>
      </c>
      <c r="C19" s="2698"/>
      <c r="D19" s="2698"/>
      <c r="E19" s="2699"/>
      <c r="F19" s="2699"/>
      <c r="G19" s="168"/>
      <c r="H19" s="279"/>
    </row>
    <row r="20" spans="2:8" s="158" customFormat="1" ht="15.75" customHeight="1">
      <c r="B20" s="2694"/>
      <c r="C20" s="2694"/>
      <c r="D20" s="2694"/>
      <c r="E20" s="2694"/>
      <c r="F20" s="2694"/>
    </row>
    <row r="21" spans="2:8" s="158" customFormat="1" ht="27.2" customHeight="1">
      <c r="B21" s="2690" t="s">
        <v>288</v>
      </c>
      <c r="C21" s="2690"/>
      <c r="D21" s="2690"/>
      <c r="E21" s="280">
        <v>4.5</v>
      </c>
      <c r="F21" s="280">
        <v>-6.4</v>
      </c>
      <c r="G21" s="280">
        <v>9</v>
      </c>
    </row>
    <row r="22" spans="2:8" s="158" customFormat="1" ht="20.25" customHeight="1">
      <c r="B22" s="2695" t="s">
        <v>1203</v>
      </c>
      <c r="C22" s="2695"/>
      <c r="D22" s="2695"/>
      <c r="E22" s="1523">
        <v>0.7</v>
      </c>
      <c r="F22" s="1523">
        <v>6</v>
      </c>
      <c r="G22" s="1523">
        <v>27.9</v>
      </c>
    </row>
    <row r="23" spans="2:8" s="158" customFormat="1" ht="20.25" customHeight="1">
      <c r="B23" s="2695" t="s">
        <v>1204</v>
      </c>
      <c r="C23" s="2695"/>
      <c r="D23" s="2695"/>
      <c r="E23" s="1523">
        <v>-2.8</v>
      </c>
      <c r="F23" s="1523">
        <v>-27.3</v>
      </c>
      <c r="G23" s="1523">
        <v>28.8</v>
      </c>
    </row>
    <row r="24" spans="2:8" s="158" customFormat="1" ht="20.25" customHeight="1">
      <c r="B24" s="2695" t="s">
        <v>1205</v>
      </c>
      <c r="C24" s="2695"/>
      <c r="D24" s="2695"/>
      <c r="E24" s="1523">
        <v>3.9</v>
      </c>
      <c r="F24" s="1523">
        <v>-2.5</v>
      </c>
      <c r="G24" s="1523">
        <v>14.9</v>
      </c>
    </row>
    <row r="25" spans="2:8" s="158" customFormat="1" ht="20.25" customHeight="1">
      <c r="B25" s="2695" t="s">
        <v>1206</v>
      </c>
      <c r="C25" s="2695"/>
      <c r="D25" s="2695"/>
      <c r="E25" s="1523">
        <v>1.5</v>
      </c>
      <c r="F25" s="1523">
        <v>-19</v>
      </c>
      <c r="G25" s="1523">
        <v>-3.5</v>
      </c>
    </row>
    <row r="26" spans="2:8" s="158" customFormat="1" ht="20.25" customHeight="1">
      <c r="B26" s="2695" t="s">
        <v>1207</v>
      </c>
      <c r="C26" s="2695"/>
      <c r="D26" s="2695"/>
      <c r="E26" s="1523">
        <v>6.9</v>
      </c>
      <c r="F26" s="1523">
        <v>-5.0999999999999996</v>
      </c>
      <c r="G26" s="1523">
        <v>2.6</v>
      </c>
    </row>
    <row r="27" spans="2:8" s="158" customFormat="1" ht="20.25" customHeight="1">
      <c r="B27" s="2695" t="s">
        <v>1208</v>
      </c>
      <c r="C27" s="2695"/>
      <c r="D27" s="2695"/>
      <c r="E27" s="1523">
        <v>-2.2000000000000002</v>
      </c>
      <c r="F27" s="1523">
        <v>-7.7</v>
      </c>
      <c r="G27" s="1523">
        <v>8.4</v>
      </c>
    </row>
    <row r="28" spans="2:8" s="158" customFormat="1" ht="15.2" customHeight="1">
      <c r="B28" s="169"/>
      <c r="C28" s="167"/>
      <c r="D28" s="281"/>
      <c r="E28" s="281"/>
      <c r="F28" s="281"/>
      <c r="H28" s="279"/>
    </row>
    <row r="29" spans="2:8" s="154" customFormat="1" ht="14.65" customHeight="1">
      <c r="B29" s="282" t="s">
        <v>1267</v>
      </c>
      <c r="C29" s="283"/>
      <c r="D29" s="284"/>
      <c r="E29" s="2701"/>
      <c r="F29" s="2701"/>
    </row>
    <row r="30" spans="2:8" s="154" customFormat="1" ht="14.65" customHeight="1">
      <c r="B30" s="285" t="s">
        <v>1287</v>
      </c>
      <c r="C30" s="284"/>
      <c r="D30" s="286"/>
      <c r="E30" s="2702"/>
      <c r="F30" s="2702"/>
      <c r="H30" s="287"/>
    </row>
    <row r="31" spans="2:8" s="158" customFormat="1" ht="17.25" customHeight="1">
      <c r="C31" s="76"/>
      <c r="D31" s="76"/>
      <c r="E31" s="76"/>
      <c r="F31" s="288"/>
    </row>
    <row r="32" spans="2:8" s="158" customFormat="1" ht="27.2" customHeight="1">
      <c r="B32" s="2703" t="s">
        <v>291</v>
      </c>
      <c r="C32" s="2703"/>
      <c r="D32" s="2703"/>
      <c r="E32" s="277">
        <v>1513157</v>
      </c>
      <c r="F32" s="277">
        <v>1416605</v>
      </c>
      <c r="G32" s="277">
        <v>1544214</v>
      </c>
    </row>
    <row r="33" spans="2:7" s="158" customFormat="1" ht="27.2" customHeight="1">
      <c r="B33" s="2695" t="s">
        <v>292</v>
      </c>
      <c r="C33" s="2695"/>
      <c r="D33" s="2695"/>
      <c r="E33" s="1524">
        <v>904158</v>
      </c>
      <c r="F33" s="1524">
        <v>861758</v>
      </c>
      <c r="G33" s="1524">
        <v>893627</v>
      </c>
    </row>
    <row r="34" spans="2:7" s="158" customFormat="1" ht="27.2" customHeight="1">
      <c r="B34" s="2700" t="s">
        <v>293</v>
      </c>
      <c r="C34" s="2700"/>
      <c r="D34" s="2700"/>
      <c r="E34" s="1524">
        <v>176710</v>
      </c>
      <c r="F34" s="1524">
        <v>184043</v>
      </c>
      <c r="G34" s="1524">
        <v>197525</v>
      </c>
    </row>
    <row r="35" spans="2:7" s="158" customFormat="1" ht="27.2" customHeight="1">
      <c r="B35" s="2700" t="s">
        <v>294</v>
      </c>
      <c r="C35" s="2700"/>
      <c r="D35" s="2700"/>
      <c r="E35" s="1524">
        <v>347022</v>
      </c>
      <c r="F35" s="1524">
        <v>296558</v>
      </c>
      <c r="G35" s="1524">
        <v>297916</v>
      </c>
    </row>
    <row r="36" spans="2:7" s="158" customFormat="1" ht="27.2" customHeight="1">
      <c r="B36" s="2700" t="s">
        <v>295</v>
      </c>
      <c r="C36" s="2700"/>
      <c r="D36" s="2700"/>
      <c r="E36" s="1524">
        <v>-28596</v>
      </c>
      <c r="F36" s="1524">
        <v>-17016</v>
      </c>
      <c r="G36" s="1524">
        <v>45995</v>
      </c>
    </row>
    <row r="37" spans="2:7" s="158" customFormat="1" ht="27.2" customHeight="1">
      <c r="B37" s="2700" t="s">
        <v>296</v>
      </c>
      <c r="C37" s="2700"/>
      <c r="D37" s="2700"/>
      <c r="E37" s="1524">
        <v>987481</v>
      </c>
      <c r="F37" s="1524">
        <v>870272</v>
      </c>
      <c r="G37" s="1524">
        <v>1063934</v>
      </c>
    </row>
    <row r="38" spans="2:7" s="158" customFormat="1" ht="27.2" customHeight="1">
      <c r="B38" s="2700" t="s">
        <v>297</v>
      </c>
      <c r="C38" s="2700"/>
      <c r="D38" s="2700"/>
      <c r="E38" s="1524">
        <v>873618</v>
      </c>
      <c r="F38" s="1524">
        <v>779011</v>
      </c>
      <c r="G38" s="1524">
        <v>954783</v>
      </c>
    </row>
    <row r="39" spans="2:7" s="158" customFormat="1" ht="17.649999999999999" customHeight="1">
      <c r="B39" s="289"/>
      <c r="C39" s="167"/>
      <c r="D39" s="281"/>
      <c r="E39" s="281"/>
      <c r="F39" s="281"/>
    </row>
    <row r="40" spans="2:7" s="158" customFormat="1" ht="27.75" customHeight="1">
      <c r="B40" s="2704" t="s">
        <v>298</v>
      </c>
      <c r="C40" s="2704"/>
      <c r="D40" s="2704"/>
      <c r="E40" s="281"/>
      <c r="F40" s="281"/>
    </row>
    <row r="41" spans="2:7" s="158" customFormat="1" ht="27.75" customHeight="1">
      <c r="B41" s="2698" t="s">
        <v>299</v>
      </c>
      <c r="C41" s="2698"/>
      <c r="D41" s="2698"/>
      <c r="E41" s="281"/>
      <c r="F41" s="281"/>
    </row>
    <row r="42" spans="2:7" s="158" customFormat="1" ht="12.75" customHeight="1">
      <c r="C42" s="152"/>
      <c r="D42" s="152"/>
      <c r="E42" s="76"/>
      <c r="F42" s="290"/>
    </row>
    <row r="43" spans="2:7" s="158" customFormat="1" ht="27.2" customHeight="1">
      <c r="B43" s="2703" t="s">
        <v>300</v>
      </c>
      <c r="C43" s="2703"/>
      <c r="D43" s="2703"/>
      <c r="E43" s="280">
        <v>4.5</v>
      </c>
      <c r="F43" s="280">
        <v>-6.4</v>
      </c>
      <c r="G43" s="280">
        <v>9</v>
      </c>
    </row>
    <row r="44" spans="2:7" s="158" customFormat="1" ht="27.2" customHeight="1">
      <c r="B44" s="2695" t="s">
        <v>292</v>
      </c>
      <c r="C44" s="2695"/>
      <c r="D44" s="2695"/>
      <c r="E44" s="1523">
        <v>8.8000000000000007</v>
      </c>
      <c r="F44" s="1523">
        <v>-4.7</v>
      </c>
      <c r="G44" s="1523">
        <v>3.7</v>
      </c>
    </row>
    <row r="45" spans="2:7" s="158" customFormat="1" ht="27.2" customHeight="1">
      <c r="B45" s="2700" t="s">
        <v>301</v>
      </c>
      <c r="C45" s="2700"/>
      <c r="D45" s="2700"/>
      <c r="E45" s="1523">
        <v>2</v>
      </c>
      <c r="F45" s="1523">
        <v>4.2</v>
      </c>
      <c r="G45" s="1523">
        <v>7.3</v>
      </c>
    </row>
    <row r="46" spans="2:7" s="158" customFormat="1" ht="27.2" customHeight="1">
      <c r="B46" s="2700" t="s">
        <v>294</v>
      </c>
      <c r="C46" s="2700"/>
      <c r="D46" s="2700"/>
      <c r="E46" s="1523">
        <v>-1</v>
      </c>
      <c r="F46" s="1523">
        <v>-14.5</v>
      </c>
      <c r="G46" s="1523">
        <v>0.5</v>
      </c>
    </row>
    <row r="47" spans="2:7" s="158" customFormat="1" ht="27.2" customHeight="1">
      <c r="B47" s="2700" t="s">
        <v>295</v>
      </c>
      <c r="C47" s="2700"/>
      <c r="D47" s="2700"/>
      <c r="E47" s="1523" t="s">
        <v>205</v>
      </c>
      <c r="F47" s="1523" t="s">
        <v>205</v>
      </c>
      <c r="G47" s="1523" t="s">
        <v>205</v>
      </c>
    </row>
    <row r="48" spans="2:7" s="158" customFormat="1" ht="27.2" customHeight="1">
      <c r="B48" s="2700" t="s">
        <v>302</v>
      </c>
      <c r="C48" s="2700"/>
      <c r="D48" s="2700"/>
      <c r="E48" s="1523">
        <v>-0.5</v>
      </c>
      <c r="F48" s="1523">
        <v>-11.9</v>
      </c>
      <c r="G48" s="1523">
        <v>22.3</v>
      </c>
    </row>
    <row r="49" spans="1:13" s="158" customFormat="1" ht="27.2" customHeight="1">
      <c r="B49" s="2700" t="s">
        <v>303</v>
      </c>
      <c r="C49" s="2700"/>
      <c r="D49" s="2700"/>
      <c r="E49" s="1523">
        <v>-2.4</v>
      </c>
      <c r="F49" s="1523">
        <v>-10.8</v>
      </c>
      <c r="G49" s="1523">
        <v>22.6</v>
      </c>
    </row>
    <row r="50" spans="1:13" s="176" customFormat="1" ht="8.25" customHeight="1" thickBot="1">
      <c r="A50" s="291"/>
      <c r="B50" s="291"/>
      <c r="C50" s="291"/>
      <c r="D50" s="291"/>
      <c r="E50" s="291"/>
      <c r="F50" s="291"/>
      <c r="G50" s="291"/>
      <c r="H50" s="158"/>
    </row>
    <row r="51" spans="1:13" s="176" customFormat="1" ht="17.25" thickTop="1">
      <c r="G51" s="292" t="s">
        <v>0</v>
      </c>
      <c r="H51" s="158"/>
    </row>
    <row r="52" spans="1:13" s="176" customFormat="1" ht="16.5">
      <c r="G52" s="293" t="s">
        <v>1</v>
      </c>
      <c r="H52" s="158"/>
    </row>
    <row r="53" spans="1:13" s="176" customFormat="1" ht="15.2" customHeight="1">
      <c r="A53" s="294"/>
      <c r="B53" s="295" t="s">
        <v>304</v>
      </c>
      <c r="D53" s="20"/>
      <c r="E53" s="49"/>
      <c r="F53" s="82"/>
      <c r="H53" s="158"/>
      <c r="I53" s="296"/>
      <c r="J53" s="296"/>
      <c r="K53" s="296"/>
      <c r="L53" s="296"/>
      <c r="M53" s="296"/>
    </row>
    <row r="54" spans="1:13" s="176" customFormat="1" ht="15.2" customHeight="1">
      <c r="A54" s="297" t="s">
        <v>3</v>
      </c>
      <c r="B54" s="295" t="s">
        <v>1261</v>
      </c>
      <c r="D54" s="20"/>
      <c r="E54" s="20"/>
      <c r="F54" s="82"/>
      <c r="I54" s="296"/>
      <c r="J54" s="296"/>
      <c r="K54" s="296"/>
      <c r="L54" s="296"/>
      <c r="M54" s="296"/>
    </row>
    <row r="55" spans="1:13" s="176" customFormat="1" ht="15.2" customHeight="1">
      <c r="A55" s="297"/>
      <c r="B55" s="1715" t="s">
        <v>1262</v>
      </c>
      <c r="D55" s="20"/>
      <c r="E55" s="20"/>
      <c r="F55" s="82"/>
      <c r="I55" s="296"/>
      <c r="J55" s="296"/>
      <c r="K55" s="296"/>
      <c r="L55" s="296"/>
      <c r="M55" s="296"/>
    </row>
    <row r="56" spans="1:13" s="1" customFormat="1" ht="16.5">
      <c r="A56" s="297" t="s">
        <v>4</v>
      </c>
      <c r="B56" s="1651" t="s">
        <v>1374</v>
      </c>
    </row>
    <row r="57" spans="1:13" s="1" customFormat="1" ht="16.5">
      <c r="B57" s="24" t="s">
        <v>1375</v>
      </c>
    </row>
  </sheetData>
  <mergeCells count="42">
    <mergeCell ref="B49:D49"/>
    <mergeCell ref="B36:D36"/>
    <mergeCell ref="B37:D37"/>
    <mergeCell ref="B38:D38"/>
    <mergeCell ref="B40:D40"/>
    <mergeCell ref="B41:D41"/>
    <mergeCell ref="B43:D43"/>
    <mergeCell ref="B44:D44"/>
    <mergeCell ref="B45:D45"/>
    <mergeCell ref="B46:D46"/>
    <mergeCell ref="B47:D47"/>
    <mergeCell ref="B48:D48"/>
    <mergeCell ref="E18:F18"/>
    <mergeCell ref="B19:D19"/>
    <mergeCell ref="E19:F19"/>
    <mergeCell ref="B20:F20"/>
    <mergeCell ref="B35:D35"/>
    <mergeCell ref="B22:D22"/>
    <mergeCell ref="B23:D23"/>
    <mergeCell ref="B24:D24"/>
    <mergeCell ref="B25:D25"/>
    <mergeCell ref="B26:D26"/>
    <mergeCell ref="B27:D27"/>
    <mergeCell ref="E29:F29"/>
    <mergeCell ref="E30:F30"/>
    <mergeCell ref="B32:D32"/>
    <mergeCell ref="B33:D33"/>
    <mergeCell ref="B34:D34"/>
    <mergeCell ref="B21:D21"/>
    <mergeCell ref="B11:D11"/>
    <mergeCell ref="B12:D12"/>
    <mergeCell ref="B13:D13"/>
    <mergeCell ref="B14:D14"/>
    <mergeCell ref="B15:D15"/>
    <mergeCell ref="B16:D16"/>
    <mergeCell ref="B18:D18"/>
    <mergeCell ref="B10:D10"/>
    <mergeCell ref="B5:F5"/>
    <mergeCell ref="B7:D7"/>
    <mergeCell ref="B8:D8"/>
    <mergeCell ref="B9:F9"/>
    <mergeCell ref="B6:D6"/>
  </mergeCells>
  <conditionalFormatting sqref="C28 C39">
    <cfRule type="cellIs" dxfId="87" priority="2" stopIfTrue="1" operator="lessThan">
      <formula>0</formula>
    </cfRule>
  </conditionalFormatting>
  <conditionalFormatting sqref="C30">
    <cfRule type="cellIs" dxfId="86" priority="1" stopIfTrue="1" operator="lessThan">
      <formula>0</formula>
    </cfRule>
  </conditionalFormatting>
  <pageMargins left="0.55118110236220474" right="0.55118110236220474" top="0.55118110236220474" bottom="0.55118110236220474" header="0.31496062992125984" footer="0.31496062992125984"/>
  <pageSetup paperSize="9" scale="65"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8">
    <tabColor theme="4" tint="0.39997558519241921"/>
    <pageSetUpPr fitToPage="1"/>
  </sheetPr>
  <dimension ref="A1:N58"/>
  <sheetViews>
    <sheetView view="pageBreakPreview" topLeftCell="A40" zoomScale="90" zoomScaleNormal="100" zoomScaleSheetLayoutView="90" workbookViewId="0">
      <selection activeCell="F56" sqref="F56"/>
    </sheetView>
  </sheetViews>
  <sheetFormatPr defaultRowHeight="15"/>
  <cols>
    <col min="1" max="1" width="3.28515625" customWidth="1"/>
    <col min="3" max="3" width="24.7109375" customWidth="1"/>
    <col min="4" max="4" width="55.42578125" customWidth="1"/>
    <col min="5" max="5" width="3" customWidth="1"/>
    <col min="6" max="6" width="13.28515625" customWidth="1"/>
    <col min="7" max="7" width="14.5703125" customWidth="1"/>
    <col min="8" max="8" width="14.28515625" customWidth="1"/>
  </cols>
  <sheetData>
    <row r="1" spans="1:14" s="149" customFormat="1" ht="8.25" customHeight="1">
      <c r="J1" s="299"/>
      <c r="K1" s="299"/>
      <c r="L1" s="299"/>
      <c r="M1" s="299"/>
      <c r="N1" s="299"/>
    </row>
    <row r="2" spans="1:14" s="149" customFormat="1" ht="8.25" customHeight="1">
      <c r="J2" s="300"/>
      <c r="K2" s="300"/>
      <c r="L2" s="300"/>
      <c r="M2" s="300"/>
      <c r="N2" s="300"/>
    </row>
    <row r="3" spans="1:14" s="149" customFormat="1" ht="16.5" customHeight="1">
      <c r="B3" s="57" t="s">
        <v>286</v>
      </c>
      <c r="C3" s="150" t="s">
        <v>1376</v>
      </c>
      <c r="G3" s="272"/>
      <c r="J3" s="301"/>
      <c r="K3" s="301"/>
      <c r="L3" s="301"/>
      <c r="M3" s="301"/>
      <c r="N3" s="301"/>
    </row>
    <row r="4" spans="1:14" s="149" customFormat="1" ht="16.5" customHeight="1">
      <c r="B4" s="60" t="s">
        <v>287</v>
      </c>
      <c r="C4" s="151" t="s">
        <v>1377</v>
      </c>
      <c r="D4" s="273"/>
      <c r="E4" s="152"/>
      <c r="F4" s="152"/>
      <c r="G4" s="272"/>
    </row>
    <row r="5" spans="1:14" s="149" customFormat="1" ht="13.35" customHeight="1" thickBot="1">
      <c r="A5" s="153"/>
      <c r="B5" s="2691"/>
      <c r="C5" s="2691"/>
      <c r="D5" s="2691"/>
      <c r="E5" s="2691"/>
      <c r="F5" s="2691"/>
      <c r="G5" s="2691"/>
      <c r="J5" s="2705"/>
      <c r="K5" s="2705"/>
      <c r="L5" s="2705"/>
      <c r="M5" s="2705"/>
      <c r="N5" s="2705"/>
    </row>
    <row r="6" spans="1:14" s="154" customFormat="1" ht="43.15" customHeight="1" thickBot="1">
      <c r="A6" s="7"/>
      <c r="B6" s="2651" t="s">
        <v>992</v>
      </c>
      <c r="C6" s="2651"/>
      <c r="D6" s="2651"/>
      <c r="E6" s="8"/>
      <c r="F6" s="274">
        <v>2023</v>
      </c>
      <c r="G6" s="274">
        <v>2024</v>
      </c>
      <c r="H6" s="274">
        <v>2025</v>
      </c>
      <c r="J6" s="2706"/>
      <c r="K6" s="2706"/>
      <c r="L6" s="2706"/>
      <c r="M6" s="2706"/>
      <c r="N6" s="2706"/>
    </row>
    <row r="7" spans="1:14" s="154" customFormat="1" ht="22.5" customHeight="1">
      <c r="A7" s="275"/>
      <c r="B7" s="2707" t="s">
        <v>1268</v>
      </c>
      <c r="C7" s="2707"/>
      <c r="D7" s="2707"/>
      <c r="E7" s="302"/>
      <c r="F7" s="302"/>
      <c r="G7" s="302"/>
      <c r="J7" s="303"/>
      <c r="K7" s="303"/>
      <c r="L7" s="303"/>
      <c r="M7" s="303"/>
      <c r="N7" s="303"/>
    </row>
    <row r="8" spans="1:14" s="306" customFormat="1" ht="22.5" customHeight="1">
      <c r="A8" s="304"/>
      <c r="B8" s="2708" t="s">
        <v>1288</v>
      </c>
      <c r="C8" s="2708"/>
      <c r="D8" s="2708"/>
      <c r="E8" s="305"/>
      <c r="F8" s="305"/>
      <c r="G8" s="305"/>
      <c r="J8" s="307"/>
      <c r="K8" s="307"/>
      <c r="L8" s="307"/>
      <c r="M8" s="307"/>
      <c r="N8" s="307"/>
    </row>
    <row r="9" spans="1:14" s="158" customFormat="1" ht="15.2" customHeight="1">
      <c r="B9" s="2694"/>
      <c r="C9" s="2694"/>
      <c r="D9" s="2694"/>
      <c r="E9" s="2694"/>
      <c r="F9" s="2694"/>
      <c r="G9" s="2694"/>
      <c r="J9" s="308"/>
      <c r="K9" s="308"/>
      <c r="L9" s="308"/>
      <c r="M9" s="308"/>
      <c r="N9" s="308"/>
    </row>
    <row r="10" spans="1:14" s="158" customFormat="1" ht="27.2" customHeight="1">
      <c r="B10" s="2690" t="s">
        <v>288</v>
      </c>
      <c r="C10" s="2690"/>
      <c r="D10" s="2690"/>
      <c r="E10" s="309"/>
      <c r="F10" s="309">
        <v>1424310</v>
      </c>
      <c r="G10" s="309">
        <v>1343880</v>
      </c>
      <c r="H10" s="309">
        <v>1385978</v>
      </c>
      <c r="J10" s="308"/>
      <c r="K10" s="308"/>
      <c r="L10" s="308"/>
      <c r="M10" s="308"/>
      <c r="N10" s="308"/>
    </row>
    <row r="11" spans="1:14" s="158" customFormat="1" ht="20.25" customHeight="1">
      <c r="B11" s="2695" t="s">
        <v>1203</v>
      </c>
      <c r="C11" s="2695"/>
      <c r="D11" s="2695"/>
      <c r="E11" s="310"/>
      <c r="F11" s="1525">
        <v>101580</v>
      </c>
      <c r="G11" s="1525">
        <v>99367</v>
      </c>
      <c r="H11" s="1525">
        <v>99186</v>
      </c>
      <c r="J11" s="308"/>
      <c r="K11" s="308"/>
      <c r="L11" s="308"/>
      <c r="M11" s="308"/>
      <c r="N11" s="308"/>
    </row>
    <row r="12" spans="1:14" s="158" customFormat="1" ht="20.25" customHeight="1">
      <c r="B12" s="2695" t="s">
        <v>1204</v>
      </c>
      <c r="C12" s="2695"/>
      <c r="D12" s="2695"/>
      <c r="E12" s="310"/>
      <c r="F12" s="1525">
        <v>102897</v>
      </c>
      <c r="G12" s="1525">
        <v>91993</v>
      </c>
      <c r="H12" s="1525">
        <v>92654</v>
      </c>
      <c r="J12" s="308"/>
      <c r="K12" s="308"/>
      <c r="L12" s="308"/>
      <c r="M12" s="308"/>
      <c r="N12" s="308"/>
    </row>
    <row r="13" spans="1:14" s="158" customFormat="1" ht="20.25" customHeight="1">
      <c r="B13" s="2695" t="s">
        <v>1205</v>
      </c>
      <c r="C13" s="2695"/>
      <c r="D13" s="2695"/>
      <c r="E13" s="310"/>
      <c r="F13" s="1525">
        <v>316283</v>
      </c>
      <c r="G13" s="1525">
        <v>307924</v>
      </c>
      <c r="H13" s="1525">
        <v>337295</v>
      </c>
      <c r="J13" s="308"/>
      <c r="K13" s="308"/>
      <c r="L13" s="308"/>
      <c r="M13" s="308"/>
      <c r="N13" s="308"/>
    </row>
    <row r="14" spans="1:14" s="158" customFormat="1" ht="20.25" customHeight="1">
      <c r="B14" s="2695" t="s">
        <v>1206</v>
      </c>
      <c r="C14" s="2695"/>
      <c r="D14" s="2695"/>
      <c r="E14" s="310"/>
      <c r="F14" s="1525">
        <v>66453</v>
      </c>
      <c r="G14" s="1525">
        <v>53556</v>
      </c>
      <c r="H14" s="1525">
        <v>50767</v>
      </c>
      <c r="J14" s="299"/>
      <c r="K14" s="299"/>
      <c r="L14" s="299"/>
      <c r="M14" s="299"/>
      <c r="N14" s="299"/>
    </row>
    <row r="15" spans="1:14" s="158" customFormat="1" ht="20.25" customHeight="1">
      <c r="B15" s="2695" t="s">
        <v>1207</v>
      </c>
      <c r="C15" s="2695"/>
      <c r="D15" s="2695"/>
      <c r="E15" s="310"/>
      <c r="F15" s="1525">
        <v>820857</v>
      </c>
      <c r="G15" s="1525">
        <v>775717</v>
      </c>
      <c r="H15" s="1525">
        <v>790421</v>
      </c>
      <c r="J15" s="300"/>
      <c r="K15" s="300"/>
      <c r="L15" s="300"/>
      <c r="M15" s="300"/>
      <c r="N15" s="300"/>
    </row>
    <row r="16" spans="1:14" s="158" customFormat="1" ht="20.25" customHeight="1">
      <c r="B16" s="2695" t="s">
        <v>1208</v>
      </c>
      <c r="C16" s="2695"/>
      <c r="D16" s="2695"/>
      <c r="E16" s="310"/>
      <c r="F16" s="1525">
        <v>16240</v>
      </c>
      <c r="G16" s="1525">
        <v>15324</v>
      </c>
      <c r="H16" s="1525">
        <v>15656</v>
      </c>
      <c r="J16" s="301"/>
      <c r="K16" s="301"/>
      <c r="L16" s="301"/>
      <c r="M16" s="301"/>
      <c r="N16" s="301"/>
    </row>
    <row r="17" spans="2:14" s="158" customFormat="1" ht="15.2" customHeight="1">
      <c r="C17" s="172"/>
      <c r="D17" s="165"/>
      <c r="E17" s="165"/>
      <c r="F17" s="165"/>
      <c r="G17" s="311"/>
    </row>
    <row r="18" spans="2:14" s="158" customFormat="1" ht="28.15" customHeight="1">
      <c r="B18" s="2704" t="s">
        <v>305</v>
      </c>
      <c r="C18" s="2704"/>
      <c r="D18" s="2704"/>
      <c r="E18" s="2701"/>
      <c r="F18" s="2701"/>
      <c r="G18" s="2701"/>
      <c r="J18" s="2705"/>
      <c r="K18" s="2705"/>
      <c r="L18" s="2705"/>
      <c r="M18" s="2705"/>
      <c r="N18" s="2705"/>
    </row>
    <row r="19" spans="2:14" s="158" customFormat="1" ht="17.25" customHeight="1">
      <c r="B19" s="2698" t="s">
        <v>1264</v>
      </c>
      <c r="C19" s="2698"/>
      <c r="D19" s="2698"/>
      <c r="E19" s="2709"/>
      <c r="F19" s="2709"/>
      <c r="G19" s="2709"/>
      <c r="I19" s="279"/>
      <c r="J19" s="2706"/>
      <c r="K19" s="2706"/>
      <c r="L19" s="2706"/>
      <c r="M19" s="2706"/>
      <c r="N19" s="2706"/>
    </row>
    <row r="20" spans="2:14" s="158" customFormat="1" ht="15.2" customHeight="1">
      <c r="B20" s="2694"/>
      <c r="C20" s="2694"/>
      <c r="D20" s="2694"/>
      <c r="E20" s="2694"/>
      <c r="F20" s="2694"/>
      <c r="G20" s="2694"/>
      <c r="J20" s="312"/>
      <c r="K20" s="312"/>
      <c r="L20" s="312"/>
      <c r="M20" s="312"/>
      <c r="N20" s="312"/>
    </row>
    <row r="21" spans="2:14" s="158" customFormat="1" ht="27.2" customHeight="1">
      <c r="B21" s="2690" t="s">
        <v>288</v>
      </c>
      <c r="C21" s="2690"/>
      <c r="D21" s="2690"/>
      <c r="E21" s="313"/>
      <c r="F21" s="313">
        <v>4.4000000000000004</v>
      </c>
      <c r="G21" s="313">
        <v>-5.6</v>
      </c>
      <c r="H21" s="313">
        <v>3.1</v>
      </c>
      <c r="J21" s="314"/>
      <c r="K21" s="314"/>
      <c r="L21" s="314"/>
      <c r="M21" s="314"/>
      <c r="N21" s="314"/>
    </row>
    <row r="22" spans="2:14" s="158" customFormat="1" ht="20.25" customHeight="1">
      <c r="B22" s="2695" t="s">
        <v>1203</v>
      </c>
      <c r="C22" s="2695"/>
      <c r="D22" s="2695"/>
      <c r="E22" s="315"/>
      <c r="F22" s="1526">
        <v>2</v>
      </c>
      <c r="G22" s="1526">
        <v>-2.2000000000000002</v>
      </c>
      <c r="H22" s="1526">
        <v>-0.2</v>
      </c>
      <c r="J22" s="314"/>
      <c r="K22" s="314"/>
      <c r="L22" s="314"/>
      <c r="M22" s="314"/>
      <c r="N22" s="314"/>
    </row>
    <row r="23" spans="2:14" s="158" customFormat="1" ht="20.25" customHeight="1">
      <c r="B23" s="2695" t="s">
        <v>1204</v>
      </c>
      <c r="C23" s="2695"/>
      <c r="D23" s="2695"/>
      <c r="E23" s="315"/>
      <c r="F23" s="1526">
        <v>-0.6</v>
      </c>
      <c r="G23" s="1526">
        <v>-10.6</v>
      </c>
      <c r="H23" s="1526">
        <v>0.7</v>
      </c>
      <c r="J23" s="314"/>
      <c r="K23" s="314"/>
      <c r="L23" s="314"/>
      <c r="M23" s="314"/>
      <c r="N23" s="314"/>
    </row>
    <row r="24" spans="2:14" s="158" customFormat="1" ht="20.25" customHeight="1">
      <c r="B24" s="2695" t="s">
        <v>1205</v>
      </c>
      <c r="C24" s="2695"/>
      <c r="D24" s="2695"/>
      <c r="E24" s="315"/>
      <c r="F24" s="1526">
        <v>3.8</v>
      </c>
      <c r="G24" s="1526">
        <v>-2.6</v>
      </c>
      <c r="H24" s="1526">
        <v>9.5</v>
      </c>
      <c r="J24" s="314"/>
      <c r="K24" s="314"/>
      <c r="L24" s="314"/>
      <c r="M24" s="314"/>
      <c r="N24" s="314"/>
    </row>
    <row r="25" spans="2:14" s="158" customFormat="1" ht="20.25" customHeight="1">
      <c r="B25" s="2695" t="s">
        <v>1206</v>
      </c>
      <c r="C25" s="2695"/>
      <c r="D25" s="2695"/>
      <c r="E25" s="315"/>
      <c r="F25" s="1526">
        <v>0.4</v>
      </c>
      <c r="G25" s="1526">
        <v>-19.399999999999999</v>
      </c>
      <c r="H25" s="1526">
        <v>-5.2</v>
      </c>
      <c r="J25" s="314"/>
      <c r="K25" s="314"/>
      <c r="L25" s="314"/>
      <c r="M25" s="314"/>
      <c r="N25" s="314"/>
    </row>
    <row r="26" spans="2:14" s="158" customFormat="1" ht="20.25" customHeight="1">
      <c r="B26" s="2695" t="s">
        <v>1207</v>
      </c>
      <c r="C26" s="2695"/>
      <c r="D26" s="2695"/>
      <c r="E26" s="315"/>
      <c r="F26" s="1526">
        <v>6.2</v>
      </c>
      <c r="G26" s="1526">
        <v>-5.5</v>
      </c>
      <c r="H26" s="1526">
        <v>1.9</v>
      </c>
      <c r="J26" s="314"/>
      <c r="K26" s="314"/>
      <c r="L26" s="314"/>
      <c r="M26" s="314"/>
      <c r="N26" s="314"/>
    </row>
    <row r="27" spans="2:14" s="158" customFormat="1" ht="20.25" customHeight="1">
      <c r="B27" s="2695" t="s">
        <v>1208</v>
      </c>
      <c r="C27" s="2695"/>
      <c r="D27" s="2695"/>
      <c r="E27" s="315"/>
      <c r="F27" s="1526">
        <v>-1.8</v>
      </c>
      <c r="G27" s="1526">
        <v>-5.6</v>
      </c>
      <c r="H27" s="1526">
        <v>2.2000000000000002</v>
      </c>
      <c r="J27" s="300"/>
      <c r="K27" s="300"/>
      <c r="L27" s="300"/>
      <c r="M27" s="300"/>
      <c r="N27" s="300"/>
    </row>
    <row r="28" spans="2:14" s="158" customFormat="1" ht="9" customHeight="1">
      <c r="B28" s="169"/>
      <c r="C28" s="167"/>
      <c r="D28" s="19"/>
      <c r="E28" s="19"/>
      <c r="F28" s="19"/>
      <c r="G28" s="19"/>
      <c r="I28" s="279"/>
      <c r="J28" s="299"/>
      <c r="K28" s="299"/>
      <c r="L28" s="299"/>
      <c r="M28" s="299"/>
      <c r="N28" s="299"/>
    </row>
    <row r="29" spans="2:14" s="158" customFormat="1" ht="14.65" customHeight="1">
      <c r="B29" s="2696" t="s">
        <v>1269</v>
      </c>
      <c r="C29" s="2696"/>
      <c r="D29" s="2696"/>
      <c r="E29" s="2701"/>
      <c r="F29" s="2701"/>
      <c r="G29" s="2701"/>
      <c r="J29" s="300"/>
      <c r="K29" s="300"/>
      <c r="L29" s="300"/>
      <c r="M29" s="300"/>
      <c r="N29" s="300"/>
    </row>
    <row r="30" spans="2:14" s="158" customFormat="1" ht="14.65" customHeight="1">
      <c r="B30" s="2710" t="s">
        <v>1289</v>
      </c>
      <c r="C30" s="2710"/>
      <c r="D30" s="2710"/>
      <c r="E30" s="2709"/>
      <c r="F30" s="2709"/>
      <c r="G30" s="2709"/>
      <c r="I30" s="279"/>
      <c r="J30" s="301"/>
      <c r="K30" s="316"/>
      <c r="L30" s="316"/>
      <c r="M30" s="301"/>
      <c r="N30" s="301"/>
    </row>
    <row r="31" spans="2:14" s="158" customFormat="1" ht="15.2" customHeight="1">
      <c r="C31" s="76"/>
      <c r="D31" s="76"/>
      <c r="E31" s="76"/>
      <c r="F31" s="76"/>
      <c r="G31" s="288"/>
    </row>
    <row r="32" spans="2:14" s="158" customFormat="1" ht="27.2" customHeight="1">
      <c r="B32" s="2703" t="s">
        <v>1263</v>
      </c>
      <c r="C32" s="2703"/>
      <c r="D32" s="2703"/>
      <c r="E32" s="309"/>
      <c r="F32" s="309">
        <v>1424310</v>
      </c>
      <c r="G32" s="309">
        <v>1343880</v>
      </c>
      <c r="H32" s="309">
        <v>1385978</v>
      </c>
      <c r="J32" s="2705"/>
      <c r="K32" s="2705"/>
      <c r="L32" s="2705"/>
      <c r="M32" s="2705"/>
      <c r="N32" s="2705"/>
    </row>
    <row r="33" spans="2:14" s="158" customFormat="1" ht="27.2" customHeight="1">
      <c r="B33" s="2695" t="s">
        <v>292</v>
      </c>
      <c r="C33" s="2695"/>
      <c r="D33" s="2695"/>
      <c r="E33" s="310"/>
      <c r="F33" s="1525">
        <v>835711</v>
      </c>
      <c r="G33" s="1525">
        <v>799447</v>
      </c>
      <c r="H33" s="1525">
        <v>814289</v>
      </c>
      <c r="J33" s="2706"/>
      <c r="K33" s="2706"/>
      <c r="L33" s="2706"/>
      <c r="M33" s="2706"/>
      <c r="N33" s="2706"/>
    </row>
    <row r="34" spans="2:14" s="158" customFormat="1" ht="27.2" customHeight="1">
      <c r="B34" s="2700" t="s">
        <v>306</v>
      </c>
      <c r="C34" s="2700"/>
      <c r="D34" s="2700"/>
      <c r="E34" s="310"/>
      <c r="F34" s="1525">
        <v>173080</v>
      </c>
      <c r="G34" s="1525">
        <v>179913</v>
      </c>
      <c r="H34" s="1525">
        <v>191844</v>
      </c>
      <c r="J34" s="303"/>
      <c r="K34" s="303"/>
      <c r="L34" s="303"/>
      <c r="M34" s="303"/>
      <c r="N34" s="303"/>
    </row>
    <row r="35" spans="2:14" s="158" customFormat="1" ht="27.2" customHeight="1">
      <c r="B35" s="2700" t="s">
        <v>294</v>
      </c>
      <c r="C35" s="2700"/>
      <c r="D35" s="2700"/>
      <c r="E35" s="310"/>
      <c r="F35" s="1525">
        <v>328581</v>
      </c>
      <c r="G35" s="1525">
        <v>281060</v>
      </c>
      <c r="H35" s="1525">
        <v>278516</v>
      </c>
      <c r="J35" s="308"/>
      <c r="K35" s="308"/>
      <c r="L35" s="308"/>
      <c r="M35" s="308"/>
      <c r="N35" s="308"/>
    </row>
    <row r="36" spans="2:14" s="158" customFormat="1" ht="27.2" customHeight="1">
      <c r="B36" s="2700" t="s">
        <v>307</v>
      </c>
      <c r="C36" s="2700"/>
      <c r="D36" s="2700"/>
      <c r="E36" s="310"/>
      <c r="F36" s="1525">
        <v>-13987</v>
      </c>
      <c r="G36" s="1525">
        <v>-4346</v>
      </c>
      <c r="H36" s="1525">
        <v>18631</v>
      </c>
      <c r="J36" s="308"/>
      <c r="K36" s="308"/>
      <c r="L36" s="308"/>
      <c r="M36" s="308"/>
      <c r="N36" s="308"/>
    </row>
    <row r="37" spans="2:14" s="158" customFormat="1" ht="27.2" customHeight="1">
      <c r="B37" s="2700" t="s">
        <v>308</v>
      </c>
      <c r="C37" s="2700"/>
      <c r="D37" s="2700"/>
      <c r="E37" s="310"/>
      <c r="F37" s="1525">
        <v>907877</v>
      </c>
      <c r="G37" s="1525">
        <v>827086</v>
      </c>
      <c r="H37" s="1525">
        <v>958455</v>
      </c>
      <c r="J37" s="308"/>
      <c r="K37" s="308"/>
      <c r="L37" s="308"/>
      <c r="M37" s="308"/>
      <c r="N37" s="308"/>
    </row>
    <row r="38" spans="2:14" s="158" customFormat="1" ht="27.2" customHeight="1">
      <c r="B38" s="2700" t="s">
        <v>297</v>
      </c>
      <c r="C38" s="2700"/>
      <c r="D38" s="2700"/>
      <c r="E38" s="310"/>
      <c r="F38" s="1525">
        <v>806952</v>
      </c>
      <c r="G38" s="1525">
        <v>739280</v>
      </c>
      <c r="H38" s="1525">
        <v>875756</v>
      </c>
      <c r="J38" s="308"/>
      <c r="K38" s="308"/>
      <c r="L38" s="308"/>
      <c r="M38" s="308"/>
      <c r="N38" s="308"/>
    </row>
    <row r="39" spans="2:14" s="158" customFormat="1" ht="12.75" customHeight="1">
      <c r="B39" s="289"/>
      <c r="C39" s="167"/>
      <c r="D39" s="19"/>
      <c r="E39" s="19"/>
      <c r="F39" s="19"/>
      <c r="G39" s="19"/>
      <c r="J39" s="308"/>
      <c r="K39" s="308"/>
      <c r="L39" s="308"/>
      <c r="M39" s="308"/>
      <c r="N39" s="308"/>
    </row>
    <row r="40" spans="2:14" s="158" customFormat="1" ht="9" customHeight="1">
      <c r="B40" s="289"/>
      <c r="C40" s="167"/>
      <c r="D40" s="19"/>
      <c r="E40" s="19"/>
      <c r="F40" s="19"/>
      <c r="G40" s="19"/>
      <c r="J40" s="308"/>
      <c r="K40" s="308"/>
      <c r="L40" s="308"/>
      <c r="M40" s="308"/>
      <c r="N40" s="308"/>
    </row>
    <row r="41" spans="2:14" s="158" customFormat="1" ht="27.75" customHeight="1">
      <c r="B41" s="2704" t="s">
        <v>309</v>
      </c>
      <c r="C41" s="2704"/>
      <c r="D41" s="2704"/>
      <c r="E41" s="19"/>
      <c r="F41" s="19"/>
      <c r="G41" s="19"/>
      <c r="J41" s="299"/>
      <c r="K41" s="299"/>
      <c r="L41" s="299"/>
      <c r="M41" s="299"/>
      <c r="N41" s="299"/>
    </row>
    <row r="42" spans="2:14" s="158" customFormat="1" ht="18.75" customHeight="1">
      <c r="B42" s="2698" t="s">
        <v>1265</v>
      </c>
      <c r="C42" s="2698"/>
      <c r="D42" s="2698"/>
      <c r="E42" s="19"/>
      <c r="F42" s="19"/>
      <c r="G42" s="19"/>
      <c r="J42" s="299"/>
      <c r="K42" s="299"/>
      <c r="L42" s="299"/>
      <c r="M42" s="299"/>
      <c r="N42" s="299"/>
    </row>
    <row r="43" spans="2:14" s="158" customFormat="1" ht="12" customHeight="1">
      <c r="C43" s="76"/>
      <c r="D43" s="76"/>
      <c r="E43" s="76"/>
      <c r="F43" s="76"/>
      <c r="G43" s="290"/>
      <c r="J43" s="299"/>
      <c r="K43" s="299"/>
      <c r="L43" s="299"/>
      <c r="M43" s="299"/>
      <c r="N43" s="299"/>
    </row>
    <row r="44" spans="2:14" s="158" customFormat="1" ht="27.2" customHeight="1">
      <c r="B44" s="2703" t="s">
        <v>291</v>
      </c>
      <c r="C44" s="2703"/>
      <c r="D44" s="2703"/>
      <c r="E44" s="313"/>
      <c r="F44" s="313">
        <v>4.4000000000000004</v>
      </c>
      <c r="G44" s="313">
        <v>-5.6</v>
      </c>
      <c r="H44" s="313">
        <v>3.1</v>
      </c>
      <c r="J44" s="300"/>
      <c r="K44" s="300"/>
      <c r="L44" s="300"/>
      <c r="M44" s="300"/>
      <c r="N44" s="300"/>
    </row>
    <row r="45" spans="2:14" s="158" customFormat="1" ht="27.2" customHeight="1">
      <c r="B45" s="2695" t="s">
        <v>292</v>
      </c>
      <c r="C45" s="2695"/>
      <c r="D45" s="2695"/>
      <c r="E45" s="315"/>
      <c r="F45" s="1526">
        <v>7.7</v>
      </c>
      <c r="G45" s="1526">
        <v>-4.3</v>
      </c>
      <c r="H45" s="1526">
        <v>1.9</v>
      </c>
      <c r="J45" s="301"/>
      <c r="K45" s="301"/>
      <c r="L45" s="301"/>
      <c r="M45" s="301"/>
      <c r="N45" s="301"/>
    </row>
    <row r="46" spans="2:14" s="158" customFormat="1" ht="27.2" customHeight="1">
      <c r="B46" s="2700" t="s">
        <v>306</v>
      </c>
      <c r="C46" s="2700"/>
      <c r="D46" s="2700"/>
      <c r="E46" s="315"/>
      <c r="F46" s="1526">
        <v>1.8</v>
      </c>
      <c r="G46" s="1526">
        <v>3.9</v>
      </c>
      <c r="H46" s="1526">
        <v>6.6</v>
      </c>
      <c r="J46" s="317"/>
      <c r="K46" s="317"/>
      <c r="L46" s="317"/>
      <c r="M46" s="317"/>
      <c r="N46" s="318"/>
    </row>
    <row r="47" spans="2:14" s="158" customFormat="1" ht="27.2" customHeight="1">
      <c r="B47" s="2700" t="s">
        <v>294</v>
      </c>
      <c r="C47" s="2700"/>
      <c r="D47" s="2700"/>
      <c r="E47" s="315"/>
      <c r="F47" s="1526">
        <v>-2.1</v>
      </c>
      <c r="G47" s="1526">
        <v>-14.5</v>
      </c>
      <c r="H47" s="1526">
        <v>-0.9</v>
      </c>
      <c r="J47" s="2705"/>
      <c r="K47" s="2705"/>
      <c r="L47" s="2705"/>
      <c r="M47" s="2705"/>
      <c r="N47" s="2705"/>
    </row>
    <row r="48" spans="2:14" s="158" customFormat="1" ht="27.2" customHeight="1">
      <c r="B48" s="2700" t="s">
        <v>307</v>
      </c>
      <c r="C48" s="2700"/>
      <c r="D48" s="2700"/>
      <c r="E48" s="310"/>
      <c r="F48" s="1526" t="s">
        <v>205</v>
      </c>
      <c r="G48" s="1526" t="s">
        <v>205</v>
      </c>
      <c r="H48" s="1526" t="s">
        <v>205</v>
      </c>
      <c r="J48" s="2706"/>
      <c r="K48" s="2706"/>
      <c r="L48" s="2706"/>
      <c r="M48" s="2706"/>
      <c r="N48" s="2706"/>
    </row>
    <row r="49" spans="1:14" s="158" customFormat="1" ht="27.2" customHeight="1">
      <c r="B49" s="2700" t="s">
        <v>308</v>
      </c>
      <c r="C49" s="2700"/>
      <c r="D49" s="2700"/>
      <c r="E49" s="315"/>
      <c r="F49" s="1526">
        <v>-1</v>
      </c>
      <c r="G49" s="1526">
        <v>-8.9</v>
      </c>
      <c r="H49" s="1526">
        <v>15.9</v>
      </c>
      <c r="J49" s="312"/>
      <c r="K49" s="312"/>
      <c r="L49" s="312"/>
      <c r="M49" s="312"/>
      <c r="N49" s="312"/>
    </row>
    <row r="50" spans="1:14" s="158" customFormat="1" ht="27.2" customHeight="1">
      <c r="B50" s="2700" t="s">
        <v>297</v>
      </c>
      <c r="C50" s="2700"/>
      <c r="D50" s="2700"/>
      <c r="E50" s="315"/>
      <c r="F50" s="1526">
        <v>-2.4</v>
      </c>
      <c r="G50" s="1526">
        <v>-8.4</v>
      </c>
      <c r="H50" s="1526">
        <v>18.5</v>
      </c>
      <c r="J50" s="314"/>
      <c r="K50" s="314"/>
      <c r="L50" s="314"/>
      <c r="M50" s="314"/>
      <c r="N50" s="314"/>
    </row>
    <row r="51" spans="1:14" s="176" customFormat="1" ht="8.25" customHeight="1" thickBot="1">
      <c r="A51" s="291"/>
      <c r="B51" s="291"/>
      <c r="C51" s="291"/>
      <c r="D51" s="291"/>
      <c r="E51" s="291"/>
      <c r="F51" s="291"/>
      <c r="G51" s="291"/>
      <c r="H51" s="291"/>
      <c r="I51" s="158"/>
      <c r="J51" s="299"/>
      <c r="K51" s="299"/>
      <c r="L51" s="299"/>
      <c r="M51" s="299"/>
      <c r="N51" s="299"/>
    </row>
    <row r="52" spans="1:14" s="176" customFormat="1" ht="17.25" thickTop="1">
      <c r="H52" s="292" t="s">
        <v>0</v>
      </c>
      <c r="I52" s="158"/>
      <c r="J52" s="299"/>
      <c r="K52" s="299"/>
      <c r="L52" s="299"/>
      <c r="M52" s="299"/>
      <c r="N52" s="299"/>
    </row>
    <row r="53" spans="1:14" s="176" customFormat="1" ht="16.5">
      <c r="H53" s="293" t="s">
        <v>1</v>
      </c>
      <c r="I53" s="158"/>
      <c r="J53" s="299"/>
      <c r="K53" s="299"/>
      <c r="L53" s="299"/>
      <c r="M53" s="299"/>
      <c r="N53" s="299"/>
    </row>
    <row r="54" spans="1:14" s="176" customFormat="1" ht="15.2" customHeight="1">
      <c r="A54" s="294"/>
      <c r="B54" s="295" t="s">
        <v>304</v>
      </c>
      <c r="D54" s="20"/>
      <c r="E54" s="49"/>
      <c r="F54" s="82"/>
      <c r="H54" s="158"/>
      <c r="I54" s="296"/>
      <c r="J54" s="296"/>
      <c r="K54" s="296"/>
      <c r="L54" s="296"/>
      <c r="M54" s="296"/>
    </row>
    <row r="55" spans="1:14" s="176" customFormat="1" ht="15.2" customHeight="1">
      <c r="A55" s="297" t="s">
        <v>3</v>
      </c>
      <c r="B55" s="295" t="s">
        <v>1261</v>
      </c>
      <c r="D55" s="20"/>
      <c r="E55" s="20"/>
      <c r="F55" s="82"/>
      <c r="I55" s="296"/>
      <c r="J55" s="296"/>
      <c r="K55" s="296"/>
      <c r="L55" s="296"/>
      <c r="M55" s="296"/>
    </row>
    <row r="56" spans="1:14" s="176" customFormat="1" ht="15.2" customHeight="1">
      <c r="A56" s="297"/>
      <c r="B56" s="1715" t="s">
        <v>1262</v>
      </c>
      <c r="D56" s="20"/>
      <c r="E56" s="20"/>
      <c r="F56" s="82"/>
      <c r="I56" s="296"/>
      <c r="J56" s="296"/>
      <c r="K56" s="296"/>
      <c r="L56" s="296"/>
      <c r="M56" s="296"/>
    </row>
    <row r="57" spans="1:14" s="1" customFormat="1" ht="16.5">
      <c r="A57" s="297" t="s">
        <v>4</v>
      </c>
      <c r="B57" s="1651" t="s">
        <v>1374</v>
      </c>
    </row>
    <row r="58" spans="1:14" s="1" customFormat="1" ht="16.5">
      <c r="B58" s="24" t="s">
        <v>1375</v>
      </c>
    </row>
  </sheetData>
  <mergeCells count="64">
    <mergeCell ref="B50:D50"/>
    <mergeCell ref="K47:K48"/>
    <mergeCell ref="L47:L48"/>
    <mergeCell ref="M47:M48"/>
    <mergeCell ref="N47:N48"/>
    <mergeCell ref="B48:D48"/>
    <mergeCell ref="B49:D49"/>
    <mergeCell ref="J47:J48"/>
    <mergeCell ref="B42:D42"/>
    <mergeCell ref="B44:D44"/>
    <mergeCell ref="B45:D45"/>
    <mergeCell ref="B46:D46"/>
    <mergeCell ref="B47:D47"/>
    <mergeCell ref="B41:D41"/>
    <mergeCell ref="B32:D32"/>
    <mergeCell ref="J32:J33"/>
    <mergeCell ref="K32:K33"/>
    <mergeCell ref="L32:L33"/>
    <mergeCell ref="B34:D34"/>
    <mergeCell ref="B35:D35"/>
    <mergeCell ref="B36:D36"/>
    <mergeCell ref="B37:D37"/>
    <mergeCell ref="B38:D38"/>
    <mergeCell ref="M32:M33"/>
    <mergeCell ref="N32:N33"/>
    <mergeCell ref="B33:D33"/>
    <mergeCell ref="B26:D26"/>
    <mergeCell ref="B27:D27"/>
    <mergeCell ref="B29:D29"/>
    <mergeCell ref="E29:G29"/>
    <mergeCell ref="B30:D30"/>
    <mergeCell ref="E30:G30"/>
    <mergeCell ref="B25:D25"/>
    <mergeCell ref="J18:J19"/>
    <mergeCell ref="K18:K19"/>
    <mergeCell ref="L18:L19"/>
    <mergeCell ref="M18:M19"/>
    <mergeCell ref="B20:G20"/>
    <mergeCell ref="B21:D21"/>
    <mergeCell ref="B22:D22"/>
    <mergeCell ref="B23:D23"/>
    <mergeCell ref="B24:D24"/>
    <mergeCell ref="N18:N19"/>
    <mergeCell ref="B19:D19"/>
    <mergeCell ref="E19:G19"/>
    <mergeCell ref="B13:D13"/>
    <mergeCell ref="B14:D14"/>
    <mergeCell ref="B15:D15"/>
    <mergeCell ref="B16:D16"/>
    <mergeCell ref="B18:D18"/>
    <mergeCell ref="E18:G18"/>
    <mergeCell ref="M5:M6"/>
    <mergeCell ref="N5:N6"/>
    <mergeCell ref="B12:D12"/>
    <mergeCell ref="B5:G5"/>
    <mergeCell ref="J5:J6"/>
    <mergeCell ref="K5:K6"/>
    <mergeCell ref="L5:L6"/>
    <mergeCell ref="B7:D7"/>
    <mergeCell ref="B8:D8"/>
    <mergeCell ref="B9:G9"/>
    <mergeCell ref="B10:D10"/>
    <mergeCell ref="B11:D11"/>
    <mergeCell ref="B6:D6"/>
  </mergeCells>
  <conditionalFormatting sqref="C28 C39:C40">
    <cfRule type="cellIs" dxfId="85" priority="1"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66"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29">
    <tabColor theme="4" tint="0.39997558519241921"/>
    <pageSetUpPr fitToPage="1"/>
  </sheetPr>
  <dimension ref="A1:N74"/>
  <sheetViews>
    <sheetView view="pageBreakPreview" topLeftCell="A4" zoomScaleNormal="100" zoomScaleSheetLayoutView="100" workbookViewId="0">
      <selection activeCell="I19" sqref="I19"/>
    </sheetView>
  </sheetViews>
  <sheetFormatPr defaultRowHeight="15"/>
  <cols>
    <col min="1" max="1" width="3.5703125" customWidth="1"/>
    <col min="3" max="3" width="22.28515625" customWidth="1"/>
    <col min="4" max="4" width="63.85546875" customWidth="1"/>
    <col min="5" max="5" width="2" customWidth="1"/>
    <col min="6" max="6" width="3" customWidth="1"/>
    <col min="7" max="7" width="10.140625" customWidth="1"/>
    <col min="8" max="8" width="11.28515625" customWidth="1"/>
    <col min="9" max="9" width="12.7109375" customWidth="1"/>
    <col min="10" max="10" width="10.140625" customWidth="1"/>
  </cols>
  <sheetData>
    <row r="1" spans="1:14" s="149" customFormat="1" ht="8.25" customHeight="1"/>
    <row r="2" spans="1:14" s="149" customFormat="1" ht="8.25" customHeight="1"/>
    <row r="3" spans="1:14" s="149" customFormat="1" ht="8.25" customHeight="1"/>
    <row r="4" spans="1:14" s="149" customFormat="1" ht="16.5" customHeight="1">
      <c r="B4" s="57" t="s">
        <v>286</v>
      </c>
      <c r="C4" s="150" t="s">
        <v>1376</v>
      </c>
      <c r="I4" s="272"/>
    </row>
    <row r="5" spans="1:14" s="149" customFormat="1" ht="16.5" customHeight="1">
      <c r="B5" s="60" t="s">
        <v>287</v>
      </c>
      <c r="C5" s="151" t="s">
        <v>1377</v>
      </c>
      <c r="D5" s="273"/>
      <c r="E5" s="273"/>
      <c r="F5" s="152"/>
      <c r="G5" s="152"/>
      <c r="H5" s="152"/>
      <c r="I5" s="272"/>
    </row>
    <row r="6" spans="1:14" s="149" customFormat="1" ht="13.35" customHeight="1" thickBot="1">
      <c r="A6" s="153"/>
      <c r="B6" s="153"/>
      <c r="C6" s="153"/>
      <c r="D6" s="153"/>
      <c r="E6" s="153"/>
      <c r="F6" s="152"/>
      <c r="G6" s="152"/>
      <c r="H6" s="152"/>
      <c r="I6" s="152"/>
    </row>
    <row r="7" spans="1:14" s="154" customFormat="1" ht="42.95" customHeight="1" thickBot="1">
      <c r="A7" s="7"/>
      <c r="B7" s="2651" t="s">
        <v>992</v>
      </c>
      <c r="C7" s="2651"/>
      <c r="D7" s="2651"/>
      <c r="E7" s="7"/>
      <c r="F7" s="8"/>
      <c r="G7" s="8"/>
      <c r="H7" s="274">
        <v>2023</v>
      </c>
      <c r="I7" s="274">
        <v>2024</v>
      </c>
      <c r="J7" s="274">
        <v>2025</v>
      </c>
    </row>
    <row r="8" spans="1:14" s="154" customFormat="1" ht="16.5" customHeight="1">
      <c r="B8" s="155"/>
      <c r="C8" s="156"/>
      <c r="D8" s="157"/>
      <c r="E8" s="157"/>
      <c r="F8" s="157"/>
      <c r="G8" s="157"/>
      <c r="H8" s="157"/>
      <c r="I8" s="157"/>
    </row>
    <row r="9" spans="1:14" s="158" customFormat="1" ht="15.2" customHeight="1">
      <c r="B9" s="76" t="s">
        <v>1270</v>
      </c>
      <c r="D9" s="159"/>
      <c r="E9" s="159"/>
      <c r="F9" s="159"/>
      <c r="G9" s="159"/>
      <c r="H9" s="159">
        <v>1512738</v>
      </c>
      <c r="I9" s="1527">
        <v>1418000</v>
      </c>
      <c r="J9" s="1527">
        <v>1545372</v>
      </c>
    </row>
    <row r="10" spans="1:14" s="158" customFormat="1" ht="15.2" customHeight="1">
      <c r="B10" s="74" t="s">
        <v>1290</v>
      </c>
      <c r="D10" s="165"/>
      <c r="E10" s="165"/>
      <c r="F10" s="165"/>
      <c r="G10" s="165"/>
      <c r="H10" s="165"/>
      <c r="I10" s="319"/>
      <c r="N10" s="160"/>
    </row>
    <row r="11" spans="1:14" s="158" customFormat="1" ht="8.25" customHeight="1">
      <c r="B11" s="164"/>
      <c r="D11" s="165"/>
      <c r="E11" s="165"/>
      <c r="F11" s="165"/>
      <c r="G11" s="165"/>
      <c r="H11" s="165"/>
      <c r="I11" s="319"/>
    </row>
    <row r="12" spans="1:14" s="158" customFormat="1" ht="15.2" customHeight="1">
      <c r="B12" s="169" t="s">
        <v>310</v>
      </c>
      <c r="C12" s="167"/>
      <c r="D12" s="165"/>
      <c r="E12" s="165"/>
      <c r="F12" s="165"/>
      <c r="G12" s="168"/>
      <c r="H12" s="168">
        <v>542658</v>
      </c>
      <c r="I12" s="1528">
        <v>526588</v>
      </c>
      <c r="J12" s="1528">
        <v>537916</v>
      </c>
    </row>
    <row r="13" spans="1:14" s="158" customFormat="1" ht="15.2" customHeight="1">
      <c r="B13" s="169" t="s">
        <v>311</v>
      </c>
      <c r="C13" s="167"/>
      <c r="D13" s="165"/>
      <c r="E13" s="165"/>
      <c r="F13" s="165"/>
      <c r="G13" s="168"/>
      <c r="H13" s="168">
        <v>914477</v>
      </c>
      <c r="I13" s="1528">
        <v>852606</v>
      </c>
      <c r="J13" s="1528">
        <v>971736</v>
      </c>
    </row>
    <row r="14" spans="1:14" s="158" customFormat="1" ht="15.2" customHeight="1">
      <c r="B14" s="169" t="s">
        <v>312</v>
      </c>
      <c r="C14" s="167"/>
      <c r="D14" s="168"/>
      <c r="E14" s="168"/>
      <c r="F14" s="168"/>
      <c r="G14" s="168"/>
      <c r="H14" s="168">
        <v>55603</v>
      </c>
      <c r="I14" s="1528">
        <v>38807</v>
      </c>
      <c r="J14" s="1528">
        <v>35720</v>
      </c>
    </row>
    <row r="15" spans="1:14" s="158" customFormat="1" ht="7.5" customHeight="1">
      <c r="C15" s="172"/>
      <c r="D15" s="168"/>
      <c r="E15" s="168"/>
      <c r="F15" s="168"/>
      <c r="G15" s="168"/>
      <c r="H15" s="168"/>
      <c r="I15" s="320"/>
    </row>
    <row r="16" spans="1:14" s="158" customFormat="1" ht="15.2" customHeight="1">
      <c r="B16" s="76" t="s">
        <v>313</v>
      </c>
      <c r="D16" s="168"/>
      <c r="E16" s="168"/>
      <c r="F16" s="321"/>
      <c r="G16" s="321"/>
      <c r="H16" s="1529">
        <v>4.5</v>
      </c>
      <c r="I16" s="1529">
        <v>-6.3</v>
      </c>
      <c r="J16" s="157">
        <v>9</v>
      </c>
    </row>
    <row r="17" spans="2:11" s="158" customFormat="1" ht="15.2" customHeight="1">
      <c r="B17" s="74" t="s">
        <v>314</v>
      </c>
      <c r="D17" s="168"/>
      <c r="E17" s="168"/>
      <c r="F17" s="168"/>
      <c r="G17" s="168"/>
      <c r="H17" s="168"/>
      <c r="I17" s="322"/>
    </row>
    <row r="18" spans="2:11" s="158" customFormat="1" ht="7.5" customHeight="1">
      <c r="B18" s="164"/>
      <c r="D18" s="165"/>
      <c r="E18" s="165"/>
      <c r="F18" s="165"/>
      <c r="G18" s="165"/>
      <c r="H18" s="165"/>
      <c r="I18" s="311"/>
    </row>
    <row r="19" spans="2:11" s="158" customFormat="1" ht="15.2" customHeight="1">
      <c r="B19" s="169" t="s">
        <v>310</v>
      </c>
      <c r="C19" s="167"/>
      <c r="D19" s="165"/>
      <c r="E19" s="165"/>
      <c r="F19" s="323"/>
      <c r="G19" s="323"/>
      <c r="H19" s="1530">
        <v>4.8</v>
      </c>
      <c r="I19" s="1530">
        <v>-3</v>
      </c>
      <c r="J19" s="165">
        <v>2.2000000000000002</v>
      </c>
    </row>
    <row r="20" spans="2:11" s="158" customFormat="1" ht="15.2" customHeight="1">
      <c r="B20" s="169" t="s">
        <v>311</v>
      </c>
      <c r="C20" s="167"/>
      <c r="D20" s="19"/>
      <c r="E20" s="19"/>
      <c r="F20" s="323"/>
      <c r="G20" s="323"/>
      <c r="H20" s="1530">
        <v>3.7</v>
      </c>
      <c r="I20" s="1530">
        <v>-6.8</v>
      </c>
      <c r="J20" s="165">
        <v>14</v>
      </c>
      <c r="K20" s="279"/>
    </row>
    <row r="21" spans="2:11" s="158" customFormat="1" ht="15.2" customHeight="1">
      <c r="B21" s="169" t="s">
        <v>312</v>
      </c>
      <c r="C21" s="167"/>
      <c r="D21" s="19"/>
      <c r="E21" s="19"/>
      <c r="F21" s="323"/>
      <c r="G21" s="323"/>
      <c r="H21" s="1530">
        <v>16.100000000000001</v>
      </c>
      <c r="I21" s="1530">
        <v>-30.2</v>
      </c>
      <c r="J21" s="165">
        <v>-8</v>
      </c>
      <c r="K21" s="279"/>
    </row>
    <row r="22" spans="2:11" s="158" customFormat="1" ht="8.25" customHeight="1">
      <c r="B22" s="169"/>
      <c r="C22" s="167"/>
      <c r="D22" s="19"/>
      <c r="E22" s="19"/>
      <c r="F22" s="19"/>
      <c r="G22" s="19"/>
      <c r="H22" s="19"/>
      <c r="I22" s="19"/>
    </row>
    <row r="23" spans="2:11" s="158" customFormat="1" ht="15.2" customHeight="1">
      <c r="B23" s="76" t="s">
        <v>315</v>
      </c>
      <c r="D23" s="19"/>
      <c r="E23" s="19"/>
      <c r="F23" s="321"/>
      <c r="G23" s="321"/>
      <c r="H23" s="1529">
        <v>100</v>
      </c>
      <c r="I23" s="1529">
        <v>100</v>
      </c>
      <c r="J23" s="1529">
        <v>100</v>
      </c>
    </row>
    <row r="24" spans="2:11" s="158" customFormat="1" ht="15.2" customHeight="1">
      <c r="B24" s="74" t="s">
        <v>316</v>
      </c>
      <c r="D24" s="19"/>
      <c r="E24" s="19"/>
      <c r="F24" s="19"/>
      <c r="G24" s="19"/>
      <c r="H24" s="19"/>
      <c r="I24" s="19"/>
    </row>
    <row r="25" spans="2:11" s="158" customFormat="1" ht="8.25" customHeight="1">
      <c r="B25" s="164"/>
      <c r="D25" s="165"/>
      <c r="E25" s="165"/>
      <c r="F25" s="165"/>
      <c r="G25" s="165"/>
      <c r="H25" s="165"/>
      <c r="I25" s="324"/>
    </row>
    <row r="26" spans="2:11" s="158" customFormat="1" ht="15.2" customHeight="1">
      <c r="B26" s="169" t="s">
        <v>310</v>
      </c>
      <c r="C26" s="167"/>
      <c r="D26" s="165"/>
      <c r="E26" s="165"/>
      <c r="F26" s="323"/>
      <c r="G26" s="323"/>
      <c r="H26" s="1530">
        <v>35.9</v>
      </c>
      <c r="I26" s="1530">
        <v>37.1</v>
      </c>
      <c r="J26" s="165">
        <v>34.799999999999997</v>
      </c>
    </row>
    <row r="27" spans="2:11" s="158" customFormat="1" ht="15.2" customHeight="1">
      <c r="B27" s="169" t="s">
        <v>311</v>
      </c>
      <c r="C27" s="167"/>
      <c r="D27" s="165"/>
      <c r="E27" s="165"/>
      <c r="F27" s="323"/>
      <c r="G27" s="323"/>
      <c r="H27" s="1530">
        <v>60.5</v>
      </c>
      <c r="I27" s="1530">
        <v>60.1</v>
      </c>
      <c r="J27" s="165">
        <v>62.9</v>
      </c>
    </row>
    <row r="28" spans="2:11" s="158" customFormat="1" ht="15.2" customHeight="1">
      <c r="B28" s="169" t="s">
        <v>312</v>
      </c>
      <c r="C28" s="167"/>
      <c r="D28" s="19"/>
      <c r="E28" s="19"/>
      <c r="F28" s="323"/>
      <c r="G28" s="323"/>
      <c r="H28" s="1530">
        <v>3.7</v>
      </c>
      <c r="I28" s="1530">
        <v>2.7</v>
      </c>
      <c r="J28" s="165">
        <v>2.2999999999999998</v>
      </c>
    </row>
    <row r="29" spans="2:11" s="158" customFormat="1" ht="15.2" customHeight="1">
      <c r="B29" s="169"/>
      <c r="C29" s="167"/>
      <c r="D29" s="19"/>
      <c r="E29" s="19"/>
      <c r="F29" s="19"/>
      <c r="G29" s="19"/>
      <c r="H29" s="19"/>
      <c r="I29" s="19"/>
    </row>
    <row r="30" spans="2:11" s="158" customFormat="1" ht="15.2" customHeight="1">
      <c r="B30" s="76" t="s">
        <v>1271</v>
      </c>
      <c r="D30" s="19"/>
      <c r="E30" s="19"/>
      <c r="F30" s="159"/>
      <c r="G30" s="159"/>
      <c r="H30" s="159">
        <v>553426</v>
      </c>
      <c r="I30" s="15">
        <v>512922</v>
      </c>
      <c r="J30" s="15">
        <v>518075</v>
      </c>
    </row>
    <row r="31" spans="2:11" s="158" customFormat="1" ht="15.2" customHeight="1">
      <c r="B31" s="74" t="s">
        <v>1291</v>
      </c>
      <c r="D31" s="19"/>
      <c r="E31" s="19"/>
      <c r="F31" s="19"/>
      <c r="G31" s="19"/>
      <c r="H31" s="19"/>
      <c r="I31" s="19"/>
    </row>
    <row r="32" spans="2:11" s="158" customFormat="1" ht="8.25" customHeight="1">
      <c r="B32" s="169"/>
      <c r="C32" s="167"/>
      <c r="D32" s="165"/>
      <c r="E32" s="165"/>
      <c r="F32" s="165"/>
      <c r="G32" s="165"/>
      <c r="H32" s="165"/>
      <c r="I32" s="324"/>
    </row>
    <row r="33" spans="2:10" s="158" customFormat="1" ht="15.2" customHeight="1">
      <c r="B33" s="76" t="s">
        <v>317</v>
      </c>
      <c r="D33" s="19"/>
      <c r="E33" s="19"/>
      <c r="F33" s="157"/>
      <c r="G33" s="157"/>
      <c r="H33" s="157">
        <v>176.3</v>
      </c>
      <c r="I33" s="1531">
        <v>117.8</v>
      </c>
      <c r="J33" s="1531">
        <v>124.3</v>
      </c>
    </row>
    <row r="34" spans="2:10" s="158" customFormat="1" ht="15.2" customHeight="1">
      <c r="B34" s="74" t="s">
        <v>1305</v>
      </c>
      <c r="D34" s="19"/>
      <c r="E34" s="19"/>
      <c r="F34" s="19"/>
      <c r="G34" s="19"/>
      <c r="H34" s="19"/>
      <c r="I34" s="19"/>
    </row>
    <row r="35" spans="2:10" s="158" customFormat="1" ht="8.25" customHeight="1">
      <c r="B35" s="169"/>
      <c r="C35" s="167"/>
      <c r="D35" s="165"/>
      <c r="E35" s="165"/>
      <c r="F35" s="165"/>
      <c r="G35" s="165"/>
      <c r="H35" s="165"/>
      <c r="I35" s="324"/>
    </row>
    <row r="36" spans="2:10" s="158" customFormat="1" ht="15.2" customHeight="1">
      <c r="B36" s="76" t="s">
        <v>318</v>
      </c>
      <c r="D36" s="19"/>
      <c r="E36" s="19"/>
      <c r="F36" s="159"/>
      <c r="G36" s="159"/>
      <c r="H36" s="159">
        <v>7318</v>
      </c>
      <c r="I36" s="15">
        <v>7253</v>
      </c>
      <c r="J36" s="15">
        <v>7315</v>
      </c>
    </row>
    <row r="37" spans="2:10" s="158" customFormat="1" ht="15.2" customHeight="1">
      <c r="B37" s="74" t="s">
        <v>319</v>
      </c>
      <c r="D37" s="19"/>
      <c r="E37" s="19"/>
      <c r="F37" s="19"/>
      <c r="G37" s="19"/>
      <c r="H37" s="19"/>
      <c r="I37" s="19"/>
    </row>
    <row r="38" spans="2:10" s="158" customFormat="1" ht="15.2" customHeight="1">
      <c r="B38" s="326"/>
      <c r="C38" s="167"/>
      <c r="D38" s="19"/>
      <c r="E38" s="19"/>
      <c r="F38" s="19"/>
      <c r="G38" s="19"/>
      <c r="H38" s="19"/>
      <c r="I38" s="19"/>
    </row>
    <row r="39" spans="2:10" s="158" customFormat="1" ht="15.2" customHeight="1">
      <c r="B39" s="76" t="s">
        <v>320</v>
      </c>
      <c r="D39" s="19"/>
      <c r="E39" s="19"/>
      <c r="F39" s="157"/>
      <c r="G39" s="157"/>
      <c r="H39" s="157">
        <v>5.9</v>
      </c>
      <c r="I39" s="1531">
        <v>-7.3</v>
      </c>
      <c r="J39" s="1531">
        <v>1</v>
      </c>
    </row>
    <row r="40" spans="2:10" s="158" customFormat="1" ht="15.2" customHeight="1">
      <c r="B40" s="74" t="s">
        <v>321</v>
      </c>
      <c r="D40" s="19"/>
      <c r="E40" s="19"/>
      <c r="F40" s="19"/>
      <c r="G40" s="19"/>
      <c r="H40" s="1532"/>
      <c r="I40" s="1532"/>
      <c r="J40" s="165"/>
    </row>
    <row r="41" spans="2:10" s="158" customFormat="1" ht="8.25" customHeight="1">
      <c r="B41" s="169"/>
      <c r="C41" s="167"/>
      <c r="D41" s="165"/>
      <c r="E41" s="165"/>
      <c r="F41" s="165"/>
      <c r="G41" s="165"/>
      <c r="H41" s="165"/>
      <c r="I41" s="1532"/>
      <c r="J41" s="165"/>
    </row>
    <row r="42" spans="2:10" s="158" customFormat="1" ht="15.2" customHeight="1">
      <c r="B42" s="76" t="s">
        <v>322</v>
      </c>
      <c r="D42" s="19"/>
      <c r="E42" s="19"/>
      <c r="F42" s="157"/>
      <c r="G42" s="157"/>
      <c r="H42" s="157">
        <v>2.6</v>
      </c>
      <c r="I42" s="1531">
        <v>-33.1</v>
      </c>
      <c r="J42" s="1531">
        <v>5.4</v>
      </c>
    </row>
    <row r="43" spans="2:10" s="158" customFormat="1" ht="15.2" customHeight="1">
      <c r="B43" s="74" t="s">
        <v>323</v>
      </c>
      <c r="D43" s="19"/>
      <c r="E43" s="19"/>
      <c r="F43" s="19"/>
      <c r="G43" s="19"/>
      <c r="H43" s="1532"/>
      <c r="I43" s="1532"/>
      <c r="J43" s="165"/>
    </row>
    <row r="44" spans="2:10" s="158" customFormat="1" ht="8.25" customHeight="1">
      <c r="B44" s="169"/>
      <c r="C44" s="167"/>
      <c r="D44" s="165"/>
      <c r="E44" s="165"/>
      <c r="F44" s="165"/>
      <c r="G44" s="165"/>
      <c r="H44" s="165"/>
      <c r="I44" s="1532"/>
      <c r="J44" s="165"/>
    </row>
    <row r="45" spans="2:10" s="158" customFormat="1" ht="15.2" customHeight="1">
      <c r="B45" s="76" t="s">
        <v>324</v>
      </c>
      <c r="D45" s="19"/>
      <c r="E45" s="19"/>
      <c r="F45" s="157"/>
      <c r="G45" s="157"/>
      <c r="H45" s="157">
        <v>3</v>
      </c>
      <c r="I45" s="1531">
        <v>-0.9</v>
      </c>
      <c r="J45" s="1531">
        <v>0.9</v>
      </c>
    </row>
    <row r="46" spans="2:10" s="158" customFormat="1" ht="15.2" customHeight="1">
      <c r="B46" s="74" t="s">
        <v>325</v>
      </c>
      <c r="D46" s="19"/>
      <c r="E46" s="19"/>
      <c r="F46" s="19"/>
      <c r="G46" s="19"/>
      <c r="H46" s="1532"/>
      <c r="I46" s="1532"/>
      <c r="J46" s="165"/>
    </row>
    <row r="47" spans="2:10" s="158" customFormat="1" ht="15.2" customHeight="1">
      <c r="B47" s="169"/>
      <c r="C47" s="167"/>
      <c r="D47" s="19"/>
      <c r="E47" s="19"/>
      <c r="F47" s="19"/>
      <c r="G47" s="19"/>
      <c r="H47" s="1532"/>
      <c r="I47" s="1532"/>
      <c r="J47" s="165"/>
    </row>
    <row r="48" spans="2:10" s="158" customFormat="1" ht="15.2" customHeight="1">
      <c r="B48" s="76" t="s">
        <v>326</v>
      </c>
      <c r="D48" s="19"/>
      <c r="E48" s="19"/>
      <c r="F48" s="157"/>
      <c r="G48" s="157"/>
      <c r="H48" s="157">
        <v>38.9</v>
      </c>
      <c r="I48" s="1531">
        <v>38.1</v>
      </c>
      <c r="J48" s="1531">
        <v>37.4</v>
      </c>
    </row>
    <row r="49" spans="2:11" s="158" customFormat="1" ht="15.2" customHeight="1">
      <c r="B49" s="74" t="s">
        <v>327</v>
      </c>
      <c r="D49" s="19"/>
      <c r="E49" s="19"/>
      <c r="F49" s="19"/>
      <c r="G49" s="19"/>
      <c r="H49" s="1532"/>
      <c r="I49" s="1532"/>
      <c r="J49" s="165"/>
    </row>
    <row r="50" spans="2:11" s="158" customFormat="1" ht="8.25" customHeight="1">
      <c r="B50" s="169"/>
      <c r="C50" s="167"/>
      <c r="D50" s="165"/>
      <c r="E50" s="165"/>
      <c r="F50" s="165"/>
      <c r="G50" s="165"/>
      <c r="H50" s="165"/>
      <c r="I50" s="1532"/>
      <c r="J50" s="165"/>
    </row>
    <row r="51" spans="2:11" s="158" customFormat="1" ht="15.2" customHeight="1">
      <c r="B51" s="76" t="s">
        <v>328</v>
      </c>
      <c r="D51" s="19"/>
      <c r="E51" s="19"/>
      <c r="F51" s="157"/>
      <c r="G51" s="157"/>
      <c r="H51" s="157">
        <v>17.899999999999999</v>
      </c>
      <c r="I51" s="1531">
        <v>13.5</v>
      </c>
      <c r="J51" s="1531">
        <v>11.7</v>
      </c>
    </row>
    <row r="52" spans="2:11" s="158" customFormat="1" ht="15.2" customHeight="1">
      <c r="B52" s="74" t="s">
        <v>329</v>
      </c>
      <c r="D52" s="19"/>
      <c r="E52" s="19"/>
      <c r="F52" s="19"/>
      <c r="G52" s="19"/>
      <c r="H52" s="1532"/>
      <c r="I52" s="1532"/>
      <c r="J52" s="165"/>
    </row>
    <row r="53" spans="2:11" s="158" customFormat="1" ht="8.25" customHeight="1">
      <c r="B53" s="169"/>
      <c r="C53" s="167"/>
      <c r="D53" s="165"/>
      <c r="E53" s="165"/>
      <c r="F53" s="165"/>
      <c r="G53" s="165"/>
      <c r="H53" s="165"/>
      <c r="I53" s="1532"/>
      <c r="J53" s="165"/>
    </row>
    <row r="54" spans="2:11" s="158" customFormat="1" ht="15.2" customHeight="1">
      <c r="B54" s="76" t="s">
        <v>330</v>
      </c>
      <c r="D54" s="19"/>
      <c r="E54" s="19"/>
      <c r="F54" s="157"/>
      <c r="G54" s="157"/>
      <c r="H54" s="157">
        <v>48.4</v>
      </c>
      <c r="I54" s="1531">
        <v>48</v>
      </c>
      <c r="J54" s="1531">
        <v>47.8</v>
      </c>
    </row>
    <row r="55" spans="2:11" s="158" customFormat="1" ht="15.2" customHeight="1">
      <c r="B55" s="74" t="s">
        <v>331</v>
      </c>
      <c r="D55" s="19"/>
      <c r="E55" s="19"/>
      <c r="F55" s="19"/>
      <c r="G55" s="19"/>
      <c r="H55" s="19"/>
      <c r="I55" s="19"/>
    </row>
    <row r="56" spans="2:11" s="158" customFormat="1" ht="15.2" customHeight="1">
      <c r="B56" s="169"/>
      <c r="C56" s="327"/>
      <c r="D56" s="165"/>
      <c r="E56" s="165"/>
      <c r="F56" s="165"/>
      <c r="G56" s="165"/>
      <c r="H56" s="328"/>
      <c r="I56" s="329"/>
      <c r="J56" s="330"/>
      <c r="K56" s="17"/>
    </row>
    <row r="57" spans="2:11" s="158" customFormat="1" ht="8.25" customHeight="1">
      <c r="B57" s="331"/>
      <c r="C57" s="327"/>
      <c r="D57" s="165"/>
      <c r="E57" s="165"/>
      <c r="F57" s="165"/>
      <c r="G57" s="165"/>
      <c r="H57" s="328"/>
      <c r="I57" s="329"/>
      <c r="J57" s="330"/>
      <c r="K57" s="17"/>
    </row>
    <row r="58" spans="2:11" s="158" customFormat="1" ht="15.2" customHeight="1">
      <c r="B58" s="76" t="s">
        <v>1272</v>
      </c>
      <c r="D58" s="19"/>
      <c r="E58" s="19"/>
      <c r="F58" s="159"/>
      <c r="G58" s="159"/>
      <c r="H58" s="159">
        <v>328536</v>
      </c>
      <c r="I58" s="1527">
        <v>281173</v>
      </c>
      <c r="J58" s="1527">
        <v>278703</v>
      </c>
    </row>
    <row r="59" spans="2:11" s="158" customFormat="1" ht="15.2" customHeight="1">
      <c r="B59" s="74" t="s">
        <v>1292</v>
      </c>
      <c r="D59" s="19"/>
      <c r="E59" s="19"/>
      <c r="F59" s="19"/>
      <c r="G59" s="19"/>
      <c r="H59" s="19"/>
      <c r="I59" s="19"/>
    </row>
    <row r="60" spans="2:11" s="158" customFormat="1" ht="15.2" customHeight="1">
      <c r="B60" s="169"/>
      <c r="C60" s="327"/>
      <c r="D60" s="165"/>
      <c r="E60" s="165"/>
      <c r="F60" s="165"/>
      <c r="G60" s="165"/>
      <c r="H60" s="165"/>
      <c r="I60" s="19"/>
      <c r="K60" s="17"/>
    </row>
    <row r="61" spans="2:11" s="158" customFormat="1" ht="15" customHeight="1">
      <c r="B61" s="76" t="s">
        <v>332</v>
      </c>
      <c r="C61" s="327"/>
      <c r="D61" s="165"/>
      <c r="E61" s="165"/>
      <c r="F61" s="165"/>
      <c r="G61" s="165"/>
      <c r="H61" s="165">
        <v>-2.1</v>
      </c>
      <c r="I61" s="1532">
        <v>-14.4</v>
      </c>
      <c r="J61" s="165">
        <v>-0.9</v>
      </c>
      <c r="K61" s="17"/>
    </row>
    <row r="62" spans="2:11" s="158" customFormat="1" ht="15.2" customHeight="1">
      <c r="B62" s="74" t="s">
        <v>333</v>
      </c>
      <c r="C62" s="327"/>
      <c r="D62" s="165"/>
      <c r="E62" s="165"/>
      <c r="F62" s="165"/>
      <c r="G62" s="165"/>
      <c r="H62" s="165"/>
      <c r="I62" s="19"/>
      <c r="K62" s="17"/>
    </row>
    <row r="63" spans="2:11" s="158" customFormat="1" ht="15.2" customHeight="1">
      <c r="B63" s="169"/>
      <c r="C63" s="327"/>
      <c r="D63" s="184"/>
      <c r="E63" s="184"/>
      <c r="F63" s="184"/>
      <c r="G63" s="184"/>
      <c r="H63" s="184"/>
      <c r="I63" s="19"/>
      <c r="K63" s="17"/>
    </row>
    <row r="64" spans="2:11" s="158" customFormat="1" ht="15.2" customHeight="1">
      <c r="B64" s="169"/>
      <c r="C64" s="327"/>
      <c r="D64" s="184"/>
      <c r="E64" s="184"/>
      <c r="F64" s="184"/>
      <c r="G64" s="184"/>
      <c r="H64" s="184"/>
      <c r="I64" s="19"/>
      <c r="K64" s="17"/>
    </row>
    <row r="65" spans="1:12" s="158" customFormat="1" ht="8.25" customHeight="1">
      <c r="B65" s="332"/>
      <c r="C65" s="177"/>
      <c r="D65" s="184"/>
      <c r="E65" s="184"/>
      <c r="F65" s="184"/>
      <c r="G65" s="184"/>
      <c r="H65" s="184"/>
      <c r="I65" s="311"/>
    </row>
    <row r="66" spans="1:12" s="158" customFormat="1" ht="15.2" customHeight="1">
      <c r="B66" s="331"/>
      <c r="C66" s="177"/>
      <c r="D66" s="178"/>
      <c r="E66" s="178"/>
      <c r="F66" s="178"/>
      <c r="G66" s="178"/>
      <c r="H66" s="178"/>
      <c r="I66" s="322"/>
      <c r="K66" s="279"/>
    </row>
    <row r="67" spans="1:12" s="158" customFormat="1" ht="15.2" customHeight="1">
      <c r="B67" s="161"/>
      <c r="C67" s="177"/>
      <c r="D67" s="184"/>
      <c r="E67" s="184"/>
      <c r="F67" s="184"/>
      <c r="G67" s="184"/>
      <c r="H67" s="184"/>
      <c r="I67" s="184"/>
    </row>
    <row r="68" spans="1:12" s="176" customFormat="1" ht="8.25" customHeight="1">
      <c r="B68" s="161"/>
      <c r="C68" s="177"/>
      <c r="D68" s="184"/>
      <c r="E68" s="184"/>
      <c r="F68" s="184"/>
      <c r="G68" s="184"/>
      <c r="H68" s="184"/>
      <c r="I68" s="184"/>
      <c r="K68" s="158"/>
      <c r="L68" s="158"/>
    </row>
    <row r="69" spans="1:12" s="176" customFormat="1" ht="8.25" customHeight="1" thickBot="1">
      <c r="A69" s="291"/>
      <c r="B69" s="291"/>
      <c r="C69" s="291"/>
      <c r="D69" s="291"/>
      <c r="E69" s="291"/>
      <c r="F69" s="291"/>
      <c r="G69" s="291"/>
      <c r="H69" s="291"/>
      <c r="I69" s="291"/>
      <c r="J69" s="291"/>
      <c r="K69" s="158"/>
      <c r="L69" s="158"/>
    </row>
    <row r="70" spans="1:12" s="176" customFormat="1" ht="15.2" customHeight="1" thickTop="1">
      <c r="B70" s="25"/>
      <c r="D70" s="20"/>
      <c r="E70" s="49"/>
      <c r="F70" s="49"/>
      <c r="G70" s="49"/>
      <c r="H70" s="49"/>
      <c r="I70" s="82"/>
      <c r="J70" s="292" t="s">
        <v>0</v>
      </c>
      <c r="K70" s="158"/>
      <c r="L70" s="158"/>
    </row>
    <row r="71" spans="1:12" s="176" customFormat="1" ht="15.2" customHeight="1">
      <c r="B71" s="83"/>
      <c r="C71" s="82"/>
      <c r="D71" s="20"/>
      <c r="E71" s="20"/>
      <c r="F71" s="20"/>
      <c r="G71" s="20"/>
      <c r="H71" s="20"/>
      <c r="I71" s="82"/>
      <c r="J71" s="293" t="s">
        <v>1</v>
      </c>
    </row>
    <row r="72" spans="1:12" s="176" customFormat="1" ht="16.5">
      <c r="B72" s="298" t="s">
        <v>334</v>
      </c>
      <c r="C72" s="82"/>
      <c r="D72" s="82"/>
      <c r="E72" s="82"/>
      <c r="F72" s="82"/>
      <c r="G72" s="82"/>
      <c r="H72" s="82"/>
      <c r="I72" s="82"/>
      <c r="J72" s="82"/>
    </row>
    <row r="73" spans="1:12" s="1" customFormat="1" ht="16.5">
      <c r="A73" s="297" t="s">
        <v>3</v>
      </c>
      <c r="B73" s="1651" t="s">
        <v>1374</v>
      </c>
    </row>
    <row r="74" spans="1:12" s="1" customFormat="1" ht="16.5">
      <c r="B74" s="24" t="s">
        <v>1375</v>
      </c>
    </row>
  </sheetData>
  <mergeCells count="1">
    <mergeCell ref="B7:D7"/>
  </mergeCells>
  <conditionalFormatting sqref="C12:C14">
    <cfRule type="cellIs" dxfId="84" priority="12" stopIfTrue="1" operator="lessThan">
      <formula>0</formula>
    </cfRule>
  </conditionalFormatting>
  <conditionalFormatting sqref="C19:C22">
    <cfRule type="cellIs" dxfId="83" priority="7" stopIfTrue="1" operator="lessThan">
      <formula>0</formula>
    </cfRule>
  </conditionalFormatting>
  <conditionalFormatting sqref="C26:C29">
    <cfRule type="cellIs" dxfId="82" priority="6" stopIfTrue="1" operator="lessThan">
      <formula>0</formula>
    </cfRule>
  </conditionalFormatting>
  <conditionalFormatting sqref="C32">
    <cfRule type="cellIs" dxfId="81" priority="11" stopIfTrue="1" operator="lessThan">
      <formula>0</formula>
    </cfRule>
  </conditionalFormatting>
  <conditionalFormatting sqref="C35">
    <cfRule type="cellIs" dxfId="80" priority="5" stopIfTrue="1" operator="lessThan">
      <formula>0</formula>
    </cfRule>
  </conditionalFormatting>
  <conditionalFormatting sqref="C38">
    <cfRule type="cellIs" dxfId="79" priority="9" stopIfTrue="1" operator="lessThan">
      <formula>0</formula>
    </cfRule>
  </conditionalFormatting>
  <conditionalFormatting sqref="C41">
    <cfRule type="cellIs" dxfId="78" priority="4" stopIfTrue="1" operator="lessThan">
      <formula>0</formula>
    </cfRule>
  </conditionalFormatting>
  <conditionalFormatting sqref="C44">
    <cfRule type="cellIs" dxfId="77" priority="3" stopIfTrue="1" operator="lessThan">
      <formula>0</formula>
    </cfRule>
  </conditionalFormatting>
  <conditionalFormatting sqref="C47">
    <cfRule type="cellIs" dxfId="76" priority="8" stopIfTrue="1" operator="lessThan">
      <formula>0</formula>
    </cfRule>
  </conditionalFormatting>
  <conditionalFormatting sqref="C50">
    <cfRule type="cellIs" dxfId="75" priority="2" stopIfTrue="1" operator="lessThan">
      <formula>0</formula>
    </cfRule>
  </conditionalFormatting>
  <conditionalFormatting sqref="C53">
    <cfRule type="cellIs" dxfId="74" priority="1" stopIfTrue="1" operator="lessThan">
      <formula>0</formula>
    </cfRule>
  </conditionalFormatting>
  <conditionalFormatting sqref="C65:C68">
    <cfRule type="cellIs" dxfId="73" priority="10"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61"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0">
    <tabColor theme="4" tint="0.39997558519241921"/>
    <pageSetUpPr fitToPage="1"/>
  </sheetPr>
  <dimension ref="A1:O68"/>
  <sheetViews>
    <sheetView view="pageBreakPreview" topLeftCell="A31" zoomScaleNormal="100" zoomScaleSheetLayoutView="100" workbookViewId="0">
      <selection activeCell="I45" sqref="I45"/>
    </sheetView>
  </sheetViews>
  <sheetFormatPr defaultRowHeight="15"/>
  <cols>
    <col min="1" max="1" width="4.28515625" customWidth="1"/>
    <col min="3" max="3" width="45.140625" customWidth="1"/>
    <col min="4" max="4" width="17.42578125" customWidth="1"/>
    <col min="5" max="5" width="21.42578125" customWidth="1"/>
    <col min="6" max="6" width="14.5703125" customWidth="1"/>
    <col min="7" max="7" width="13.5703125" customWidth="1"/>
    <col min="8" max="8" width="13.7109375" customWidth="1"/>
  </cols>
  <sheetData>
    <row r="1" spans="1:8" s="149" customFormat="1" ht="8.25" customHeight="1"/>
    <row r="2" spans="1:8" s="149" customFormat="1" ht="8.25" customHeight="1"/>
    <row r="3" spans="1:8" s="149" customFormat="1" ht="16.5" customHeight="1">
      <c r="B3" s="57" t="s">
        <v>335</v>
      </c>
      <c r="C3" s="150" t="s">
        <v>1378</v>
      </c>
      <c r="G3" s="272"/>
      <c r="H3" s="272"/>
    </row>
    <row r="4" spans="1:8" s="149" customFormat="1" ht="16.5" customHeight="1">
      <c r="B4" s="60" t="s">
        <v>336</v>
      </c>
      <c r="C4" s="334" t="s">
        <v>1379</v>
      </c>
      <c r="D4" s="273"/>
      <c r="E4" s="152"/>
      <c r="F4" s="152"/>
      <c r="G4" s="272"/>
      <c r="H4" s="272"/>
    </row>
    <row r="5" spans="1:8" s="149" customFormat="1" ht="13.5" customHeight="1" thickBot="1">
      <c r="A5" s="153"/>
      <c r="B5" s="153"/>
      <c r="C5" s="153"/>
      <c r="D5" s="153"/>
      <c r="E5" s="152"/>
      <c r="F5" s="152"/>
      <c r="G5" s="152"/>
      <c r="H5" s="152"/>
    </row>
    <row r="6" spans="1:8" s="154" customFormat="1" ht="43.15" customHeight="1" thickBot="1">
      <c r="A6" s="7"/>
      <c r="B6" s="2651" t="s">
        <v>993</v>
      </c>
      <c r="C6" s="2651"/>
      <c r="D6" s="2651"/>
      <c r="E6" s="8"/>
      <c r="F6" s="274">
        <v>2023</v>
      </c>
      <c r="G6" s="274">
        <v>2024</v>
      </c>
      <c r="H6" s="274">
        <v>2025</v>
      </c>
    </row>
    <row r="7" spans="1:8" s="154" customFormat="1" ht="7.5" customHeight="1">
      <c r="B7" s="155"/>
      <c r="C7" s="156"/>
      <c r="D7" s="157"/>
      <c r="E7" s="157"/>
      <c r="F7" s="157"/>
      <c r="G7" s="157"/>
      <c r="H7" s="157"/>
    </row>
    <row r="8" spans="1:8" s="154" customFormat="1" ht="16.5" customHeight="1">
      <c r="B8" s="9" t="s">
        <v>1293</v>
      </c>
      <c r="C8" s="156"/>
      <c r="D8" s="157"/>
      <c r="E8" s="157"/>
      <c r="F8" s="157"/>
      <c r="G8" s="157"/>
      <c r="H8" s="157"/>
    </row>
    <row r="9" spans="1:8" s="154" customFormat="1" ht="12.75" customHeight="1">
      <c r="B9" s="2712"/>
      <c r="C9" s="2712"/>
      <c r="D9" s="157"/>
      <c r="E9" s="157"/>
      <c r="F9" s="157"/>
      <c r="G9" s="157"/>
      <c r="H9" s="157"/>
    </row>
    <row r="10" spans="1:8" s="154" customFormat="1" ht="16.5" customHeight="1">
      <c r="B10" s="335" t="s">
        <v>1209</v>
      </c>
      <c r="C10" s="156"/>
      <c r="D10" s="157"/>
      <c r="E10" s="336"/>
      <c r="F10" s="1533">
        <v>225075</v>
      </c>
      <c r="G10" s="1533">
        <v>233752</v>
      </c>
      <c r="H10" s="1533">
        <v>285217</v>
      </c>
    </row>
    <row r="11" spans="1:8" s="154" customFormat="1" ht="16.5" customHeight="1">
      <c r="B11" s="335" t="s">
        <v>1210</v>
      </c>
      <c r="C11" s="156"/>
      <c r="D11" s="157"/>
      <c r="E11" s="336"/>
      <c r="F11" s="1533">
        <v>224600</v>
      </c>
      <c r="G11" s="1533">
        <v>231516</v>
      </c>
      <c r="H11" s="1533">
        <v>284700</v>
      </c>
    </row>
    <row r="12" spans="1:8" s="154" customFormat="1" ht="16.5" customHeight="1">
      <c r="B12" s="335" t="s">
        <v>1211</v>
      </c>
      <c r="C12" s="156"/>
      <c r="D12" s="157"/>
      <c r="E12" s="336"/>
      <c r="F12" s="1533">
        <v>475</v>
      </c>
      <c r="G12" s="1533">
        <v>2236</v>
      </c>
      <c r="H12" s="1533">
        <v>517</v>
      </c>
    </row>
    <row r="13" spans="1:8" s="154" customFormat="1" ht="30.75" customHeight="1">
      <c r="B13" s="2713" t="s">
        <v>337</v>
      </c>
      <c r="C13" s="2713"/>
      <c r="D13" s="2713"/>
      <c r="E13" s="337"/>
      <c r="F13" s="1533">
        <v>50100.85576346</v>
      </c>
      <c r="G13" s="1533">
        <v>63267</v>
      </c>
      <c r="H13" s="1533">
        <v>71200</v>
      </c>
    </row>
    <row r="14" spans="1:8" s="154" customFormat="1" ht="16.5" customHeight="1">
      <c r="B14" s="335" t="s">
        <v>1212</v>
      </c>
      <c r="C14" s="156"/>
      <c r="D14" s="157"/>
      <c r="E14" s="338"/>
      <c r="F14" s="1533">
        <v>38019.199999999997</v>
      </c>
      <c r="G14" s="1533">
        <v>37711</v>
      </c>
      <c r="H14" s="1533">
        <v>28800</v>
      </c>
    </row>
    <row r="15" spans="1:8" s="154" customFormat="1" ht="16.5" customHeight="1">
      <c r="B15" s="335" t="s">
        <v>1213</v>
      </c>
      <c r="C15" s="156"/>
      <c r="D15" s="157"/>
      <c r="E15" s="336"/>
      <c r="F15" s="1533">
        <v>-87645</v>
      </c>
      <c r="G15" s="1533">
        <v>-98742</v>
      </c>
      <c r="H15" s="1533">
        <v>-99483</v>
      </c>
    </row>
    <row r="16" spans="1:8" s="154" customFormat="1" ht="16.5" customHeight="1">
      <c r="B16" s="335" t="s">
        <v>1222</v>
      </c>
      <c r="C16" s="156"/>
      <c r="D16" s="157"/>
      <c r="E16" s="339"/>
      <c r="F16" s="1534">
        <v>-6.2</v>
      </c>
      <c r="G16" s="1534">
        <v>-6.4</v>
      </c>
      <c r="H16" s="1534">
        <v>-5.8</v>
      </c>
    </row>
    <row r="17" spans="2:13" s="154" customFormat="1" ht="16.5" customHeight="1">
      <c r="B17" s="340"/>
      <c r="C17" s="156"/>
      <c r="D17" s="157"/>
      <c r="E17" s="157"/>
      <c r="F17" s="157"/>
      <c r="G17" s="157"/>
      <c r="H17" s="157"/>
    </row>
    <row r="18" spans="2:13" s="154" customFormat="1" ht="48" customHeight="1">
      <c r="B18" s="2714" t="s">
        <v>1273</v>
      </c>
      <c r="C18" s="2714"/>
      <c r="D18" s="157"/>
      <c r="E18" s="341"/>
      <c r="F18" s="1535">
        <v>225074.96793169001</v>
      </c>
      <c r="G18" s="1535">
        <v>233752</v>
      </c>
      <c r="H18" s="1535">
        <v>285217</v>
      </c>
    </row>
    <row r="19" spans="2:13" s="154" customFormat="1" ht="16.5" customHeight="1">
      <c r="B19" s="335"/>
      <c r="C19" s="156"/>
      <c r="D19" s="157"/>
      <c r="E19" s="342"/>
      <c r="F19" s="342"/>
      <c r="G19" s="342"/>
      <c r="H19" s="342"/>
    </row>
    <row r="20" spans="2:13" s="154" customFormat="1" ht="16.5" customHeight="1">
      <c r="B20" s="335" t="s">
        <v>1223</v>
      </c>
      <c r="C20" s="156"/>
      <c r="D20" s="157"/>
      <c r="E20" s="343"/>
      <c r="F20" s="1527">
        <v>112511.15106439001</v>
      </c>
      <c r="G20" s="1527">
        <v>130116</v>
      </c>
      <c r="H20" s="1527">
        <v>147206</v>
      </c>
    </row>
    <row r="21" spans="2:13" s="154" customFormat="1" ht="16.5" customHeight="1">
      <c r="B21" s="335"/>
      <c r="C21" s="9" t="s">
        <v>1214</v>
      </c>
      <c r="D21" s="157"/>
      <c r="E21" s="342"/>
      <c r="F21" s="1528">
        <v>38953.123958889999</v>
      </c>
      <c r="G21" s="1528">
        <v>27051</v>
      </c>
      <c r="H21" s="1528">
        <v>30640</v>
      </c>
    </row>
    <row r="22" spans="2:13" s="154" customFormat="1" ht="16.5" customHeight="1">
      <c r="B22" s="335"/>
      <c r="C22" s="9" t="s">
        <v>1215</v>
      </c>
      <c r="D22" s="157"/>
      <c r="E22" s="342"/>
      <c r="F22" s="1528">
        <v>50065.452924010002</v>
      </c>
      <c r="G22" s="1528">
        <v>79829</v>
      </c>
      <c r="H22" s="1528">
        <v>84760</v>
      </c>
    </row>
    <row r="23" spans="2:13" s="154" customFormat="1" ht="16.5" customHeight="1">
      <c r="B23" s="335"/>
      <c r="C23" s="9" t="s">
        <v>1216</v>
      </c>
      <c r="D23" s="157"/>
      <c r="E23" s="342"/>
      <c r="F23" s="1528">
        <v>12771.538290660001</v>
      </c>
      <c r="G23" s="1528">
        <v>11570</v>
      </c>
      <c r="H23" s="1528">
        <v>19302</v>
      </c>
    </row>
    <row r="24" spans="2:13" s="154" customFormat="1" ht="16.5" customHeight="1">
      <c r="B24" s="335"/>
      <c r="C24" s="9" t="s">
        <v>1217</v>
      </c>
      <c r="D24" s="157"/>
      <c r="E24" s="342"/>
      <c r="F24" s="1528">
        <v>58.64587281</v>
      </c>
      <c r="G24" s="1528">
        <v>142</v>
      </c>
      <c r="H24" s="1528">
        <v>94</v>
      </c>
      <c r="J24" s="344"/>
    </row>
    <row r="25" spans="2:13" s="154" customFormat="1" ht="16.5" customHeight="1">
      <c r="B25" s="335"/>
      <c r="C25" s="9" t="s">
        <v>1218</v>
      </c>
      <c r="D25" s="157"/>
      <c r="E25" s="342"/>
      <c r="F25" s="1528">
        <v>2992.9348780500004</v>
      </c>
      <c r="G25" s="1528">
        <v>3035</v>
      </c>
      <c r="H25" s="1528">
        <v>3460</v>
      </c>
      <c r="K25" s="345"/>
      <c r="L25" s="345"/>
      <c r="M25" s="345"/>
    </row>
    <row r="26" spans="2:13" s="154" customFormat="1" ht="16.5" customHeight="1">
      <c r="B26" s="335"/>
      <c r="C26" s="9" t="s">
        <v>1105</v>
      </c>
      <c r="D26" s="157"/>
      <c r="E26" s="342"/>
      <c r="F26" s="1528">
        <v>7669.4551399700003</v>
      </c>
      <c r="G26" s="1528">
        <v>8489</v>
      </c>
      <c r="H26" s="1528">
        <v>8950</v>
      </c>
    </row>
    <row r="27" spans="2:13" s="154" customFormat="1" ht="16.5" customHeight="1">
      <c r="B27" s="335"/>
      <c r="C27" s="156"/>
      <c r="D27" s="157"/>
      <c r="E27" s="342"/>
      <c r="F27" s="1528"/>
      <c r="G27" s="1528"/>
      <c r="H27" s="1528"/>
    </row>
    <row r="28" spans="2:13" s="154" customFormat="1" ht="16.5" customHeight="1">
      <c r="B28" s="335" t="s">
        <v>338</v>
      </c>
      <c r="C28" s="156"/>
      <c r="D28" s="157"/>
      <c r="E28" s="343"/>
      <c r="F28" s="1527">
        <v>41886.816867300004</v>
      </c>
      <c r="G28" s="1527">
        <v>43588</v>
      </c>
      <c r="H28" s="1527">
        <v>51021</v>
      </c>
      <c r="K28" s="345"/>
      <c r="L28" s="345"/>
      <c r="M28" s="345"/>
    </row>
    <row r="29" spans="2:13" s="154" customFormat="1" ht="16.5" customHeight="1">
      <c r="B29" s="335"/>
      <c r="C29" s="346" t="s">
        <v>339</v>
      </c>
      <c r="D29" s="157"/>
      <c r="E29" s="342"/>
      <c r="F29" s="1528">
        <v>26773</v>
      </c>
      <c r="G29" s="1528">
        <v>25616</v>
      </c>
      <c r="H29" s="1528">
        <v>29710</v>
      </c>
    </row>
    <row r="30" spans="2:13" s="154" customFormat="1" ht="16.5" customHeight="1">
      <c r="B30" s="335"/>
      <c r="C30" s="9" t="s">
        <v>1219</v>
      </c>
      <c r="D30" s="157"/>
      <c r="E30" s="342"/>
      <c r="F30" s="1528">
        <v>9855</v>
      </c>
      <c r="G30" s="1528">
        <v>10241</v>
      </c>
      <c r="H30" s="1528">
        <v>10720</v>
      </c>
    </row>
    <row r="31" spans="2:13" s="154" customFormat="1" ht="16.5" customHeight="1">
      <c r="B31" s="335"/>
      <c r="C31" s="9" t="s">
        <v>1220</v>
      </c>
      <c r="D31" s="157"/>
      <c r="E31" s="342"/>
      <c r="F31" s="1528">
        <v>2346</v>
      </c>
      <c r="G31" s="1528">
        <v>2645</v>
      </c>
      <c r="H31" s="1528">
        <v>3020</v>
      </c>
    </row>
    <row r="32" spans="2:13" s="154" customFormat="1" ht="16.5" customHeight="1">
      <c r="B32" s="335"/>
      <c r="C32" s="9" t="s">
        <v>1221</v>
      </c>
      <c r="D32" s="157"/>
      <c r="E32" s="342"/>
      <c r="F32" s="1528">
        <v>746</v>
      </c>
      <c r="G32" s="1528">
        <v>2057</v>
      </c>
      <c r="H32" s="1528">
        <v>2200</v>
      </c>
    </row>
    <row r="33" spans="2:15" s="154" customFormat="1" ht="16.5" customHeight="1">
      <c r="B33" s="335"/>
      <c r="C33" s="9" t="s">
        <v>1105</v>
      </c>
      <c r="D33" s="157"/>
      <c r="E33" s="342"/>
      <c r="F33" s="1528">
        <v>2166.8168673000037</v>
      </c>
      <c r="G33" s="1528">
        <v>3029</v>
      </c>
      <c r="H33" s="1528">
        <v>5371</v>
      </c>
      <c r="I33" s="347"/>
    </row>
    <row r="34" spans="2:15" s="154" customFormat="1" ht="16.5" customHeight="1">
      <c r="B34" s="335"/>
      <c r="C34" s="156"/>
      <c r="D34" s="157"/>
      <c r="E34" s="342"/>
      <c r="F34" s="1528"/>
      <c r="G34" s="1528"/>
      <c r="H34" s="1528"/>
    </row>
    <row r="35" spans="2:15" s="154" customFormat="1" ht="16.5" customHeight="1">
      <c r="B35" s="335" t="s">
        <v>340</v>
      </c>
      <c r="C35" s="156"/>
      <c r="D35" s="157"/>
      <c r="E35" s="343"/>
      <c r="F35" s="1527">
        <v>70677</v>
      </c>
      <c r="G35" s="1527">
        <v>60048</v>
      </c>
      <c r="H35" s="1527">
        <v>86990</v>
      </c>
    </row>
    <row r="36" spans="2:15" s="154" customFormat="1" ht="16.5" customHeight="1">
      <c r="B36" s="335"/>
      <c r="C36" s="9" t="s">
        <v>1224</v>
      </c>
      <c r="D36" s="157"/>
      <c r="E36" s="342"/>
      <c r="F36" s="1528">
        <v>10931</v>
      </c>
      <c r="G36" s="1528">
        <v>10578</v>
      </c>
      <c r="H36" s="1528">
        <v>13331</v>
      </c>
      <c r="M36" s="345"/>
      <c r="N36" s="345"/>
      <c r="O36" s="345"/>
    </row>
    <row r="37" spans="2:15" s="154" customFormat="1" ht="16.5" customHeight="1">
      <c r="B37" s="335"/>
      <c r="C37" s="9" t="s">
        <v>1225</v>
      </c>
      <c r="D37" s="157"/>
      <c r="E37" s="342"/>
      <c r="F37" s="1528">
        <v>46067</v>
      </c>
      <c r="G37" s="1528">
        <v>35018</v>
      </c>
      <c r="H37" s="1528">
        <v>63442</v>
      </c>
      <c r="M37" s="345"/>
      <c r="N37" s="345"/>
      <c r="O37" s="345"/>
    </row>
    <row r="38" spans="2:15" s="154" customFormat="1" ht="16.5" customHeight="1">
      <c r="B38" s="335"/>
      <c r="C38" s="9" t="s">
        <v>1105</v>
      </c>
      <c r="D38" s="157"/>
      <c r="E38" s="342"/>
      <c r="F38" s="1528">
        <v>13679</v>
      </c>
      <c r="G38" s="1528">
        <v>14452</v>
      </c>
      <c r="H38" s="1528">
        <v>10217</v>
      </c>
      <c r="M38" s="345"/>
      <c r="N38" s="345"/>
      <c r="O38" s="345"/>
    </row>
    <row r="39" spans="2:15" s="154" customFormat="1" ht="16.5" customHeight="1">
      <c r="B39" s="340"/>
      <c r="C39" s="156"/>
      <c r="D39" s="157"/>
      <c r="E39" s="348"/>
      <c r="F39" s="13"/>
      <c r="G39" s="13"/>
      <c r="H39" s="13"/>
      <c r="I39" s="347"/>
    </row>
    <row r="40" spans="2:15" s="158" customFormat="1" ht="28.5" customHeight="1">
      <c r="B40" s="2712" t="s">
        <v>1274</v>
      </c>
      <c r="C40" s="2712"/>
      <c r="D40" s="165"/>
      <c r="E40" s="349"/>
      <c r="F40" s="12"/>
      <c r="G40" s="13"/>
      <c r="H40" s="13"/>
    </row>
    <row r="41" spans="2:15" s="158" customFormat="1" ht="15.2" customHeight="1">
      <c r="B41" s="350" t="s">
        <v>341</v>
      </c>
      <c r="D41" s="165"/>
      <c r="E41" s="168"/>
      <c r="F41" s="168">
        <v>523663</v>
      </c>
      <c r="G41" s="13">
        <v>578302</v>
      </c>
      <c r="H41" s="13" t="s">
        <v>205</v>
      </c>
      <c r="I41" s="178"/>
      <c r="J41" s="178"/>
      <c r="K41" s="178"/>
      <c r="L41" s="178"/>
      <c r="M41" s="178"/>
    </row>
    <row r="42" spans="2:15" s="158" customFormat="1" ht="15.2" customHeight="1">
      <c r="B42" s="169" t="s">
        <v>342</v>
      </c>
      <c r="C42" s="167"/>
      <c r="D42" s="165"/>
      <c r="E42" s="168"/>
      <c r="F42" s="168">
        <v>2037481</v>
      </c>
      <c r="G42" s="13">
        <v>2165807</v>
      </c>
      <c r="H42" s="13" t="s">
        <v>205</v>
      </c>
      <c r="I42" s="178"/>
      <c r="J42" s="178"/>
      <c r="K42" s="178"/>
      <c r="L42" s="178"/>
      <c r="M42" s="178"/>
    </row>
    <row r="43" spans="2:15" s="158" customFormat="1" ht="15.2" customHeight="1">
      <c r="B43" s="169" t="s">
        <v>343</v>
      </c>
      <c r="C43" s="167"/>
      <c r="D43" s="165"/>
      <c r="E43" s="168"/>
      <c r="F43" s="168">
        <v>2040994</v>
      </c>
      <c r="G43" s="13">
        <v>2171799</v>
      </c>
      <c r="H43" s="13" t="s">
        <v>205</v>
      </c>
      <c r="I43" s="178"/>
      <c r="J43" s="178"/>
      <c r="K43" s="178"/>
      <c r="L43" s="178"/>
      <c r="M43" s="178"/>
    </row>
    <row r="44" spans="2:15" s="158" customFormat="1" ht="15.2" customHeight="1">
      <c r="B44" s="169"/>
      <c r="C44" s="167"/>
      <c r="D44" s="165"/>
      <c r="E44" s="165"/>
      <c r="F44" s="165"/>
      <c r="G44" s="311"/>
      <c r="H44" s="311"/>
    </row>
    <row r="45" spans="2:15" s="158" customFormat="1" ht="28.5" customHeight="1">
      <c r="B45" s="2712" t="s">
        <v>344</v>
      </c>
      <c r="C45" s="2712"/>
      <c r="D45" s="165"/>
      <c r="E45" s="349"/>
      <c r="F45" s="18">
        <v>1.75</v>
      </c>
      <c r="G45" s="18">
        <v>1.75</v>
      </c>
      <c r="H45" s="18">
        <v>2.75</v>
      </c>
    </row>
    <row r="46" spans="2:15" s="158" customFormat="1" ht="16.5" customHeight="1">
      <c r="B46" s="351"/>
      <c r="C46" s="351"/>
      <c r="D46" s="165"/>
      <c r="E46" s="349"/>
      <c r="F46" s="18"/>
      <c r="G46" s="18"/>
      <c r="H46" s="18"/>
    </row>
    <row r="47" spans="2:15" s="158" customFormat="1" ht="34.5" customHeight="1">
      <c r="B47" s="2712" t="s">
        <v>345</v>
      </c>
      <c r="C47" s="2712"/>
      <c r="D47" s="165"/>
      <c r="E47" s="165"/>
      <c r="F47" s="165"/>
      <c r="G47" s="1532"/>
      <c r="H47" s="1532"/>
    </row>
    <row r="48" spans="2:15" s="158" customFormat="1" ht="29.25" customHeight="1">
      <c r="B48" s="2715" t="s">
        <v>346</v>
      </c>
      <c r="C48" s="2715"/>
      <c r="D48" s="2715"/>
      <c r="E48" s="349"/>
      <c r="F48" s="18">
        <v>0.61</v>
      </c>
      <c r="G48" s="18">
        <v>0.54</v>
      </c>
      <c r="H48" s="1532" t="s">
        <v>205</v>
      </c>
    </row>
    <row r="49" spans="1:13" s="158" customFormat="1" ht="29.25" customHeight="1">
      <c r="B49" s="2715" t="s">
        <v>347</v>
      </c>
      <c r="C49" s="2715"/>
      <c r="D49" s="165"/>
      <c r="E49" s="349"/>
      <c r="F49" s="18">
        <v>2.13</v>
      </c>
      <c r="G49" s="18">
        <v>1.72</v>
      </c>
      <c r="H49" s="1532" t="s">
        <v>205</v>
      </c>
    </row>
    <row r="50" spans="1:13" s="158" customFormat="1" ht="38.25" customHeight="1">
      <c r="B50" s="2715" t="s">
        <v>348</v>
      </c>
      <c r="C50" s="2715"/>
      <c r="D50" s="2715"/>
      <c r="E50" s="349"/>
      <c r="F50" s="18">
        <v>3.94</v>
      </c>
      <c r="G50" s="18">
        <v>3.44</v>
      </c>
      <c r="H50" s="1532" t="s">
        <v>205</v>
      </c>
    </row>
    <row r="51" spans="1:13" s="158" customFormat="1" ht="15.2" customHeight="1">
      <c r="B51" s="76"/>
      <c r="D51" s="352"/>
      <c r="E51" s="321"/>
      <c r="F51" s="1529"/>
      <c r="G51" s="1529"/>
      <c r="H51" s="1529"/>
    </row>
    <row r="52" spans="1:13" s="158" customFormat="1" ht="15.2" customHeight="1">
      <c r="B52" s="2716" t="s">
        <v>349</v>
      </c>
      <c r="C52" s="2716"/>
      <c r="D52" s="2716"/>
      <c r="E52" s="323"/>
      <c r="F52" s="1530"/>
      <c r="G52" s="1530"/>
      <c r="H52" s="1530"/>
    </row>
    <row r="53" spans="1:13" s="158" customFormat="1" ht="16.5" customHeight="1">
      <c r="B53" s="2711" t="s">
        <v>350</v>
      </c>
      <c r="C53" s="2711"/>
      <c r="D53" s="2711"/>
      <c r="E53" s="353"/>
      <c r="F53" s="1536">
        <v>1627.2</v>
      </c>
      <c r="G53" s="1537">
        <v>1567.5</v>
      </c>
      <c r="H53" s="1537">
        <v>1495.49</v>
      </c>
      <c r="I53" s="184"/>
      <c r="J53" s="184"/>
      <c r="K53" s="184"/>
      <c r="L53" s="184"/>
      <c r="M53" s="184"/>
    </row>
    <row r="54" spans="1:13" s="158" customFormat="1" ht="15.2" customHeight="1">
      <c r="B54" s="2718" t="s">
        <v>1306</v>
      </c>
      <c r="C54" s="2719"/>
      <c r="D54" s="2719"/>
      <c r="E54" s="353"/>
      <c r="F54" s="1536">
        <v>1817.29</v>
      </c>
      <c r="G54" s="1538">
        <v>1789.2</v>
      </c>
      <c r="H54" s="1538">
        <v>1736.21</v>
      </c>
    </row>
    <row r="55" spans="1:13" s="158" customFormat="1" ht="15.2" customHeight="1">
      <c r="B55" s="2719" t="s">
        <v>1307</v>
      </c>
      <c r="C55" s="2719"/>
      <c r="D55" s="2719"/>
      <c r="E55" s="353"/>
      <c r="F55" s="1536">
        <v>1068.0096299999998</v>
      </c>
      <c r="G55" s="1538">
        <v>897.04391999999996</v>
      </c>
      <c r="H55" s="1538">
        <v>530.85597999999993</v>
      </c>
    </row>
    <row r="56" spans="1:13" s="158" customFormat="1" ht="15.2" customHeight="1">
      <c r="B56" s="2719" t="s">
        <v>351</v>
      </c>
      <c r="C56" s="2719"/>
      <c r="D56" s="2719"/>
      <c r="E56" s="353"/>
      <c r="F56" s="1536">
        <v>1855.79468</v>
      </c>
      <c r="G56" s="1538">
        <v>1433.3585500000002</v>
      </c>
      <c r="H56" s="1538">
        <v>729.2958000000001</v>
      </c>
    </row>
    <row r="57" spans="1:13" s="176" customFormat="1" ht="8.25" customHeight="1">
      <c r="B57" s="161"/>
      <c r="C57" s="177"/>
      <c r="D57" s="184"/>
      <c r="E57" s="184"/>
      <c r="F57" s="165"/>
      <c r="G57" s="165"/>
      <c r="H57" s="165"/>
    </row>
    <row r="58" spans="1:13" s="176" customFormat="1" ht="8.25" customHeight="1" thickBot="1">
      <c r="A58" s="291"/>
      <c r="B58" s="291"/>
      <c r="C58" s="291"/>
      <c r="D58" s="291"/>
      <c r="E58" s="291"/>
      <c r="F58" s="291"/>
      <c r="G58" s="291"/>
      <c r="H58" s="291"/>
    </row>
    <row r="59" spans="1:13" s="82" customFormat="1" ht="14.25" customHeight="1" thickTop="1">
      <c r="D59" s="2720" t="s">
        <v>352</v>
      </c>
      <c r="E59" s="2720"/>
      <c r="F59" s="2720"/>
      <c r="G59" s="2720"/>
      <c r="H59" s="2720"/>
    </row>
    <row r="60" spans="1:13" s="82" customFormat="1" ht="14.25" customHeight="1">
      <c r="D60" s="2721" t="s">
        <v>353</v>
      </c>
      <c r="E60" s="2721"/>
      <c r="F60" s="2721"/>
      <c r="G60" s="2721"/>
      <c r="H60" s="2721"/>
    </row>
    <row r="61" spans="1:13" s="82" customFormat="1" ht="14.25" customHeight="1">
      <c r="D61" s="354"/>
      <c r="E61" s="354"/>
      <c r="F61" s="354"/>
      <c r="G61" s="354"/>
      <c r="H61" s="354" t="s">
        <v>354</v>
      </c>
    </row>
    <row r="62" spans="1:13" s="82" customFormat="1" ht="15.2" customHeight="1">
      <c r="B62" s="83"/>
      <c r="D62" s="2717" t="s">
        <v>355</v>
      </c>
      <c r="E62" s="2717"/>
      <c r="F62" s="2717"/>
      <c r="G62" s="2717"/>
      <c r="H62" s="2717"/>
    </row>
    <row r="63" spans="1:13" s="82" customFormat="1" ht="15.2" customHeight="1">
      <c r="B63" s="83"/>
      <c r="D63" s="355"/>
      <c r="E63" s="355"/>
      <c r="F63" s="355"/>
      <c r="G63" s="355"/>
      <c r="H63" s="355" t="s">
        <v>356</v>
      </c>
    </row>
    <row r="64" spans="1:13" s="82" customFormat="1" ht="15.75" customHeight="1">
      <c r="B64" s="21"/>
      <c r="D64" s="2717" t="s">
        <v>354</v>
      </c>
      <c r="E64" s="2717"/>
      <c r="F64" s="2717"/>
      <c r="G64" s="2717"/>
      <c r="H64" s="2717"/>
    </row>
    <row r="65" spans="2:8" s="356" customFormat="1" ht="14.25">
      <c r="B65" s="356" t="s">
        <v>234</v>
      </c>
      <c r="E65" s="333"/>
      <c r="F65" s="333"/>
      <c r="G65" s="333"/>
      <c r="H65" s="333"/>
    </row>
    <row r="66" spans="2:8" s="356" customFormat="1" ht="14.25">
      <c r="B66" s="22" t="s">
        <v>1380</v>
      </c>
      <c r="E66" s="333"/>
      <c r="F66" s="333"/>
      <c r="G66" s="333"/>
      <c r="H66" s="333"/>
    </row>
    <row r="67" spans="2:8" s="356" customFormat="1" ht="14.25">
      <c r="B67" s="333" t="s">
        <v>1381</v>
      </c>
      <c r="E67" s="333"/>
      <c r="F67" s="333"/>
      <c r="G67" s="333"/>
      <c r="H67" s="333"/>
    </row>
    <row r="68" spans="2:8" s="149" customFormat="1" ht="16.5">
      <c r="B68" s="333"/>
      <c r="E68"/>
      <c r="F68"/>
      <c r="G68" s="357"/>
    </row>
  </sheetData>
  <mergeCells count="19">
    <mergeCell ref="D64:H64"/>
    <mergeCell ref="B54:D54"/>
    <mergeCell ref="B55:D55"/>
    <mergeCell ref="B56:D56"/>
    <mergeCell ref="D59:H59"/>
    <mergeCell ref="D60:H60"/>
    <mergeCell ref="D62:H62"/>
    <mergeCell ref="B53:D53"/>
    <mergeCell ref="B6:D6"/>
    <mergeCell ref="B9:C9"/>
    <mergeCell ref="B13:D13"/>
    <mergeCell ref="B18:C18"/>
    <mergeCell ref="B40:C40"/>
    <mergeCell ref="B45:C45"/>
    <mergeCell ref="B47:C47"/>
    <mergeCell ref="B48:D48"/>
    <mergeCell ref="B49:C49"/>
    <mergeCell ref="B50:D50"/>
    <mergeCell ref="B52:D52"/>
  </mergeCells>
  <conditionalFormatting sqref="C42:C44">
    <cfRule type="cellIs" dxfId="72" priority="2" stopIfTrue="1" operator="lessThan">
      <formula>0</formula>
    </cfRule>
  </conditionalFormatting>
  <conditionalFormatting sqref="C52:C57">
    <cfRule type="cellIs" dxfId="71" priority="1" stopIfTrue="1" operator="lessThan">
      <formula>0</formula>
    </cfRule>
  </conditionalFormatting>
  <pageMargins left="0.55118110236220474" right="0.55118110236220474" top="0.55118110236220474" bottom="0.55118110236220474" header="0.31496062992125984" footer="0.31496062992125984"/>
  <pageSetup paperSize="9" scale="65"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1">
    <pageSetUpPr fitToPage="1"/>
  </sheetPr>
  <dimension ref="A1:L74"/>
  <sheetViews>
    <sheetView view="pageBreakPreview" zoomScaleNormal="100" zoomScaleSheetLayoutView="100" workbookViewId="0">
      <selection activeCell="M63" sqref="M63"/>
    </sheetView>
  </sheetViews>
  <sheetFormatPr defaultRowHeight="15"/>
  <cols>
    <col min="1" max="1" width="4.28515625" customWidth="1"/>
    <col min="2" max="2" width="8.85546875" customWidth="1"/>
    <col min="3" max="3" width="39" customWidth="1"/>
    <col min="5" max="5" width="20.42578125" customWidth="1"/>
    <col min="6" max="6" width="14.28515625" customWidth="1"/>
    <col min="7" max="7" width="14.7109375" customWidth="1"/>
    <col min="8" max="8" width="13.85546875" customWidth="1"/>
  </cols>
  <sheetData>
    <row r="1" spans="1:12" s="154" customFormat="1" ht="8.25" customHeight="1"/>
    <row r="2" spans="1:12" s="154" customFormat="1" ht="8.25" customHeight="1"/>
    <row r="3" spans="1:12" s="149" customFormat="1" ht="16.5" customHeight="1">
      <c r="B3" s="57" t="s">
        <v>357</v>
      </c>
      <c r="C3" s="150" t="s">
        <v>1382</v>
      </c>
      <c r="G3" s="272"/>
    </row>
    <row r="4" spans="1:12" s="149" customFormat="1" ht="16.5" customHeight="1">
      <c r="B4" s="60" t="s">
        <v>358</v>
      </c>
      <c r="C4" s="151" t="s">
        <v>1383</v>
      </c>
      <c r="D4" s="273"/>
      <c r="E4" s="273"/>
      <c r="F4" s="273"/>
      <c r="G4" s="272"/>
    </row>
    <row r="5" spans="1:12" s="154" customFormat="1" ht="13.35" customHeight="1" thickBot="1">
      <c r="A5" s="153"/>
      <c r="B5" s="153"/>
      <c r="C5" s="153"/>
      <c r="D5" s="153"/>
      <c r="E5" s="153"/>
      <c r="F5" s="152"/>
      <c r="G5" s="152"/>
    </row>
    <row r="6" spans="1:12" s="154" customFormat="1" ht="42.95" customHeight="1" thickBot="1">
      <c r="A6" s="7"/>
      <c r="B6" s="2651" t="s">
        <v>994</v>
      </c>
      <c r="C6" s="2660"/>
      <c r="D6" s="7"/>
      <c r="E6" s="1454"/>
      <c r="F6" s="8">
        <v>2023</v>
      </c>
      <c r="G6" s="8">
        <v>2024</v>
      </c>
      <c r="H6" s="8">
        <v>2025</v>
      </c>
    </row>
    <row r="7" spans="1:12" s="154" customFormat="1" ht="15.2" customHeight="1">
      <c r="B7" s="155"/>
      <c r="C7" s="156"/>
      <c r="D7" s="157"/>
      <c r="E7" s="157"/>
      <c r="F7" s="157"/>
      <c r="G7" s="157"/>
    </row>
    <row r="8" spans="1:12" s="158" customFormat="1" ht="15.2" customHeight="1">
      <c r="B8" s="76" t="s">
        <v>359</v>
      </c>
    </row>
    <row r="9" spans="1:12" s="158" customFormat="1" ht="15.2" customHeight="1">
      <c r="B9" s="74" t="s">
        <v>360</v>
      </c>
      <c r="F9" s="358"/>
      <c r="G9" s="358"/>
      <c r="H9" s="358"/>
      <c r="L9" s="160"/>
    </row>
    <row r="10" spans="1:12" s="158" customFormat="1" ht="15.2" customHeight="1">
      <c r="F10" s="359"/>
      <c r="G10" s="359"/>
      <c r="H10" s="358"/>
    </row>
    <row r="11" spans="1:12" s="158" customFormat="1" ht="15.2" customHeight="1">
      <c r="B11" s="350" t="s">
        <v>1275</v>
      </c>
      <c r="F11" s="1539">
        <v>240029.5</v>
      </c>
      <c r="G11" s="1539">
        <v>199667.6</v>
      </c>
      <c r="H11" s="1539">
        <v>197884.2</v>
      </c>
      <c r="I11" s="360"/>
    </row>
    <row r="12" spans="1:12" s="158" customFormat="1" ht="15.2" customHeight="1">
      <c r="B12" s="361" t="s">
        <v>1294</v>
      </c>
      <c r="F12" s="1539"/>
      <c r="G12" s="1539"/>
      <c r="H12" s="1540"/>
      <c r="I12" s="360"/>
    </row>
    <row r="13" spans="1:12" s="158" customFormat="1" ht="7.5" customHeight="1">
      <c r="B13" s="361"/>
      <c r="F13" s="1539"/>
      <c r="G13" s="1539"/>
      <c r="H13" s="1540"/>
      <c r="I13" s="360"/>
    </row>
    <row r="14" spans="1:12" s="158" customFormat="1" ht="15.2" customHeight="1">
      <c r="B14" s="350" t="s">
        <v>1276</v>
      </c>
      <c r="F14" s="1539">
        <v>102272.3</v>
      </c>
      <c r="G14" s="1539">
        <v>28442.6</v>
      </c>
      <c r="H14" s="1539">
        <v>13128.8</v>
      </c>
      <c r="I14" s="360"/>
    </row>
    <row r="15" spans="1:12" s="158" customFormat="1" ht="15.2" customHeight="1">
      <c r="B15" s="361" t="s">
        <v>1295</v>
      </c>
      <c r="F15" s="1539"/>
      <c r="G15" s="1539"/>
      <c r="H15" s="1540"/>
      <c r="I15" s="360"/>
    </row>
    <row r="16" spans="1:12" s="158" customFormat="1" ht="7.5" customHeight="1">
      <c r="B16" s="361"/>
      <c r="F16" s="1539"/>
      <c r="G16" s="1539"/>
      <c r="H16" s="1540"/>
      <c r="I16" s="360"/>
    </row>
    <row r="17" spans="2:12" s="158" customFormat="1" ht="15.2" customHeight="1">
      <c r="B17" s="350" t="s">
        <v>1277</v>
      </c>
      <c r="F17" s="1539">
        <v>89421</v>
      </c>
      <c r="G17" s="1539">
        <v>13693.7</v>
      </c>
      <c r="H17" s="1539">
        <v>469.4</v>
      </c>
      <c r="I17" s="360"/>
    </row>
    <row r="18" spans="2:12" s="158" customFormat="1" ht="15.2" customHeight="1">
      <c r="B18" s="361" t="s">
        <v>1296</v>
      </c>
      <c r="F18" s="1539"/>
      <c r="G18" s="1539"/>
      <c r="H18" s="1539"/>
      <c r="I18" s="360"/>
    </row>
    <row r="19" spans="2:12" s="158" customFormat="1" ht="7.5" customHeight="1">
      <c r="B19" s="361"/>
      <c r="F19" s="1539"/>
      <c r="G19" s="1539"/>
      <c r="H19" s="1539"/>
      <c r="I19" s="360"/>
    </row>
    <row r="20" spans="2:12" s="158" customFormat="1" ht="15.2" customHeight="1">
      <c r="B20" s="350" t="s">
        <v>1278</v>
      </c>
      <c r="F20" s="1539">
        <v>92638.2</v>
      </c>
      <c r="G20" s="1539">
        <v>38634.6</v>
      </c>
      <c r="H20" s="1539">
        <v>17451</v>
      </c>
      <c r="I20" s="360"/>
    </row>
    <row r="21" spans="2:12" s="158" customFormat="1" ht="15.2" customHeight="1">
      <c r="B21" s="361" t="s">
        <v>1297</v>
      </c>
      <c r="F21" s="1539"/>
      <c r="G21" s="1539"/>
      <c r="H21" s="1539"/>
      <c r="I21" s="360"/>
    </row>
    <row r="22" spans="2:12" s="158" customFormat="1" ht="7.5" customHeight="1">
      <c r="B22" s="361"/>
      <c r="F22" s="1539"/>
      <c r="G22" s="1539"/>
      <c r="H22" s="1539"/>
      <c r="I22" s="360"/>
    </row>
    <row r="23" spans="2:12" s="158" customFormat="1" ht="15.2" customHeight="1">
      <c r="B23" s="350" t="s">
        <v>1279</v>
      </c>
      <c r="F23" s="1539">
        <v>44800.1</v>
      </c>
      <c r="G23" s="1539">
        <v>17219.2</v>
      </c>
      <c r="H23" s="1539">
        <v>10281.200000000001</v>
      </c>
      <c r="I23" s="360"/>
    </row>
    <row r="24" spans="2:12" s="158" customFormat="1" ht="15.2" customHeight="1">
      <c r="B24" s="361" t="s">
        <v>1298</v>
      </c>
      <c r="F24" s="1539"/>
      <c r="G24" s="1539"/>
      <c r="H24" s="1539"/>
      <c r="I24" s="360"/>
    </row>
    <row r="25" spans="2:12" s="158" customFormat="1" ht="7.5" customHeight="1">
      <c r="B25" s="361"/>
      <c r="F25" s="1539"/>
      <c r="G25" s="1539"/>
      <c r="H25" s="1539"/>
      <c r="I25" s="360"/>
    </row>
    <row r="26" spans="2:12" s="158" customFormat="1" ht="15.2" customHeight="1">
      <c r="B26" s="350" t="s">
        <v>361</v>
      </c>
      <c r="F26" s="1539">
        <v>3561.8</v>
      </c>
      <c r="G26" s="1539">
        <v>3457.5</v>
      </c>
      <c r="H26" s="1539">
        <v>3520.2</v>
      </c>
      <c r="I26" s="360"/>
    </row>
    <row r="27" spans="2:12" s="158" customFormat="1" ht="15.2" customHeight="1">
      <c r="B27" s="361" t="s">
        <v>362</v>
      </c>
      <c r="I27" s="360"/>
    </row>
    <row r="28" spans="2:12" s="158" customFormat="1" ht="15.2" customHeight="1">
      <c r="B28" s="350"/>
      <c r="I28" s="360"/>
    </row>
    <row r="29" spans="2:12" s="158" customFormat="1" ht="15.2" customHeight="1">
      <c r="B29" s="76" t="s">
        <v>363</v>
      </c>
    </row>
    <row r="30" spans="2:12" s="158" customFormat="1" ht="15.2" customHeight="1">
      <c r="B30" s="74" t="s">
        <v>364</v>
      </c>
      <c r="F30" s="359"/>
      <c r="G30" s="359"/>
      <c r="H30" s="358"/>
      <c r="L30" s="160"/>
    </row>
    <row r="31" spans="2:12" s="158" customFormat="1" ht="15.2" customHeight="1">
      <c r="F31" s="359"/>
      <c r="G31" s="359"/>
      <c r="H31" s="358"/>
    </row>
    <row r="32" spans="2:12" s="158" customFormat="1" ht="15.2" customHeight="1">
      <c r="B32" s="350" t="s">
        <v>365</v>
      </c>
      <c r="F32" s="1541">
        <v>8.9</v>
      </c>
      <c r="G32" s="1541">
        <v>-16.8</v>
      </c>
      <c r="H32" s="1541">
        <v>-0.9</v>
      </c>
      <c r="I32" s="360"/>
    </row>
    <row r="33" spans="2:9" s="158" customFormat="1" ht="15.2" customHeight="1">
      <c r="B33" s="361" t="s">
        <v>366</v>
      </c>
      <c r="F33" s="1541"/>
      <c r="G33" s="1541"/>
      <c r="H33" s="1542"/>
      <c r="I33" s="360"/>
    </row>
    <row r="34" spans="2:9" s="158" customFormat="1" ht="7.5" customHeight="1">
      <c r="B34" s="361"/>
      <c r="F34" s="1541"/>
      <c r="G34" s="1541"/>
      <c r="H34" s="1542"/>
      <c r="I34" s="360"/>
    </row>
    <row r="35" spans="2:9" s="158" customFormat="1" ht="15.2" customHeight="1">
      <c r="B35" s="350" t="s">
        <v>367</v>
      </c>
      <c r="F35" s="1541">
        <v>8.1</v>
      </c>
      <c r="G35" s="1541">
        <v>-72.2</v>
      </c>
      <c r="H35" s="1541">
        <v>-53.8</v>
      </c>
      <c r="I35" s="360"/>
    </row>
    <row r="36" spans="2:9" s="158" customFormat="1" ht="15.2" customHeight="1">
      <c r="B36" s="361" t="s">
        <v>368</v>
      </c>
      <c r="F36" s="1541"/>
      <c r="G36" s="1541"/>
      <c r="H36" s="1542"/>
      <c r="I36" s="360"/>
    </row>
    <row r="37" spans="2:9" s="158" customFormat="1" ht="7.5" customHeight="1">
      <c r="B37" s="361"/>
      <c r="F37" s="1541"/>
      <c r="G37" s="1541"/>
      <c r="H37" s="1542"/>
      <c r="I37" s="360"/>
    </row>
    <row r="38" spans="2:9" s="158" customFormat="1" ht="15.2" customHeight="1">
      <c r="B38" s="350" t="s">
        <v>369</v>
      </c>
      <c r="E38" s="362"/>
      <c r="F38" s="1541">
        <v>2</v>
      </c>
      <c r="G38" s="1541">
        <v>-84.7</v>
      </c>
      <c r="H38" s="1541">
        <v>-96.6</v>
      </c>
      <c r="I38" s="360"/>
    </row>
    <row r="39" spans="2:9" s="158" customFormat="1" ht="15.2" customHeight="1">
      <c r="B39" s="361" t="s">
        <v>370</v>
      </c>
      <c r="F39" s="1541"/>
      <c r="G39" s="1541"/>
      <c r="H39" s="1542"/>
      <c r="I39" s="360"/>
    </row>
    <row r="40" spans="2:9" s="158" customFormat="1" ht="7.5" customHeight="1">
      <c r="B40" s="361"/>
      <c r="F40" s="1541"/>
      <c r="G40" s="1541"/>
      <c r="H40" s="1542"/>
      <c r="I40" s="360"/>
    </row>
    <row r="41" spans="2:9" s="158" customFormat="1" ht="15.2" customHeight="1">
      <c r="B41" s="350" t="s">
        <v>371</v>
      </c>
      <c r="F41" s="1541">
        <v>12</v>
      </c>
      <c r="G41" s="1541">
        <v>-58.3</v>
      </c>
      <c r="H41" s="1541">
        <v>-54.8</v>
      </c>
      <c r="I41" s="360"/>
    </row>
    <row r="42" spans="2:9" s="158" customFormat="1" ht="15.2" customHeight="1">
      <c r="B42" s="361" t="s">
        <v>372</v>
      </c>
      <c r="F42" s="1541"/>
      <c r="G42" s="1541"/>
      <c r="H42" s="1542"/>
      <c r="I42" s="360"/>
    </row>
    <row r="43" spans="2:9" s="158" customFormat="1" ht="7.5" customHeight="1">
      <c r="B43" s="361"/>
      <c r="F43" s="1541"/>
      <c r="G43" s="1541"/>
      <c r="H43" s="1542"/>
      <c r="I43" s="360"/>
    </row>
    <row r="44" spans="2:9" s="158" customFormat="1" ht="15.2" customHeight="1">
      <c r="B44" s="350" t="s">
        <v>373</v>
      </c>
      <c r="F44" s="1541">
        <v>8.9</v>
      </c>
      <c r="G44" s="1541">
        <v>-61.6</v>
      </c>
      <c r="H44" s="1541">
        <v>-40.299999999999997</v>
      </c>
      <c r="I44" s="360"/>
    </row>
    <row r="45" spans="2:9" s="158" customFormat="1" ht="15.2" customHeight="1">
      <c r="B45" s="361" t="s">
        <v>374</v>
      </c>
      <c r="F45" s="1541"/>
      <c r="G45" s="1541"/>
      <c r="H45" s="1542"/>
      <c r="I45" s="360"/>
    </row>
    <row r="46" spans="2:9" s="158" customFormat="1" ht="7.5" customHeight="1">
      <c r="B46" s="361"/>
      <c r="F46" s="1541"/>
      <c r="G46" s="1541"/>
      <c r="H46" s="1542"/>
      <c r="I46" s="360"/>
    </row>
    <row r="47" spans="2:9" s="158" customFormat="1" ht="15.2" customHeight="1">
      <c r="B47" s="350" t="s">
        <v>375</v>
      </c>
      <c r="F47" s="1541">
        <v>2.6</v>
      </c>
      <c r="G47" s="1541">
        <v>-2.9</v>
      </c>
      <c r="H47" s="1541">
        <v>1.8</v>
      </c>
      <c r="I47" s="360"/>
    </row>
    <row r="48" spans="2:9" s="158" customFormat="1" ht="15.2" customHeight="1">
      <c r="B48" s="361" t="s">
        <v>376</v>
      </c>
      <c r="F48" s="1541"/>
      <c r="G48" s="1541"/>
      <c r="H48" s="165"/>
      <c r="I48" s="360"/>
    </row>
    <row r="49" spans="2:12" s="158" customFormat="1" ht="15.2" customHeight="1">
      <c r="B49" s="326"/>
      <c r="C49" s="172"/>
      <c r="D49" s="165"/>
      <c r="E49" s="165"/>
      <c r="F49" s="165"/>
      <c r="G49" s="165"/>
      <c r="H49" s="165"/>
    </row>
    <row r="50" spans="2:12" s="158" customFormat="1" ht="7.5" customHeight="1">
      <c r="B50" s="363"/>
      <c r="C50" s="172"/>
      <c r="D50" s="165"/>
      <c r="E50" s="165"/>
      <c r="F50" s="165"/>
      <c r="G50" s="165"/>
      <c r="H50" s="165"/>
    </row>
    <row r="51" spans="2:12" s="158" customFormat="1" ht="15.2" customHeight="1">
      <c r="B51" s="76" t="s">
        <v>377</v>
      </c>
      <c r="F51" s="165"/>
      <c r="G51" s="165"/>
      <c r="H51" s="165"/>
    </row>
    <row r="52" spans="2:12" s="158" customFormat="1" ht="15.2" customHeight="1">
      <c r="B52" s="74" t="s">
        <v>378</v>
      </c>
      <c r="F52" s="1541"/>
      <c r="G52" s="1541"/>
      <c r="H52" s="1542"/>
      <c r="L52" s="160"/>
    </row>
    <row r="53" spans="2:12" s="158" customFormat="1" ht="15.2" customHeight="1">
      <c r="F53" s="1541"/>
      <c r="G53" s="1541"/>
      <c r="H53" s="1542"/>
    </row>
    <row r="54" spans="2:12" s="158" customFormat="1" ht="15.2" customHeight="1">
      <c r="B54" s="350" t="s">
        <v>365</v>
      </c>
      <c r="F54" s="1541">
        <v>15.9</v>
      </c>
      <c r="G54" s="1541">
        <v>14.1</v>
      </c>
      <c r="H54" s="1541">
        <v>12.8</v>
      </c>
      <c r="I54" s="360"/>
    </row>
    <row r="55" spans="2:12" s="158" customFormat="1" ht="15.2" customHeight="1">
      <c r="B55" s="361" t="s">
        <v>366</v>
      </c>
      <c r="F55" s="1541"/>
      <c r="G55" s="1541"/>
      <c r="H55" s="1542"/>
      <c r="I55" s="360"/>
    </row>
    <row r="56" spans="2:12" s="158" customFormat="1" ht="7.5" customHeight="1">
      <c r="B56" s="361"/>
      <c r="F56" s="1541"/>
      <c r="G56" s="1541"/>
      <c r="H56" s="1542"/>
      <c r="I56" s="360"/>
    </row>
    <row r="57" spans="2:12" s="158" customFormat="1" ht="15.2" customHeight="1">
      <c r="B57" s="350" t="s">
        <v>367</v>
      </c>
      <c r="F57" s="1541">
        <v>6.8</v>
      </c>
      <c r="G57" s="1541">
        <v>2</v>
      </c>
      <c r="H57" s="1541">
        <v>0.8</v>
      </c>
      <c r="I57" s="360"/>
    </row>
    <row r="58" spans="2:12" s="158" customFormat="1" ht="15.2" customHeight="1">
      <c r="B58" s="361" t="s">
        <v>368</v>
      </c>
      <c r="F58" s="1541"/>
      <c r="G58" s="1541"/>
      <c r="H58" s="1542"/>
      <c r="I58" s="360"/>
    </row>
    <row r="59" spans="2:12" s="158" customFormat="1" ht="7.5" customHeight="1">
      <c r="B59" s="361"/>
      <c r="F59" s="1541"/>
      <c r="G59" s="1541"/>
      <c r="H59" s="1542"/>
      <c r="I59" s="360"/>
    </row>
    <row r="60" spans="2:12" s="158" customFormat="1" ht="15.2" customHeight="1">
      <c r="B60" s="161"/>
      <c r="C60" s="172"/>
      <c r="D60" s="165"/>
      <c r="E60" s="165"/>
      <c r="F60" s="165"/>
      <c r="G60" s="165"/>
      <c r="H60" s="165"/>
    </row>
    <row r="61" spans="2:12" s="158" customFormat="1" ht="15.2" customHeight="1">
      <c r="B61" s="169"/>
      <c r="C61" s="167"/>
      <c r="D61" s="19"/>
      <c r="E61" s="19"/>
      <c r="F61" s="1532"/>
      <c r="G61" s="1532"/>
      <c r="H61" s="165"/>
    </row>
    <row r="62" spans="2:12" s="158" customFormat="1" ht="15.2" customHeight="1">
      <c r="B62" s="169"/>
      <c r="C62" s="167"/>
      <c r="D62" s="19"/>
      <c r="E62" s="19"/>
      <c r="F62" s="1532"/>
      <c r="G62" s="1532"/>
      <c r="H62" s="165"/>
    </row>
    <row r="63" spans="2:12" s="158" customFormat="1" ht="15.2" customHeight="1">
      <c r="B63" s="169"/>
      <c r="C63" s="167"/>
      <c r="D63" s="19"/>
      <c r="E63" s="19"/>
      <c r="F63" s="1532"/>
      <c r="G63" s="1532"/>
      <c r="H63" s="165"/>
    </row>
    <row r="64" spans="2:12" s="158" customFormat="1" ht="7.5" customHeight="1">
      <c r="C64" s="172"/>
      <c r="D64" s="165"/>
      <c r="E64" s="165"/>
      <c r="F64" s="165"/>
      <c r="G64" s="1532"/>
      <c r="H64" s="165"/>
    </row>
    <row r="65" spans="1:9" s="158" customFormat="1" ht="15.2" customHeight="1">
      <c r="B65" s="331"/>
      <c r="C65" s="327"/>
      <c r="D65" s="168"/>
      <c r="E65" s="168"/>
      <c r="F65" s="165"/>
      <c r="G65" s="1532"/>
      <c r="H65" s="165"/>
      <c r="I65" s="17"/>
    </row>
    <row r="66" spans="1:9" s="158" customFormat="1" ht="8.25" customHeight="1">
      <c r="B66" s="331"/>
      <c r="C66" s="327"/>
      <c r="D66" s="168"/>
      <c r="E66" s="168"/>
      <c r="F66" s="168"/>
      <c r="G66" s="322"/>
      <c r="I66" s="17"/>
    </row>
    <row r="67" spans="1:9" s="158" customFormat="1" ht="15.2" customHeight="1">
      <c r="B67" s="169"/>
      <c r="C67" s="327"/>
      <c r="D67" s="165"/>
      <c r="E67" s="165"/>
      <c r="F67" s="165"/>
      <c r="G67" s="19"/>
      <c r="I67" s="17"/>
    </row>
    <row r="68" spans="1:9" s="158" customFormat="1" ht="8.25" customHeight="1" thickBot="1">
      <c r="A68" s="364"/>
      <c r="B68" s="364"/>
      <c r="C68" s="364"/>
      <c r="D68" s="364"/>
      <c r="E68" s="364"/>
      <c r="F68" s="364"/>
      <c r="G68" s="364"/>
      <c r="H68" s="364"/>
    </row>
    <row r="69" spans="1:9" s="158" customFormat="1" ht="15.2" customHeight="1" thickTop="1">
      <c r="D69" s="6"/>
      <c r="E69" s="365"/>
      <c r="F69" s="365"/>
      <c r="G69" s="365"/>
      <c r="H69" s="366" t="s">
        <v>0</v>
      </c>
    </row>
    <row r="70" spans="1:9" s="158" customFormat="1" ht="15.2" customHeight="1">
      <c r="D70" s="6"/>
      <c r="E70" s="6"/>
      <c r="F70" s="6"/>
      <c r="G70" s="6"/>
      <c r="H70" s="367" t="s">
        <v>1</v>
      </c>
    </row>
    <row r="71" spans="1:9" s="154" customFormat="1" ht="14.25">
      <c r="B71" s="295" t="s">
        <v>379</v>
      </c>
    </row>
    <row r="72" spans="1:9" s="154" customFormat="1" ht="13.5">
      <c r="B72" s="25" t="s">
        <v>1384</v>
      </c>
    </row>
    <row r="73" spans="1:9" s="154" customFormat="1" ht="13.5">
      <c r="B73" s="298" t="s">
        <v>1385</v>
      </c>
    </row>
    <row r="74" spans="1:9" s="154" customFormat="1" ht="13.5"/>
  </sheetData>
  <mergeCells count="1">
    <mergeCell ref="B6:C6"/>
  </mergeCells>
  <conditionalFormatting sqref="C61:C63">
    <cfRule type="cellIs" dxfId="70" priority="1"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73"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2">
    <pageSetUpPr fitToPage="1"/>
  </sheetPr>
  <dimension ref="A1:O72"/>
  <sheetViews>
    <sheetView view="pageBreakPreview" zoomScaleNormal="100" zoomScaleSheetLayoutView="100" workbookViewId="0">
      <selection activeCell="H57" sqref="H57"/>
    </sheetView>
  </sheetViews>
  <sheetFormatPr defaultRowHeight="15"/>
  <cols>
    <col min="1" max="1" width="3.7109375" customWidth="1"/>
    <col min="3" max="3" width="37.42578125" customWidth="1"/>
    <col min="4" max="4" width="10.7109375" customWidth="1"/>
    <col min="5" max="5" width="32.7109375" customWidth="1"/>
    <col min="6" max="6" width="4.7109375" customWidth="1"/>
    <col min="7" max="7" width="14.7109375" customWidth="1"/>
    <col min="8" max="8" width="15" customWidth="1"/>
    <col min="9" max="9" width="13.42578125" customWidth="1"/>
  </cols>
  <sheetData>
    <row r="1" spans="1:15" s="154" customFormat="1" ht="8.25" customHeight="1"/>
    <row r="2" spans="1:15" s="154" customFormat="1" ht="8.25" customHeight="1"/>
    <row r="3" spans="1:15" s="149" customFormat="1" ht="16.5" customHeight="1">
      <c r="B3" s="57" t="s">
        <v>380</v>
      </c>
      <c r="C3" s="150" t="s">
        <v>1386</v>
      </c>
    </row>
    <row r="4" spans="1:15" s="149" customFormat="1" ht="16.5" customHeight="1">
      <c r="B4" s="60" t="s">
        <v>381</v>
      </c>
      <c r="C4" s="151" t="s">
        <v>1387</v>
      </c>
      <c r="D4" s="273"/>
      <c r="E4" s="273"/>
      <c r="F4" s="273"/>
      <c r="G4" s="273"/>
      <c r="H4" s="273"/>
    </row>
    <row r="5" spans="1:15" s="154" customFormat="1" ht="13.35" customHeight="1" thickBot="1">
      <c r="A5" s="153"/>
      <c r="B5" s="153"/>
      <c r="C5" s="153"/>
      <c r="D5" s="153"/>
      <c r="E5" s="153"/>
      <c r="F5" s="152"/>
      <c r="G5" s="152"/>
      <c r="H5" s="152"/>
    </row>
    <row r="6" spans="1:15" s="154" customFormat="1" ht="42.95" customHeight="1" thickBot="1">
      <c r="A6" s="7"/>
      <c r="B6" s="2651" t="s">
        <v>995</v>
      </c>
      <c r="C6" s="2651"/>
      <c r="D6" s="2651"/>
      <c r="E6" s="2651"/>
      <c r="F6" s="8"/>
      <c r="G6" s="8">
        <v>2023</v>
      </c>
      <c r="H6" s="8">
        <v>2024</v>
      </c>
      <c r="I6" s="8">
        <v>2025</v>
      </c>
    </row>
    <row r="7" spans="1:15" s="154" customFormat="1" ht="15.2" customHeight="1">
      <c r="B7" s="155"/>
      <c r="C7" s="156"/>
      <c r="D7" s="157"/>
      <c r="E7" s="157"/>
      <c r="F7" s="157"/>
      <c r="G7" s="157"/>
      <c r="H7" s="157"/>
    </row>
    <row r="8" spans="1:15" s="158" customFormat="1" ht="15.2" customHeight="1">
      <c r="B8" s="76" t="s">
        <v>382</v>
      </c>
    </row>
    <row r="9" spans="1:15" s="158" customFormat="1" ht="15.2" customHeight="1">
      <c r="B9" s="74" t="s">
        <v>383</v>
      </c>
      <c r="F9" s="368"/>
      <c r="G9" s="368"/>
      <c r="H9" s="368"/>
      <c r="I9" s="368"/>
      <c r="M9" s="160"/>
    </row>
    <row r="10" spans="1:15" s="158" customFormat="1" ht="15.2" customHeight="1">
      <c r="F10" s="368"/>
      <c r="G10" s="368"/>
      <c r="H10" s="368"/>
      <c r="I10" s="368"/>
    </row>
    <row r="11" spans="1:15" s="158" customFormat="1" ht="15.2" customHeight="1">
      <c r="B11" s="350" t="s">
        <v>1280</v>
      </c>
      <c r="F11" s="368"/>
      <c r="G11" s="1543">
        <v>195122.9</v>
      </c>
      <c r="H11" s="1543">
        <v>201429.92</v>
      </c>
      <c r="I11" s="1543">
        <v>217084.94</v>
      </c>
      <c r="J11" s="360"/>
      <c r="K11" s="369"/>
      <c r="L11" s="369"/>
      <c r="M11" s="369"/>
      <c r="N11" s="369"/>
      <c r="O11" s="369"/>
    </row>
    <row r="12" spans="1:15" s="158" customFormat="1" ht="15.2" customHeight="1">
      <c r="B12" s="361" t="s">
        <v>1299</v>
      </c>
      <c r="F12" s="368"/>
      <c r="G12" s="1543"/>
      <c r="H12" s="1543"/>
      <c r="I12" s="1543"/>
      <c r="J12" s="360"/>
    </row>
    <row r="13" spans="1:15" s="158" customFormat="1" ht="7.5" customHeight="1">
      <c r="B13" s="361"/>
      <c r="F13" s="368"/>
      <c r="G13" s="1543"/>
      <c r="H13" s="1543"/>
      <c r="I13" s="1543"/>
      <c r="J13" s="360"/>
    </row>
    <row r="14" spans="1:15" s="158" customFormat="1" ht="15.2" customHeight="1">
      <c r="B14" s="350" t="s">
        <v>1281</v>
      </c>
      <c r="F14" s="370"/>
      <c r="G14" s="1543">
        <v>296133.08</v>
      </c>
      <c r="H14" s="1543">
        <v>314770.92</v>
      </c>
      <c r="I14" s="1543">
        <v>360836.58</v>
      </c>
      <c r="J14" s="371"/>
      <c r="K14" s="369"/>
      <c r="L14" s="369"/>
      <c r="M14" s="369"/>
      <c r="N14" s="369"/>
      <c r="O14" s="369"/>
    </row>
    <row r="15" spans="1:15" s="158" customFormat="1" ht="15.2" customHeight="1">
      <c r="B15" s="361" t="s">
        <v>1300</v>
      </c>
      <c r="G15" s="168"/>
      <c r="H15" s="168"/>
      <c r="I15" s="168"/>
      <c r="J15" s="371"/>
    </row>
    <row r="16" spans="1:15" s="158" customFormat="1" ht="7.5" customHeight="1">
      <c r="B16" s="361"/>
      <c r="F16" s="368"/>
      <c r="G16" s="1543"/>
      <c r="H16" s="1543"/>
      <c r="I16" s="1543"/>
      <c r="J16" s="360"/>
    </row>
    <row r="17" spans="2:15" s="158" customFormat="1" ht="15.2" customHeight="1">
      <c r="B17" s="350" t="s">
        <v>1282</v>
      </c>
      <c r="F17" s="370"/>
      <c r="G17" s="1543">
        <v>204608.22</v>
      </c>
      <c r="H17" s="1543">
        <v>215789.79</v>
      </c>
      <c r="I17" s="1543">
        <v>261176.6</v>
      </c>
      <c r="J17" s="360"/>
      <c r="K17" s="369"/>
      <c r="L17" s="369"/>
      <c r="M17" s="369"/>
      <c r="N17" s="369"/>
      <c r="O17" s="369"/>
    </row>
    <row r="18" spans="2:15" s="158" customFormat="1" ht="15.2" customHeight="1">
      <c r="B18" s="361" t="s">
        <v>1301</v>
      </c>
      <c r="F18" s="368"/>
      <c r="G18" s="1543"/>
      <c r="H18" s="1543"/>
      <c r="I18" s="1543"/>
      <c r="J18" s="360"/>
    </row>
    <row r="19" spans="2:15" s="158" customFormat="1" ht="7.5" customHeight="1">
      <c r="B19" s="361"/>
      <c r="F19" s="368"/>
      <c r="G19" s="1543"/>
      <c r="H19" s="1543"/>
      <c r="I19" s="1543"/>
      <c r="J19" s="360"/>
    </row>
    <row r="20" spans="2:15" s="158" customFormat="1" ht="15.2" customHeight="1">
      <c r="B20" s="350" t="s">
        <v>1283</v>
      </c>
      <c r="F20" s="368"/>
      <c r="G20" s="1543">
        <v>129350.93</v>
      </c>
      <c r="H20" s="1543">
        <v>163836.98000000001</v>
      </c>
      <c r="I20" s="1543">
        <v>201074.86</v>
      </c>
      <c r="J20" s="360"/>
      <c r="K20" s="369"/>
      <c r="L20" s="369"/>
      <c r="M20" s="369"/>
      <c r="N20" s="369"/>
      <c r="O20" s="369"/>
    </row>
    <row r="21" spans="2:15" s="158" customFormat="1" ht="15.2" customHeight="1">
      <c r="B21" s="361" t="s">
        <v>1302</v>
      </c>
      <c r="F21" s="368"/>
      <c r="G21" s="1543"/>
      <c r="H21" s="1543"/>
      <c r="I21" s="1543"/>
      <c r="J21" s="360"/>
    </row>
    <row r="22" spans="2:15" s="158" customFormat="1" ht="7.5" customHeight="1">
      <c r="B22" s="361"/>
      <c r="F22" s="368"/>
      <c r="G22" s="1543"/>
      <c r="H22" s="1543"/>
      <c r="I22" s="1543"/>
      <c r="J22" s="360"/>
    </row>
    <row r="23" spans="2:15" s="158" customFormat="1" ht="15.2" customHeight="1">
      <c r="B23" s="350" t="s">
        <v>1284</v>
      </c>
      <c r="F23" s="368"/>
      <c r="G23" s="1543">
        <v>289966.96999999997</v>
      </c>
      <c r="H23" s="1543">
        <v>320364.59999999998</v>
      </c>
      <c r="I23" s="1543">
        <v>359283.01</v>
      </c>
      <c r="J23" s="360"/>
      <c r="K23" s="369"/>
      <c r="L23" s="369"/>
      <c r="M23" s="369"/>
      <c r="N23" s="369"/>
      <c r="O23" s="369"/>
    </row>
    <row r="24" spans="2:15" s="158" customFormat="1" ht="15.2" customHeight="1">
      <c r="B24" s="361" t="s">
        <v>1303</v>
      </c>
      <c r="F24" s="368"/>
      <c r="G24" s="1543"/>
      <c r="H24" s="1543"/>
      <c r="I24" s="1543"/>
      <c r="J24" s="360"/>
    </row>
    <row r="25" spans="2:15" s="158" customFormat="1" ht="7.5" customHeight="1">
      <c r="B25" s="361"/>
      <c r="F25" s="368"/>
      <c r="G25" s="1543"/>
      <c r="H25" s="1543"/>
      <c r="I25" s="1543"/>
      <c r="J25" s="360"/>
    </row>
    <row r="26" spans="2:15" s="158" customFormat="1" ht="15.2" customHeight="1">
      <c r="B26" s="350" t="s">
        <v>384</v>
      </c>
      <c r="F26" s="370"/>
      <c r="G26" s="1543">
        <v>1135.51</v>
      </c>
      <c r="H26" s="1543">
        <v>1158.1400000000001</v>
      </c>
      <c r="I26" s="1543">
        <v>1205.56</v>
      </c>
      <c r="J26" s="360"/>
      <c r="K26" s="369"/>
      <c r="L26" s="369"/>
      <c r="M26" s="369"/>
      <c r="N26" s="369"/>
      <c r="O26" s="369"/>
    </row>
    <row r="27" spans="2:15" s="158" customFormat="1" ht="15.2" customHeight="1">
      <c r="B27" s="2722" t="s">
        <v>1083</v>
      </c>
      <c r="C27" s="2722"/>
      <c r="F27" s="368"/>
      <c r="G27" s="368"/>
      <c r="H27" s="368"/>
      <c r="I27" s="368"/>
      <c r="J27" s="360"/>
    </row>
    <row r="28" spans="2:15" s="158" customFormat="1" ht="15.2" customHeight="1">
      <c r="F28" s="368"/>
      <c r="G28" s="368"/>
      <c r="H28" s="368"/>
      <c r="I28" s="368"/>
      <c r="J28" s="360"/>
    </row>
    <row r="29" spans="2:15" s="158" customFormat="1" ht="15.2" customHeight="1">
      <c r="B29" s="76" t="s">
        <v>385</v>
      </c>
    </row>
    <row r="30" spans="2:15" s="158" customFormat="1" ht="15.2" customHeight="1">
      <c r="B30" s="74" t="s">
        <v>386</v>
      </c>
      <c r="F30" s="368"/>
      <c r="G30" s="368"/>
      <c r="H30" s="368"/>
      <c r="I30" s="368"/>
      <c r="M30" s="160"/>
    </row>
    <row r="31" spans="2:15" s="158" customFormat="1" ht="15.2" customHeight="1">
      <c r="F31" s="368"/>
      <c r="G31" s="368"/>
      <c r="H31" s="368"/>
      <c r="I31" s="368"/>
    </row>
    <row r="32" spans="2:15" s="158" customFormat="1" ht="15.2" customHeight="1">
      <c r="B32" s="350" t="s">
        <v>387</v>
      </c>
      <c r="F32" s="372"/>
      <c r="G32" s="1544">
        <v>6.61</v>
      </c>
      <c r="H32" s="1544">
        <v>3.2</v>
      </c>
      <c r="I32" s="1544">
        <v>7.8</v>
      </c>
      <c r="J32" s="360"/>
    </row>
    <row r="33" spans="2:10" s="158" customFormat="1" ht="15.2" customHeight="1">
      <c r="B33" s="361" t="s">
        <v>388</v>
      </c>
      <c r="F33" s="372"/>
      <c r="G33" s="1544"/>
      <c r="H33" s="1544"/>
      <c r="I33" s="1544"/>
      <c r="J33" s="360"/>
    </row>
    <row r="34" spans="2:10" s="158" customFormat="1" ht="7.5" customHeight="1">
      <c r="B34" s="361"/>
      <c r="F34" s="372"/>
      <c r="G34" s="1544"/>
      <c r="H34" s="1544"/>
      <c r="I34" s="1544"/>
      <c r="J34" s="360"/>
    </row>
    <row r="35" spans="2:10" s="158" customFormat="1" ht="15.2" customHeight="1">
      <c r="B35" s="350" t="s">
        <v>389</v>
      </c>
      <c r="F35" s="372"/>
      <c r="G35" s="1544">
        <v>-2.2400000000000002</v>
      </c>
      <c r="H35" s="1544">
        <v>6.3</v>
      </c>
      <c r="I35" s="1544">
        <v>14.6</v>
      </c>
      <c r="J35" s="371"/>
    </row>
    <row r="36" spans="2:10" s="158" customFormat="1" ht="15.2" customHeight="1">
      <c r="B36" s="361" t="s">
        <v>1092</v>
      </c>
      <c r="F36" s="373"/>
      <c r="G36" s="1545"/>
      <c r="H36" s="1545"/>
      <c r="I36" s="1545"/>
      <c r="J36" s="371"/>
    </row>
    <row r="37" spans="2:10" s="158" customFormat="1" ht="7.5" customHeight="1">
      <c r="B37" s="361"/>
      <c r="F37" s="372"/>
      <c r="G37" s="1544"/>
      <c r="H37" s="1544"/>
      <c r="I37" s="1544"/>
      <c r="J37" s="360"/>
    </row>
    <row r="38" spans="2:10" s="158" customFormat="1" ht="15.2" customHeight="1">
      <c r="B38" s="350" t="s">
        <v>390</v>
      </c>
      <c r="F38" s="372"/>
      <c r="G38" s="1544">
        <v>-4.82</v>
      </c>
      <c r="H38" s="1544">
        <v>5.5</v>
      </c>
      <c r="I38" s="1544">
        <v>21</v>
      </c>
      <c r="J38" s="360"/>
    </row>
    <row r="39" spans="2:10" s="158" customFormat="1" ht="15.2" customHeight="1">
      <c r="B39" s="361" t="s">
        <v>1093</v>
      </c>
      <c r="F39" s="372"/>
      <c r="G39" s="1544"/>
      <c r="H39" s="1544"/>
      <c r="I39" s="1544"/>
      <c r="J39" s="360"/>
    </row>
    <row r="40" spans="2:10" s="158" customFormat="1" ht="7.5" customHeight="1">
      <c r="B40" s="361"/>
      <c r="F40" s="372"/>
      <c r="G40" s="1544"/>
      <c r="H40" s="1544"/>
      <c r="I40" s="1544"/>
      <c r="J40" s="360"/>
    </row>
    <row r="41" spans="2:10" s="158" customFormat="1" ht="15.2" customHeight="1">
      <c r="B41" s="350" t="s">
        <v>391</v>
      </c>
      <c r="F41" s="372"/>
      <c r="G41" s="1544">
        <v>10.1</v>
      </c>
      <c r="H41" s="1544">
        <v>26.7</v>
      </c>
      <c r="I41" s="1544">
        <v>22.7</v>
      </c>
      <c r="J41" s="360"/>
    </row>
    <row r="42" spans="2:10" s="158" customFormat="1" ht="15.2" customHeight="1">
      <c r="B42" s="361" t="s">
        <v>392</v>
      </c>
      <c r="F42" s="372"/>
      <c r="G42" s="1544"/>
      <c r="H42" s="1544"/>
      <c r="I42" s="1544"/>
      <c r="J42" s="360"/>
    </row>
    <row r="43" spans="2:10" s="158" customFormat="1" ht="7.5" customHeight="1">
      <c r="B43" s="361"/>
      <c r="F43" s="372"/>
      <c r="G43" s="1544"/>
      <c r="H43" s="1544"/>
      <c r="I43" s="1544"/>
      <c r="J43" s="360"/>
    </row>
    <row r="44" spans="2:10" s="158" customFormat="1" ht="15.2" customHeight="1">
      <c r="B44" s="350" t="s">
        <v>393</v>
      </c>
      <c r="F44" s="372"/>
      <c r="G44" s="1544">
        <v>7.3</v>
      </c>
      <c r="H44" s="1544">
        <v>10.5</v>
      </c>
      <c r="I44" s="1544">
        <v>12.1</v>
      </c>
      <c r="J44" s="360"/>
    </row>
    <row r="45" spans="2:10" s="158" customFormat="1" ht="15.2" customHeight="1">
      <c r="B45" s="361" t="s">
        <v>1082</v>
      </c>
      <c r="F45" s="372"/>
      <c r="G45" s="1544"/>
      <c r="H45" s="1544"/>
      <c r="I45" s="1544"/>
      <c r="J45" s="360"/>
    </row>
    <row r="46" spans="2:10" s="158" customFormat="1" ht="7.5" customHeight="1">
      <c r="B46" s="361"/>
      <c r="F46" s="372"/>
      <c r="G46" s="1544"/>
      <c r="H46" s="1544"/>
      <c r="I46" s="1544"/>
      <c r="J46" s="360"/>
    </row>
    <row r="47" spans="2:10" s="158" customFormat="1" ht="15.2" customHeight="1">
      <c r="B47" s="350" t="s">
        <v>394</v>
      </c>
      <c r="F47" s="372"/>
      <c r="G47" s="1544">
        <v>1.17</v>
      </c>
      <c r="H47" s="1544">
        <v>2.0099999999999998</v>
      </c>
      <c r="I47" s="1544">
        <v>4.0999999999999996</v>
      </c>
      <c r="J47" s="360"/>
    </row>
    <row r="48" spans="2:10" s="158" customFormat="1" ht="15.2" customHeight="1">
      <c r="B48" s="361" t="s">
        <v>1084</v>
      </c>
      <c r="F48" s="372"/>
      <c r="G48" s="1544"/>
      <c r="H48" s="1544"/>
      <c r="I48" s="1544"/>
      <c r="J48" s="360"/>
    </row>
    <row r="49" spans="2:13" s="158" customFormat="1" ht="15.2" customHeight="1">
      <c r="B49" s="326"/>
      <c r="C49" s="172"/>
      <c r="D49" s="165"/>
      <c r="E49" s="165"/>
      <c r="F49" s="374"/>
      <c r="G49" s="1545"/>
      <c r="H49" s="1545"/>
      <c r="I49" s="1545"/>
    </row>
    <row r="50" spans="2:13" s="158" customFormat="1" ht="7.5" customHeight="1">
      <c r="B50" s="363"/>
      <c r="C50" s="172"/>
      <c r="D50" s="165"/>
      <c r="E50" s="165"/>
      <c r="F50" s="374"/>
      <c r="G50" s="1545"/>
      <c r="H50" s="1545"/>
      <c r="I50" s="1545"/>
    </row>
    <row r="51" spans="2:13" s="158" customFormat="1" ht="15.2" customHeight="1">
      <c r="B51" s="76" t="s">
        <v>395</v>
      </c>
      <c r="F51" s="373"/>
      <c r="G51" s="1545"/>
      <c r="H51" s="1545"/>
      <c r="I51" s="1545"/>
    </row>
    <row r="52" spans="2:13" s="158" customFormat="1" ht="15.2" customHeight="1">
      <c r="B52" s="74" t="s">
        <v>396</v>
      </c>
      <c r="F52" s="372"/>
      <c r="G52" s="1544"/>
      <c r="H52" s="1544"/>
      <c r="I52" s="1544"/>
      <c r="M52" s="160"/>
    </row>
    <row r="53" spans="2:13" s="158" customFormat="1" ht="15.2" customHeight="1">
      <c r="F53" s="372"/>
      <c r="G53" s="1544"/>
      <c r="H53" s="1544"/>
      <c r="I53" s="1544"/>
    </row>
    <row r="54" spans="2:13" s="158" customFormat="1" ht="15.2" customHeight="1">
      <c r="B54" s="350" t="s">
        <v>387</v>
      </c>
      <c r="F54" s="372"/>
      <c r="G54" s="1544">
        <v>12.9</v>
      </c>
      <c r="H54" s="1544">
        <v>14.23</v>
      </c>
      <c r="I54" s="1544">
        <v>14</v>
      </c>
      <c r="J54" s="360"/>
    </row>
    <row r="55" spans="2:13" s="158" customFormat="1" ht="15.2" customHeight="1">
      <c r="B55" s="361" t="s">
        <v>388</v>
      </c>
      <c r="F55" s="372"/>
      <c r="G55" s="1544"/>
      <c r="H55" s="1544"/>
      <c r="I55" s="1544"/>
      <c r="J55" s="360"/>
    </row>
    <row r="56" spans="2:13" s="158" customFormat="1" ht="7.5" customHeight="1">
      <c r="B56" s="361"/>
      <c r="F56" s="372"/>
      <c r="G56" s="1544"/>
      <c r="H56" s="1544"/>
      <c r="I56" s="1544"/>
      <c r="J56" s="360"/>
    </row>
    <row r="57" spans="2:13" s="158" customFormat="1" ht="15.2" customHeight="1">
      <c r="B57" s="350" t="s">
        <v>391</v>
      </c>
      <c r="F57" s="372"/>
      <c r="G57" s="1544">
        <v>8.6</v>
      </c>
      <c r="H57" s="1544">
        <v>11.6</v>
      </c>
      <c r="I57" s="1544">
        <v>13</v>
      </c>
      <c r="J57" s="360"/>
    </row>
    <row r="58" spans="2:13" s="158" customFormat="1" ht="15.2" customHeight="1">
      <c r="B58" s="361" t="s">
        <v>392</v>
      </c>
      <c r="F58" s="372"/>
      <c r="G58" s="1544"/>
      <c r="H58" s="1544"/>
      <c r="I58" s="1544"/>
      <c r="J58" s="360"/>
    </row>
    <row r="59" spans="2:13" s="158" customFormat="1" ht="7.5" customHeight="1">
      <c r="B59" s="361"/>
      <c r="F59" s="372"/>
      <c r="G59" s="1544"/>
      <c r="H59" s="1544"/>
      <c r="I59" s="1544"/>
      <c r="J59" s="360"/>
    </row>
    <row r="60" spans="2:13" s="158" customFormat="1" ht="15.2" customHeight="1">
      <c r="B60" s="350" t="s">
        <v>393</v>
      </c>
      <c r="C60" s="167"/>
      <c r="D60" s="281"/>
      <c r="E60" s="281"/>
      <c r="F60" s="372"/>
      <c r="G60" s="1544">
        <v>19.2</v>
      </c>
      <c r="H60" s="1544">
        <v>22.6</v>
      </c>
      <c r="I60" s="1544">
        <v>23.2</v>
      </c>
    </row>
    <row r="61" spans="2:13" s="158" customFormat="1" ht="15.2" customHeight="1">
      <c r="B61" s="361" t="s">
        <v>1082</v>
      </c>
      <c r="C61" s="167"/>
      <c r="D61" s="281"/>
      <c r="E61" s="281"/>
      <c r="F61" s="375"/>
      <c r="G61" s="1545"/>
      <c r="H61" s="1545"/>
      <c r="I61" s="1545"/>
    </row>
    <row r="62" spans="2:13" s="158" customFormat="1" ht="15.2" customHeight="1">
      <c r="B62" s="169"/>
      <c r="C62" s="167"/>
      <c r="D62" s="19"/>
      <c r="E62" s="19"/>
      <c r="F62" s="376"/>
      <c r="G62" s="16"/>
      <c r="H62" s="16"/>
      <c r="I62" s="165"/>
    </row>
    <row r="63" spans="2:13" s="158" customFormat="1" ht="7.5" customHeight="1">
      <c r="C63" s="172"/>
      <c r="D63" s="165"/>
      <c r="E63" s="165"/>
      <c r="F63" s="377"/>
      <c r="G63" s="16"/>
      <c r="H63" s="16"/>
      <c r="I63" s="165"/>
    </row>
    <row r="64" spans="2:13" s="158" customFormat="1" ht="8.25" customHeight="1">
      <c r="B64" s="331"/>
      <c r="C64" s="327"/>
      <c r="D64" s="168"/>
      <c r="E64" s="168"/>
      <c r="F64" s="168"/>
      <c r="G64" s="165"/>
      <c r="H64" s="165"/>
      <c r="I64" s="165"/>
      <c r="J64" s="17"/>
    </row>
    <row r="65" spans="1:10" s="158" customFormat="1" ht="15.2" customHeight="1">
      <c r="B65" s="169"/>
      <c r="C65" s="327"/>
      <c r="D65" s="165"/>
      <c r="E65" s="165"/>
      <c r="F65" s="165"/>
      <c r="G65" s="165"/>
      <c r="H65" s="165"/>
      <c r="I65" s="165"/>
      <c r="J65" s="17"/>
    </row>
    <row r="66" spans="1:10" s="158" customFormat="1" ht="8.25" customHeight="1" thickBot="1">
      <c r="A66" s="364"/>
      <c r="B66" s="364"/>
      <c r="C66" s="364"/>
      <c r="D66" s="364"/>
      <c r="E66" s="364"/>
      <c r="F66" s="364"/>
      <c r="G66" s="364"/>
      <c r="H66" s="364"/>
      <c r="I66" s="364"/>
    </row>
    <row r="67" spans="1:10" s="158" customFormat="1" ht="15.2" customHeight="1" thickTop="1">
      <c r="D67" s="6"/>
      <c r="E67" s="365"/>
      <c r="F67" s="365"/>
      <c r="G67" s="365"/>
      <c r="H67" s="365"/>
      <c r="I67" s="366" t="s">
        <v>0</v>
      </c>
    </row>
    <row r="68" spans="1:10" s="158" customFormat="1" ht="15.2" customHeight="1">
      <c r="B68" s="331"/>
      <c r="D68" s="6"/>
      <c r="E68" s="6"/>
      <c r="F68" s="6"/>
      <c r="G68" s="6"/>
      <c r="H68" s="6"/>
      <c r="I68" s="367" t="s">
        <v>1</v>
      </c>
    </row>
    <row r="69" spans="1:10" s="158" customFormat="1" ht="14.25">
      <c r="B69" s="22" t="s">
        <v>397</v>
      </c>
    </row>
    <row r="70" spans="1:10" s="154" customFormat="1" ht="13.5">
      <c r="B70" s="25" t="s">
        <v>1384</v>
      </c>
    </row>
    <row r="71" spans="1:10" s="154" customFormat="1" ht="13.5">
      <c r="B71" s="298" t="s">
        <v>1385</v>
      </c>
    </row>
    <row r="72" spans="1:10" s="154" customFormat="1" ht="13.5"/>
  </sheetData>
  <mergeCells count="2">
    <mergeCell ref="B6:E6"/>
    <mergeCell ref="B27:C27"/>
  </mergeCells>
  <conditionalFormatting sqref="C60:C62">
    <cfRule type="cellIs" dxfId="69" priority="1"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64"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3">
    <pageSetUpPr fitToPage="1"/>
  </sheetPr>
  <dimension ref="A1:L67"/>
  <sheetViews>
    <sheetView view="pageBreakPreview" zoomScaleNormal="100" zoomScaleSheetLayoutView="100" workbookViewId="0">
      <selection activeCell="F54" sqref="F54"/>
    </sheetView>
  </sheetViews>
  <sheetFormatPr defaultRowHeight="15"/>
  <cols>
    <col min="1" max="1" width="3.7109375" customWidth="1"/>
    <col min="3" max="3" width="23.140625" customWidth="1"/>
    <col min="5" max="5" width="32.7109375" customWidth="1"/>
    <col min="6" max="8" width="17.42578125" customWidth="1"/>
  </cols>
  <sheetData>
    <row r="1" spans="1:12" s="154" customFormat="1" ht="8.25" customHeight="1"/>
    <row r="2" spans="1:12" s="154" customFormat="1" ht="8.25" customHeight="1"/>
    <row r="3" spans="1:12" s="149" customFormat="1" ht="16.5" customHeight="1">
      <c r="B3" s="57" t="s">
        <v>398</v>
      </c>
      <c r="C3" s="150" t="s">
        <v>1388</v>
      </c>
      <c r="G3" s="272"/>
    </row>
    <row r="4" spans="1:12" s="149" customFormat="1" ht="16.5" customHeight="1">
      <c r="B4" s="60" t="s">
        <v>399</v>
      </c>
      <c r="C4" s="151" t="s">
        <v>1389</v>
      </c>
      <c r="D4" s="273"/>
      <c r="E4" s="273"/>
      <c r="F4" s="273"/>
      <c r="G4" s="272"/>
    </row>
    <row r="5" spans="1:12" s="154" customFormat="1" ht="13.35" customHeight="1" thickBot="1">
      <c r="A5" s="153"/>
      <c r="B5" s="153"/>
      <c r="C5" s="153"/>
      <c r="D5" s="153"/>
      <c r="E5" s="153"/>
      <c r="F5" s="152"/>
      <c r="G5" s="152"/>
    </row>
    <row r="6" spans="1:12" s="154" customFormat="1" ht="42.95" customHeight="1" thickBot="1">
      <c r="A6" s="7"/>
      <c r="B6" s="2651" t="s">
        <v>996</v>
      </c>
      <c r="C6" s="2651"/>
      <c r="D6" s="2651"/>
      <c r="E6" s="7"/>
      <c r="F6" s="8">
        <v>2023</v>
      </c>
      <c r="G6" s="8">
        <v>2024</v>
      </c>
      <c r="H6" s="8">
        <v>2025</v>
      </c>
    </row>
    <row r="7" spans="1:12" s="154" customFormat="1" ht="15.2" customHeight="1">
      <c r="B7" s="155"/>
      <c r="C7" s="156"/>
      <c r="D7" s="157"/>
      <c r="E7" s="157"/>
      <c r="F7" s="157"/>
      <c r="G7" s="157"/>
    </row>
    <row r="8" spans="1:12" s="158" customFormat="1" ht="15.2" customHeight="1">
      <c r="B8" s="76" t="s">
        <v>1285</v>
      </c>
    </row>
    <row r="9" spans="1:12" s="158" customFormat="1" ht="15.2" customHeight="1">
      <c r="B9" s="74" t="s">
        <v>1304</v>
      </c>
      <c r="F9" s="358"/>
      <c r="G9" s="358"/>
      <c r="H9" s="358"/>
      <c r="L9" s="160"/>
    </row>
    <row r="10" spans="1:12" s="158" customFormat="1" ht="15.2" customHeight="1">
      <c r="F10" s="358"/>
      <c r="G10" s="358"/>
      <c r="H10" s="358"/>
    </row>
    <row r="11" spans="1:12" s="158" customFormat="1" ht="15.2" customHeight="1">
      <c r="B11" s="350" t="s">
        <v>400</v>
      </c>
      <c r="F11" s="1539">
        <v>5039741</v>
      </c>
      <c r="G11" s="1539">
        <v>5173755</v>
      </c>
      <c r="H11" s="1539">
        <v>5302173</v>
      </c>
      <c r="I11" s="360"/>
    </row>
    <row r="12" spans="1:12" s="158" customFormat="1" ht="15.2" customHeight="1">
      <c r="B12" s="361" t="s">
        <v>401</v>
      </c>
      <c r="F12" s="1539"/>
      <c r="G12" s="1539"/>
      <c r="H12" s="1539"/>
      <c r="I12" s="360"/>
    </row>
    <row r="13" spans="1:12" s="158" customFormat="1" ht="7.5" customHeight="1">
      <c r="B13" s="361"/>
      <c r="F13" s="1539"/>
      <c r="G13" s="1539"/>
      <c r="H13" s="1539"/>
      <c r="I13" s="360"/>
    </row>
    <row r="14" spans="1:12" s="158" customFormat="1" ht="15.2" customHeight="1">
      <c r="B14" s="350" t="s">
        <v>402</v>
      </c>
      <c r="F14" s="1539">
        <v>3164749</v>
      </c>
      <c r="G14" s="1539">
        <v>3222069</v>
      </c>
      <c r="H14" s="1539">
        <v>3279505</v>
      </c>
      <c r="I14" s="360"/>
    </row>
    <row r="15" spans="1:12" s="158" customFormat="1" ht="15.2" customHeight="1">
      <c r="B15" s="361" t="s">
        <v>403</v>
      </c>
      <c r="F15" s="1539"/>
      <c r="G15" s="1539"/>
      <c r="H15" s="1539"/>
      <c r="I15" s="360"/>
    </row>
    <row r="16" spans="1:12" s="158" customFormat="1" ht="7.5" customHeight="1">
      <c r="B16" s="361"/>
      <c r="F16" s="1539"/>
      <c r="G16" s="1539"/>
      <c r="H16" s="1539"/>
      <c r="I16" s="360"/>
    </row>
    <row r="17" spans="2:12" s="158" customFormat="1" ht="15.2" customHeight="1">
      <c r="B17" s="350" t="s">
        <v>404</v>
      </c>
      <c r="F17" s="1539">
        <v>4144907</v>
      </c>
      <c r="G17" s="1539">
        <v>4241025</v>
      </c>
      <c r="H17" s="1539">
        <v>4334863</v>
      </c>
      <c r="I17" s="360"/>
    </row>
    <row r="18" spans="2:12" s="158" customFormat="1" ht="15.2" customHeight="1">
      <c r="B18" s="361" t="s">
        <v>405</v>
      </c>
      <c r="F18" s="1539"/>
      <c r="G18" s="1539"/>
      <c r="H18" s="1539"/>
      <c r="I18" s="360"/>
    </row>
    <row r="19" spans="2:12" s="158" customFormat="1" ht="7.5" customHeight="1">
      <c r="B19" s="361"/>
      <c r="F19" s="1539"/>
      <c r="G19" s="1539"/>
      <c r="H19" s="1539"/>
      <c r="I19" s="360"/>
    </row>
    <row r="20" spans="2:12" s="158" customFormat="1" ht="15.2" customHeight="1">
      <c r="B20" s="350" t="s">
        <v>406</v>
      </c>
      <c r="F20" s="1539">
        <v>222818</v>
      </c>
      <c r="G20" s="1539">
        <v>226951</v>
      </c>
      <c r="H20" s="1539">
        <v>229010</v>
      </c>
      <c r="I20" s="360"/>
    </row>
    <row r="21" spans="2:12" s="158" customFormat="1" ht="15.2" customHeight="1">
      <c r="B21" s="361" t="s">
        <v>407</v>
      </c>
      <c r="F21" s="359"/>
      <c r="G21" s="359"/>
      <c r="H21" s="358"/>
      <c r="I21" s="360"/>
    </row>
    <row r="22" spans="2:12" s="158" customFormat="1" ht="7.5" customHeight="1">
      <c r="B22" s="361"/>
      <c r="F22" s="359"/>
      <c r="G22" s="359"/>
      <c r="H22" s="358"/>
      <c r="I22" s="360"/>
    </row>
    <row r="23" spans="2:12" s="158" customFormat="1" ht="15.2" customHeight="1">
      <c r="B23" s="350"/>
      <c r="I23" s="360"/>
    </row>
    <row r="24" spans="2:12" s="158" customFormat="1" ht="15.2" customHeight="1">
      <c r="B24" s="76" t="s">
        <v>408</v>
      </c>
    </row>
    <row r="25" spans="2:12" s="158" customFormat="1" ht="15.2" customHeight="1">
      <c r="B25" s="74" t="s">
        <v>409</v>
      </c>
      <c r="F25" s="359"/>
      <c r="G25" s="359"/>
      <c r="H25" s="358"/>
      <c r="L25" s="160"/>
    </row>
    <row r="26" spans="2:12" s="158" customFormat="1" ht="15.2" customHeight="1">
      <c r="F26" s="359"/>
      <c r="G26" s="359"/>
      <c r="H26" s="358"/>
    </row>
    <row r="27" spans="2:12" s="158" customFormat="1" ht="15.2" customHeight="1">
      <c r="B27" s="350" t="s">
        <v>400</v>
      </c>
      <c r="F27" s="165">
        <v>2.6591445869936559</v>
      </c>
      <c r="G27" s="165">
        <f>((G11/F11)-1)*100</f>
        <v>2.6591445869936559</v>
      </c>
      <c r="H27" s="165">
        <f>((H11/G11)-1)*100</f>
        <v>2.4821043903315854</v>
      </c>
      <c r="I27" s="360"/>
    </row>
    <row r="28" spans="2:12" s="158" customFormat="1" ht="15.2" customHeight="1">
      <c r="B28" s="361" t="s">
        <v>401</v>
      </c>
      <c r="F28" s="1541"/>
      <c r="G28" s="1541"/>
      <c r="H28" s="1541"/>
      <c r="I28" s="360"/>
    </row>
    <row r="29" spans="2:12" s="158" customFormat="1" ht="7.5" customHeight="1">
      <c r="B29" s="361"/>
      <c r="F29" s="1541"/>
      <c r="G29" s="1541"/>
      <c r="H29" s="1541"/>
      <c r="I29" s="360"/>
    </row>
    <row r="30" spans="2:12" s="158" customFormat="1" ht="15.2" customHeight="1">
      <c r="B30" s="350" t="s">
        <v>402</v>
      </c>
      <c r="F30" s="1541">
        <v>1.8112020890124203</v>
      </c>
      <c r="G30" s="1541">
        <f>((G14/F14)-1)*100</f>
        <v>1.8112020890124203</v>
      </c>
      <c r="H30" s="1541">
        <f>((H14/G14)-1)*100</f>
        <v>1.7825813165391446</v>
      </c>
      <c r="I30" s="360"/>
    </row>
    <row r="31" spans="2:12" s="158" customFormat="1" ht="15.2" customHeight="1">
      <c r="B31" s="361" t="s">
        <v>403</v>
      </c>
      <c r="F31" s="1541"/>
      <c r="G31" s="1541"/>
      <c r="H31" s="1541"/>
      <c r="I31" s="360"/>
    </row>
    <row r="32" spans="2:12" s="158" customFormat="1" ht="7.5" customHeight="1">
      <c r="B32" s="361"/>
      <c r="F32" s="1541"/>
      <c r="G32" s="1541"/>
      <c r="H32" s="1541"/>
      <c r="I32" s="360"/>
    </row>
    <row r="33" spans="2:12" s="158" customFormat="1" ht="15.2" customHeight="1">
      <c r="B33" s="350" t="s">
        <v>404</v>
      </c>
      <c r="E33" s="362"/>
      <c r="F33" s="165">
        <v>2.2999999999999998</v>
      </c>
      <c r="G33" s="1541">
        <f>((G17/F17)-1)*100</f>
        <v>2.3189422585355945</v>
      </c>
      <c r="H33" s="1541">
        <f>((H17/G17)-1)*100</f>
        <v>2.2126254855842742</v>
      </c>
      <c r="I33" s="360"/>
    </row>
    <row r="34" spans="2:12" s="158" customFormat="1" ht="15.2" customHeight="1">
      <c r="B34" s="361" t="s">
        <v>405</v>
      </c>
      <c r="F34" s="1541"/>
      <c r="G34" s="1541"/>
      <c r="H34" s="1541"/>
      <c r="I34" s="360"/>
    </row>
    <row r="35" spans="2:12" s="158" customFormat="1" ht="7.5" customHeight="1">
      <c r="B35" s="361"/>
      <c r="F35" s="1541"/>
      <c r="G35" s="1541"/>
      <c r="H35" s="1541"/>
      <c r="I35" s="360"/>
    </row>
    <row r="36" spans="2:12" s="158" customFormat="1" ht="15.2" customHeight="1">
      <c r="B36" s="350" t="s">
        <v>406</v>
      </c>
      <c r="F36" s="1541">
        <v>1.85807616863556</v>
      </c>
      <c r="G36" s="1541">
        <v>1.85807616863556</v>
      </c>
      <c r="H36" s="1541">
        <f t="shared" ref="H36" si="0">((H20/G20)-1)*100</f>
        <v>0.90724429502404558</v>
      </c>
      <c r="I36" s="360"/>
    </row>
    <row r="37" spans="2:12" s="158" customFormat="1" ht="15.2" customHeight="1">
      <c r="B37" s="361" t="s">
        <v>407</v>
      </c>
      <c r="F37" s="1541"/>
      <c r="G37" s="1542"/>
      <c r="H37" s="1542"/>
      <c r="I37" s="360"/>
    </row>
    <row r="38" spans="2:12" s="158" customFormat="1" ht="7.5" customHeight="1">
      <c r="B38" s="361"/>
      <c r="F38" s="362"/>
      <c r="G38" s="362"/>
      <c r="H38" s="358"/>
      <c r="I38" s="360"/>
    </row>
    <row r="39" spans="2:12" s="158" customFormat="1" ht="15.2" customHeight="1">
      <c r="B39" s="350"/>
      <c r="F39" s="362"/>
      <c r="G39" s="362"/>
      <c r="H39" s="358"/>
      <c r="I39" s="360"/>
    </row>
    <row r="40" spans="2:12" s="158" customFormat="1" ht="15.2" customHeight="1">
      <c r="B40" s="361"/>
      <c r="F40" s="362"/>
      <c r="G40" s="362"/>
      <c r="H40" s="358"/>
      <c r="I40" s="360"/>
    </row>
    <row r="41" spans="2:12" s="158" customFormat="1" ht="7.5" customHeight="1">
      <c r="B41" s="361"/>
      <c r="F41" s="362"/>
      <c r="G41" s="362"/>
      <c r="H41" s="358"/>
      <c r="I41" s="360"/>
    </row>
    <row r="42" spans="2:12" s="158" customFormat="1" ht="15.2" customHeight="1">
      <c r="B42" s="350"/>
      <c r="F42" s="362"/>
      <c r="G42" s="362"/>
      <c r="H42" s="358"/>
      <c r="I42" s="360"/>
    </row>
    <row r="43" spans="2:12" s="158" customFormat="1" ht="15.2" customHeight="1">
      <c r="B43" s="361"/>
      <c r="F43" s="362"/>
      <c r="G43" s="362"/>
      <c r="I43" s="360"/>
    </row>
    <row r="44" spans="2:12" s="158" customFormat="1" ht="15.2" customHeight="1">
      <c r="B44" s="326"/>
      <c r="C44" s="172"/>
      <c r="D44" s="165"/>
      <c r="E44" s="165"/>
      <c r="F44" s="165"/>
      <c r="G44" s="165"/>
    </row>
    <row r="45" spans="2:12" s="158" customFormat="1" ht="7.5" customHeight="1">
      <c r="B45" s="363"/>
      <c r="C45" s="172"/>
      <c r="D45" s="165"/>
      <c r="E45" s="165"/>
      <c r="F45" s="165"/>
      <c r="G45" s="165"/>
    </row>
    <row r="46" spans="2:12" s="158" customFormat="1" ht="15.2" customHeight="1">
      <c r="B46" s="76"/>
    </row>
    <row r="47" spans="2:12" s="158" customFormat="1" ht="15.2" customHeight="1">
      <c r="B47" s="74"/>
      <c r="F47" s="358"/>
      <c r="G47" s="358"/>
      <c r="H47" s="358"/>
      <c r="L47" s="160"/>
    </row>
    <row r="48" spans="2:12" s="158" customFormat="1" ht="15.2" customHeight="1">
      <c r="F48" s="358"/>
      <c r="G48" s="358"/>
      <c r="H48" s="358"/>
    </row>
    <row r="49" spans="1:9" s="158" customFormat="1" ht="15.2" customHeight="1">
      <c r="B49" s="350"/>
      <c r="F49" s="362"/>
      <c r="G49" s="362"/>
      <c r="H49" s="358"/>
      <c r="I49" s="360"/>
    </row>
    <row r="50" spans="1:9" s="158" customFormat="1" ht="15.2" customHeight="1">
      <c r="B50" s="350"/>
      <c r="F50" s="362"/>
      <c r="G50" s="362"/>
      <c r="H50" s="358"/>
      <c r="I50" s="360"/>
    </row>
    <row r="51" spans="1:9" s="158" customFormat="1" ht="15.2" customHeight="1">
      <c r="B51" s="350"/>
      <c r="F51" s="362"/>
      <c r="G51" s="362"/>
      <c r="H51" s="358"/>
      <c r="I51" s="360"/>
    </row>
    <row r="52" spans="1:9" s="158" customFormat="1" ht="15.2" customHeight="1">
      <c r="B52" s="350"/>
      <c r="F52" s="362"/>
      <c r="G52" s="362"/>
      <c r="H52" s="358"/>
      <c r="I52" s="360"/>
    </row>
    <row r="53" spans="1:9" s="158" customFormat="1" ht="15.2" customHeight="1">
      <c r="B53" s="350"/>
      <c r="F53" s="362"/>
      <c r="G53" s="362"/>
      <c r="H53" s="358"/>
      <c r="I53" s="360"/>
    </row>
    <row r="54" spans="1:9" s="158" customFormat="1" ht="15.2" customHeight="1">
      <c r="B54" s="350"/>
      <c r="F54" s="362"/>
      <c r="G54" s="362"/>
      <c r="H54" s="358"/>
      <c r="I54" s="360"/>
    </row>
    <row r="55" spans="1:9" s="158" customFormat="1" ht="15.2" customHeight="1">
      <c r="B55" s="361"/>
      <c r="F55" s="362"/>
      <c r="G55" s="362"/>
      <c r="H55" s="358"/>
      <c r="I55" s="360"/>
    </row>
    <row r="56" spans="1:9" s="158" customFormat="1" ht="7.5" customHeight="1">
      <c r="B56" s="361"/>
      <c r="F56" s="362"/>
      <c r="G56" s="362"/>
      <c r="H56" s="358"/>
      <c r="I56" s="360"/>
    </row>
    <row r="57" spans="1:9" s="158" customFormat="1" ht="15.2" customHeight="1">
      <c r="B57" s="350"/>
      <c r="F57" s="362"/>
      <c r="G57" s="362"/>
      <c r="H57" s="358"/>
      <c r="I57" s="360"/>
    </row>
    <row r="58" spans="1:9" s="158" customFormat="1" ht="15.2" customHeight="1">
      <c r="B58" s="361"/>
      <c r="F58" s="362"/>
      <c r="G58" s="362"/>
      <c r="H58" s="358"/>
      <c r="I58" s="360"/>
    </row>
    <row r="59" spans="1:9" s="158" customFormat="1" ht="7.5" customHeight="1">
      <c r="B59" s="361"/>
      <c r="F59" s="362"/>
      <c r="G59" s="362"/>
      <c r="H59" s="358"/>
      <c r="I59" s="360"/>
    </row>
    <row r="60" spans="1:9" s="158" customFormat="1" ht="15.2" customHeight="1">
      <c r="B60" s="161"/>
      <c r="C60" s="172"/>
      <c r="D60" s="165"/>
      <c r="E60" s="165"/>
      <c r="F60" s="165"/>
      <c r="G60" s="165"/>
    </row>
    <row r="61" spans="1:9" s="158" customFormat="1" ht="15.2" customHeight="1" thickBot="1">
      <c r="A61" s="378"/>
      <c r="B61" s="379"/>
      <c r="C61" s="380"/>
      <c r="D61" s="381"/>
      <c r="E61" s="381"/>
      <c r="F61" s="381"/>
      <c r="G61" s="381"/>
      <c r="H61" s="378"/>
    </row>
    <row r="62" spans="1:9" s="158" customFormat="1" ht="15.2" customHeight="1">
      <c r="B62" s="169"/>
      <c r="C62" s="167"/>
      <c r="D62" s="19"/>
      <c r="E62" s="19"/>
      <c r="F62" s="19"/>
      <c r="G62" s="19"/>
      <c r="H62" s="382" t="s">
        <v>0</v>
      </c>
    </row>
    <row r="63" spans="1:9" s="158" customFormat="1" ht="12" customHeight="1">
      <c r="C63" s="172"/>
      <c r="D63" s="165"/>
      <c r="E63" s="165"/>
      <c r="F63" s="165"/>
      <c r="G63" s="311"/>
      <c r="H63" s="383" t="s">
        <v>1</v>
      </c>
    </row>
    <row r="64" spans="1:9" s="158" customFormat="1" ht="13.5">
      <c r="C64" s="327"/>
      <c r="D64" s="168"/>
      <c r="E64" s="168"/>
      <c r="F64" s="168"/>
      <c r="G64" s="322"/>
      <c r="I64" s="17"/>
    </row>
    <row r="65" spans="2:9" s="158" customFormat="1" ht="15.2" customHeight="1">
      <c r="B65" s="384" t="s">
        <v>397</v>
      </c>
      <c r="C65" s="327"/>
      <c r="D65" s="165"/>
      <c r="E65" s="165"/>
      <c r="F65" s="165"/>
      <c r="G65" s="19"/>
      <c r="I65" s="17"/>
    </row>
    <row r="66" spans="2:9" s="154" customFormat="1" ht="13.5">
      <c r="B66" s="25" t="s">
        <v>1390</v>
      </c>
    </row>
    <row r="67" spans="2:9" s="154" customFormat="1" ht="13.5">
      <c r="B67" s="298" t="s">
        <v>1391</v>
      </c>
    </row>
  </sheetData>
  <mergeCells count="1">
    <mergeCell ref="B6:D6"/>
  </mergeCells>
  <conditionalFormatting sqref="C61:C62">
    <cfRule type="cellIs" dxfId="68" priority="1"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70"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4">
    <tabColor theme="4" tint="0.39997558519241921"/>
    <pageSetUpPr fitToPage="1"/>
  </sheetPr>
  <dimension ref="A1:N59"/>
  <sheetViews>
    <sheetView view="pageBreakPreview" topLeftCell="A13" zoomScale="98" zoomScaleNormal="100" zoomScaleSheetLayoutView="98" workbookViewId="0">
      <selection activeCell="A58" sqref="A58:XFD59"/>
    </sheetView>
  </sheetViews>
  <sheetFormatPr defaultRowHeight="15"/>
  <cols>
    <col min="1" max="1" width="4.5703125" customWidth="1"/>
    <col min="2" max="2" width="9.140625" customWidth="1"/>
    <col min="3" max="3" width="29.7109375" customWidth="1"/>
    <col min="4" max="4" width="30.28515625" customWidth="1"/>
    <col min="5" max="5" width="2.5703125" customWidth="1"/>
    <col min="6" max="6" width="1.85546875" customWidth="1"/>
    <col min="7" max="7" width="1.7109375" customWidth="1"/>
    <col min="8" max="8" width="14.85546875" customWidth="1"/>
    <col min="9" max="9" width="17.5703125" customWidth="1"/>
    <col min="10" max="10" width="17.7109375" customWidth="1"/>
  </cols>
  <sheetData>
    <row r="1" spans="1:14" s="149" customFormat="1" ht="8.25" customHeight="1"/>
    <row r="2" spans="1:14" s="149" customFormat="1" ht="8.25" customHeight="1"/>
    <row r="3" spans="1:14" s="149" customFormat="1" ht="16.5" customHeight="1">
      <c r="A3"/>
      <c r="B3" s="57" t="s">
        <v>410</v>
      </c>
      <c r="C3" s="150" t="s">
        <v>1392</v>
      </c>
      <c r="D3"/>
      <c r="E3"/>
      <c r="F3"/>
      <c r="G3"/>
      <c r="H3"/>
      <c r="I3" s="272"/>
      <c r="J3"/>
      <c r="K3"/>
      <c r="L3"/>
      <c r="M3"/>
      <c r="N3"/>
    </row>
    <row r="4" spans="1:14" s="149" customFormat="1" ht="16.5" customHeight="1">
      <c r="A4"/>
      <c r="B4" s="60" t="s">
        <v>411</v>
      </c>
      <c r="C4" s="151" t="s">
        <v>1393</v>
      </c>
      <c r="D4" s="273"/>
      <c r="E4" s="273"/>
      <c r="F4" s="152"/>
      <c r="G4" s="152"/>
      <c r="H4" s="152"/>
      <c r="I4" s="272"/>
      <c r="J4"/>
      <c r="K4"/>
      <c r="L4"/>
      <c r="M4"/>
      <c r="N4"/>
    </row>
    <row r="5" spans="1:14" s="149" customFormat="1" ht="13.15" customHeight="1" thickBot="1">
      <c r="A5" s="153"/>
      <c r="B5" s="153"/>
      <c r="C5" s="153"/>
      <c r="D5" s="153"/>
      <c r="E5" s="153"/>
      <c r="F5" s="153"/>
      <c r="G5" s="153"/>
      <c r="H5" s="152"/>
      <c r="I5" s="152"/>
      <c r="J5"/>
      <c r="K5"/>
      <c r="L5"/>
      <c r="M5"/>
      <c r="N5"/>
    </row>
    <row r="6" spans="1:14" s="154" customFormat="1" ht="43.15" customHeight="1" thickBot="1">
      <c r="A6" s="7"/>
      <c r="B6" s="2651" t="s">
        <v>997</v>
      </c>
      <c r="C6" s="2651"/>
      <c r="D6" s="7"/>
      <c r="E6" s="7"/>
      <c r="F6" s="7"/>
      <c r="G6" s="274"/>
      <c r="H6" s="274">
        <v>2023</v>
      </c>
      <c r="I6" s="274">
        <v>2024</v>
      </c>
      <c r="J6" s="274">
        <v>2025</v>
      </c>
    </row>
    <row r="7" spans="1:14" s="154" customFormat="1" ht="16.5" customHeight="1">
      <c r="B7" s="155"/>
      <c r="C7" s="156"/>
      <c r="D7" s="157"/>
      <c r="E7" s="157"/>
      <c r="F7" s="157"/>
      <c r="G7" s="157"/>
      <c r="H7" s="157"/>
      <c r="I7" s="157"/>
    </row>
    <row r="8" spans="1:14" s="158" customFormat="1" ht="15.2" customHeight="1">
      <c r="B8" s="76" t="s">
        <v>1308</v>
      </c>
      <c r="D8" s="168"/>
      <c r="E8" s="168"/>
      <c r="F8" s="168"/>
      <c r="G8" s="168"/>
      <c r="H8" s="168"/>
      <c r="I8" s="1522"/>
      <c r="J8" s="168"/>
    </row>
    <row r="9" spans="1:14" s="158" customFormat="1" ht="15.2" customHeight="1">
      <c r="B9" s="161" t="s">
        <v>1309</v>
      </c>
      <c r="D9" s="168"/>
      <c r="E9" s="165"/>
      <c r="F9" s="165"/>
      <c r="G9" s="165"/>
      <c r="H9" s="168"/>
      <c r="I9" s="1522"/>
      <c r="J9" s="168"/>
      <c r="N9" s="160"/>
    </row>
    <row r="10" spans="1:14" s="158" customFormat="1" ht="15.2" customHeight="1">
      <c r="D10" s="165"/>
      <c r="E10" s="165"/>
      <c r="F10" s="165"/>
      <c r="G10" s="165"/>
      <c r="H10" s="168"/>
      <c r="I10" s="1522"/>
      <c r="J10" s="168"/>
    </row>
    <row r="11" spans="1:14" s="158" customFormat="1" ht="17.25" customHeight="1">
      <c r="B11" s="386" t="s">
        <v>1226</v>
      </c>
      <c r="C11" s="167"/>
      <c r="D11" s="165"/>
      <c r="E11" s="159"/>
      <c r="F11" s="159"/>
      <c r="G11" s="159"/>
      <c r="H11" s="159">
        <v>59091.07188467274</v>
      </c>
      <c r="I11" s="159">
        <v>58700.311045550363</v>
      </c>
      <c r="J11" s="1546">
        <v>47204.783253476118</v>
      </c>
    </row>
    <row r="12" spans="1:14" s="158" customFormat="1" ht="17.25" customHeight="1">
      <c r="B12" s="332" t="s">
        <v>1227</v>
      </c>
      <c r="C12" s="167"/>
      <c r="D12" s="168"/>
      <c r="E12" s="168"/>
      <c r="F12" s="168"/>
      <c r="G12" s="168"/>
      <c r="H12" s="168">
        <v>137486.41000000003</v>
      </c>
      <c r="I12" s="168">
        <v>170572.93999999994</v>
      </c>
      <c r="J12" s="1522">
        <v>169287.99700000003</v>
      </c>
    </row>
    <row r="13" spans="1:14" s="158" customFormat="1" ht="17.25" customHeight="1">
      <c r="B13" s="332" t="s">
        <v>1228</v>
      </c>
      <c r="C13" s="167"/>
      <c r="D13" s="168"/>
      <c r="E13" s="168"/>
      <c r="F13" s="168"/>
      <c r="G13" s="168"/>
      <c r="H13" s="168">
        <v>-47161.315399999999</v>
      </c>
      <c r="I13" s="168">
        <v>-60727.947499999995</v>
      </c>
      <c r="J13" s="1522">
        <v>-45418.358000000007</v>
      </c>
    </row>
    <row r="14" spans="1:14" s="158" customFormat="1" ht="17.25" customHeight="1">
      <c r="B14" s="332" t="s">
        <v>1229</v>
      </c>
      <c r="C14" s="172"/>
      <c r="D14" s="168"/>
      <c r="E14" s="168"/>
      <c r="F14" s="168"/>
      <c r="G14" s="168"/>
      <c r="H14" s="168">
        <v>-28520.200715327293</v>
      </c>
      <c r="I14" s="168">
        <v>-41550.525454449584</v>
      </c>
      <c r="J14" s="1522">
        <v>-63554.551746523903</v>
      </c>
    </row>
    <row r="15" spans="1:14" s="158" customFormat="1" ht="17.25" customHeight="1">
      <c r="B15" s="332" t="s">
        <v>1230</v>
      </c>
      <c r="C15" s="167"/>
      <c r="D15" s="168"/>
      <c r="E15" s="168"/>
      <c r="F15" s="168"/>
      <c r="G15" s="168"/>
      <c r="H15" s="168">
        <v>-2713.8220000000001</v>
      </c>
      <c r="I15" s="168">
        <v>-9594.155999999999</v>
      </c>
      <c r="J15" s="1522">
        <v>-13110.304</v>
      </c>
    </row>
    <row r="16" spans="1:14" s="158" customFormat="1" ht="15.2" customHeight="1">
      <c r="B16" s="166"/>
      <c r="C16" s="167"/>
      <c r="D16" s="168"/>
      <c r="E16" s="168"/>
      <c r="F16" s="168"/>
      <c r="G16" s="168"/>
      <c r="H16" s="168"/>
      <c r="I16" s="168"/>
      <c r="J16" s="1522"/>
    </row>
    <row r="17" spans="2:14" s="158" customFormat="1" ht="17.25" customHeight="1">
      <c r="B17" s="166" t="s">
        <v>1231</v>
      </c>
      <c r="C17" s="167"/>
      <c r="D17" s="168"/>
      <c r="E17" s="159"/>
      <c r="F17" s="159"/>
      <c r="G17" s="159"/>
      <c r="H17" s="159">
        <v>-419.149</v>
      </c>
      <c r="I17" s="159">
        <v>-570.57600000000002</v>
      </c>
      <c r="J17" s="1546">
        <v>-460.36100000000005</v>
      </c>
    </row>
    <row r="18" spans="2:14" s="158" customFormat="1" ht="15.2" customHeight="1">
      <c r="B18" s="166"/>
      <c r="C18" s="167"/>
      <c r="D18" s="168"/>
      <c r="E18" s="168"/>
      <c r="F18" s="168"/>
      <c r="G18" s="168"/>
      <c r="H18" s="168"/>
      <c r="I18" s="168"/>
      <c r="J18" s="1522"/>
    </row>
    <row r="19" spans="2:14" s="158" customFormat="1" ht="17.25" customHeight="1">
      <c r="B19" s="166" t="s">
        <v>1232</v>
      </c>
      <c r="C19" s="167"/>
      <c r="D19" s="168"/>
      <c r="E19" s="159"/>
      <c r="F19" s="159"/>
      <c r="G19" s="159"/>
      <c r="H19" s="159">
        <v>-77396.19</v>
      </c>
      <c r="I19" s="159">
        <v>13021.313</v>
      </c>
      <c r="J19" s="1546">
        <v>14822.979999999994</v>
      </c>
    </row>
    <row r="20" spans="2:14" s="158" customFormat="1" ht="15.2" customHeight="1">
      <c r="B20" s="166"/>
      <c r="C20" s="167"/>
      <c r="D20" s="168"/>
      <c r="E20" s="168"/>
      <c r="F20" s="168"/>
      <c r="G20" s="168"/>
      <c r="H20" s="168"/>
      <c r="I20" s="168"/>
      <c r="J20" s="1522"/>
    </row>
    <row r="21" spans="2:14" s="158" customFormat="1" ht="17.25" customHeight="1">
      <c r="B21" s="166" t="s">
        <v>1233</v>
      </c>
      <c r="C21" s="167"/>
      <c r="D21" s="168"/>
      <c r="E21" s="168"/>
      <c r="F21" s="168"/>
      <c r="G21" s="168"/>
      <c r="H21" s="168">
        <v>3111.1150000000007</v>
      </c>
      <c r="I21" s="168">
        <v>28465.504000000001</v>
      </c>
      <c r="J21" s="168">
        <v>15971.271958419988</v>
      </c>
    </row>
    <row r="22" spans="2:14" s="158" customFormat="1" ht="17.25" customHeight="1">
      <c r="B22" s="332" t="s">
        <v>1234</v>
      </c>
      <c r="C22" s="167"/>
      <c r="D22" s="168"/>
      <c r="E22" s="168"/>
      <c r="F22" s="168"/>
      <c r="G22" s="168"/>
      <c r="H22" s="168">
        <v>-10169.849</v>
      </c>
      <c r="I22" s="168">
        <v>-19678.821</v>
      </c>
      <c r="J22" s="1522">
        <v>-57290.096636269976</v>
      </c>
    </row>
    <row r="23" spans="2:14" s="158" customFormat="1" ht="17.25" customHeight="1">
      <c r="B23" s="332" t="s">
        <v>1235</v>
      </c>
      <c r="C23" s="167"/>
      <c r="D23" s="168"/>
      <c r="E23" s="168"/>
      <c r="F23" s="168"/>
      <c r="G23" s="168"/>
      <c r="H23" s="168">
        <v>13280.964</v>
      </c>
      <c r="I23" s="168">
        <v>48144.324999999997</v>
      </c>
      <c r="J23" s="1522">
        <v>73261.368594689964</v>
      </c>
      <c r="N23" s="388"/>
    </row>
    <row r="24" spans="2:14" s="158" customFormat="1" ht="15.2" customHeight="1">
      <c r="B24" s="389"/>
      <c r="C24" s="167"/>
      <c r="D24" s="168"/>
      <c r="E24" s="168"/>
      <c r="F24" s="168"/>
      <c r="G24" s="168"/>
      <c r="H24" s="168"/>
      <c r="I24" s="168"/>
      <c r="J24" s="1522"/>
    </row>
    <row r="25" spans="2:14" s="158" customFormat="1" ht="13.5">
      <c r="B25" s="2723" t="s">
        <v>1312</v>
      </c>
      <c r="C25" s="2723"/>
      <c r="D25" s="390"/>
      <c r="E25" s="391"/>
      <c r="F25" s="391"/>
      <c r="G25" s="391"/>
      <c r="H25" s="391">
        <v>80500</v>
      </c>
      <c r="I25" s="391">
        <v>84900</v>
      </c>
      <c r="J25" s="391">
        <v>63040</v>
      </c>
    </row>
    <row r="26" spans="2:14" s="158" customFormat="1" ht="15.2" customHeight="1">
      <c r="B26" s="2637"/>
      <c r="C26" s="2638"/>
      <c r="D26" s="2639"/>
      <c r="E26" s="2639"/>
      <c r="F26" s="2639"/>
      <c r="G26" s="2639"/>
      <c r="H26" s="168"/>
      <c r="I26" s="168"/>
      <c r="J26" s="2640"/>
    </row>
    <row r="27" spans="2:14" s="158" customFormat="1" ht="29.65" customHeight="1">
      <c r="B27" s="2724" t="s">
        <v>1977</v>
      </c>
      <c r="C27" s="2724"/>
      <c r="D27" s="2724"/>
      <c r="E27" s="391"/>
      <c r="F27" s="391"/>
      <c r="G27" s="391"/>
      <c r="H27" s="159">
        <v>56579.932358000005</v>
      </c>
      <c r="I27" s="159">
        <v>179599</v>
      </c>
      <c r="J27" s="159" t="s">
        <v>1984</v>
      </c>
    </row>
    <row r="28" spans="2:14" s="158" customFormat="1" ht="17.25" customHeight="1">
      <c r="B28" s="332" t="s">
        <v>412</v>
      </c>
      <c r="C28" s="172"/>
      <c r="D28" s="165"/>
      <c r="E28" s="168"/>
      <c r="F28" s="168"/>
      <c r="G28" s="168"/>
      <c r="H28" s="168">
        <v>4204.8024460000006</v>
      </c>
      <c r="I28" s="168">
        <v>3848</v>
      </c>
      <c r="J28" s="168">
        <v>3848</v>
      </c>
      <c r="K28" s="279"/>
    </row>
    <row r="29" spans="2:14" s="176" customFormat="1" ht="17.25" customHeight="1">
      <c r="B29" s="332" t="s">
        <v>413</v>
      </c>
      <c r="C29" s="172"/>
      <c r="D29" s="165"/>
      <c r="E29" s="168"/>
      <c r="F29" s="168"/>
      <c r="G29" s="168"/>
      <c r="H29" s="168">
        <v>2256.2000070000004</v>
      </c>
      <c r="I29" s="168">
        <v>65834</v>
      </c>
      <c r="J29" s="168">
        <v>65834</v>
      </c>
    </row>
    <row r="30" spans="2:14" s="149" customFormat="1" ht="17.25" customHeight="1">
      <c r="B30" s="332" t="s">
        <v>414</v>
      </c>
      <c r="C30" s="172"/>
      <c r="D30" s="165"/>
      <c r="E30" s="2641"/>
      <c r="F30" s="168"/>
      <c r="G30" s="168"/>
      <c r="H30" s="168" t="s">
        <v>205</v>
      </c>
      <c r="I30" s="2640" t="s">
        <v>205</v>
      </c>
      <c r="J30" s="2640" t="s">
        <v>205</v>
      </c>
    </row>
    <row r="31" spans="2:14" s="149" customFormat="1" ht="17.25" customHeight="1">
      <c r="B31" s="332" t="s">
        <v>415</v>
      </c>
      <c r="C31" s="172"/>
      <c r="D31" s="165"/>
      <c r="E31" s="168"/>
      <c r="F31" s="168"/>
      <c r="G31" s="168"/>
      <c r="H31" s="168">
        <v>1272.1534329999999</v>
      </c>
      <c r="I31" s="168">
        <v>3555</v>
      </c>
      <c r="J31" s="168">
        <v>3555</v>
      </c>
    </row>
    <row r="32" spans="2:14" s="149" customFormat="1" ht="17.25" customHeight="1">
      <c r="B32" s="332" t="s">
        <v>416</v>
      </c>
      <c r="C32" s="172"/>
      <c r="D32" s="165"/>
      <c r="E32" s="168"/>
      <c r="F32" s="168"/>
      <c r="G32" s="168"/>
      <c r="H32" s="168">
        <v>3790.2228369999998</v>
      </c>
      <c r="I32" s="168">
        <v>2373</v>
      </c>
      <c r="J32" s="168">
        <v>2373</v>
      </c>
    </row>
    <row r="33" spans="2:11" s="149" customFormat="1" ht="16.5">
      <c r="B33" s="332" t="s">
        <v>417</v>
      </c>
      <c r="C33" s="167"/>
      <c r="D33" s="2642"/>
      <c r="E33" s="2643"/>
      <c r="F33" s="2643"/>
      <c r="G33" s="2643"/>
      <c r="H33" s="2640">
        <v>3749.8658909999999</v>
      </c>
      <c r="I33" s="2640">
        <v>10251</v>
      </c>
      <c r="J33" s="2640">
        <v>10251</v>
      </c>
      <c r="K33" s="279"/>
    </row>
    <row r="34" spans="2:11" s="149" customFormat="1" ht="16.5">
      <c r="B34" s="332" t="s">
        <v>418</v>
      </c>
      <c r="C34" s="172"/>
      <c r="D34" s="165"/>
      <c r="E34" s="168"/>
      <c r="F34" s="168"/>
      <c r="G34" s="168"/>
      <c r="H34" s="168">
        <v>10550.167752000001</v>
      </c>
      <c r="I34" s="168">
        <v>74439</v>
      </c>
      <c r="J34" s="168">
        <v>74439</v>
      </c>
      <c r="K34" s="158"/>
    </row>
    <row r="35" spans="2:11" s="149" customFormat="1" ht="16.5">
      <c r="B35" s="332" t="s">
        <v>419</v>
      </c>
      <c r="C35" s="172"/>
      <c r="D35" s="165"/>
      <c r="E35" s="168"/>
      <c r="F35" s="168"/>
      <c r="G35" s="168"/>
      <c r="H35" s="168">
        <v>1148.786513</v>
      </c>
      <c r="I35" s="168">
        <v>4085</v>
      </c>
      <c r="J35" s="168">
        <v>4085</v>
      </c>
      <c r="K35" s="158"/>
    </row>
    <row r="36" spans="2:11" s="149" customFormat="1" ht="16.5">
      <c r="B36" s="332" t="s">
        <v>420</v>
      </c>
      <c r="C36" s="172"/>
      <c r="D36" s="165"/>
      <c r="E36" s="2641"/>
      <c r="F36" s="2641"/>
      <c r="G36" s="168"/>
      <c r="H36" s="168" t="s">
        <v>205</v>
      </c>
      <c r="I36" s="2640" t="s">
        <v>205</v>
      </c>
      <c r="J36" s="2640" t="s">
        <v>205</v>
      </c>
      <c r="K36" s="158"/>
    </row>
    <row r="37" spans="2:11" s="149" customFormat="1" ht="16.5">
      <c r="B37" s="332" t="s">
        <v>421</v>
      </c>
      <c r="C37" s="172"/>
      <c r="D37" s="165"/>
      <c r="E37" s="168"/>
      <c r="F37" s="168"/>
      <c r="G37" s="168"/>
      <c r="H37" s="168">
        <v>11479.144002000001</v>
      </c>
      <c r="I37" s="168">
        <v>1458</v>
      </c>
      <c r="J37" s="168">
        <v>1458</v>
      </c>
      <c r="K37" s="158"/>
    </row>
    <row r="38" spans="2:11" s="149" customFormat="1" ht="16.5">
      <c r="B38" s="332" t="s">
        <v>422</v>
      </c>
      <c r="C38" s="172"/>
      <c r="D38" s="165"/>
      <c r="E38" s="168"/>
      <c r="F38" s="168"/>
      <c r="G38" s="168"/>
      <c r="H38" s="168">
        <v>1817.0262169999999</v>
      </c>
      <c r="I38" s="168">
        <v>3748</v>
      </c>
      <c r="J38" s="168">
        <v>3748</v>
      </c>
      <c r="K38" s="158"/>
    </row>
    <row r="39" spans="2:11" s="149" customFormat="1" ht="16.5">
      <c r="B39" s="332" t="s">
        <v>423</v>
      </c>
      <c r="C39" s="172"/>
      <c r="D39" s="165"/>
      <c r="E39" s="168"/>
      <c r="F39" s="168"/>
      <c r="G39" s="168"/>
      <c r="H39" s="168">
        <v>11.479357</v>
      </c>
      <c r="I39" s="168">
        <v>4379</v>
      </c>
      <c r="J39" s="168">
        <v>4379</v>
      </c>
      <c r="K39" s="158"/>
    </row>
    <row r="40" spans="2:11" s="149" customFormat="1" ht="16.5">
      <c r="B40" s="332" t="s">
        <v>235</v>
      </c>
      <c r="C40" s="167"/>
      <c r="D40" s="2642"/>
      <c r="E40" s="2643"/>
      <c r="F40" s="2643"/>
      <c r="G40" s="2643"/>
      <c r="H40" s="2640">
        <v>15252.561797</v>
      </c>
      <c r="I40" s="2640">
        <v>5618</v>
      </c>
      <c r="J40" s="2640">
        <v>5618</v>
      </c>
      <c r="K40" s="279"/>
    </row>
    <row r="41" spans="2:11" s="149" customFormat="1" ht="16.5">
      <c r="B41" s="332" t="s">
        <v>424</v>
      </c>
      <c r="C41" s="172"/>
      <c r="D41" s="165"/>
      <c r="E41" s="168"/>
      <c r="F41" s="168"/>
      <c r="G41" s="168"/>
      <c r="H41" s="168">
        <v>1047.5221060000001</v>
      </c>
      <c r="I41" s="168">
        <v>4</v>
      </c>
      <c r="J41" s="168">
        <v>4</v>
      </c>
      <c r="K41" s="158"/>
    </row>
    <row r="42" spans="2:11" s="149" customFormat="1" ht="16.5">
      <c r="B42" s="332" t="s">
        <v>425</v>
      </c>
      <c r="C42" s="172"/>
      <c r="D42" s="165"/>
      <c r="E42" s="2641"/>
      <c r="F42" s="2641"/>
      <c r="G42" s="2641"/>
      <c r="H42" s="2640" t="s">
        <v>205</v>
      </c>
      <c r="I42" s="2640">
        <v>7</v>
      </c>
      <c r="J42" s="2640">
        <v>7</v>
      </c>
      <c r="K42" s="158"/>
    </row>
    <row r="43" spans="2:11" s="149" customFormat="1" ht="16.5">
      <c r="B43" s="332" t="s">
        <v>426</v>
      </c>
      <c r="C43" s="172"/>
      <c r="D43" s="165"/>
      <c r="E43" s="2641"/>
      <c r="F43" s="2641"/>
      <c r="G43" s="2641"/>
      <c r="H43" s="2640" t="s">
        <v>205</v>
      </c>
      <c r="I43" s="2640" t="s">
        <v>205</v>
      </c>
      <c r="J43" s="2640" t="s">
        <v>205</v>
      </c>
      <c r="K43" s="158"/>
    </row>
    <row r="44" spans="2:11" s="149" customFormat="1" ht="16.5">
      <c r="B44" s="166"/>
      <c r="C44" s="167"/>
      <c r="D44" s="2642"/>
      <c r="E44" s="2642"/>
      <c r="F44" s="2642"/>
      <c r="G44" s="2642"/>
      <c r="H44" s="2640"/>
      <c r="I44" s="2640"/>
      <c r="J44" s="168"/>
      <c r="K44" s="279"/>
    </row>
    <row r="45" spans="2:11" s="149" customFormat="1" ht="17.25" thickBot="1">
      <c r="B45" s="392"/>
      <c r="C45" s="393"/>
      <c r="D45" s="393"/>
      <c r="E45" s="393"/>
      <c r="F45" s="393"/>
      <c r="G45" s="393"/>
      <c r="H45" s="1547"/>
      <c r="I45" s="1547"/>
      <c r="J45" s="1547"/>
      <c r="K45" s="176"/>
    </row>
    <row r="46" spans="2:11" s="149" customFormat="1" ht="16.5">
      <c r="B46"/>
      <c r="C46"/>
      <c r="D46"/>
      <c r="E46"/>
      <c r="F46"/>
      <c r="G46"/>
      <c r="H46"/>
      <c r="I46"/>
      <c r="J46" s="51" t="s">
        <v>0</v>
      </c>
      <c r="K46"/>
    </row>
    <row r="47" spans="2:11" s="149" customFormat="1" ht="16.5">
      <c r="B47"/>
      <c r="C47"/>
      <c r="D47"/>
      <c r="E47"/>
      <c r="F47"/>
      <c r="G47"/>
      <c r="H47"/>
      <c r="I47"/>
      <c r="J47" s="51" t="s">
        <v>1978</v>
      </c>
      <c r="K47"/>
    </row>
    <row r="48" spans="2:11" s="149" customFormat="1" ht="16.5">
      <c r="B48"/>
      <c r="C48"/>
      <c r="D48"/>
      <c r="E48"/>
      <c r="F48"/>
      <c r="G48"/>
      <c r="H48"/>
      <c r="I48"/>
      <c r="J48" s="53" t="s">
        <v>1</v>
      </c>
      <c r="K48"/>
    </row>
    <row r="49" spans="1:10" s="149" customFormat="1" ht="16.5">
      <c r="B49"/>
      <c r="C49"/>
      <c r="D49"/>
      <c r="E49"/>
      <c r="F49"/>
      <c r="G49"/>
      <c r="H49"/>
      <c r="I49"/>
      <c r="J49" s="53" t="s">
        <v>1979</v>
      </c>
    </row>
    <row r="50" spans="1:10" s="149" customFormat="1" ht="16.5"/>
    <row r="51" spans="1:10" s="149" customFormat="1" ht="16.5">
      <c r="B51" s="356" t="s">
        <v>1128</v>
      </c>
      <c r="C51"/>
      <c r="D51"/>
      <c r="E51"/>
      <c r="F51"/>
      <c r="G51"/>
      <c r="H51"/>
      <c r="I51"/>
      <c r="J51"/>
    </row>
    <row r="52" spans="1:10" s="1" customFormat="1" ht="16.5">
      <c r="A52" s="297" t="s">
        <v>3</v>
      </c>
      <c r="B52" s="1651" t="s">
        <v>1394</v>
      </c>
    </row>
    <row r="53" spans="1:10" s="1" customFormat="1" ht="16.5">
      <c r="B53" s="24" t="s">
        <v>1395</v>
      </c>
    </row>
    <row r="55" spans="1:10" s="1" customFormat="1" ht="16.5">
      <c r="A55" s="297" t="s">
        <v>4</v>
      </c>
      <c r="B55" s="1651" t="s">
        <v>1980</v>
      </c>
    </row>
    <row r="56" spans="1:10" s="1" customFormat="1" ht="16.5">
      <c r="B56" s="24" t="s">
        <v>1981</v>
      </c>
    </row>
    <row r="58" spans="1:10" s="1" customFormat="1" ht="16.5">
      <c r="A58" s="297" t="s">
        <v>263</v>
      </c>
      <c r="B58" s="1651" t="s">
        <v>1982</v>
      </c>
    </row>
    <row r="59" spans="1:10" s="1" customFormat="1" ht="16.5">
      <c r="B59" s="24" t="s">
        <v>1983</v>
      </c>
    </row>
  </sheetData>
  <mergeCells count="3">
    <mergeCell ref="B6:C6"/>
    <mergeCell ref="B25:C25"/>
    <mergeCell ref="B27:D27"/>
  </mergeCells>
  <conditionalFormatting sqref="C11:C13">
    <cfRule type="cellIs" dxfId="67" priority="6" stopIfTrue="1" operator="lessThan">
      <formula>0</formula>
    </cfRule>
  </conditionalFormatting>
  <conditionalFormatting sqref="C15:C24">
    <cfRule type="cellIs" dxfId="66" priority="3" stopIfTrue="1" operator="lessThan">
      <formula>0</formula>
    </cfRule>
  </conditionalFormatting>
  <conditionalFormatting sqref="C26">
    <cfRule type="cellIs" dxfId="65" priority="2" stopIfTrue="1" operator="lessThan">
      <formula>0</formula>
    </cfRule>
  </conditionalFormatting>
  <conditionalFormatting sqref="C28">
    <cfRule type="cellIs" dxfId="64" priority="1"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70"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68D2-0A48-4442-98DC-47956953187F}">
  <sheetPr codeName="Sheet35">
    <tabColor theme="4" tint="0.39997558519241921"/>
    <pageSetUpPr fitToPage="1"/>
  </sheetPr>
  <dimension ref="A1:AE59"/>
  <sheetViews>
    <sheetView view="pageBreakPreview" topLeftCell="A3" zoomScaleNormal="80" zoomScaleSheetLayoutView="100" workbookViewId="0">
      <selection activeCell="O14" sqref="O14"/>
    </sheetView>
  </sheetViews>
  <sheetFormatPr defaultColWidth="9.140625" defaultRowHeight="16.5"/>
  <cols>
    <col min="1" max="1" width="3" style="1656" customWidth="1"/>
    <col min="2" max="2" width="9.42578125" style="1656" customWidth="1"/>
    <col min="3" max="3" width="2.85546875" style="1656" customWidth="1"/>
    <col min="4" max="4" width="50.85546875" style="1656" customWidth="1"/>
    <col min="5" max="5" width="4.42578125" style="1656" customWidth="1"/>
    <col min="6" max="6" width="13.7109375" style="1656" customWidth="1"/>
    <col min="7" max="7" width="14" style="1656" customWidth="1"/>
    <col min="8" max="8" width="12.85546875" style="1656" customWidth="1"/>
    <col min="9" max="9" width="1.140625" style="1656" customWidth="1"/>
    <col min="10" max="11" width="10.28515625" style="1" customWidth="1"/>
    <col min="12" max="12" width="11.140625" style="1" customWidth="1"/>
    <col min="13" max="13" width="1.42578125" style="1656" customWidth="1"/>
    <col min="14" max="16384" width="9.140625" style="1656"/>
  </cols>
  <sheetData>
    <row r="1" spans="1:14" ht="8.25" hidden="1" customHeight="1"/>
    <row r="2" spans="1:14" ht="8.25" hidden="1" customHeight="1"/>
    <row r="3" spans="1:14" s="1" customFormat="1" ht="17.25" customHeight="1">
      <c r="B3" s="1702" t="s">
        <v>1036</v>
      </c>
      <c r="C3" s="1700" t="s">
        <v>1396</v>
      </c>
      <c r="G3" s="3"/>
    </row>
    <row r="4" spans="1:14" s="1" customFormat="1" ht="18.75" customHeight="1">
      <c r="B4" s="1701" t="s">
        <v>1116</v>
      </c>
      <c r="C4" s="61" t="s">
        <v>1397</v>
      </c>
      <c r="E4" s="4"/>
      <c r="F4" s="4"/>
      <c r="G4" s="3"/>
    </row>
    <row r="5" spans="1:14" s="1" customFormat="1" ht="15" customHeight="1">
      <c r="B5" s="1699"/>
      <c r="C5" s="1699"/>
      <c r="E5" s="4"/>
      <c r="F5" s="4"/>
      <c r="G5" s="3"/>
    </row>
    <row r="6" spans="1:14" s="1692" customFormat="1" ht="28.15" customHeight="1" thickBot="1">
      <c r="A6" s="1694"/>
      <c r="B6" s="1694"/>
      <c r="C6" s="1694"/>
      <c r="D6" s="1694"/>
      <c r="E6" s="1694"/>
      <c r="F6" s="2726" t="s">
        <v>1311</v>
      </c>
      <c r="G6" s="2726"/>
      <c r="H6" s="2726"/>
      <c r="I6" s="1693"/>
      <c r="J6" s="2726" t="s">
        <v>1108</v>
      </c>
      <c r="K6" s="2726"/>
      <c r="L6" s="2726"/>
    </row>
    <row r="7" spans="1:14" s="1686" customFormat="1" ht="29.45" customHeight="1" thickBot="1">
      <c r="A7" s="1691"/>
      <c r="B7" s="2651" t="s">
        <v>5</v>
      </c>
      <c r="C7" s="2651"/>
      <c r="D7" s="2660"/>
      <c r="E7" s="7"/>
      <c r="F7" s="7">
        <v>2023</v>
      </c>
      <c r="G7" s="8">
        <v>2024</v>
      </c>
      <c r="H7" s="8">
        <v>2025</v>
      </c>
      <c r="I7" s="1"/>
      <c r="J7" s="7">
        <v>2023</v>
      </c>
      <c r="K7" s="8">
        <v>2024</v>
      </c>
      <c r="L7" s="8">
        <v>2025</v>
      </c>
    </row>
    <row r="8" spans="1:14" s="1686" customFormat="1" ht="15.6" customHeight="1">
      <c r="B8" s="1690"/>
      <c r="C8" s="1690"/>
      <c r="D8" s="1675"/>
      <c r="E8" s="1689"/>
      <c r="F8" s="1689"/>
      <c r="G8" s="1689"/>
      <c r="H8" s="1688"/>
      <c r="I8" s="1656"/>
      <c r="J8" s="1687"/>
      <c r="K8" s="1687"/>
      <c r="L8" s="1687"/>
    </row>
    <row r="9" spans="1:14" s="1673" customFormat="1" ht="16.149999999999999" customHeight="1">
      <c r="B9" s="14" t="s">
        <v>1179</v>
      </c>
      <c r="C9" s="14"/>
      <c r="D9" s="1675"/>
      <c r="E9" s="516"/>
      <c r="F9" s="1732">
        <v>1550009.274633999</v>
      </c>
      <c r="G9" s="1732">
        <v>1426198.704358001</v>
      </c>
      <c r="H9" s="1732">
        <v>1509290.554015001</v>
      </c>
      <c r="I9" s="1724"/>
      <c r="J9" s="1720">
        <v>7.9877309318186596</v>
      </c>
      <c r="K9" s="1720">
        <v>7.9877309318186596</v>
      </c>
      <c r="L9" s="1720">
        <v>5.8261060960929418</v>
      </c>
    </row>
    <row r="10" spans="1:14" s="1660" customFormat="1" ht="16.149999999999999" customHeight="1">
      <c r="C10" s="14" t="s">
        <v>1236</v>
      </c>
      <c r="D10" s="1675"/>
      <c r="E10" s="1671"/>
      <c r="F10" s="1733"/>
      <c r="G10" s="1733"/>
      <c r="H10" s="1733"/>
      <c r="I10" s="1726"/>
      <c r="J10" s="1721"/>
      <c r="K10" s="1721"/>
      <c r="L10" s="1721"/>
    </row>
    <row r="11" spans="1:14" s="1660" customFormat="1" ht="16.149999999999999" customHeight="1">
      <c r="B11" s="1680"/>
      <c r="C11" s="1680"/>
      <c r="D11" s="1679" t="s">
        <v>1115</v>
      </c>
      <c r="E11" s="1678"/>
      <c r="F11" s="1734">
        <v>120903.07965699992</v>
      </c>
      <c r="G11" s="1734">
        <v>94817.511775000021</v>
      </c>
      <c r="H11" s="1734">
        <v>105785.80643699998</v>
      </c>
      <c r="I11" s="1725"/>
      <c r="J11" s="1721">
        <v>21.575602504091901</v>
      </c>
      <c r="K11" s="1721">
        <v>21.575602504091901</v>
      </c>
      <c r="L11" s="1721">
        <v>11.567794236182333</v>
      </c>
      <c r="N11" s="1682"/>
    </row>
    <row r="12" spans="1:14" s="1660" customFormat="1" ht="16.149999999999999" customHeight="1">
      <c r="B12" s="1680"/>
      <c r="C12" s="1680"/>
      <c r="D12" s="1679" t="s">
        <v>1114</v>
      </c>
      <c r="E12" s="1678"/>
      <c r="F12" s="1734">
        <v>117345.54247200002</v>
      </c>
      <c r="G12" s="1734">
        <v>106078.27368100001</v>
      </c>
      <c r="H12" s="1734">
        <v>103892.09354600002</v>
      </c>
      <c r="I12" s="1725"/>
      <c r="J12" s="1721">
        <v>9.6017867859688906</v>
      </c>
      <c r="K12" s="1721">
        <v>9.6017867859688906</v>
      </c>
      <c r="L12" s="1721">
        <v>2.0609122482274702</v>
      </c>
      <c r="N12" s="1682"/>
    </row>
    <row r="13" spans="1:14" s="1660" customFormat="1" ht="16.149999999999999" customHeight="1">
      <c r="B13" s="1680"/>
      <c r="C13" s="1680"/>
      <c r="D13" s="1679" t="s">
        <v>1113</v>
      </c>
      <c r="E13" s="1678"/>
      <c r="F13" s="1734">
        <v>1304668.458652999</v>
      </c>
      <c r="G13" s="1734">
        <v>1216283.1764760008</v>
      </c>
      <c r="H13" s="1734">
        <v>1289189.092660001</v>
      </c>
      <c r="I13" s="1725"/>
      <c r="J13" s="1721">
        <v>6.7745396610761404</v>
      </c>
      <c r="K13" s="1721">
        <v>6.7745396610761404</v>
      </c>
      <c r="L13" s="1721">
        <v>5.9941564262390132</v>
      </c>
      <c r="N13" s="1682"/>
    </row>
    <row r="14" spans="1:14" s="1660" customFormat="1" ht="16.149999999999999" customHeight="1">
      <c r="B14" s="1680"/>
      <c r="C14" s="1680"/>
      <c r="D14" s="1679" t="s">
        <v>1105</v>
      </c>
      <c r="E14" s="1678"/>
      <c r="F14" s="1734">
        <v>7092.1938520000022</v>
      </c>
      <c r="G14" s="1734">
        <v>9019.7424259999989</v>
      </c>
      <c r="H14" s="1734">
        <v>10423.561371999998</v>
      </c>
      <c r="I14" s="1725"/>
      <c r="J14" s="1721">
        <v>27.178453017840553</v>
      </c>
      <c r="K14" s="1721">
        <v>27.178453017840553</v>
      </c>
      <c r="L14" s="1721">
        <v>15.563847388295693</v>
      </c>
      <c r="N14" s="1682"/>
    </row>
    <row r="15" spans="1:14" s="1660" customFormat="1" ht="15" customHeight="1">
      <c r="B15" s="1676"/>
      <c r="C15" s="1676"/>
      <c r="D15" s="1675"/>
      <c r="E15" s="1684"/>
      <c r="F15" s="1735"/>
      <c r="G15" s="1735"/>
      <c r="H15" s="1735"/>
      <c r="I15" s="1725"/>
      <c r="J15" s="1721"/>
      <c r="K15" s="1721"/>
      <c r="L15" s="1721"/>
    </row>
    <row r="16" spans="1:14" s="1660" customFormat="1" ht="16.149999999999999" customHeight="1">
      <c r="C16" s="14" t="s">
        <v>1110</v>
      </c>
      <c r="D16" s="1675"/>
      <c r="E16" s="1671"/>
      <c r="F16" s="1733"/>
      <c r="G16" s="1733"/>
      <c r="H16" s="1733"/>
      <c r="I16" s="1726"/>
      <c r="J16" s="1721"/>
      <c r="K16" s="1721"/>
      <c r="L16" s="1721"/>
    </row>
    <row r="17" spans="2:14" s="1660" customFormat="1" ht="16.149999999999999" customHeight="1">
      <c r="C17" s="1681" t="s">
        <v>1104</v>
      </c>
      <c r="D17" s="1675"/>
      <c r="E17" s="1671"/>
      <c r="F17" s="1733"/>
      <c r="G17" s="1733"/>
      <c r="H17" s="1733"/>
      <c r="I17" s="1726"/>
      <c r="J17" s="1721"/>
      <c r="K17" s="1721"/>
      <c r="L17" s="1721"/>
    </row>
    <row r="18" spans="2:14" s="1660" customFormat="1" ht="16.149999999999999" customHeight="1">
      <c r="B18" s="1680"/>
      <c r="C18" s="1680"/>
      <c r="D18" s="1679" t="s">
        <v>1103</v>
      </c>
      <c r="E18" s="1678"/>
      <c r="F18" s="1734">
        <v>592955.84293100005</v>
      </c>
      <c r="G18" s="1734">
        <v>575455.29072599998</v>
      </c>
      <c r="H18" s="1734">
        <v>601576.78459399997</v>
      </c>
      <c r="I18" s="1725"/>
      <c r="J18" s="1721">
        <v>2.9514090152977102</v>
      </c>
      <c r="K18" s="1721">
        <v>2.9514090152977102</v>
      </c>
      <c r="L18" s="1721">
        <v>4.5392742562232522</v>
      </c>
      <c r="N18" s="1682"/>
    </row>
    <row r="19" spans="2:14" s="1660" customFormat="1" ht="16.149999999999999" customHeight="1">
      <c r="B19" s="1680"/>
      <c r="C19" s="1680"/>
      <c r="D19" s="1679" t="s">
        <v>1102</v>
      </c>
      <c r="E19" s="1678"/>
      <c r="F19" s="1734">
        <v>149836.129739</v>
      </c>
      <c r="G19" s="1734">
        <v>133870.28451899998</v>
      </c>
      <c r="H19" s="1734">
        <v>117577.34405199997</v>
      </c>
      <c r="I19" s="1725"/>
      <c r="J19" s="1721">
        <v>10.655537651573701</v>
      </c>
      <c r="K19" s="1721">
        <v>10.655537651573701</v>
      </c>
      <c r="L19" s="1721">
        <v>12.1706923426218</v>
      </c>
      <c r="N19" s="1682"/>
    </row>
    <row r="20" spans="2:14" s="1660" customFormat="1" ht="16.149999999999999" customHeight="1">
      <c r="B20" s="1680"/>
      <c r="C20" s="1680"/>
      <c r="D20" s="1679" t="s">
        <v>1107</v>
      </c>
      <c r="E20" s="1678"/>
      <c r="F20" s="1734">
        <v>137985.75492400001</v>
      </c>
      <c r="G20" s="1734">
        <v>102159.76746799999</v>
      </c>
      <c r="H20" s="1734">
        <v>114377.863549</v>
      </c>
      <c r="I20" s="1725"/>
      <c r="J20" s="1721">
        <v>25.963540566729002</v>
      </c>
      <c r="K20" s="1721">
        <v>25.963540566729002</v>
      </c>
      <c r="L20" s="1721">
        <v>11.959792376022337</v>
      </c>
      <c r="N20" s="1682"/>
    </row>
    <row r="21" spans="2:14" s="1660" customFormat="1" ht="16.149999999999999" customHeight="1">
      <c r="B21" s="1680"/>
      <c r="C21" s="1680"/>
      <c r="D21" s="1685" t="s">
        <v>1106</v>
      </c>
      <c r="E21" s="1698"/>
      <c r="F21" s="1736"/>
      <c r="G21" s="1736"/>
      <c r="H21" s="1736"/>
      <c r="I21" s="1725"/>
      <c r="J21" s="1721"/>
      <c r="K21" s="1721"/>
      <c r="L21" s="1721"/>
      <c r="N21" s="1682"/>
    </row>
    <row r="22" spans="2:14" s="1660" customFormat="1" ht="15" customHeight="1">
      <c r="B22" s="1676"/>
      <c r="C22" s="1676"/>
      <c r="D22" s="1675"/>
      <c r="E22" s="1684"/>
      <c r="F22" s="1735"/>
      <c r="G22" s="1735"/>
      <c r="H22" s="1735"/>
      <c r="I22" s="1725"/>
      <c r="J22" s="1721"/>
      <c r="K22" s="1721"/>
      <c r="L22" s="1721"/>
    </row>
    <row r="23" spans="2:14" s="1673" customFormat="1" ht="16.149999999999999" customHeight="1">
      <c r="B23" s="14" t="s">
        <v>1237</v>
      </c>
      <c r="C23" s="14"/>
      <c r="D23" s="10"/>
      <c r="E23" s="516"/>
      <c r="F23" s="1732">
        <v>1293811.3921559998</v>
      </c>
      <c r="G23" s="1732">
        <v>1211044.0406490001</v>
      </c>
      <c r="H23" s="1732">
        <v>1370237.479546</v>
      </c>
      <c r="I23" s="1728"/>
      <c r="J23" s="1720">
        <v>6.3971728807455204</v>
      </c>
      <c r="K23" s="1720">
        <v>6.3971728807455204</v>
      </c>
      <c r="L23" s="1720">
        <v>13.145140354407586</v>
      </c>
      <c r="N23" s="1683"/>
    </row>
    <row r="24" spans="2:14" s="1660" customFormat="1" ht="16.149999999999999" customHeight="1">
      <c r="B24" s="14"/>
      <c r="C24" s="14" t="s">
        <v>1238</v>
      </c>
      <c r="D24" s="10"/>
      <c r="E24" s="42"/>
      <c r="F24" s="1737">
        <v>965836.14379200002</v>
      </c>
      <c r="G24" s="1737">
        <v>895910.06112299999</v>
      </c>
      <c r="H24" s="1737">
        <v>1077006.497762</v>
      </c>
      <c r="I24" s="1725"/>
      <c r="J24" s="1721">
        <v>7.2399529794423501</v>
      </c>
      <c r="K24" s="1721">
        <v>7.2399529794423501</v>
      </c>
      <c r="L24" s="1721">
        <v>20.213684888413944</v>
      </c>
      <c r="N24" s="1682"/>
    </row>
    <row r="25" spans="2:14" s="1660" customFormat="1" ht="16.149999999999999" customHeight="1">
      <c r="C25" s="14" t="s">
        <v>1112</v>
      </c>
      <c r="D25" s="10"/>
      <c r="E25" s="1671"/>
      <c r="F25" s="1733"/>
      <c r="G25" s="1733"/>
      <c r="H25" s="1733"/>
      <c r="I25" s="1725"/>
      <c r="J25" s="1721"/>
      <c r="K25" s="1721"/>
      <c r="L25" s="1721"/>
    </row>
    <row r="26" spans="2:14" s="1660" customFormat="1" ht="16.149999999999999" customHeight="1">
      <c r="B26" s="367"/>
      <c r="C26" s="367"/>
      <c r="D26" s="1679" t="s">
        <v>1111</v>
      </c>
      <c r="E26" s="1678"/>
      <c r="F26" s="1734">
        <v>120231.44983699999</v>
      </c>
      <c r="G26" s="1734">
        <v>128743.418749</v>
      </c>
      <c r="H26" s="1734">
        <v>166098.25771199999</v>
      </c>
      <c r="I26" s="1725"/>
      <c r="J26" s="1721">
        <v>7.0796525564150183</v>
      </c>
      <c r="K26" s="1721">
        <v>7.0796525564150183</v>
      </c>
      <c r="L26" s="1721">
        <v>29.014950298801303</v>
      </c>
      <c r="N26" s="1682"/>
    </row>
    <row r="27" spans="2:14" s="1660" customFormat="1" ht="16.149999999999999" customHeight="1">
      <c r="B27" s="367"/>
      <c r="C27" s="367"/>
      <c r="D27" s="1679" t="s">
        <v>428</v>
      </c>
      <c r="E27" s="1678"/>
      <c r="F27" s="1734">
        <v>706551.23107500002</v>
      </c>
      <c r="G27" s="1734">
        <v>620606.51184599998</v>
      </c>
      <c r="H27" s="1734">
        <v>749247.10145299998</v>
      </c>
      <c r="I27" s="1725"/>
      <c r="J27" s="1721">
        <v>12.1639755829506</v>
      </c>
      <c r="K27" s="1721">
        <v>12.1639755829506</v>
      </c>
      <c r="L27" s="1721">
        <v>20.728204933647465</v>
      </c>
      <c r="N27" s="1682"/>
    </row>
    <row r="28" spans="2:14" s="1660" customFormat="1" ht="16.149999999999999" customHeight="1">
      <c r="B28" s="367"/>
      <c r="C28" s="367"/>
      <c r="D28" s="1679" t="s">
        <v>429</v>
      </c>
      <c r="E28" s="1678"/>
      <c r="F28" s="1734">
        <v>104017.235508</v>
      </c>
      <c r="G28" s="1734">
        <v>104117.734237</v>
      </c>
      <c r="H28" s="1734">
        <v>117413.718655</v>
      </c>
      <c r="I28" s="1725"/>
      <c r="J28" s="1721">
        <v>9.661738125338816E-2</v>
      </c>
      <c r="K28" s="1721">
        <v>9.661738125338816E-2</v>
      </c>
      <c r="L28" s="1721">
        <v>12.770143833263569</v>
      </c>
      <c r="N28" s="1682"/>
    </row>
    <row r="29" spans="2:14" s="1660" customFormat="1" ht="16.149999999999999" customHeight="1">
      <c r="B29" s="1680"/>
      <c r="C29" s="1680"/>
      <c r="D29" s="1679" t="s">
        <v>1105</v>
      </c>
      <c r="E29" s="1678"/>
      <c r="F29" s="1734">
        <f>F24-F26-F27-F28</f>
        <v>35036.227372000008</v>
      </c>
      <c r="G29" s="1734">
        <f>G24-G26-G27-G28</f>
        <v>42442.39629100007</v>
      </c>
      <c r="H29" s="1734">
        <f>H24-H26-H27-H28</f>
        <v>44247.41994199992</v>
      </c>
      <c r="I29" s="1725"/>
      <c r="J29" s="1721">
        <v>21.138602739285989</v>
      </c>
      <c r="K29" s="1721">
        <v>21.138602739285989</v>
      </c>
      <c r="L29" s="1721">
        <v>4.2528787456390775</v>
      </c>
      <c r="N29" s="1682"/>
    </row>
    <row r="30" spans="2:14" s="1660" customFormat="1" ht="16.5" customHeight="1">
      <c r="B30" s="1680"/>
      <c r="C30" s="1680"/>
      <c r="D30" s="1676"/>
      <c r="E30" s="1671"/>
      <c r="F30" s="1733"/>
      <c r="G30" s="1733"/>
      <c r="H30" s="1733"/>
      <c r="I30" s="1725"/>
      <c r="J30" s="1721"/>
      <c r="K30" s="1721"/>
      <c r="L30" s="1721"/>
    </row>
    <row r="31" spans="2:14" s="1660" customFormat="1" ht="16.149999999999999" customHeight="1">
      <c r="C31" s="14" t="s">
        <v>1110</v>
      </c>
      <c r="D31" s="1675"/>
      <c r="E31" s="42"/>
      <c r="F31" s="1737"/>
      <c r="G31" s="1737"/>
      <c r="H31" s="1737"/>
      <c r="I31" s="1729"/>
      <c r="J31" s="1721"/>
      <c r="K31" s="1721"/>
      <c r="L31" s="1721"/>
      <c r="M31" s="6"/>
      <c r="N31" s="6"/>
    </row>
    <row r="32" spans="2:14" s="1660" customFormat="1" ht="16.149999999999999" customHeight="1">
      <c r="C32" s="1681" t="s">
        <v>1104</v>
      </c>
      <c r="D32" s="1675"/>
      <c r="E32" s="42"/>
      <c r="F32" s="1737"/>
      <c r="G32" s="1737"/>
      <c r="H32" s="1737"/>
      <c r="I32" s="1729"/>
      <c r="J32" s="1721"/>
      <c r="K32" s="1721"/>
      <c r="L32" s="1721"/>
      <c r="M32" s="6"/>
      <c r="N32" s="6"/>
    </row>
    <row r="33" spans="1:14" s="1660" customFormat="1" ht="16.149999999999999" customHeight="1">
      <c r="B33" s="1680"/>
      <c r="C33" s="1680"/>
      <c r="D33" s="1679" t="s">
        <v>1103</v>
      </c>
      <c r="E33" s="1678"/>
      <c r="F33" s="1734">
        <v>393473.91991599998</v>
      </c>
      <c r="G33" s="1734">
        <v>355944.50648100005</v>
      </c>
      <c r="H33" s="1734">
        <v>455802.6407300001</v>
      </c>
      <c r="I33" s="1727"/>
      <c r="J33" s="1721">
        <v>9.5379672032677103</v>
      </c>
      <c r="K33" s="1721">
        <v>9.5379672032677103</v>
      </c>
      <c r="L33" s="1721">
        <v>28.054410850790973</v>
      </c>
      <c r="M33" s="6"/>
      <c r="N33" s="1677"/>
    </row>
    <row r="34" spans="1:14" s="1660" customFormat="1" ht="16.149999999999999" customHeight="1">
      <c r="B34" s="1680"/>
      <c r="C34" s="1680"/>
      <c r="D34" s="1679" t="s">
        <v>1102</v>
      </c>
      <c r="E34" s="1678"/>
      <c r="F34" s="1734">
        <v>136762.033788</v>
      </c>
      <c r="G34" s="1734">
        <v>130253.19206999999</v>
      </c>
      <c r="H34" s="1734">
        <v>121417.71246299999</v>
      </c>
      <c r="I34" s="1727"/>
      <c r="J34" s="1721">
        <v>4.7592460697751902</v>
      </c>
      <c r="K34" s="1721">
        <v>4.7592460697751902</v>
      </c>
      <c r="L34" s="1721">
        <v>6.7833113849921496</v>
      </c>
      <c r="M34" s="6"/>
      <c r="N34" s="1677"/>
    </row>
    <row r="35" spans="1:14" s="1660" customFormat="1" ht="16.149999999999999" customHeight="1">
      <c r="B35" s="1680"/>
      <c r="C35" s="1680"/>
      <c r="D35" s="1679" t="s">
        <v>1109</v>
      </c>
      <c r="E35" s="1678"/>
      <c r="F35" s="1734">
        <v>52941.408157999998</v>
      </c>
      <c r="G35" s="1734">
        <v>60972.369946000006</v>
      </c>
      <c r="H35" s="1734">
        <v>63166.548171999988</v>
      </c>
      <c r="I35" s="1727"/>
      <c r="J35" s="1721">
        <v>15.169528101768947</v>
      </c>
      <c r="K35" s="1721">
        <v>15.169528101768947</v>
      </c>
      <c r="L35" s="1721">
        <v>3.5986434969532084</v>
      </c>
      <c r="M35" s="6"/>
      <c r="N35" s="1677"/>
    </row>
    <row r="36" spans="1:14" s="1660" customFormat="1" ht="15" customHeight="1">
      <c r="B36" s="1676"/>
      <c r="C36" s="1676"/>
      <c r="D36" s="1675"/>
      <c r="E36" s="1697"/>
      <c r="F36" s="1738"/>
      <c r="G36" s="1738"/>
      <c r="H36" s="1738"/>
      <c r="I36" s="1727"/>
      <c r="J36" s="1721"/>
      <c r="K36" s="1721"/>
      <c r="L36" s="1721"/>
      <c r="M36" s="6"/>
      <c r="N36" s="6"/>
    </row>
    <row r="37" spans="1:14" s="1673" customFormat="1" ht="16.149999999999999" customHeight="1">
      <c r="A37" s="14"/>
      <c r="B37" s="14" t="s">
        <v>1180</v>
      </c>
      <c r="C37" s="14"/>
      <c r="D37" s="14"/>
      <c r="E37" s="516"/>
      <c r="F37" s="1732">
        <f>F9+F23</f>
        <v>2843820.6667899988</v>
      </c>
      <c r="G37" s="1732">
        <f>G9+G23</f>
        <v>2637242.7450070009</v>
      </c>
      <c r="H37" s="1732">
        <f>H9+H23</f>
        <v>2879528.0335610011</v>
      </c>
      <c r="I37" s="1728"/>
      <c r="J37" s="1720">
        <v>7.2640980563720099</v>
      </c>
      <c r="K37" s="1720">
        <v>7.2640980563720099</v>
      </c>
      <c r="L37" s="1720">
        <v>9.1870681609688916</v>
      </c>
    </row>
    <row r="38" spans="1:14" s="1673" customFormat="1" ht="16.149999999999999" customHeight="1">
      <c r="A38" s="14"/>
      <c r="B38" s="14"/>
      <c r="C38" s="14"/>
      <c r="D38" s="14"/>
      <c r="E38" s="1674"/>
      <c r="F38" s="1739"/>
      <c r="G38" s="1739"/>
      <c r="H38" s="1739"/>
      <c r="I38" s="1728"/>
      <c r="J38" s="1720"/>
      <c r="K38" s="1720"/>
      <c r="L38" s="1720"/>
    </row>
    <row r="39" spans="1:14" s="1673" customFormat="1" ht="16.149999999999999" customHeight="1">
      <c r="A39" s="14"/>
      <c r="B39" s="14" t="s">
        <v>1181</v>
      </c>
      <c r="C39" s="14"/>
      <c r="D39" s="14"/>
      <c r="E39" s="516"/>
      <c r="F39" s="1732">
        <f>F9-F23</f>
        <v>256197.8824779992</v>
      </c>
      <c r="G39" s="1732">
        <f>G9-G23</f>
        <v>215154.66370900092</v>
      </c>
      <c r="H39" s="1732">
        <f>H9-H23</f>
        <v>139053.07446900103</v>
      </c>
      <c r="I39" s="1728"/>
      <c r="J39" s="1720">
        <v>16.020124121253399</v>
      </c>
      <c r="K39" s="1720">
        <v>16.020124121253399</v>
      </c>
      <c r="L39" s="1720">
        <v>35.370643577091201</v>
      </c>
    </row>
    <row r="40" spans="1:14" s="1660" customFormat="1" ht="15" customHeight="1">
      <c r="B40" s="1673"/>
      <c r="C40" s="1673"/>
      <c r="E40" s="516"/>
      <c r="F40" s="1733"/>
      <c r="G40" s="1733"/>
      <c r="H40" s="1733"/>
      <c r="I40" s="1725"/>
      <c r="J40" s="1721"/>
      <c r="K40" s="1721"/>
      <c r="L40" s="1721"/>
    </row>
    <row r="41" spans="1:14" s="1660" customFormat="1" ht="29.1" customHeight="1">
      <c r="A41" s="6"/>
      <c r="B41" s="2725" t="s">
        <v>1101</v>
      </c>
      <c r="C41" s="2725"/>
      <c r="D41" s="2725"/>
      <c r="E41" s="516"/>
      <c r="F41" s="1732">
        <f>SUM(F42:F46)</f>
        <v>1495525.5495340002</v>
      </c>
      <c r="G41" s="1732">
        <f>SUM(G42:G46)</f>
        <v>1397114.066721</v>
      </c>
      <c r="H41" s="1732">
        <f>SUM(H42:H46)</f>
        <v>1600724.294465</v>
      </c>
      <c r="I41" s="1725"/>
      <c r="J41" s="1720">
        <v>6.5803946207181001</v>
      </c>
      <c r="K41" s="1720">
        <v>6.5803946207181001</v>
      </c>
      <c r="L41" s="1720">
        <v>14.573629497687998</v>
      </c>
    </row>
    <row r="42" spans="1:14" s="1660" customFormat="1" ht="16.149999999999999" customHeight="1">
      <c r="A42" s="6"/>
      <c r="B42" s="6"/>
      <c r="C42" s="6"/>
      <c r="D42" s="14" t="s">
        <v>430</v>
      </c>
      <c r="E42" s="1672"/>
      <c r="F42" s="1740">
        <v>486380.56942399999</v>
      </c>
      <c r="G42" s="1740">
        <v>450012.12686800002</v>
      </c>
      <c r="H42" s="1740">
        <v>484245.34087299998</v>
      </c>
      <c r="I42" s="1725"/>
      <c r="J42" s="1721">
        <v>7.4773633739254004</v>
      </c>
      <c r="K42" s="1721">
        <v>7.4773633739254004</v>
      </c>
      <c r="L42" s="1721">
        <v>7.6071758872936837</v>
      </c>
    </row>
    <row r="43" spans="1:14" s="1660" customFormat="1" ht="16.149999999999999" customHeight="1">
      <c r="A43" s="6"/>
      <c r="B43" s="6"/>
      <c r="C43" s="6"/>
      <c r="D43" s="14" t="s">
        <v>1182</v>
      </c>
      <c r="E43" s="1672"/>
      <c r="F43" s="1740">
        <v>367523.70898499998</v>
      </c>
      <c r="G43" s="1740">
        <v>363020.74606999999</v>
      </c>
      <c r="H43" s="1740">
        <v>396262.58990700002</v>
      </c>
      <c r="I43" s="1725"/>
      <c r="J43" s="1721">
        <v>1.22521698734374</v>
      </c>
      <c r="K43" s="1721">
        <v>1.22521698734374</v>
      </c>
      <c r="L43" s="1721">
        <v>9.1570093987383618</v>
      </c>
    </row>
    <row r="44" spans="1:14" s="1660" customFormat="1" ht="16.149999999999999" customHeight="1">
      <c r="A44" s="6"/>
      <c r="B44" s="6"/>
      <c r="C44" s="6"/>
      <c r="D44" s="14" t="s">
        <v>1183</v>
      </c>
      <c r="E44" s="1672"/>
      <c r="F44" s="1740">
        <v>267628.985522</v>
      </c>
      <c r="G44" s="1740">
        <v>250122.732861</v>
      </c>
      <c r="H44" s="1740">
        <v>325157.84817999997</v>
      </c>
      <c r="I44" s="1725"/>
      <c r="J44" s="1721">
        <v>6.5412394053113196</v>
      </c>
      <c r="K44" s="1721">
        <v>6.5412394053113196</v>
      </c>
      <c r="L44" s="1721">
        <v>29.999318518840518</v>
      </c>
    </row>
    <row r="45" spans="1:14" s="1660" customFormat="1" ht="16.149999999999999" customHeight="1">
      <c r="A45" s="6"/>
      <c r="B45" s="6"/>
      <c r="C45" s="6"/>
      <c r="D45" s="14" t="s">
        <v>1184</v>
      </c>
      <c r="E45" s="1672"/>
      <c r="F45" s="1740">
        <v>216244.06753</v>
      </c>
      <c r="G45" s="1740">
        <v>206785.58747999999</v>
      </c>
      <c r="H45" s="1740">
        <v>218910.33463900001</v>
      </c>
      <c r="I45" s="1725"/>
      <c r="J45" s="1721">
        <v>4.3739836001224903</v>
      </c>
      <c r="K45" s="1721">
        <v>4.3739836001224903</v>
      </c>
      <c r="L45" s="1721">
        <v>5.8634391819849192</v>
      </c>
    </row>
    <row r="46" spans="1:14" s="1660" customFormat="1" ht="16.149999999999999" customHeight="1" thickBot="1">
      <c r="A46" s="6"/>
      <c r="B46" s="6"/>
      <c r="C46" s="6"/>
      <c r="D46" s="1711" t="s">
        <v>1100</v>
      </c>
      <c r="E46" s="5"/>
      <c r="F46" s="1741">
        <v>157748.218073</v>
      </c>
      <c r="G46" s="1741">
        <v>127172.873442</v>
      </c>
      <c r="H46" s="1741">
        <v>176148.18086600001</v>
      </c>
      <c r="I46" s="1730"/>
      <c r="J46" s="1722">
        <v>19.382370846719098</v>
      </c>
      <c r="K46" s="1722">
        <v>19.382370846719098</v>
      </c>
      <c r="L46" s="1722">
        <v>38.510812957557562</v>
      </c>
    </row>
    <row r="47" spans="1:14" s="1660" customFormat="1" ht="6.6" customHeight="1">
      <c r="A47" s="6"/>
      <c r="B47" s="6"/>
      <c r="C47" s="6"/>
      <c r="E47" s="1696"/>
      <c r="F47" s="1731"/>
      <c r="G47" s="1731"/>
      <c r="H47" s="1731"/>
      <c r="I47" s="1725"/>
      <c r="J47" s="1721"/>
      <c r="K47" s="1721"/>
      <c r="L47" s="1721"/>
    </row>
    <row r="48" spans="1:14" s="1660" customFormat="1" ht="24.6" customHeight="1">
      <c r="A48" s="6"/>
      <c r="B48" s="14"/>
      <c r="C48" s="14"/>
      <c r="D48" s="1695" t="s">
        <v>1310</v>
      </c>
      <c r="E48" s="35"/>
      <c r="F48" s="1723"/>
      <c r="G48" s="1723"/>
      <c r="H48" s="1723"/>
      <c r="I48" s="1725"/>
      <c r="J48" s="1720">
        <f>J41/J37*100</f>
        <v>90.587910152807339</v>
      </c>
      <c r="K48" s="1720">
        <f>K41/K37*100</f>
        <v>90.587910152807339</v>
      </c>
      <c r="L48" s="1720">
        <f>L41/L37*100</f>
        <v>158.63199491219433</v>
      </c>
    </row>
    <row r="49" spans="1:31" s="1658" customFormat="1" ht="8.25" customHeight="1" thickBot="1">
      <c r="A49" s="1670"/>
      <c r="B49" s="1670"/>
      <c r="C49" s="1670"/>
      <c r="D49" s="1670"/>
      <c r="E49" s="1670"/>
      <c r="F49" s="1670"/>
      <c r="G49" s="1670"/>
      <c r="H49" s="1670"/>
      <c r="I49" s="1670"/>
      <c r="J49" s="1669"/>
      <c r="K49" s="1669"/>
      <c r="L49" s="1669"/>
    </row>
    <row r="50" spans="1:31" s="1658" customFormat="1" ht="15" customHeight="1" thickTop="1">
      <c r="E50" s="1668"/>
      <c r="F50" s="1668"/>
      <c r="H50" s="1665"/>
      <c r="I50" s="1665"/>
      <c r="J50" s="20"/>
      <c r="K50" s="20"/>
      <c r="L50" s="292" t="s">
        <v>0</v>
      </c>
    </row>
    <row r="51" spans="1:31" s="1658" customFormat="1">
      <c r="B51" s="1667"/>
      <c r="C51" s="1667"/>
      <c r="D51" s="1665"/>
      <c r="E51" s="1665"/>
      <c r="F51" s="1665"/>
      <c r="G51" s="1665"/>
      <c r="J51" s="4"/>
      <c r="K51" s="4"/>
      <c r="L51" s="293" t="s">
        <v>1</v>
      </c>
    </row>
    <row r="52" spans="1:31" s="1663" customFormat="1" ht="15" customHeight="1">
      <c r="A52" s="1664"/>
      <c r="B52" s="1662"/>
      <c r="C52" s="1662"/>
      <c r="D52" s="1665"/>
      <c r="E52" s="1659"/>
      <c r="F52" s="1659"/>
      <c r="G52" s="1659"/>
      <c r="H52" s="1664"/>
      <c r="I52" s="1665"/>
      <c r="J52" s="20"/>
      <c r="K52" s="20"/>
      <c r="L52" s="20"/>
      <c r="M52" s="1664"/>
      <c r="N52" s="1664"/>
      <c r="O52" s="1664"/>
      <c r="P52" s="1664"/>
      <c r="Q52" s="1664"/>
      <c r="R52" s="1664"/>
      <c r="S52" s="1664"/>
      <c r="T52" s="1664"/>
      <c r="U52" s="1664"/>
      <c r="V52" s="1664"/>
      <c r="W52" s="1664"/>
      <c r="X52" s="1664"/>
      <c r="Y52" s="1664"/>
      <c r="Z52" s="1664"/>
      <c r="AA52" s="1664"/>
      <c r="AB52" s="1664"/>
      <c r="AC52" s="1664"/>
      <c r="AD52" s="1664"/>
      <c r="AE52" s="1664"/>
    </row>
    <row r="53" spans="1:31" s="1663" customFormat="1" ht="15" customHeight="1">
      <c r="A53" s="1666"/>
      <c r="B53" s="1662"/>
      <c r="C53" s="1662"/>
      <c r="D53" s="1665"/>
      <c r="E53" s="1659"/>
      <c r="F53" s="1659"/>
      <c r="G53" s="1659"/>
      <c r="H53" s="1664"/>
      <c r="I53" s="1665"/>
      <c r="J53" s="20"/>
      <c r="K53" s="20"/>
      <c r="L53" s="20"/>
      <c r="M53" s="1664"/>
      <c r="N53" s="1664"/>
      <c r="O53" s="1664"/>
      <c r="P53" s="1664"/>
      <c r="Q53" s="1664"/>
      <c r="R53" s="1664"/>
      <c r="S53" s="1664"/>
      <c r="T53" s="1664"/>
      <c r="U53" s="1664"/>
      <c r="V53" s="1664"/>
      <c r="W53" s="1664"/>
      <c r="X53" s="1664"/>
      <c r="Y53" s="1664"/>
      <c r="Z53" s="1664"/>
      <c r="AA53" s="1664"/>
      <c r="AB53" s="1664"/>
      <c r="AC53" s="1664"/>
      <c r="AD53" s="1664"/>
      <c r="AE53" s="1664"/>
    </row>
    <row r="54" spans="1:31" s="1663" customFormat="1" ht="15" customHeight="1">
      <c r="A54" s="1664"/>
      <c r="B54" s="1662"/>
      <c r="C54" s="1662"/>
      <c r="D54" s="1665"/>
      <c r="E54" s="1659"/>
      <c r="F54" s="1659"/>
      <c r="G54" s="1659"/>
      <c r="H54" s="1664"/>
      <c r="I54" s="1665"/>
      <c r="J54" s="20"/>
      <c r="K54" s="20"/>
      <c r="L54" s="20"/>
      <c r="M54" s="1664"/>
      <c r="N54" s="1664"/>
      <c r="O54" s="1664"/>
      <c r="P54" s="1664"/>
      <c r="Q54" s="1664"/>
      <c r="R54" s="1664"/>
      <c r="S54" s="1664"/>
      <c r="T54" s="1664"/>
      <c r="U54" s="1664"/>
      <c r="V54" s="1664"/>
      <c r="W54" s="1664"/>
      <c r="X54" s="1664"/>
      <c r="Y54" s="1664"/>
      <c r="Z54" s="1664"/>
      <c r="AA54" s="1664"/>
      <c r="AB54" s="1664"/>
      <c r="AC54" s="1664"/>
      <c r="AD54" s="1664"/>
      <c r="AE54" s="1664"/>
    </row>
    <row r="55" spans="1:31" s="1663" customFormat="1" ht="15" customHeight="1">
      <c r="A55" s="1664"/>
      <c r="B55" s="1662"/>
      <c r="C55" s="1662"/>
      <c r="D55" s="1665"/>
      <c r="E55" s="1659"/>
      <c r="F55" s="1659"/>
      <c r="G55" s="1659"/>
      <c r="H55" s="1664"/>
      <c r="I55" s="1665"/>
      <c r="J55" s="20"/>
      <c r="K55" s="20"/>
      <c r="L55" s="20"/>
      <c r="M55" s="1664"/>
      <c r="N55" s="1664"/>
      <c r="O55" s="1664"/>
      <c r="P55" s="1664"/>
      <c r="Q55" s="1664"/>
      <c r="R55" s="1664"/>
      <c r="S55" s="1664"/>
      <c r="T55" s="1664"/>
      <c r="U55" s="1664"/>
      <c r="V55" s="1664"/>
      <c r="W55" s="1664"/>
      <c r="X55" s="1664"/>
      <c r="Y55" s="1664"/>
      <c r="Z55" s="1664"/>
      <c r="AA55" s="1664"/>
      <c r="AB55" s="1664"/>
      <c r="AC55" s="1664"/>
      <c r="AD55" s="1664"/>
      <c r="AE55" s="1664"/>
    </row>
    <row r="56" spans="1:31" s="1663" customFormat="1" ht="15" customHeight="1">
      <c r="A56" s="1664"/>
      <c r="B56" s="1661"/>
      <c r="C56" s="1661"/>
      <c r="D56" s="1665"/>
      <c r="E56" s="1659"/>
      <c r="F56" s="1659"/>
      <c r="G56" s="1659"/>
      <c r="H56" s="1664"/>
      <c r="I56" s="1665"/>
      <c r="J56" s="20"/>
      <c r="K56" s="20"/>
      <c r="L56" s="20"/>
      <c r="M56" s="1664"/>
      <c r="N56" s="1664"/>
      <c r="O56" s="1664"/>
      <c r="P56" s="1664"/>
      <c r="Q56" s="1664"/>
      <c r="R56" s="1664"/>
      <c r="S56" s="1664"/>
      <c r="T56" s="1664"/>
      <c r="U56" s="1664"/>
      <c r="V56" s="1664"/>
      <c r="W56" s="1664"/>
      <c r="X56" s="1664"/>
      <c r="Y56" s="1664"/>
      <c r="Z56" s="1664"/>
      <c r="AA56" s="1664"/>
      <c r="AB56" s="1664"/>
      <c r="AC56" s="1664"/>
      <c r="AD56" s="1664"/>
      <c r="AE56" s="1664"/>
    </row>
    <row r="57" spans="1:31" s="1657" customFormat="1" ht="15" customHeight="1">
      <c r="A57" s="1656"/>
      <c r="B57" s="1662"/>
      <c r="C57" s="1662"/>
      <c r="D57" s="1660"/>
      <c r="E57" s="1659"/>
      <c r="F57" s="1659"/>
      <c r="G57" s="1659"/>
      <c r="H57" s="1656"/>
      <c r="I57" s="1658"/>
      <c r="J57" s="4"/>
      <c r="K57" s="4"/>
      <c r="L57" s="4"/>
      <c r="M57" s="1656"/>
      <c r="N57" s="1656"/>
      <c r="O57" s="1656"/>
      <c r="P57" s="1656"/>
      <c r="Q57" s="1656"/>
      <c r="R57" s="1656"/>
      <c r="S57" s="1656"/>
      <c r="T57" s="1656"/>
      <c r="U57" s="1656"/>
      <c r="V57" s="1656"/>
      <c r="W57" s="1656"/>
      <c r="X57" s="1656"/>
      <c r="Y57" s="1656"/>
      <c r="Z57" s="1656"/>
      <c r="AA57" s="1656"/>
      <c r="AB57" s="1656"/>
      <c r="AC57" s="1656"/>
      <c r="AD57" s="1656"/>
      <c r="AE57" s="1656"/>
    </row>
    <row r="58" spans="1:31" s="1657" customFormat="1" ht="15" customHeight="1">
      <c r="A58" s="1656"/>
      <c r="B58" s="1662"/>
      <c r="C58" s="1662"/>
      <c r="D58" s="1660"/>
      <c r="E58" s="1659"/>
      <c r="F58" s="1659"/>
      <c r="G58" s="1659"/>
      <c r="H58" s="1656"/>
      <c r="I58" s="1658"/>
      <c r="J58" s="4"/>
      <c r="K58" s="4"/>
      <c r="L58" s="4"/>
      <c r="M58" s="1656"/>
      <c r="N58" s="1656"/>
      <c r="O58" s="1656"/>
      <c r="P58" s="1656"/>
      <c r="Q58" s="1656"/>
      <c r="R58" s="1656"/>
      <c r="S58" s="1656"/>
      <c r="T58" s="1656"/>
      <c r="U58" s="1656"/>
      <c r="V58" s="1656"/>
      <c r="W58" s="1656"/>
      <c r="X58" s="1656"/>
      <c r="Y58" s="1656"/>
      <c r="Z58" s="1656"/>
      <c r="AA58" s="1656"/>
      <c r="AB58" s="1656"/>
      <c r="AC58" s="1656"/>
      <c r="AD58" s="1656"/>
      <c r="AE58" s="1656"/>
    </row>
    <row r="59" spans="1:31" s="1657" customFormat="1" ht="15" customHeight="1">
      <c r="A59" s="1656"/>
      <c r="B59" s="1661"/>
      <c r="C59" s="1661"/>
      <c r="D59" s="1660"/>
      <c r="E59" s="1659"/>
      <c r="F59" s="1659"/>
      <c r="G59" s="1659"/>
      <c r="H59" s="1656"/>
      <c r="I59" s="1658"/>
      <c r="J59" s="4"/>
      <c r="K59" s="4"/>
      <c r="L59" s="4"/>
      <c r="M59" s="1656"/>
      <c r="N59" s="1656"/>
      <c r="O59" s="1656"/>
      <c r="P59" s="1656"/>
      <c r="Q59" s="1656"/>
      <c r="R59" s="1656"/>
      <c r="S59" s="1656"/>
      <c r="T59" s="1656"/>
      <c r="U59" s="1656"/>
      <c r="V59" s="1656"/>
      <c r="W59" s="1656"/>
      <c r="X59" s="1656"/>
      <c r="Y59" s="1656"/>
      <c r="Z59" s="1656"/>
      <c r="AA59" s="1656"/>
      <c r="AB59" s="1656"/>
      <c r="AC59" s="1656"/>
      <c r="AD59" s="1656"/>
      <c r="AE59" s="1656"/>
    </row>
  </sheetData>
  <mergeCells count="4">
    <mergeCell ref="B41:D41"/>
    <mergeCell ref="B7:D7"/>
    <mergeCell ref="F6:H6"/>
    <mergeCell ref="J6:L6"/>
  </mergeCells>
  <conditionalFormatting sqref="D37:D40 D42:D46 E46 D48">
    <cfRule type="cellIs" dxfId="63" priority="2" stopIfTrue="1" operator="lessThan">
      <formula>0</formula>
    </cfRule>
  </conditionalFormatting>
  <conditionalFormatting sqref="H40">
    <cfRule type="cellIs" dxfId="62" priority="1" stopIfTrue="1" operator="lessThan">
      <formula>0</formula>
    </cfRule>
  </conditionalFormatting>
  <printOptions horizontalCentered="1"/>
  <pageMargins left="0.55118110236220474" right="0.26" top="0.55118110236220474" bottom="0.55118110236220474" header="0.55118110236220474" footer="0.55118110236220474"/>
  <pageSetup paperSize="9" scale="65"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6">
    <tabColor theme="4" tint="0.39997558519241921"/>
    <pageSetUpPr fitToPage="1"/>
  </sheetPr>
  <dimension ref="B1:J22"/>
  <sheetViews>
    <sheetView view="pageBreakPreview" zoomScaleNormal="100" zoomScaleSheetLayoutView="100" workbookViewId="0">
      <selection activeCell="J12" sqref="J12"/>
    </sheetView>
  </sheetViews>
  <sheetFormatPr defaultRowHeight="15"/>
  <cols>
    <col min="1" max="1" width="1.7109375" customWidth="1"/>
    <col min="2" max="2" width="11.7109375" customWidth="1"/>
    <col min="3" max="3" width="40.7109375" customWidth="1"/>
    <col min="4" max="4" width="35.7109375" customWidth="1"/>
    <col min="5" max="6" width="13.28515625" customWidth="1"/>
    <col min="7" max="7" width="12.42578125" customWidth="1"/>
  </cols>
  <sheetData>
    <row r="1" spans="2:10" s="56" customFormat="1" ht="8.25" customHeight="1"/>
    <row r="2" spans="2:10" s="56" customFormat="1" ht="8.25" customHeight="1"/>
    <row r="3" spans="2:10" s="58" customFormat="1" ht="16.5" customHeight="1">
      <c r="B3" s="57" t="s">
        <v>431</v>
      </c>
      <c r="C3" s="2" t="s">
        <v>1398</v>
      </c>
      <c r="J3" s="59"/>
    </row>
    <row r="4" spans="2:10" s="58" customFormat="1" ht="16.5" customHeight="1">
      <c r="B4" s="60" t="s">
        <v>432</v>
      </c>
      <c r="C4" s="61" t="s">
        <v>1399</v>
      </c>
      <c r="D4" s="62"/>
      <c r="E4" s="63"/>
      <c r="F4" s="63"/>
      <c r="G4" s="63"/>
      <c r="H4" s="63"/>
      <c r="I4" s="63"/>
      <c r="J4" s="59"/>
    </row>
    <row r="5" spans="2:10" s="56" customFormat="1" ht="13.15" customHeight="1" thickBot="1">
      <c r="B5" s="64"/>
      <c r="C5" s="64"/>
      <c r="D5" s="64"/>
      <c r="E5" s="64"/>
      <c r="F5" s="64"/>
      <c r="G5" s="64"/>
      <c r="H5" s="64"/>
      <c r="I5" s="64"/>
      <c r="J5" s="64"/>
    </row>
    <row r="6" spans="2:10" s="66" customFormat="1" ht="34.9" customHeight="1" thickBot="1">
      <c r="B6" s="2728" t="s">
        <v>998</v>
      </c>
      <c r="C6" s="2728"/>
      <c r="D6" s="1455"/>
      <c r="E6" s="1455">
        <v>2023</v>
      </c>
      <c r="F6" s="1455">
        <v>2024</v>
      </c>
      <c r="G6" s="1455">
        <v>2025</v>
      </c>
      <c r="H6" s="65"/>
      <c r="I6" s="65"/>
      <c r="J6"/>
    </row>
    <row r="7" spans="2:10" s="66" customFormat="1" ht="19.899999999999999" customHeight="1">
      <c r="B7" s="2698"/>
      <c r="C7" s="2698"/>
      <c r="D7"/>
      <c r="E7"/>
      <c r="F7"/>
      <c r="G7"/>
      <c r="H7" s="69"/>
      <c r="I7" s="70"/>
      <c r="J7"/>
    </row>
    <row r="8" spans="2:10" s="68" customFormat="1" ht="19.899999999999999" customHeight="1">
      <c r="B8" s="2732" t="s">
        <v>6</v>
      </c>
      <c r="C8" s="2732"/>
      <c r="D8" s="71"/>
      <c r="E8" s="1548">
        <v>103183.759714306</v>
      </c>
      <c r="F8" s="1548">
        <v>40424.334334178719</v>
      </c>
      <c r="G8" s="1473">
        <v>18410.1937419723</v>
      </c>
      <c r="H8" s="67"/>
      <c r="I8" s="72"/>
      <c r="J8"/>
    </row>
    <row r="9" spans="2:10" s="66" customFormat="1" ht="19.899999999999999" customHeight="1">
      <c r="B9" s="73" t="s">
        <v>7</v>
      </c>
      <c r="C9" s="74"/>
      <c r="D9" s="71"/>
      <c r="E9" s="1548"/>
      <c r="F9" s="1548"/>
      <c r="G9" s="1473"/>
      <c r="H9" s="67"/>
      <c r="I9" s="72"/>
      <c r="J9"/>
    </row>
    <row r="10" spans="2:10" s="66" customFormat="1" ht="19.899999999999999" customHeight="1">
      <c r="B10" s="2729" t="s">
        <v>8</v>
      </c>
      <c r="C10" s="2730"/>
      <c r="D10" s="75"/>
      <c r="E10" s="1549">
        <v>92638.159</v>
      </c>
      <c r="F10" s="1549">
        <v>38634.646976337019</v>
      </c>
      <c r="G10" s="1550">
        <v>17450.979950057801</v>
      </c>
      <c r="H10" s="69"/>
      <c r="I10" s="70"/>
      <c r="J10"/>
    </row>
    <row r="11" spans="2:10" s="66" customFormat="1" ht="19.899999999999999" customHeight="1">
      <c r="B11" s="2729" t="s">
        <v>9</v>
      </c>
      <c r="C11" s="2730"/>
      <c r="D11" s="75"/>
      <c r="E11" s="1549">
        <v>10545.602000000001</v>
      </c>
      <c r="F11" s="1549">
        <v>1789.6873578417001</v>
      </c>
      <c r="G11" s="1550">
        <v>959.21379191450001</v>
      </c>
      <c r="H11" s="69"/>
      <c r="I11" s="70"/>
      <c r="J11"/>
    </row>
    <row r="12" spans="2:10" s="66" customFormat="1" ht="19.899999999999999" customHeight="1">
      <c r="B12" s="2731"/>
      <c r="C12" s="2731"/>
      <c r="D12" s="75"/>
      <c r="E12" s="1549"/>
      <c r="F12" s="1549"/>
      <c r="G12" s="1550"/>
      <c r="H12" s="69"/>
      <c r="I12" s="70"/>
      <c r="J12"/>
    </row>
    <row r="13" spans="2:10" s="66" customFormat="1" ht="19.899999999999999" customHeight="1">
      <c r="B13" s="76" t="s">
        <v>10</v>
      </c>
      <c r="C13" s="76"/>
      <c r="D13" s="71"/>
      <c r="E13" s="1548">
        <v>239120.86566456899</v>
      </c>
      <c r="F13" s="1548">
        <v>131660.1507882</v>
      </c>
      <c r="G13" s="1473">
        <v>65975.955000000002</v>
      </c>
      <c r="H13" s="69"/>
      <c r="I13" s="70"/>
      <c r="J13"/>
    </row>
    <row r="14" spans="2:10" s="66" customFormat="1" ht="19.899999999999999" customHeight="1">
      <c r="B14" s="73" t="s">
        <v>11</v>
      </c>
      <c r="C14" s="74"/>
      <c r="D14" s="71"/>
      <c r="E14" s="1548"/>
      <c r="F14" s="1548"/>
      <c r="G14" s="1473"/>
      <c r="H14" s="69"/>
      <c r="I14" s="70"/>
      <c r="J14"/>
    </row>
    <row r="15" spans="2:10" s="66" customFormat="1" ht="19.899999999999999" customHeight="1">
      <c r="B15" s="2727" t="s">
        <v>433</v>
      </c>
      <c r="C15" s="2727"/>
      <c r="D15" s="75"/>
      <c r="E15" s="1549">
        <v>134885</v>
      </c>
      <c r="F15" s="1549">
        <v>134885</v>
      </c>
      <c r="G15" s="1550">
        <v>51093.125999999997</v>
      </c>
      <c r="H15" s="69"/>
      <c r="I15" s="70"/>
      <c r="J15"/>
    </row>
    <row r="16" spans="2:10" s="66" customFormat="1" ht="19.899999999999999" customHeight="1">
      <c r="B16" s="2727" t="s">
        <v>434</v>
      </c>
      <c r="C16" s="2727"/>
      <c r="D16" s="75"/>
      <c r="E16" s="1549">
        <v>70523</v>
      </c>
      <c r="F16" s="1549">
        <v>70523</v>
      </c>
      <c r="G16" s="1550">
        <v>14882.829</v>
      </c>
      <c r="H16" s="69"/>
      <c r="I16" s="70"/>
    </row>
    <row r="17" spans="2:9" s="66" customFormat="1" ht="19.899999999999999" customHeight="1">
      <c r="B17" s="77"/>
      <c r="C17" s="78"/>
      <c r="D17" s="75"/>
      <c r="E17" s="1549"/>
      <c r="F17" s="1549"/>
      <c r="G17" s="1550"/>
      <c r="H17" s="69"/>
      <c r="I17" s="70"/>
    </row>
    <row r="18" spans="2:9" s="66" customFormat="1" ht="19.899999999999999" customHeight="1">
      <c r="B18" s="76" t="s">
        <v>12</v>
      </c>
      <c r="C18" s="76"/>
      <c r="D18" s="71"/>
      <c r="E18" s="1548">
        <v>332378.00327375002</v>
      </c>
      <c r="F18" s="1548">
        <v>146990.04357459999</v>
      </c>
      <c r="G18" s="1473">
        <v>72398.831000000006</v>
      </c>
      <c r="H18" s="394"/>
      <c r="I18" s="72"/>
    </row>
    <row r="19" spans="2:9" s="66" customFormat="1" ht="19.899999999999999" customHeight="1">
      <c r="B19" s="74" t="s">
        <v>13</v>
      </c>
      <c r="C19" s="74"/>
      <c r="D19" s="71"/>
      <c r="E19" s="71"/>
      <c r="F19" s="71"/>
      <c r="G19" s="71"/>
      <c r="H19" s="394"/>
      <c r="I19" s="72"/>
    </row>
    <row r="20" spans="2:9" s="66" customFormat="1" ht="19.899999999999999" customHeight="1" thickBot="1">
      <c r="B20" s="80"/>
      <c r="C20" s="80"/>
      <c r="D20" s="80"/>
      <c r="E20" s="80"/>
      <c r="F20" s="80"/>
      <c r="G20" s="80"/>
      <c r="H20" s="69"/>
      <c r="I20" s="70"/>
    </row>
    <row r="21" spans="2:9" s="82" customFormat="1" ht="15.2" customHeight="1">
      <c r="D21" s="49"/>
      <c r="E21" s="49"/>
      <c r="F21" s="49"/>
      <c r="G21" s="51" t="s">
        <v>0</v>
      </c>
    </row>
    <row r="22" spans="2:9" s="82" customFormat="1" ht="15.2" customHeight="1">
      <c r="B22" s="83"/>
      <c r="D22" s="50"/>
      <c r="E22" s="50"/>
      <c r="F22" s="50"/>
      <c r="G22" s="53" t="s">
        <v>1</v>
      </c>
    </row>
  </sheetData>
  <mergeCells count="8">
    <mergeCell ref="B16:C16"/>
    <mergeCell ref="B6:C6"/>
    <mergeCell ref="B7:C7"/>
    <mergeCell ref="B10:C10"/>
    <mergeCell ref="B11:C11"/>
    <mergeCell ref="B12:C12"/>
    <mergeCell ref="B15:C15"/>
    <mergeCell ref="B8:C8"/>
  </mergeCells>
  <printOptions horizontalCentered="1"/>
  <pageMargins left="0.55118110236220474" right="0.55118110236220474" top="0.55118110236220474" bottom="0.55118110236220474" header="0.31496062992125984" footer="0.31496062992125984"/>
  <pageSetup paperSize="9" scale="70"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7">
    <tabColor theme="4" tint="0.39997558519241921"/>
    <pageSetUpPr fitToPage="1"/>
  </sheetPr>
  <dimension ref="A1:J37"/>
  <sheetViews>
    <sheetView view="pageBreakPreview" zoomScaleNormal="100" zoomScaleSheetLayoutView="100" workbookViewId="0">
      <selection activeCell="K6" sqref="K6"/>
    </sheetView>
  </sheetViews>
  <sheetFormatPr defaultRowHeight="15"/>
  <cols>
    <col min="1" max="1" width="5.85546875" customWidth="1"/>
    <col min="2" max="2" width="6.5703125" customWidth="1"/>
    <col min="3" max="3" width="60.85546875" customWidth="1"/>
    <col min="4" max="4" width="2.42578125" customWidth="1"/>
    <col min="5" max="5" width="14.140625" customWidth="1"/>
    <col min="6" max="6" width="14.28515625" customWidth="1"/>
    <col min="7" max="7" width="13" customWidth="1"/>
  </cols>
  <sheetData>
    <row r="1" spans="1:10" s="58" customFormat="1" ht="16.5" customHeight="1">
      <c r="A1" s="2737" t="s">
        <v>1037</v>
      </c>
      <c r="B1" s="2737"/>
      <c r="C1" s="2" t="s">
        <v>2010</v>
      </c>
      <c r="J1" s="59"/>
    </row>
    <row r="2" spans="1:10" s="58" customFormat="1" ht="16.5" customHeight="1">
      <c r="A2" s="2738" t="s">
        <v>1038</v>
      </c>
      <c r="B2" s="2738"/>
      <c r="C2" s="61" t="s">
        <v>2011</v>
      </c>
      <c r="D2" s="62"/>
      <c r="E2" s="63"/>
      <c r="F2" s="63"/>
      <c r="G2" s="63"/>
      <c r="H2" s="63"/>
      <c r="I2" s="63"/>
      <c r="J2" s="59"/>
    </row>
    <row r="3" spans="1:10" s="89" customFormat="1" ht="12.75" customHeight="1" thickBot="1">
      <c r="A3" s="86"/>
      <c r="B3" s="86"/>
      <c r="C3" s="87"/>
      <c r="D3" s="88"/>
      <c r="E3" s="88"/>
      <c r="F3" s="88"/>
      <c r="G3" s="88"/>
    </row>
    <row r="4" spans="1:10" s="91" customFormat="1" ht="39.75" customHeight="1" thickBot="1">
      <c r="A4" s="1636"/>
      <c r="B4" s="2736" t="s">
        <v>990</v>
      </c>
      <c r="C4" s="2736"/>
      <c r="D4" s="395"/>
      <c r="E4" s="395">
        <v>2023</v>
      </c>
      <c r="F4" s="395">
        <v>2024</v>
      </c>
      <c r="G4" s="395">
        <v>2025</v>
      </c>
    </row>
    <row r="5" spans="1:10" s="93" customFormat="1" ht="13.15" customHeight="1">
      <c r="B5" s="91"/>
      <c r="C5" s="92"/>
      <c r="D5" s="2734"/>
      <c r="E5" s="2735"/>
      <c r="F5" s="2735"/>
      <c r="G5" s="2735"/>
    </row>
    <row r="6" spans="1:10" s="96" customFormat="1" ht="30" customHeight="1">
      <c r="B6" s="89">
        <v>1</v>
      </c>
      <c r="C6" s="94" t="s">
        <v>14</v>
      </c>
      <c r="D6" s="95"/>
      <c r="E6" s="1551"/>
      <c r="F6" s="1551"/>
      <c r="G6" s="1551"/>
    </row>
    <row r="7" spans="1:10" s="93" customFormat="1" ht="30" customHeight="1">
      <c r="B7" s="91"/>
      <c r="C7" s="97" t="s">
        <v>15</v>
      </c>
      <c r="D7" s="100"/>
      <c r="E7" s="1552">
        <v>15581.6</v>
      </c>
      <c r="F7" s="1552">
        <v>15667.7</v>
      </c>
      <c r="G7" s="1552">
        <v>16141.9</v>
      </c>
    </row>
    <row r="8" spans="1:10" s="93" customFormat="1" ht="30" customHeight="1">
      <c r="B8" s="91"/>
      <c r="C8" s="98" t="s">
        <v>16</v>
      </c>
      <c r="D8" s="100"/>
      <c r="E8" s="1552">
        <v>15073.4</v>
      </c>
      <c r="F8" s="1552">
        <v>14956.7</v>
      </c>
      <c r="G8" s="1552">
        <v>15400.5</v>
      </c>
    </row>
    <row r="9" spans="1:10" s="93" customFormat="1" ht="30" customHeight="1">
      <c r="B9" s="91"/>
      <c r="C9" s="98" t="s">
        <v>17</v>
      </c>
      <c r="D9" s="100"/>
      <c r="E9" s="1552">
        <v>508.2</v>
      </c>
      <c r="F9" s="1552">
        <v>711</v>
      </c>
      <c r="G9" s="1552">
        <v>741.4</v>
      </c>
    </row>
    <row r="10" spans="1:10" s="93" customFormat="1" ht="30" customHeight="1">
      <c r="B10" s="91"/>
      <c r="C10" s="98" t="s">
        <v>989</v>
      </c>
      <c r="D10" s="100"/>
      <c r="E10" s="1552">
        <v>7103.5</v>
      </c>
      <c r="F10" s="1552">
        <v>7225.5</v>
      </c>
      <c r="G10" s="1552">
        <v>7392.4</v>
      </c>
    </row>
    <row r="11" spans="1:10" s="93" customFormat="1" ht="30" customHeight="1">
      <c r="B11" s="91"/>
      <c r="C11" s="98" t="s">
        <v>18</v>
      </c>
      <c r="D11" s="100"/>
      <c r="E11" s="1552">
        <v>68.7</v>
      </c>
      <c r="F11" s="1552">
        <v>68.400000000000006</v>
      </c>
      <c r="G11" s="1552">
        <v>68.599999999999994</v>
      </c>
    </row>
    <row r="12" spans="1:10" s="93" customFormat="1" ht="30" customHeight="1">
      <c r="B12" s="91"/>
      <c r="C12" s="98" t="s">
        <v>19</v>
      </c>
      <c r="D12" s="100"/>
      <c r="E12" s="1552">
        <v>3.3</v>
      </c>
      <c r="F12" s="1552">
        <v>4.5</v>
      </c>
      <c r="G12" s="1552">
        <v>4.5999999999999996</v>
      </c>
    </row>
    <row r="13" spans="1:10" s="93" customFormat="1" ht="13.5">
      <c r="B13" s="91"/>
      <c r="C13" s="99"/>
      <c r="D13" s="100"/>
      <c r="E13" s="1552"/>
      <c r="F13" s="1552"/>
      <c r="G13" s="1552"/>
    </row>
    <row r="14" spans="1:10" s="96" customFormat="1" ht="30" customHeight="1">
      <c r="B14" s="89"/>
      <c r="C14" s="101" t="s">
        <v>20</v>
      </c>
      <c r="D14" s="102"/>
      <c r="E14" s="1553"/>
      <c r="F14" s="1553"/>
      <c r="G14" s="1553"/>
    </row>
    <row r="15" spans="1:10" s="93" customFormat="1" ht="30" customHeight="1">
      <c r="B15" s="91"/>
      <c r="C15" s="98" t="s">
        <v>21</v>
      </c>
      <c r="D15" s="100"/>
      <c r="E15" s="1552">
        <v>4151.8999999999996</v>
      </c>
      <c r="F15" s="1552">
        <v>4223.3</v>
      </c>
      <c r="G15" s="1554">
        <v>4455.1000000000004</v>
      </c>
    </row>
    <row r="16" spans="1:10" s="93" customFormat="1" ht="30" customHeight="1">
      <c r="B16" s="91"/>
      <c r="C16" s="98" t="s">
        <v>22</v>
      </c>
      <c r="D16" s="100"/>
      <c r="E16" s="1552">
        <v>9059</v>
      </c>
      <c r="F16" s="1552">
        <v>8953.1</v>
      </c>
      <c r="G16" s="1554">
        <v>8693.7999999999993</v>
      </c>
    </row>
    <row r="17" spans="1:7" s="93" customFormat="1" ht="30" customHeight="1">
      <c r="B17" s="91"/>
      <c r="C17" s="98" t="s">
        <v>23</v>
      </c>
      <c r="D17" s="100"/>
      <c r="E17" s="1552">
        <v>1862.5</v>
      </c>
      <c r="F17" s="1552">
        <v>1780.3</v>
      </c>
      <c r="G17" s="1554">
        <v>1915.2</v>
      </c>
    </row>
    <row r="18" spans="1:7" s="93" customFormat="1" ht="13.5">
      <c r="B18" s="91"/>
      <c r="C18" s="103"/>
      <c r="D18" s="100"/>
      <c r="E18" s="1552"/>
      <c r="F18" s="1552"/>
      <c r="G18" s="1552"/>
    </row>
    <row r="19" spans="1:7" s="93" customFormat="1" ht="30" customHeight="1">
      <c r="B19" s="91"/>
      <c r="C19" s="101" t="s">
        <v>24</v>
      </c>
      <c r="D19" s="100"/>
      <c r="E19" s="1552"/>
      <c r="F19" s="1552"/>
      <c r="G19" s="1552"/>
    </row>
    <row r="20" spans="1:7" s="93" customFormat="1" ht="30" customHeight="1">
      <c r="B20" s="91"/>
      <c r="C20" s="98" t="s">
        <v>25</v>
      </c>
      <c r="D20" s="100"/>
      <c r="E20" s="1552">
        <v>4435.2</v>
      </c>
      <c r="F20" s="1552">
        <v>4778.7</v>
      </c>
      <c r="G20" s="1554">
        <v>4787.8</v>
      </c>
    </row>
    <row r="21" spans="1:7" s="93" customFormat="1" ht="30" customHeight="1">
      <c r="B21" s="91"/>
      <c r="C21" s="98" t="s">
        <v>26</v>
      </c>
      <c r="D21" s="100"/>
      <c r="E21" s="1552">
        <v>8375</v>
      </c>
      <c r="F21" s="1552">
        <v>8313.7999999999993</v>
      </c>
      <c r="G21" s="1554">
        <v>8469.2999999999993</v>
      </c>
    </row>
    <row r="22" spans="1:7" s="93" customFormat="1" ht="30" customHeight="1">
      <c r="B22" s="91"/>
      <c r="C22" s="98" t="s">
        <v>27</v>
      </c>
      <c r="D22" s="100"/>
      <c r="E22" s="1552">
        <v>1821.2</v>
      </c>
      <c r="F22" s="1552">
        <v>1506.3</v>
      </c>
      <c r="G22" s="1554">
        <v>1293.9000000000001</v>
      </c>
    </row>
    <row r="23" spans="1:7" s="93" customFormat="1" ht="30" customHeight="1">
      <c r="B23" s="91"/>
      <c r="C23" s="98" t="s">
        <v>28</v>
      </c>
      <c r="D23" s="100"/>
      <c r="E23" s="1552">
        <v>442</v>
      </c>
      <c r="F23" s="1552">
        <v>358</v>
      </c>
      <c r="G23" s="1554">
        <v>513.1</v>
      </c>
    </row>
    <row r="24" spans="1:7" s="93" customFormat="1" ht="13.5">
      <c r="B24" s="91"/>
      <c r="C24" s="104"/>
      <c r="D24" s="100"/>
      <c r="E24" s="1552"/>
      <c r="F24" s="1552"/>
      <c r="G24" s="1552"/>
    </row>
    <row r="25" spans="1:7" s="93" customFormat="1" ht="31.5" customHeight="1">
      <c r="B25" s="89">
        <v>2</v>
      </c>
      <c r="C25" s="105" t="s">
        <v>29</v>
      </c>
      <c r="D25" s="100"/>
      <c r="E25" s="100"/>
      <c r="F25" s="100"/>
      <c r="G25" s="100"/>
    </row>
    <row r="26" spans="1:7" s="93" customFormat="1" ht="31.5" customHeight="1">
      <c r="B26" s="91"/>
      <c r="C26" s="106" t="s">
        <v>30</v>
      </c>
      <c r="D26" s="100"/>
      <c r="E26" s="1552">
        <v>9195.2000000000007</v>
      </c>
      <c r="F26" s="1552">
        <v>9390.7000000000007</v>
      </c>
      <c r="G26" s="1552">
        <v>9711.9</v>
      </c>
    </row>
    <row r="27" spans="1:7" s="93" customFormat="1" ht="31.5" customHeight="1">
      <c r="B27" s="91"/>
      <c r="C27" s="106" t="s">
        <v>31</v>
      </c>
      <c r="D27" s="107"/>
      <c r="E27" s="1555">
        <v>2442</v>
      </c>
      <c r="F27" s="1555">
        <v>2062</v>
      </c>
      <c r="G27" s="1555">
        <v>2250</v>
      </c>
    </row>
    <row r="28" spans="1:7" s="93" customFormat="1" ht="34.5" customHeight="1" thickBot="1">
      <c r="A28" s="113"/>
      <c r="B28" s="108"/>
      <c r="C28" s="109" t="s">
        <v>32</v>
      </c>
      <c r="D28" s="115"/>
      <c r="E28" s="1556">
        <v>3224</v>
      </c>
      <c r="F28" s="1556">
        <v>2933</v>
      </c>
      <c r="G28" s="1556">
        <v>3037</v>
      </c>
    </row>
    <row r="29" spans="1:7" s="93" customFormat="1" ht="13.5">
      <c r="B29" s="91"/>
      <c r="C29" s="396"/>
      <c r="D29" s="100"/>
      <c r="E29" s="100"/>
      <c r="F29" s="100"/>
      <c r="G29" s="110" t="s">
        <v>0</v>
      </c>
    </row>
    <row r="30" spans="1:7" s="93" customFormat="1" ht="13.5">
      <c r="B30" s="91"/>
      <c r="C30" s="396"/>
      <c r="D30" s="100"/>
      <c r="E30" s="100"/>
      <c r="F30" s="100"/>
      <c r="G30" s="111" t="s">
        <v>1</v>
      </c>
    </row>
    <row r="31" spans="1:7" s="93" customFormat="1" ht="13.5">
      <c r="B31" s="91"/>
      <c r="C31" s="396"/>
      <c r="D31" s="100"/>
      <c r="E31" s="100"/>
      <c r="F31" s="100"/>
      <c r="G31" s="100"/>
    </row>
    <row r="32" spans="1:7" s="763" customFormat="1" ht="15.75" customHeight="1">
      <c r="A32" s="2739" t="s">
        <v>427</v>
      </c>
      <c r="B32" s="2739"/>
      <c r="C32" s="2739"/>
      <c r="D32" s="1645"/>
      <c r="E32" s="1645"/>
      <c r="F32" s="1645"/>
      <c r="G32" s="1645"/>
    </row>
    <row r="33" spans="1:7" s="763" customFormat="1" ht="15.2" customHeight="1">
      <c r="A33" s="1646" t="s">
        <v>1045</v>
      </c>
      <c r="B33" s="1646"/>
      <c r="C33" s="1646"/>
      <c r="D33" s="1645"/>
      <c r="E33" s="1645"/>
      <c r="F33" s="1645"/>
      <c r="G33" s="1645"/>
    </row>
    <row r="34" spans="1:7" s="763" customFormat="1" ht="15.2" customHeight="1">
      <c r="A34" s="2733" t="s">
        <v>987</v>
      </c>
      <c r="B34" s="2733"/>
      <c r="C34" s="2733"/>
      <c r="D34" s="1645"/>
      <c r="E34" s="1645"/>
      <c r="F34" s="1645"/>
      <c r="G34" s="1645"/>
    </row>
    <row r="35" spans="1:7" s="93" customFormat="1" ht="13.5">
      <c r="A35" s="116"/>
      <c r="B35" s="398"/>
      <c r="C35" s="397"/>
      <c r="D35" s="399"/>
      <c r="E35" s="399"/>
      <c r="F35" s="399"/>
      <c r="G35" s="399"/>
    </row>
    <row r="36" spans="1:7" s="93" customFormat="1" ht="13.5">
      <c r="B36" s="118"/>
      <c r="C36" s="92"/>
    </row>
    <row r="37" spans="1:7" s="93" customFormat="1" ht="13.5">
      <c r="B37" s="91"/>
      <c r="C37" s="92"/>
    </row>
  </sheetData>
  <mergeCells count="6">
    <mergeCell ref="A34:C34"/>
    <mergeCell ref="D5:G5"/>
    <mergeCell ref="B4:C4"/>
    <mergeCell ref="A1:B1"/>
    <mergeCell ref="A2:B2"/>
    <mergeCell ref="A32:C32"/>
  </mergeCells>
  <printOptions horizontalCentered="1"/>
  <pageMargins left="0.55118110236220474" right="0.55118110236220474" top="0.55118110236220474" bottom="0.55118110236220474" header="0.31496062992125984" footer="0.31496062992125984"/>
  <pageSetup paperSize="9" scale="77"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8">
    <tabColor theme="4" tint="0.39997558519241921"/>
    <pageSetUpPr fitToPage="1"/>
  </sheetPr>
  <dimension ref="A1:J37"/>
  <sheetViews>
    <sheetView view="pageBreakPreview" zoomScaleNormal="100" zoomScaleSheetLayoutView="100" workbookViewId="0">
      <selection activeCell="K6" sqref="K6"/>
    </sheetView>
  </sheetViews>
  <sheetFormatPr defaultRowHeight="15"/>
  <cols>
    <col min="1" max="1" width="6.140625" customWidth="1"/>
    <col min="2" max="2" width="6.42578125" customWidth="1"/>
    <col min="3" max="3" width="67.140625" customWidth="1"/>
    <col min="4" max="4" width="3.28515625" customWidth="1"/>
    <col min="5" max="5" width="14.28515625" customWidth="1"/>
    <col min="6" max="6" width="16.28515625" customWidth="1"/>
    <col min="7" max="7" width="14.140625" customWidth="1"/>
  </cols>
  <sheetData>
    <row r="1" spans="1:10" s="58" customFormat="1" ht="16.5" customHeight="1">
      <c r="A1" s="2737" t="s">
        <v>1037</v>
      </c>
      <c r="B1" s="2737"/>
      <c r="C1" s="2" t="s">
        <v>2012</v>
      </c>
      <c r="J1" s="59"/>
    </row>
    <row r="2" spans="1:10" s="58" customFormat="1" ht="16.5" customHeight="1">
      <c r="A2" s="2738" t="s">
        <v>1038</v>
      </c>
      <c r="B2" s="2738"/>
      <c r="C2" s="61" t="s">
        <v>2013</v>
      </c>
      <c r="D2" s="62"/>
      <c r="E2" s="63"/>
      <c r="F2" s="63"/>
      <c r="G2" s="63"/>
      <c r="H2" s="63"/>
      <c r="I2" s="63"/>
      <c r="J2" s="59"/>
    </row>
    <row r="3" spans="1:10" s="89" customFormat="1" ht="12.75" customHeight="1" thickBot="1">
      <c r="A3" s="86"/>
      <c r="B3" s="86"/>
      <c r="C3" s="87"/>
      <c r="D3" s="88"/>
      <c r="E3" s="88"/>
      <c r="F3" s="88"/>
      <c r="G3" s="88"/>
    </row>
    <row r="4" spans="1:10" s="91" customFormat="1" ht="39.75" customHeight="1" thickBot="1">
      <c r="A4" s="1636"/>
      <c r="B4" s="2736" t="s">
        <v>990</v>
      </c>
      <c r="C4" s="2736"/>
      <c r="D4" s="90"/>
      <c r="E4" s="90">
        <v>2023</v>
      </c>
      <c r="F4" s="90">
        <v>2024</v>
      </c>
      <c r="G4" s="90">
        <v>2025</v>
      </c>
    </row>
    <row r="5" spans="1:10" s="93" customFormat="1" ht="13.15" customHeight="1">
      <c r="B5" s="91"/>
      <c r="C5" s="99"/>
      <c r="D5" s="100"/>
      <c r="E5" s="100"/>
      <c r="F5" s="100"/>
      <c r="G5" s="100"/>
    </row>
    <row r="6" spans="1:10" s="93" customFormat="1" ht="38.25" customHeight="1">
      <c r="B6" s="89">
        <v>3</v>
      </c>
      <c r="C6" s="112" t="s">
        <v>33</v>
      </c>
      <c r="D6" s="100"/>
      <c r="E6" s="100"/>
      <c r="F6" s="100"/>
      <c r="G6" s="100"/>
    </row>
    <row r="7" spans="1:10" s="93" customFormat="1" ht="38.25" customHeight="1">
      <c r="B7" s="91"/>
      <c r="C7" s="98" t="s">
        <v>34</v>
      </c>
      <c r="D7" s="100"/>
      <c r="E7" s="1552">
        <v>4286</v>
      </c>
      <c r="F7" s="1552">
        <v>4555.5</v>
      </c>
      <c r="G7" s="759">
        <v>4766.5</v>
      </c>
    </row>
    <row r="8" spans="1:10" s="93" customFormat="1" ht="38.25" customHeight="1">
      <c r="B8" s="91"/>
      <c r="C8" s="98" t="s">
        <v>35</v>
      </c>
      <c r="D8" s="100"/>
      <c r="E8" s="1552">
        <v>4120.8</v>
      </c>
      <c r="F8" s="1552">
        <v>4353.1000000000004</v>
      </c>
      <c r="G8" s="759">
        <v>4569.1000000000004</v>
      </c>
    </row>
    <row r="9" spans="1:10" s="93" customFormat="1" ht="38.25" customHeight="1">
      <c r="B9" s="91"/>
      <c r="C9" s="98" t="s">
        <v>36</v>
      </c>
      <c r="D9" s="100"/>
      <c r="E9" s="1552">
        <v>165.2</v>
      </c>
      <c r="F9" s="1552">
        <v>202.4</v>
      </c>
      <c r="G9" s="759">
        <v>197.4</v>
      </c>
    </row>
    <row r="10" spans="1:10" s="93" customFormat="1" ht="38.25" customHeight="1">
      <c r="B10" s="91"/>
      <c r="C10" s="98" t="s">
        <v>989</v>
      </c>
      <c r="D10" s="100"/>
      <c r="E10" s="1552">
        <v>844</v>
      </c>
      <c r="F10" s="1552">
        <v>800.9</v>
      </c>
      <c r="G10" s="759">
        <v>841.3</v>
      </c>
    </row>
    <row r="11" spans="1:10" s="93" customFormat="1" ht="38.25" customHeight="1">
      <c r="B11" s="91"/>
      <c r="C11" s="98" t="s">
        <v>18</v>
      </c>
      <c r="D11" s="100"/>
      <c r="E11" s="1552">
        <v>83.5</v>
      </c>
      <c r="F11" s="1552">
        <v>85</v>
      </c>
      <c r="G11" s="759">
        <v>85</v>
      </c>
    </row>
    <row r="12" spans="1:10" s="93" customFormat="1" ht="38.25" customHeight="1">
      <c r="B12" s="91"/>
      <c r="C12" s="98" t="s">
        <v>37</v>
      </c>
      <c r="D12" s="100"/>
      <c r="E12" s="1552">
        <v>3.9</v>
      </c>
      <c r="F12" s="1552">
        <v>4.4000000000000004</v>
      </c>
      <c r="G12" s="759">
        <v>4.0999999999999996</v>
      </c>
    </row>
    <row r="13" spans="1:10" s="93" customFormat="1" ht="38.25" customHeight="1">
      <c r="B13" s="91"/>
      <c r="C13" s="98" t="s">
        <v>38</v>
      </c>
      <c r="D13" s="107"/>
      <c r="E13" s="1555">
        <v>5020</v>
      </c>
      <c r="F13" s="1555">
        <v>4489</v>
      </c>
      <c r="G13" s="562">
        <v>3911</v>
      </c>
    </row>
    <row r="14" spans="1:10" s="93" customFormat="1" ht="38.25" customHeight="1">
      <c r="B14" s="91"/>
      <c r="C14" s="98" t="s">
        <v>1081</v>
      </c>
      <c r="D14" s="107"/>
      <c r="E14" s="1555">
        <v>4300</v>
      </c>
      <c r="F14" s="1555">
        <v>3815</v>
      </c>
      <c r="G14" s="562">
        <v>4582</v>
      </c>
    </row>
    <row r="15" spans="1:10" s="93" customFormat="1" ht="13.5">
      <c r="B15" s="91"/>
      <c r="C15" s="400"/>
      <c r="D15" s="100"/>
      <c r="E15" s="100"/>
      <c r="F15" s="100"/>
      <c r="G15" s="100"/>
    </row>
    <row r="16" spans="1:10" s="93" customFormat="1" ht="28.9" customHeight="1">
      <c r="B16" s="89">
        <v>4</v>
      </c>
      <c r="C16" s="400" t="s">
        <v>435</v>
      </c>
      <c r="D16" s="100"/>
      <c r="E16" s="100"/>
      <c r="F16" s="100"/>
      <c r="G16" s="100"/>
    </row>
    <row r="17" spans="1:7" s="93" customFormat="1" ht="36" customHeight="1">
      <c r="B17" s="91"/>
      <c r="C17" s="98" t="s">
        <v>436</v>
      </c>
      <c r="D17" s="100"/>
      <c r="E17" s="1552">
        <v>40.700000000000003</v>
      </c>
      <c r="F17" s="1552">
        <v>42</v>
      </c>
      <c r="G17" s="1552">
        <v>41</v>
      </c>
    </row>
    <row r="18" spans="1:7" s="93" customFormat="1" ht="58.9" customHeight="1">
      <c r="B18" s="91"/>
      <c r="C18" s="98" t="s">
        <v>1201</v>
      </c>
      <c r="D18" s="100"/>
      <c r="E18" s="1552">
        <v>2.2999999999999998</v>
      </c>
      <c r="F18" s="1552">
        <v>3.4</v>
      </c>
      <c r="G18" s="1552">
        <v>-2.6</v>
      </c>
    </row>
    <row r="19" spans="1:7" s="93" customFormat="1" ht="29.45" customHeight="1">
      <c r="B19" s="91"/>
      <c r="C19" s="98" t="s">
        <v>1314</v>
      </c>
      <c r="D19" s="107"/>
      <c r="E19" s="1552">
        <v>94162</v>
      </c>
      <c r="F19" s="1552">
        <v>89022</v>
      </c>
      <c r="G19" s="1552">
        <v>90647</v>
      </c>
    </row>
    <row r="20" spans="1:7" s="93" customFormat="1" ht="58.15" customHeight="1">
      <c r="B20" s="91"/>
      <c r="C20" s="98" t="s">
        <v>1313</v>
      </c>
      <c r="D20" s="100"/>
      <c r="E20" s="1552">
        <v>2.2999999999999998</v>
      </c>
      <c r="F20" s="1552">
        <v>-5.5</v>
      </c>
      <c r="G20" s="1552">
        <v>1.8</v>
      </c>
    </row>
    <row r="21" spans="1:7" s="93" customFormat="1" ht="13.5">
      <c r="B21" s="91"/>
      <c r="C21" s="30"/>
      <c r="D21" s="100"/>
      <c r="E21" s="100"/>
      <c r="F21" s="100"/>
      <c r="G21" s="100"/>
    </row>
    <row r="22" spans="1:7" s="93" customFormat="1" ht="48" customHeight="1">
      <c r="B22" s="89">
        <v>5</v>
      </c>
      <c r="C22" s="400" t="s">
        <v>1163</v>
      </c>
      <c r="D22" s="401"/>
      <c r="E22" s="1557">
        <v>22</v>
      </c>
      <c r="F22" s="1557">
        <v>27</v>
      </c>
      <c r="G22" s="1557">
        <v>25</v>
      </c>
    </row>
    <row r="23" spans="1:7" s="93" customFormat="1" ht="31.15" customHeight="1">
      <c r="B23" s="91"/>
      <c r="C23" s="98" t="s">
        <v>437</v>
      </c>
      <c r="D23" s="402"/>
      <c r="E23" s="1558">
        <v>11</v>
      </c>
      <c r="F23" s="1555">
        <v>9</v>
      </c>
      <c r="G23" s="1555">
        <v>15</v>
      </c>
    </row>
    <row r="24" spans="1:7" s="93" customFormat="1" ht="37.15" customHeight="1">
      <c r="B24" s="91"/>
      <c r="C24" s="98" t="s">
        <v>438</v>
      </c>
      <c r="D24" s="402"/>
      <c r="E24" s="1558">
        <v>24</v>
      </c>
      <c r="F24" s="1555">
        <v>30</v>
      </c>
      <c r="G24" s="1555">
        <v>30</v>
      </c>
    </row>
    <row r="25" spans="1:7" s="93" customFormat="1" ht="37.15" customHeight="1">
      <c r="B25" s="91"/>
      <c r="C25" s="98" t="s">
        <v>439</v>
      </c>
      <c r="D25" s="402"/>
      <c r="E25" s="1558">
        <v>18</v>
      </c>
      <c r="F25" s="1555">
        <v>29</v>
      </c>
      <c r="G25" s="1555">
        <v>24</v>
      </c>
    </row>
    <row r="26" spans="1:7" s="93" customFormat="1" ht="33.6" customHeight="1" thickBot="1">
      <c r="A26" s="113"/>
      <c r="B26" s="108"/>
      <c r="C26" s="114" t="s">
        <v>440</v>
      </c>
      <c r="D26" s="403"/>
      <c r="E26" s="1559">
        <v>28</v>
      </c>
      <c r="F26" s="1556">
        <v>31</v>
      </c>
      <c r="G26" s="1556">
        <v>32</v>
      </c>
    </row>
    <row r="27" spans="1:7" s="93" customFormat="1" ht="13.5">
      <c r="B27" s="91"/>
      <c r="C27" s="400"/>
      <c r="D27" s="100"/>
      <c r="E27" s="100"/>
      <c r="F27" s="100"/>
      <c r="G27" s="404" t="s">
        <v>0</v>
      </c>
    </row>
    <row r="28" spans="1:7" s="93" customFormat="1" ht="13.5">
      <c r="B28" s="91"/>
      <c r="C28" s="400"/>
      <c r="D28" s="100"/>
      <c r="E28" s="100"/>
      <c r="F28" s="100"/>
      <c r="G28" s="405" t="s">
        <v>1400</v>
      </c>
    </row>
    <row r="29" spans="1:7" s="93" customFormat="1" ht="13.5">
      <c r="B29" s="91"/>
      <c r="C29" s="400"/>
      <c r="D29" s="100"/>
      <c r="E29" s="100"/>
      <c r="F29" s="107"/>
      <c r="G29" s="406" t="s">
        <v>1</v>
      </c>
    </row>
    <row r="30" spans="1:7" s="93" customFormat="1" ht="13.5">
      <c r="B30" s="91"/>
      <c r="C30" s="400"/>
      <c r="D30" s="100"/>
      <c r="E30" s="100"/>
      <c r="F30" s="107"/>
      <c r="G30" s="407" t="s">
        <v>1401</v>
      </c>
    </row>
    <row r="31" spans="1:7" s="93" customFormat="1" ht="13.5">
      <c r="B31" s="91"/>
      <c r="C31" s="400"/>
      <c r="D31" s="100"/>
      <c r="E31" s="100"/>
      <c r="F31" s="100"/>
      <c r="G31" s="100"/>
    </row>
    <row r="32" spans="1:7" s="763" customFormat="1" ht="15.75" customHeight="1">
      <c r="A32" s="2741" t="s">
        <v>1052</v>
      </c>
      <c r="B32" s="2741"/>
      <c r="C32" s="2741"/>
      <c r="D32" s="1647"/>
      <c r="E32" s="1647"/>
      <c r="G32" s="1647"/>
    </row>
    <row r="33" spans="1:6" s="763" customFormat="1" ht="15.2" customHeight="1">
      <c r="A33" s="2742" t="s">
        <v>1046</v>
      </c>
      <c r="B33" s="2742"/>
      <c r="C33" s="2742"/>
    </row>
    <row r="34" spans="1:6" s="763" customFormat="1" ht="15.2" customHeight="1">
      <c r="A34" s="2740" t="s">
        <v>1047</v>
      </c>
      <c r="B34" s="2740"/>
      <c r="C34" s="2740"/>
    </row>
    <row r="35" spans="1:6" s="93" customFormat="1" ht="13.5">
      <c r="A35" s="408"/>
      <c r="B35" s="409"/>
      <c r="C35" s="397"/>
      <c r="D35" s="399"/>
      <c r="E35" s="399"/>
      <c r="F35" s="399"/>
    </row>
    <row r="36" spans="1:6" s="93" customFormat="1" ht="13.5">
      <c r="B36" s="410"/>
      <c r="C36" s="397"/>
      <c r="D36" s="399"/>
      <c r="E36" s="399"/>
      <c r="F36" s="399"/>
    </row>
    <row r="37" spans="1:6" s="93" customFormat="1" ht="13.5">
      <c r="B37" s="117"/>
      <c r="C37" s="92"/>
    </row>
  </sheetData>
  <mergeCells count="6">
    <mergeCell ref="A34:C34"/>
    <mergeCell ref="B4:C4"/>
    <mergeCell ref="A1:B1"/>
    <mergeCell ref="A2:B2"/>
    <mergeCell ref="A32:C32"/>
    <mergeCell ref="A33:C33"/>
  </mergeCells>
  <printOptions horizontalCentered="1"/>
  <pageMargins left="0.55118110236220474" right="0.55118110236220474" top="0.55118110236220474" bottom="0.55118110236220474" header="0.31496062992125984" footer="0.31496062992125984"/>
  <pageSetup paperSize="9" scale="71"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39">
    <tabColor theme="4" tint="0.39997558519241921"/>
  </sheetPr>
  <dimension ref="B1:I97"/>
  <sheetViews>
    <sheetView view="pageBreakPreview" topLeftCell="A85" zoomScale="90" zoomScaleNormal="100" zoomScaleSheetLayoutView="90" workbookViewId="0">
      <selection activeCell="A48" sqref="A48:XFD49"/>
    </sheetView>
  </sheetViews>
  <sheetFormatPr defaultRowHeight="15"/>
  <cols>
    <col min="1" max="1" width="1.7109375" customWidth="1"/>
    <col min="2" max="2" width="1.85546875" customWidth="1"/>
    <col min="3" max="3" width="12.42578125" customWidth="1"/>
    <col min="5" max="5" width="55.85546875" customWidth="1"/>
    <col min="6" max="6" width="11.5703125" customWidth="1"/>
    <col min="7" max="7" width="11.7109375" customWidth="1"/>
    <col min="8" max="8" width="12.7109375" customWidth="1"/>
    <col min="9" max="9" width="13" style="84" customWidth="1"/>
  </cols>
  <sheetData>
    <row r="1" spans="2:9" s="66" customFormat="1" ht="16.5">
      <c r="C1" s="411" t="s">
        <v>441</v>
      </c>
      <c r="D1" s="119" t="s">
        <v>1402</v>
      </c>
      <c r="I1" s="68"/>
    </row>
    <row r="2" spans="2:9" s="66" customFormat="1" ht="16.5">
      <c r="C2" s="120" t="s">
        <v>442</v>
      </c>
      <c r="D2" s="121" t="s">
        <v>1403</v>
      </c>
      <c r="I2" s="68"/>
    </row>
    <row r="3" spans="2:9" s="66" customFormat="1" ht="10.5" customHeight="1" thickBot="1">
      <c r="B3" s="122"/>
      <c r="C3" s="122"/>
      <c r="D3" s="122"/>
      <c r="I3" s="68"/>
    </row>
    <row r="4" spans="2:9" s="126" customFormat="1" ht="19.5" customHeight="1">
      <c r="B4" s="123"/>
      <c r="C4" s="2744" t="s">
        <v>999</v>
      </c>
      <c r="D4" s="2744"/>
      <c r="E4" s="2744"/>
      <c r="F4" s="124"/>
      <c r="G4" s="1458">
        <v>2023</v>
      </c>
      <c r="H4" s="1458">
        <v>2024</v>
      </c>
      <c r="I4" s="1448">
        <v>2025</v>
      </c>
    </row>
    <row r="5" spans="2:9" s="126" customFormat="1" ht="19.5" customHeight="1" thickBot="1">
      <c r="B5" s="127"/>
      <c r="C5" s="2745" t="s">
        <v>1000</v>
      </c>
      <c r="D5" s="2745"/>
      <c r="E5" s="2745"/>
      <c r="F5" s="128"/>
      <c r="G5" s="2743" t="s">
        <v>443</v>
      </c>
      <c r="H5" s="2743"/>
      <c r="I5" s="2743"/>
    </row>
    <row r="6" spans="2:9" s="126" customFormat="1" ht="17.25" customHeight="1">
      <c r="B6" s="129" t="s">
        <v>43</v>
      </c>
      <c r="C6" s="130"/>
      <c r="D6" s="130"/>
      <c r="E6" s="131"/>
      <c r="F6" s="132"/>
      <c r="G6" s="1560"/>
      <c r="H6" s="1560"/>
      <c r="I6" s="1561"/>
    </row>
    <row r="7" spans="2:9" s="126" customFormat="1" ht="17.25" customHeight="1">
      <c r="B7" s="134" t="s">
        <v>44</v>
      </c>
      <c r="C7" s="130"/>
      <c r="D7" s="130"/>
      <c r="E7" s="131"/>
      <c r="F7" s="132"/>
      <c r="G7" s="1560"/>
      <c r="H7" s="1560"/>
      <c r="I7" s="1561"/>
    </row>
    <row r="8" spans="2:9" s="126" customFormat="1" ht="17.25" customHeight="1">
      <c r="B8" s="134"/>
      <c r="C8" s="130"/>
      <c r="D8" s="130"/>
      <c r="E8" s="131"/>
      <c r="F8" s="132"/>
      <c r="G8" s="1560"/>
      <c r="H8" s="1560"/>
      <c r="I8" s="1561"/>
    </row>
    <row r="9" spans="2:9" s="126" customFormat="1" ht="13.5" customHeight="1">
      <c r="B9" s="135" t="s">
        <v>45</v>
      </c>
      <c r="C9" s="129"/>
      <c r="D9" s="129"/>
      <c r="E9" s="136"/>
      <c r="F9" s="137"/>
      <c r="G9" s="1562">
        <v>120.1</v>
      </c>
      <c r="H9" s="1562">
        <v>123.1</v>
      </c>
      <c r="I9" s="1561">
        <v>127.2</v>
      </c>
    </row>
    <row r="10" spans="2:9" s="126" customFormat="1" ht="13.5" customHeight="1">
      <c r="B10" s="138" t="s">
        <v>46</v>
      </c>
      <c r="C10" s="139"/>
      <c r="D10" s="139"/>
      <c r="E10" s="136"/>
      <c r="F10" s="137"/>
      <c r="G10" s="1562"/>
      <c r="H10" s="1562"/>
      <c r="I10" s="1561"/>
    </row>
    <row r="11" spans="2:9" s="126" customFormat="1" ht="13.5">
      <c r="B11" s="129"/>
      <c r="C11" s="129"/>
      <c r="D11" s="129"/>
      <c r="E11" s="136"/>
      <c r="F11" s="137"/>
      <c r="G11" s="1562"/>
      <c r="H11" s="1562"/>
      <c r="I11" s="1561"/>
    </row>
    <row r="12" spans="2:9" s="126" customFormat="1" ht="13.5" customHeight="1">
      <c r="B12" s="135" t="s">
        <v>47</v>
      </c>
      <c r="C12" s="129"/>
      <c r="D12" s="129"/>
      <c r="E12" s="136"/>
      <c r="F12" s="140"/>
      <c r="G12" s="1563">
        <v>134.80000000000001</v>
      </c>
      <c r="H12" s="1563">
        <v>137.1</v>
      </c>
      <c r="I12" s="1564">
        <v>145</v>
      </c>
    </row>
    <row r="13" spans="2:9" s="126" customFormat="1" ht="13.5" customHeight="1">
      <c r="B13" s="142" t="s">
        <v>48</v>
      </c>
      <c r="C13" s="134"/>
      <c r="D13" s="134"/>
      <c r="E13" s="136"/>
      <c r="F13" s="140"/>
      <c r="G13" s="1563"/>
      <c r="H13" s="1563"/>
      <c r="I13" s="1564"/>
    </row>
    <row r="14" spans="2:9" s="126" customFormat="1" ht="6.75" customHeight="1">
      <c r="B14" s="143"/>
      <c r="C14" s="143"/>
      <c r="D14" s="143"/>
      <c r="E14" s="136"/>
      <c r="F14" s="140"/>
      <c r="G14" s="1563"/>
      <c r="H14" s="1563"/>
      <c r="I14" s="1564"/>
    </row>
    <row r="15" spans="2:9" s="126" customFormat="1" ht="13.5" customHeight="1">
      <c r="B15" s="135" t="s">
        <v>49</v>
      </c>
      <c r="C15" s="129"/>
      <c r="D15" s="129"/>
      <c r="E15" s="136"/>
      <c r="F15" s="140"/>
      <c r="G15" s="1563">
        <v>168.3</v>
      </c>
      <c r="H15" s="1563">
        <v>169.2</v>
      </c>
      <c r="I15" s="1564">
        <v>170.1</v>
      </c>
    </row>
    <row r="16" spans="2:9" s="126" customFormat="1" ht="13.5" customHeight="1">
      <c r="B16" s="138" t="s">
        <v>50</v>
      </c>
      <c r="C16" s="139"/>
      <c r="D16" s="139"/>
      <c r="E16" s="136"/>
      <c r="F16" s="140"/>
      <c r="G16" s="1563"/>
      <c r="H16" s="1563"/>
      <c r="I16" s="1564"/>
    </row>
    <row r="17" spans="2:9" s="126" customFormat="1" ht="6.75" customHeight="1">
      <c r="B17" s="143"/>
      <c r="C17" s="143"/>
      <c r="D17" s="143"/>
      <c r="E17" s="136"/>
      <c r="F17" s="140"/>
      <c r="G17" s="1563"/>
      <c r="H17" s="1563"/>
      <c r="I17" s="1564"/>
    </row>
    <row r="18" spans="2:9" s="126" customFormat="1" ht="13.5" customHeight="1">
      <c r="B18" s="135" t="s">
        <v>51</v>
      </c>
      <c r="C18" s="129"/>
      <c r="D18" s="129"/>
      <c r="E18" s="136"/>
      <c r="F18" s="140"/>
      <c r="G18" s="1563">
        <v>93.5</v>
      </c>
      <c r="H18" s="1563">
        <v>93.1</v>
      </c>
      <c r="I18" s="1564">
        <v>93.2</v>
      </c>
    </row>
    <row r="19" spans="2:9" s="126" customFormat="1" ht="13.5" customHeight="1">
      <c r="B19" s="138" t="s">
        <v>52</v>
      </c>
      <c r="C19" s="139"/>
      <c r="D19" s="139"/>
      <c r="E19" s="136"/>
      <c r="F19" s="140"/>
      <c r="G19" s="1563"/>
      <c r="H19" s="1563"/>
      <c r="I19" s="1564"/>
    </row>
    <row r="20" spans="2:9" s="126" customFormat="1" ht="6.75" customHeight="1">
      <c r="B20" s="143"/>
      <c r="C20" s="143"/>
      <c r="D20" s="143"/>
      <c r="E20" s="136"/>
      <c r="F20" s="140"/>
      <c r="G20" s="1563"/>
      <c r="H20" s="1563"/>
      <c r="I20" s="1564"/>
    </row>
    <row r="21" spans="2:9" s="126" customFormat="1" ht="13.5" customHeight="1">
      <c r="B21" s="135" t="s">
        <v>53</v>
      </c>
      <c r="C21" s="129"/>
      <c r="D21" s="129"/>
      <c r="E21" s="136"/>
      <c r="F21" s="140"/>
      <c r="G21" s="1563">
        <v>119.2</v>
      </c>
      <c r="H21" s="1563">
        <v>121</v>
      </c>
      <c r="I21" s="1564">
        <v>123.2</v>
      </c>
    </row>
    <row r="22" spans="2:9" s="126" customFormat="1" ht="13.5" customHeight="1">
      <c r="B22" s="138" t="s">
        <v>54</v>
      </c>
      <c r="C22" s="139"/>
      <c r="D22" s="139"/>
      <c r="E22" s="136"/>
      <c r="F22" s="140"/>
      <c r="G22" s="1563"/>
      <c r="H22" s="1563"/>
      <c r="I22" s="1564"/>
    </row>
    <row r="23" spans="2:9" s="126" customFormat="1" ht="6.75" customHeight="1">
      <c r="B23" s="143"/>
      <c r="C23" s="143"/>
      <c r="D23" s="143"/>
      <c r="E23" s="136"/>
      <c r="F23" s="140"/>
      <c r="G23" s="1563"/>
      <c r="H23" s="1563"/>
      <c r="I23" s="1564"/>
    </row>
    <row r="24" spans="2:9" s="126" customFormat="1" ht="13.5" customHeight="1">
      <c r="B24" s="135" t="s">
        <v>55</v>
      </c>
      <c r="C24" s="129"/>
      <c r="D24" s="129"/>
      <c r="E24" s="136"/>
      <c r="F24" s="140"/>
      <c r="G24" s="1563">
        <v>116.7</v>
      </c>
      <c r="H24" s="1563">
        <v>118.6</v>
      </c>
      <c r="I24" s="1564">
        <v>122.8</v>
      </c>
    </row>
    <row r="25" spans="2:9" s="126" customFormat="1" ht="15.75" customHeight="1">
      <c r="B25" s="138" t="s">
        <v>56</v>
      </c>
      <c r="C25" s="139"/>
      <c r="D25" s="139"/>
      <c r="E25" s="136"/>
      <c r="F25" s="140"/>
      <c r="G25" s="1563"/>
      <c r="H25" s="1563"/>
      <c r="I25" s="1564"/>
    </row>
    <row r="26" spans="2:9" s="126" customFormat="1" ht="6.75" customHeight="1">
      <c r="B26" s="143"/>
      <c r="C26" s="143"/>
      <c r="D26" s="143"/>
      <c r="E26" s="136"/>
      <c r="F26" s="140"/>
      <c r="G26" s="1563"/>
      <c r="H26" s="1563"/>
      <c r="I26" s="1564"/>
    </row>
    <row r="27" spans="2:9" s="126" customFormat="1" ht="13.5" customHeight="1">
      <c r="B27" s="135" t="s">
        <v>57</v>
      </c>
      <c r="C27" s="129"/>
      <c r="D27" s="129"/>
      <c r="E27" s="136"/>
      <c r="F27" s="140"/>
      <c r="G27" s="1563">
        <v>124.1</v>
      </c>
      <c r="H27" s="1563">
        <v>124.6</v>
      </c>
      <c r="I27" s="1564">
        <v>125.5</v>
      </c>
    </row>
    <row r="28" spans="2:9" s="126" customFormat="1" ht="13.5" customHeight="1">
      <c r="B28" s="138" t="s">
        <v>58</v>
      </c>
      <c r="C28" s="139"/>
      <c r="D28" s="139"/>
      <c r="E28" s="136"/>
      <c r="F28" s="140"/>
      <c r="G28" s="1563"/>
      <c r="H28" s="1563"/>
      <c r="I28" s="1564"/>
    </row>
    <row r="29" spans="2:9" s="126" customFormat="1" ht="6.75" customHeight="1">
      <c r="B29" s="143"/>
      <c r="C29" s="143"/>
      <c r="D29" s="143"/>
      <c r="E29" s="136"/>
      <c r="F29" s="140"/>
      <c r="G29" s="1563"/>
      <c r="H29" s="1563"/>
      <c r="I29" s="1564"/>
    </row>
    <row r="30" spans="2:9" s="126" customFormat="1" ht="13.5" customHeight="1">
      <c r="B30" s="135" t="s">
        <v>59</v>
      </c>
      <c r="C30" s="129"/>
      <c r="D30" s="129"/>
      <c r="E30" s="136"/>
      <c r="F30" s="140"/>
      <c r="G30" s="1563">
        <v>102.6</v>
      </c>
      <c r="H30" s="1563">
        <v>113.9</v>
      </c>
      <c r="I30" s="1564">
        <v>119.2</v>
      </c>
    </row>
    <row r="31" spans="2:9" s="126" customFormat="1" ht="13.5" customHeight="1">
      <c r="B31" s="138" t="s">
        <v>60</v>
      </c>
      <c r="C31" s="139"/>
      <c r="D31" s="139"/>
      <c r="E31" s="136"/>
      <c r="F31" s="140"/>
      <c r="G31" s="1563"/>
      <c r="H31" s="1563"/>
      <c r="I31" s="1564"/>
    </row>
    <row r="32" spans="2:9" s="126" customFormat="1" ht="6.75" customHeight="1">
      <c r="B32" s="143"/>
      <c r="C32" s="143"/>
      <c r="D32" s="143"/>
      <c r="E32" s="136"/>
      <c r="F32" s="140"/>
      <c r="G32" s="1563"/>
      <c r="H32" s="1563"/>
      <c r="I32" s="1564"/>
    </row>
    <row r="33" spans="2:9" s="126" customFormat="1" ht="13.5" customHeight="1">
      <c r="B33" s="135" t="s">
        <v>2054</v>
      </c>
      <c r="C33" s="129"/>
      <c r="D33" s="129"/>
      <c r="E33" s="136"/>
      <c r="F33" s="140"/>
      <c r="G33" s="1563">
        <v>97.5</v>
      </c>
      <c r="H33" s="1563">
        <v>97.5</v>
      </c>
      <c r="I33" s="1564">
        <v>97.5</v>
      </c>
    </row>
    <row r="34" spans="2:9" s="126" customFormat="1" ht="13.5" customHeight="1">
      <c r="B34" s="138" t="s">
        <v>61</v>
      </c>
      <c r="C34" s="139" t="s">
        <v>2055</v>
      </c>
      <c r="D34" s="139"/>
      <c r="E34" s="136"/>
      <c r="F34" s="140"/>
      <c r="G34" s="1563"/>
      <c r="H34" s="1563"/>
      <c r="I34" s="1564"/>
    </row>
    <row r="35" spans="2:9" s="126" customFormat="1" ht="6.75" customHeight="1">
      <c r="B35" s="143"/>
      <c r="C35" s="143"/>
      <c r="D35" s="143"/>
      <c r="E35" s="136"/>
      <c r="F35" s="140"/>
      <c r="G35" s="1563"/>
      <c r="H35" s="1563"/>
      <c r="I35" s="1564"/>
    </row>
    <row r="36" spans="2:9" s="126" customFormat="1" ht="13.5" customHeight="1">
      <c r="B36" s="135" t="s">
        <v>2056</v>
      </c>
      <c r="C36" s="129"/>
      <c r="D36" s="129"/>
      <c r="E36" s="136"/>
      <c r="F36" s="140"/>
      <c r="G36" s="1563">
        <v>112.3</v>
      </c>
      <c r="H36" s="1563">
        <v>112.8</v>
      </c>
      <c r="I36" s="1564">
        <v>115.4</v>
      </c>
    </row>
    <row r="37" spans="2:9" s="126" customFormat="1" ht="13.5" customHeight="1">
      <c r="B37" s="138" t="s">
        <v>2057</v>
      </c>
      <c r="C37" s="139"/>
      <c r="D37" s="139"/>
      <c r="E37" s="136"/>
      <c r="F37" s="140"/>
      <c r="G37" s="1563"/>
      <c r="H37" s="1563"/>
      <c r="I37" s="1564"/>
    </row>
    <row r="38" spans="2:9" s="126" customFormat="1" ht="6.75" customHeight="1">
      <c r="B38" s="143"/>
      <c r="C38" s="143"/>
      <c r="D38" s="143"/>
      <c r="E38" s="136"/>
      <c r="F38" s="140"/>
      <c r="G38" s="1563"/>
      <c r="H38" s="1563"/>
      <c r="I38" s="1564"/>
    </row>
    <row r="39" spans="2:9" s="126" customFormat="1" ht="13.5" customHeight="1">
      <c r="B39" s="135" t="s">
        <v>62</v>
      </c>
      <c r="C39" s="129"/>
      <c r="D39" s="129"/>
      <c r="E39" s="136"/>
      <c r="F39" s="140"/>
      <c r="G39" s="1563">
        <v>120.9</v>
      </c>
      <c r="H39" s="1563">
        <v>121.1</v>
      </c>
      <c r="I39" s="1564">
        <v>122.4</v>
      </c>
    </row>
    <row r="40" spans="2:9" s="126" customFormat="1" ht="13.5" customHeight="1">
      <c r="B40" s="138" t="s">
        <v>63</v>
      </c>
      <c r="C40" s="139"/>
      <c r="D40" s="139"/>
      <c r="E40" s="136"/>
      <c r="F40" s="140"/>
      <c r="G40" s="1563"/>
      <c r="H40" s="1563"/>
      <c r="I40" s="1564"/>
    </row>
    <row r="41" spans="2:9" s="126" customFormat="1" ht="6.75" customHeight="1">
      <c r="B41" s="139"/>
      <c r="C41" s="139"/>
      <c r="D41" s="139"/>
      <c r="E41" s="136"/>
      <c r="F41" s="140"/>
      <c r="G41" s="1563"/>
      <c r="H41" s="1563"/>
      <c r="I41" s="1564"/>
    </row>
    <row r="42" spans="2:9" s="126" customFormat="1" ht="13.5">
      <c r="B42" s="135" t="s">
        <v>2058</v>
      </c>
      <c r="C42" s="129"/>
      <c r="D42" s="129"/>
      <c r="E42" s="136"/>
      <c r="F42" s="140"/>
      <c r="G42" s="1563">
        <v>132.4</v>
      </c>
      <c r="H42" s="1563">
        <v>132.9</v>
      </c>
      <c r="I42" s="1564">
        <v>139.5</v>
      </c>
    </row>
    <row r="43" spans="2:9" s="126" customFormat="1" ht="13.5">
      <c r="B43" s="138" t="s">
        <v>2059</v>
      </c>
      <c r="C43" s="139"/>
      <c r="D43" s="139"/>
      <c r="E43" s="136"/>
      <c r="F43" s="140"/>
      <c r="G43" s="1563"/>
      <c r="H43" s="1563"/>
      <c r="I43" s="1564"/>
    </row>
    <row r="44" spans="2:9" s="126" customFormat="1" ht="6.75" customHeight="1">
      <c r="B44" s="143"/>
      <c r="C44" s="143"/>
      <c r="D44" s="143"/>
      <c r="E44" s="136"/>
      <c r="F44" s="140"/>
      <c r="G44" s="1563"/>
      <c r="H44" s="1563"/>
      <c r="I44" s="1564"/>
    </row>
    <row r="45" spans="2:9" s="126" customFormat="1" ht="13.5">
      <c r="B45" s="135" t="s">
        <v>1138</v>
      </c>
      <c r="C45" s="129"/>
      <c r="D45" s="129"/>
      <c r="E45" s="136"/>
      <c r="F45" s="140"/>
      <c r="G45" s="1563">
        <v>116</v>
      </c>
      <c r="H45" s="1563">
        <v>116.6</v>
      </c>
      <c r="I45" s="1564">
        <v>118.9</v>
      </c>
    </row>
    <row r="46" spans="2:9" s="126" customFormat="1" ht="15.75" customHeight="1">
      <c r="B46" s="138" t="s">
        <v>1139</v>
      </c>
      <c r="C46" s="139"/>
      <c r="D46" s="139"/>
      <c r="E46" s="136"/>
      <c r="F46" s="140"/>
      <c r="G46" s="1565"/>
      <c r="H46" s="1565"/>
      <c r="I46" s="761"/>
    </row>
    <row r="47" spans="2:9" s="126" customFormat="1" ht="6.75" customHeight="1">
      <c r="B47" s="143"/>
      <c r="C47" s="143"/>
      <c r="D47" s="143"/>
      <c r="E47" s="136"/>
      <c r="F47" s="140"/>
      <c r="G47" s="1563"/>
      <c r="H47" s="1563"/>
      <c r="I47" s="1564"/>
    </row>
    <row r="48" spans="2:9" s="126" customFormat="1" ht="13.5">
      <c r="B48" s="135" t="s">
        <v>2060</v>
      </c>
      <c r="C48" s="129"/>
      <c r="D48" s="129"/>
      <c r="E48" s="136"/>
      <c r="F48" s="140"/>
      <c r="G48" s="1563">
        <v>116</v>
      </c>
      <c r="H48" s="1563">
        <v>116.6</v>
      </c>
      <c r="I48" s="1564">
        <v>118.9</v>
      </c>
    </row>
    <row r="49" spans="2:9" s="126" customFormat="1" ht="15.75" customHeight="1">
      <c r="B49" s="138" t="s">
        <v>64</v>
      </c>
      <c r="C49" s="139" t="s">
        <v>2062</v>
      </c>
      <c r="D49" s="139"/>
      <c r="E49" s="136"/>
      <c r="F49" s="140"/>
      <c r="G49" s="1565"/>
      <c r="H49" s="1565"/>
      <c r="I49" s="761"/>
    </row>
    <row r="50" spans="2:9" s="126" customFormat="1" ht="15.75" customHeight="1">
      <c r="B50" s="139"/>
      <c r="C50" s="139"/>
      <c r="D50" s="139"/>
      <c r="E50" s="136"/>
      <c r="F50" s="140"/>
      <c r="G50" s="1565"/>
      <c r="H50" s="1565"/>
      <c r="I50" s="761"/>
    </row>
    <row r="51" spans="2:9" s="126" customFormat="1" ht="15.75" customHeight="1">
      <c r="B51" s="96" t="s">
        <v>65</v>
      </c>
      <c r="C51" s="139"/>
      <c r="D51" s="139"/>
      <c r="E51" s="136"/>
      <c r="F51" s="140"/>
      <c r="G51" s="1565"/>
      <c r="H51" s="1565"/>
      <c r="I51" s="761"/>
    </row>
    <row r="52" spans="2:9" s="126" customFormat="1" ht="15.75" customHeight="1">
      <c r="B52" s="139" t="s">
        <v>66</v>
      </c>
      <c r="C52" s="139"/>
      <c r="D52" s="139"/>
      <c r="E52" s="136"/>
      <c r="F52" s="140"/>
      <c r="G52" s="1565"/>
      <c r="H52" s="1565"/>
      <c r="I52" s="761"/>
    </row>
    <row r="53" spans="2:9" s="126" customFormat="1" ht="15.75" customHeight="1">
      <c r="B53" s="139"/>
      <c r="C53" s="139"/>
      <c r="D53" s="139"/>
      <c r="E53" s="136"/>
      <c r="F53" s="140"/>
      <c r="G53" s="1565"/>
      <c r="H53" s="1565"/>
      <c r="I53" s="761"/>
    </row>
    <row r="54" spans="2:9" s="126" customFormat="1" ht="13.5" customHeight="1">
      <c r="B54" s="135" t="s">
        <v>45</v>
      </c>
      <c r="C54" s="129"/>
      <c r="D54" s="129"/>
      <c r="E54" s="136"/>
      <c r="F54" s="137"/>
      <c r="G54" s="1566">
        <v>-1.2</v>
      </c>
      <c r="H54" s="1566">
        <v>2.5</v>
      </c>
      <c r="I54" s="1469">
        <v>3.3</v>
      </c>
    </row>
    <row r="55" spans="2:9" s="126" customFormat="1" ht="13.5" customHeight="1">
      <c r="B55" s="138" t="s">
        <v>46</v>
      </c>
      <c r="C55" s="139"/>
      <c r="D55" s="139"/>
      <c r="E55" s="136"/>
      <c r="F55" s="137"/>
      <c r="G55" s="1566"/>
      <c r="H55" s="1566"/>
      <c r="I55" s="1469"/>
    </row>
    <row r="56" spans="2:9" s="126" customFormat="1" ht="10.5" customHeight="1">
      <c r="B56" s="129"/>
      <c r="C56" s="129"/>
      <c r="D56" s="129"/>
      <c r="E56" s="136"/>
      <c r="F56" s="137"/>
      <c r="G56" s="1566"/>
      <c r="H56" s="1566"/>
      <c r="I56" s="1469"/>
    </row>
    <row r="57" spans="2:9" s="126" customFormat="1" ht="13.5" customHeight="1">
      <c r="B57" s="135" t="s">
        <v>47</v>
      </c>
      <c r="C57" s="129"/>
      <c r="D57" s="129"/>
      <c r="E57" s="136"/>
      <c r="F57" s="140"/>
      <c r="G57" s="1565">
        <v>1.3</v>
      </c>
      <c r="H57" s="1565">
        <v>1.7</v>
      </c>
      <c r="I57" s="761">
        <v>5.8</v>
      </c>
    </row>
    <row r="58" spans="2:9" s="126" customFormat="1" ht="13.5" customHeight="1">
      <c r="B58" s="142" t="s">
        <v>48</v>
      </c>
      <c r="C58" s="134"/>
      <c r="D58" s="134"/>
      <c r="E58" s="136"/>
      <c r="F58" s="140"/>
      <c r="G58" s="1565"/>
      <c r="H58" s="1565"/>
      <c r="I58" s="761"/>
    </row>
    <row r="59" spans="2:9" s="126" customFormat="1" ht="6.75" customHeight="1">
      <c r="B59" s="143"/>
      <c r="C59" s="143"/>
      <c r="D59" s="143"/>
      <c r="E59" s="136"/>
      <c r="F59" s="140"/>
      <c r="G59" s="1565"/>
      <c r="H59" s="1565"/>
      <c r="I59" s="761"/>
    </row>
    <row r="60" spans="2:9" s="126" customFormat="1" ht="13.5" customHeight="1">
      <c r="B60" s="135" t="s">
        <v>49</v>
      </c>
      <c r="C60" s="129"/>
      <c r="D60" s="129"/>
      <c r="E60" s="136"/>
      <c r="F60" s="140"/>
      <c r="G60" s="1565">
        <v>0.3</v>
      </c>
      <c r="H60" s="1565">
        <v>0.5</v>
      </c>
      <c r="I60" s="761">
        <v>0.5</v>
      </c>
    </row>
    <row r="61" spans="2:9" s="126" customFormat="1" ht="13.5" customHeight="1">
      <c r="B61" s="138" t="s">
        <v>50</v>
      </c>
      <c r="C61" s="139"/>
      <c r="D61" s="139"/>
      <c r="E61" s="136"/>
      <c r="F61" s="140"/>
      <c r="G61" s="1565"/>
      <c r="H61" s="1565"/>
      <c r="I61" s="761"/>
    </row>
    <row r="62" spans="2:9" s="126" customFormat="1" ht="6.75" customHeight="1">
      <c r="B62" s="143"/>
      <c r="C62" s="143"/>
      <c r="D62" s="143"/>
      <c r="E62" s="136"/>
      <c r="F62" s="140"/>
      <c r="G62" s="1565"/>
      <c r="H62" s="1565"/>
      <c r="I62" s="761"/>
    </row>
    <row r="63" spans="2:9" s="126" customFormat="1" ht="13.5" customHeight="1">
      <c r="B63" s="135" t="s">
        <v>51</v>
      </c>
      <c r="C63" s="129"/>
      <c r="D63" s="129"/>
      <c r="E63" s="136"/>
      <c r="F63" s="140"/>
      <c r="G63" s="1565">
        <v>-0.8</v>
      </c>
      <c r="H63" s="1565">
        <v>-0.4</v>
      </c>
      <c r="I63" s="761">
        <v>0.1</v>
      </c>
    </row>
    <row r="64" spans="2:9" s="126" customFormat="1" ht="13.5" customHeight="1">
      <c r="B64" s="138" t="s">
        <v>52</v>
      </c>
      <c r="C64" s="139"/>
      <c r="D64" s="139"/>
      <c r="E64" s="136"/>
      <c r="F64" s="140"/>
      <c r="G64" s="1565"/>
      <c r="H64" s="1565"/>
      <c r="I64" s="761"/>
    </row>
    <row r="65" spans="2:9" s="126" customFormat="1" ht="6.75" customHeight="1">
      <c r="B65" s="143"/>
      <c r="C65" s="143"/>
      <c r="D65" s="143"/>
      <c r="E65" s="136"/>
      <c r="F65" s="140"/>
      <c r="G65" s="1565"/>
      <c r="H65" s="1565"/>
      <c r="I65" s="761"/>
    </row>
    <row r="66" spans="2:9" s="126" customFormat="1" ht="13.5" customHeight="1">
      <c r="B66" s="135" t="s">
        <v>53</v>
      </c>
      <c r="C66" s="129"/>
      <c r="D66" s="129"/>
      <c r="E66" s="136"/>
      <c r="F66" s="140"/>
      <c r="G66" s="1565">
        <v>-1.7</v>
      </c>
      <c r="H66" s="1565">
        <v>1.5</v>
      </c>
      <c r="I66" s="761">
        <v>1.8</v>
      </c>
    </row>
    <row r="67" spans="2:9" s="126" customFormat="1" ht="13.5" customHeight="1">
      <c r="B67" s="138" t="s">
        <v>54</v>
      </c>
      <c r="C67" s="139"/>
      <c r="D67" s="139"/>
      <c r="E67" s="136"/>
      <c r="F67" s="140"/>
      <c r="G67" s="1565"/>
      <c r="H67" s="1565"/>
      <c r="I67" s="761"/>
    </row>
    <row r="68" spans="2:9" s="126" customFormat="1" ht="6.75" customHeight="1">
      <c r="B68" s="143"/>
      <c r="C68" s="143"/>
      <c r="D68" s="143"/>
      <c r="E68" s="136"/>
      <c r="F68" s="140"/>
      <c r="G68" s="1565"/>
      <c r="H68" s="1565"/>
      <c r="I68" s="761"/>
    </row>
    <row r="69" spans="2:9" s="126" customFormat="1" ht="13.5" customHeight="1">
      <c r="B69" s="135" t="s">
        <v>55</v>
      </c>
      <c r="C69" s="129"/>
      <c r="D69" s="129"/>
      <c r="E69" s="136"/>
      <c r="F69" s="140"/>
      <c r="G69" s="1565">
        <v>0.3</v>
      </c>
      <c r="H69" s="1565">
        <v>1.6</v>
      </c>
      <c r="I69" s="761">
        <v>3.5</v>
      </c>
    </row>
    <row r="70" spans="2:9" s="126" customFormat="1" ht="15.75" customHeight="1">
      <c r="B70" s="138" t="s">
        <v>56</v>
      </c>
      <c r="C70" s="139"/>
      <c r="D70" s="139"/>
      <c r="E70" s="136"/>
      <c r="F70" s="140"/>
      <c r="G70" s="1565"/>
      <c r="H70" s="1565"/>
      <c r="I70" s="761"/>
    </row>
    <row r="71" spans="2:9" s="126" customFormat="1" ht="6.75" customHeight="1">
      <c r="B71" s="143"/>
      <c r="C71" s="143"/>
      <c r="D71" s="143"/>
      <c r="E71" s="136"/>
      <c r="F71" s="140"/>
      <c r="G71" s="1565"/>
      <c r="H71" s="1565"/>
      <c r="I71" s="761"/>
    </row>
    <row r="72" spans="2:9" s="126" customFormat="1" ht="13.5" customHeight="1">
      <c r="B72" s="135" t="s">
        <v>57</v>
      </c>
      <c r="C72" s="129"/>
      <c r="D72" s="129"/>
      <c r="E72" s="136"/>
      <c r="F72" s="140"/>
      <c r="G72" s="1565">
        <v>1.1000000000000001</v>
      </c>
      <c r="H72" s="1565">
        <v>0.4</v>
      </c>
      <c r="I72" s="761">
        <v>0.7</v>
      </c>
    </row>
    <row r="73" spans="2:9" s="126" customFormat="1" ht="13.5" customHeight="1">
      <c r="B73" s="138" t="s">
        <v>58</v>
      </c>
      <c r="C73" s="139"/>
      <c r="D73" s="139"/>
      <c r="E73" s="136"/>
      <c r="F73" s="140"/>
      <c r="G73" s="1565"/>
      <c r="H73" s="1565"/>
      <c r="I73" s="761"/>
    </row>
    <row r="74" spans="2:9" s="126" customFormat="1" ht="6.75" customHeight="1">
      <c r="B74" s="143"/>
      <c r="C74" s="143"/>
      <c r="D74" s="143"/>
      <c r="E74" s="136"/>
      <c r="F74" s="140"/>
      <c r="G74" s="1565"/>
      <c r="H74" s="1565"/>
      <c r="I74" s="761"/>
    </row>
    <row r="75" spans="2:9" s="126" customFormat="1" ht="13.5" customHeight="1">
      <c r="B75" s="135" t="s">
        <v>59</v>
      </c>
      <c r="C75" s="129"/>
      <c r="D75" s="129"/>
      <c r="E75" s="136"/>
      <c r="F75" s="140"/>
      <c r="G75" s="1565">
        <v>-10</v>
      </c>
      <c r="H75" s="1565">
        <v>11</v>
      </c>
      <c r="I75" s="761">
        <v>4.7</v>
      </c>
    </row>
    <row r="76" spans="2:9" s="126" customFormat="1" ht="13.5" customHeight="1">
      <c r="B76" s="138" t="s">
        <v>60</v>
      </c>
      <c r="C76" s="139"/>
      <c r="D76" s="139"/>
      <c r="E76" s="136"/>
      <c r="F76" s="140"/>
      <c r="G76" s="1565"/>
      <c r="H76" s="1565"/>
      <c r="I76" s="761"/>
    </row>
    <row r="77" spans="2:9" s="126" customFormat="1" ht="6.75" customHeight="1">
      <c r="B77" s="143"/>
      <c r="C77" s="143"/>
      <c r="D77" s="143"/>
      <c r="E77" s="136"/>
      <c r="F77" s="140"/>
      <c r="G77" s="1565"/>
      <c r="H77" s="1565"/>
      <c r="I77" s="761"/>
    </row>
    <row r="78" spans="2:9" s="126" customFormat="1" ht="13.5" customHeight="1">
      <c r="B78" s="135" t="s">
        <v>2054</v>
      </c>
      <c r="C78" s="129"/>
      <c r="D78" s="129"/>
      <c r="E78" s="136"/>
      <c r="F78" s="140"/>
      <c r="G78" s="1563">
        <v>97.5</v>
      </c>
      <c r="H78" s="1563">
        <v>97.5</v>
      </c>
      <c r="I78" s="1564">
        <v>97.5</v>
      </c>
    </row>
    <row r="79" spans="2:9" s="126" customFormat="1" ht="13.5" customHeight="1">
      <c r="B79" s="138" t="s">
        <v>61</v>
      </c>
      <c r="C79" s="139" t="s">
        <v>2055</v>
      </c>
      <c r="D79" s="139"/>
      <c r="E79" s="136"/>
      <c r="F79" s="140"/>
      <c r="G79" s="1563"/>
      <c r="H79" s="1563"/>
      <c r="I79" s="1564"/>
    </row>
    <row r="80" spans="2:9" s="126" customFormat="1" ht="6.75" customHeight="1">
      <c r="B80" s="143"/>
      <c r="C80" s="143"/>
      <c r="D80" s="143"/>
      <c r="E80" s="136"/>
      <c r="F80" s="140"/>
      <c r="G80" s="1565"/>
      <c r="H80" s="1565"/>
      <c r="I80" s="761"/>
    </row>
    <row r="81" spans="2:9" s="126" customFormat="1" ht="13.5" customHeight="1">
      <c r="B81" s="135" t="s">
        <v>2056</v>
      </c>
      <c r="C81" s="129"/>
      <c r="D81" s="129"/>
      <c r="E81" s="136"/>
      <c r="F81" s="140"/>
      <c r="G81" s="1563">
        <v>112.3</v>
      </c>
      <c r="H81" s="1563">
        <v>112.8</v>
      </c>
      <c r="I81" s="1564">
        <v>115.4</v>
      </c>
    </row>
    <row r="82" spans="2:9" s="126" customFormat="1" ht="13.5" customHeight="1">
      <c r="B82" s="138" t="s">
        <v>2057</v>
      </c>
      <c r="C82" s="139"/>
      <c r="D82" s="139"/>
      <c r="E82" s="136"/>
      <c r="F82" s="140"/>
      <c r="G82" s="1563"/>
      <c r="H82" s="1563"/>
      <c r="I82" s="1564"/>
    </row>
    <row r="83" spans="2:9" s="126" customFormat="1" ht="6.75" customHeight="1">
      <c r="B83" s="143"/>
      <c r="C83" s="143"/>
      <c r="D83" s="143"/>
      <c r="E83" s="136"/>
      <c r="F83" s="140"/>
      <c r="G83" s="1565"/>
      <c r="H83" s="1565"/>
      <c r="I83" s="761"/>
    </row>
    <row r="84" spans="2:9" s="126" customFormat="1" ht="13.5" customHeight="1">
      <c r="B84" s="135" t="s">
        <v>62</v>
      </c>
      <c r="C84" s="129"/>
      <c r="D84" s="129"/>
      <c r="E84" s="136"/>
      <c r="F84" s="140"/>
      <c r="G84" s="1565">
        <v>1</v>
      </c>
      <c r="H84" s="1565">
        <v>0.2</v>
      </c>
      <c r="I84" s="761">
        <v>1.1000000000000001</v>
      </c>
    </row>
    <row r="85" spans="2:9" s="126" customFormat="1" ht="13.5" customHeight="1">
      <c r="B85" s="138" t="s">
        <v>63</v>
      </c>
      <c r="C85" s="139"/>
      <c r="D85" s="139"/>
      <c r="E85" s="136"/>
      <c r="F85" s="140"/>
      <c r="G85" s="1565"/>
      <c r="H85" s="1565"/>
      <c r="I85" s="761"/>
    </row>
    <row r="86" spans="2:9" s="126" customFormat="1" ht="6.75" customHeight="1">
      <c r="B86" s="139"/>
      <c r="C86" s="139"/>
      <c r="D86" s="139"/>
      <c r="E86" s="136"/>
      <c r="F86" s="140"/>
      <c r="G86" s="1565"/>
      <c r="H86" s="1565"/>
      <c r="I86" s="761"/>
    </row>
    <row r="87" spans="2:9" s="126" customFormat="1" ht="13.5">
      <c r="B87" s="135" t="s">
        <v>2058</v>
      </c>
      <c r="C87" s="129"/>
      <c r="D87" s="129"/>
      <c r="E87" s="136"/>
      <c r="F87" s="140"/>
      <c r="G87" s="1563">
        <v>132.4</v>
      </c>
      <c r="H87" s="1563">
        <v>132.9</v>
      </c>
      <c r="I87" s="1564">
        <v>139.5</v>
      </c>
    </row>
    <row r="88" spans="2:9" s="126" customFormat="1" ht="13.5">
      <c r="B88" s="138" t="s">
        <v>2059</v>
      </c>
      <c r="C88" s="139"/>
      <c r="D88" s="139"/>
      <c r="E88" s="136"/>
      <c r="F88" s="140"/>
      <c r="G88" s="1563"/>
      <c r="H88" s="1563"/>
      <c r="I88" s="1564"/>
    </row>
    <row r="89" spans="2:9" s="126" customFormat="1" ht="6.75" customHeight="1">
      <c r="B89" s="138"/>
      <c r="C89" s="139"/>
      <c r="D89" s="139"/>
      <c r="E89" s="136"/>
      <c r="F89" s="140"/>
      <c r="G89" s="1565"/>
      <c r="H89" s="1565"/>
      <c r="I89" s="761"/>
    </row>
    <row r="90" spans="2:9" s="126" customFormat="1" ht="13.5">
      <c r="B90" s="135" t="s">
        <v>1138</v>
      </c>
      <c r="C90" s="129"/>
      <c r="D90" s="129"/>
      <c r="E90" s="136"/>
      <c r="F90" s="140"/>
      <c r="G90" s="1563">
        <v>116</v>
      </c>
      <c r="H90" s="1563">
        <v>116.6</v>
      </c>
      <c r="I90" s="1564">
        <v>118.9</v>
      </c>
    </row>
    <row r="91" spans="2:9" s="126" customFormat="1" ht="15.75" customHeight="1">
      <c r="B91" s="138" t="s">
        <v>1139</v>
      </c>
      <c r="C91" s="139"/>
      <c r="D91" s="139"/>
      <c r="E91" s="136"/>
      <c r="F91" s="140"/>
      <c r="G91" s="1565"/>
      <c r="H91" s="1565"/>
      <c r="I91" s="761"/>
    </row>
    <row r="92" spans="2:9" s="126" customFormat="1" ht="6.75" customHeight="1">
      <c r="B92" s="143"/>
      <c r="C92" s="143"/>
      <c r="D92" s="143"/>
      <c r="E92" s="136"/>
      <c r="F92" s="140"/>
      <c r="G92" s="1565"/>
      <c r="H92" s="1565"/>
      <c r="I92" s="761"/>
    </row>
    <row r="93" spans="2:9" s="126" customFormat="1" ht="13.5">
      <c r="B93" s="135" t="s">
        <v>2060</v>
      </c>
      <c r="C93" s="129"/>
      <c r="D93" s="129"/>
      <c r="E93" s="136"/>
      <c r="F93" s="140"/>
      <c r="G93" s="1563">
        <v>116</v>
      </c>
      <c r="H93" s="1563">
        <v>116.6</v>
      </c>
      <c r="I93" s="1564">
        <v>118.9</v>
      </c>
    </row>
    <row r="94" spans="2:9" s="126" customFormat="1" ht="15.75" customHeight="1">
      <c r="B94" s="138" t="s">
        <v>64</v>
      </c>
      <c r="C94" s="139" t="s">
        <v>2062</v>
      </c>
      <c r="D94" s="139"/>
      <c r="E94" s="136"/>
      <c r="F94" s="140"/>
      <c r="G94" s="1565"/>
      <c r="H94" s="1565"/>
      <c r="I94" s="761"/>
    </row>
    <row r="95" spans="2:9" s="66" customFormat="1" ht="8.25" customHeight="1" thickBot="1">
      <c r="B95" s="147"/>
      <c r="C95" s="147"/>
      <c r="D95" s="147"/>
      <c r="E95" s="80"/>
      <c r="F95" s="80"/>
      <c r="G95" s="80"/>
      <c r="H95" s="80"/>
      <c r="I95" s="81"/>
    </row>
    <row r="96" spans="2:9" s="66" customFormat="1" ht="16.5">
      <c r="I96" s="51" t="s">
        <v>0</v>
      </c>
    </row>
    <row r="97" spans="9:9" s="66" customFormat="1" ht="16.5">
      <c r="I97" s="53" t="s">
        <v>1</v>
      </c>
    </row>
  </sheetData>
  <mergeCells count="3">
    <mergeCell ref="G5:I5"/>
    <mergeCell ref="C4:E4"/>
    <mergeCell ref="C5:E5"/>
  </mergeCells>
  <printOptions horizontalCentered="1"/>
  <pageMargins left="0.55118110236220474" right="0.55118110236220474" top="0.55118110236220474" bottom="0.55118110236220474" header="0.31496062992125984" footer="0.31496062992125984"/>
  <pageSetup paperSize="9" scale="65" fitToWidth="0" fitToHeight="0"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DADBE-179F-4018-9BE4-1E8D4183F45E}">
  <sheetPr codeName="Sheet40">
    <tabColor theme="4" tint="0.39997558519241921"/>
  </sheetPr>
  <dimension ref="A1:P101"/>
  <sheetViews>
    <sheetView view="pageBreakPreview" topLeftCell="A13" zoomScale="90" zoomScaleNormal="80" zoomScaleSheetLayoutView="90" workbookViewId="0">
      <selection activeCell="E90" sqref="E90"/>
    </sheetView>
  </sheetViews>
  <sheetFormatPr defaultColWidth="9.140625" defaultRowHeight="16.5"/>
  <cols>
    <col min="1" max="1" width="2.85546875" style="66" customWidth="1"/>
    <col min="2" max="3" width="9.140625" style="66"/>
    <col min="4" max="4" width="39.42578125" style="66" customWidth="1"/>
    <col min="5" max="5" width="9.140625" style="66"/>
    <col min="6" max="6" width="17.7109375" style="66" customWidth="1"/>
    <col min="7" max="7" width="14.7109375" style="66" customWidth="1"/>
    <col min="8" max="8" width="5.28515625" style="66" customWidth="1"/>
    <col min="9" max="9" width="14.7109375" style="66" customWidth="1"/>
    <col min="10" max="10" width="5.28515625" style="66" customWidth="1"/>
    <col min="11" max="11" width="14.7109375" style="68" customWidth="1"/>
    <col min="12" max="16384" width="9.140625" style="66"/>
  </cols>
  <sheetData>
    <row r="1" spans="1:13" s="412" customFormat="1" ht="3.95" customHeight="1">
      <c r="F1" s="413"/>
      <c r="H1" s="414"/>
      <c r="J1" s="414"/>
      <c r="K1" s="415"/>
    </row>
    <row r="2" spans="1:13" s="412" customFormat="1" ht="3.95" customHeight="1">
      <c r="F2" s="413"/>
      <c r="H2" s="414"/>
      <c r="J2" s="414"/>
      <c r="K2" s="415"/>
    </row>
    <row r="3" spans="1:13" s="412" customFormat="1" ht="14.25" customHeight="1">
      <c r="A3" s="414"/>
      <c r="B3" s="416" t="s">
        <v>444</v>
      </c>
      <c r="C3" s="2746" t="s">
        <v>1404</v>
      </c>
      <c r="D3" s="2746"/>
      <c r="E3" s="2746"/>
      <c r="F3" s="2746"/>
      <c r="G3" s="2746"/>
      <c r="H3" s="2746"/>
      <c r="I3" s="2746"/>
      <c r="J3" s="2746"/>
      <c r="K3" s="415"/>
    </row>
    <row r="4" spans="1:13" s="412" customFormat="1" ht="3.4" customHeight="1">
      <c r="A4" s="414"/>
      <c r="B4" s="417"/>
      <c r="C4" s="2746"/>
      <c r="D4" s="2746"/>
      <c r="E4" s="2746"/>
      <c r="F4" s="2746"/>
      <c r="G4" s="2746"/>
      <c r="H4" s="2746"/>
      <c r="I4" s="2746"/>
      <c r="J4" s="2746"/>
      <c r="K4" s="415"/>
    </row>
    <row r="5" spans="1:13" s="412" customFormat="1" ht="14.25" customHeight="1">
      <c r="B5" s="418" t="s">
        <v>445</v>
      </c>
      <c r="C5" s="2747" t="s">
        <v>1405</v>
      </c>
      <c r="D5" s="2747"/>
      <c r="E5" s="2747"/>
      <c r="F5" s="2747"/>
      <c r="G5" s="2747"/>
      <c r="H5" s="2747"/>
      <c r="I5" s="2747"/>
      <c r="J5" s="2747"/>
      <c r="K5" s="415"/>
    </row>
    <row r="6" spans="1:13" s="412" customFormat="1" ht="5.0999999999999996" customHeight="1">
      <c r="B6" s="418"/>
      <c r="C6" s="2747"/>
      <c r="D6" s="2747"/>
      <c r="E6" s="2747"/>
      <c r="F6" s="2747"/>
      <c r="G6" s="2747"/>
      <c r="H6" s="2747"/>
      <c r="I6" s="2747"/>
      <c r="J6" s="2747"/>
      <c r="K6" s="415"/>
    </row>
    <row r="7" spans="1:13" s="412" customFormat="1" ht="4.5" customHeight="1" thickBot="1">
      <c r="A7" s="419"/>
      <c r="B7" s="419"/>
      <c r="C7" s="419"/>
      <c r="D7" s="419"/>
      <c r="E7" s="419"/>
      <c r="F7" s="420"/>
      <c r="G7" s="419"/>
      <c r="H7" s="421"/>
      <c r="I7" s="419"/>
      <c r="J7" s="421"/>
      <c r="K7" s="422"/>
    </row>
    <row r="8" spans="1:13" s="423" customFormat="1" ht="5.25" customHeight="1">
      <c r="F8" s="424"/>
      <c r="H8" s="425"/>
      <c r="J8" s="425"/>
      <c r="K8" s="426"/>
    </row>
    <row r="9" spans="1:13" s="423" customFormat="1" ht="14.25" customHeight="1">
      <c r="A9" s="427"/>
      <c r="B9" s="2748" t="s">
        <v>67</v>
      </c>
      <c r="C9" s="2748"/>
      <c r="D9" s="428"/>
      <c r="E9" s="428"/>
      <c r="F9" s="428"/>
      <c r="G9" s="429">
        <v>2023</v>
      </c>
      <c r="H9" s="429"/>
      <c r="I9" s="429">
        <v>2024</v>
      </c>
      <c r="J9" s="429"/>
      <c r="K9" s="430">
        <v>2025</v>
      </c>
      <c r="L9" s="431"/>
    </row>
    <row r="10" spans="1:13" s="423" customFormat="1" ht="5.0999999999999996" customHeight="1">
      <c r="A10" s="427"/>
      <c r="B10" s="2748"/>
      <c r="C10" s="2748"/>
      <c r="D10" s="428"/>
      <c r="E10" s="428"/>
      <c r="F10" s="428"/>
      <c r="G10" s="429"/>
      <c r="H10" s="429"/>
      <c r="I10" s="429"/>
      <c r="J10" s="429"/>
      <c r="K10" s="430"/>
      <c r="L10" s="431"/>
    </row>
    <row r="11" spans="1:13" s="423" customFormat="1" ht="8.25" customHeight="1" thickBot="1">
      <c r="A11" s="432"/>
      <c r="B11" s="2749"/>
      <c r="C11" s="2749"/>
      <c r="D11" s="433"/>
      <c r="E11" s="433"/>
      <c r="F11" s="434"/>
      <c r="G11" s="433"/>
      <c r="H11" s="433"/>
      <c r="I11" s="433"/>
      <c r="J11" s="433"/>
      <c r="K11" s="435"/>
      <c r="L11" s="431"/>
    </row>
    <row r="12" spans="1:13" s="423" customFormat="1" ht="8.1" customHeight="1">
      <c r="B12" s="436"/>
      <c r="C12" s="431"/>
      <c r="D12" s="431"/>
      <c r="E12" s="431"/>
      <c r="F12" s="431"/>
      <c r="G12" s="437"/>
      <c r="H12" s="437"/>
      <c r="I12" s="437"/>
      <c r="J12" s="437"/>
      <c r="K12" s="426"/>
      <c r="L12" s="431"/>
    </row>
    <row r="13" spans="1:13" s="423" customFormat="1" ht="13.7" customHeight="1">
      <c r="B13" s="438" t="s">
        <v>68</v>
      </c>
      <c r="C13" s="431"/>
      <c r="D13" s="431"/>
      <c r="E13" s="431"/>
      <c r="F13" s="431"/>
      <c r="G13" s="1567"/>
      <c r="H13" s="1567"/>
      <c r="I13" s="1567"/>
      <c r="J13" s="1567"/>
      <c r="K13" s="1568"/>
      <c r="L13" s="431"/>
    </row>
    <row r="14" spans="1:13" s="423" customFormat="1" ht="13.7" customHeight="1">
      <c r="B14" s="439" t="s">
        <v>69</v>
      </c>
      <c r="C14" s="431"/>
      <c r="D14" s="431"/>
      <c r="E14" s="431"/>
      <c r="F14" s="431"/>
      <c r="G14" s="1567"/>
      <c r="H14" s="1567"/>
      <c r="I14" s="1567"/>
      <c r="J14" s="1567"/>
      <c r="K14" s="1568"/>
      <c r="L14" s="431"/>
    </row>
    <row r="15" spans="1:13" s="423" customFormat="1" ht="6.95" customHeight="1">
      <c r="B15" s="439"/>
      <c r="C15" s="431"/>
      <c r="D15" s="431"/>
      <c r="E15" s="431"/>
      <c r="F15" s="431"/>
      <c r="G15" s="1567"/>
      <c r="H15" s="1567"/>
      <c r="I15" s="1567"/>
      <c r="J15" s="1567"/>
      <c r="K15" s="1568"/>
      <c r="L15" s="431"/>
    </row>
    <row r="16" spans="1:13" s="423" customFormat="1" ht="15.4" customHeight="1">
      <c r="B16" s="440" t="s">
        <v>2029</v>
      </c>
      <c r="C16" s="431"/>
      <c r="D16" s="431"/>
      <c r="E16" s="441" t="s">
        <v>70</v>
      </c>
      <c r="F16" s="441"/>
      <c r="G16" s="1569">
        <v>5.66</v>
      </c>
      <c r="H16" s="1569"/>
      <c r="I16" s="1569">
        <v>5.75</v>
      </c>
      <c r="J16" s="1569"/>
      <c r="K16" s="1569">
        <v>5.81</v>
      </c>
      <c r="M16" s="439"/>
    </row>
    <row r="17" spans="2:13" s="423" customFormat="1" ht="15.4" customHeight="1">
      <c r="B17" s="440" t="s">
        <v>71</v>
      </c>
      <c r="D17" s="431"/>
      <c r="E17" s="441" t="s">
        <v>70</v>
      </c>
      <c r="F17" s="441"/>
      <c r="G17" s="1569">
        <v>9.0399999999999991</v>
      </c>
      <c r="H17" s="1569"/>
      <c r="I17" s="1569">
        <v>8.8699999999999992</v>
      </c>
      <c r="J17" s="1569"/>
      <c r="K17" s="1569">
        <v>8.89</v>
      </c>
      <c r="L17" s="443"/>
      <c r="M17" s="439"/>
    </row>
    <row r="18" spans="2:13" s="423" customFormat="1" ht="15.4" customHeight="1">
      <c r="B18" s="440" t="s">
        <v>72</v>
      </c>
      <c r="C18" s="444"/>
      <c r="D18" s="431"/>
      <c r="E18" s="441" t="s">
        <v>70</v>
      </c>
      <c r="F18" s="441"/>
      <c r="G18" s="1569">
        <v>6.63</v>
      </c>
      <c r="H18" s="1569"/>
      <c r="I18" s="1569">
        <v>6.55</v>
      </c>
      <c r="J18" s="1569"/>
      <c r="K18" s="1569">
        <v>6.68</v>
      </c>
      <c r="L18" s="442"/>
      <c r="M18" s="439"/>
    </row>
    <row r="19" spans="2:13" s="423" customFormat="1" ht="15.4" customHeight="1">
      <c r="B19" s="440" t="s">
        <v>1315</v>
      </c>
      <c r="C19" s="444"/>
      <c r="D19" s="431"/>
      <c r="E19" s="441" t="s">
        <v>70</v>
      </c>
      <c r="F19" s="441"/>
      <c r="G19" s="1569">
        <v>4.71</v>
      </c>
      <c r="H19" s="1569"/>
      <c r="I19" s="1569">
        <v>4.68</v>
      </c>
      <c r="J19" s="1569"/>
      <c r="K19" s="1569">
        <v>6.92</v>
      </c>
      <c r="L19" s="442"/>
      <c r="M19" s="439"/>
    </row>
    <row r="20" spans="2:13" s="423" customFormat="1" ht="15.4" customHeight="1">
      <c r="B20" s="440" t="s">
        <v>2041</v>
      </c>
      <c r="C20" s="444"/>
      <c r="D20" s="431"/>
      <c r="E20" s="441" t="s">
        <v>73</v>
      </c>
      <c r="F20" s="441"/>
      <c r="G20" s="1569">
        <v>2.98</v>
      </c>
      <c r="H20" s="1569"/>
      <c r="I20" s="1569">
        <v>2.91</v>
      </c>
      <c r="J20" s="1569"/>
      <c r="K20" s="1569">
        <v>3.14</v>
      </c>
      <c r="L20" s="442"/>
      <c r="M20" s="439"/>
    </row>
    <row r="21" spans="2:13" s="423" customFormat="1" ht="15.4" customHeight="1">
      <c r="B21" s="440" t="s">
        <v>74</v>
      </c>
      <c r="C21" s="444"/>
      <c r="D21" s="431"/>
      <c r="E21" s="441" t="s">
        <v>70</v>
      </c>
      <c r="F21" s="441"/>
      <c r="G21" s="1569">
        <v>18.440000000000001</v>
      </c>
      <c r="H21" s="1569"/>
      <c r="I21" s="1569">
        <v>17.399999999999999</v>
      </c>
      <c r="J21" s="1569"/>
      <c r="K21" s="1569">
        <v>17.87</v>
      </c>
      <c r="L21" s="442"/>
      <c r="M21" s="439"/>
    </row>
    <row r="22" spans="2:13" s="423" customFormat="1" ht="15.4" customHeight="1">
      <c r="B22" s="440" t="s">
        <v>75</v>
      </c>
      <c r="C22" s="444"/>
      <c r="D22" s="431"/>
      <c r="E22" s="441" t="s">
        <v>70</v>
      </c>
      <c r="F22" s="441"/>
      <c r="G22" s="1569">
        <v>16.78</v>
      </c>
      <c r="H22" s="1569"/>
      <c r="I22" s="1569">
        <v>15.79</v>
      </c>
      <c r="J22" s="1569"/>
      <c r="K22" s="1569">
        <v>15.69</v>
      </c>
      <c r="L22" s="442"/>
      <c r="M22" s="439"/>
    </row>
    <row r="23" spans="2:13" s="423" customFormat="1" ht="15.4" customHeight="1">
      <c r="B23" s="440" t="s">
        <v>76</v>
      </c>
      <c r="C23" s="444"/>
      <c r="D23" s="431"/>
      <c r="E23" s="441" t="s">
        <v>70</v>
      </c>
      <c r="F23" s="441"/>
      <c r="G23" s="1569">
        <v>7.82</v>
      </c>
      <c r="H23" s="1569"/>
      <c r="I23" s="1569">
        <v>7.8</v>
      </c>
      <c r="J23" s="1569"/>
      <c r="K23" s="1569">
        <v>8.1199999999999992</v>
      </c>
      <c r="L23" s="442"/>
      <c r="M23" s="439"/>
    </row>
    <row r="24" spans="2:13" s="423" customFormat="1" ht="15.4" customHeight="1">
      <c r="B24" s="440" t="s">
        <v>77</v>
      </c>
      <c r="C24" s="444"/>
      <c r="D24" s="431"/>
      <c r="E24" s="441" t="s">
        <v>70</v>
      </c>
      <c r="F24" s="441"/>
      <c r="G24" s="1569">
        <v>11.86</v>
      </c>
      <c r="H24" s="1569"/>
      <c r="I24" s="1569">
        <v>11.6</v>
      </c>
      <c r="J24" s="1569"/>
      <c r="K24" s="1569">
        <v>11.8</v>
      </c>
      <c r="L24" s="442"/>
      <c r="M24" s="439"/>
    </row>
    <row r="25" spans="2:13" s="423" customFormat="1" ht="15.4" customHeight="1">
      <c r="B25" s="440" t="s">
        <v>2030</v>
      </c>
      <c r="C25" s="444"/>
      <c r="D25" s="431"/>
      <c r="E25" s="441" t="s">
        <v>70</v>
      </c>
      <c r="F25" s="441"/>
      <c r="G25" s="1569">
        <v>5</v>
      </c>
      <c r="H25" s="1569"/>
      <c r="I25" s="1569">
        <v>4.8</v>
      </c>
      <c r="J25" s="1569"/>
      <c r="K25" s="1569">
        <v>5.13</v>
      </c>
      <c r="L25" s="442"/>
      <c r="M25" s="439"/>
    </row>
    <row r="26" spans="2:13" s="423" customFormat="1" ht="15.4" customHeight="1">
      <c r="B26" s="440" t="s">
        <v>2031</v>
      </c>
      <c r="C26" s="444"/>
      <c r="D26" s="431"/>
      <c r="E26" s="441" t="s">
        <v>70</v>
      </c>
      <c r="F26" s="441"/>
      <c r="G26" s="1569">
        <v>10.69</v>
      </c>
      <c r="H26" s="1569"/>
      <c r="I26" s="1569">
        <v>10.38</v>
      </c>
      <c r="J26" s="1569"/>
      <c r="K26" s="1569">
        <v>10.47</v>
      </c>
      <c r="L26" s="442"/>
      <c r="M26" s="439"/>
    </row>
    <row r="27" spans="2:13" s="423" customFormat="1" ht="15.4" customHeight="1">
      <c r="B27" s="440" t="s">
        <v>78</v>
      </c>
      <c r="C27" s="444"/>
      <c r="D27" s="431"/>
      <c r="E27" s="441" t="s">
        <v>70</v>
      </c>
      <c r="F27" s="441"/>
      <c r="G27" s="1569">
        <v>5.14</v>
      </c>
      <c r="H27" s="1569"/>
      <c r="I27" s="1569">
        <v>4.8</v>
      </c>
      <c r="J27" s="1569"/>
      <c r="K27" s="1569">
        <v>4.82</v>
      </c>
      <c r="L27" s="442"/>
      <c r="M27" s="439"/>
    </row>
    <row r="28" spans="2:13" s="423" customFormat="1" ht="15.4" customHeight="1">
      <c r="B28" s="440" t="s">
        <v>1146</v>
      </c>
      <c r="C28" s="444"/>
      <c r="D28" s="431"/>
      <c r="E28" s="441" t="s">
        <v>70</v>
      </c>
      <c r="F28" s="441"/>
      <c r="G28" s="1569" t="s">
        <v>204</v>
      </c>
      <c r="H28" s="1569"/>
      <c r="I28" s="1569" t="s">
        <v>204</v>
      </c>
      <c r="J28" s="1569"/>
      <c r="K28" s="1569">
        <v>7.35</v>
      </c>
      <c r="L28" s="442"/>
      <c r="M28" s="439"/>
    </row>
    <row r="29" spans="2:13" s="423" customFormat="1" ht="15.4" customHeight="1">
      <c r="B29" s="440" t="s">
        <v>79</v>
      </c>
      <c r="C29" s="444"/>
      <c r="D29" s="431"/>
      <c r="E29" s="441" t="s">
        <v>70</v>
      </c>
      <c r="F29" s="441"/>
      <c r="G29" s="1569">
        <v>6.28</v>
      </c>
      <c r="H29" s="1569"/>
      <c r="I29" s="1569">
        <v>7.22</v>
      </c>
      <c r="J29" s="1569"/>
      <c r="K29" s="1569">
        <v>6.51</v>
      </c>
      <c r="L29" s="442"/>
      <c r="M29" s="439"/>
    </row>
    <row r="30" spans="2:13" s="423" customFormat="1" ht="15.4" customHeight="1">
      <c r="B30" s="440" t="s">
        <v>80</v>
      </c>
      <c r="C30" s="444"/>
      <c r="D30" s="431"/>
      <c r="E30" s="441" t="s">
        <v>70</v>
      </c>
      <c r="F30" s="441"/>
      <c r="G30" s="1569">
        <v>8.5500000000000007</v>
      </c>
      <c r="H30" s="1569"/>
      <c r="I30" s="1569">
        <v>8.26</v>
      </c>
      <c r="J30" s="1569"/>
      <c r="K30" s="1569">
        <v>8.4700000000000006</v>
      </c>
      <c r="L30" s="442"/>
      <c r="M30" s="439"/>
    </row>
    <row r="31" spans="2:13" s="423" customFormat="1" ht="15.4" customHeight="1">
      <c r="B31" s="440" t="s">
        <v>81</v>
      </c>
      <c r="C31" s="444"/>
      <c r="D31" s="431"/>
      <c r="E31" s="441" t="s">
        <v>70</v>
      </c>
      <c r="F31" s="441"/>
      <c r="G31" s="1569">
        <v>4.0999999999999996</v>
      </c>
      <c r="H31" s="1569"/>
      <c r="I31" s="1569">
        <v>4.16</v>
      </c>
      <c r="J31" s="1569"/>
      <c r="K31" s="1569">
        <v>4.3099999999999996</v>
      </c>
      <c r="L31" s="442"/>
      <c r="M31" s="439"/>
    </row>
    <row r="32" spans="2:13" s="423" customFormat="1" ht="6.95" customHeight="1">
      <c r="B32" s="445"/>
      <c r="C32" s="444"/>
      <c r="D32" s="444"/>
      <c r="E32" s="446"/>
      <c r="F32" s="446"/>
      <c r="G32" s="1569"/>
      <c r="H32" s="1569"/>
      <c r="I32" s="1569"/>
      <c r="J32" s="1569"/>
      <c r="K32" s="1570"/>
      <c r="L32" s="442"/>
      <c r="M32" s="447"/>
    </row>
    <row r="33" spans="1:14" s="423" customFormat="1" ht="13.7" customHeight="1">
      <c r="B33" s="438" t="s">
        <v>82</v>
      </c>
      <c r="C33" s="444"/>
      <c r="D33" s="444"/>
      <c r="E33" s="446"/>
      <c r="F33" s="446"/>
      <c r="G33" s="1569"/>
      <c r="H33" s="1569"/>
      <c r="I33" s="1569"/>
      <c r="J33" s="1569"/>
      <c r="K33" s="1570"/>
      <c r="L33" s="442"/>
      <c r="M33" s="447"/>
    </row>
    <row r="34" spans="1:14" s="423" customFormat="1" ht="13.7" customHeight="1">
      <c r="B34" s="439" t="s">
        <v>83</v>
      </c>
      <c r="C34" s="444"/>
      <c r="D34" s="444"/>
      <c r="E34" s="446"/>
      <c r="F34" s="446"/>
      <c r="G34" s="1569"/>
      <c r="H34" s="1569"/>
      <c r="I34" s="1569"/>
      <c r="J34" s="1569"/>
      <c r="K34" s="1570"/>
      <c r="L34" s="442"/>
      <c r="M34" s="447"/>
    </row>
    <row r="35" spans="1:14" s="423" customFormat="1" ht="6.95" customHeight="1">
      <c r="B35" s="438"/>
      <c r="C35" s="444"/>
      <c r="D35" s="444"/>
      <c r="E35" s="446"/>
      <c r="F35" s="446"/>
      <c r="G35" s="1569"/>
      <c r="H35" s="1569"/>
      <c r="I35" s="1569"/>
      <c r="J35" s="1569"/>
      <c r="K35" s="1570"/>
      <c r="L35" s="442"/>
      <c r="M35" s="447"/>
    </row>
    <row r="36" spans="1:14" s="423" customFormat="1" ht="15.4" customHeight="1">
      <c r="B36" s="440" t="s">
        <v>84</v>
      </c>
      <c r="C36" s="448"/>
      <c r="D36" s="444"/>
      <c r="E36" s="441" t="s">
        <v>85</v>
      </c>
      <c r="F36" s="441"/>
      <c r="G36" s="1569">
        <v>2.0499999999999998</v>
      </c>
      <c r="H36" s="1569"/>
      <c r="I36" s="1569">
        <v>2.23</v>
      </c>
      <c r="J36" s="1569"/>
      <c r="K36" s="1569">
        <v>2.37</v>
      </c>
      <c r="L36" s="425"/>
      <c r="M36" s="442"/>
      <c r="N36" s="447"/>
    </row>
    <row r="37" spans="1:14" s="423" customFormat="1" ht="15.4" customHeight="1">
      <c r="B37" s="440" t="s">
        <v>2042</v>
      </c>
      <c r="C37" s="448"/>
      <c r="D37" s="444"/>
      <c r="E37" s="441" t="s">
        <v>85</v>
      </c>
      <c r="F37" s="441"/>
      <c r="G37" s="1569">
        <v>1.27</v>
      </c>
      <c r="H37" s="1569"/>
      <c r="I37" s="1569">
        <v>1.33</v>
      </c>
      <c r="J37" s="1569"/>
      <c r="K37" s="1569">
        <v>1.46</v>
      </c>
      <c r="L37" s="449"/>
      <c r="M37" s="442"/>
      <c r="N37" s="447"/>
    </row>
    <row r="38" spans="1:14" s="423" customFormat="1" ht="15.4" customHeight="1">
      <c r="B38" s="440" t="s">
        <v>1117</v>
      </c>
      <c r="C38" s="448"/>
      <c r="D38" s="444"/>
      <c r="E38" s="441" t="s">
        <v>85</v>
      </c>
      <c r="F38" s="441"/>
      <c r="G38" s="1569">
        <v>1.36</v>
      </c>
      <c r="H38" s="1569"/>
      <c r="I38" s="1569">
        <v>1.47</v>
      </c>
      <c r="J38" s="1569"/>
      <c r="K38" s="1569">
        <v>1.52</v>
      </c>
      <c r="L38" s="425"/>
      <c r="M38" s="442"/>
      <c r="N38" s="447"/>
    </row>
    <row r="39" spans="1:14" s="423" customFormat="1" ht="15.4" customHeight="1">
      <c r="B39" s="440" t="s">
        <v>86</v>
      </c>
      <c r="C39" s="448"/>
      <c r="D39" s="444"/>
      <c r="E39" s="441" t="s">
        <v>70</v>
      </c>
      <c r="F39" s="441"/>
      <c r="G39" s="1569">
        <v>4.24</v>
      </c>
      <c r="H39" s="1569"/>
      <c r="I39" s="1569">
        <v>4.9000000000000004</v>
      </c>
      <c r="J39" s="1569"/>
      <c r="K39" s="1569">
        <v>4.9400000000000004</v>
      </c>
      <c r="M39" s="442"/>
      <c r="N39" s="447"/>
    </row>
    <row r="40" spans="1:14" s="423" customFormat="1" ht="15.4" customHeight="1">
      <c r="A40" s="443"/>
      <c r="B40" s="440" t="s">
        <v>2032</v>
      </c>
      <c r="C40" s="448"/>
      <c r="D40" s="443"/>
      <c r="E40" s="441" t="s">
        <v>70</v>
      </c>
      <c r="F40" s="441"/>
      <c r="G40" s="1569">
        <v>4.49</v>
      </c>
      <c r="H40" s="1569"/>
      <c r="I40" s="1569">
        <v>4.92</v>
      </c>
      <c r="J40" s="1569"/>
      <c r="K40" s="1569">
        <v>5.26</v>
      </c>
      <c r="L40" s="443"/>
      <c r="M40" s="443"/>
      <c r="N40" s="443"/>
    </row>
    <row r="41" spans="1:14" s="423" customFormat="1" ht="15.4" customHeight="1">
      <c r="B41" s="440" t="s">
        <v>87</v>
      </c>
      <c r="C41" s="448"/>
      <c r="E41" s="441" t="s">
        <v>70</v>
      </c>
      <c r="F41" s="441"/>
      <c r="G41" s="1569">
        <v>4.83</v>
      </c>
      <c r="H41" s="1569"/>
      <c r="I41" s="1569">
        <v>5.45</v>
      </c>
      <c r="J41" s="1569"/>
      <c r="K41" s="1569">
        <v>5.74</v>
      </c>
      <c r="L41" s="443"/>
      <c r="N41" s="443"/>
    </row>
    <row r="42" spans="1:14" s="423" customFormat="1" ht="15.4" customHeight="1">
      <c r="B42" s="440" t="s">
        <v>1147</v>
      </c>
      <c r="C42" s="448"/>
      <c r="E42" s="441" t="s">
        <v>70</v>
      </c>
      <c r="F42" s="441"/>
      <c r="G42" s="1569" t="s">
        <v>204</v>
      </c>
      <c r="H42" s="1569"/>
      <c r="I42" s="1569" t="s">
        <v>204</v>
      </c>
      <c r="J42" s="1569"/>
      <c r="K42" s="1569">
        <v>6</v>
      </c>
      <c r="L42" s="443"/>
      <c r="N42" s="443"/>
    </row>
    <row r="43" spans="1:14" s="423" customFormat="1" ht="15.4" customHeight="1">
      <c r="B43" s="440" t="s">
        <v>88</v>
      </c>
      <c r="C43" s="448"/>
      <c r="E43" s="441" t="s">
        <v>70</v>
      </c>
      <c r="F43" s="441"/>
      <c r="G43" s="1569">
        <v>5.23</v>
      </c>
      <c r="H43" s="1569"/>
      <c r="I43" s="1569">
        <v>6.13</v>
      </c>
      <c r="J43" s="1569"/>
      <c r="K43" s="1569">
        <v>6.24</v>
      </c>
      <c r="L43" s="443"/>
      <c r="M43" s="450"/>
      <c r="N43" s="443"/>
    </row>
    <row r="44" spans="1:14" s="423" customFormat="1" ht="15.4" customHeight="1">
      <c r="B44" s="440" t="s">
        <v>89</v>
      </c>
      <c r="C44" s="448"/>
      <c r="E44" s="441" t="s">
        <v>70</v>
      </c>
      <c r="F44" s="441"/>
      <c r="G44" s="1569">
        <v>3.69</v>
      </c>
      <c r="H44" s="1569"/>
      <c r="I44" s="1569">
        <v>3.9</v>
      </c>
      <c r="J44" s="1569"/>
      <c r="K44" s="1569">
        <v>3.75</v>
      </c>
      <c r="L44" s="443"/>
      <c r="M44" s="450"/>
      <c r="N44" s="443"/>
    </row>
    <row r="45" spans="1:14" s="423" customFormat="1" ht="6.95" customHeight="1">
      <c r="B45" s="451"/>
      <c r="C45" s="448"/>
      <c r="E45" s="424"/>
      <c r="F45" s="424"/>
      <c r="G45" s="1569"/>
      <c r="H45" s="1569"/>
      <c r="I45" s="1569"/>
      <c r="J45" s="1569"/>
      <c r="K45" s="1570"/>
      <c r="L45" s="450"/>
      <c r="M45" s="443"/>
    </row>
    <row r="46" spans="1:14" s="423" customFormat="1" ht="13.7" customHeight="1">
      <c r="B46" s="452" t="s">
        <v>90</v>
      </c>
      <c r="C46" s="448"/>
      <c r="E46" s="424"/>
      <c r="F46" s="424"/>
      <c r="G46" s="1569"/>
      <c r="H46" s="1569"/>
      <c r="I46" s="1569"/>
      <c r="J46" s="1569"/>
      <c r="K46" s="1570"/>
      <c r="L46" s="443"/>
      <c r="M46" s="443"/>
    </row>
    <row r="47" spans="1:14" s="423" customFormat="1" ht="13.7" customHeight="1">
      <c r="B47" s="453" t="s">
        <v>91</v>
      </c>
      <c r="C47" s="448"/>
      <c r="E47" s="424"/>
      <c r="F47" s="424"/>
      <c r="G47" s="1569"/>
      <c r="H47" s="1569"/>
      <c r="I47" s="1569"/>
      <c r="J47" s="1569"/>
      <c r="K47" s="1570"/>
      <c r="L47" s="443"/>
      <c r="M47" s="443"/>
    </row>
    <row r="48" spans="1:14" s="423" customFormat="1" ht="6.95" customHeight="1">
      <c r="B48" s="453"/>
      <c r="C48" s="448"/>
      <c r="E48" s="424"/>
      <c r="F48" s="424"/>
      <c r="G48" s="1569"/>
      <c r="H48" s="1569"/>
      <c r="I48" s="1569"/>
      <c r="J48" s="1569"/>
      <c r="K48" s="1570"/>
      <c r="L48" s="443"/>
      <c r="M48" s="443"/>
    </row>
    <row r="49" spans="1:16" s="423" customFormat="1" ht="15.4" customHeight="1">
      <c r="B49" s="440" t="s">
        <v>92</v>
      </c>
      <c r="C49" s="448"/>
      <c r="E49" s="441" t="s">
        <v>70</v>
      </c>
      <c r="F49" s="441"/>
      <c r="G49" s="1569">
        <v>7.8</v>
      </c>
      <c r="H49" s="1569"/>
      <c r="I49" s="1569">
        <v>8.02</v>
      </c>
      <c r="J49" s="1569"/>
      <c r="K49" s="1569">
        <v>8.33</v>
      </c>
      <c r="L49" s="443"/>
      <c r="M49" s="443"/>
    </row>
    <row r="50" spans="1:16" s="423" customFormat="1" ht="15.4" customHeight="1">
      <c r="B50" s="440" t="s">
        <v>93</v>
      </c>
      <c r="C50" s="448"/>
      <c r="D50" s="454"/>
      <c r="E50" s="441" t="s">
        <v>70</v>
      </c>
      <c r="F50" s="441"/>
      <c r="G50" s="1569">
        <v>10.86</v>
      </c>
      <c r="H50" s="1569"/>
      <c r="I50" s="1569">
        <v>11.09</v>
      </c>
      <c r="J50" s="1569"/>
      <c r="K50" s="1569">
        <v>11.54</v>
      </c>
      <c r="L50" s="443"/>
      <c r="M50" s="443"/>
    </row>
    <row r="51" spans="1:16" s="423" customFormat="1" ht="15.4" customHeight="1">
      <c r="A51" s="443"/>
      <c r="B51" s="440" t="s">
        <v>2033</v>
      </c>
      <c r="C51" s="448"/>
      <c r="D51" s="454"/>
      <c r="E51" s="441" t="s">
        <v>94</v>
      </c>
      <c r="F51" s="441"/>
      <c r="G51" s="1569">
        <v>4.57</v>
      </c>
      <c r="H51" s="1569"/>
      <c r="I51" s="1569">
        <v>4.7</v>
      </c>
      <c r="J51" s="1569"/>
      <c r="K51" s="1569">
        <v>4.63</v>
      </c>
      <c r="L51" s="455"/>
      <c r="M51" s="455"/>
      <c r="N51" s="455"/>
      <c r="O51" s="450"/>
      <c r="P51" s="443"/>
    </row>
    <row r="52" spans="1:16" s="423" customFormat="1" ht="15.4" customHeight="1">
      <c r="A52" s="443"/>
      <c r="B52" s="440" t="s">
        <v>2034</v>
      </c>
      <c r="C52" s="448"/>
      <c r="D52" s="456"/>
      <c r="E52" s="441" t="s">
        <v>94</v>
      </c>
      <c r="F52" s="441"/>
      <c r="G52" s="1569">
        <v>4.3600000000000003</v>
      </c>
      <c r="H52" s="1569"/>
      <c r="I52" s="1569">
        <v>4.53</v>
      </c>
      <c r="J52" s="1569"/>
      <c r="K52" s="1569">
        <v>4.49</v>
      </c>
      <c r="L52" s="443"/>
      <c r="M52" s="455"/>
      <c r="N52" s="455"/>
      <c r="O52" s="443"/>
      <c r="P52" s="443"/>
    </row>
    <row r="53" spans="1:16" s="423" customFormat="1" ht="15.4" customHeight="1">
      <c r="B53" s="440" t="s">
        <v>2035</v>
      </c>
      <c r="C53" s="448"/>
      <c r="D53" s="456"/>
      <c r="E53" s="441" t="s">
        <v>94</v>
      </c>
      <c r="F53" s="441"/>
      <c r="G53" s="1569">
        <v>4.17</v>
      </c>
      <c r="H53" s="1569"/>
      <c r="I53" s="1569">
        <v>4.33</v>
      </c>
      <c r="J53" s="1569"/>
      <c r="K53" s="1569">
        <v>4.22</v>
      </c>
    </row>
    <row r="54" spans="1:16" s="423" customFormat="1" ht="6.95" customHeight="1">
      <c r="B54" s="457"/>
      <c r="C54" s="448"/>
      <c r="E54" s="424"/>
      <c r="F54" s="424"/>
      <c r="G54" s="1569"/>
      <c r="H54" s="1569"/>
      <c r="I54" s="1569"/>
      <c r="J54" s="1569"/>
      <c r="K54" s="1570"/>
    </row>
    <row r="55" spans="1:16" s="423" customFormat="1" ht="13.7" customHeight="1">
      <c r="B55" s="452" t="s">
        <v>95</v>
      </c>
      <c r="C55" s="448"/>
      <c r="E55" s="424"/>
      <c r="F55" s="424"/>
      <c r="G55" s="1569"/>
      <c r="H55" s="1569"/>
      <c r="I55" s="1569"/>
      <c r="J55" s="1569"/>
      <c r="K55" s="1570"/>
    </row>
    <row r="56" spans="1:16" s="423" customFormat="1" ht="13.7" customHeight="1">
      <c r="B56" s="453" t="s">
        <v>96</v>
      </c>
      <c r="C56" s="448"/>
      <c r="E56" s="424"/>
      <c r="F56" s="424"/>
      <c r="G56" s="1569"/>
      <c r="H56" s="1569"/>
      <c r="I56" s="1569"/>
      <c r="J56" s="1569"/>
      <c r="K56" s="1570"/>
    </row>
    <row r="57" spans="1:16" s="423" customFormat="1" ht="6.95" customHeight="1">
      <c r="B57" s="452"/>
      <c r="C57" s="448"/>
      <c r="E57" s="424"/>
      <c r="F57" s="424"/>
      <c r="G57" s="1569"/>
      <c r="H57" s="1569"/>
      <c r="I57" s="1569"/>
      <c r="J57" s="1569"/>
      <c r="K57" s="1570"/>
    </row>
    <row r="58" spans="1:16" s="423" customFormat="1" ht="15.4" customHeight="1">
      <c r="B58" s="440" t="s">
        <v>97</v>
      </c>
      <c r="C58" s="448"/>
      <c r="E58" s="441" t="s">
        <v>70</v>
      </c>
      <c r="F58" s="441"/>
      <c r="G58" s="1569">
        <v>28.86</v>
      </c>
      <c r="H58" s="1569"/>
      <c r="I58" s="1569">
        <v>29.78</v>
      </c>
      <c r="J58" s="1569"/>
      <c r="K58" s="1569">
        <v>27.23</v>
      </c>
    </row>
    <row r="59" spans="1:16" s="423" customFormat="1" ht="15.4" customHeight="1">
      <c r="B59" s="440" t="s">
        <v>98</v>
      </c>
      <c r="C59" s="448"/>
      <c r="E59" s="441" t="s">
        <v>70</v>
      </c>
      <c r="F59" s="441"/>
      <c r="G59" s="1569">
        <v>11.08</v>
      </c>
      <c r="H59" s="1569"/>
      <c r="I59" s="1569">
        <v>11.41</v>
      </c>
      <c r="J59" s="1569"/>
      <c r="K59" s="1569">
        <v>10.85</v>
      </c>
    </row>
    <row r="60" spans="1:16" s="423" customFormat="1" ht="15.4" customHeight="1">
      <c r="B60" s="440" t="s">
        <v>1068</v>
      </c>
      <c r="C60" s="448"/>
      <c r="E60" s="441" t="s">
        <v>70</v>
      </c>
      <c r="F60" s="441"/>
      <c r="G60" s="1569">
        <v>16.75</v>
      </c>
      <c r="H60" s="1569"/>
      <c r="I60" s="1569">
        <v>16.989999999999998</v>
      </c>
      <c r="J60" s="1569"/>
      <c r="K60" s="1569">
        <v>16.329999999999998</v>
      </c>
    </row>
    <row r="61" spans="1:16" s="423" customFormat="1" ht="15.4" customHeight="1">
      <c r="B61" s="440" t="s">
        <v>99</v>
      </c>
      <c r="C61" s="448"/>
      <c r="E61" s="441" t="s">
        <v>70</v>
      </c>
      <c r="F61" s="441"/>
      <c r="G61" s="1569">
        <v>15.51</v>
      </c>
      <c r="H61" s="1569"/>
      <c r="I61" s="1569">
        <v>15.77</v>
      </c>
      <c r="J61" s="1569"/>
      <c r="K61" s="1569">
        <v>15.2</v>
      </c>
    </row>
    <row r="62" spans="1:16" s="423" customFormat="1" ht="15.4" customHeight="1">
      <c r="B62" s="440" t="s">
        <v>100</v>
      </c>
      <c r="C62" s="448"/>
      <c r="E62" s="441" t="s">
        <v>70</v>
      </c>
      <c r="F62" s="441"/>
      <c r="G62" s="1569">
        <v>37.44</v>
      </c>
      <c r="H62" s="1569"/>
      <c r="I62" s="1569">
        <v>38.880000000000003</v>
      </c>
      <c r="J62" s="1569"/>
      <c r="K62" s="1569">
        <v>37.44</v>
      </c>
    </row>
    <row r="63" spans="1:16" s="423" customFormat="1" ht="15.4" customHeight="1">
      <c r="B63" s="440" t="s">
        <v>101</v>
      </c>
      <c r="C63" s="448"/>
      <c r="E63" s="441" t="s">
        <v>70</v>
      </c>
      <c r="F63" s="441"/>
      <c r="G63" s="1569">
        <v>35.32</v>
      </c>
      <c r="H63" s="1569"/>
      <c r="I63" s="1569">
        <v>37.03</v>
      </c>
      <c r="J63" s="1569"/>
      <c r="K63" s="1569">
        <v>35.57</v>
      </c>
    </row>
    <row r="64" spans="1:16" s="423" customFormat="1" ht="15.4" customHeight="1">
      <c r="B64" s="440" t="s">
        <v>102</v>
      </c>
      <c r="C64" s="448"/>
      <c r="E64" s="441" t="s">
        <v>70</v>
      </c>
      <c r="F64" s="441"/>
      <c r="G64" s="1569">
        <v>13.59</v>
      </c>
      <c r="H64" s="1569"/>
      <c r="I64" s="1569">
        <v>13.82</v>
      </c>
      <c r="J64" s="1569"/>
      <c r="K64" s="1569">
        <v>13.26</v>
      </c>
    </row>
    <row r="65" spans="2:11" s="423" customFormat="1" ht="15.4" customHeight="1">
      <c r="B65" s="440" t="s">
        <v>1316</v>
      </c>
      <c r="C65" s="448"/>
      <c r="E65" s="441" t="s">
        <v>70</v>
      </c>
      <c r="F65" s="441"/>
      <c r="G65" s="1569">
        <v>12.03</v>
      </c>
      <c r="H65" s="1569"/>
      <c r="I65" s="1569">
        <v>12.19</v>
      </c>
      <c r="J65" s="1569"/>
      <c r="K65" s="1569">
        <v>11.65</v>
      </c>
    </row>
    <row r="66" spans="2:11" s="423" customFormat="1" ht="15.4" customHeight="1">
      <c r="B66" s="440" t="s">
        <v>1317</v>
      </c>
      <c r="C66" s="448"/>
      <c r="E66" s="441" t="s">
        <v>70</v>
      </c>
      <c r="F66" s="441"/>
      <c r="G66" s="1569">
        <v>20.81</v>
      </c>
      <c r="H66" s="1569"/>
      <c r="I66" s="1569">
        <v>20.2</v>
      </c>
      <c r="J66" s="1569"/>
      <c r="K66" s="1569">
        <v>18.98</v>
      </c>
    </row>
    <row r="67" spans="2:11" s="423" customFormat="1" ht="15.4" customHeight="1">
      <c r="B67" s="440" t="s">
        <v>103</v>
      </c>
      <c r="C67" s="448"/>
      <c r="E67" s="441" t="s">
        <v>70</v>
      </c>
      <c r="F67" s="441"/>
      <c r="G67" s="1569">
        <v>9.82</v>
      </c>
      <c r="H67" s="1569"/>
      <c r="I67" s="1569">
        <v>10.28</v>
      </c>
      <c r="J67" s="1569"/>
      <c r="K67" s="1569">
        <v>10.36</v>
      </c>
    </row>
    <row r="68" spans="2:11" s="423" customFormat="1" ht="15.4" customHeight="1">
      <c r="B68" s="440" t="s">
        <v>1318</v>
      </c>
      <c r="C68" s="448"/>
      <c r="E68" s="441" t="s">
        <v>70</v>
      </c>
      <c r="F68" s="441"/>
      <c r="G68" s="1569">
        <v>36.97</v>
      </c>
      <c r="H68" s="1569"/>
      <c r="I68" s="1569">
        <v>37.9</v>
      </c>
      <c r="J68" s="1569"/>
      <c r="K68" s="1569">
        <v>37.840000000000003</v>
      </c>
    </row>
    <row r="69" spans="2:11" s="423" customFormat="1" ht="6.95" customHeight="1">
      <c r="B69" s="457"/>
      <c r="C69" s="448"/>
      <c r="E69" s="424"/>
      <c r="F69" s="424"/>
      <c r="G69" s="1569"/>
      <c r="H69" s="1569"/>
      <c r="I69" s="1569"/>
      <c r="J69" s="1569"/>
      <c r="K69" s="1570"/>
    </row>
    <row r="70" spans="2:11" s="423" customFormat="1" ht="13.7" customHeight="1">
      <c r="B70" s="452" t="s">
        <v>104</v>
      </c>
      <c r="C70" s="448"/>
      <c r="E70" s="424"/>
      <c r="F70" s="424"/>
      <c r="G70" s="1569"/>
      <c r="H70" s="1569"/>
      <c r="I70" s="1569"/>
      <c r="J70" s="1569"/>
      <c r="K70" s="1570"/>
    </row>
    <row r="71" spans="2:11" s="423" customFormat="1" ht="13.7" customHeight="1">
      <c r="B71" s="453" t="s">
        <v>105</v>
      </c>
      <c r="C71" s="448"/>
      <c r="E71" s="424"/>
      <c r="F71" s="424"/>
      <c r="G71" s="1569"/>
      <c r="H71" s="1569"/>
      <c r="I71" s="1569"/>
      <c r="J71" s="1569"/>
      <c r="K71" s="1570"/>
    </row>
    <row r="72" spans="2:11" s="423" customFormat="1" ht="6.95" customHeight="1">
      <c r="B72" s="453"/>
      <c r="C72" s="448"/>
      <c r="E72" s="424"/>
      <c r="F72" s="424"/>
      <c r="G72" s="1569"/>
      <c r="H72" s="1569"/>
      <c r="I72" s="1569"/>
      <c r="J72" s="1569"/>
      <c r="K72" s="1570"/>
    </row>
    <row r="73" spans="2:11" s="423" customFormat="1" ht="15.4" customHeight="1">
      <c r="B73" s="440" t="s">
        <v>106</v>
      </c>
      <c r="C73" s="448"/>
      <c r="E73" s="441" t="s">
        <v>70</v>
      </c>
      <c r="F73" s="441"/>
      <c r="G73" s="1569">
        <v>34.14</v>
      </c>
      <c r="H73" s="1569"/>
      <c r="I73" s="1569">
        <v>34</v>
      </c>
      <c r="J73" s="1569"/>
      <c r="K73" s="1569">
        <v>32.450000000000003</v>
      </c>
    </row>
    <row r="74" spans="2:11" s="423" customFormat="1" ht="15.4" customHeight="1">
      <c r="B74" s="440" t="s">
        <v>107</v>
      </c>
      <c r="C74" s="448"/>
      <c r="E74" s="441" t="s">
        <v>70</v>
      </c>
      <c r="F74" s="441"/>
      <c r="G74" s="1569">
        <v>30.83</v>
      </c>
      <c r="H74" s="1569"/>
      <c r="I74" s="1569">
        <v>31.23</v>
      </c>
      <c r="J74" s="1569"/>
      <c r="K74" s="1569">
        <v>30.89</v>
      </c>
    </row>
    <row r="75" spans="2:11" s="423" customFormat="1" ht="15.4" customHeight="1">
      <c r="B75" s="440" t="s">
        <v>2036</v>
      </c>
      <c r="C75" s="448"/>
      <c r="E75" s="441" t="s">
        <v>70</v>
      </c>
      <c r="F75" s="441"/>
      <c r="G75" s="1569">
        <v>32.69</v>
      </c>
      <c r="H75" s="1569"/>
      <c r="I75" s="1569">
        <v>33.43</v>
      </c>
      <c r="J75" s="1569"/>
      <c r="K75" s="1569">
        <v>32.950000000000003</v>
      </c>
    </row>
    <row r="76" spans="2:11" s="423" customFormat="1" ht="6.95" customHeight="1">
      <c r="B76" s="457"/>
      <c r="C76" s="448"/>
      <c r="E76" s="424"/>
      <c r="F76" s="424"/>
      <c r="G76" s="1569"/>
      <c r="H76" s="1569"/>
      <c r="I76" s="1569"/>
      <c r="J76" s="1569"/>
      <c r="K76" s="1569"/>
    </row>
    <row r="77" spans="2:11" s="423" customFormat="1" ht="13.7" customHeight="1">
      <c r="B77" s="452" t="s">
        <v>108</v>
      </c>
      <c r="C77" s="448"/>
      <c r="E77" s="424"/>
      <c r="F77" s="424"/>
      <c r="G77" s="1569"/>
      <c r="H77" s="1569"/>
      <c r="I77" s="1569"/>
      <c r="J77" s="1569"/>
      <c r="K77" s="1569"/>
    </row>
    <row r="78" spans="2:11" s="423" customFormat="1" ht="13.7" customHeight="1">
      <c r="B78" s="453" t="s">
        <v>48</v>
      </c>
      <c r="C78" s="448"/>
      <c r="E78" s="424"/>
      <c r="F78" s="424"/>
      <c r="G78" s="1569"/>
      <c r="H78" s="1569"/>
      <c r="I78" s="1569"/>
      <c r="J78" s="1569"/>
      <c r="K78" s="1569"/>
    </row>
    <row r="79" spans="2:11" s="423" customFormat="1" ht="6.95" customHeight="1">
      <c r="B79" s="453"/>
      <c r="C79" s="448"/>
      <c r="E79" s="424"/>
      <c r="F79" s="424"/>
      <c r="G79" s="1569"/>
      <c r="H79" s="1569"/>
      <c r="I79" s="1569"/>
      <c r="J79" s="1569"/>
      <c r="K79" s="1569"/>
    </row>
    <row r="80" spans="2:11" s="423" customFormat="1" ht="15.4" customHeight="1">
      <c r="B80" s="445" t="s">
        <v>1185</v>
      </c>
      <c r="C80" s="448"/>
      <c r="E80" s="441" t="s">
        <v>109</v>
      </c>
      <c r="F80" s="441"/>
      <c r="G80" s="1569">
        <v>3.23</v>
      </c>
      <c r="H80" s="1569"/>
      <c r="I80" s="1569">
        <v>3.51</v>
      </c>
      <c r="J80" s="1569"/>
      <c r="K80" s="1569">
        <v>3.68</v>
      </c>
    </row>
    <row r="81" spans="1:12" s="423" customFormat="1" ht="15.4" customHeight="1">
      <c r="B81" s="440" t="s">
        <v>110</v>
      </c>
      <c r="C81" s="448"/>
      <c r="E81" s="441" t="s">
        <v>111</v>
      </c>
      <c r="F81" s="441"/>
      <c r="G81" s="1569">
        <v>1.69</v>
      </c>
      <c r="H81" s="1569"/>
      <c r="I81" s="1569">
        <v>1.84</v>
      </c>
      <c r="J81" s="1569"/>
      <c r="K81" s="1569">
        <v>1.98</v>
      </c>
    </row>
    <row r="82" spans="1:12" s="423" customFormat="1" ht="15.4" customHeight="1">
      <c r="B82" s="440" t="s">
        <v>112</v>
      </c>
      <c r="C82" s="448"/>
      <c r="E82" s="441" t="s">
        <v>111</v>
      </c>
      <c r="F82" s="441"/>
      <c r="G82" s="1569">
        <v>5.83</v>
      </c>
      <c r="H82" s="1569"/>
      <c r="I82" s="1569">
        <v>6.29</v>
      </c>
      <c r="J82" s="1569"/>
      <c r="K82" s="1569">
        <v>6.64</v>
      </c>
    </row>
    <row r="83" spans="1:12" s="423" customFormat="1" ht="15.4" customHeight="1">
      <c r="B83" s="440" t="s">
        <v>113</v>
      </c>
      <c r="C83" s="448"/>
      <c r="E83" s="441" t="s">
        <v>111</v>
      </c>
      <c r="F83" s="441"/>
      <c r="G83" s="1569">
        <v>5.86</v>
      </c>
      <c r="H83" s="1569"/>
      <c r="I83" s="1569">
        <v>6.36</v>
      </c>
      <c r="J83" s="1569"/>
      <c r="K83" s="1569">
        <v>6.73</v>
      </c>
    </row>
    <row r="84" spans="1:12" s="423" customFormat="1" ht="15.4" customHeight="1">
      <c r="B84" s="440" t="s">
        <v>114</v>
      </c>
      <c r="C84" s="448"/>
      <c r="E84" s="441" t="s">
        <v>111</v>
      </c>
      <c r="F84" s="441"/>
      <c r="G84" s="1569">
        <v>5.8</v>
      </c>
      <c r="H84" s="1569"/>
      <c r="I84" s="1569">
        <v>6.3</v>
      </c>
      <c r="J84" s="1569"/>
      <c r="K84" s="1569">
        <v>6.66</v>
      </c>
    </row>
    <row r="85" spans="1:12" s="423" customFormat="1" ht="15.4" customHeight="1">
      <c r="B85" s="440" t="s">
        <v>115</v>
      </c>
      <c r="C85" s="448"/>
      <c r="E85" s="441" t="s">
        <v>111</v>
      </c>
      <c r="F85" s="441"/>
      <c r="G85" s="1569">
        <v>9.69</v>
      </c>
      <c r="H85" s="1569"/>
      <c r="I85" s="1569">
        <v>10.6</v>
      </c>
      <c r="J85" s="1569"/>
      <c r="K85" s="1569">
        <v>11.05</v>
      </c>
    </row>
    <row r="86" spans="1:12" s="423" customFormat="1" ht="15.4" customHeight="1">
      <c r="B86" s="445" t="s">
        <v>1186</v>
      </c>
      <c r="C86" s="448"/>
      <c r="E86" s="441" t="s">
        <v>116</v>
      </c>
      <c r="F86" s="441"/>
      <c r="G86" s="1569">
        <v>1.32</v>
      </c>
      <c r="H86" s="1569"/>
      <c r="I86" s="1569">
        <v>1.47</v>
      </c>
      <c r="J86" s="1569"/>
      <c r="K86" s="1569">
        <v>1.54</v>
      </c>
    </row>
    <row r="87" spans="1:12" s="423" customFormat="1" ht="15.4" customHeight="1">
      <c r="B87" s="440" t="s">
        <v>1148</v>
      </c>
      <c r="C87" s="448"/>
      <c r="E87" s="441" t="s">
        <v>2047</v>
      </c>
      <c r="F87" s="441"/>
      <c r="G87" s="1569" t="s">
        <v>204</v>
      </c>
      <c r="H87" s="1569"/>
      <c r="I87" s="1569" t="s">
        <v>204</v>
      </c>
      <c r="J87" s="1569"/>
      <c r="K87" s="1569">
        <v>1.56</v>
      </c>
    </row>
    <row r="88" spans="1:12" s="423" customFormat="1" ht="15.4" customHeight="1">
      <c r="B88" s="440" t="s">
        <v>117</v>
      </c>
      <c r="C88" s="448"/>
      <c r="E88" s="441" t="s">
        <v>118</v>
      </c>
      <c r="F88" s="441"/>
      <c r="G88" s="1569">
        <v>0.93</v>
      </c>
      <c r="H88" s="1569"/>
      <c r="I88" s="1569">
        <v>1.03</v>
      </c>
      <c r="J88" s="1569"/>
      <c r="K88" s="1569">
        <v>1.0900000000000001</v>
      </c>
    </row>
    <row r="89" spans="1:12" s="423" customFormat="1" ht="15.4" customHeight="1">
      <c r="B89" s="440" t="s">
        <v>119</v>
      </c>
      <c r="C89" s="448"/>
      <c r="E89" s="441" t="s">
        <v>111</v>
      </c>
      <c r="F89" s="441"/>
      <c r="G89" s="1569">
        <v>6.22</v>
      </c>
      <c r="H89" s="1569"/>
      <c r="I89" s="1569">
        <v>6.82</v>
      </c>
      <c r="J89" s="1569"/>
      <c r="K89" s="1569">
        <v>7.2</v>
      </c>
    </row>
    <row r="90" spans="1:12" s="423" customFormat="1" ht="15.4" customHeight="1">
      <c r="B90" s="445" t="s">
        <v>1187</v>
      </c>
      <c r="C90" s="448"/>
      <c r="E90" s="441" t="s">
        <v>2037</v>
      </c>
      <c r="F90" s="441"/>
      <c r="G90" s="1569">
        <v>1.84</v>
      </c>
      <c r="H90" s="1569"/>
      <c r="I90" s="1569">
        <v>2.0099999999999998</v>
      </c>
      <c r="J90" s="1569"/>
      <c r="K90" s="1569">
        <v>2.14</v>
      </c>
    </row>
    <row r="91" spans="1:12" s="423" customFormat="1" ht="15.4" customHeight="1">
      <c r="B91" s="445" t="s">
        <v>1188</v>
      </c>
      <c r="C91" s="448"/>
      <c r="E91" s="441" t="s">
        <v>2037</v>
      </c>
      <c r="F91" s="441"/>
      <c r="G91" s="1569">
        <v>1.52</v>
      </c>
      <c r="H91" s="1569"/>
      <c r="I91" s="1569">
        <v>1.64</v>
      </c>
      <c r="J91" s="1569"/>
      <c r="K91" s="1569">
        <v>1.78</v>
      </c>
    </row>
    <row r="92" spans="1:12" s="423" customFormat="1" ht="15.4" customHeight="1">
      <c r="B92" s="445" t="s">
        <v>1189</v>
      </c>
      <c r="C92" s="448"/>
      <c r="E92" s="441" t="s">
        <v>2037</v>
      </c>
      <c r="F92" s="441"/>
      <c r="G92" s="1569">
        <v>1.43</v>
      </c>
      <c r="H92" s="1569"/>
      <c r="I92" s="1569">
        <v>1.55</v>
      </c>
      <c r="J92" s="1569"/>
      <c r="K92" s="1569">
        <v>1.67</v>
      </c>
    </row>
    <row r="93" spans="1:12" s="423" customFormat="1" ht="15.6" customHeight="1">
      <c r="B93" s="445" t="s">
        <v>1190</v>
      </c>
      <c r="C93" s="448"/>
      <c r="E93" s="441" t="s">
        <v>2037</v>
      </c>
      <c r="F93" s="441"/>
      <c r="G93" s="1569">
        <v>2.2999999999999998</v>
      </c>
      <c r="H93" s="1569"/>
      <c r="I93" s="1569">
        <v>2.54</v>
      </c>
      <c r="J93" s="1569"/>
      <c r="K93" s="1569">
        <v>2.73</v>
      </c>
    </row>
    <row r="94" spans="1:12" s="412" customFormat="1" ht="6.95" customHeight="1" thickBot="1">
      <c r="A94" s="458"/>
      <c r="B94" s="458"/>
      <c r="C94" s="458"/>
      <c r="D94" s="458"/>
      <c r="E94" s="458"/>
      <c r="F94" s="459"/>
      <c r="G94" s="458"/>
      <c r="H94" s="460"/>
      <c r="I94" s="458"/>
      <c r="J94" s="460"/>
      <c r="K94" s="461"/>
    </row>
    <row r="95" spans="1:12" s="412" customFormat="1" ht="12" customHeight="1">
      <c r="F95" s="2750" t="s">
        <v>0</v>
      </c>
      <c r="G95" s="2750"/>
      <c r="H95" s="2750"/>
      <c r="I95" s="2750"/>
      <c r="J95" s="2750"/>
      <c r="K95" s="2750"/>
      <c r="L95" s="462"/>
    </row>
    <row r="96" spans="1:12" s="412" customFormat="1" ht="12" customHeight="1">
      <c r="F96" s="2751" t="s">
        <v>1</v>
      </c>
      <c r="G96" s="2751"/>
      <c r="H96" s="2751"/>
      <c r="I96" s="2751"/>
      <c r="J96" s="2751"/>
      <c r="K96" s="2751"/>
      <c r="L96" s="463"/>
    </row>
    <row r="97" spans="2:11" ht="12" customHeight="1">
      <c r="B97" s="384" t="s">
        <v>2</v>
      </c>
    </row>
    <row r="98" spans="2:11" ht="12" customHeight="1">
      <c r="B98" s="25" t="s">
        <v>1149</v>
      </c>
    </row>
    <row r="99" spans="2:11" ht="12" customHeight="1">
      <c r="B99" s="1710" t="s">
        <v>1150</v>
      </c>
    </row>
    <row r="100" spans="2:11" ht="12" customHeight="1">
      <c r="B100" s="25" t="s">
        <v>1151</v>
      </c>
    </row>
    <row r="101" spans="2:11" s="85" customFormat="1" ht="13.5" customHeight="1">
      <c r="B101" s="1715" t="s">
        <v>1152</v>
      </c>
      <c r="K101" s="772"/>
    </row>
  </sheetData>
  <mergeCells count="5">
    <mergeCell ref="C3:J4"/>
    <mergeCell ref="C5:J6"/>
    <mergeCell ref="B9:C11"/>
    <mergeCell ref="F95:K95"/>
    <mergeCell ref="F96:K96"/>
  </mergeCells>
  <conditionalFormatting sqref="C18:C35">
    <cfRule type="cellIs" dxfId="61" priority="2" stopIfTrue="1" operator="lessThan">
      <formula>0</formula>
    </cfRule>
  </conditionalFormatting>
  <conditionalFormatting sqref="D36:F39">
    <cfRule type="cellIs" dxfId="60" priority="1"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60" fitToWidth="0" fitToHeight="0"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418CD-A95C-4CE2-9212-6B3E200A5EAF}">
  <sheetPr codeName="Sheet41">
    <tabColor theme="4" tint="0.39997558519241921"/>
  </sheetPr>
  <dimension ref="A1:W957"/>
  <sheetViews>
    <sheetView view="pageBreakPreview" zoomScaleNormal="100" zoomScaleSheetLayoutView="100" workbookViewId="0">
      <selection activeCell="B82" sqref="B82"/>
    </sheetView>
  </sheetViews>
  <sheetFormatPr defaultColWidth="14.42578125" defaultRowHeight="15.4" customHeight="1"/>
  <cols>
    <col min="1" max="1" width="0.85546875" style="412" customWidth="1"/>
    <col min="2" max="2" width="12.28515625" style="412" customWidth="1"/>
    <col min="3" max="3" width="43" style="412" customWidth="1"/>
    <col min="4" max="4" width="8.7109375" style="412" customWidth="1"/>
    <col min="5" max="5" width="13.85546875" style="412" customWidth="1"/>
    <col min="6" max="6" width="14.42578125" style="413" customWidth="1"/>
    <col min="7" max="7" width="6.7109375" style="412" customWidth="1"/>
    <col min="8" max="8" width="8.7109375" style="414" customWidth="1"/>
    <col min="9" max="9" width="3.7109375" style="412" customWidth="1"/>
    <col min="10" max="10" width="8.7109375" style="414" customWidth="1"/>
    <col min="11" max="11" width="3.7109375" style="412" customWidth="1"/>
    <col min="12" max="12" width="8.7109375" style="414" customWidth="1"/>
    <col min="13" max="13" width="2" style="412" customWidth="1"/>
    <col min="14" max="25" width="9.140625" style="412" customWidth="1"/>
    <col min="26" max="16384" width="14.42578125" style="412"/>
  </cols>
  <sheetData>
    <row r="1" spans="1:23" ht="7.5" customHeight="1"/>
    <row r="2" spans="1:23" ht="7.5" customHeight="1"/>
    <row r="3" spans="1:23" ht="14.25" customHeight="1">
      <c r="A3" s="414"/>
      <c r="B3" s="416" t="s">
        <v>444</v>
      </c>
      <c r="C3" s="2746" t="s">
        <v>1406</v>
      </c>
      <c r="D3" s="2746"/>
      <c r="E3" s="2746"/>
      <c r="F3" s="2746"/>
      <c r="G3" s="2746"/>
      <c r="H3" s="2746"/>
      <c r="I3" s="2746"/>
      <c r="J3" s="2746"/>
      <c r="L3" s="412"/>
    </row>
    <row r="4" spans="1:23" ht="3.4" customHeight="1">
      <c r="A4" s="414"/>
      <c r="B4" s="417"/>
      <c r="C4" s="2746"/>
      <c r="D4" s="2746"/>
      <c r="E4" s="2746"/>
      <c r="F4" s="2746"/>
      <c r="G4" s="2746"/>
      <c r="H4" s="2746"/>
      <c r="I4" s="2746"/>
      <c r="J4" s="2746"/>
      <c r="L4" s="412"/>
    </row>
    <row r="5" spans="1:23" ht="14.25" customHeight="1">
      <c r="B5" s="418" t="s">
        <v>445</v>
      </c>
      <c r="C5" s="2747" t="s">
        <v>1407</v>
      </c>
      <c r="D5" s="2747"/>
      <c r="E5" s="2747"/>
      <c r="F5" s="2747"/>
      <c r="G5" s="2747"/>
      <c r="H5" s="2747"/>
      <c r="I5" s="2747"/>
      <c r="J5" s="2747"/>
      <c r="L5" s="412"/>
    </row>
    <row r="6" spans="1:23" ht="6.75" customHeight="1">
      <c r="B6" s="418"/>
      <c r="C6" s="2747"/>
      <c r="D6" s="2747"/>
      <c r="E6" s="2747"/>
      <c r="F6" s="2747"/>
      <c r="G6" s="2747"/>
      <c r="H6" s="2747"/>
      <c r="I6" s="2747"/>
      <c r="J6" s="2747"/>
      <c r="L6" s="412"/>
    </row>
    <row r="7" spans="1:23" ht="4.5" customHeight="1" thickBot="1">
      <c r="A7" s="419"/>
      <c r="B7" s="419"/>
      <c r="C7" s="419"/>
      <c r="D7" s="419"/>
      <c r="E7" s="419"/>
      <c r="F7" s="420"/>
      <c r="G7" s="419"/>
      <c r="H7" s="421"/>
      <c r="I7" s="419"/>
      <c r="J7" s="421"/>
      <c r="K7" s="419"/>
      <c r="L7" s="421"/>
      <c r="M7" s="419"/>
    </row>
    <row r="8" spans="1:23" s="423" customFormat="1" ht="5.25" customHeight="1">
      <c r="F8" s="424"/>
      <c r="H8" s="425"/>
      <c r="J8" s="425"/>
      <c r="L8" s="425"/>
    </row>
    <row r="9" spans="1:23" s="423" customFormat="1" ht="15.95" customHeight="1">
      <c r="A9" s="427"/>
      <c r="B9" s="2748" t="s">
        <v>67</v>
      </c>
      <c r="C9" s="2748"/>
      <c r="D9" s="428"/>
      <c r="E9" s="428"/>
      <c r="F9" s="428"/>
      <c r="G9" s="464"/>
      <c r="H9" s="429">
        <v>2023</v>
      </c>
      <c r="I9" s="429"/>
      <c r="J9" s="429">
        <v>2024</v>
      </c>
      <c r="K9" s="429"/>
      <c r="L9" s="430">
        <v>2025</v>
      </c>
      <c r="M9" s="443"/>
    </row>
    <row r="10" spans="1:23" s="423" customFormat="1" ht="5.25" customHeight="1">
      <c r="A10" s="427"/>
      <c r="B10" s="2748"/>
      <c r="C10" s="2748"/>
      <c r="D10" s="428"/>
      <c r="E10" s="428"/>
      <c r="F10" s="428"/>
      <c r="G10" s="428"/>
      <c r="H10" s="429"/>
      <c r="I10" s="428"/>
      <c r="J10" s="429"/>
      <c r="K10" s="428"/>
      <c r="L10" s="429"/>
      <c r="M10" s="443"/>
    </row>
    <row r="11" spans="1:23" s="423" customFormat="1" ht="10.5" customHeight="1" thickBot="1">
      <c r="A11" s="432"/>
      <c r="B11" s="2749"/>
      <c r="C11" s="2749"/>
      <c r="D11" s="433"/>
      <c r="E11" s="433"/>
      <c r="F11" s="434"/>
      <c r="G11" s="433"/>
      <c r="H11" s="433"/>
      <c r="I11" s="433"/>
      <c r="J11" s="433"/>
      <c r="K11" s="433"/>
      <c r="L11" s="433"/>
      <c r="M11" s="465"/>
    </row>
    <row r="12" spans="1:23" s="423" customFormat="1" ht="8.1" customHeight="1">
      <c r="B12" s="436"/>
      <c r="C12" s="431"/>
      <c r="D12" s="431"/>
      <c r="E12" s="431"/>
      <c r="F12" s="431"/>
      <c r="G12" s="437"/>
      <c r="H12" s="437"/>
      <c r="I12" s="437"/>
      <c r="J12" s="437"/>
      <c r="K12" s="437"/>
      <c r="L12" s="437"/>
    </row>
    <row r="13" spans="1:23" s="423" customFormat="1" ht="15.4" customHeight="1">
      <c r="B13" s="452" t="s">
        <v>120</v>
      </c>
      <c r="C13" s="448"/>
      <c r="E13" s="424"/>
      <c r="F13" s="424"/>
      <c r="G13" s="455"/>
      <c r="H13" s="442"/>
      <c r="I13" s="442"/>
      <c r="J13" s="442"/>
      <c r="K13" s="442"/>
      <c r="L13" s="442"/>
      <c r="M13" s="425"/>
    </row>
    <row r="14" spans="1:23" s="423" customFormat="1" ht="15.4" customHeight="1">
      <c r="B14" s="453" t="s">
        <v>121</v>
      </c>
      <c r="C14" s="448"/>
      <c r="E14" s="424"/>
      <c r="F14" s="424"/>
      <c r="G14" s="455"/>
      <c r="H14" s="442"/>
      <c r="I14" s="442"/>
      <c r="J14" s="442"/>
      <c r="K14" s="442"/>
      <c r="L14" s="442"/>
      <c r="M14" s="425"/>
    </row>
    <row r="15" spans="1:23" s="423" customFormat="1" ht="6.95" customHeight="1">
      <c r="B15" s="466"/>
      <c r="C15" s="448"/>
      <c r="E15" s="424"/>
      <c r="F15" s="424"/>
      <c r="G15" s="455"/>
      <c r="H15" s="442"/>
      <c r="I15" s="442"/>
      <c r="J15" s="442"/>
      <c r="K15" s="442"/>
      <c r="L15" s="442"/>
      <c r="M15" s="425"/>
    </row>
    <row r="16" spans="1:23" s="423" customFormat="1" ht="14.25" customHeight="1">
      <c r="B16" s="440" t="s">
        <v>122</v>
      </c>
      <c r="C16" s="448"/>
      <c r="E16" s="441" t="s">
        <v>124</v>
      </c>
      <c r="F16" s="441"/>
      <c r="G16" s="455"/>
      <c r="H16" s="1569">
        <v>131.25</v>
      </c>
      <c r="I16" s="1569"/>
      <c r="J16" s="1569">
        <v>140.49</v>
      </c>
      <c r="K16" s="1569"/>
      <c r="L16" s="1569">
        <v>148.18</v>
      </c>
      <c r="M16" s="425"/>
      <c r="N16" s="467"/>
      <c r="O16" s="467"/>
      <c r="Q16" s="467"/>
      <c r="T16" s="467"/>
      <c r="U16" s="467"/>
      <c r="V16" s="467"/>
      <c r="W16" s="467"/>
    </row>
    <row r="17" spans="2:20" s="423" customFormat="1" ht="28.5" customHeight="1">
      <c r="B17" s="2648" t="s">
        <v>123</v>
      </c>
      <c r="C17" s="2648"/>
      <c r="E17" s="441" t="s">
        <v>124</v>
      </c>
      <c r="F17" s="441"/>
      <c r="G17" s="455"/>
      <c r="H17" s="1569">
        <v>1457.43</v>
      </c>
      <c r="I17" s="1569"/>
      <c r="J17" s="1569">
        <v>1501.89</v>
      </c>
      <c r="K17" s="1569"/>
      <c r="L17" s="1569">
        <v>1475.55</v>
      </c>
      <c r="M17" s="425"/>
      <c r="N17" s="467"/>
      <c r="O17" s="467"/>
      <c r="Q17" s="467"/>
      <c r="T17" s="467"/>
    </row>
    <row r="18" spans="2:20" s="423" customFormat="1" ht="14.25" customHeight="1">
      <c r="B18" s="440" t="s">
        <v>1153</v>
      </c>
      <c r="C18" s="448"/>
      <c r="E18" s="441" t="s">
        <v>124</v>
      </c>
      <c r="F18" s="441"/>
      <c r="G18" s="455"/>
      <c r="H18" s="1569" t="s">
        <v>204</v>
      </c>
      <c r="I18" s="1569"/>
      <c r="J18" s="1569" t="s">
        <v>204</v>
      </c>
      <c r="K18" s="1569"/>
      <c r="L18" s="1569">
        <v>1242.04</v>
      </c>
      <c r="M18" s="425"/>
      <c r="N18" s="467"/>
      <c r="O18" s="467"/>
      <c r="Q18" s="467"/>
      <c r="T18" s="467"/>
    </row>
    <row r="19" spans="2:20" s="423" customFormat="1" ht="6.95" customHeight="1">
      <c r="B19" s="457"/>
      <c r="C19" s="448"/>
      <c r="E19" s="424"/>
      <c r="F19" s="424"/>
      <c r="G19" s="455"/>
      <c r="H19" s="1569"/>
      <c r="I19" s="1569"/>
      <c r="J19" s="1569"/>
      <c r="K19" s="1569"/>
      <c r="L19" s="1569"/>
      <c r="M19" s="425"/>
      <c r="N19" s="467"/>
      <c r="O19" s="467"/>
      <c r="Q19" s="467"/>
      <c r="T19" s="467"/>
    </row>
    <row r="20" spans="2:20" s="423" customFormat="1" ht="15.4" customHeight="1">
      <c r="B20" s="438" t="s">
        <v>125</v>
      </c>
      <c r="C20" s="448"/>
      <c r="E20" s="424"/>
      <c r="F20" s="424"/>
      <c r="G20" s="455"/>
      <c r="H20" s="1569"/>
      <c r="I20" s="1569"/>
      <c r="J20" s="1569"/>
      <c r="K20" s="1569"/>
      <c r="L20" s="1569"/>
      <c r="M20" s="425"/>
      <c r="N20" s="467"/>
      <c r="O20" s="467"/>
      <c r="Q20" s="467"/>
      <c r="T20" s="467"/>
    </row>
    <row r="21" spans="2:20" s="423" customFormat="1" ht="15.4" customHeight="1">
      <c r="B21" s="439" t="s">
        <v>126</v>
      </c>
      <c r="C21" s="448"/>
      <c r="E21" s="424"/>
      <c r="F21" s="424"/>
      <c r="G21" s="455"/>
      <c r="H21" s="1569"/>
      <c r="I21" s="1569"/>
      <c r="J21" s="1569"/>
      <c r="K21" s="1569"/>
      <c r="L21" s="1569"/>
      <c r="M21" s="425"/>
      <c r="N21" s="467"/>
      <c r="O21" s="467"/>
      <c r="Q21" s="467"/>
      <c r="T21" s="467"/>
    </row>
    <row r="22" spans="2:20" s="423" customFormat="1" ht="6.95" customHeight="1">
      <c r="B22" s="439"/>
      <c r="C22" s="448"/>
      <c r="E22" s="424"/>
      <c r="F22" s="424"/>
      <c r="G22" s="455"/>
      <c r="H22" s="1569"/>
      <c r="I22" s="1569"/>
      <c r="J22" s="1569"/>
      <c r="K22" s="1569"/>
      <c r="L22" s="1569"/>
      <c r="M22" s="425"/>
      <c r="N22" s="467"/>
      <c r="O22" s="467"/>
      <c r="Q22" s="467"/>
      <c r="T22" s="467"/>
    </row>
    <row r="23" spans="2:20" s="423" customFormat="1" ht="14.25" customHeight="1">
      <c r="B23" s="440" t="s">
        <v>127</v>
      </c>
      <c r="C23" s="448"/>
      <c r="E23" s="441" t="s">
        <v>128</v>
      </c>
      <c r="F23" s="441"/>
      <c r="G23" s="455"/>
      <c r="H23" s="1569">
        <v>34.270000000000003</v>
      </c>
      <c r="I23" s="1569"/>
      <c r="J23" s="1569">
        <v>35.72</v>
      </c>
      <c r="K23" s="1569"/>
      <c r="L23" s="1569">
        <v>35.549999999999997</v>
      </c>
      <c r="M23" s="425"/>
      <c r="N23" s="467"/>
      <c r="O23" s="467"/>
      <c r="Q23" s="467"/>
      <c r="T23" s="467"/>
    </row>
    <row r="24" spans="2:20" s="423" customFormat="1" ht="14.25" customHeight="1">
      <c r="B24" s="440" t="s">
        <v>2038</v>
      </c>
      <c r="C24" s="448"/>
      <c r="E24" s="441" t="s">
        <v>129</v>
      </c>
      <c r="F24" s="441"/>
      <c r="G24" s="455"/>
      <c r="H24" s="1569" t="s">
        <v>204</v>
      </c>
      <c r="I24" s="1569"/>
      <c r="J24" s="1569" t="s">
        <v>204</v>
      </c>
      <c r="K24" s="1569"/>
      <c r="L24" s="1569">
        <v>11.46</v>
      </c>
      <c r="M24" s="425"/>
      <c r="N24" s="467"/>
      <c r="O24" s="467"/>
      <c r="Q24" s="467"/>
      <c r="T24" s="467"/>
    </row>
    <row r="25" spans="2:20" s="423" customFormat="1" ht="6.95" customHeight="1">
      <c r="B25" s="457"/>
      <c r="C25" s="448"/>
      <c r="E25" s="424"/>
      <c r="F25" s="424"/>
      <c r="G25" s="455"/>
      <c r="H25" s="1569"/>
      <c r="I25" s="1569"/>
      <c r="J25" s="1569"/>
      <c r="K25" s="1569"/>
      <c r="L25" s="1569"/>
      <c r="M25" s="425"/>
      <c r="N25" s="467"/>
      <c r="O25" s="467"/>
      <c r="Q25" s="467"/>
      <c r="T25" s="467"/>
    </row>
    <row r="26" spans="2:20" s="423" customFormat="1" ht="15.4" customHeight="1">
      <c r="B26" s="438" t="s">
        <v>130</v>
      </c>
      <c r="C26" s="448"/>
      <c r="E26" s="424"/>
      <c r="F26" s="424"/>
      <c r="G26" s="455"/>
      <c r="H26" s="1569"/>
      <c r="I26" s="1569"/>
      <c r="J26" s="1569"/>
      <c r="K26" s="1569"/>
      <c r="L26" s="1569"/>
      <c r="M26" s="425"/>
      <c r="N26" s="467"/>
      <c r="O26" s="467"/>
      <c r="Q26" s="467"/>
      <c r="T26" s="467"/>
    </row>
    <row r="27" spans="2:20" s="423" customFormat="1" ht="15.4" customHeight="1">
      <c r="B27" s="439" t="s">
        <v>131</v>
      </c>
      <c r="C27" s="448"/>
      <c r="E27" s="424"/>
      <c r="F27" s="424"/>
      <c r="G27" s="455"/>
      <c r="H27" s="1569"/>
      <c r="I27" s="1569"/>
      <c r="J27" s="1569"/>
      <c r="K27" s="1569"/>
      <c r="L27" s="1569"/>
      <c r="M27" s="425"/>
      <c r="N27" s="467"/>
      <c r="O27" s="467"/>
      <c r="Q27" s="467"/>
      <c r="T27" s="467"/>
    </row>
    <row r="28" spans="2:20" s="423" customFormat="1" ht="6.95" customHeight="1">
      <c r="B28" s="438"/>
      <c r="C28" s="448"/>
      <c r="E28" s="424"/>
      <c r="F28" s="424"/>
      <c r="G28" s="455"/>
      <c r="H28" s="1569"/>
      <c r="I28" s="1569"/>
      <c r="J28" s="1569"/>
      <c r="K28" s="1569"/>
      <c r="L28" s="1569"/>
      <c r="M28" s="425"/>
      <c r="N28" s="467"/>
      <c r="O28" s="467"/>
      <c r="Q28" s="467"/>
      <c r="T28" s="467"/>
    </row>
    <row r="29" spans="2:20" s="423" customFormat="1" ht="14.25" customHeight="1">
      <c r="B29" s="440" t="s">
        <v>132</v>
      </c>
      <c r="C29" s="448"/>
      <c r="E29" s="441" t="s">
        <v>133</v>
      </c>
      <c r="F29" s="441"/>
      <c r="G29" s="455"/>
      <c r="H29" s="1569">
        <v>7.51</v>
      </c>
      <c r="I29" s="1569"/>
      <c r="J29" s="1569">
        <v>8.09</v>
      </c>
      <c r="K29" s="1569"/>
      <c r="L29" s="1569">
        <v>8.2200000000000006</v>
      </c>
      <c r="M29" s="425"/>
      <c r="N29" s="467"/>
      <c r="O29" s="467"/>
      <c r="Q29" s="467"/>
      <c r="T29" s="467"/>
    </row>
    <row r="30" spans="2:20" s="423" customFormat="1" ht="14.25" customHeight="1">
      <c r="B30" s="440" t="s">
        <v>134</v>
      </c>
      <c r="C30" s="448"/>
      <c r="E30" s="441" t="s">
        <v>135</v>
      </c>
      <c r="F30" s="441"/>
      <c r="G30" s="455"/>
      <c r="H30" s="1569">
        <v>3.49</v>
      </c>
      <c r="I30" s="1569"/>
      <c r="J30" s="1569">
        <v>3.95</v>
      </c>
      <c r="K30" s="1569"/>
      <c r="L30" s="1569">
        <v>4</v>
      </c>
      <c r="M30" s="425"/>
      <c r="N30" s="467"/>
      <c r="O30" s="467"/>
      <c r="Q30" s="467"/>
      <c r="T30" s="467"/>
    </row>
    <row r="31" spans="2:20" s="423" customFormat="1" ht="14.25" customHeight="1">
      <c r="B31" s="440" t="s">
        <v>1972</v>
      </c>
      <c r="C31" s="448"/>
      <c r="E31" s="441" t="s">
        <v>136</v>
      </c>
      <c r="F31" s="441"/>
      <c r="G31" s="455"/>
      <c r="H31" s="1569">
        <v>25.79</v>
      </c>
      <c r="I31" s="1569"/>
      <c r="J31" s="1569">
        <v>27.67</v>
      </c>
      <c r="K31" s="1569"/>
      <c r="L31" s="1569">
        <v>28.85</v>
      </c>
      <c r="M31" s="425"/>
      <c r="N31" s="467"/>
      <c r="O31" s="467"/>
      <c r="Q31" s="467"/>
      <c r="T31" s="467"/>
    </row>
    <row r="32" spans="2:20" s="423" customFormat="1" ht="27" customHeight="1">
      <c r="B32" s="440" t="s">
        <v>1973</v>
      </c>
      <c r="C32" s="448"/>
      <c r="E32" s="464" t="s">
        <v>1974</v>
      </c>
      <c r="F32" s="441"/>
      <c r="G32" s="455"/>
      <c r="H32" s="1569">
        <v>11.73</v>
      </c>
      <c r="I32" s="1569"/>
      <c r="J32" s="1569">
        <v>12.09</v>
      </c>
      <c r="K32" s="1569"/>
      <c r="L32" s="1569">
        <v>12.23</v>
      </c>
      <c r="M32" s="425"/>
      <c r="N32" s="467"/>
      <c r="O32" s="467"/>
      <c r="Q32" s="467"/>
      <c r="T32" s="467"/>
    </row>
    <row r="33" spans="2:20" s="423" customFormat="1" ht="6.95" customHeight="1">
      <c r="B33" s="457"/>
      <c r="C33" s="448"/>
      <c r="E33" s="424"/>
      <c r="F33" s="424"/>
      <c r="G33" s="455"/>
      <c r="H33" s="1569"/>
      <c r="I33" s="1569"/>
      <c r="J33" s="1569"/>
      <c r="K33" s="1569"/>
      <c r="L33" s="1569"/>
      <c r="M33" s="425"/>
      <c r="N33" s="467"/>
      <c r="O33" s="467"/>
      <c r="Q33" s="467"/>
      <c r="T33" s="467"/>
    </row>
    <row r="34" spans="2:20" s="423" customFormat="1" ht="15.4" customHeight="1">
      <c r="B34" s="438" t="s">
        <v>137</v>
      </c>
      <c r="C34" s="448"/>
      <c r="E34" s="424"/>
      <c r="F34" s="424"/>
      <c r="G34" s="455"/>
      <c r="H34" s="1569"/>
      <c r="I34" s="1569"/>
      <c r="J34" s="1569"/>
      <c r="K34" s="1569"/>
      <c r="L34" s="1569"/>
      <c r="M34" s="425"/>
      <c r="N34" s="467"/>
      <c r="O34" s="467"/>
      <c r="Q34" s="467"/>
      <c r="T34" s="467"/>
    </row>
    <row r="35" spans="2:20" s="423" customFormat="1" ht="15.4" customHeight="1">
      <c r="B35" s="439" t="s">
        <v>138</v>
      </c>
      <c r="C35" s="448"/>
      <c r="E35" s="424"/>
      <c r="F35" s="424"/>
      <c r="G35" s="455"/>
      <c r="H35" s="1569"/>
      <c r="I35" s="1569"/>
      <c r="J35" s="1569"/>
      <c r="K35" s="1569"/>
      <c r="L35" s="1569"/>
      <c r="M35" s="425"/>
      <c r="N35" s="467"/>
      <c r="O35" s="467"/>
      <c r="Q35" s="467"/>
      <c r="T35" s="467"/>
    </row>
    <row r="36" spans="2:20" s="423" customFormat="1" ht="6.95" customHeight="1">
      <c r="B36" s="439"/>
      <c r="C36" s="448"/>
      <c r="E36" s="424"/>
      <c r="F36" s="424"/>
      <c r="G36" s="455"/>
      <c r="H36" s="1569"/>
      <c r="I36" s="1569"/>
      <c r="J36" s="1569"/>
      <c r="K36" s="1569"/>
      <c r="L36" s="1569"/>
      <c r="M36" s="425"/>
      <c r="N36" s="467"/>
      <c r="O36" s="467"/>
      <c r="Q36" s="467"/>
      <c r="T36" s="467"/>
    </row>
    <row r="37" spans="2:20" s="423" customFormat="1" ht="14.25" customHeight="1">
      <c r="B37" s="440" t="s">
        <v>139</v>
      </c>
      <c r="C37" s="448"/>
      <c r="E37" s="441" t="s">
        <v>140</v>
      </c>
      <c r="F37" s="441"/>
      <c r="G37" s="455"/>
      <c r="H37" s="1569">
        <v>6.87</v>
      </c>
      <c r="I37" s="1569"/>
      <c r="J37" s="1569">
        <v>7.07</v>
      </c>
      <c r="K37" s="1569"/>
      <c r="L37" s="1569">
        <v>7.86</v>
      </c>
      <c r="M37" s="425"/>
      <c r="N37" s="467"/>
      <c r="O37" s="467"/>
      <c r="Q37" s="467"/>
      <c r="T37" s="467"/>
    </row>
    <row r="38" spans="2:20" s="423" customFormat="1" ht="14.25" customHeight="1">
      <c r="B38" s="445" t="s">
        <v>141</v>
      </c>
      <c r="C38" s="448"/>
      <c r="E38" s="441" t="s">
        <v>142</v>
      </c>
      <c r="F38" s="441"/>
      <c r="G38" s="455"/>
      <c r="H38" s="1569">
        <v>4.93</v>
      </c>
      <c r="I38" s="1569"/>
      <c r="J38" s="1569">
        <v>5.15</v>
      </c>
      <c r="K38" s="1569"/>
      <c r="L38" s="1569">
        <v>5.21</v>
      </c>
      <c r="M38" s="425"/>
      <c r="N38" s="467"/>
      <c r="O38" s="467"/>
      <c r="Q38" s="467"/>
      <c r="T38" s="467"/>
    </row>
    <row r="39" spans="2:20" s="423" customFormat="1" ht="6.95" customHeight="1">
      <c r="B39" s="457"/>
      <c r="C39" s="448"/>
      <c r="E39" s="424"/>
      <c r="F39" s="424"/>
      <c r="G39" s="455"/>
      <c r="H39" s="1569"/>
      <c r="I39" s="1569"/>
      <c r="J39" s="1569"/>
      <c r="K39" s="1569"/>
      <c r="L39" s="1569"/>
      <c r="M39" s="425"/>
      <c r="N39" s="467"/>
      <c r="O39" s="467"/>
      <c r="Q39" s="467"/>
      <c r="T39" s="467"/>
    </row>
    <row r="40" spans="2:20" s="423" customFormat="1" ht="15.4" customHeight="1">
      <c r="B40" s="438" t="s">
        <v>143</v>
      </c>
      <c r="C40" s="448"/>
      <c r="E40" s="424"/>
      <c r="F40" s="424"/>
      <c r="G40" s="455"/>
      <c r="H40" s="1569"/>
      <c r="I40" s="1569"/>
      <c r="J40" s="1569"/>
      <c r="K40" s="1569"/>
      <c r="L40" s="1569"/>
      <c r="M40" s="425"/>
      <c r="N40" s="467"/>
      <c r="O40" s="467"/>
      <c r="Q40" s="467"/>
      <c r="T40" s="467"/>
    </row>
    <row r="41" spans="2:20" s="423" customFormat="1" ht="15.4" customHeight="1">
      <c r="B41" s="439" t="s">
        <v>144</v>
      </c>
      <c r="C41" s="448"/>
      <c r="E41" s="424"/>
      <c r="F41" s="424"/>
      <c r="G41" s="455"/>
      <c r="H41" s="1569"/>
      <c r="I41" s="1569"/>
      <c r="J41" s="1569"/>
      <c r="K41" s="1569"/>
      <c r="L41" s="1569"/>
      <c r="M41" s="425"/>
      <c r="N41" s="467"/>
      <c r="O41" s="467"/>
      <c r="Q41" s="467"/>
      <c r="T41" s="467"/>
    </row>
    <row r="42" spans="2:20" s="423" customFormat="1" ht="6.95" customHeight="1">
      <c r="B42" s="438"/>
      <c r="C42" s="448"/>
      <c r="E42" s="424"/>
      <c r="F42" s="424"/>
      <c r="G42" s="455"/>
      <c r="H42" s="1569"/>
      <c r="I42" s="1569"/>
      <c r="J42" s="1569"/>
      <c r="K42" s="1569"/>
      <c r="L42" s="1569"/>
      <c r="M42" s="425"/>
      <c r="N42" s="467"/>
      <c r="O42" s="467"/>
      <c r="Q42" s="467"/>
      <c r="T42" s="467"/>
    </row>
    <row r="43" spans="2:20" s="423" customFormat="1" ht="14.25" customHeight="1">
      <c r="B43" s="440" t="s">
        <v>145</v>
      </c>
      <c r="C43" s="448"/>
      <c r="E43" s="441" t="s">
        <v>146</v>
      </c>
      <c r="F43" s="441"/>
      <c r="G43" s="455"/>
      <c r="H43" s="1569">
        <v>8.5299999999999994</v>
      </c>
      <c r="I43" s="1569"/>
      <c r="J43" s="1569">
        <v>9.31</v>
      </c>
      <c r="K43" s="1569"/>
      <c r="L43" s="1569">
        <v>9.61</v>
      </c>
      <c r="M43" s="425"/>
      <c r="N43" s="467"/>
      <c r="O43" s="467"/>
      <c r="Q43" s="467"/>
      <c r="T43" s="467"/>
    </row>
    <row r="44" spans="2:20" s="423" customFormat="1" ht="14.25" customHeight="1">
      <c r="B44" s="440" t="s">
        <v>147</v>
      </c>
      <c r="C44" s="448"/>
      <c r="E44" s="441" t="s">
        <v>148</v>
      </c>
      <c r="F44" s="441"/>
      <c r="G44" s="455"/>
      <c r="H44" s="1569">
        <v>26.06</v>
      </c>
      <c r="I44" s="1569"/>
      <c r="J44" s="1569">
        <v>24.08</v>
      </c>
      <c r="K44" s="1569"/>
      <c r="L44" s="1569">
        <v>22.35</v>
      </c>
      <c r="M44" s="425"/>
      <c r="N44" s="467"/>
      <c r="O44" s="467"/>
      <c r="Q44" s="467"/>
      <c r="T44" s="467"/>
    </row>
    <row r="45" spans="2:20" s="423" customFormat="1" ht="14.25" customHeight="1">
      <c r="B45" s="440" t="s">
        <v>149</v>
      </c>
      <c r="C45" s="448"/>
      <c r="E45" s="441" t="s">
        <v>150</v>
      </c>
      <c r="F45" s="441"/>
      <c r="G45" s="455"/>
      <c r="H45" s="1569">
        <v>31.1</v>
      </c>
      <c r="I45" s="1569"/>
      <c r="J45" s="1569">
        <v>30.53</v>
      </c>
      <c r="K45" s="1569"/>
      <c r="L45" s="1569">
        <v>30.05</v>
      </c>
      <c r="M45" s="425"/>
      <c r="N45" s="467"/>
      <c r="O45" s="467"/>
      <c r="Q45" s="467"/>
      <c r="T45" s="467"/>
    </row>
    <row r="46" spans="2:20" s="423" customFormat="1" ht="14.25" customHeight="1">
      <c r="B46" s="440" t="s">
        <v>147</v>
      </c>
      <c r="C46" s="448"/>
      <c r="E46" s="441" t="s">
        <v>151</v>
      </c>
      <c r="F46" s="441"/>
      <c r="G46" s="455"/>
      <c r="H46" s="1569">
        <v>7.04</v>
      </c>
      <c r="I46" s="1569"/>
      <c r="J46" s="1569">
        <v>6.89</v>
      </c>
      <c r="K46" s="1569"/>
      <c r="L46" s="1569">
        <v>6.98</v>
      </c>
      <c r="M46" s="425"/>
      <c r="N46" s="467"/>
      <c r="O46" s="467"/>
      <c r="Q46" s="467"/>
      <c r="T46" s="467"/>
    </row>
    <row r="47" spans="2:20" s="423" customFormat="1" ht="6.95" customHeight="1">
      <c r="B47" s="457"/>
      <c r="C47" s="448"/>
      <c r="E47" s="424"/>
      <c r="F47" s="424"/>
      <c r="G47" s="455"/>
      <c r="H47" s="1569"/>
      <c r="I47" s="1569"/>
      <c r="J47" s="1569"/>
      <c r="K47" s="1569"/>
      <c r="L47" s="1569"/>
      <c r="M47" s="425"/>
      <c r="N47" s="467"/>
      <c r="O47" s="467"/>
      <c r="Q47" s="467"/>
      <c r="T47" s="467"/>
    </row>
    <row r="48" spans="2:20" s="423" customFormat="1" ht="15.4" customHeight="1">
      <c r="B48" s="438" t="s">
        <v>152</v>
      </c>
      <c r="C48" s="448"/>
      <c r="E48" s="424"/>
      <c r="F48" s="424"/>
      <c r="G48" s="455"/>
      <c r="H48" s="1569"/>
      <c r="I48" s="1569"/>
      <c r="J48" s="1569"/>
      <c r="K48" s="1569"/>
      <c r="L48" s="1569"/>
      <c r="M48" s="425"/>
      <c r="N48" s="467"/>
      <c r="O48" s="467"/>
      <c r="Q48" s="467"/>
      <c r="T48" s="467"/>
    </row>
    <row r="49" spans="2:20" s="423" customFormat="1" ht="15.4" customHeight="1">
      <c r="B49" s="439" t="s">
        <v>153</v>
      </c>
      <c r="C49" s="448"/>
      <c r="E49" s="424"/>
      <c r="F49" s="424"/>
      <c r="G49" s="455"/>
      <c r="H49" s="1569"/>
      <c r="I49" s="1569"/>
      <c r="J49" s="1569"/>
      <c r="K49" s="1569"/>
      <c r="L49" s="1569"/>
      <c r="M49" s="425"/>
      <c r="N49" s="467"/>
      <c r="O49" s="467"/>
      <c r="Q49" s="467"/>
      <c r="T49" s="467"/>
    </row>
    <row r="50" spans="2:20" s="423" customFormat="1" ht="6.95" customHeight="1">
      <c r="B50" s="439"/>
      <c r="C50" s="448"/>
      <c r="E50" s="424"/>
      <c r="F50" s="424"/>
      <c r="G50" s="455"/>
      <c r="H50" s="1569"/>
      <c r="I50" s="1569"/>
      <c r="J50" s="1569"/>
      <c r="K50" s="1569"/>
      <c r="L50" s="1569"/>
      <c r="M50" s="425"/>
      <c r="N50" s="467"/>
      <c r="O50" s="467"/>
      <c r="Q50" s="467"/>
      <c r="T50" s="467"/>
    </row>
    <row r="51" spans="2:20" s="423" customFormat="1" ht="14.25" customHeight="1">
      <c r="B51" s="440" t="s">
        <v>154</v>
      </c>
      <c r="C51" s="448"/>
      <c r="E51" s="441" t="s">
        <v>155</v>
      </c>
      <c r="F51" s="441"/>
      <c r="G51" s="455"/>
      <c r="H51" s="1569">
        <v>26.37</v>
      </c>
      <c r="I51" s="1569"/>
      <c r="J51" s="1569">
        <v>28.57</v>
      </c>
      <c r="K51" s="1569"/>
      <c r="L51" s="1569">
        <v>36.5</v>
      </c>
      <c r="M51" s="425"/>
      <c r="N51" s="467"/>
      <c r="O51" s="467"/>
      <c r="Q51" s="467"/>
      <c r="T51" s="467"/>
    </row>
    <row r="52" spans="2:20" s="423" customFormat="1" ht="14.25" customHeight="1">
      <c r="B52" s="440" t="s">
        <v>1975</v>
      </c>
      <c r="C52" s="448"/>
      <c r="E52" s="441" t="s">
        <v>73</v>
      </c>
      <c r="F52" s="441"/>
      <c r="G52" s="455"/>
      <c r="H52" s="1569">
        <v>4.6900000000000004</v>
      </c>
      <c r="I52" s="1569"/>
      <c r="J52" s="1569">
        <v>5.0999999999999996</v>
      </c>
      <c r="K52" s="1569"/>
      <c r="L52" s="1569">
        <v>5.22</v>
      </c>
      <c r="M52" s="425"/>
      <c r="N52" s="467"/>
      <c r="O52" s="467"/>
      <c r="Q52" s="467"/>
      <c r="T52" s="467"/>
    </row>
    <row r="53" spans="2:20" s="423" customFormat="1" ht="14.25" customHeight="1">
      <c r="B53" s="440" t="s">
        <v>156</v>
      </c>
      <c r="C53" s="448"/>
      <c r="E53" s="441" t="s">
        <v>157</v>
      </c>
      <c r="F53" s="441"/>
      <c r="G53" s="455"/>
      <c r="H53" s="1569">
        <v>3.65</v>
      </c>
      <c r="I53" s="1569"/>
      <c r="J53" s="1569">
        <v>3.84</v>
      </c>
      <c r="K53" s="1569"/>
      <c r="L53" s="1569">
        <v>3.88</v>
      </c>
      <c r="M53" s="425"/>
      <c r="N53" s="467"/>
      <c r="O53" s="467"/>
      <c r="Q53" s="467"/>
      <c r="T53" s="467"/>
    </row>
    <row r="54" spans="2:20" s="423" customFormat="1" ht="6.95" customHeight="1">
      <c r="B54" s="457"/>
      <c r="C54" s="448"/>
      <c r="E54" s="424"/>
      <c r="F54" s="424"/>
      <c r="G54" s="455"/>
      <c r="H54" s="1569"/>
      <c r="I54" s="1569"/>
      <c r="J54" s="1569"/>
      <c r="K54" s="1569"/>
      <c r="L54" s="1569"/>
      <c r="M54" s="425"/>
      <c r="N54" s="467"/>
      <c r="O54" s="467"/>
      <c r="Q54" s="467"/>
      <c r="T54" s="467"/>
    </row>
    <row r="55" spans="2:20" s="423" customFormat="1" ht="15.4" customHeight="1">
      <c r="B55" s="468" t="s">
        <v>158</v>
      </c>
      <c r="C55" s="448"/>
      <c r="E55" s="424"/>
      <c r="F55" s="424"/>
      <c r="G55" s="455"/>
      <c r="H55" s="1569"/>
      <c r="I55" s="1567"/>
      <c r="J55" s="1569"/>
      <c r="K55" s="1569"/>
      <c r="L55" s="1569"/>
      <c r="M55" s="425"/>
      <c r="N55" s="467"/>
      <c r="O55" s="467"/>
      <c r="Q55" s="467"/>
      <c r="T55" s="467"/>
    </row>
    <row r="56" spans="2:20" s="423" customFormat="1" ht="15.4" customHeight="1">
      <c r="B56" s="470" t="s">
        <v>1154</v>
      </c>
      <c r="C56" s="448"/>
      <c r="E56" s="424"/>
      <c r="F56" s="424"/>
      <c r="G56" s="455"/>
      <c r="H56" s="1569"/>
      <c r="I56" s="1567"/>
      <c r="J56" s="1569"/>
      <c r="K56" s="1569"/>
      <c r="L56" s="1569"/>
      <c r="M56" s="425"/>
      <c r="N56" s="467"/>
      <c r="O56" s="467"/>
      <c r="P56" s="467"/>
      <c r="Q56" s="467"/>
      <c r="R56" s="467"/>
      <c r="S56" s="467"/>
      <c r="T56" s="467"/>
    </row>
    <row r="57" spans="2:20" s="423" customFormat="1" ht="6.95" customHeight="1">
      <c r="B57" s="471"/>
      <c r="C57" s="448"/>
      <c r="E57" s="424"/>
      <c r="F57" s="424"/>
      <c r="G57" s="455"/>
      <c r="H57" s="1569"/>
      <c r="I57" s="1567"/>
      <c r="J57" s="1569"/>
      <c r="K57" s="1569"/>
      <c r="L57" s="1569"/>
      <c r="M57" s="425"/>
      <c r="N57" s="467"/>
      <c r="O57" s="467"/>
      <c r="P57" s="467"/>
      <c r="Q57" s="467"/>
      <c r="R57" s="467"/>
      <c r="S57" s="467"/>
      <c r="T57" s="467"/>
    </row>
    <row r="58" spans="2:20" s="423" customFormat="1" ht="14.25" customHeight="1">
      <c r="B58" s="440" t="s">
        <v>2039</v>
      </c>
      <c r="C58" s="448"/>
      <c r="E58" s="441" t="s">
        <v>135</v>
      </c>
      <c r="F58" s="441"/>
      <c r="G58" s="455"/>
      <c r="H58" s="1569">
        <v>4.1900000000000004</v>
      </c>
      <c r="I58" s="1569"/>
      <c r="J58" s="1569">
        <v>4.82</v>
      </c>
      <c r="K58" s="1569"/>
      <c r="L58" s="1569">
        <v>5.08</v>
      </c>
      <c r="M58" s="425"/>
      <c r="N58" s="467"/>
      <c r="O58" s="467"/>
      <c r="P58" s="467"/>
      <c r="Q58" s="467"/>
      <c r="R58" s="467"/>
      <c r="S58" s="467"/>
      <c r="T58" s="467"/>
    </row>
    <row r="59" spans="2:20" s="423" customFormat="1" ht="14.25" customHeight="1">
      <c r="B59" s="440" t="s">
        <v>2039</v>
      </c>
      <c r="C59" s="448"/>
      <c r="E59" s="441" t="s">
        <v>159</v>
      </c>
      <c r="F59" s="441"/>
      <c r="G59" s="455"/>
      <c r="H59" s="1569">
        <v>4.6399999999999997</v>
      </c>
      <c r="I59" s="1569"/>
      <c r="J59" s="1569">
        <v>5.13</v>
      </c>
      <c r="K59" s="1569"/>
      <c r="L59" s="1569">
        <v>5.13</v>
      </c>
      <c r="M59" s="425"/>
      <c r="N59" s="467"/>
      <c r="O59" s="467"/>
      <c r="P59" s="467"/>
      <c r="Q59" s="467"/>
      <c r="R59" s="467"/>
      <c r="S59" s="467"/>
      <c r="T59" s="467"/>
    </row>
    <row r="60" spans="2:20" s="423" customFormat="1" ht="14.25" customHeight="1">
      <c r="B60" s="440" t="s">
        <v>1155</v>
      </c>
      <c r="C60" s="448"/>
      <c r="E60" s="441" t="s">
        <v>160</v>
      </c>
      <c r="F60" s="441"/>
      <c r="G60" s="455"/>
      <c r="H60" s="1569">
        <v>5.67</v>
      </c>
      <c r="I60" s="1569"/>
      <c r="J60" s="1569">
        <v>5.89</v>
      </c>
      <c r="K60" s="1569"/>
      <c r="L60" s="1569">
        <v>6.34</v>
      </c>
      <c r="M60" s="425"/>
      <c r="N60" s="467"/>
      <c r="O60" s="467"/>
      <c r="P60" s="467"/>
      <c r="Q60" s="467"/>
      <c r="R60" s="467"/>
      <c r="S60" s="467"/>
      <c r="T60" s="467"/>
    </row>
    <row r="61" spans="2:20" s="423" customFormat="1" ht="14.25" customHeight="1">
      <c r="B61" s="440" t="s">
        <v>161</v>
      </c>
      <c r="C61" s="448"/>
      <c r="E61" s="441" t="s">
        <v>162</v>
      </c>
      <c r="F61" s="441"/>
      <c r="G61" s="455"/>
      <c r="H61" s="1569">
        <v>4.16</v>
      </c>
      <c r="I61" s="1569"/>
      <c r="J61" s="1569">
        <v>4.4000000000000004</v>
      </c>
      <c r="K61" s="1569"/>
      <c r="L61" s="1569">
        <v>4.87</v>
      </c>
      <c r="M61" s="425"/>
      <c r="N61" s="467"/>
      <c r="O61" s="467"/>
      <c r="P61" s="467"/>
      <c r="Q61" s="467"/>
      <c r="R61" s="467"/>
      <c r="S61" s="467"/>
      <c r="T61" s="467"/>
    </row>
    <row r="62" spans="2:20" s="423" customFormat="1" ht="14.25" customHeight="1">
      <c r="B62" s="440" t="s">
        <v>163</v>
      </c>
      <c r="C62" s="448"/>
      <c r="E62" s="441" t="s">
        <v>164</v>
      </c>
      <c r="F62" s="441"/>
      <c r="G62" s="455"/>
      <c r="H62" s="1569">
        <v>3.65</v>
      </c>
      <c r="I62" s="1569"/>
      <c r="J62" s="1569">
        <v>3.94</v>
      </c>
      <c r="K62" s="1569"/>
      <c r="L62" s="1569">
        <v>4.21</v>
      </c>
      <c r="M62" s="425"/>
      <c r="N62" s="467"/>
      <c r="O62" s="467"/>
      <c r="P62" s="467"/>
      <c r="Q62" s="467"/>
      <c r="R62" s="467"/>
      <c r="S62" s="467"/>
      <c r="T62" s="467"/>
    </row>
    <row r="63" spans="2:20" s="423" customFormat="1" ht="14.25" customHeight="1">
      <c r="B63" s="440" t="s">
        <v>1156</v>
      </c>
      <c r="C63" s="448"/>
      <c r="E63" s="441" t="s">
        <v>1118</v>
      </c>
      <c r="F63" s="441"/>
      <c r="G63" s="455"/>
      <c r="H63" s="1569" t="s">
        <v>204</v>
      </c>
      <c r="I63" s="1569"/>
      <c r="J63" s="1569" t="s">
        <v>204</v>
      </c>
      <c r="K63" s="1569"/>
      <c r="L63" s="1569">
        <v>7.97</v>
      </c>
      <c r="M63" s="425"/>
      <c r="N63" s="467"/>
      <c r="O63" s="467"/>
      <c r="P63" s="467"/>
      <c r="Q63" s="467"/>
      <c r="R63" s="467"/>
      <c r="S63" s="467"/>
      <c r="T63" s="467"/>
    </row>
    <row r="64" spans="2:20" s="423" customFormat="1" ht="14.25" customHeight="1">
      <c r="B64" s="440" t="s">
        <v>165</v>
      </c>
      <c r="C64" s="448"/>
      <c r="E64" s="441" t="s">
        <v>166</v>
      </c>
      <c r="F64" s="441"/>
      <c r="G64" s="455"/>
      <c r="H64" s="1569">
        <v>6.93</v>
      </c>
      <c r="I64" s="1569"/>
      <c r="J64" s="1569">
        <v>7.09</v>
      </c>
      <c r="K64" s="1569"/>
      <c r="L64" s="1569">
        <v>7.19</v>
      </c>
      <c r="M64" s="425"/>
      <c r="N64" s="467"/>
      <c r="O64" s="467"/>
      <c r="P64" s="467"/>
      <c r="Q64" s="467"/>
      <c r="R64" s="467"/>
      <c r="S64" s="467"/>
      <c r="T64" s="467"/>
    </row>
    <row r="65" spans="2:20" s="423" customFormat="1" ht="14.25" customHeight="1">
      <c r="B65" s="440" t="s">
        <v>167</v>
      </c>
      <c r="C65" s="448"/>
      <c r="E65" s="441" t="s">
        <v>168</v>
      </c>
      <c r="F65" s="441"/>
      <c r="G65" s="455"/>
      <c r="H65" s="1569">
        <v>1.93</v>
      </c>
      <c r="I65" s="1569"/>
      <c r="J65" s="1569">
        <v>2.12</v>
      </c>
      <c r="K65" s="1569"/>
      <c r="L65" s="1569">
        <v>2.31</v>
      </c>
      <c r="M65" s="425"/>
      <c r="N65" s="467"/>
      <c r="O65" s="467"/>
      <c r="P65" s="467"/>
      <c r="Q65" s="467"/>
      <c r="R65" s="467"/>
      <c r="S65" s="467"/>
      <c r="T65" s="467"/>
    </row>
    <row r="66" spans="2:20" s="423" customFormat="1" ht="14.25" customHeight="1">
      <c r="B66" s="440" t="s">
        <v>169</v>
      </c>
      <c r="C66" s="448"/>
      <c r="E66" s="441" t="s">
        <v>170</v>
      </c>
      <c r="F66" s="441"/>
      <c r="G66" s="455"/>
      <c r="H66" s="1569">
        <v>5.21</v>
      </c>
      <c r="I66" s="1569"/>
      <c r="J66" s="1569">
        <v>5.35</v>
      </c>
      <c r="K66" s="1569"/>
      <c r="L66" s="1569">
        <v>5.67</v>
      </c>
      <c r="M66" s="425"/>
      <c r="N66" s="467"/>
      <c r="O66" s="467"/>
      <c r="P66" s="467"/>
      <c r="Q66" s="467"/>
      <c r="R66" s="467"/>
      <c r="S66" s="467"/>
      <c r="T66" s="467"/>
    </row>
    <row r="67" spans="2:20" s="423" customFormat="1" ht="14.25" customHeight="1">
      <c r="B67" s="440" t="s">
        <v>167</v>
      </c>
      <c r="C67" s="448"/>
      <c r="E67" s="441" t="s">
        <v>171</v>
      </c>
      <c r="F67" s="441"/>
      <c r="G67" s="455"/>
      <c r="H67" s="1569">
        <v>9.64</v>
      </c>
      <c r="I67" s="1569"/>
      <c r="J67" s="1569">
        <v>10.199999999999999</v>
      </c>
      <c r="K67" s="1569"/>
      <c r="L67" s="1569">
        <v>10.45</v>
      </c>
      <c r="M67" s="425"/>
      <c r="N67" s="467"/>
      <c r="O67" s="467"/>
      <c r="P67" s="467"/>
      <c r="Q67" s="467"/>
      <c r="R67" s="467"/>
      <c r="S67" s="467"/>
      <c r="T67" s="467"/>
    </row>
    <row r="68" spans="2:20" s="423" customFormat="1" ht="6.95" customHeight="1">
      <c r="B68" s="457"/>
      <c r="C68" s="448"/>
      <c r="E68" s="424"/>
      <c r="F68" s="424"/>
      <c r="G68" s="455"/>
      <c r="H68" s="1569"/>
      <c r="I68" s="1569"/>
      <c r="J68" s="1569"/>
      <c r="K68" s="1569"/>
      <c r="L68" s="1569"/>
      <c r="M68" s="425"/>
      <c r="N68" s="467"/>
      <c r="O68" s="467"/>
      <c r="P68" s="467"/>
      <c r="Q68" s="467"/>
      <c r="R68" s="467"/>
      <c r="S68" s="467"/>
      <c r="T68" s="467"/>
    </row>
    <row r="69" spans="2:20" s="423" customFormat="1" ht="15.4" customHeight="1">
      <c r="B69" s="438" t="s">
        <v>172</v>
      </c>
      <c r="C69" s="448"/>
      <c r="E69" s="424"/>
      <c r="F69" s="424"/>
      <c r="G69" s="442"/>
      <c r="H69" s="1569"/>
      <c r="I69" s="1569"/>
      <c r="J69" s="1569"/>
      <c r="K69" s="1569"/>
      <c r="L69" s="1569"/>
      <c r="N69" s="467"/>
      <c r="O69" s="467"/>
      <c r="P69" s="467"/>
      <c r="Q69" s="467"/>
      <c r="R69" s="467"/>
      <c r="S69" s="467"/>
      <c r="T69" s="467"/>
    </row>
    <row r="70" spans="2:20" s="423" customFormat="1" ht="15.4" customHeight="1">
      <c r="B70" s="439" t="s">
        <v>173</v>
      </c>
      <c r="C70" s="448"/>
      <c r="E70" s="424"/>
      <c r="F70" s="424"/>
      <c r="G70" s="442"/>
      <c r="H70" s="1569"/>
      <c r="I70" s="1569"/>
      <c r="J70" s="1569"/>
      <c r="K70" s="1569"/>
      <c r="L70" s="1569"/>
      <c r="N70" s="467"/>
      <c r="O70" s="467"/>
      <c r="P70" s="467"/>
      <c r="Q70" s="467"/>
      <c r="R70" s="467"/>
      <c r="S70" s="467"/>
      <c r="T70" s="467"/>
    </row>
    <row r="71" spans="2:20" s="423" customFormat="1" ht="6.95" customHeight="1">
      <c r="B71" s="439"/>
      <c r="C71" s="448"/>
      <c r="E71" s="424"/>
      <c r="F71" s="424"/>
      <c r="G71" s="442"/>
      <c r="H71" s="1569"/>
      <c r="I71" s="1569"/>
      <c r="J71" s="1569"/>
      <c r="K71" s="1569"/>
      <c r="L71" s="1569"/>
      <c r="N71" s="467"/>
      <c r="O71" s="467"/>
      <c r="P71" s="467"/>
      <c r="Q71" s="467"/>
      <c r="R71" s="467"/>
      <c r="S71" s="467"/>
      <c r="T71" s="467"/>
    </row>
    <row r="72" spans="2:20" s="423" customFormat="1" ht="14.25" customHeight="1">
      <c r="B72" s="440" t="s">
        <v>174</v>
      </c>
      <c r="C72" s="448"/>
      <c r="E72" s="441" t="s">
        <v>175</v>
      </c>
      <c r="F72" s="441"/>
      <c r="G72" s="469"/>
      <c r="H72" s="1569">
        <v>6.58</v>
      </c>
      <c r="I72" s="1569"/>
      <c r="J72" s="1569">
        <v>6.85</v>
      </c>
      <c r="K72" s="1569"/>
      <c r="L72" s="1569">
        <v>7.1</v>
      </c>
      <c r="N72" s="467"/>
      <c r="O72" s="467"/>
      <c r="P72" s="467"/>
      <c r="Q72" s="467"/>
      <c r="R72" s="467"/>
      <c r="S72" s="467"/>
      <c r="T72" s="467"/>
    </row>
    <row r="73" spans="2:20" s="423" customFormat="1" ht="14.25" customHeight="1">
      <c r="B73" s="440" t="s">
        <v>1157</v>
      </c>
      <c r="C73" s="448"/>
      <c r="E73" s="441" t="s">
        <v>1119</v>
      </c>
      <c r="F73" s="441"/>
      <c r="G73" s="442"/>
      <c r="H73" s="1569" t="s">
        <v>204</v>
      </c>
      <c r="I73" s="1569"/>
      <c r="J73" s="1569" t="s">
        <v>204</v>
      </c>
      <c r="K73" s="1569"/>
      <c r="L73" s="1569">
        <v>14.48</v>
      </c>
      <c r="N73" s="467"/>
      <c r="O73" s="467"/>
      <c r="P73" s="467"/>
      <c r="Q73" s="467"/>
      <c r="R73" s="467"/>
      <c r="S73" s="467"/>
      <c r="T73" s="467"/>
    </row>
    <row r="74" spans="2:20" s="423" customFormat="1" ht="14.25" customHeight="1">
      <c r="B74" s="445" t="s">
        <v>176</v>
      </c>
      <c r="C74" s="448"/>
      <c r="E74" s="441" t="s">
        <v>1158</v>
      </c>
      <c r="F74" s="441"/>
      <c r="G74" s="442"/>
      <c r="H74" s="1569">
        <v>1.03</v>
      </c>
      <c r="I74" s="1569"/>
      <c r="J74" s="1569">
        <v>1.0900000000000001</v>
      </c>
      <c r="K74" s="1569"/>
      <c r="L74" s="1569">
        <v>1.28</v>
      </c>
      <c r="N74" s="467"/>
      <c r="O74" s="467"/>
      <c r="P74" s="467"/>
      <c r="Q74" s="467"/>
      <c r="R74" s="467"/>
      <c r="S74" s="467"/>
      <c r="T74" s="467"/>
    </row>
    <row r="75" spans="2:20" s="423" customFormat="1" ht="14.25" customHeight="1">
      <c r="B75" s="440" t="s">
        <v>2040</v>
      </c>
      <c r="C75" s="448"/>
      <c r="E75" s="441" t="s">
        <v>177</v>
      </c>
      <c r="F75" s="441"/>
      <c r="G75" s="442"/>
      <c r="H75" s="1569">
        <v>13.88</v>
      </c>
      <c r="I75" s="1569"/>
      <c r="J75" s="1569">
        <v>14.28</v>
      </c>
      <c r="K75" s="1569"/>
      <c r="L75" s="1569">
        <v>14.74</v>
      </c>
      <c r="N75" s="467"/>
      <c r="O75" s="467"/>
      <c r="P75" s="467"/>
      <c r="Q75" s="467"/>
      <c r="R75" s="467"/>
      <c r="S75" s="467"/>
      <c r="T75" s="467"/>
    </row>
    <row r="76" spans="2:20" s="423" customFormat="1" ht="14.25" customHeight="1">
      <c r="B76" s="440" t="s">
        <v>178</v>
      </c>
      <c r="C76" s="448"/>
      <c r="E76" s="441" t="s">
        <v>179</v>
      </c>
      <c r="F76" s="441"/>
      <c r="G76" s="442"/>
      <c r="H76" s="1569">
        <v>15.89</v>
      </c>
      <c r="I76" s="1569"/>
      <c r="J76" s="1569">
        <v>16.71</v>
      </c>
      <c r="K76" s="1569"/>
      <c r="L76" s="1569">
        <v>16.89</v>
      </c>
      <c r="N76" s="467"/>
      <c r="O76" s="467"/>
      <c r="P76" s="467"/>
      <c r="Q76" s="467"/>
      <c r="R76" s="467"/>
      <c r="S76" s="467"/>
      <c r="T76" s="467"/>
    </row>
    <row r="77" spans="2:20" s="423" customFormat="1" ht="14.25" customHeight="1">
      <c r="B77" s="440" t="s">
        <v>180</v>
      </c>
      <c r="C77" s="448"/>
      <c r="E77" s="441" t="s">
        <v>124</v>
      </c>
      <c r="F77" s="441"/>
      <c r="G77" s="442"/>
      <c r="H77" s="1569">
        <v>1.3</v>
      </c>
      <c r="I77" s="1569"/>
      <c r="J77" s="1569">
        <v>1.41</v>
      </c>
      <c r="K77" s="1569"/>
      <c r="L77" s="1569">
        <v>1.43</v>
      </c>
      <c r="N77" s="467"/>
      <c r="O77" s="467"/>
      <c r="P77" s="467"/>
      <c r="Q77" s="467"/>
      <c r="R77" s="467"/>
      <c r="S77" s="467"/>
      <c r="T77" s="467"/>
    </row>
    <row r="78" spans="2:20" s="423" customFormat="1" ht="14.25" customHeight="1">
      <c r="B78" s="440" t="s">
        <v>2044</v>
      </c>
      <c r="C78" s="448"/>
      <c r="E78" s="441" t="s">
        <v>2043</v>
      </c>
      <c r="F78" s="441"/>
      <c r="G78" s="442"/>
      <c r="H78" s="1569">
        <v>13.41</v>
      </c>
      <c r="I78" s="1569"/>
      <c r="J78" s="1569">
        <v>14.06</v>
      </c>
      <c r="K78" s="1569"/>
      <c r="L78" s="1569">
        <v>14.97</v>
      </c>
      <c r="N78" s="467"/>
      <c r="O78" s="467"/>
      <c r="P78" s="467"/>
      <c r="Q78" s="467"/>
      <c r="R78" s="467"/>
      <c r="S78" s="467"/>
      <c r="T78" s="467"/>
    </row>
    <row r="79" spans="2:20" s="423" customFormat="1" ht="14.25" customHeight="1">
      <c r="B79" s="440" t="s">
        <v>181</v>
      </c>
      <c r="C79" s="448"/>
      <c r="E79" s="441" t="s">
        <v>1158</v>
      </c>
      <c r="F79" s="441"/>
      <c r="G79" s="442"/>
      <c r="H79" s="1569">
        <v>3.51</v>
      </c>
      <c r="I79" s="1569"/>
      <c r="J79" s="1569">
        <v>3.65</v>
      </c>
      <c r="K79" s="1569"/>
      <c r="L79" s="1569">
        <v>3.79</v>
      </c>
      <c r="N79" s="467"/>
      <c r="O79" s="467"/>
      <c r="P79" s="467"/>
      <c r="Q79" s="467"/>
      <c r="R79" s="467"/>
      <c r="S79" s="467"/>
      <c r="T79" s="467"/>
    </row>
    <row r="80" spans="2:20" s="423" customFormat="1" ht="14.25" customHeight="1">
      <c r="B80" s="440" t="s">
        <v>182</v>
      </c>
      <c r="C80" s="448"/>
      <c r="E80" s="441" t="s">
        <v>183</v>
      </c>
      <c r="F80" s="441"/>
      <c r="G80" s="442"/>
      <c r="H80" s="1569">
        <v>9.6199999999999992</v>
      </c>
      <c r="I80" s="1569"/>
      <c r="J80" s="1569">
        <v>10.45</v>
      </c>
      <c r="K80" s="1569"/>
      <c r="L80" s="1569">
        <v>10.58</v>
      </c>
      <c r="N80" s="467"/>
      <c r="O80" s="467"/>
      <c r="P80" s="467"/>
      <c r="Q80" s="467"/>
      <c r="R80" s="467"/>
      <c r="S80" s="467"/>
      <c r="T80" s="467"/>
    </row>
    <row r="81" spans="1:20" s="423" customFormat="1" ht="14.25" customHeight="1">
      <c r="B81" s="440" t="s">
        <v>1159</v>
      </c>
      <c r="C81" s="448"/>
      <c r="E81" s="441" t="s">
        <v>1120</v>
      </c>
      <c r="F81" s="441"/>
      <c r="G81" s="442"/>
      <c r="H81" s="1569" t="s">
        <v>204</v>
      </c>
      <c r="I81" s="1569"/>
      <c r="J81" s="1569" t="s">
        <v>204</v>
      </c>
      <c r="K81" s="1569"/>
      <c r="L81" s="1569">
        <v>20.53</v>
      </c>
      <c r="N81" s="467"/>
      <c r="O81" s="467"/>
      <c r="P81" s="467"/>
      <c r="Q81" s="467"/>
      <c r="R81" s="467"/>
      <c r="S81" s="467"/>
      <c r="T81" s="467"/>
    </row>
    <row r="82" spans="1:20" s="423" customFormat="1" ht="14.25" customHeight="1">
      <c r="B82" s="440" t="s">
        <v>2046</v>
      </c>
      <c r="C82" s="448"/>
      <c r="E82" s="441" t="s">
        <v>1121</v>
      </c>
      <c r="F82" s="441"/>
      <c r="G82" s="442"/>
      <c r="H82" s="1569" t="s">
        <v>204</v>
      </c>
      <c r="I82" s="1569"/>
      <c r="J82" s="1569" t="s">
        <v>204</v>
      </c>
      <c r="K82" s="1569"/>
      <c r="L82" s="1569">
        <v>4.96</v>
      </c>
      <c r="N82" s="467"/>
      <c r="O82" s="467"/>
      <c r="P82" s="467"/>
      <c r="Q82" s="467"/>
      <c r="R82" s="467"/>
      <c r="S82" s="467"/>
      <c r="T82" s="467"/>
    </row>
    <row r="83" spans="1:20" s="423" customFormat="1" ht="14.25" customHeight="1">
      <c r="B83" s="440" t="s">
        <v>1160</v>
      </c>
      <c r="C83" s="448"/>
      <c r="E83" s="441" t="s">
        <v>1122</v>
      </c>
      <c r="F83" s="441"/>
      <c r="G83" s="442"/>
      <c r="H83" s="1569" t="s">
        <v>204</v>
      </c>
      <c r="I83" s="1569"/>
      <c r="J83" s="1569" t="s">
        <v>204</v>
      </c>
      <c r="K83" s="1569"/>
      <c r="L83" s="1569">
        <v>8.58</v>
      </c>
      <c r="N83" s="467"/>
      <c r="O83" s="467"/>
      <c r="P83" s="467"/>
      <c r="Q83" s="467"/>
      <c r="R83" s="467"/>
      <c r="S83" s="467"/>
      <c r="T83" s="467"/>
    </row>
    <row r="84" spans="1:20" s="423" customFormat="1" ht="6.75" customHeight="1">
      <c r="B84" s="440"/>
      <c r="C84" s="448"/>
      <c r="E84" s="441"/>
      <c r="F84" s="441"/>
      <c r="G84" s="455"/>
      <c r="H84" s="1569"/>
      <c r="I84" s="1569"/>
      <c r="J84" s="1569"/>
      <c r="K84" s="1569"/>
      <c r="L84" s="1569"/>
    </row>
    <row r="85" spans="1:20" s="423" customFormat="1" ht="7.5" customHeight="1" thickBot="1">
      <c r="A85" s="472"/>
      <c r="B85" s="473"/>
      <c r="C85" s="474"/>
      <c r="D85" s="472"/>
      <c r="E85" s="1446"/>
      <c r="F85" s="1446"/>
      <c r="G85" s="472"/>
      <c r="H85" s="1703"/>
      <c r="I85" s="1703"/>
      <c r="J85" s="1703"/>
      <c r="K85" s="1703"/>
      <c r="L85" s="1703"/>
      <c r="M85" s="473"/>
    </row>
    <row r="86" spans="1:20" ht="14.1" customHeight="1">
      <c r="G86" s="2750" t="s">
        <v>0</v>
      </c>
      <c r="H86" s="2750"/>
      <c r="I86" s="2750"/>
      <c r="J86" s="2750"/>
      <c r="K86" s="2750"/>
      <c r="L86" s="2750"/>
      <c r="M86" s="2750"/>
    </row>
    <row r="87" spans="1:20" ht="14.1" customHeight="1">
      <c r="G87" s="2751" t="s">
        <v>1</v>
      </c>
      <c r="H87" s="2751"/>
      <c r="I87" s="2751"/>
      <c r="J87" s="2751"/>
      <c r="K87" s="2751"/>
      <c r="L87" s="2751"/>
      <c r="M87" s="2751"/>
    </row>
    <row r="88" spans="1:20" ht="14.1" customHeight="1">
      <c r="H88" s="1704"/>
      <c r="I88" s="1704"/>
      <c r="J88" s="1704"/>
      <c r="K88" s="1704"/>
      <c r="L88" s="1704"/>
      <c r="M88" s="1704"/>
    </row>
    <row r="89" spans="1:20" ht="14.1" customHeight="1">
      <c r="B89" s="384" t="s">
        <v>2</v>
      </c>
      <c r="G89" s="1704"/>
      <c r="H89" s="1704"/>
      <c r="I89" s="1704"/>
      <c r="J89" s="1704"/>
      <c r="K89" s="1704"/>
      <c r="L89" s="1704"/>
      <c r="M89" s="1704"/>
    </row>
    <row r="90" spans="1:20" ht="14.1" customHeight="1">
      <c r="B90" s="25" t="s">
        <v>1149</v>
      </c>
      <c r="G90" s="1704"/>
      <c r="H90" s="1704"/>
      <c r="I90" s="1704"/>
      <c r="J90" s="1704"/>
      <c r="K90" s="1704"/>
      <c r="L90" s="1704"/>
      <c r="M90" s="1704"/>
    </row>
    <row r="91" spans="1:20" ht="14.1" customHeight="1">
      <c r="B91" s="298" t="s">
        <v>1150</v>
      </c>
      <c r="G91" s="1704"/>
      <c r="H91" s="1704"/>
      <c r="I91" s="1704"/>
      <c r="J91" s="1704"/>
      <c r="K91" s="1704"/>
      <c r="L91" s="1704"/>
      <c r="M91" s="1704"/>
    </row>
    <row r="92" spans="1:20" ht="14.1" customHeight="1">
      <c r="B92" s="25" t="s">
        <v>1151</v>
      </c>
      <c r="G92" s="2751"/>
      <c r="H92" s="2751"/>
      <c r="I92" s="2751"/>
      <c r="J92" s="2751"/>
      <c r="K92" s="2751"/>
      <c r="L92" s="2751"/>
      <c r="M92" s="2751"/>
    </row>
    <row r="93" spans="1:20" ht="15.75" customHeight="1">
      <c r="B93" s="298" t="s">
        <v>1152</v>
      </c>
    </row>
    <row r="94" spans="1:20" ht="15.75" customHeight="1"/>
    <row r="95" spans="1:20" ht="15.75" customHeight="1"/>
    <row r="96" spans="1:20"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sheetData>
  <mergeCells count="7">
    <mergeCell ref="G92:M92"/>
    <mergeCell ref="C3:J4"/>
    <mergeCell ref="C5:J6"/>
    <mergeCell ref="B9:C11"/>
    <mergeCell ref="B17:C17"/>
    <mergeCell ref="G86:M86"/>
    <mergeCell ref="G87:M87"/>
  </mergeCells>
  <conditionalFormatting sqref="E16:F16">
    <cfRule type="cellIs" dxfId="59" priority="1" stopIfTrue="1" operator="lessThan">
      <formula>0</formula>
    </cfRule>
  </conditionalFormatting>
  <printOptions horizontalCentered="1"/>
  <pageMargins left="0.55118110236220474" right="0.55118110236220474" top="0.55118110236220474" bottom="0.55118110236220474" header="0.55118110236220474" footer="0.55118110236220474"/>
  <pageSetup paperSize="9" scale="61" fitToWidth="0" fitToHeight="0"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2">
    <tabColor theme="4" tint="0.39997558519241921"/>
    <pageSetUpPr fitToPage="1"/>
  </sheetPr>
  <dimension ref="A1:K54"/>
  <sheetViews>
    <sheetView view="pageBreakPreview" zoomScale="90" zoomScaleNormal="100" zoomScaleSheetLayoutView="90" workbookViewId="0">
      <selection activeCell="L7" sqref="L7"/>
    </sheetView>
  </sheetViews>
  <sheetFormatPr defaultRowHeight="15"/>
  <cols>
    <col min="1" max="1" width="3.85546875" customWidth="1"/>
    <col min="2" max="2" width="12.5703125" customWidth="1"/>
    <col min="3" max="3" width="47.5703125" customWidth="1"/>
    <col min="4" max="4" width="15.28515625" customWidth="1"/>
    <col min="5" max="5" width="11.42578125" customWidth="1"/>
    <col min="6" max="6" width="11.7109375" customWidth="1"/>
    <col min="7" max="7" width="14.42578125" customWidth="1"/>
  </cols>
  <sheetData>
    <row r="1" spans="1:11" s="58" customFormat="1" ht="16.5" customHeight="1">
      <c r="B1" s="57" t="s">
        <v>1039</v>
      </c>
      <c r="C1" s="150" t="s">
        <v>1041</v>
      </c>
      <c r="D1" s="150"/>
      <c r="E1" s="150"/>
      <c r="F1" s="150"/>
      <c r="G1" s="150"/>
      <c r="K1" s="59"/>
    </row>
    <row r="2" spans="1:11" s="58" customFormat="1" ht="16.5" customHeight="1">
      <c r="B2" s="57"/>
      <c r="C2" s="150" t="s">
        <v>1408</v>
      </c>
      <c r="D2" s="150"/>
      <c r="E2" s="150"/>
      <c r="F2" s="150"/>
      <c r="G2" s="150"/>
      <c r="K2" s="59"/>
    </row>
    <row r="3" spans="1:11" s="58" customFormat="1" ht="16.5" customHeight="1">
      <c r="B3" s="60" t="s">
        <v>1040</v>
      </c>
      <c r="C3" s="1639" t="s">
        <v>1042</v>
      </c>
      <c r="D3" s="1639"/>
      <c r="E3" s="1639"/>
      <c r="F3" s="1639"/>
      <c r="G3" s="1639"/>
      <c r="H3" s="63"/>
      <c r="I3" s="63"/>
      <c r="J3" s="63"/>
      <c r="K3" s="59"/>
    </row>
    <row r="4" spans="1:11" s="66" customFormat="1" ht="16.5">
      <c r="B4" s="121"/>
      <c r="C4" s="1640" t="s">
        <v>1409</v>
      </c>
    </row>
    <row r="5" spans="1:11" s="66" customFormat="1" ht="17.25" thickBot="1">
      <c r="A5" s="80"/>
      <c r="B5" s="122"/>
    </row>
    <row r="6" spans="1:11" s="476" customFormat="1" ht="20.100000000000001" customHeight="1">
      <c r="B6" s="2755" t="s">
        <v>1001</v>
      </c>
      <c r="C6" s="2755"/>
      <c r="D6" s="125"/>
      <c r="E6" s="125">
        <v>2023</v>
      </c>
      <c r="F6" s="125">
        <v>2024</v>
      </c>
      <c r="G6" s="125">
        <v>2025</v>
      </c>
    </row>
    <row r="7" spans="1:11" s="476" customFormat="1" ht="17.25" customHeight="1" thickBot="1">
      <c r="A7" s="773"/>
      <c r="B7" s="2756" t="s">
        <v>1002</v>
      </c>
      <c r="C7" s="2756"/>
      <c r="D7" s="773"/>
      <c r="E7" s="88"/>
      <c r="F7" s="1447" t="s">
        <v>42</v>
      </c>
      <c r="G7" s="88"/>
    </row>
    <row r="8" spans="1:11" s="476" customFormat="1" ht="11.25" customHeight="1">
      <c r="B8" s="478"/>
      <c r="C8" s="94"/>
      <c r="E8" s="94"/>
      <c r="F8" s="133"/>
      <c r="G8" s="94"/>
    </row>
    <row r="9" spans="1:11" s="476" customFormat="1" ht="16.5" customHeight="1">
      <c r="B9" s="2752" t="s">
        <v>446</v>
      </c>
      <c r="C9" s="2752"/>
      <c r="D9" s="133"/>
      <c r="E9" s="1561"/>
      <c r="F9" s="1561"/>
      <c r="G9" s="1561"/>
    </row>
    <row r="10" spans="1:11" s="476" customFormat="1" ht="15.2" customHeight="1">
      <c r="B10" s="2753" t="s">
        <v>447</v>
      </c>
      <c r="C10" s="2753"/>
      <c r="D10" s="133"/>
      <c r="E10" s="1561"/>
      <c r="F10" s="1561"/>
      <c r="G10" s="1561"/>
    </row>
    <row r="11" spans="1:11" s="476" customFormat="1" ht="17.25" customHeight="1">
      <c r="B11" s="478"/>
      <c r="C11" s="94"/>
      <c r="D11" s="133"/>
      <c r="E11" s="1561"/>
      <c r="F11" s="1561"/>
      <c r="G11" s="1561"/>
    </row>
    <row r="12" spans="1:11" s="476" customFormat="1" ht="13.5" customHeight="1">
      <c r="B12" s="479" t="s">
        <v>45</v>
      </c>
      <c r="C12" s="480"/>
      <c r="D12" s="146"/>
      <c r="E12" s="1561">
        <v>102.4</v>
      </c>
      <c r="F12" s="1561">
        <v>112.1</v>
      </c>
      <c r="G12" s="1561">
        <v>120.8</v>
      </c>
    </row>
    <row r="13" spans="1:11" s="476" customFormat="1" ht="13.5" customHeight="1">
      <c r="B13" s="326" t="s">
        <v>46</v>
      </c>
      <c r="C13" s="480"/>
      <c r="D13" s="146"/>
      <c r="E13" s="1561"/>
      <c r="F13" s="1561"/>
      <c r="G13" s="1561"/>
    </row>
    <row r="14" spans="1:11" s="476" customFormat="1" ht="13.5">
      <c r="B14" s="94"/>
      <c r="C14" s="480"/>
      <c r="D14" s="146"/>
      <c r="E14" s="1561"/>
      <c r="F14" s="1561"/>
      <c r="G14" s="1561"/>
    </row>
    <row r="15" spans="1:11" s="476" customFormat="1" ht="13.5" customHeight="1">
      <c r="B15" s="481" t="s">
        <v>448</v>
      </c>
      <c r="C15" s="480"/>
      <c r="D15" s="144"/>
      <c r="E15" s="1564">
        <v>109.7</v>
      </c>
      <c r="F15" s="1564">
        <v>142.80000000000001</v>
      </c>
      <c r="G15" s="1564">
        <v>144.69999999999999</v>
      </c>
    </row>
    <row r="16" spans="1:11" s="476" customFormat="1" ht="13.5" customHeight="1">
      <c r="B16" s="482" t="s">
        <v>449</v>
      </c>
      <c r="C16" s="480"/>
      <c r="D16" s="144"/>
      <c r="E16" s="1564"/>
      <c r="F16" s="1564"/>
      <c r="G16" s="1564"/>
    </row>
    <row r="17" spans="2:7" s="476" customFormat="1" ht="6.75" customHeight="1">
      <c r="B17" s="397"/>
      <c r="C17" s="480"/>
      <c r="D17" s="144"/>
      <c r="E17" s="1564"/>
      <c r="F17" s="1564"/>
      <c r="G17" s="1564"/>
    </row>
    <row r="18" spans="2:7" s="476" customFormat="1" ht="13.5" customHeight="1">
      <c r="B18" s="481" t="s">
        <v>450</v>
      </c>
      <c r="C18" s="480"/>
      <c r="D18" s="144"/>
      <c r="E18" s="1564">
        <v>65.5</v>
      </c>
      <c r="F18" s="1564">
        <v>92.5</v>
      </c>
      <c r="G18" s="1564">
        <v>104.2</v>
      </c>
    </row>
    <row r="19" spans="2:7" s="476" customFormat="1" ht="13.5" customHeight="1">
      <c r="B19" s="482" t="s">
        <v>451</v>
      </c>
      <c r="C19" s="480"/>
      <c r="D19" s="144"/>
      <c r="E19" s="1564"/>
      <c r="F19" s="1564"/>
      <c r="G19" s="1564"/>
    </row>
    <row r="20" spans="2:7" s="476" customFormat="1" ht="6.75" customHeight="1">
      <c r="B20" s="397"/>
      <c r="C20" s="480"/>
      <c r="D20" s="144"/>
      <c r="E20" s="1564"/>
      <c r="F20" s="1564"/>
      <c r="G20" s="1564"/>
    </row>
    <row r="21" spans="2:7" s="476" customFormat="1" ht="13.5" customHeight="1">
      <c r="B21" s="481" t="s">
        <v>452</v>
      </c>
      <c r="C21" s="480"/>
      <c r="D21" s="144"/>
      <c r="E21" s="1564">
        <v>105.6</v>
      </c>
      <c r="F21" s="1564">
        <v>111.4</v>
      </c>
      <c r="G21" s="1564">
        <v>120.8</v>
      </c>
    </row>
    <row r="22" spans="2:7" s="476" customFormat="1" ht="13.5" customHeight="1">
      <c r="B22" s="482" t="s">
        <v>453</v>
      </c>
      <c r="C22" s="480"/>
      <c r="D22" s="144"/>
      <c r="E22" s="1564"/>
      <c r="F22" s="1564"/>
      <c r="G22" s="1564"/>
    </row>
    <row r="23" spans="2:7" s="476" customFormat="1" ht="6.75" customHeight="1">
      <c r="B23" s="397"/>
      <c r="C23" s="480"/>
      <c r="D23" s="144"/>
      <c r="E23" s="1564"/>
      <c r="F23" s="1564"/>
      <c r="G23" s="1564"/>
    </row>
    <row r="24" spans="2:7" s="476" customFormat="1" ht="13.5" customHeight="1">
      <c r="B24" s="2754" t="s">
        <v>454</v>
      </c>
      <c r="C24" s="2754"/>
      <c r="D24" s="144"/>
      <c r="E24" s="1564">
        <v>117.1</v>
      </c>
      <c r="F24" s="1564">
        <v>116.6</v>
      </c>
      <c r="G24" s="1564">
        <v>117.4</v>
      </c>
    </row>
    <row r="25" spans="2:7" s="476" customFormat="1" ht="13.5" customHeight="1">
      <c r="B25" s="482" t="s">
        <v>455</v>
      </c>
      <c r="C25" s="480"/>
      <c r="D25" s="144"/>
      <c r="E25" s="1564"/>
      <c r="F25" s="1564"/>
      <c r="G25" s="1564"/>
    </row>
    <row r="26" spans="2:7" s="476" customFormat="1" ht="6.75" customHeight="1">
      <c r="B26" s="397"/>
      <c r="C26" s="480"/>
      <c r="D26" s="144"/>
      <c r="E26" s="1564"/>
      <c r="F26" s="1564"/>
      <c r="G26" s="1564"/>
    </row>
    <row r="27" spans="2:7" s="476" customFormat="1" ht="13.5" customHeight="1">
      <c r="B27" s="481" t="s">
        <v>456</v>
      </c>
      <c r="C27" s="480"/>
      <c r="D27" s="144"/>
      <c r="E27" s="1564">
        <v>111.7</v>
      </c>
      <c r="F27" s="1564">
        <v>112.3</v>
      </c>
      <c r="G27" s="1564">
        <v>115.2</v>
      </c>
    </row>
    <row r="28" spans="2:7" s="476" customFormat="1" ht="15.75" customHeight="1">
      <c r="B28" s="482" t="s">
        <v>457</v>
      </c>
      <c r="C28" s="480"/>
      <c r="D28" s="483"/>
      <c r="E28" s="1571"/>
      <c r="F28" s="1571"/>
      <c r="G28" s="1571"/>
    </row>
    <row r="29" spans="2:7" s="476" customFormat="1" ht="6.75" customHeight="1">
      <c r="B29" s="397"/>
      <c r="C29" s="480"/>
      <c r="D29" s="483"/>
      <c r="E29" s="1571"/>
      <c r="F29" s="1571"/>
      <c r="G29" s="1571"/>
    </row>
    <row r="30" spans="2:7" s="68" customFormat="1" ht="16.5">
      <c r="E30" s="1509"/>
      <c r="F30" s="1509"/>
      <c r="G30" s="1509"/>
    </row>
    <row r="31" spans="2:7" s="68" customFormat="1" ht="16.5">
      <c r="B31" s="485" t="s">
        <v>458</v>
      </c>
      <c r="E31" s="1509"/>
      <c r="F31" s="1509"/>
      <c r="G31" s="1509"/>
    </row>
    <row r="32" spans="2:7" s="68" customFormat="1" ht="15.2" customHeight="1">
      <c r="B32" s="486" t="s">
        <v>459</v>
      </c>
      <c r="E32" s="1509"/>
      <c r="F32" s="1509"/>
      <c r="G32" s="1509"/>
    </row>
    <row r="33" spans="2:7" s="68" customFormat="1" ht="16.5">
      <c r="B33" s="487"/>
      <c r="E33" s="1509"/>
      <c r="F33" s="1509"/>
      <c r="G33" s="1509"/>
    </row>
    <row r="34" spans="2:7" s="476" customFormat="1" ht="13.5" customHeight="1">
      <c r="B34" s="479" t="s">
        <v>45</v>
      </c>
      <c r="C34" s="480"/>
      <c r="D34" s="146"/>
      <c r="E34" s="1469">
        <v>-2.7</v>
      </c>
      <c r="F34" s="1469">
        <v>9.5</v>
      </c>
      <c r="G34" s="1561">
        <v>7.8</v>
      </c>
    </row>
    <row r="35" spans="2:7" s="476" customFormat="1" ht="13.5" customHeight="1">
      <c r="B35" s="326" t="s">
        <v>46</v>
      </c>
      <c r="C35" s="480"/>
      <c r="D35" s="146"/>
      <c r="E35" s="1469"/>
      <c r="F35" s="1469"/>
      <c r="G35" s="1561"/>
    </row>
    <row r="36" spans="2:7" s="476" customFormat="1" ht="13.5">
      <c r="B36" s="94"/>
      <c r="C36" s="480"/>
      <c r="D36" s="146"/>
      <c r="E36" s="1469"/>
      <c r="F36" s="1469"/>
      <c r="G36" s="1561"/>
    </row>
    <row r="37" spans="2:7" s="476" customFormat="1" ht="13.5" customHeight="1">
      <c r="B37" s="481" t="s">
        <v>448</v>
      </c>
      <c r="C37" s="480"/>
      <c r="D37" s="144"/>
      <c r="E37" s="761">
        <v>15.7</v>
      </c>
      <c r="F37" s="761">
        <v>30.2</v>
      </c>
      <c r="G37" s="1564">
        <v>1.3</v>
      </c>
    </row>
    <row r="38" spans="2:7" s="476" customFormat="1" ht="13.5" customHeight="1">
      <c r="B38" s="482" t="s">
        <v>449</v>
      </c>
      <c r="C38" s="480"/>
      <c r="D38" s="144"/>
      <c r="E38" s="761"/>
      <c r="F38" s="761"/>
      <c r="G38" s="1564"/>
    </row>
    <row r="39" spans="2:7" s="476" customFormat="1" ht="6.75" customHeight="1">
      <c r="B39" s="397"/>
      <c r="C39" s="480"/>
      <c r="D39" s="144"/>
      <c r="E39" s="761"/>
      <c r="F39" s="761"/>
      <c r="G39" s="1564"/>
    </row>
    <row r="40" spans="2:7" s="476" customFormat="1" ht="13.5" customHeight="1">
      <c r="B40" s="481" t="s">
        <v>450</v>
      </c>
      <c r="C40" s="480"/>
      <c r="D40" s="144"/>
      <c r="E40" s="761">
        <v>-36.299999999999997</v>
      </c>
      <c r="F40" s="761">
        <v>41.2</v>
      </c>
      <c r="G40" s="1564">
        <v>12.6</v>
      </c>
    </row>
    <row r="41" spans="2:7" s="476" customFormat="1" ht="13.5" customHeight="1">
      <c r="B41" s="482" t="s">
        <v>451</v>
      </c>
      <c r="C41" s="480"/>
      <c r="D41" s="144"/>
      <c r="E41" s="761"/>
      <c r="F41" s="761"/>
      <c r="G41" s="1564"/>
    </row>
    <row r="42" spans="2:7" s="476" customFormat="1" ht="6.75" customHeight="1">
      <c r="B42" s="397"/>
      <c r="C42" s="480"/>
      <c r="D42" s="144"/>
      <c r="E42" s="761"/>
      <c r="F42" s="761"/>
      <c r="G42" s="1564"/>
    </row>
    <row r="43" spans="2:7" s="476" customFormat="1" ht="13.5" customHeight="1">
      <c r="B43" s="481" t="s">
        <v>452</v>
      </c>
      <c r="C43" s="480"/>
      <c r="D43" s="144"/>
      <c r="E43" s="761">
        <v>-0.4</v>
      </c>
      <c r="F43" s="761">
        <v>5.5</v>
      </c>
      <c r="G43" s="1564">
        <v>8.4</v>
      </c>
    </row>
    <row r="44" spans="2:7" s="476" customFormat="1" ht="13.5" customHeight="1">
      <c r="B44" s="482" t="s">
        <v>453</v>
      </c>
      <c r="C44" s="480"/>
      <c r="D44" s="144"/>
      <c r="E44" s="761"/>
      <c r="F44" s="761"/>
      <c r="G44" s="1564"/>
    </row>
    <row r="45" spans="2:7" s="476" customFormat="1" ht="6.75" customHeight="1">
      <c r="B45" s="397"/>
      <c r="C45" s="480"/>
      <c r="D45" s="144"/>
      <c r="E45" s="761"/>
      <c r="F45" s="761"/>
      <c r="G45" s="1564"/>
    </row>
    <row r="46" spans="2:7" s="476" customFormat="1" ht="13.5" customHeight="1">
      <c r="B46" s="2754" t="s">
        <v>454</v>
      </c>
      <c r="C46" s="2754"/>
      <c r="D46" s="144"/>
      <c r="E46" s="761">
        <v>-0.4</v>
      </c>
      <c r="F46" s="761">
        <v>-0.4</v>
      </c>
      <c r="G46" s="1564">
        <v>0.7</v>
      </c>
    </row>
    <row r="47" spans="2:7" s="476" customFormat="1" ht="13.5" customHeight="1">
      <c r="B47" s="482" t="s">
        <v>455</v>
      </c>
      <c r="C47" s="480"/>
      <c r="D47" s="144"/>
      <c r="E47" s="761"/>
      <c r="F47" s="761"/>
      <c r="G47" s="1564"/>
    </row>
    <row r="48" spans="2:7" s="476" customFormat="1" ht="6.75" customHeight="1">
      <c r="B48" s="397"/>
      <c r="C48" s="480"/>
      <c r="D48" s="144"/>
      <c r="E48" s="761"/>
      <c r="F48" s="761"/>
      <c r="G48" s="1564"/>
    </row>
    <row r="49" spans="1:10" s="476" customFormat="1" ht="13.5" customHeight="1">
      <c r="B49" s="481" t="s">
        <v>456</v>
      </c>
      <c r="C49" s="480"/>
      <c r="D49" s="144"/>
      <c r="E49" s="761">
        <v>-0.2</v>
      </c>
      <c r="F49" s="761">
        <v>0.5</v>
      </c>
      <c r="G49" s="1564">
        <v>2.6</v>
      </c>
      <c r="H49" s="488"/>
      <c r="I49" s="488"/>
      <c r="J49" s="488"/>
    </row>
    <row r="50" spans="1:10" s="476" customFormat="1" ht="15.75" customHeight="1">
      <c r="B50" s="482" t="s">
        <v>457</v>
      </c>
      <c r="C50" s="480"/>
      <c r="D50" s="141"/>
      <c r="E50" s="1564"/>
      <c r="F50" s="761"/>
      <c r="G50" s="761"/>
    </row>
    <row r="51" spans="1:10" s="476" customFormat="1" ht="6.75" customHeight="1">
      <c r="B51" s="397"/>
      <c r="C51" s="480"/>
      <c r="D51" s="484"/>
      <c r="E51" s="483"/>
      <c r="F51" s="483"/>
      <c r="G51" s="483"/>
    </row>
    <row r="52" spans="1:10" s="66" customFormat="1" ht="8.25" customHeight="1" thickBot="1">
      <c r="A52" s="80"/>
      <c r="B52" s="147"/>
      <c r="C52" s="80"/>
      <c r="D52" s="80"/>
      <c r="E52" s="80"/>
      <c r="F52" s="80"/>
      <c r="G52" s="80"/>
    </row>
    <row r="53" spans="1:10" s="66" customFormat="1" ht="16.5">
      <c r="G53" s="51" t="s">
        <v>0</v>
      </c>
    </row>
    <row r="54" spans="1:10" s="66" customFormat="1" ht="16.5">
      <c r="G54" s="53" t="s">
        <v>1</v>
      </c>
    </row>
  </sheetData>
  <mergeCells count="6">
    <mergeCell ref="B9:C9"/>
    <mergeCell ref="B10:C10"/>
    <mergeCell ref="B46:C46"/>
    <mergeCell ref="B24:C24"/>
    <mergeCell ref="B6:C6"/>
    <mergeCell ref="B7:C7"/>
  </mergeCells>
  <printOptions horizontalCentered="1"/>
  <pageMargins left="0.55118110236220474" right="0.55118110236220474" top="0.55118110236220474" bottom="0.55118110236220474" header="0.31496062992125984" footer="0.31496062992125984"/>
  <pageSetup paperSize="9" scale="78"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3">
    <tabColor theme="4" tint="0.39997558519241921"/>
    <pageSetUpPr fitToPage="1"/>
  </sheetPr>
  <dimension ref="A1:J71"/>
  <sheetViews>
    <sheetView view="pageBreakPreview" zoomScaleNormal="100" zoomScaleSheetLayoutView="100" workbookViewId="0">
      <selection activeCell="C40" sqref="C40"/>
    </sheetView>
  </sheetViews>
  <sheetFormatPr defaultRowHeight="15"/>
  <cols>
    <col min="1" max="1" width="2.85546875" customWidth="1"/>
    <col min="2" max="2" width="12.5703125" customWidth="1"/>
    <col min="3" max="3" width="59.7109375" customWidth="1"/>
    <col min="4" max="4" width="4.140625" customWidth="1"/>
    <col min="5" max="5" width="14.140625" customWidth="1"/>
    <col min="6" max="6" width="15.42578125" customWidth="1"/>
    <col min="7" max="7" width="16" style="84" customWidth="1"/>
  </cols>
  <sheetData>
    <row r="1" spans="1:10" s="149" customFormat="1" ht="8.25" customHeight="1"/>
    <row r="2" spans="1:10" s="149" customFormat="1" ht="8.25" customHeight="1"/>
    <row r="3" spans="1:10" s="149" customFormat="1" ht="16.5" customHeight="1">
      <c r="A3"/>
      <c r="B3" s="489" t="s">
        <v>460</v>
      </c>
      <c r="C3" s="150" t="s">
        <v>1410</v>
      </c>
      <c r="D3"/>
      <c r="E3" s="272"/>
      <c r="F3"/>
      <c r="G3" s="84"/>
      <c r="H3"/>
      <c r="I3"/>
      <c r="J3"/>
    </row>
    <row r="4" spans="1:10" s="149" customFormat="1" ht="16.5" customHeight="1">
      <c r="A4"/>
      <c r="B4" s="490" t="s">
        <v>461</v>
      </c>
      <c r="C4" s="151" t="s">
        <v>1411</v>
      </c>
      <c r="D4" s="152"/>
      <c r="E4" s="272"/>
      <c r="F4"/>
      <c r="G4" s="84"/>
      <c r="H4"/>
      <c r="I4"/>
      <c r="J4"/>
    </row>
    <row r="5" spans="1:10" s="149" customFormat="1" ht="13.15" customHeight="1" thickBot="1">
      <c r="A5" s="153"/>
      <c r="B5" s="153"/>
      <c r="C5" s="153"/>
      <c r="D5" s="152"/>
      <c r="E5" s="152"/>
      <c r="F5"/>
      <c r="G5" s="84"/>
      <c r="H5"/>
      <c r="I5"/>
      <c r="J5"/>
    </row>
    <row r="6" spans="1:10" s="154" customFormat="1" ht="43.15" customHeight="1" thickBot="1">
      <c r="A6" s="7"/>
      <c r="B6" s="2651" t="s">
        <v>1126</v>
      </c>
      <c r="C6" s="2660"/>
      <c r="D6" s="274"/>
      <c r="E6" s="274">
        <v>2022</v>
      </c>
      <c r="F6" s="274">
        <v>2023</v>
      </c>
      <c r="G6" s="274">
        <v>2024</v>
      </c>
    </row>
    <row r="7" spans="1:10" s="154" customFormat="1" ht="16.5" customHeight="1">
      <c r="B7" s="155"/>
      <c r="C7" s="156"/>
      <c r="D7" s="157"/>
      <c r="E7" s="157"/>
    </row>
    <row r="8" spans="1:10" s="158" customFormat="1" ht="15.2" customHeight="1">
      <c r="B8" s="76" t="s">
        <v>1123</v>
      </c>
      <c r="D8" s="159"/>
      <c r="E8" s="387"/>
      <c r="F8" s="168"/>
      <c r="G8" s="168"/>
    </row>
    <row r="9" spans="1:10" s="161" customFormat="1" ht="15.2" customHeight="1">
      <c r="B9" s="74" t="s">
        <v>1127</v>
      </c>
      <c r="D9" s="162"/>
      <c r="E9" s="491"/>
      <c r="F9" s="179"/>
      <c r="G9" s="179"/>
      <c r="J9" s="163"/>
    </row>
    <row r="10" spans="1:10" s="158" customFormat="1" ht="8.25" customHeight="1">
      <c r="B10" s="164"/>
      <c r="D10" s="165"/>
      <c r="E10" s="165"/>
      <c r="F10" s="168"/>
      <c r="G10" s="168"/>
      <c r="H10" s="165"/>
      <c r="I10" s="278"/>
    </row>
    <row r="11" spans="1:10" s="158" customFormat="1" ht="15.2" customHeight="1">
      <c r="B11" s="166" t="s">
        <v>184</v>
      </c>
      <c r="C11" s="167"/>
      <c r="D11" s="492"/>
      <c r="E11" s="1572">
        <v>32674</v>
      </c>
      <c r="F11" s="1572">
        <v>32674</v>
      </c>
      <c r="G11" s="1573">
        <v>21534</v>
      </c>
      <c r="H11" s="165"/>
      <c r="I11" s="278"/>
    </row>
    <row r="12" spans="1:10" s="158" customFormat="1" ht="8.25" customHeight="1">
      <c r="B12" s="164"/>
      <c r="D12" s="168"/>
      <c r="E12" s="1522"/>
      <c r="F12" s="1522"/>
      <c r="G12" s="13"/>
    </row>
    <row r="13" spans="1:10" s="158" customFormat="1" ht="15.2" customHeight="1">
      <c r="B13" s="169" t="s">
        <v>185</v>
      </c>
      <c r="C13" s="167"/>
      <c r="D13" s="168"/>
      <c r="E13" s="1522"/>
      <c r="F13" s="1522"/>
      <c r="G13" s="13"/>
    </row>
    <row r="14" spans="1:10" s="158" customFormat="1" ht="15.2" customHeight="1">
      <c r="B14" s="170" t="s">
        <v>186</v>
      </c>
      <c r="C14" s="167"/>
      <c r="D14" s="492"/>
      <c r="E14" s="1574">
        <v>27754</v>
      </c>
      <c r="F14" s="1574">
        <v>27754</v>
      </c>
      <c r="G14" s="1575">
        <v>17302</v>
      </c>
      <c r="I14" s="278"/>
    </row>
    <row r="15" spans="1:10" s="158" customFormat="1" ht="15.2" customHeight="1">
      <c r="B15" s="170" t="s">
        <v>187</v>
      </c>
      <c r="C15" s="167"/>
      <c r="D15" s="492"/>
      <c r="E15" s="1574">
        <v>4920</v>
      </c>
      <c r="F15" s="1574">
        <v>4920</v>
      </c>
      <c r="G15" s="1575">
        <v>4232</v>
      </c>
      <c r="H15" s="493"/>
      <c r="I15" s="278"/>
    </row>
    <row r="16" spans="1:10" s="158" customFormat="1" ht="7.5" customHeight="1">
      <c r="B16" s="171"/>
      <c r="C16" s="172"/>
      <c r="D16" s="168"/>
      <c r="E16" s="1574"/>
      <c r="F16" s="1574"/>
      <c r="G16" s="1575"/>
    </row>
    <row r="17" spans="2:9" s="158" customFormat="1" ht="15.2" customHeight="1">
      <c r="B17" s="169" t="s">
        <v>1191</v>
      </c>
      <c r="C17" s="167"/>
      <c r="D17" s="492"/>
      <c r="E17" s="1574"/>
      <c r="F17" s="1574"/>
      <c r="G17" s="1575"/>
    </row>
    <row r="18" spans="2:9" s="158" customFormat="1" ht="15.2" customHeight="1">
      <c r="B18" s="170" t="s">
        <v>188</v>
      </c>
      <c r="C18" s="167"/>
      <c r="D18" s="492"/>
      <c r="E18" s="1574">
        <v>27545</v>
      </c>
      <c r="F18" s="1574">
        <v>27545</v>
      </c>
      <c r="G18" s="1575">
        <v>18362</v>
      </c>
      <c r="I18" s="278"/>
    </row>
    <row r="19" spans="2:9" s="158" customFormat="1" ht="15.2" customHeight="1">
      <c r="B19" s="170" t="s">
        <v>189</v>
      </c>
      <c r="C19" s="167"/>
      <c r="D19" s="492"/>
      <c r="E19" s="1574">
        <v>5129</v>
      </c>
      <c r="F19" s="1574">
        <v>5129</v>
      </c>
      <c r="G19" s="1575">
        <v>3172</v>
      </c>
      <c r="H19" s="493"/>
      <c r="I19" s="278"/>
    </row>
    <row r="20" spans="2:9" s="158" customFormat="1" ht="7.5" customHeight="1">
      <c r="B20" s="171"/>
      <c r="C20" s="172"/>
      <c r="D20" s="168"/>
      <c r="E20" s="1574"/>
      <c r="F20" s="1574"/>
      <c r="G20" s="1575"/>
    </row>
    <row r="21" spans="2:9" s="158" customFormat="1" ht="15.2" customHeight="1">
      <c r="B21" s="169" t="s">
        <v>190</v>
      </c>
      <c r="C21" s="172"/>
      <c r="D21" s="168"/>
      <c r="E21" s="1574"/>
      <c r="F21" s="1574"/>
      <c r="G21" s="1575"/>
    </row>
    <row r="22" spans="2:9" s="158" customFormat="1" ht="15.2" customHeight="1">
      <c r="B22" s="173" t="s">
        <v>1319</v>
      </c>
      <c r="C22" s="172"/>
      <c r="D22" s="168"/>
      <c r="E22" s="1574"/>
      <c r="F22" s="1574"/>
      <c r="G22" s="1575"/>
    </row>
    <row r="23" spans="2:9" s="158" customFormat="1" ht="15.2" customHeight="1">
      <c r="B23" s="494" t="s">
        <v>191</v>
      </c>
      <c r="C23" s="167"/>
      <c r="D23" s="492"/>
      <c r="E23" s="1574">
        <v>2106</v>
      </c>
      <c r="F23" s="1574">
        <v>2106</v>
      </c>
      <c r="G23" s="1575">
        <v>1638</v>
      </c>
      <c r="H23" s="493"/>
      <c r="I23" s="278"/>
    </row>
    <row r="24" spans="2:9" s="158" customFormat="1" ht="15.2" customHeight="1">
      <c r="B24" s="495" t="s">
        <v>192</v>
      </c>
      <c r="C24" s="167"/>
      <c r="D24" s="492"/>
      <c r="E24" s="1574">
        <v>122</v>
      </c>
      <c r="F24" s="1574">
        <v>122</v>
      </c>
      <c r="G24" s="1575">
        <v>156</v>
      </c>
      <c r="I24" s="278"/>
    </row>
    <row r="25" spans="2:9" s="158" customFormat="1" ht="15.2" customHeight="1">
      <c r="B25" s="494" t="s">
        <v>193</v>
      </c>
      <c r="C25" s="167"/>
      <c r="D25" s="492"/>
      <c r="E25" s="1574">
        <v>10303</v>
      </c>
      <c r="F25" s="1574">
        <v>10303</v>
      </c>
      <c r="G25" s="1575">
        <v>7994</v>
      </c>
      <c r="I25" s="278"/>
    </row>
    <row r="26" spans="2:9" s="158" customFormat="1" ht="15.2" customHeight="1">
      <c r="B26" s="494" t="s">
        <v>194</v>
      </c>
      <c r="C26" s="167"/>
      <c r="D26" s="492"/>
      <c r="E26" s="1574">
        <v>3958</v>
      </c>
      <c r="F26" s="1574">
        <v>3958</v>
      </c>
      <c r="G26" s="1575">
        <v>2297</v>
      </c>
      <c r="I26" s="278"/>
    </row>
    <row r="27" spans="2:9" s="158" customFormat="1" ht="15.2" customHeight="1">
      <c r="B27" s="494" t="s">
        <v>195</v>
      </c>
      <c r="C27" s="167"/>
      <c r="D27" s="492"/>
      <c r="E27" s="1574">
        <v>505</v>
      </c>
      <c r="F27" s="1574">
        <v>505</v>
      </c>
      <c r="G27" s="1575">
        <v>318</v>
      </c>
      <c r="I27" s="278"/>
    </row>
    <row r="28" spans="2:9" s="158" customFormat="1" ht="15.2" customHeight="1">
      <c r="B28" s="494" t="s">
        <v>196</v>
      </c>
      <c r="C28" s="172"/>
      <c r="D28" s="492"/>
      <c r="E28" s="1574">
        <v>3429</v>
      </c>
      <c r="F28" s="1574">
        <v>3429</v>
      </c>
      <c r="G28" s="1575">
        <v>1979</v>
      </c>
      <c r="I28" s="278"/>
    </row>
    <row r="29" spans="2:9" s="158" customFormat="1" ht="15.2" customHeight="1">
      <c r="B29" s="494" t="s">
        <v>197</v>
      </c>
      <c r="C29" s="172"/>
      <c r="D29" s="492"/>
      <c r="E29" s="1574">
        <v>1440</v>
      </c>
      <c r="F29" s="1574">
        <v>1440</v>
      </c>
      <c r="G29" s="1575">
        <v>1354</v>
      </c>
      <c r="I29" s="278"/>
    </row>
    <row r="30" spans="2:9" s="158" customFormat="1" ht="15.2" customHeight="1">
      <c r="B30" s="496" t="s">
        <v>198</v>
      </c>
      <c r="C30" s="172"/>
      <c r="D30" s="168"/>
      <c r="E30" s="1574"/>
      <c r="F30" s="1574"/>
      <c r="G30" s="1575"/>
    </row>
    <row r="31" spans="2:9" s="158" customFormat="1" ht="15.2" customHeight="1">
      <c r="B31" s="494" t="s">
        <v>199</v>
      </c>
      <c r="C31" s="172"/>
      <c r="D31" s="492"/>
      <c r="E31" s="1574">
        <v>585</v>
      </c>
      <c r="F31" s="1574">
        <v>585</v>
      </c>
      <c r="G31" s="1575">
        <v>283</v>
      </c>
      <c r="I31" s="278"/>
    </row>
    <row r="32" spans="2:9" s="158" customFormat="1" ht="15.2" customHeight="1">
      <c r="B32" s="494" t="s">
        <v>200</v>
      </c>
      <c r="C32" s="172"/>
      <c r="D32" s="492"/>
      <c r="E32" s="1574">
        <v>2218</v>
      </c>
      <c r="F32" s="1574">
        <v>2218</v>
      </c>
      <c r="G32" s="1575">
        <v>1216</v>
      </c>
      <c r="I32" s="278"/>
    </row>
    <row r="33" spans="1:10" s="158" customFormat="1" ht="15.2" customHeight="1">
      <c r="B33" s="496" t="s">
        <v>201</v>
      </c>
      <c r="C33" s="172"/>
      <c r="D33" s="168"/>
      <c r="E33" s="1574"/>
      <c r="F33" s="1574"/>
      <c r="G33" s="1575"/>
    </row>
    <row r="34" spans="1:10" s="158" customFormat="1" ht="15.2" customHeight="1">
      <c r="B34" s="494" t="s">
        <v>202</v>
      </c>
      <c r="C34" s="172"/>
      <c r="D34" s="492"/>
      <c r="E34" s="1574">
        <v>8008</v>
      </c>
      <c r="F34" s="1574">
        <v>8008</v>
      </c>
      <c r="G34" s="1575">
        <v>4299</v>
      </c>
      <c r="I34" s="278"/>
    </row>
    <row r="35" spans="1:10" s="158" customFormat="1" ht="15.2" customHeight="1">
      <c r="B35" s="497"/>
      <c r="C35" s="172"/>
      <c r="D35" s="168"/>
      <c r="E35" s="168"/>
      <c r="F35" s="168"/>
      <c r="G35" s="168"/>
    </row>
    <row r="36" spans="1:10" s="176" customFormat="1" ht="8.25" customHeight="1" thickBot="1">
      <c r="A36" s="7"/>
      <c r="D36" s="498"/>
      <c r="E36" s="498"/>
      <c r="F36" s="1576"/>
      <c r="G36" s="1576"/>
      <c r="H36" s="158"/>
    </row>
    <row r="37" spans="1:10" s="176" customFormat="1" ht="8.25" customHeight="1">
      <c r="A37" s="158"/>
      <c r="B37" s="499"/>
      <c r="C37" s="500"/>
      <c r="D37" s="501"/>
      <c r="E37" s="501"/>
      <c r="F37" s="1577"/>
      <c r="G37" s="1578"/>
      <c r="H37" s="158"/>
    </row>
    <row r="38" spans="1:10" s="158" customFormat="1" ht="15.2" customHeight="1">
      <c r="B38" s="76" t="s">
        <v>2027</v>
      </c>
      <c r="D38" s="159"/>
      <c r="E38" s="387"/>
      <c r="F38" s="1546"/>
      <c r="G38" s="168"/>
    </row>
    <row r="39" spans="1:10" s="161" customFormat="1" ht="15.2" customHeight="1">
      <c r="B39" s="74" t="s">
        <v>203</v>
      </c>
      <c r="D39" s="179"/>
      <c r="E39" s="502"/>
      <c r="F39" s="1579"/>
      <c r="G39" s="179"/>
      <c r="J39" s="163"/>
    </row>
    <row r="40" spans="1:10" s="158" customFormat="1" ht="8.25" customHeight="1">
      <c r="B40" s="164"/>
      <c r="D40" s="168"/>
      <c r="E40" s="168"/>
      <c r="F40" s="168"/>
      <c r="G40" s="168"/>
      <c r="H40" s="165"/>
      <c r="I40" s="278"/>
    </row>
    <row r="41" spans="1:10" s="158" customFormat="1" ht="15.2" customHeight="1">
      <c r="B41" s="166" t="s">
        <v>184</v>
      </c>
      <c r="C41" s="167"/>
      <c r="D41" s="492"/>
      <c r="E41" s="1572">
        <v>312</v>
      </c>
      <c r="F41" s="1572">
        <v>312</v>
      </c>
      <c r="G41" s="1573">
        <v>301</v>
      </c>
      <c r="H41" s="165"/>
      <c r="I41" s="278"/>
    </row>
    <row r="42" spans="1:10" s="158" customFormat="1" ht="8.25" customHeight="1">
      <c r="B42" s="164"/>
      <c r="D42" s="157"/>
      <c r="E42" s="1546"/>
      <c r="F42" s="1546"/>
      <c r="G42" s="15"/>
    </row>
    <row r="43" spans="1:10" s="158" customFormat="1" ht="15.2" customHeight="1">
      <c r="B43" s="169" t="s">
        <v>185</v>
      </c>
      <c r="C43" s="167"/>
      <c r="D43" s="165"/>
      <c r="E43" s="1522"/>
      <c r="F43" s="1522"/>
      <c r="G43" s="13"/>
    </row>
    <row r="44" spans="1:10" s="158" customFormat="1" ht="15.2" customHeight="1">
      <c r="B44" s="170" t="s">
        <v>186</v>
      </c>
      <c r="C44" s="167"/>
      <c r="D44" s="492"/>
      <c r="E44" s="1574">
        <v>184</v>
      </c>
      <c r="F44" s="1574">
        <v>184</v>
      </c>
      <c r="G44" s="1575">
        <v>204</v>
      </c>
      <c r="I44" s="278"/>
    </row>
    <row r="45" spans="1:10" s="158" customFormat="1" ht="15.2" customHeight="1">
      <c r="B45" s="170" t="s">
        <v>187</v>
      </c>
      <c r="C45" s="167"/>
      <c r="D45" s="492"/>
      <c r="E45" s="1574">
        <v>128</v>
      </c>
      <c r="F45" s="1574">
        <v>128</v>
      </c>
      <c r="G45" s="1575">
        <v>97</v>
      </c>
      <c r="H45" s="493"/>
      <c r="I45" s="278"/>
    </row>
    <row r="46" spans="1:10" s="158" customFormat="1" ht="7.5" customHeight="1">
      <c r="B46" s="171"/>
      <c r="C46" s="172"/>
      <c r="D46" s="385"/>
      <c r="E46" s="1574"/>
      <c r="F46" s="1574"/>
      <c r="G46" s="1575"/>
    </row>
    <row r="47" spans="1:10" s="158" customFormat="1" ht="15.2" customHeight="1">
      <c r="B47" s="169" t="s">
        <v>1191</v>
      </c>
      <c r="C47" s="167"/>
      <c r="D47" s="278"/>
      <c r="E47" s="1574"/>
      <c r="F47" s="1574"/>
      <c r="G47" s="1575"/>
    </row>
    <row r="48" spans="1:10" s="158" customFormat="1" ht="15.2" customHeight="1">
      <c r="B48" s="170" t="s">
        <v>188</v>
      </c>
      <c r="C48" s="167"/>
      <c r="D48" s="492"/>
      <c r="E48" s="1574">
        <v>307</v>
      </c>
      <c r="F48" s="1574">
        <v>307</v>
      </c>
      <c r="G48" s="1575">
        <v>292</v>
      </c>
      <c r="I48" s="278"/>
    </row>
    <row r="49" spans="2:9" s="158" customFormat="1" ht="15.2" customHeight="1">
      <c r="B49" s="170" t="s">
        <v>189</v>
      </c>
      <c r="C49" s="167"/>
      <c r="D49" s="492"/>
      <c r="E49" s="1574">
        <v>5</v>
      </c>
      <c r="F49" s="1574">
        <v>5</v>
      </c>
      <c r="G49" s="1575">
        <v>9</v>
      </c>
      <c r="H49" s="493"/>
      <c r="I49" s="278"/>
    </row>
    <row r="50" spans="2:9" s="158" customFormat="1" ht="7.5" customHeight="1">
      <c r="B50" s="171"/>
      <c r="C50" s="172"/>
      <c r="D50" s="278"/>
      <c r="E50" s="1522"/>
      <c r="F50" s="1522"/>
      <c r="G50" s="13"/>
    </row>
    <row r="51" spans="2:9" s="158" customFormat="1" ht="15.2" customHeight="1">
      <c r="B51" s="169" t="s">
        <v>190</v>
      </c>
      <c r="C51" s="172"/>
      <c r="D51" s="165"/>
      <c r="E51" s="168"/>
      <c r="F51" s="168"/>
      <c r="G51" s="168"/>
    </row>
    <row r="52" spans="2:9" s="158" customFormat="1" ht="15.2" customHeight="1">
      <c r="B52" s="173" t="s">
        <v>1319</v>
      </c>
      <c r="C52" s="172"/>
      <c r="D52" s="165"/>
      <c r="E52" s="168"/>
      <c r="F52" s="168"/>
      <c r="G52" s="168"/>
    </row>
    <row r="53" spans="2:9" s="158" customFormat="1" ht="15.2" customHeight="1">
      <c r="B53" s="494" t="s">
        <v>191</v>
      </c>
      <c r="C53" s="167"/>
      <c r="D53" s="492"/>
      <c r="E53" s="1574">
        <v>50</v>
      </c>
      <c r="F53" s="1574">
        <v>50</v>
      </c>
      <c r="G53" s="1575">
        <v>26</v>
      </c>
      <c r="H53" s="493"/>
      <c r="I53" s="278"/>
    </row>
    <row r="54" spans="2:9" s="158" customFormat="1" ht="15.2" customHeight="1">
      <c r="B54" s="495" t="s">
        <v>192</v>
      </c>
      <c r="C54" s="167"/>
      <c r="D54" s="492"/>
      <c r="E54" s="1574">
        <v>3</v>
      </c>
      <c r="F54" s="1574">
        <v>3</v>
      </c>
      <c r="G54" s="1575">
        <v>9</v>
      </c>
      <c r="I54" s="278"/>
    </row>
    <row r="55" spans="2:9" s="158" customFormat="1" ht="15.2" customHeight="1">
      <c r="B55" s="494" t="s">
        <v>193</v>
      </c>
      <c r="C55" s="167"/>
      <c r="D55" s="492"/>
      <c r="E55" s="1574">
        <v>83</v>
      </c>
      <c r="F55" s="1574">
        <v>83</v>
      </c>
      <c r="G55" s="1575">
        <v>65</v>
      </c>
      <c r="I55" s="278"/>
    </row>
    <row r="56" spans="2:9" s="158" customFormat="1" ht="15.2" customHeight="1">
      <c r="B56" s="494" t="s">
        <v>194</v>
      </c>
      <c r="C56" s="167"/>
      <c r="D56" s="492"/>
      <c r="E56" s="1574">
        <v>81</v>
      </c>
      <c r="F56" s="1574">
        <v>81</v>
      </c>
      <c r="G56" s="1575">
        <v>73</v>
      </c>
      <c r="I56" s="278"/>
    </row>
    <row r="57" spans="2:9" s="158" customFormat="1" ht="15.2" customHeight="1">
      <c r="B57" s="494" t="s">
        <v>195</v>
      </c>
      <c r="C57" s="167"/>
      <c r="D57" s="492"/>
      <c r="E57" s="1574">
        <v>3</v>
      </c>
      <c r="F57" s="1574">
        <v>3</v>
      </c>
      <c r="G57" s="1575">
        <v>8</v>
      </c>
      <c r="I57" s="278"/>
    </row>
    <row r="58" spans="2:9" s="158" customFormat="1" ht="15.2" customHeight="1">
      <c r="B58" s="494" t="s">
        <v>196</v>
      </c>
      <c r="C58" s="172"/>
      <c r="D58" s="492"/>
      <c r="E58" s="1574">
        <v>10</v>
      </c>
      <c r="F58" s="1574">
        <v>10</v>
      </c>
      <c r="G58" s="1575">
        <v>9</v>
      </c>
      <c r="I58" s="278"/>
    </row>
    <row r="59" spans="2:9" s="158" customFormat="1" ht="15.2" customHeight="1">
      <c r="B59" s="494" t="s">
        <v>197</v>
      </c>
      <c r="C59" s="172"/>
      <c r="D59" s="492"/>
      <c r="E59" s="1574">
        <v>13</v>
      </c>
      <c r="F59" s="1574">
        <v>13</v>
      </c>
      <c r="G59" s="1575">
        <v>40</v>
      </c>
      <c r="I59" s="278"/>
    </row>
    <row r="60" spans="2:9" s="158" customFormat="1" ht="15.2" customHeight="1">
      <c r="B60" s="496" t="s">
        <v>198</v>
      </c>
      <c r="C60" s="172"/>
      <c r="D60" s="168"/>
      <c r="E60" s="168"/>
      <c r="F60" s="168"/>
      <c r="G60" s="168"/>
    </row>
    <row r="61" spans="2:9" s="158" customFormat="1" ht="15.2" customHeight="1">
      <c r="B61" s="494" t="s">
        <v>199</v>
      </c>
      <c r="C61" s="172"/>
      <c r="D61" s="492"/>
      <c r="E61" s="1574">
        <v>3</v>
      </c>
      <c r="F61" s="1574">
        <v>3</v>
      </c>
      <c r="G61" s="1575">
        <v>1</v>
      </c>
      <c r="I61" s="278"/>
    </row>
    <row r="62" spans="2:9" s="158" customFormat="1" ht="15.2" customHeight="1">
      <c r="B62" s="494" t="s">
        <v>200</v>
      </c>
      <c r="C62" s="172"/>
      <c r="D62" s="492"/>
      <c r="E62" s="1574">
        <v>13</v>
      </c>
      <c r="F62" s="1574">
        <v>13</v>
      </c>
      <c r="G62" s="1575">
        <v>23</v>
      </c>
      <c r="I62" s="278"/>
    </row>
    <row r="63" spans="2:9" s="158" customFormat="1" ht="15.2" customHeight="1">
      <c r="B63" s="496" t="s">
        <v>201</v>
      </c>
      <c r="C63" s="172"/>
      <c r="D63" s="168"/>
      <c r="E63" s="168"/>
      <c r="F63" s="168"/>
      <c r="G63" s="168"/>
    </row>
    <row r="64" spans="2:9" s="158" customFormat="1" ht="15.2" customHeight="1">
      <c r="B64" s="494" t="s">
        <v>202</v>
      </c>
      <c r="C64" s="172"/>
      <c r="D64" s="492"/>
      <c r="E64" s="1574">
        <v>53</v>
      </c>
      <c r="F64" s="1574">
        <v>53</v>
      </c>
      <c r="G64" s="1575">
        <v>47</v>
      </c>
      <c r="I64" s="278"/>
    </row>
    <row r="65" spans="1:8" s="158" customFormat="1" ht="15.2" customHeight="1">
      <c r="B65" s="497"/>
      <c r="C65" s="172"/>
      <c r="D65" s="165"/>
      <c r="E65" s="168"/>
      <c r="F65" s="168"/>
      <c r="G65" s="168"/>
    </row>
    <row r="66" spans="1:8" s="176" customFormat="1" ht="8.25" customHeight="1" thickBot="1">
      <c r="A66" s="378"/>
      <c r="B66" s="174"/>
      <c r="C66" s="174"/>
      <c r="D66" s="175"/>
      <c r="E66" s="175"/>
      <c r="F66" s="174"/>
      <c r="G66" s="378"/>
      <c r="H66" s="158"/>
    </row>
    <row r="67" spans="1:8" s="176" customFormat="1" ht="9.1999999999999993" customHeight="1">
      <c r="C67" s="2758"/>
      <c r="D67" s="2758"/>
      <c r="E67" s="2758"/>
      <c r="F67" s="2758"/>
      <c r="G67" s="2758"/>
      <c r="H67" s="158"/>
    </row>
    <row r="68" spans="1:8" s="176" customFormat="1" ht="15.2" customHeight="1">
      <c r="C68" s="2759" t="s">
        <v>463</v>
      </c>
      <c r="D68" s="2759"/>
      <c r="E68" s="2759"/>
      <c r="F68" s="2759"/>
      <c r="G68" s="2759"/>
      <c r="H68" s="158"/>
    </row>
    <row r="69" spans="1:8" s="176" customFormat="1" ht="15.2" customHeight="1">
      <c r="B69" s="83"/>
      <c r="C69" s="2759" t="s">
        <v>464</v>
      </c>
      <c r="D69" s="2759"/>
      <c r="E69" s="2759"/>
      <c r="F69" s="2759"/>
      <c r="G69" s="2759"/>
      <c r="H69" s="158"/>
    </row>
    <row r="70" spans="1:8" s="149" customFormat="1" ht="16.5">
      <c r="C70" s="2757" t="s">
        <v>465</v>
      </c>
      <c r="D70" s="2757"/>
      <c r="E70" s="2757"/>
      <c r="F70" s="2757"/>
      <c r="G70" s="2757"/>
      <c r="H70" s="158"/>
    </row>
    <row r="71" spans="1:8" s="149" customFormat="1" ht="16.5">
      <c r="C71" s="2757" t="s">
        <v>466</v>
      </c>
      <c r="D71" s="2757"/>
      <c r="E71" s="2757"/>
      <c r="F71" s="2757"/>
      <c r="G71" s="2757"/>
      <c r="H71" s="158"/>
    </row>
  </sheetData>
  <mergeCells count="6">
    <mergeCell ref="C71:G71"/>
    <mergeCell ref="B6:C6"/>
    <mergeCell ref="C67:G67"/>
    <mergeCell ref="C68:G68"/>
    <mergeCell ref="C69:G69"/>
    <mergeCell ref="C70:G70"/>
  </mergeCells>
  <conditionalFormatting sqref="C11">
    <cfRule type="cellIs" dxfId="58" priority="2" stopIfTrue="1" operator="lessThan">
      <formula>0</formula>
    </cfRule>
  </conditionalFormatting>
  <conditionalFormatting sqref="C13:C15">
    <cfRule type="cellIs" dxfId="57" priority="8" stopIfTrue="1" operator="lessThan">
      <formula>0</formula>
    </cfRule>
  </conditionalFormatting>
  <conditionalFormatting sqref="C17:C19">
    <cfRule type="cellIs" dxfId="56" priority="6" stopIfTrue="1" operator="lessThan">
      <formula>0</formula>
    </cfRule>
  </conditionalFormatting>
  <conditionalFormatting sqref="C23:C27">
    <cfRule type="cellIs" dxfId="55" priority="7" stopIfTrue="1" operator="lessThan">
      <formula>0</formula>
    </cfRule>
  </conditionalFormatting>
  <conditionalFormatting sqref="C37">
    <cfRule type="cellIs" dxfId="54" priority="9" stopIfTrue="1" operator="lessThan">
      <formula>0</formula>
    </cfRule>
  </conditionalFormatting>
  <conditionalFormatting sqref="C41">
    <cfRule type="cellIs" dxfId="53" priority="1" stopIfTrue="1" operator="lessThan">
      <formula>0</formula>
    </cfRule>
  </conditionalFormatting>
  <conditionalFormatting sqref="C43:C45">
    <cfRule type="cellIs" dxfId="52" priority="5" stopIfTrue="1" operator="lessThan">
      <formula>0</formula>
    </cfRule>
  </conditionalFormatting>
  <conditionalFormatting sqref="C47:C49">
    <cfRule type="cellIs" dxfId="51" priority="3" stopIfTrue="1" operator="lessThan">
      <formula>0</formula>
    </cfRule>
  </conditionalFormatting>
  <conditionalFormatting sqref="C53:C57">
    <cfRule type="cellIs" dxfId="50" priority="4"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73"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4">
    <tabColor theme="4" tint="0.39997558519241921"/>
    <pageSetUpPr fitToPage="1"/>
  </sheetPr>
  <dimension ref="A1:L71"/>
  <sheetViews>
    <sheetView view="pageBreakPreview" zoomScaleNormal="100" zoomScaleSheetLayoutView="100" workbookViewId="0">
      <selection activeCell="E38" sqref="E38"/>
    </sheetView>
  </sheetViews>
  <sheetFormatPr defaultRowHeight="15"/>
  <cols>
    <col min="1" max="1" width="2.28515625" customWidth="1"/>
    <col min="2" max="2" width="12.5703125" customWidth="1"/>
    <col min="3" max="3" width="60.140625" customWidth="1"/>
    <col min="4" max="4" width="2.7109375" customWidth="1"/>
    <col min="5" max="5" width="14.140625" customWidth="1"/>
    <col min="6" max="6" width="14.28515625" customWidth="1"/>
    <col min="7" max="7" width="15" style="84" customWidth="1"/>
  </cols>
  <sheetData>
    <row r="1" spans="1:12" s="149" customFormat="1" ht="8.25" customHeight="1"/>
    <row r="2" spans="1:12" s="149" customFormat="1" ht="8.25" customHeight="1"/>
    <row r="3" spans="1:12" s="149" customFormat="1" ht="16.5" customHeight="1">
      <c r="B3" s="489" t="s">
        <v>460</v>
      </c>
      <c r="C3" s="180" t="s">
        <v>1412</v>
      </c>
      <c r="E3" s="272"/>
      <c r="F3" s="272"/>
      <c r="L3" s="180"/>
    </row>
    <row r="4" spans="1:12" s="149" customFormat="1" ht="16.5" customHeight="1">
      <c r="B4" s="490" t="s">
        <v>461</v>
      </c>
      <c r="C4" s="181" t="s">
        <v>1413</v>
      </c>
      <c r="D4" s="152"/>
      <c r="E4" s="272"/>
      <c r="F4" s="272"/>
      <c r="L4" s="181"/>
    </row>
    <row r="5" spans="1:12" s="149" customFormat="1" ht="13.15" customHeight="1" thickBot="1">
      <c r="A5" s="153"/>
      <c r="B5" s="153"/>
      <c r="C5" s="153"/>
      <c r="D5" s="152"/>
      <c r="E5" s="152"/>
      <c r="F5" s="152"/>
    </row>
    <row r="6" spans="1:12" s="154" customFormat="1" ht="43.15" customHeight="1" thickBot="1">
      <c r="A6" s="7"/>
      <c r="B6" s="2651" t="s">
        <v>1126</v>
      </c>
      <c r="C6" s="2660"/>
      <c r="D6" s="8"/>
      <c r="E6" s="274">
        <v>2022</v>
      </c>
      <c r="F6" s="274">
        <v>2023</v>
      </c>
      <c r="G6" s="274">
        <v>2024</v>
      </c>
    </row>
    <row r="7" spans="1:12" s="154" customFormat="1" ht="16.5" customHeight="1">
      <c r="B7" s="155"/>
      <c r="C7" s="156"/>
      <c r="D7" s="157"/>
      <c r="E7" s="157"/>
      <c r="F7" s="182"/>
      <c r="G7" s="183"/>
    </row>
    <row r="8" spans="1:12" s="158" customFormat="1" ht="15.2" customHeight="1">
      <c r="B8" s="76" t="s">
        <v>1124</v>
      </c>
      <c r="D8" s="159"/>
      <c r="E8" s="325"/>
      <c r="F8" s="1580"/>
      <c r="G8" s="183"/>
    </row>
    <row r="9" spans="1:12" s="161" customFormat="1" ht="15.2" customHeight="1">
      <c r="B9" s="74" t="s">
        <v>1125</v>
      </c>
      <c r="D9" s="162"/>
      <c r="E9" s="503"/>
      <c r="F9" s="1581"/>
      <c r="G9" s="1582"/>
      <c r="K9" s="163"/>
    </row>
    <row r="10" spans="1:12" s="158" customFormat="1" ht="8.25" customHeight="1">
      <c r="B10" s="164"/>
      <c r="D10" s="165"/>
      <c r="E10" s="165"/>
      <c r="F10" s="183"/>
      <c r="G10" s="183"/>
      <c r="H10" s="165"/>
      <c r="I10" s="165"/>
      <c r="J10" s="311"/>
    </row>
    <row r="11" spans="1:12" s="158" customFormat="1" ht="15.2" customHeight="1">
      <c r="B11" s="166" t="s">
        <v>184</v>
      </c>
      <c r="C11" s="167"/>
      <c r="D11" s="504"/>
      <c r="E11" s="182">
        <v>2.1800000000000002</v>
      </c>
      <c r="F11" s="182">
        <v>2.1800000000000002</v>
      </c>
      <c r="G11" s="182">
        <v>1.43</v>
      </c>
      <c r="H11" s="165"/>
      <c r="I11" s="165"/>
      <c r="J11" s="311"/>
    </row>
    <row r="12" spans="1:12" s="158" customFormat="1" ht="8.25" customHeight="1">
      <c r="B12" s="164"/>
      <c r="D12" s="165"/>
      <c r="E12" s="183"/>
      <c r="F12" s="183"/>
      <c r="G12" s="183"/>
    </row>
    <row r="13" spans="1:12" s="158" customFormat="1" ht="15.2" customHeight="1">
      <c r="B13" s="169" t="s">
        <v>185</v>
      </c>
      <c r="C13" s="167"/>
      <c r="D13" s="165"/>
      <c r="E13" s="183"/>
      <c r="F13" s="183"/>
      <c r="G13" s="183"/>
    </row>
    <row r="14" spans="1:12" s="158" customFormat="1" ht="15.2" customHeight="1">
      <c r="B14" s="170" t="s">
        <v>186</v>
      </c>
      <c r="C14" s="167"/>
      <c r="D14" s="504"/>
      <c r="E14" s="183">
        <v>2.16</v>
      </c>
      <c r="F14" s="183">
        <v>2.16</v>
      </c>
      <c r="G14" s="183">
        <v>1.32</v>
      </c>
    </row>
    <row r="15" spans="1:12" s="158" customFormat="1" ht="15.2" customHeight="1">
      <c r="B15" s="170" t="s">
        <v>187</v>
      </c>
      <c r="C15" s="167"/>
      <c r="D15" s="504"/>
      <c r="E15" s="183">
        <v>2.35</v>
      </c>
      <c r="F15" s="183">
        <v>2.35</v>
      </c>
      <c r="G15" s="183">
        <v>2.2200000000000002</v>
      </c>
    </row>
    <row r="16" spans="1:12" s="158" customFormat="1" ht="7.5" customHeight="1">
      <c r="B16" s="171"/>
      <c r="C16" s="172"/>
      <c r="D16" s="168"/>
      <c r="E16" s="183"/>
      <c r="F16" s="183"/>
      <c r="G16" s="183"/>
    </row>
    <row r="17" spans="2:7" s="158" customFormat="1" ht="15.2" customHeight="1">
      <c r="B17" s="169" t="s">
        <v>1191</v>
      </c>
      <c r="C17" s="167"/>
      <c r="D17" s="165"/>
      <c r="E17" s="183"/>
      <c r="F17" s="183"/>
      <c r="G17" s="183"/>
    </row>
    <row r="18" spans="2:7" s="158" customFormat="1" ht="15.2" customHeight="1">
      <c r="B18" s="170" t="s">
        <v>188</v>
      </c>
      <c r="C18" s="167"/>
      <c r="D18" s="504"/>
      <c r="E18" s="183">
        <v>3.02</v>
      </c>
      <c r="F18" s="183">
        <v>3.02</v>
      </c>
      <c r="G18" s="183">
        <v>2</v>
      </c>
    </row>
    <row r="19" spans="2:7" s="158" customFormat="1" ht="15.2" customHeight="1">
      <c r="B19" s="170" t="s">
        <v>189</v>
      </c>
      <c r="C19" s="167"/>
      <c r="D19" s="504"/>
      <c r="E19" s="183">
        <v>0.88</v>
      </c>
      <c r="F19" s="183">
        <v>0.88</v>
      </c>
      <c r="G19" s="183">
        <v>0.54</v>
      </c>
    </row>
    <row r="20" spans="2:7" s="158" customFormat="1" ht="7.5" customHeight="1">
      <c r="B20" s="171"/>
      <c r="C20" s="172"/>
      <c r="D20" s="165"/>
      <c r="E20" s="183"/>
      <c r="F20" s="183"/>
      <c r="G20" s="183"/>
    </row>
    <row r="21" spans="2:7" s="158" customFormat="1" ht="15.2" customHeight="1">
      <c r="B21" s="169" t="s">
        <v>190</v>
      </c>
      <c r="C21" s="172"/>
      <c r="D21" s="165"/>
      <c r="E21" s="183"/>
      <c r="F21" s="183"/>
      <c r="G21" s="183"/>
    </row>
    <row r="22" spans="2:7" s="158" customFormat="1" ht="15.2" customHeight="1">
      <c r="B22" s="173" t="s">
        <v>1319</v>
      </c>
      <c r="C22" s="172"/>
      <c r="D22" s="165"/>
      <c r="E22" s="183"/>
      <c r="F22" s="183"/>
      <c r="G22" s="183"/>
    </row>
    <row r="23" spans="2:7" s="158" customFormat="1" ht="15.2" customHeight="1">
      <c r="B23" s="494" t="s">
        <v>191</v>
      </c>
      <c r="C23" s="167"/>
      <c r="D23" s="504"/>
      <c r="E23" s="183">
        <v>1.3448275862068966</v>
      </c>
      <c r="F23" s="183">
        <v>1.3448275862068966</v>
      </c>
      <c r="G23" s="183">
        <v>1.056774193548387</v>
      </c>
    </row>
    <row r="24" spans="2:7" s="158" customFormat="1" ht="15.2" customHeight="1">
      <c r="B24" s="495" t="s">
        <v>192</v>
      </c>
      <c r="C24" s="167"/>
      <c r="D24" s="504"/>
      <c r="E24" s="183">
        <v>1.4841849148418491</v>
      </c>
      <c r="F24" s="183">
        <v>1.4841849148418491</v>
      </c>
      <c r="G24" s="183">
        <v>1.9024390243902438</v>
      </c>
    </row>
    <row r="25" spans="2:7" s="158" customFormat="1" ht="15.2" customHeight="1">
      <c r="B25" s="494" t="s">
        <v>193</v>
      </c>
      <c r="C25" s="167"/>
      <c r="D25" s="504"/>
      <c r="E25" s="183">
        <v>4.1244995996797433</v>
      </c>
      <c r="F25" s="183">
        <v>4.1244995996797433</v>
      </c>
      <c r="G25" s="183">
        <v>3.1958103462061245</v>
      </c>
    </row>
    <row r="26" spans="2:7" s="158" customFormat="1" ht="15.2" customHeight="1">
      <c r="B26" s="494" t="s">
        <v>194</v>
      </c>
      <c r="C26" s="167"/>
      <c r="D26" s="504"/>
      <c r="E26" s="183">
        <v>3.373103800920402</v>
      </c>
      <c r="F26" s="183">
        <v>3.373103800920402</v>
      </c>
      <c r="G26" s="183">
        <v>1.9808896324531293</v>
      </c>
    </row>
    <row r="27" spans="2:7" s="158" customFormat="1" ht="15.2" customHeight="1">
      <c r="B27" s="494" t="s">
        <v>195</v>
      </c>
      <c r="C27" s="167"/>
      <c r="D27" s="504"/>
      <c r="E27" s="183">
        <v>3.1542785758900687</v>
      </c>
      <c r="F27" s="183">
        <v>3.1542785758900687</v>
      </c>
      <c r="G27" s="183">
        <v>1.9488876631733774</v>
      </c>
    </row>
    <row r="28" spans="2:7" s="158" customFormat="1" ht="15.2" customHeight="1">
      <c r="B28" s="494" t="s">
        <v>196</v>
      </c>
      <c r="C28" s="172"/>
      <c r="D28" s="504"/>
      <c r="E28" s="183">
        <v>1.239875614694822</v>
      </c>
      <c r="F28" s="183">
        <v>1.239875614694822</v>
      </c>
      <c r="G28" s="183">
        <v>0.70016663895247422</v>
      </c>
    </row>
    <row r="29" spans="2:7" s="158" customFormat="1" ht="15.2" customHeight="1">
      <c r="B29" s="494" t="s">
        <v>197</v>
      </c>
      <c r="C29" s="172"/>
      <c r="D29" s="504"/>
      <c r="E29" s="183">
        <v>1.5779092702169624</v>
      </c>
      <c r="F29" s="183">
        <v>1.5779092702169624</v>
      </c>
      <c r="G29" s="183">
        <v>1.4411000894035506</v>
      </c>
    </row>
    <row r="30" spans="2:7" s="158" customFormat="1" ht="15.2" customHeight="1">
      <c r="B30" s="496" t="s">
        <v>198</v>
      </c>
      <c r="C30" s="172"/>
      <c r="D30" s="165"/>
      <c r="E30" s="183"/>
      <c r="F30" s="183"/>
      <c r="G30" s="183"/>
    </row>
    <row r="31" spans="2:7" s="158" customFormat="1" ht="15.2" customHeight="1">
      <c r="B31" s="494" t="s">
        <v>199</v>
      </c>
      <c r="C31" s="172"/>
      <c r="D31" s="504"/>
      <c r="E31" s="183">
        <v>0.37987012987012986</v>
      </c>
      <c r="F31" s="183">
        <v>0.37987012987012986</v>
      </c>
      <c r="G31" s="183">
        <v>0.18430478671442527</v>
      </c>
    </row>
    <row r="32" spans="2:7" s="158" customFormat="1" ht="15.2" customHeight="1">
      <c r="B32" s="494" t="s">
        <v>200</v>
      </c>
      <c r="C32" s="172"/>
      <c r="D32" s="504"/>
      <c r="E32" s="183">
        <v>2.6610677864427115</v>
      </c>
      <c r="F32" s="183">
        <v>2.6610677864427115</v>
      </c>
      <c r="G32" s="183">
        <v>1.4672522805154691</v>
      </c>
    </row>
    <row r="33" spans="1:11" s="158" customFormat="1" ht="15.2" customHeight="1">
      <c r="B33" s="496" t="s">
        <v>201</v>
      </c>
      <c r="C33" s="172"/>
      <c r="D33" s="165"/>
      <c r="E33" s="183"/>
      <c r="F33" s="183"/>
      <c r="G33" s="183"/>
    </row>
    <row r="34" spans="1:11" s="158" customFormat="1" ht="15.2" customHeight="1">
      <c r="B34" s="494" t="s">
        <v>202</v>
      </c>
      <c r="C34" s="172"/>
      <c r="D34" s="504"/>
      <c r="E34" s="183">
        <v>2.3378974104458004</v>
      </c>
      <c r="F34" s="183">
        <v>2.3378974104458004</v>
      </c>
      <c r="G34" s="183">
        <v>1.2361405042326097</v>
      </c>
    </row>
    <row r="35" spans="1:11" s="158" customFormat="1" ht="15.2" customHeight="1">
      <c r="B35" s="497"/>
      <c r="C35" s="172"/>
      <c r="D35" s="165"/>
      <c r="E35" s="183"/>
      <c r="F35" s="183"/>
      <c r="G35" s="183"/>
    </row>
    <row r="36" spans="1:11" s="176" customFormat="1" ht="8.25" customHeight="1" thickBot="1">
      <c r="A36" s="174"/>
      <c r="B36" s="174"/>
      <c r="C36" s="174"/>
      <c r="D36" s="174"/>
      <c r="E36" s="1583"/>
      <c r="F36" s="1583"/>
      <c r="G36" s="1583"/>
      <c r="H36" s="158"/>
      <c r="I36" s="158"/>
    </row>
    <row r="37" spans="1:11" s="176" customFormat="1" ht="8.25" customHeight="1">
      <c r="B37" s="161"/>
      <c r="C37" s="177"/>
      <c r="D37" s="184"/>
      <c r="E37" s="183"/>
      <c r="F37" s="183"/>
      <c r="G37" s="183"/>
      <c r="H37" s="158"/>
      <c r="I37" s="158"/>
    </row>
    <row r="38" spans="1:11" s="158" customFormat="1" ht="15.2" customHeight="1">
      <c r="B38" s="76" t="s">
        <v>2028</v>
      </c>
      <c r="D38" s="159"/>
      <c r="E38" s="1584"/>
      <c r="F38" s="1584"/>
      <c r="G38" s="182"/>
    </row>
    <row r="39" spans="1:11" s="161" customFormat="1" ht="15.2" customHeight="1">
      <c r="B39" s="74" t="s">
        <v>206</v>
      </c>
      <c r="D39" s="185"/>
      <c r="E39" s="1585"/>
      <c r="F39" s="1585"/>
      <c r="G39" s="1586"/>
      <c r="K39" s="163"/>
    </row>
    <row r="40" spans="1:11" s="158" customFormat="1" ht="8.25" customHeight="1">
      <c r="B40" s="164"/>
      <c r="D40" s="157"/>
      <c r="E40" s="183"/>
      <c r="F40" s="183"/>
      <c r="G40" s="182"/>
      <c r="H40" s="165"/>
      <c r="I40" s="165"/>
      <c r="J40" s="311"/>
    </row>
    <row r="41" spans="1:11" s="158" customFormat="1" ht="15.2" customHeight="1">
      <c r="B41" s="166" t="s">
        <v>184</v>
      </c>
      <c r="C41" s="167"/>
      <c r="D41" s="504"/>
      <c r="E41" s="182">
        <v>2.09</v>
      </c>
      <c r="F41" s="182">
        <v>2.09</v>
      </c>
      <c r="G41" s="182">
        <v>2</v>
      </c>
      <c r="H41" s="165"/>
      <c r="I41" s="165"/>
      <c r="J41" s="311"/>
    </row>
    <row r="42" spans="1:11" s="158" customFormat="1" ht="8.25" customHeight="1">
      <c r="B42" s="164"/>
      <c r="D42" s="165"/>
      <c r="E42" s="183"/>
      <c r="F42" s="183"/>
      <c r="G42" s="183"/>
    </row>
    <row r="43" spans="1:11" s="158" customFormat="1" ht="15.2" customHeight="1">
      <c r="B43" s="169" t="s">
        <v>185</v>
      </c>
      <c r="C43" s="167"/>
      <c r="D43" s="165"/>
      <c r="E43" s="183"/>
      <c r="F43" s="183"/>
      <c r="G43" s="183"/>
    </row>
    <row r="44" spans="1:11" s="158" customFormat="1" ht="15.2" customHeight="1">
      <c r="B44" s="170" t="s">
        <v>186</v>
      </c>
      <c r="C44" s="167"/>
      <c r="D44" s="504"/>
      <c r="E44" s="183">
        <v>1.43</v>
      </c>
      <c r="F44" s="183">
        <v>1.43</v>
      </c>
      <c r="G44" s="183">
        <v>1.55</v>
      </c>
    </row>
    <row r="45" spans="1:11" s="158" customFormat="1" ht="15.2" customHeight="1">
      <c r="B45" s="170" t="s">
        <v>187</v>
      </c>
      <c r="C45" s="167"/>
      <c r="D45" s="504"/>
      <c r="E45" s="183">
        <v>6.12</v>
      </c>
      <c r="F45" s="183">
        <v>6.12</v>
      </c>
      <c r="G45" s="183">
        <v>5.08</v>
      </c>
    </row>
    <row r="46" spans="1:11" s="158" customFormat="1" ht="7.5" customHeight="1">
      <c r="B46" s="171"/>
      <c r="C46" s="172"/>
      <c r="D46" s="168"/>
      <c r="E46" s="183"/>
      <c r="F46" s="183"/>
      <c r="G46" s="183"/>
    </row>
    <row r="47" spans="1:11" s="158" customFormat="1" ht="15.2" customHeight="1">
      <c r="B47" s="169" t="s">
        <v>1191</v>
      </c>
      <c r="C47" s="167"/>
      <c r="D47" s="165"/>
      <c r="E47" s="183"/>
      <c r="F47" s="183"/>
      <c r="G47" s="183"/>
    </row>
    <row r="48" spans="1:11" s="158" customFormat="1" ht="15.2" customHeight="1">
      <c r="B48" s="170" t="s">
        <v>188</v>
      </c>
      <c r="C48" s="167"/>
      <c r="D48" s="504"/>
      <c r="E48" s="183">
        <v>3.36</v>
      </c>
      <c r="F48" s="183">
        <v>3.36</v>
      </c>
      <c r="G48" s="183">
        <v>3.18</v>
      </c>
    </row>
    <row r="49" spans="2:7" s="158" customFormat="1" ht="15.2" customHeight="1">
      <c r="B49" s="170" t="s">
        <v>189</v>
      </c>
      <c r="C49" s="167"/>
      <c r="D49" s="504"/>
      <c r="E49" s="183">
        <v>0.09</v>
      </c>
      <c r="F49" s="183">
        <v>0.09</v>
      </c>
      <c r="G49" s="183">
        <v>0.15</v>
      </c>
    </row>
    <row r="50" spans="2:7" s="158" customFormat="1" ht="7.5" customHeight="1">
      <c r="B50" s="171"/>
      <c r="C50" s="172"/>
      <c r="D50" s="165"/>
      <c r="E50" s="183"/>
      <c r="F50" s="183"/>
      <c r="G50" s="183"/>
    </row>
    <row r="51" spans="2:7" s="158" customFormat="1" ht="15.2" customHeight="1">
      <c r="B51" s="169" t="s">
        <v>190</v>
      </c>
      <c r="C51" s="172"/>
      <c r="D51" s="165"/>
      <c r="E51" s="183"/>
      <c r="F51" s="183"/>
      <c r="G51" s="183"/>
    </row>
    <row r="52" spans="2:7" s="158" customFormat="1" ht="15.2" customHeight="1">
      <c r="B52" s="173" t="s">
        <v>1319</v>
      </c>
      <c r="C52" s="172"/>
      <c r="D52" s="165"/>
      <c r="E52" s="183"/>
      <c r="F52" s="183"/>
      <c r="G52" s="183"/>
    </row>
    <row r="53" spans="2:7" s="158" customFormat="1" ht="15.2" customHeight="1">
      <c r="B53" s="494" t="s">
        <v>191</v>
      </c>
      <c r="C53" s="167"/>
      <c r="D53" s="504"/>
      <c r="E53" s="183">
        <v>3.1928480204342278</v>
      </c>
      <c r="F53" s="183">
        <v>3.1928480204342278</v>
      </c>
      <c r="G53" s="183">
        <v>1.6774193548387097</v>
      </c>
    </row>
    <row r="54" spans="2:7" s="158" customFormat="1" ht="15.2" customHeight="1">
      <c r="B54" s="495" t="s">
        <v>192</v>
      </c>
      <c r="C54" s="167"/>
      <c r="D54" s="504"/>
      <c r="E54" s="183">
        <v>3.6496350364963508</v>
      </c>
      <c r="F54" s="183">
        <v>3.6496350364963508</v>
      </c>
      <c r="G54" s="183">
        <v>10.975609756097562</v>
      </c>
    </row>
    <row r="55" spans="2:7" s="158" customFormat="1" ht="15.2" customHeight="1">
      <c r="B55" s="494" t="s">
        <v>193</v>
      </c>
      <c r="C55" s="167"/>
      <c r="D55" s="504"/>
      <c r="E55" s="183">
        <v>3.3226581265012012</v>
      </c>
      <c r="F55" s="183">
        <v>3.3226581265012012</v>
      </c>
      <c r="G55" s="183">
        <v>2.5985448149036539</v>
      </c>
    </row>
    <row r="56" spans="2:7" s="158" customFormat="1" ht="15.2" customHeight="1">
      <c r="B56" s="494" t="s">
        <v>194</v>
      </c>
      <c r="C56" s="167"/>
      <c r="D56" s="504"/>
      <c r="E56" s="183">
        <v>6.9030168740412483</v>
      </c>
      <c r="F56" s="183">
        <v>6.9030168740412483</v>
      </c>
      <c r="G56" s="183">
        <v>6.2953828110177819</v>
      </c>
    </row>
    <row r="57" spans="2:7" s="158" customFormat="1" ht="15.2" customHeight="1">
      <c r="B57" s="494" t="s">
        <v>195</v>
      </c>
      <c r="C57" s="167"/>
      <c r="D57" s="504"/>
      <c r="E57" s="183">
        <v>1.8738288569643973</v>
      </c>
      <c r="F57" s="183">
        <v>1.8738288569643973</v>
      </c>
      <c r="G57" s="183">
        <v>4.9028620457191883</v>
      </c>
    </row>
    <row r="58" spans="2:7" s="158" customFormat="1" ht="15.2" customHeight="1">
      <c r="B58" s="494" t="s">
        <v>196</v>
      </c>
      <c r="C58" s="172"/>
      <c r="D58" s="504"/>
      <c r="E58" s="183">
        <v>0.36158518947063928</v>
      </c>
      <c r="F58" s="183">
        <v>0.36158518947063928</v>
      </c>
      <c r="G58" s="183">
        <v>0.3184183805241167</v>
      </c>
    </row>
    <row r="59" spans="2:7" s="158" customFormat="1" ht="15.2" customHeight="1">
      <c r="B59" s="494" t="s">
        <v>197</v>
      </c>
      <c r="C59" s="172"/>
      <c r="D59" s="504"/>
      <c r="E59" s="183">
        <v>1.4245014245014245</v>
      </c>
      <c r="F59" s="183">
        <v>1.4245014245014245</v>
      </c>
      <c r="G59" s="183">
        <v>4.2573119332453491</v>
      </c>
    </row>
    <row r="60" spans="2:7" s="158" customFormat="1" ht="15.2" customHeight="1">
      <c r="B60" s="496" t="s">
        <v>198</v>
      </c>
      <c r="C60" s="172"/>
      <c r="D60" s="165"/>
      <c r="E60" s="183"/>
      <c r="F60" s="183"/>
      <c r="G60" s="183"/>
    </row>
    <row r="61" spans="2:7" s="158" customFormat="1" ht="15.2" customHeight="1">
      <c r="B61" s="494" t="s">
        <v>199</v>
      </c>
      <c r="C61" s="172"/>
      <c r="D61" s="504"/>
      <c r="E61" s="183">
        <v>0.19480519480519479</v>
      </c>
      <c r="F61" s="183">
        <v>0.19480519480519479</v>
      </c>
      <c r="G61" s="183">
        <v>6.5125366330185605E-2</v>
      </c>
    </row>
    <row r="62" spans="2:7" s="158" customFormat="1" ht="15.2" customHeight="1">
      <c r="B62" s="494" t="s">
        <v>200</v>
      </c>
      <c r="C62" s="172"/>
      <c r="D62" s="504"/>
      <c r="E62" s="183">
        <v>1.5596880623875224</v>
      </c>
      <c r="F62" s="183">
        <v>1.5596880623875224</v>
      </c>
      <c r="G62" s="183">
        <v>2.7752304647907717</v>
      </c>
    </row>
    <row r="63" spans="2:7" s="158" customFormat="1" ht="15.2" customHeight="1">
      <c r="B63" s="496" t="s">
        <v>201</v>
      </c>
      <c r="C63" s="172"/>
      <c r="D63" s="165"/>
      <c r="E63" s="183"/>
      <c r="F63" s="183"/>
      <c r="G63" s="183"/>
    </row>
    <row r="64" spans="2:7" s="158" customFormat="1" ht="15.2" customHeight="1">
      <c r="B64" s="494" t="s">
        <v>202</v>
      </c>
      <c r="C64" s="172"/>
      <c r="D64" s="504"/>
      <c r="E64" s="183">
        <v>1.5473097246956471</v>
      </c>
      <c r="F64" s="183">
        <v>1.5473097246956471</v>
      </c>
      <c r="G64" s="183">
        <v>1.3514446080235554</v>
      </c>
    </row>
    <row r="65" spans="1:9" s="158" customFormat="1" ht="15.2" customHeight="1">
      <c r="B65" s="497"/>
      <c r="C65" s="172"/>
      <c r="D65" s="165"/>
      <c r="E65" s="183"/>
      <c r="F65" s="183"/>
      <c r="G65" s="183"/>
    </row>
    <row r="66" spans="1:9" s="176" customFormat="1" ht="8.25" customHeight="1" thickBot="1">
      <c r="A66" s="174"/>
      <c r="B66" s="174"/>
      <c r="C66" s="174"/>
      <c r="D66" s="174"/>
      <c r="E66" s="174"/>
      <c r="F66" s="174"/>
      <c r="G66" s="174"/>
      <c r="H66" s="158"/>
      <c r="I66" s="158"/>
    </row>
    <row r="67" spans="1:9" s="176" customFormat="1" ht="9.1999999999999993" customHeight="1">
      <c r="D67" s="49"/>
      <c r="E67" s="82"/>
      <c r="F67" s="82"/>
      <c r="G67" s="51"/>
      <c r="H67" s="158"/>
      <c r="I67" s="158"/>
    </row>
    <row r="68" spans="1:9" s="176" customFormat="1" ht="15.2" customHeight="1">
      <c r="B68" s="83"/>
      <c r="C68" s="82"/>
      <c r="D68" s="50"/>
      <c r="E68" s="505"/>
      <c r="F68" s="505"/>
      <c r="G68" s="51" t="s">
        <v>463</v>
      </c>
      <c r="I68" s="158"/>
    </row>
    <row r="69" spans="1:9" s="176" customFormat="1" ht="15.2" customHeight="1">
      <c r="B69" s="83"/>
      <c r="C69" s="82"/>
      <c r="D69" s="50"/>
      <c r="E69" s="505"/>
      <c r="F69" s="505"/>
      <c r="G69" s="51" t="s">
        <v>464</v>
      </c>
      <c r="I69" s="158"/>
    </row>
    <row r="70" spans="1:9" s="149" customFormat="1" ht="16.5">
      <c r="E70" s="506"/>
      <c r="F70" s="506"/>
      <c r="G70" s="53" t="s">
        <v>465</v>
      </c>
      <c r="I70" s="158"/>
    </row>
    <row r="71" spans="1:9" s="149" customFormat="1" ht="16.5">
      <c r="E71" s="506"/>
      <c r="F71" s="506"/>
      <c r="G71" s="53" t="s">
        <v>466</v>
      </c>
      <c r="I71" s="158"/>
    </row>
  </sheetData>
  <mergeCells count="1">
    <mergeCell ref="B6:C6"/>
  </mergeCells>
  <conditionalFormatting sqref="C11">
    <cfRule type="cellIs" dxfId="49" priority="2" stopIfTrue="1" operator="lessThan">
      <formula>0</formula>
    </cfRule>
  </conditionalFormatting>
  <conditionalFormatting sqref="C13:C15">
    <cfRule type="cellIs" dxfId="48" priority="8" stopIfTrue="1" operator="lessThan">
      <formula>0</formula>
    </cfRule>
  </conditionalFormatting>
  <conditionalFormatting sqref="C17:C19">
    <cfRule type="cellIs" dxfId="47" priority="6" stopIfTrue="1" operator="lessThan">
      <formula>0</formula>
    </cfRule>
  </conditionalFormatting>
  <conditionalFormatting sqref="C23:C27">
    <cfRule type="cellIs" dxfId="46" priority="7" stopIfTrue="1" operator="lessThan">
      <formula>0</formula>
    </cfRule>
  </conditionalFormatting>
  <conditionalFormatting sqref="C37">
    <cfRule type="cellIs" dxfId="45" priority="9" stopIfTrue="1" operator="lessThan">
      <formula>0</formula>
    </cfRule>
  </conditionalFormatting>
  <conditionalFormatting sqref="C41">
    <cfRule type="cellIs" dxfId="44" priority="1" stopIfTrue="1" operator="lessThan">
      <formula>0</formula>
    </cfRule>
  </conditionalFormatting>
  <conditionalFormatting sqref="C43:C45">
    <cfRule type="cellIs" dxfId="43" priority="5" stopIfTrue="1" operator="lessThan">
      <formula>0</formula>
    </cfRule>
  </conditionalFormatting>
  <conditionalFormatting sqref="C47:C49">
    <cfRule type="cellIs" dxfId="42" priority="3" stopIfTrue="1" operator="lessThan">
      <formula>0</formula>
    </cfRule>
  </conditionalFormatting>
  <conditionalFormatting sqref="C53:C57">
    <cfRule type="cellIs" dxfId="41" priority="4"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75"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45">
    <pageSetUpPr fitToPage="1"/>
  </sheetPr>
  <dimension ref="A1:K31"/>
  <sheetViews>
    <sheetView view="pageBreakPreview" topLeftCell="A19" zoomScaleNormal="100" zoomScaleSheetLayoutView="100" workbookViewId="0">
      <selection activeCell="M6" sqref="M6"/>
    </sheetView>
  </sheetViews>
  <sheetFormatPr defaultRowHeight="15"/>
  <cols>
    <col min="1" max="1" width="3.7109375" customWidth="1"/>
    <col min="5" max="5" width="37.7109375" customWidth="1"/>
    <col min="6" max="6" width="6.42578125" customWidth="1"/>
    <col min="7" max="7" width="3.140625" customWidth="1"/>
    <col min="8" max="8" width="11.28515625" customWidth="1"/>
    <col min="9" max="9" width="13.28515625" customWidth="1"/>
    <col min="10" max="10" width="12.5703125" style="84" customWidth="1"/>
  </cols>
  <sheetData>
    <row r="1" spans="1:10" s="26" customFormat="1" ht="8.25" customHeight="1"/>
    <row r="2" spans="1:10" s="26" customFormat="1" ht="8.25" customHeight="1"/>
    <row r="3" spans="1:10" s="26" customFormat="1" ht="16.5" customHeight="1">
      <c r="A3" s="2760" t="s">
        <v>467</v>
      </c>
      <c r="B3" s="2760"/>
      <c r="C3" s="150" t="s">
        <v>1414</v>
      </c>
      <c r="F3" s="27"/>
    </row>
    <row r="4" spans="1:10" s="26" customFormat="1" ht="16.5" customHeight="1">
      <c r="A4" s="2761" t="s">
        <v>468</v>
      </c>
      <c r="B4" s="2761"/>
      <c r="C4" s="151" t="s">
        <v>1415</v>
      </c>
      <c r="D4" s="28"/>
      <c r="E4" s="28"/>
      <c r="F4" s="27"/>
    </row>
    <row r="5" spans="1:10" s="26" customFormat="1" ht="13.15" customHeight="1" thickBot="1">
      <c r="A5" s="29"/>
      <c r="B5" s="29"/>
      <c r="C5" s="29"/>
      <c r="D5" s="29"/>
      <c r="E5" s="29"/>
      <c r="F5" s="30"/>
    </row>
    <row r="6" spans="1:10" s="32" customFormat="1" ht="43.15" customHeight="1" thickBot="1">
      <c r="A6" s="7"/>
      <c r="B6" s="2651" t="s">
        <v>469</v>
      </c>
      <c r="C6" s="2660"/>
      <c r="D6" s="7"/>
      <c r="E6" s="7"/>
      <c r="F6" s="31"/>
      <c r="G6" s="31"/>
      <c r="H6" s="31">
        <v>2022</v>
      </c>
      <c r="I6" s="31">
        <v>2023</v>
      </c>
      <c r="J6" s="31">
        <v>2024</v>
      </c>
    </row>
    <row r="7" spans="1:10" s="32" customFormat="1" ht="16.5" customHeight="1">
      <c r="B7" s="33"/>
      <c r="C7" s="34"/>
      <c r="D7" s="35"/>
      <c r="E7" s="35"/>
      <c r="F7" s="35"/>
      <c r="G7" s="37"/>
      <c r="H7" s="37"/>
      <c r="I7" s="37"/>
      <c r="J7" s="37"/>
    </row>
    <row r="8" spans="1:10" s="32" customFormat="1" ht="15.2" customHeight="1">
      <c r="B8" s="38" t="s">
        <v>470</v>
      </c>
      <c r="C8" s="34"/>
      <c r="D8" s="35"/>
      <c r="E8" s="35"/>
      <c r="F8" s="35"/>
      <c r="G8" s="37"/>
      <c r="H8" s="37"/>
      <c r="I8" s="37"/>
      <c r="J8" s="37"/>
    </row>
    <row r="9" spans="1:10" s="32" customFormat="1" ht="15.2" customHeight="1">
      <c r="B9" s="39" t="s">
        <v>471</v>
      </c>
      <c r="C9" s="34"/>
      <c r="D9" s="47"/>
      <c r="E9" s="47"/>
      <c r="F9" s="47"/>
      <c r="G9" s="47"/>
      <c r="H9" s="41">
        <v>82</v>
      </c>
      <c r="I9" s="41">
        <v>86.2</v>
      </c>
      <c r="J9" s="18">
        <v>81.8</v>
      </c>
    </row>
    <row r="10" spans="1:10" s="32" customFormat="1" ht="15.2" customHeight="1">
      <c r="B10" s="39" t="s">
        <v>472</v>
      </c>
      <c r="C10" s="34"/>
      <c r="D10" s="47"/>
      <c r="E10" s="47"/>
      <c r="F10" s="47"/>
      <c r="G10" s="47"/>
      <c r="H10" s="41">
        <v>18</v>
      </c>
      <c r="I10" s="41">
        <v>13.8</v>
      </c>
      <c r="J10" s="18">
        <v>18.2</v>
      </c>
    </row>
    <row r="11" spans="1:10" s="32" customFormat="1" ht="16.5" customHeight="1">
      <c r="B11" s="33"/>
      <c r="C11" s="34"/>
      <c r="D11" s="507"/>
      <c r="E11" s="507"/>
      <c r="F11" s="507"/>
      <c r="G11" s="507"/>
      <c r="H11" s="41"/>
      <c r="I11" s="41"/>
      <c r="J11" s="18"/>
    </row>
    <row r="12" spans="1:10" s="32" customFormat="1" ht="15.2" customHeight="1">
      <c r="B12" s="38" t="s">
        <v>473</v>
      </c>
      <c r="C12" s="34"/>
      <c r="D12" s="35"/>
      <c r="E12" s="35"/>
      <c r="F12" s="35"/>
      <c r="G12" s="37"/>
      <c r="H12" s="41"/>
      <c r="I12" s="41"/>
      <c r="J12" s="18"/>
    </row>
    <row r="13" spans="1:10" s="32" customFormat="1" ht="15.2" customHeight="1">
      <c r="B13" s="39" t="s">
        <v>471</v>
      </c>
      <c r="C13" s="34"/>
      <c r="D13" s="47"/>
      <c r="E13" s="47"/>
      <c r="F13" s="47"/>
      <c r="G13" s="47"/>
      <c r="H13" s="41">
        <v>85.6</v>
      </c>
      <c r="I13" s="41">
        <v>84.2</v>
      </c>
      <c r="J13" s="18">
        <v>84.2</v>
      </c>
    </row>
    <row r="14" spans="1:10" s="32" customFormat="1" ht="15.2" customHeight="1">
      <c r="B14" s="39" t="s">
        <v>472</v>
      </c>
      <c r="C14" s="34"/>
      <c r="D14" s="47"/>
      <c r="E14" s="47"/>
      <c r="F14" s="47"/>
      <c r="G14" s="47"/>
      <c r="H14" s="41">
        <v>14.4</v>
      </c>
      <c r="I14" s="41">
        <v>14.9</v>
      </c>
      <c r="J14" s="18">
        <v>14.9</v>
      </c>
    </row>
    <row r="15" spans="1:10" s="32" customFormat="1" ht="16.5" customHeight="1">
      <c r="B15" s="33"/>
      <c r="C15" s="34"/>
      <c r="D15" s="507"/>
      <c r="E15" s="507"/>
      <c r="F15" s="507"/>
      <c r="G15" s="507"/>
      <c r="H15" s="41"/>
      <c r="I15" s="41"/>
      <c r="J15" s="18"/>
    </row>
    <row r="16" spans="1:10" s="32" customFormat="1" ht="15.2" customHeight="1">
      <c r="B16" s="38" t="s">
        <v>474</v>
      </c>
      <c r="C16" s="34"/>
      <c r="D16" s="35"/>
      <c r="E16" s="35"/>
      <c r="F16" s="35"/>
      <c r="G16" s="37"/>
      <c r="H16" s="41"/>
      <c r="I16" s="41"/>
      <c r="J16" s="18"/>
    </row>
    <row r="17" spans="1:11" s="32" customFormat="1" ht="15.2" customHeight="1">
      <c r="B17" s="39" t="s">
        <v>471</v>
      </c>
      <c r="C17" s="34"/>
      <c r="D17" s="47"/>
      <c r="E17" s="47"/>
      <c r="F17" s="47"/>
      <c r="G17" s="47"/>
      <c r="H17" s="41">
        <v>85.7</v>
      </c>
      <c r="I17" s="41">
        <v>84.4</v>
      </c>
      <c r="J17" s="18">
        <v>84.4</v>
      </c>
    </row>
    <row r="18" spans="1:11" s="32" customFormat="1" ht="15.2" customHeight="1">
      <c r="B18" s="39" t="s">
        <v>472</v>
      </c>
      <c r="C18" s="34"/>
      <c r="D18" s="47"/>
      <c r="E18" s="47"/>
      <c r="F18" s="47"/>
      <c r="G18" s="47"/>
      <c r="H18" s="41">
        <v>14.3</v>
      </c>
      <c r="I18" s="41">
        <v>15.6</v>
      </c>
      <c r="J18" s="18">
        <v>15.6</v>
      </c>
    </row>
    <row r="19" spans="1:11" s="32" customFormat="1" ht="16.5" customHeight="1">
      <c r="B19" s="33"/>
      <c r="C19" s="34"/>
      <c r="D19" s="507"/>
      <c r="E19" s="507"/>
      <c r="F19" s="507"/>
      <c r="G19" s="507"/>
      <c r="H19" s="41"/>
      <c r="I19" s="41"/>
      <c r="J19" s="18"/>
    </row>
    <row r="20" spans="1:11" s="32" customFormat="1" ht="15.2" customHeight="1">
      <c r="B20" s="38" t="s">
        <v>475</v>
      </c>
      <c r="C20" s="34"/>
      <c r="D20" s="35"/>
      <c r="E20" s="35"/>
      <c r="F20" s="35"/>
      <c r="G20" s="37"/>
      <c r="H20" s="41"/>
      <c r="I20" s="41"/>
      <c r="J20" s="18"/>
    </row>
    <row r="21" spans="1:11" s="32" customFormat="1" ht="15.2" customHeight="1">
      <c r="B21" s="39" t="s">
        <v>471</v>
      </c>
      <c r="C21" s="34"/>
      <c r="D21" s="47"/>
      <c r="E21" s="47"/>
      <c r="F21" s="47"/>
      <c r="G21" s="47"/>
      <c r="H21" s="41">
        <v>80.8</v>
      </c>
      <c r="I21" s="41">
        <v>89.5</v>
      </c>
      <c r="J21" s="18">
        <v>89.5</v>
      </c>
    </row>
    <row r="22" spans="1:11" s="32" customFormat="1" ht="15.2" customHeight="1">
      <c r="B22" s="39" t="s">
        <v>472</v>
      </c>
      <c r="C22" s="34"/>
      <c r="D22" s="47"/>
      <c r="E22" s="47"/>
      <c r="F22" s="47"/>
      <c r="G22" s="47"/>
      <c r="H22" s="41">
        <v>19.2</v>
      </c>
      <c r="I22" s="41">
        <v>10.5</v>
      </c>
      <c r="J22" s="18">
        <v>10.5</v>
      </c>
    </row>
    <row r="23" spans="1:11" s="30" customFormat="1" ht="15.2" customHeight="1">
      <c r="B23" s="38"/>
      <c r="C23" s="508"/>
      <c r="D23" s="42"/>
      <c r="E23" s="42"/>
      <c r="F23" s="41"/>
      <c r="G23" s="43"/>
      <c r="H23" s="41"/>
      <c r="I23" s="41"/>
      <c r="J23" s="41"/>
      <c r="K23" s="32"/>
    </row>
    <row r="24" spans="1:11" s="28" customFormat="1" ht="8.25" customHeight="1">
      <c r="B24" s="44"/>
      <c r="C24" s="38"/>
      <c r="D24" s="509"/>
      <c r="E24" s="45"/>
      <c r="F24" s="45"/>
      <c r="G24" s="46"/>
      <c r="H24" s="45"/>
      <c r="I24" s="45"/>
      <c r="J24" s="45"/>
    </row>
    <row r="25" spans="1:11" s="28" customFormat="1" ht="8.25" customHeight="1" thickBot="1">
      <c r="A25" s="48"/>
      <c r="B25" s="48"/>
      <c r="C25" s="48"/>
      <c r="D25" s="510"/>
      <c r="E25" s="510"/>
      <c r="F25" s="510"/>
      <c r="G25" s="510"/>
      <c r="H25" s="510"/>
      <c r="I25" s="510"/>
      <c r="J25" s="510"/>
    </row>
    <row r="26" spans="1:11" s="28" customFormat="1" ht="15.2" customHeight="1" thickTop="1">
      <c r="D26" s="511"/>
      <c r="E26" s="512"/>
      <c r="F26" s="45"/>
      <c r="G26" s="511"/>
      <c r="H26" s="511"/>
      <c r="I26" s="511"/>
      <c r="J26" s="51" t="s">
        <v>476</v>
      </c>
    </row>
    <row r="27" spans="1:11" s="28" customFormat="1" ht="15.2" customHeight="1">
      <c r="B27" s="52"/>
      <c r="C27" s="50"/>
      <c r="D27" s="50"/>
      <c r="E27" s="50"/>
      <c r="G27" s="50"/>
      <c r="H27" s="50"/>
      <c r="I27" s="50"/>
      <c r="J27" s="53" t="s">
        <v>477</v>
      </c>
    </row>
    <row r="28" spans="1:11" s="28" customFormat="1" ht="15.2" customHeight="1">
      <c r="B28" s="52"/>
      <c r="C28" s="50"/>
      <c r="D28" s="50"/>
      <c r="E28" s="50"/>
      <c r="G28" s="50"/>
      <c r="H28" s="50"/>
      <c r="I28" s="50"/>
      <c r="J28" s="53"/>
    </row>
    <row r="29" spans="1:11" s="28" customFormat="1" ht="15.2" customHeight="1">
      <c r="A29" s="50"/>
      <c r="B29" s="513" t="s">
        <v>234</v>
      </c>
      <c r="C29" s="50"/>
      <c r="D29" s="50"/>
      <c r="E29" s="50"/>
      <c r="G29" s="50"/>
      <c r="H29" s="50"/>
      <c r="I29" s="50"/>
      <c r="J29" s="53"/>
    </row>
    <row r="30" spans="1:11" s="55" customFormat="1" ht="15.2" customHeight="1">
      <c r="A30" s="26"/>
      <c r="B30" s="514" t="s">
        <v>1131</v>
      </c>
      <c r="C30" s="30"/>
      <c r="D30" s="54"/>
      <c r="E30" s="54"/>
      <c r="F30" s="54"/>
      <c r="G30" s="26"/>
      <c r="H30" s="28"/>
      <c r="I30" s="28"/>
      <c r="J30" s="28"/>
    </row>
    <row r="31" spans="1:11" s="55" customFormat="1" ht="15.2" customHeight="1">
      <c r="A31" s="26"/>
      <c r="B31" s="515" t="s">
        <v>1132</v>
      </c>
      <c r="C31" s="30"/>
      <c r="D31" s="54"/>
      <c r="E31" s="54"/>
      <c r="F31" s="54"/>
      <c r="G31" s="26"/>
      <c r="H31" s="28"/>
      <c r="I31" s="28"/>
      <c r="J31" s="28"/>
    </row>
  </sheetData>
  <mergeCells count="3">
    <mergeCell ref="B6:C6"/>
    <mergeCell ref="A3:B3"/>
    <mergeCell ref="A4:B4"/>
  </mergeCells>
  <conditionalFormatting sqref="C23">
    <cfRule type="cellIs" dxfId="40" priority="1"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78"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46">
    <pageSetUpPr fitToPage="1"/>
  </sheetPr>
  <dimension ref="A1:K59"/>
  <sheetViews>
    <sheetView view="pageBreakPreview" topLeftCell="A46" zoomScaleNormal="100" zoomScaleSheetLayoutView="100" workbookViewId="0">
      <selection activeCell="M6" sqref="M6"/>
    </sheetView>
  </sheetViews>
  <sheetFormatPr defaultRowHeight="15"/>
  <cols>
    <col min="1" max="1" width="4" customWidth="1"/>
    <col min="5" max="5" width="41" customWidth="1"/>
    <col min="6" max="6" width="3.42578125" customWidth="1"/>
    <col min="7" max="7" width="2.85546875" customWidth="1"/>
    <col min="8" max="8" width="12.28515625" customWidth="1"/>
    <col min="9" max="9" width="11.85546875" customWidth="1"/>
    <col min="10" max="10" width="13.28515625" style="84" customWidth="1"/>
  </cols>
  <sheetData>
    <row r="1" spans="1:10" s="26" customFormat="1" ht="8.25" customHeight="1"/>
    <row r="2" spans="1:10" s="26" customFormat="1" ht="8.25" customHeight="1"/>
    <row r="3" spans="1:10" s="26" customFormat="1" ht="16.5" customHeight="1">
      <c r="B3" s="244" t="s">
        <v>478</v>
      </c>
      <c r="C3" s="150" t="s">
        <v>1416</v>
      </c>
      <c r="F3" s="27"/>
    </row>
    <row r="4" spans="1:10" s="26" customFormat="1" ht="16.5" customHeight="1">
      <c r="B4" s="245" t="s">
        <v>479</v>
      </c>
      <c r="C4" s="151" t="s">
        <v>1417</v>
      </c>
      <c r="D4" s="28"/>
      <c r="E4" s="28"/>
      <c r="F4" s="27"/>
    </row>
    <row r="5" spans="1:10" s="26" customFormat="1" ht="13.15" customHeight="1" thickBot="1">
      <c r="A5" s="29"/>
      <c r="B5" s="29"/>
      <c r="C5" s="29"/>
      <c r="D5" s="29"/>
      <c r="E5" s="29"/>
      <c r="F5" s="30"/>
    </row>
    <row r="6" spans="1:10" s="32" customFormat="1" ht="43.15" customHeight="1" thickBot="1">
      <c r="A6" s="7"/>
      <c r="B6" s="2651" t="s">
        <v>469</v>
      </c>
      <c r="C6" s="2660"/>
      <c r="D6" s="7"/>
      <c r="E6" s="7"/>
      <c r="F6" s="31"/>
      <c r="G6" s="31"/>
      <c r="H6" s="31">
        <v>2022</v>
      </c>
      <c r="I6" s="31">
        <v>2023</v>
      </c>
      <c r="J6" s="31">
        <v>2024</v>
      </c>
    </row>
    <row r="7" spans="1:10" s="32" customFormat="1" ht="16.5" customHeight="1">
      <c r="B7" s="33"/>
      <c r="C7" s="34"/>
      <c r="D7" s="35"/>
      <c r="E7" s="35"/>
      <c r="F7" s="35"/>
      <c r="G7" s="37"/>
      <c r="H7" s="37"/>
      <c r="I7" s="37"/>
      <c r="J7" s="37"/>
    </row>
    <row r="8" spans="1:10" s="32" customFormat="1" ht="16.5" customHeight="1">
      <c r="B8" s="76" t="s">
        <v>480</v>
      </c>
      <c r="C8" s="34"/>
      <c r="D8" s="35"/>
      <c r="E8" s="35"/>
      <c r="F8" s="516"/>
      <c r="G8" s="517"/>
      <c r="H8" s="516">
        <v>129</v>
      </c>
      <c r="I8" s="516">
        <v>137</v>
      </c>
      <c r="J8" s="11">
        <v>137</v>
      </c>
    </row>
    <row r="9" spans="1:10" s="32" customFormat="1" ht="15.2" customHeight="1">
      <c r="B9" s="39" t="s">
        <v>471</v>
      </c>
      <c r="C9" s="34"/>
      <c r="D9" s="47"/>
      <c r="E9" s="47"/>
      <c r="F9" s="507"/>
      <c r="G9" s="507"/>
      <c r="H9" s="42">
        <v>87</v>
      </c>
      <c r="I9" s="42">
        <v>91</v>
      </c>
      <c r="J9" s="12">
        <v>90</v>
      </c>
    </row>
    <row r="10" spans="1:10" s="32" customFormat="1" ht="15.2" customHeight="1">
      <c r="B10" s="39" t="s">
        <v>472</v>
      </c>
      <c r="C10" s="34"/>
      <c r="D10" s="47"/>
      <c r="E10" s="47"/>
      <c r="F10" s="507"/>
      <c r="G10" s="507"/>
      <c r="H10" s="42">
        <v>42</v>
      </c>
      <c r="I10" s="42">
        <v>49</v>
      </c>
      <c r="J10" s="12">
        <v>47</v>
      </c>
    </row>
    <row r="11" spans="1:10" s="32" customFormat="1" ht="16.5" customHeight="1">
      <c r="B11" s="33"/>
      <c r="C11" s="34"/>
      <c r="D11" s="35"/>
      <c r="E11" s="35"/>
      <c r="F11" s="35"/>
      <c r="G11" s="37"/>
      <c r="H11" s="42"/>
      <c r="I11" s="42"/>
      <c r="J11" s="12"/>
    </row>
    <row r="12" spans="1:10" s="32" customFormat="1" ht="15.2" customHeight="1">
      <c r="B12" s="38" t="s">
        <v>481</v>
      </c>
      <c r="C12" s="34"/>
      <c r="D12" s="35"/>
      <c r="E12" s="35"/>
      <c r="F12" s="35"/>
      <c r="G12" s="37"/>
      <c r="H12" s="42"/>
      <c r="I12" s="42"/>
      <c r="J12" s="12"/>
    </row>
    <row r="13" spans="1:10" s="32" customFormat="1" ht="15.2" customHeight="1">
      <c r="B13" s="39" t="s">
        <v>480</v>
      </c>
      <c r="C13" s="34"/>
      <c r="D13" s="35"/>
      <c r="E13" s="35"/>
      <c r="F13" s="516"/>
      <c r="G13" s="518"/>
      <c r="H13" s="516">
        <v>1</v>
      </c>
      <c r="I13" s="516">
        <v>1</v>
      </c>
      <c r="J13" s="11">
        <v>1</v>
      </c>
    </row>
    <row r="14" spans="1:10" s="32" customFormat="1" ht="15.2" customHeight="1">
      <c r="B14" s="39" t="s">
        <v>471</v>
      </c>
      <c r="C14" s="34"/>
      <c r="D14" s="47"/>
      <c r="E14" s="47"/>
      <c r="F14" s="507"/>
      <c r="G14" s="519"/>
      <c r="H14" s="1587" t="s">
        <v>204</v>
      </c>
      <c r="I14" s="1587" t="s">
        <v>204</v>
      </c>
      <c r="J14" s="1588" t="s">
        <v>204</v>
      </c>
    </row>
    <row r="15" spans="1:10" s="32" customFormat="1" ht="15.2" customHeight="1">
      <c r="B15" s="39" t="s">
        <v>472</v>
      </c>
      <c r="C15" s="34"/>
      <c r="D15" s="47"/>
      <c r="E15" s="47"/>
      <c r="F15" s="519"/>
      <c r="G15" s="507"/>
      <c r="H15" s="42">
        <v>1</v>
      </c>
      <c r="I15" s="42">
        <v>1</v>
      </c>
      <c r="J15" s="12">
        <v>1</v>
      </c>
    </row>
    <row r="16" spans="1:10" s="32" customFormat="1" ht="16.5" customHeight="1">
      <c r="B16" s="33"/>
      <c r="C16" s="34"/>
      <c r="D16" s="507"/>
      <c r="E16" s="507"/>
      <c r="F16" s="507"/>
      <c r="G16" s="507"/>
      <c r="H16" s="42"/>
      <c r="I16" s="42"/>
      <c r="J16" s="12"/>
    </row>
    <row r="17" spans="2:10" s="32" customFormat="1" ht="15.2" customHeight="1">
      <c r="B17" s="38" t="s">
        <v>482</v>
      </c>
      <c r="C17" s="34"/>
      <c r="D17" s="35"/>
      <c r="E17" s="35"/>
      <c r="F17" s="35"/>
      <c r="G17" s="37"/>
      <c r="H17" s="42"/>
      <c r="I17" s="42"/>
      <c r="J17" s="12"/>
    </row>
    <row r="18" spans="2:10" s="32" customFormat="1" ht="15.2" customHeight="1">
      <c r="B18" s="39" t="s">
        <v>480</v>
      </c>
      <c r="C18" s="34"/>
      <c r="D18" s="35"/>
      <c r="E18" s="35"/>
      <c r="F18" s="516"/>
      <c r="G18" s="518"/>
      <c r="H18" s="516">
        <v>1</v>
      </c>
      <c r="I18" s="516">
        <v>1</v>
      </c>
      <c r="J18" s="11">
        <v>1</v>
      </c>
    </row>
    <row r="19" spans="2:10" s="32" customFormat="1" ht="15.2" customHeight="1">
      <c r="B19" s="39" t="s">
        <v>471</v>
      </c>
      <c r="C19" s="34"/>
      <c r="D19" s="47"/>
      <c r="E19" s="47"/>
      <c r="F19" s="507"/>
      <c r="G19" s="519"/>
      <c r="H19" s="1587" t="s">
        <v>204</v>
      </c>
      <c r="I19" s="1587" t="s">
        <v>204</v>
      </c>
      <c r="J19" s="1588" t="s">
        <v>204</v>
      </c>
    </row>
    <row r="20" spans="2:10" s="32" customFormat="1" ht="15.2" customHeight="1">
      <c r="B20" s="39" t="s">
        <v>472</v>
      </c>
      <c r="C20" s="34"/>
      <c r="D20" s="47"/>
      <c r="E20" s="47"/>
      <c r="F20" s="519"/>
      <c r="G20" s="507"/>
      <c r="H20" s="42">
        <v>1</v>
      </c>
      <c r="I20" s="42">
        <v>1</v>
      </c>
      <c r="J20" s="12">
        <v>1</v>
      </c>
    </row>
    <row r="21" spans="2:10" s="32" customFormat="1" ht="16.5" customHeight="1">
      <c r="B21" s="33"/>
      <c r="C21" s="34"/>
      <c r="D21" s="507"/>
      <c r="E21" s="507"/>
      <c r="F21" s="507"/>
      <c r="G21" s="507"/>
      <c r="H21" s="42"/>
      <c r="I21" s="42"/>
      <c r="J21" s="12"/>
    </row>
    <row r="22" spans="2:10" s="32" customFormat="1" ht="15.2" customHeight="1">
      <c r="B22" s="38" t="s">
        <v>483</v>
      </c>
      <c r="C22" s="34"/>
      <c r="D22" s="35"/>
      <c r="E22" s="35"/>
      <c r="F22" s="35"/>
      <c r="G22" s="37"/>
      <c r="H22" s="42"/>
      <c r="I22" s="42"/>
      <c r="J22" s="12"/>
    </row>
    <row r="23" spans="2:10" s="32" customFormat="1" ht="15.2" customHeight="1">
      <c r="B23" s="39" t="s">
        <v>480</v>
      </c>
      <c r="C23" s="34"/>
      <c r="D23" s="35"/>
      <c r="E23" s="35"/>
      <c r="F23" s="516"/>
      <c r="G23" s="518"/>
      <c r="H23" s="516">
        <v>1</v>
      </c>
      <c r="I23" s="516">
        <v>1</v>
      </c>
      <c r="J23" s="11">
        <v>1</v>
      </c>
    </row>
    <row r="24" spans="2:10" s="32" customFormat="1" ht="15.2" customHeight="1">
      <c r="B24" s="39" t="s">
        <v>471</v>
      </c>
      <c r="C24" s="34"/>
      <c r="D24" s="47"/>
      <c r="E24" s="47"/>
      <c r="F24" s="507"/>
      <c r="G24" s="519"/>
      <c r="H24" s="1587" t="s">
        <v>204</v>
      </c>
      <c r="I24" s="42">
        <v>1</v>
      </c>
      <c r="J24" s="12">
        <v>1</v>
      </c>
    </row>
    <row r="25" spans="2:10" s="32" customFormat="1" ht="15.2" customHeight="1">
      <c r="B25" s="39" t="s">
        <v>472</v>
      </c>
      <c r="C25" s="34"/>
      <c r="D25" s="47"/>
      <c r="E25" s="47"/>
      <c r="F25" s="519"/>
      <c r="G25" s="507"/>
      <c r="H25" s="42">
        <v>1</v>
      </c>
      <c r="I25" s="1587" t="s">
        <v>204</v>
      </c>
      <c r="J25" s="1588" t="s">
        <v>204</v>
      </c>
    </row>
    <row r="26" spans="2:10" s="32" customFormat="1" ht="16.5" customHeight="1">
      <c r="B26" s="33"/>
      <c r="C26" s="34"/>
      <c r="D26" s="507"/>
      <c r="E26" s="507"/>
      <c r="F26" s="507"/>
      <c r="G26" s="507"/>
      <c r="H26" s="42"/>
      <c r="I26" s="42"/>
      <c r="J26" s="12"/>
    </row>
    <row r="27" spans="2:10" s="32" customFormat="1" ht="15.2" customHeight="1">
      <c r="B27" s="38" t="s">
        <v>484</v>
      </c>
      <c r="C27" s="34"/>
      <c r="D27" s="35"/>
      <c r="E27" s="35"/>
      <c r="F27" s="35"/>
      <c r="G27" s="37"/>
      <c r="H27" s="42"/>
      <c r="I27" s="42"/>
      <c r="J27" s="12"/>
    </row>
    <row r="28" spans="2:10" s="32" customFormat="1" ht="15.2" customHeight="1">
      <c r="B28" s="39" t="s">
        <v>480</v>
      </c>
      <c r="C28" s="34"/>
      <c r="D28" s="35"/>
      <c r="E28" s="35"/>
      <c r="F28" s="516"/>
      <c r="G28" s="518"/>
      <c r="H28" s="516">
        <v>1</v>
      </c>
      <c r="I28" s="516">
        <v>1</v>
      </c>
      <c r="J28" s="11">
        <v>1</v>
      </c>
    </row>
    <row r="29" spans="2:10" s="32" customFormat="1" ht="15.2" customHeight="1">
      <c r="B29" s="39" t="s">
        <v>471</v>
      </c>
      <c r="C29" s="34"/>
      <c r="D29" s="47"/>
      <c r="E29" s="47"/>
      <c r="F29" s="507"/>
      <c r="G29" s="519"/>
      <c r="H29" s="1587">
        <v>1</v>
      </c>
      <c r="I29" s="42">
        <v>1</v>
      </c>
      <c r="J29" s="12">
        <v>1</v>
      </c>
    </row>
    <row r="30" spans="2:10" s="32" customFormat="1" ht="15.2" customHeight="1">
      <c r="B30" s="39" t="s">
        <v>472</v>
      </c>
      <c r="C30" s="34"/>
      <c r="D30" s="47"/>
      <c r="E30" s="47"/>
      <c r="F30" s="519"/>
      <c r="G30" s="519"/>
      <c r="H30" s="1587" t="s">
        <v>204</v>
      </c>
      <c r="I30" s="1587" t="s">
        <v>204</v>
      </c>
      <c r="J30" s="1588" t="s">
        <v>204</v>
      </c>
    </row>
    <row r="31" spans="2:10" s="32" customFormat="1" ht="16.5" customHeight="1">
      <c r="B31" s="33"/>
      <c r="C31" s="34"/>
      <c r="D31" s="35"/>
      <c r="E31" s="35"/>
      <c r="F31" s="35"/>
      <c r="G31" s="37"/>
      <c r="H31" s="42"/>
      <c r="I31" s="42"/>
      <c r="J31" s="12"/>
    </row>
    <row r="32" spans="2:10" s="32" customFormat="1" ht="15.2" customHeight="1">
      <c r="B32" s="38" t="s">
        <v>485</v>
      </c>
      <c r="C32" s="34"/>
      <c r="D32" s="35"/>
      <c r="E32" s="35"/>
      <c r="F32" s="35"/>
      <c r="G32" s="37"/>
      <c r="H32" s="42"/>
      <c r="I32" s="42"/>
      <c r="J32" s="12"/>
    </row>
    <row r="33" spans="2:10" s="32" customFormat="1" ht="15.2" customHeight="1">
      <c r="B33" s="39" t="s">
        <v>480</v>
      </c>
      <c r="C33" s="34"/>
      <c r="D33" s="35"/>
      <c r="E33" s="35"/>
      <c r="F33" s="516"/>
      <c r="G33" s="518"/>
      <c r="H33" s="516">
        <v>9</v>
      </c>
      <c r="I33" s="516">
        <v>10</v>
      </c>
      <c r="J33" s="11">
        <v>10</v>
      </c>
    </row>
    <row r="34" spans="2:10" s="32" customFormat="1" ht="15.2" customHeight="1">
      <c r="B34" s="39" t="s">
        <v>471</v>
      </c>
      <c r="C34" s="34"/>
      <c r="D34" s="47"/>
      <c r="E34" s="47"/>
      <c r="F34" s="507"/>
      <c r="G34" s="507"/>
      <c r="H34" s="42">
        <v>5</v>
      </c>
      <c r="I34" s="42">
        <v>4</v>
      </c>
      <c r="J34" s="12">
        <v>4</v>
      </c>
    </row>
    <row r="35" spans="2:10" s="32" customFormat="1" ht="15.2" customHeight="1">
      <c r="B35" s="39" t="s">
        <v>472</v>
      </c>
      <c r="C35" s="34"/>
      <c r="D35" s="47"/>
      <c r="E35" s="47"/>
      <c r="F35" s="507"/>
      <c r="G35" s="507"/>
      <c r="H35" s="42">
        <v>4</v>
      </c>
      <c r="I35" s="42">
        <v>5</v>
      </c>
      <c r="J35" s="12">
        <v>6</v>
      </c>
    </row>
    <row r="36" spans="2:10" s="32" customFormat="1" ht="16.5" customHeight="1">
      <c r="B36" s="33"/>
      <c r="C36" s="34"/>
      <c r="D36" s="507"/>
      <c r="E36" s="507"/>
      <c r="F36" s="507"/>
      <c r="G36" s="507"/>
      <c r="H36" s="42"/>
      <c r="I36" s="42"/>
      <c r="J36" s="12"/>
    </row>
    <row r="37" spans="2:10" s="32" customFormat="1" ht="15.2" customHeight="1">
      <c r="B37" s="30" t="s">
        <v>486</v>
      </c>
      <c r="C37" s="34"/>
      <c r="D37" s="35"/>
      <c r="E37" s="35"/>
      <c r="F37" s="35"/>
      <c r="G37" s="37"/>
      <c r="H37" s="42"/>
      <c r="I37" s="42"/>
      <c r="J37" s="12"/>
    </row>
    <row r="38" spans="2:10" s="32" customFormat="1" ht="15.2" customHeight="1">
      <c r="B38" s="39" t="s">
        <v>480</v>
      </c>
      <c r="C38" s="34"/>
      <c r="D38" s="35"/>
      <c r="E38" s="35"/>
      <c r="F38" s="516"/>
      <c r="G38" s="518"/>
      <c r="H38" s="516">
        <v>24</v>
      </c>
      <c r="I38" s="516">
        <v>26</v>
      </c>
      <c r="J38" s="11">
        <v>28</v>
      </c>
    </row>
    <row r="39" spans="2:10" s="32" customFormat="1" ht="15.2" customHeight="1">
      <c r="B39" s="39" t="s">
        <v>471</v>
      </c>
      <c r="C39" s="34"/>
      <c r="D39" s="47"/>
      <c r="E39" s="47"/>
      <c r="F39" s="507"/>
      <c r="G39" s="507"/>
      <c r="H39" s="42">
        <v>13</v>
      </c>
      <c r="I39" s="42">
        <v>18</v>
      </c>
      <c r="J39" s="12">
        <v>19</v>
      </c>
    </row>
    <row r="40" spans="2:10" s="32" customFormat="1" ht="15.2" customHeight="1">
      <c r="B40" s="39" t="s">
        <v>472</v>
      </c>
      <c r="C40" s="34"/>
      <c r="D40" s="47"/>
      <c r="E40" s="47"/>
      <c r="F40" s="507"/>
      <c r="G40" s="507"/>
      <c r="H40" s="42">
        <v>11</v>
      </c>
      <c r="I40" s="42">
        <v>8</v>
      </c>
      <c r="J40" s="12">
        <v>9</v>
      </c>
    </row>
    <row r="41" spans="2:10" s="32" customFormat="1" ht="16.5" customHeight="1">
      <c r="B41" s="33"/>
      <c r="C41" s="34"/>
      <c r="D41" s="507"/>
      <c r="E41" s="507"/>
      <c r="F41" s="507"/>
      <c r="G41" s="507"/>
      <c r="H41" s="42"/>
      <c r="I41" s="42"/>
      <c r="J41" s="12"/>
    </row>
    <row r="42" spans="2:10" s="32" customFormat="1" ht="15.2" customHeight="1">
      <c r="B42" s="38" t="s">
        <v>487</v>
      </c>
      <c r="C42" s="34"/>
      <c r="D42" s="35"/>
      <c r="E42" s="35"/>
      <c r="F42" s="35"/>
      <c r="G42" s="37"/>
      <c r="H42" s="42"/>
      <c r="I42" s="42"/>
      <c r="J42" s="12"/>
    </row>
    <row r="43" spans="2:10" s="32" customFormat="1" ht="15.2" customHeight="1">
      <c r="B43" s="39" t="s">
        <v>480</v>
      </c>
      <c r="C43" s="34"/>
      <c r="D43" s="35"/>
      <c r="E43" s="35"/>
      <c r="F43" s="516"/>
      <c r="G43" s="518"/>
      <c r="H43" s="516">
        <v>59</v>
      </c>
      <c r="I43" s="516">
        <v>58</v>
      </c>
      <c r="J43" s="11">
        <v>50</v>
      </c>
    </row>
    <row r="44" spans="2:10" s="32" customFormat="1" ht="15.2" customHeight="1">
      <c r="B44" s="39" t="s">
        <v>471</v>
      </c>
      <c r="C44" s="34"/>
      <c r="D44" s="47"/>
      <c r="E44" s="47"/>
      <c r="F44" s="507"/>
      <c r="G44" s="507"/>
      <c r="H44" s="42">
        <v>42</v>
      </c>
      <c r="I44" s="42">
        <v>40</v>
      </c>
      <c r="J44" s="12">
        <v>36</v>
      </c>
    </row>
    <row r="45" spans="2:10" s="32" customFormat="1" ht="15.2" customHeight="1">
      <c r="B45" s="39" t="s">
        <v>472</v>
      </c>
      <c r="C45" s="34"/>
      <c r="D45" s="47"/>
      <c r="E45" s="47"/>
      <c r="F45" s="507"/>
      <c r="G45" s="507"/>
      <c r="H45" s="42">
        <v>17</v>
      </c>
      <c r="I45" s="42">
        <v>18</v>
      </c>
      <c r="J45" s="12">
        <v>14</v>
      </c>
    </row>
    <row r="46" spans="2:10" s="32" customFormat="1" ht="16.5" customHeight="1">
      <c r="B46" s="33"/>
      <c r="C46" s="34"/>
      <c r="D46" s="507"/>
      <c r="E46" s="507"/>
      <c r="F46" s="507"/>
      <c r="G46" s="507"/>
      <c r="H46" s="42"/>
      <c r="I46" s="42"/>
      <c r="J46" s="12"/>
    </row>
    <row r="47" spans="2:10" s="32" customFormat="1" ht="15.2" customHeight="1">
      <c r="B47" s="38" t="s">
        <v>1080</v>
      </c>
      <c r="C47" s="34"/>
      <c r="D47" s="35"/>
      <c r="E47" s="35"/>
      <c r="F47" s="35"/>
      <c r="G47" s="37"/>
      <c r="H47" s="42"/>
      <c r="I47" s="42"/>
      <c r="J47" s="12"/>
    </row>
    <row r="48" spans="2:10" s="32" customFormat="1" ht="15.2" customHeight="1">
      <c r="B48" s="39" t="s">
        <v>480</v>
      </c>
      <c r="C48" s="34"/>
      <c r="D48" s="35"/>
      <c r="E48" s="35"/>
      <c r="F48" s="516"/>
      <c r="G48" s="518"/>
      <c r="H48" s="516">
        <v>33</v>
      </c>
      <c r="I48" s="516">
        <v>39</v>
      </c>
      <c r="J48" s="11">
        <v>45</v>
      </c>
    </row>
    <row r="49" spans="1:11" s="32" customFormat="1" ht="15.2" customHeight="1">
      <c r="B49" s="39" t="s">
        <v>471</v>
      </c>
      <c r="C49" s="34"/>
      <c r="D49" s="47"/>
      <c r="E49" s="47"/>
      <c r="F49" s="507"/>
      <c r="G49" s="507"/>
      <c r="H49" s="42">
        <v>8</v>
      </c>
      <c r="I49" s="42">
        <v>27</v>
      </c>
      <c r="J49" s="12">
        <v>29</v>
      </c>
    </row>
    <row r="50" spans="1:11" s="32" customFormat="1" ht="15.2" customHeight="1">
      <c r="B50" s="39" t="s">
        <v>472</v>
      </c>
      <c r="C50" s="34"/>
      <c r="D50" s="47"/>
      <c r="E50" s="47"/>
      <c r="F50" s="507"/>
      <c r="G50" s="507"/>
      <c r="H50" s="42">
        <v>25</v>
      </c>
      <c r="I50" s="42">
        <v>12</v>
      </c>
      <c r="J50" s="12">
        <v>16</v>
      </c>
    </row>
    <row r="51" spans="1:11" s="30" customFormat="1" ht="15.2" customHeight="1">
      <c r="B51" s="38"/>
      <c r="C51" s="508"/>
      <c r="D51" s="42"/>
      <c r="E51" s="42"/>
      <c r="F51" s="41"/>
      <c r="G51" s="37"/>
      <c r="H51" s="42"/>
      <c r="I51" s="42"/>
      <c r="J51" s="42"/>
      <c r="K51" s="32"/>
    </row>
    <row r="52" spans="1:11" s="28" customFormat="1" ht="8.25" customHeight="1">
      <c r="B52" s="44"/>
      <c r="C52" s="38"/>
      <c r="D52" s="509"/>
      <c r="E52" s="45"/>
      <c r="F52" s="45"/>
      <c r="G52" s="46"/>
      <c r="H52" s="1589"/>
      <c r="I52" s="1589"/>
      <c r="J52" s="1589"/>
    </row>
    <row r="53" spans="1:11" s="28" customFormat="1" ht="8.25" customHeight="1" thickBot="1">
      <c r="A53" s="521"/>
      <c r="B53" s="521"/>
      <c r="C53" s="521"/>
      <c r="D53" s="522"/>
      <c r="E53" s="522"/>
      <c r="F53" s="522"/>
      <c r="G53" s="522"/>
      <c r="H53" s="522"/>
      <c r="I53" s="522"/>
      <c r="J53" s="522"/>
    </row>
    <row r="54" spans="1:11" s="28" customFormat="1" ht="15.2" customHeight="1">
      <c r="D54" s="511"/>
      <c r="E54" s="512"/>
      <c r="F54" s="45"/>
      <c r="G54" s="511"/>
      <c r="H54" s="511"/>
      <c r="I54" s="511"/>
      <c r="J54" s="51" t="s">
        <v>488</v>
      </c>
    </row>
    <row r="55" spans="1:11" s="28" customFormat="1" ht="15.2" customHeight="1">
      <c r="B55" s="52"/>
      <c r="C55" s="50"/>
      <c r="D55" s="50"/>
      <c r="E55" s="50"/>
      <c r="G55" s="50"/>
      <c r="H55" s="50"/>
      <c r="I55" s="50"/>
      <c r="J55" s="53" t="s">
        <v>489</v>
      </c>
    </row>
    <row r="56" spans="1:11" s="28" customFormat="1" ht="15.2" customHeight="1">
      <c r="B56" s="52"/>
      <c r="C56" s="50"/>
      <c r="D56" s="50"/>
      <c r="E56" s="50"/>
      <c r="G56" s="50"/>
      <c r="H56" s="50"/>
      <c r="I56" s="50"/>
      <c r="J56" s="53"/>
    </row>
    <row r="57" spans="1:11" s="28" customFormat="1" ht="15.2" customHeight="1">
      <c r="A57" s="50"/>
      <c r="B57" s="50"/>
      <c r="C57" s="50"/>
      <c r="D57" s="50"/>
      <c r="E57" s="50"/>
      <c r="G57" s="50"/>
      <c r="H57" s="50"/>
      <c r="I57" s="50"/>
      <c r="J57" s="53"/>
    </row>
    <row r="58" spans="1:11" s="55" customFormat="1" ht="15.2" customHeight="1">
      <c r="A58" s="26"/>
      <c r="B58" s="523"/>
      <c r="C58" s="30"/>
      <c r="D58" s="54"/>
      <c r="E58" s="54"/>
      <c r="F58" s="54"/>
      <c r="G58" s="26"/>
      <c r="H58" s="28"/>
      <c r="I58" s="28"/>
      <c r="J58" s="28"/>
    </row>
    <row r="59" spans="1:11" s="55" customFormat="1" ht="15.2" customHeight="1">
      <c r="A59" s="26"/>
      <c r="B59" s="524"/>
      <c r="C59" s="30"/>
      <c r="D59" s="54"/>
      <c r="E59" s="54"/>
      <c r="F59" s="54"/>
      <c r="G59" s="26"/>
      <c r="H59" s="28"/>
      <c r="I59" s="28"/>
      <c r="J59" s="28"/>
    </row>
  </sheetData>
  <mergeCells count="1">
    <mergeCell ref="B6:C6"/>
  </mergeCells>
  <conditionalFormatting sqref="C51">
    <cfRule type="cellIs" dxfId="39" priority="1"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78"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47">
    <pageSetUpPr fitToPage="1"/>
  </sheetPr>
  <dimension ref="A1:K44"/>
  <sheetViews>
    <sheetView view="pageBreakPreview" topLeftCell="A37" zoomScaleNormal="100" zoomScaleSheetLayoutView="100" workbookViewId="0">
      <selection activeCell="N8" sqref="N8"/>
    </sheetView>
  </sheetViews>
  <sheetFormatPr defaultRowHeight="15"/>
  <cols>
    <col min="1" max="1" width="3.42578125" customWidth="1"/>
    <col min="5" max="5" width="44" customWidth="1"/>
    <col min="6" max="7" width="2.28515625" customWidth="1"/>
    <col min="8" max="8" width="12.28515625" customWidth="1"/>
    <col min="9" max="9" width="12.5703125" customWidth="1"/>
    <col min="10" max="10" width="13" style="84" customWidth="1"/>
  </cols>
  <sheetData>
    <row r="1" spans="1:10" s="26" customFormat="1" ht="8.25" customHeight="1"/>
    <row r="2" spans="1:10" s="26" customFormat="1" ht="8.25" customHeight="1"/>
    <row r="3" spans="1:10" s="26" customFormat="1" ht="16.5" customHeight="1">
      <c r="B3" s="244" t="s">
        <v>490</v>
      </c>
      <c r="C3" s="150" t="s">
        <v>1418</v>
      </c>
      <c r="F3" s="27"/>
    </row>
    <row r="4" spans="1:10" s="26" customFormat="1" ht="16.5" customHeight="1">
      <c r="B4" s="245" t="s">
        <v>491</v>
      </c>
      <c r="C4" s="151" t="s">
        <v>1419</v>
      </c>
      <c r="D4" s="28"/>
      <c r="E4" s="28"/>
      <c r="F4" s="27"/>
    </row>
    <row r="5" spans="1:10" s="26" customFormat="1" ht="13.15" customHeight="1" thickBot="1">
      <c r="A5" s="29"/>
      <c r="B5" s="29"/>
      <c r="C5" s="29"/>
      <c r="D5" s="29"/>
      <c r="E5" s="29"/>
      <c r="F5" s="30"/>
    </row>
    <row r="6" spans="1:10" s="32" customFormat="1" ht="43.15" customHeight="1" thickBot="1">
      <c r="A6" s="7"/>
      <c r="B6" s="2651" t="s">
        <v>469</v>
      </c>
      <c r="C6" s="2660"/>
      <c r="D6" s="7"/>
      <c r="E6" s="7"/>
      <c r="F6" s="31"/>
      <c r="G6" s="31"/>
      <c r="H6" s="31">
        <v>2022</v>
      </c>
      <c r="I6" s="31">
        <v>2023</v>
      </c>
      <c r="J6" s="31">
        <v>2024</v>
      </c>
    </row>
    <row r="7" spans="1:10" s="32" customFormat="1" ht="16.5" customHeight="1">
      <c r="B7" s="33"/>
      <c r="C7" s="34"/>
      <c r="D7" s="35"/>
      <c r="E7" s="35"/>
      <c r="F7" s="35"/>
      <c r="G7" s="36"/>
      <c r="H7" s="37"/>
      <c r="I7" s="37"/>
      <c r="J7" s="37"/>
    </row>
    <row r="8" spans="1:10" s="32" customFormat="1" ht="16.5" customHeight="1">
      <c r="B8" s="76" t="s">
        <v>480</v>
      </c>
      <c r="C8" s="34"/>
      <c r="D8" s="35"/>
      <c r="E8" s="35"/>
      <c r="F8" s="42"/>
      <c r="G8" s="525"/>
      <c r="H8" s="516">
        <v>202</v>
      </c>
      <c r="I8" s="516">
        <v>204</v>
      </c>
      <c r="J8" s="516">
        <v>201</v>
      </c>
    </row>
    <row r="9" spans="1:10" s="32" customFormat="1" ht="15.2" customHeight="1">
      <c r="B9" s="39" t="s">
        <v>471</v>
      </c>
      <c r="C9" s="34"/>
      <c r="D9" s="47"/>
      <c r="E9" s="47"/>
      <c r="F9" s="507"/>
      <c r="G9" s="507"/>
      <c r="H9" s="42">
        <v>175</v>
      </c>
      <c r="I9" s="42">
        <v>175</v>
      </c>
      <c r="J9" s="42">
        <v>170</v>
      </c>
    </row>
    <row r="10" spans="1:10" s="32" customFormat="1" ht="15.2" customHeight="1">
      <c r="B10" s="39" t="s">
        <v>472</v>
      </c>
      <c r="C10" s="34"/>
      <c r="D10" s="47"/>
      <c r="E10" s="47"/>
      <c r="F10" s="507"/>
      <c r="G10" s="507"/>
      <c r="H10" s="42">
        <v>27</v>
      </c>
      <c r="I10" s="42">
        <v>29</v>
      </c>
      <c r="J10" s="42">
        <v>31</v>
      </c>
    </row>
    <row r="11" spans="1:10" s="32" customFormat="1" ht="16.5" customHeight="1">
      <c r="B11" s="33"/>
      <c r="C11" s="34"/>
      <c r="D11" s="35"/>
      <c r="E11" s="35"/>
      <c r="F11" s="41"/>
      <c r="G11" s="525"/>
      <c r="H11" s="42"/>
      <c r="I11" s="42"/>
      <c r="J11" s="42"/>
    </row>
    <row r="12" spans="1:10" s="32" customFormat="1" ht="15.2" customHeight="1">
      <c r="B12" s="38" t="s">
        <v>492</v>
      </c>
      <c r="C12" s="34"/>
      <c r="D12" s="35"/>
      <c r="E12" s="35"/>
      <c r="F12" s="41"/>
      <c r="G12" s="525"/>
      <c r="H12" s="42"/>
      <c r="I12" s="42"/>
      <c r="J12" s="42"/>
    </row>
    <row r="13" spans="1:10" s="32" customFormat="1" ht="15.2" customHeight="1">
      <c r="B13" s="39" t="s">
        <v>480</v>
      </c>
      <c r="C13" s="34"/>
      <c r="D13" s="35"/>
      <c r="E13" s="35"/>
      <c r="F13" s="42"/>
      <c r="G13" s="42"/>
      <c r="H13" s="516">
        <v>1</v>
      </c>
      <c r="I13" s="516">
        <v>1</v>
      </c>
      <c r="J13" s="516">
        <v>1</v>
      </c>
    </row>
    <row r="14" spans="1:10" s="32" customFormat="1" ht="15.2" customHeight="1">
      <c r="B14" s="39" t="s">
        <v>471</v>
      </c>
      <c r="C14" s="34"/>
      <c r="D14" s="47"/>
      <c r="E14" s="47"/>
      <c r="F14" s="507"/>
      <c r="G14" s="507"/>
      <c r="H14" s="42">
        <v>1</v>
      </c>
      <c r="I14" s="42">
        <v>1</v>
      </c>
      <c r="J14" s="1587">
        <v>1</v>
      </c>
    </row>
    <row r="15" spans="1:10" s="32" customFormat="1" ht="15.2" customHeight="1">
      <c r="B15" s="39" t="s">
        <v>472</v>
      </c>
      <c r="C15" s="34"/>
      <c r="D15" s="47"/>
      <c r="E15" s="47"/>
      <c r="F15" s="519"/>
      <c r="G15" s="519"/>
      <c r="H15" s="1587" t="s">
        <v>204</v>
      </c>
      <c r="I15" s="1587" t="s">
        <v>204</v>
      </c>
      <c r="J15" s="1587" t="s">
        <v>204</v>
      </c>
    </row>
    <row r="16" spans="1:10" s="32" customFormat="1" ht="16.5" customHeight="1">
      <c r="B16" s="33"/>
      <c r="C16" s="34"/>
      <c r="D16" s="507"/>
      <c r="E16" s="507"/>
      <c r="F16" s="507"/>
      <c r="G16" s="507"/>
      <c r="H16" s="42"/>
      <c r="I16" s="42"/>
      <c r="J16" s="42"/>
    </row>
    <row r="17" spans="2:10" s="32" customFormat="1" ht="15.2" customHeight="1">
      <c r="B17" s="38" t="s">
        <v>493</v>
      </c>
      <c r="C17" s="34"/>
      <c r="D17" s="35"/>
      <c r="E17" s="35"/>
      <c r="F17" s="41"/>
      <c r="G17" s="525"/>
      <c r="H17" s="42"/>
      <c r="I17" s="42"/>
      <c r="J17" s="42"/>
    </row>
    <row r="18" spans="2:10" s="32" customFormat="1" ht="15.2" customHeight="1">
      <c r="B18" s="39" t="s">
        <v>480</v>
      </c>
      <c r="C18" s="34"/>
      <c r="D18" s="35"/>
      <c r="E18" s="35"/>
      <c r="F18" s="42"/>
      <c r="G18" s="42"/>
      <c r="H18" s="516">
        <v>6</v>
      </c>
      <c r="I18" s="516">
        <v>6</v>
      </c>
      <c r="J18" s="516">
        <v>5</v>
      </c>
    </row>
    <row r="19" spans="2:10" s="32" customFormat="1" ht="15.2" customHeight="1">
      <c r="B19" s="39" t="s">
        <v>471</v>
      </c>
      <c r="C19" s="34"/>
      <c r="D19" s="47"/>
      <c r="E19" s="47"/>
      <c r="F19" s="507"/>
      <c r="G19" s="507"/>
      <c r="H19" s="42">
        <v>6</v>
      </c>
      <c r="I19" s="42">
        <v>6</v>
      </c>
      <c r="J19" s="1587">
        <v>5</v>
      </c>
    </row>
    <row r="20" spans="2:10" s="32" customFormat="1" ht="15.2" customHeight="1">
      <c r="B20" s="39" t="s">
        <v>472</v>
      </c>
      <c r="C20" s="34"/>
      <c r="D20" s="47"/>
      <c r="E20" s="47"/>
      <c r="F20" s="519"/>
      <c r="G20" s="519"/>
      <c r="H20" s="1587" t="s">
        <v>204</v>
      </c>
      <c r="I20" s="1587" t="s">
        <v>204</v>
      </c>
      <c r="J20" s="1587" t="s">
        <v>204</v>
      </c>
    </row>
    <row r="21" spans="2:10" s="32" customFormat="1" ht="16.5" customHeight="1">
      <c r="B21" s="33"/>
      <c r="C21" s="34"/>
      <c r="D21" s="507"/>
      <c r="E21" s="507"/>
      <c r="F21" s="507"/>
      <c r="G21" s="507"/>
      <c r="H21" s="42"/>
      <c r="I21" s="42"/>
      <c r="J21" s="42"/>
    </row>
    <row r="22" spans="2:10" s="32" customFormat="1" ht="15.2" customHeight="1">
      <c r="B22" s="38" t="s">
        <v>494</v>
      </c>
      <c r="C22" s="34"/>
      <c r="D22" s="35"/>
      <c r="E22" s="35"/>
      <c r="F22" s="41"/>
      <c r="G22" s="525"/>
      <c r="H22" s="42"/>
      <c r="I22" s="42"/>
      <c r="J22" s="42"/>
    </row>
    <row r="23" spans="2:10" s="32" customFormat="1" ht="15.2" customHeight="1">
      <c r="B23" s="39" t="s">
        <v>480</v>
      </c>
      <c r="C23" s="34"/>
      <c r="D23" s="35"/>
      <c r="E23" s="35"/>
      <c r="F23" s="42"/>
      <c r="G23" s="42"/>
      <c r="H23" s="516">
        <v>12</v>
      </c>
      <c r="I23" s="516">
        <v>13</v>
      </c>
      <c r="J23" s="516">
        <v>13</v>
      </c>
    </row>
    <row r="24" spans="2:10" s="32" customFormat="1" ht="15.2" customHeight="1">
      <c r="B24" s="39" t="s">
        <v>471</v>
      </c>
      <c r="C24" s="34"/>
      <c r="D24" s="47"/>
      <c r="E24" s="47"/>
      <c r="F24" s="507"/>
      <c r="G24" s="519"/>
      <c r="H24" s="42">
        <v>12</v>
      </c>
      <c r="I24" s="1587">
        <v>13</v>
      </c>
      <c r="J24" s="1587">
        <v>13</v>
      </c>
    </row>
    <row r="25" spans="2:10" s="32" customFormat="1" ht="15.2" customHeight="1">
      <c r="B25" s="39" t="s">
        <v>472</v>
      </c>
      <c r="C25" s="34"/>
      <c r="D25" s="47"/>
      <c r="E25" s="47"/>
      <c r="F25" s="519"/>
      <c r="G25" s="519"/>
      <c r="H25" s="1587" t="s">
        <v>204</v>
      </c>
      <c r="I25" s="1587" t="s">
        <v>204</v>
      </c>
      <c r="J25" s="1587" t="s">
        <v>204</v>
      </c>
    </row>
    <row r="26" spans="2:10" s="32" customFormat="1" ht="16.5" customHeight="1">
      <c r="B26" s="33"/>
      <c r="C26" s="34"/>
      <c r="D26" s="507"/>
      <c r="E26" s="507"/>
      <c r="F26" s="507"/>
      <c r="G26" s="507"/>
      <c r="H26" s="42"/>
      <c r="I26" s="42"/>
      <c r="J26" s="42"/>
    </row>
    <row r="27" spans="2:10" s="32" customFormat="1" ht="15.2" customHeight="1">
      <c r="B27" s="38" t="s">
        <v>495</v>
      </c>
      <c r="C27" s="34"/>
      <c r="D27" s="35"/>
      <c r="E27" s="35"/>
      <c r="F27" s="41"/>
      <c r="G27" s="525"/>
      <c r="H27" s="42"/>
      <c r="I27" s="42"/>
      <c r="J27" s="42"/>
    </row>
    <row r="28" spans="2:10" s="32" customFormat="1" ht="15.2" customHeight="1">
      <c r="B28" s="39" t="s">
        <v>480</v>
      </c>
      <c r="C28" s="34"/>
      <c r="D28" s="35"/>
      <c r="E28" s="35"/>
      <c r="F28" s="42"/>
      <c r="G28" s="42"/>
      <c r="H28" s="516">
        <v>15</v>
      </c>
      <c r="I28" s="516">
        <v>14</v>
      </c>
      <c r="J28" s="516">
        <v>13</v>
      </c>
    </row>
    <row r="29" spans="2:10" s="32" customFormat="1" ht="15.2" customHeight="1">
      <c r="B29" s="39" t="s">
        <v>471</v>
      </c>
      <c r="C29" s="34"/>
      <c r="D29" s="47"/>
      <c r="E29" s="47"/>
      <c r="F29" s="507"/>
      <c r="G29" s="519"/>
      <c r="H29" s="42">
        <v>10</v>
      </c>
      <c r="I29" s="1587">
        <v>11</v>
      </c>
      <c r="J29" s="1587">
        <v>11</v>
      </c>
    </row>
    <row r="30" spans="2:10" s="32" customFormat="1" ht="15.2" customHeight="1">
      <c r="B30" s="39" t="s">
        <v>472</v>
      </c>
      <c r="C30" s="34"/>
      <c r="D30" s="47"/>
      <c r="E30" s="47"/>
      <c r="F30" s="519"/>
      <c r="G30" s="519"/>
      <c r="H30" s="1587">
        <v>5</v>
      </c>
      <c r="I30" s="1587">
        <v>3</v>
      </c>
      <c r="J30" s="1587">
        <v>2</v>
      </c>
    </row>
    <row r="31" spans="2:10" s="32" customFormat="1" ht="16.5" customHeight="1">
      <c r="B31" s="33"/>
      <c r="C31" s="34"/>
      <c r="D31" s="35"/>
      <c r="E31" s="35"/>
      <c r="F31" s="41"/>
      <c r="G31" s="525"/>
      <c r="H31" s="42"/>
      <c r="I31" s="42"/>
      <c r="J31" s="42"/>
    </row>
    <row r="32" spans="2:10" s="32" customFormat="1" ht="15.2" customHeight="1">
      <c r="B32" s="38" t="s">
        <v>496</v>
      </c>
      <c r="C32" s="34"/>
      <c r="D32" s="35"/>
      <c r="E32" s="35"/>
      <c r="F32" s="41"/>
      <c r="G32" s="525"/>
      <c r="H32" s="42"/>
      <c r="I32" s="42"/>
      <c r="J32" s="42"/>
    </row>
    <row r="33" spans="1:11" s="32" customFormat="1" ht="15.2" customHeight="1">
      <c r="B33" s="39" t="s">
        <v>480</v>
      </c>
      <c r="C33" s="34"/>
      <c r="D33" s="35"/>
      <c r="E33" s="35"/>
      <c r="F33" s="42"/>
      <c r="G33" s="42"/>
      <c r="H33" s="516">
        <v>168</v>
      </c>
      <c r="I33" s="516">
        <v>170</v>
      </c>
      <c r="J33" s="516">
        <v>169</v>
      </c>
    </row>
    <row r="34" spans="1:11" s="32" customFormat="1" ht="15.2" customHeight="1">
      <c r="B34" s="39" t="s">
        <v>471</v>
      </c>
      <c r="C34" s="34"/>
      <c r="D34" s="47"/>
      <c r="E34" s="47"/>
      <c r="F34" s="507"/>
      <c r="G34" s="507"/>
      <c r="H34" s="42">
        <v>146</v>
      </c>
      <c r="I34" s="42">
        <v>144</v>
      </c>
      <c r="J34" s="42">
        <v>140</v>
      </c>
    </row>
    <row r="35" spans="1:11" s="32" customFormat="1" ht="15.2" customHeight="1">
      <c r="B35" s="39" t="s">
        <v>472</v>
      </c>
      <c r="C35" s="34"/>
      <c r="D35" s="47"/>
      <c r="E35" s="47"/>
      <c r="F35" s="507"/>
      <c r="G35" s="507"/>
      <c r="H35" s="42">
        <v>22</v>
      </c>
      <c r="I35" s="42">
        <v>26</v>
      </c>
      <c r="J35" s="42">
        <v>29</v>
      </c>
    </row>
    <row r="36" spans="1:11" s="30" customFormat="1" ht="15.2" customHeight="1">
      <c r="B36" s="38"/>
      <c r="C36" s="508"/>
      <c r="D36" s="42"/>
      <c r="E36" s="42"/>
      <c r="F36" s="41"/>
      <c r="G36" s="43"/>
      <c r="H36" s="42"/>
      <c r="I36" s="42"/>
      <c r="J36" s="42"/>
      <c r="K36" s="32"/>
    </row>
    <row r="37" spans="1:11" s="28" customFormat="1" ht="8.25" customHeight="1">
      <c r="B37" s="44"/>
      <c r="C37" s="38"/>
      <c r="D37" s="509"/>
      <c r="E37" s="45"/>
      <c r="F37" s="45"/>
      <c r="G37" s="46"/>
      <c r="H37" s="45"/>
      <c r="I37" s="45"/>
      <c r="J37" s="45"/>
    </row>
    <row r="38" spans="1:11" s="28" customFormat="1" ht="8.25" customHeight="1" thickBot="1">
      <c r="A38" s="521"/>
      <c r="B38" s="521"/>
      <c r="C38" s="521"/>
      <c r="D38" s="522"/>
      <c r="E38" s="522"/>
      <c r="F38" s="522"/>
      <c r="G38" s="522"/>
      <c r="H38" s="522"/>
      <c r="I38" s="522"/>
      <c r="J38" s="522"/>
    </row>
    <row r="39" spans="1:11" s="28" customFormat="1" ht="15.2" customHeight="1">
      <c r="D39" s="511"/>
      <c r="E39" s="512"/>
      <c r="F39" s="45"/>
      <c r="G39" s="511"/>
      <c r="H39" s="511"/>
      <c r="I39" s="511"/>
      <c r="J39" s="51" t="s">
        <v>497</v>
      </c>
    </row>
    <row r="40" spans="1:11" s="28" customFormat="1" ht="15.2" customHeight="1">
      <c r="B40" s="52"/>
      <c r="C40" s="50"/>
      <c r="D40" s="50"/>
      <c r="E40" s="50"/>
      <c r="G40" s="50"/>
      <c r="H40" s="50"/>
      <c r="I40" s="50"/>
      <c r="J40" s="53" t="s">
        <v>498</v>
      </c>
    </row>
    <row r="41" spans="1:11" s="28" customFormat="1" ht="15.2" customHeight="1">
      <c r="B41" s="52"/>
      <c r="C41" s="50"/>
      <c r="D41" s="50"/>
      <c r="E41" s="50"/>
      <c r="G41" s="50"/>
      <c r="H41" s="50"/>
      <c r="I41" s="50"/>
      <c r="J41" s="53"/>
    </row>
    <row r="42" spans="1:11" s="28" customFormat="1" ht="15.2" customHeight="1">
      <c r="A42" s="50"/>
      <c r="B42" s="50"/>
      <c r="C42" s="50"/>
      <c r="D42" s="50"/>
      <c r="E42" s="50"/>
      <c r="G42" s="50"/>
      <c r="H42" s="50"/>
      <c r="I42" s="50"/>
      <c r="J42" s="53"/>
    </row>
    <row r="43" spans="1:11" s="55" customFormat="1" ht="15.2" customHeight="1">
      <c r="A43" s="26"/>
      <c r="B43" s="523"/>
      <c r="C43" s="30"/>
      <c r="D43" s="54"/>
      <c r="E43" s="54"/>
      <c r="F43" s="54"/>
      <c r="G43" s="26"/>
      <c r="H43" s="28"/>
      <c r="I43" s="28"/>
      <c r="J43" s="28"/>
    </row>
    <row r="44" spans="1:11" s="55" customFormat="1" ht="15.2" customHeight="1">
      <c r="A44" s="26"/>
      <c r="B44" s="524"/>
      <c r="C44" s="30"/>
      <c r="D44" s="54"/>
      <c r="E44" s="54"/>
      <c r="F44" s="54"/>
      <c r="G44" s="26"/>
      <c r="H44" s="28"/>
      <c r="I44" s="28"/>
      <c r="J44" s="28"/>
    </row>
  </sheetData>
  <mergeCells count="1">
    <mergeCell ref="B6:C6"/>
  </mergeCells>
  <conditionalFormatting sqref="C36">
    <cfRule type="cellIs" dxfId="38" priority="1"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77"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48">
    <pageSetUpPr fitToPage="1"/>
  </sheetPr>
  <dimension ref="A1:P51"/>
  <sheetViews>
    <sheetView view="pageBreakPreview" topLeftCell="A46" zoomScale="90" zoomScaleNormal="100" zoomScaleSheetLayoutView="90" workbookViewId="0">
      <selection activeCell="O6" sqref="O6"/>
    </sheetView>
  </sheetViews>
  <sheetFormatPr defaultRowHeight="15"/>
  <cols>
    <col min="1" max="1" width="3.5703125" customWidth="1"/>
    <col min="2" max="2" width="13.5703125" customWidth="1"/>
    <col min="4" max="4" width="57.5703125" customWidth="1"/>
    <col min="5" max="5" width="1.7109375" customWidth="1"/>
    <col min="6" max="6" width="1.42578125" customWidth="1"/>
    <col min="7" max="7" width="13.5703125" customWidth="1"/>
    <col min="8" max="8" width="12.85546875" customWidth="1"/>
    <col min="9" max="9" width="13.140625" style="84" customWidth="1"/>
  </cols>
  <sheetData>
    <row r="1" spans="1:9" s="26" customFormat="1" ht="8.25" customHeight="1"/>
    <row r="2" spans="1:9" s="26" customFormat="1" ht="8.25" customHeight="1"/>
    <row r="3" spans="1:9" s="26" customFormat="1" ht="30.6" customHeight="1">
      <c r="B3" s="1637" t="s">
        <v>499</v>
      </c>
      <c r="C3" s="2765" t="s">
        <v>1420</v>
      </c>
      <c r="D3" s="2765"/>
      <c r="E3" s="2765"/>
      <c r="F3" s="2765"/>
      <c r="G3" s="2765"/>
      <c r="H3" s="2765"/>
      <c r="I3" s="2765"/>
    </row>
    <row r="4" spans="1:9" s="26" customFormat="1" ht="31.5" customHeight="1">
      <c r="B4" s="1638" t="s">
        <v>500</v>
      </c>
      <c r="C4" s="2766" t="s">
        <v>1421</v>
      </c>
      <c r="D4" s="2766"/>
      <c r="E4" s="2766"/>
      <c r="F4" s="2766"/>
      <c r="G4" s="2766"/>
      <c r="H4" s="2766"/>
      <c r="I4" s="2766"/>
    </row>
    <row r="5" spans="1:9" s="26" customFormat="1" ht="13.15" customHeight="1" thickBot="1">
      <c r="A5" s="29"/>
      <c r="B5" s="29"/>
      <c r="C5" s="29"/>
      <c r="D5" s="29"/>
      <c r="E5" s="29"/>
      <c r="F5" s="30"/>
    </row>
    <row r="6" spans="1:9" s="32" customFormat="1" ht="43.15" customHeight="1" thickBot="1">
      <c r="A6" s="7"/>
      <c r="B6" s="2651" t="s">
        <v>469</v>
      </c>
      <c r="C6" s="2660"/>
      <c r="D6" s="7"/>
      <c r="E6" s="7"/>
      <c r="F6" s="31"/>
      <c r="G6" s="31">
        <v>2022</v>
      </c>
      <c r="H6" s="31">
        <v>2023</v>
      </c>
      <c r="I6" s="31">
        <v>2024</v>
      </c>
    </row>
    <row r="7" spans="1:9" s="32" customFormat="1" ht="16.5" customHeight="1">
      <c r="B7" s="33"/>
      <c r="C7" s="34"/>
      <c r="D7" s="35"/>
      <c r="E7" s="35"/>
      <c r="F7" s="35"/>
      <c r="G7" s="37"/>
      <c r="H7" s="37"/>
      <c r="I7" s="37"/>
    </row>
    <row r="8" spans="1:9" s="32" customFormat="1" ht="16.5" customHeight="1">
      <c r="B8" s="76" t="s">
        <v>480</v>
      </c>
      <c r="C8" s="34"/>
      <c r="D8" s="35"/>
      <c r="E8" s="35"/>
      <c r="F8" s="516"/>
      <c r="G8" s="516">
        <v>224</v>
      </c>
      <c r="H8" s="516">
        <v>245</v>
      </c>
      <c r="I8" s="516">
        <v>265</v>
      </c>
    </row>
    <row r="9" spans="1:9" s="32" customFormat="1" ht="15.2" customHeight="1">
      <c r="B9" s="39" t="s">
        <v>471</v>
      </c>
      <c r="C9" s="34"/>
      <c r="D9" s="47"/>
      <c r="E9" s="47"/>
      <c r="F9" s="507"/>
      <c r="G9" s="42">
        <v>182</v>
      </c>
      <c r="H9" s="42">
        <v>203</v>
      </c>
      <c r="I9" s="42">
        <v>223</v>
      </c>
    </row>
    <row r="10" spans="1:9" s="32" customFormat="1" ht="15.2" customHeight="1">
      <c r="B10" s="39" t="s">
        <v>472</v>
      </c>
      <c r="C10" s="34"/>
      <c r="D10" s="47"/>
      <c r="E10" s="47"/>
      <c r="F10" s="507"/>
      <c r="G10" s="42">
        <v>42</v>
      </c>
      <c r="H10" s="42">
        <v>42</v>
      </c>
      <c r="I10" s="42">
        <v>42</v>
      </c>
    </row>
    <row r="11" spans="1:9" s="32" customFormat="1" ht="16.5" customHeight="1">
      <c r="B11" s="33"/>
      <c r="C11" s="34"/>
      <c r="D11" s="35"/>
      <c r="E11" s="35"/>
      <c r="F11" s="35"/>
      <c r="G11" s="516"/>
      <c r="H11" s="516"/>
      <c r="I11" s="42"/>
    </row>
    <row r="12" spans="1:9" s="32" customFormat="1" ht="15.2" customHeight="1">
      <c r="B12" s="38" t="s">
        <v>501</v>
      </c>
      <c r="C12" s="34"/>
      <c r="D12" s="35"/>
      <c r="E12" s="35"/>
      <c r="F12" s="35"/>
      <c r="G12" s="516"/>
      <c r="H12" s="516"/>
      <c r="I12" s="42"/>
    </row>
    <row r="13" spans="1:9" s="32" customFormat="1" ht="15.2" customHeight="1">
      <c r="B13" s="39" t="s">
        <v>480</v>
      </c>
      <c r="C13" s="34"/>
      <c r="D13" s="35"/>
      <c r="E13" s="35"/>
      <c r="F13" s="516"/>
      <c r="G13" s="516">
        <v>1</v>
      </c>
      <c r="H13" s="516">
        <v>1</v>
      </c>
      <c r="I13" s="516">
        <v>1</v>
      </c>
    </row>
    <row r="14" spans="1:9" s="32" customFormat="1" ht="15.2" customHeight="1">
      <c r="B14" s="39" t="s">
        <v>471</v>
      </c>
      <c r="C14" s="34"/>
      <c r="D14" s="47"/>
      <c r="E14" s="47"/>
      <c r="F14" s="507"/>
      <c r="G14" s="42">
        <v>1</v>
      </c>
      <c r="H14" s="42">
        <v>1</v>
      </c>
      <c r="I14" s="1587">
        <v>1</v>
      </c>
    </row>
    <row r="15" spans="1:9" s="32" customFormat="1" ht="15.2" customHeight="1">
      <c r="B15" s="39" t="s">
        <v>472</v>
      </c>
      <c r="C15" s="34"/>
      <c r="D15" s="47"/>
      <c r="E15" s="47"/>
      <c r="F15" s="519"/>
      <c r="G15" s="1587" t="s">
        <v>204</v>
      </c>
      <c r="H15" s="1587" t="s">
        <v>204</v>
      </c>
      <c r="I15" s="1587" t="s">
        <v>204</v>
      </c>
    </row>
    <row r="16" spans="1:9" s="32" customFormat="1" ht="16.5" customHeight="1">
      <c r="B16" s="33"/>
      <c r="C16" s="34"/>
      <c r="D16" s="507"/>
      <c r="E16" s="507"/>
      <c r="F16" s="507"/>
      <c r="G16" s="42"/>
      <c r="H16" s="42"/>
      <c r="I16" s="42"/>
    </row>
    <row r="17" spans="2:9" s="32" customFormat="1" ht="15.2" customHeight="1">
      <c r="B17" s="38" t="s">
        <v>1017</v>
      </c>
      <c r="C17" s="34"/>
      <c r="D17" s="35"/>
      <c r="E17" s="35"/>
      <c r="F17" s="35"/>
      <c r="G17" s="516"/>
      <c r="H17" s="516"/>
      <c r="I17" s="42"/>
    </row>
    <row r="18" spans="2:9" s="32" customFormat="1" ht="15.2" customHeight="1">
      <c r="B18" s="39" t="s">
        <v>480</v>
      </c>
      <c r="C18" s="34"/>
      <c r="D18" s="35"/>
      <c r="E18" s="35"/>
      <c r="F18" s="516"/>
      <c r="G18" s="516">
        <v>27</v>
      </c>
      <c r="H18" s="516">
        <v>26</v>
      </c>
      <c r="I18" s="516">
        <v>24</v>
      </c>
    </row>
    <row r="19" spans="2:9" s="32" customFormat="1" ht="15.2" customHeight="1">
      <c r="B19" s="39" t="s">
        <v>471</v>
      </c>
      <c r="C19" s="34"/>
      <c r="D19" s="47"/>
      <c r="E19" s="47"/>
      <c r="F19" s="520"/>
      <c r="G19" s="1588"/>
      <c r="H19" s="1587">
        <v>20</v>
      </c>
      <c r="I19" s="1587">
        <v>19</v>
      </c>
    </row>
    <row r="20" spans="2:9" s="32" customFormat="1" ht="15.2" customHeight="1">
      <c r="B20" s="39" t="s">
        <v>472</v>
      </c>
      <c r="C20" s="34"/>
      <c r="D20" s="47"/>
      <c r="E20" s="47"/>
      <c r="F20" s="520"/>
      <c r="G20" s="1588"/>
      <c r="H20" s="1587">
        <v>6</v>
      </c>
      <c r="I20" s="1587">
        <v>5</v>
      </c>
    </row>
    <row r="21" spans="2:9" s="32" customFormat="1" ht="16.5" customHeight="1">
      <c r="B21" s="33"/>
      <c r="C21" s="34"/>
      <c r="D21" s="507"/>
      <c r="E21" s="507"/>
      <c r="F21" s="507"/>
      <c r="G21" s="42"/>
      <c r="H21" s="42"/>
      <c r="I21" s="42"/>
    </row>
    <row r="22" spans="2:9" s="32" customFormat="1" ht="15.2" customHeight="1">
      <c r="B22" s="38" t="s">
        <v>1018</v>
      </c>
      <c r="C22" s="34"/>
      <c r="D22" s="35"/>
      <c r="E22" s="35"/>
      <c r="F22" s="35"/>
      <c r="G22" s="516"/>
      <c r="H22" s="516"/>
      <c r="I22" s="42"/>
    </row>
    <row r="23" spans="2:9" s="32" customFormat="1" ht="15.2" customHeight="1">
      <c r="B23" s="39" t="s">
        <v>480</v>
      </c>
      <c r="C23" s="34"/>
      <c r="D23" s="35"/>
      <c r="E23" s="35"/>
      <c r="F23" s="516"/>
      <c r="G23" s="516">
        <v>60</v>
      </c>
      <c r="H23" s="516">
        <v>60</v>
      </c>
      <c r="I23" s="516">
        <v>60</v>
      </c>
    </row>
    <row r="24" spans="2:9" s="32" customFormat="1" ht="15.2" customHeight="1">
      <c r="B24" s="39" t="s">
        <v>471</v>
      </c>
      <c r="C24" s="34"/>
      <c r="D24" s="47"/>
      <c r="E24" s="47"/>
      <c r="F24" s="520"/>
      <c r="G24" s="1588"/>
      <c r="H24" s="1587">
        <v>45</v>
      </c>
      <c r="I24" s="1587">
        <v>44</v>
      </c>
    </row>
    <row r="25" spans="2:9" s="32" customFormat="1" ht="15.2" customHeight="1">
      <c r="B25" s="39" t="s">
        <v>472</v>
      </c>
      <c r="C25" s="34"/>
      <c r="D25" s="47"/>
      <c r="E25" s="47"/>
      <c r="F25" s="520"/>
      <c r="G25" s="1588"/>
      <c r="H25" s="1587">
        <v>15</v>
      </c>
      <c r="I25" s="1587">
        <v>16</v>
      </c>
    </row>
    <row r="26" spans="2:9" s="32" customFormat="1" ht="16.5" customHeight="1">
      <c r="B26" s="33"/>
      <c r="C26" s="34"/>
      <c r="D26" s="507"/>
      <c r="E26" s="507"/>
      <c r="F26" s="507"/>
      <c r="G26" s="42"/>
      <c r="H26" s="42"/>
      <c r="I26" s="42"/>
    </row>
    <row r="27" spans="2:9" s="32" customFormat="1" ht="15.2" customHeight="1">
      <c r="B27" s="38" t="s">
        <v>502</v>
      </c>
      <c r="C27" s="34"/>
      <c r="D27" s="35"/>
      <c r="E27" s="35"/>
      <c r="F27" s="35"/>
      <c r="G27" s="516"/>
      <c r="H27" s="516"/>
      <c r="I27" s="42"/>
    </row>
    <row r="28" spans="2:9" s="32" customFormat="1" ht="15.2" customHeight="1">
      <c r="B28" s="40" t="s">
        <v>503</v>
      </c>
      <c r="C28" s="34"/>
      <c r="D28" s="35"/>
      <c r="E28" s="35"/>
      <c r="F28" s="35"/>
      <c r="G28" s="516"/>
      <c r="H28" s="516"/>
      <c r="I28" s="42"/>
    </row>
    <row r="29" spans="2:9" s="32" customFormat="1" ht="15.2" customHeight="1">
      <c r="B29" s="39" t="s">
        <v>480</v>
      </c>
      <c r="C29" s="34"/>
      <c r="D29" s="35"/>
      <c r="E29" s="35"/>
      <c r="F29" s="516"/>
      <c r="G29" s="516">
        <v>40</v>
      </c>
      <c r="H29" s="516">
        <v>59</v>
      </c>
      <c r="I29" s="516">
        <v>73</v>
      </c>
    </row>
    <row r="30" spans="2:9" s="32" customFormat="1" ht="15.2" customHeight="1">
      <c r="B30" s="39" t="s">
        <v>471</v>
      </c>
      <c r="C30" s="34"/>
      <c r="D30" s="47"/>
      <c r="E30" s="47"/>
      <c r="F30" s="507"/>
      <c r="G30" s="42">
        <v>35</v>
      </c>
      <c r="H30" s="1587">
        <v>54</v>
      </c>
      <c r="I30" s="1587">
        <v>68</v>
      </c>
    </row>
    <row r="31" spans="2:9" s="32" customFormat="1" ht="15.2" customHeight="1">
      <c r="B31" s="39" t="s">
        <v>472</v>
      </c>
      <c r="C31" s="34"/>
      <c r="D31" s="47"/>
      <c r="E31" s="47"/>
      <c r="F31" s="519"/>
      <c r="G31" s="1587">
        <v>6</v>
      </c>
      <c r="H31" s="1587">
        <v>5</v>
      </c>
      <c r="I31" s="1587">
        <v>5</v>
      </c>
    </row>
    <row r="32" spans="2:9" s="32" customFormat="1" ht="16.5" customHeight="1">
      <c r="B32" s="33"/>
      <c r="C32" s="34"/>
      <c r="D32" s="507"/>
      <c r="E32" s="507"/>
      <c r="F32" s="507"/>
      <c r="G32" s="42"/>
      <c r="H32" s="42"/>
      <c r="I32" s="42"/>
    </row>
    <row r="33" spans="1:16" s="32" customFormat="1" ht="15.2" customHeight="1">
      <c r="B33" s="38" t="s">
        <v>504</v>
      </c>
      <c r="C33" s="34"/>
      <c r="D33" s="35"/>
      <c r="E33" s="35"/>
      <c r="F33" s="35"/>
      <c r="G33" s="516"/>
      <c r="H33" s="516"/>
      <c r="I33" s="42"/>
    </row>
    <row r="34" spans="1:16" s="32" customFormat="1" ht="15.2" customHeight="1">
      <c r="B34" s="39" t="s">
        <v>480</v>
      </c>
      <c r="C34" s="34"/>
      <c r="D34" s="35"/>
      <c r="E34" s="35"/>
      <c r="F34" s="516"/>
      <c r="G34" s="516">
        <v>96</v>
      </c>
      <c r="H34" s="516">
        <v>99</v>
      </c>
      <c r="I34" s="516">
        <v>111</v>
      </c>
    </row>
    <row r="35" spans="1:16" s="32" customFormat="1" ht="15.2" customHeight="1">
      <c r="B35" s="39" t="s">
        <v>471</v>
      </c>
      <c r="C35" s="34"/>
      <c r="D35" s="47"/>
      <c r="E35" s="47"/>
      <c r="F35" s="507"/>
      <c r="G35" s="42">
        <v>83</v>
      </c>
      <c r="H35" s="1587">
        <v>83</v>
      </c>
      <c r="I35" s="1587">
        <v>95</v>
      </c>
    </row>
    <row r="36" spans="1:16" s="32" customFormat="1" ht="15.2" customHeight="1">
      <c r="B36" s="39" t="s">
        <v>472</v>
      </c>
      <c r="C36" s="34"/>
      <c r="D36" s="47"/>
      <c r="E36" s="47"/>
      <c r="F36" s="519"/>
      <c r="G36" s="1587">
        <v>13</v>
      </c>
      <c r="H36" s="1587">
        <v>16</v>
      </c>
      <c r="I36" s="1587">
        <v>16</v>
      </c>
    </row>
    <row r="37" spans="1:16" s="32" customFormat="1" ht="16.5" customHeight="1">
      <c r="B37" s="33"/>
      <c r="C37" s="34"/>
      <c r="D37" s="35"/>
      <c r="E37" s="35"/>
      <c r="F37" s="35"/>
      <c r="G37" s="42"/>
      <c r="H37" s="42"/>
      <c r="I37" s="42"/>
    </row>
    <row r="38" spans="1:16" s="28" customFormat="1" ht="8.25" customHeight="1">
      <c r="B38" s="44"/>
      <c r="C38" s="38"/>
      <c r="D38" s="509"/>
      <c r="E38" s="45"/>
      <c r="F38" s="45"/>
      <c r="G38" s="45"/>
      <c r="H38" s="45"/>
      <c r="I38" s="45"/>
    </row>
    <row r="39" spans="1:16" s="28" customFormat="1" ht="8.25" customHeight="1" thickBot="1">
      <c r="A39" s="521"/>
      <c r="B39" s="521"/>
      <c r="C39" s="521"/>
      <c r="D39" s="522"/>
      <c r="E39" s="522"/>
      <c r="F39" s="522"/>
      <c r="G39" s="522"/>
      <c r="H39" s="522"/>
      <c r="I39" s="522"/>
    </row>
    <row r="40" spans="1:16" s="28" customFormat="1" ht="18.75" customHeight="1">
      <c r="D40" s="511"/>
      <c r="E40" s="512"/>
      <c r="F40" s="45"/>
      <c r="G40" s="511"/>
      <c r="H40" s="511"/>
      <c r="I40" s="51" t="s">
        <v>505</v>
      </c>
    </row>
    <row r="41" spans="1:16" s="28" customFormat="1" ht="18.75" customHeight="1">
      <c r="B41" s="52"/>
      <c r="C41" s="50"/>
      <c r="D41" s="50"/>
      <c r="E41" s="50"/>
      <c r="G41" s="50"/>
      <c r="H41" s="50"/>
      <c r="I41" s="53" t="s">
        <v>506</v>
      </c>
    </row>
    <row r="42" spans="1:16" s="28" customFormat="1" ht="16.5">
      <c r="B42" s="52"/>
      <c r="C42" s="50"/>
      <c r="D42" s="50"/>
      <c r="E42" s="50"/>
      <c r="G42" s="50"/>
      <c r="H42" s="50"/>
      <c r="I42" s="53"/>
    </row>
    <row r="43" spans="1:16" s="28" customFormat="1" ht="23.25" customHeight="1">
      <c r="A43" s="2764" t="s">
        <v>507</v>
      </c>
      <c r="B43" s="2764"/>
      <c r="C43" s="50"/>
      <c r="D43" s="50"/>
      <c r="E43" s="50"/>
      <c r="G43" s="50"/>
      <c r="H43" s="50"/>
      <c r="I43" s="53"/>
    </row>
    <row r="44" spans="1:16" s="1621" customFormat="1" ht="17.25">
      <c r="A44" s="1626" t="s">
        <v>1014</v>
      </c>
      <c r="B44" s="1627"/>
      <c r="C44" s="1627"/>
      <c r="D44" s="1627"/>
      <c r="E44" s="1627"/>
      <c r="F44" s="1627"/>
      <c r="G44" s="1627"/>
      <c r="H44" s="1627"/>
      <c r="I44" s="1627"/>
      <c r="J44" s="1627"/>
      <c r="K44" s="1628"/>
      <c r="L44" s="1629"/>
      <c r="M44" s="1627"/>
      <c r="O44" s="1622"/>
      <c r="P44" s="1623"/>
    </row>
    <row r="45" spans="1:16" s="1621" customFormat="1" ht="23.25" customHeight="1">
      <c r="A45" s="1630" t="s">
        <v>1087</v>
      </c>
      <c r="B45" s="1627"/>
      <c r="C45" s="1627"/>
      <c r="D45" s="1627"/>
      <c r="E45" s="1627"/>
      <c r="F45" s="1627"/>
      <c r="G45" s="1627"/>
      <c r="H45" s="1627"/>
      <c r="I45" s="1627"/>
      <c r="J45" s="1627"/>
      <c r="K45" s="1628"/>
      <c r="L45" s="1629"/>
      <c r="M45" s="1627"/>
      <c r="O45" s="1622"/>
      <c r="P45" s="1623"/>
    </row>
    <row r="46" spans="1:16" s="1621" customFormat="1" ht="17.25">
      <c r="A46" s="1626" t="s">
        <v>1015</v>
      </c>
      <c r="B46" s="1627"/>
      <c r="C46" s="1627"/>
      <c r="D46" s="1627"/>
      <c r="E46" s="1627"/>
      <c r="F46" s="1627"/>
      <c r="G46" s="1627"/>
      <c r="H46" s="1627"/>
      <c r="I46" s="1627"/>
      <c r="J46" s="1627"/>
      <c r="K46" s="1628"/>
      <c r="L46" s="1629"/>
      <c r="M46" s="1627"/>
      <c r="O46" s="1622"/>
      <c r="P46" s="1623"/>
    </row>
    <row r="47" spans="1:16" s="1621" customFormat="1" ht="21.75" customHeight="1">
      <c r="A47" s="1630" t="s">
        <v>1088</v>
      </c>
      <c r="B47" s="1627"/>
      <c r="C47" s="1627"/>
      <c r="D47" s="1627"/>
      <c r="E47" s="1627"/>
      <c r="F47" s="1627"/>
      <c r="G47" s="1627"/>
      <c r="H47" s="1627"/>
      <c r="I47" s="1627"/>
      <c r="J47" s="1627"/>
      <c r="K47" s="1628"/>
      <c r="L47" s="1629"/>
      <c r="M47" s="1627"/>
      <c r="O47" s="1622"/>
      <c r="P47" s="1623"/>
    </row>
    <row r="48" spans="1:16" s="1621" customFormat="1" ht="17.25">
      <c r="A48" s="1631" t="s">
        <v>1016</v>
      </c>
      <c r="B48" s="1627"/>
      <c r="C48" s="1627"/>
      <c r="D48" s="1627"/>
      <c r="E48" s="1627"/>
      <c r="F48" s="1627"/>
      <c r="G48" s="1627"/>
      <c r="H48" s="1627"/>
      <c r="I48" s="1627"/>
      <c r="J48" s="1627"/>
      <c r="K48" s="1628"/>
      <c r="L48" s="1629"/>
      <c r="M48" s="1627"/>
      <c r="O48" s="1622"/>
      <c r="P48" s="1623"/>
    </row>
    <row r="49" spans="1:16" s="1621" customFormat="1" ht="22.5" customHeight="1">
      <c r="A49" s="1630" t="s">
        <v>1089</v>
      </c>
      <c r="B49" s="1627"/>
      <c r="C49" s="1627"/>
      <c r="D49" s="1627"/>
      <c r="E49" s="1627"/>
      <c r="F49" s="1627"/>
      <c r="G49" s="1627"/>
      <c r="H49" s="1627"/>
      <c r="I49" s="1627"/>
      <c r="J49" s="1627"/>
      <c r="K49" s="1628"/>
      <c r="L49" s="1629"/>
      <c r="M49" s="1627"/>
      <c r="O49" s="1622"/>
      <c r="P49" s="1623"/>
    </row>
    <row r="50" spans="1:16" s="1621" customFormat="1" ht="30" customHeight="1">
      <c r="A50" s="2762" t="s">
        <v>1090</v>
      </c>
      <c r="B50" s="2762"/>
      <c r="C50" s="2762"/>
      <c r="D50" s="2762"/>
      <c r="E50" s="2762"/>
      <c r="F50" s="2762"/>
      <c r="G50" s="2762"/>
      <c r="H50" s="2762"/>
      <c r="I50" s="2762"/>
      <c r="J50" s="2762"/>
      <c r="K50" s="2762"/>
      <c r="L50" s="2762"/>
      <c r="M50" s="2762"/>
      <c r="O50" s="1622"/>
      <c r="P50" s="1623"/>
    </row>
    <row r="51" spans="1:16" s="1621" customFormat="1" ht="45.75" customHeight="1">
      <c r="A51" s="2763" t="s">
        <v>1091</v>
      </c>
      <c r="B51" s="2763"/>
      <c r="C51" s="2763"/>
      <c r="D51" s="2763"/>
      <c r="E51" s="2763"/>
      <c r="F51" s="2763"/>
      <c r="G51" s="2763"/>
      <c r="H51" s="2763"/>
      <c r="I51" s="2763"/>
      <c r="J51" s="2763"/>
      <c r="K51" s="2763"/>
      <c r="L51" s="2763"/>
      <c r="M51" s="1627"/>
      <c r="O51" s="1622"/>
      <c r="P51" s="1623"/>
    </row>
  </sheetData>
  <mergeCells count="6">
    <mergeCell ref="A50:M50"/>
    <mergeCell ref="A51:L51"/>
    <mergeCell ref="A43:B43"/>
    <mergeCell ref="C3:I3"/>
    <mergeCell ref="C4:I4"/>
    <mergeCell ref="B6:C6"/>
  </mergeCells>
  <printOptions horizontalCentered="1"/>
  <pageMargins left="0.55118110236220474" right="0.55118110236220474" top="0.55118110236220474" bottom="0.55118110236220474" header="0.31496062992125984" footer="0.31496062992125984"/>
  <pageSetup paperSize="9" scale="72"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49">
    <tabColor theme="4" tint="0.39997558519241921"/>
    <pageSetUpPr fitToPage="1"/>
  </sheetPr>
  <dimension ref="A1:AO56"/>
  <sheetViews>
    <sheetView view="pageBreakPreview" zoomScaleNormal="100" zoomScaleSheetLayoutView="100" workbookViewId="0">
      <selection activeCell="J15" sqref="J15"/>
    </sheetView>
  </sheetViews>
  <sheetFormatPr defaultRowHeight="15"/>
  <cols>
    <col min="1" max="2" width="1.5703125" customWidth="1"/>
    <col min="3" max="3" width="11.28515625" customWidth="1"/>
    <col min="4" max="4" width="83.28515625" customWidth="1"/>
    <col min="5" max="5" width="2.140625" customWidth="1"/>
    <col min="6" max="6" width="15.140625" customWidth="1"/>
    <col min="7" max="7" width="15.7109375" customWidth="1"/>
  </cols>
  <sheetData>
    <row r="1" spans="1:41" s="186" customFormat="1" ht="13.5">
      <c r="D1" s="187"/>
    </row>
    <row r="2" spans="1:41" s="190" customFormat="1" ht="14.25">
      <c r="C2" s="188" t="s">
        <v>508</v>
      </c>
      <c r="D2" s="1453" t="s">
        <v>1952</v>
      </c>
      <c r="E2" s="189"/>
      <c r="F2" s="189"/>
      <c r="G2" s="189"/>
    </row>
    <row r="3" spans="1:41" s="191" customFormat="1" ht="14.25">
      <c r="B3" s="192" t="s">
        <v>207</v>
      </c>
      <c r="C3" s="1452" t="s">
        <v>509</v>
      </c>
      <c r="D3" s="192" t="s">
        <v>1953</v>
      </c>
      <c r="E3" s="192"/>
      <c r="F3" s="192"/>
      <c r="G3" s="192"/>
    </row>
    <row r="4" spans="1:41" s="193" customFormat="1" ht="18" customHeight="1" thickBot="1">
      <c r="B4" s="194"/>
      <c r="C4" s="2768"/>
      <c r="D4" s="2768"/>
      <c r="E4" s="195"/>
      <c r="F4" s="196"/>
    </row>
    <row r="5" spans="1:41" s="201" customFormat="1" ht="4.9000000000000004" customHeight="1">
      <c r="A5" s="194"/>
      <c r="B5" s="197"/>
      <c r="C5" s="2769"/>
      <c r="D5" s="2769"/>
      <c r="E5" s="198"/>
      <c r="F5" s="199"/>
      <c r="G5" s="200"/>
      <c r="H5" s="194"/>
      <c r="I5" s="194"/>
      <c r="J5" s="194"/>
      <c r="K5" s="194"/>
      <c r="L5" s="194"/>
      <c r="M5" s="194"/>
      <c r="N5" s="194"/>
      <c r="O5" s="194"/>
      <c r="P5" s="194"/>
      <c r="Q5" s="194"/>
      <c r="R5" s="194"/>
      <c r="S5" s="194"/>
      <c r="T5" s="194"/>
      <c r="U5" s="194"/>
      <c r="V5" s="194"/>
      <c r="W5" s="194"/>
      <c r="X5" s="194"/>
      <c r="Y5" s="194"/>
      <c r="Z5" s="194"/>
      <c r="AA5" s="194"/>
      <c r="AB5" s="194"/>
      <c r="AC5" s="194"/>
      <c r="AD5" s="194"/>
      <c r="AE5" s="194"/>
      <c r="AF5" s="194"/>
      <c r="AG5" s="194"/>
      <c r="AH5" s="194"/>
      <c r="AI5" s="194"/>
      <c r="AJ5" s="194"/>
      <c r="AK5" s="194"/>
      <c r="AL5" s="194"/>
      <c r="AM5" s="194"/>
      <c r="AN5" s="194"/>
      <c r="AO5" s="194"/>
    </row>
    <row r="6" spans="1:41" s="205" customFormat="1" ht="34.9" customHeight="1" thickBot="1">
      <c r="A6" s="193"/>
      <c r="B6" s="202"/>
      <c r="C6" s="2770" t="s">
        <v>988</v>
      </c>
      <c r="D6" s="2770"/>
      <c r="E6" s="203"/>
      <c r="F6" s="204">
        <v>2024</v>
      </c>
      <c r="G6" s="204">
        <v>2025</v>
      </c>
      <c r="H6" s="193"/>
      <c r="I6" s="193"/>
      <c r="J6" s="193"/>
      <c r="K6" s="193"/>
      <c r="L6" s="193"/>
      <c r="M6" s="193"/>
      <c r="N6" s="193"/>
      <c r="O6" s="193"/>
      <c r="P6" s="193"/>
      <c r="Q6" s="193"/>
      <c r="R6" s="193"/>
      <c r="S6" s="193"/>
      <c r="T6" s="193"/>
      <c r="U6" s="193"/>
      <c r="V6" s="193"/>
      <c r="W6" s="193"/>
      <c r="X6" s="193"/>
      <c r="Y6" s="193"/>
      <c r="Z6" s="193"/>
      <c r="AA6" s="193"/>
      <c r="AB6" s="193"/>
      <c r="AC6" s="193"/>
      <c r="AD6" s="193"/>
      <c r="AE6" s="193"/>
      <c r="AF6" s="193"/>
      <c r="AG6" s="193"/>
      <c r="AH6" s="193"/>
      <c r="AI6" s="193"/>
      <c r="AJ6" s="193"/>
      <c r="AK6" s="193"/>
      <c r="AL6" s="193"/>
      <c r="AM6" s="193"/>
      <c r="AN6" s="193"/>
      <c r="AO6" s="193"/>
    </row>
    <row r="7" spans="1:41" s="206" customFormat="1" ht="8.25" customHeight="1">
      <c r="C7" s="2771"/>
      <c r="D7" s="2771"/>
      <c r="E7" s="207"/>
      <c r="F7" s="208"/>
      <c r="G7" s="208"/>
    </row>
    <row r="8" spans="1:41" s="191" customFormat="1" ht="15.75" customHeight="1">
      <c r="C8" s="2772" t="s">
        <v>1095</v>
      </c>
      <c r="D8" s="2772"/>
      <c r="E8" s="206"/>
      <c r="F8" s="209"/>
      <c r="G8" s="209"/>
    </row>
    <row r="9" spans="1:41" s="186" customFormat="1" ht="18.75" customHeight="1">
      <c r="C9" s="2773" t="s">
        <v>1097</v>
      </c>
      <c r="D9" s="2773"/>
      <c r="F9" s="209"/>
      <c r="G9" s="209"/>
    </row>
    <row r="10" spans="1:41" s="191" customFormat="1" ht="15.75" customHeight="1">
      <c r="C10" s="2754" t="s">
        <v>208</v>
      </c>
      <c r="D10" s="2754"/>
      <c r="E10" s="206"/>
      <c r="F10" s="1590">
        <v>207943</v>
      </c>
      <c r="G10" s="1590">
        <v>207943</v>
      </c>
    </row>
    <row r="11" spans="1:41" s="186" customFormat="1" ht="15.75" customHeight="1">
      <c r="C11" s="2774" t="s">
        <v>209</v>
      </c>
      <c r="D11" s="2774"/>
      <c r="E11" s="191"/>
      <c r="F11" s="1591"/>
      <c r="G11" s="1591"/>
    </row>
    <row r="12" spans="1:41" s="186" customFormat="1" ht="18.75" customHeight="1">
      <c r="C12" s="2767"/>
      <c r="D12" s="2767"/>
      <c r="F12" s="1590"/>
      <c r="G12" s="1590"/>
    </row>
    <row r="13" spans="1:41" s="191" customFormat="1" ht="15.75" customHeight="1">
      <c r="C13" s="2775" t="s">
        <v>210</v>
      </c>
      <c r="D13" s="2775"/>
      <c r="E13" s="186"/>
      <c r="F13" s="1590">
        <v>2766234</v>
      </c>
      <c r="G13" s="1590">
        <v>2766234</v>
      </c>
      <c r="N13" s="210"/>
    </row>
    <row r="14" spans="1:41" s="186" customFormat="1" ht="15.75" customHeight="1">
      <c r="C14" s="2774" t="s">
        <v>211</v>
      </c>
      <c r="D14" s="2774"/>
      <c r="E14" s="191"/>
      <c r="F14" s="1591"/>
      <c r="G14" s="1591"/>
    </row>
    <row r="15" spans="1:41" s="186" customFormat="1" ht="18.75" customHeight="1">
      <c r="C15" s="2767"/>
      <c r="D15" s="2767"/>
      <c r="F15" s="1590"/>
      <c r="G15" s="1590"/>
    </row>
    <row r="16" spans="1:41" s="191" customFormat="1" ht="15.75" customHeight="1">
      <c r="C16" s="2775" t="s">
        <v>212</v>
      </c>
      <c r="D16" s="2775"/>
      <c r="E16" s="186"/>
      <c r="F16" s="1592">
        <v>1959787</v>
      </c>
      <c r="G16" s="1592">
        <v>1959787</v>
      </c>
    </row>
    <row r="17" spans="3:7" s="186" customFormat="1" ht="15.75" customHeight="1">
      <c r="C17" s="2774" t="s">
        <v>213</v>
      </c>
      <c r="D17" s="2774"/>
      <c r="E17" s="191"/>
      <c r="F17" s="1593"/>
      <c r="G17" s="1593"/>
    </row>
    <row r="18" spans="3:7" s="186" customFormat="1" ht="18.75" customHeight="1">
      <c r="C18" s="2767"/>
      <c r="D18" s="2767"/>
      <c r="F18" s="1592"/>
      <c r="G18" s="1592"/>
    </row>
    <row r="19" spans="3:7" s="191" customFormat="1" ht="15.75" customHeight="1">
      <c r="C19" s="2775" t="s">
        <v>214</v>
      </c>
      <c r="D19" s="2775"/>
      <c r="E19" s="186"/>
      <c r="F19" s="1590">
        <v>64904</v>
      </c>
      <c r="G19" s="1590">
        <v>64904</v>
      </c>
    </row>
    <row r="20" spans="3:7" s="186" customFormat="1" ht="15.75" customHeight="1">
      <c r="C20" s="2774" t="s">
        <v>215</v>
      </c>
      <c r="D20" s="2774"/>
      <c r="E20" s="191"/>
      <c r="F20" s="1591"/>
      <c r="G20" s="1591"/>
    </row>
    <row r="21" spans="3:7" s="186" customFormat="1" ht="18.75" customHeight="1">
      <c r="C21" s="2767"/>
      <c r="D21" s="2767"/>
      <c r="F21" s="1590"/>
      <c r="G21" s="1590"/>
    </row>
    <row r="22" spans="3:7" s="191" customFormat="1" ht="15.75" customHeight="1">
      <c r="C22" s="2775" t="s">
        <v>216</v>
      </c>
      <c r="D22" s="2775"/>
      <c r="E22" s="186"/>
      <c r="F22" s="1590">
        <v>1610</v>
      </c>
      <c r="G22" s="1590">
        <v>1610</v>
      </c>
    </row>
    <row r="23" spans="3:7" s="186" customFormat="1" ht="15.75" customHeight="1">
      <c r="C23" s="2774" t="s">
        <v>217</v>
      </c>
      <c r="D23" s="2774"/>
      <c r="E23" s="191"/>
      <c r="F23" s="1591"/>
      <c r="G23" s="1591"/>
    </row>
    <row r="24" spans="3:7" s="186" customFormat="1" ht="18.75" customHeight="1">
      <c r="C24" s="2767"/>
      <c r="D24" s="2767"/>
      <c r="F24" s="1590"/>
      <c r="G24" s="1590"/>
    </row>
    <row r="25" spans="3:7" s="191" customFormat="1" ht="15.75" customHeight="1">
      <c r="C25" s="2775" t="s">
        <v>218</v>
      </c>
      <c r="D25" s="2775"/>
      <c r="E25" s="186"/>
      <c r="F25" s="1592">
        <v>1065</v>
      </c>
      <c r="G25" s="1592">
        <v>1065</v>
      </c>
    </row>
    <row r="26" spans="3:7" s="186" customFormat="1" ht="15.75" customHeight="1">
      <c r="C26" s="2774" t="s">
        <v>219</v>
      </c>
      <c r="D26" s="2774"/>
      <c r="E26" s="191"/>
      <c r="F26" s="1593"/>
      <c r="G26" s="1593"/>
    </row>
    <row r="27" spans="3:7" s="186" customFormat="1" ht="18.75" customHeight="1">
      <c r="C27" s="2776"/>
      <c r="D27" s="2776"/>
      <c r="F27" s="1592"/>
      <c r="G27" s="1592"/>
    </row>
    <row r="28" spans="3:7" s="212" customFormat="1" ht="15.75" customHeight="1">
      <c r="C28" s="2777" t="s">
        <v>1096</v>
      </c>
      <c r="D28" s="2777"/>
      <c r="E28" s="211"/>
      <c r="F28" s="1594"/>
      <c r="G28" s="1594"/>
    </row>
    <row r="29" spans="3:7" s="211" customFormat="1" ht="18.75" customHeight="1">
      <c r="C29" s="2773" t="s">
        <v>1098</v>
      </c>
      <c r="D29" s="2773"/>
      <c r="F29" s="1594"/>
      <c r="G29" s="1594"/>
    </row>
    <row r="30" spans="3:7" s="191" customFormat="1" ht="15.75" customHeight="1">
      <c r="C30" s="2775" t="s">
        <v>220</v>
      </c>
      <c r="D30" s="2775"/>
      <c r="E30" s="186"/>
      <c r="F30" s="1590">
        <v>297271</v>
      </c>
      <c r="G30" s="1590">
        <v>297271</v>
      </c>
    </row>
    <row r="31" spans="3:7" s="186" customFormat="1" ht="15.75" customHeight="1">
      <c r="C31" s="2774" t="s">
        <v>221</v>
      </c>
      <c r="D31" s="2774"/>
      <c r="E31" s="191"/>
      <c r="F31" s="1591"/>
      <c r="G31" s="1591"/>
    </row>
    <row r="32" spans="3:7" s="186" customFormat="1" ht="18.75" customHeight="1">
      <c r="C32" s="2767"/>
      <c r="D32" s="2767"/>
      <c r="F32" s="1590"/>
      <c r="G32" s="1590"/>
    </row>
    <row r="33" spans="1:9" s="191" customFormat="1" ht="15.75" customHeight="1">
      <c r="C33" s="2775" t="s">
        <v>222</v>
      </c>
      <c r="D33" s="2775"/>
      <c r="E33" s="186"/>
      <c r="F33" s="1590">
        <v>36974</v>
      </c>
      <c r="G33" s="1590">
        <v>36974</v>
      </c>
    </row>
    <row r="34" spans="1:9" s="186" customFormat="1" ht="15.75" customHeight="1">
      <c r="C34" s="2774" t="s">
        <v>211</v>
      </c>
      <c r="D34" s="2774"/>
      <c r="E34" s="191"/>
      <c r="F34" s="1591"/>
      <c r="G34" s="1591"/>
    </row>
    <row r="35" spans="1:9" s="186" customFormat="1" ht="18.75" customHeight="1">
      <c r="C35" s="2767"/>
      <c r="D35" s="2767"/>
      <c r="F35" s="1590"/>
      <c r="G35" s="1590"/>
    </row>
    <row r="36" spans="1:9" s="191" customFormat="1" ht="15.75" customHeight="1">
      <c r="C36" s="2775" t="s">
        <v>223</v>
      </c>
      <c r="D36" s="2775"/>
      <c r="E36" s="186"/>
      <c r="F36" s="1590">
        <v>98641</v>
      </c>
      <c r="G36" s="1590">
        <v>98641</v>
      </c>
    </row>
    <row r="37" spans="1:9" s="186" customFormat="1" ht="15.75" customHeight="1">
      <c r="C37" s="2774" t="s">
        <v>224</v>
      </c>
      <c r="D37" s="2774"/>
      <c r="E37" s="191"/>
      <c r="F37" s="1591"/>
      <c r="G37" s="1591"/>
    </row>
    <row r="38" spans="1:9" s="186" customFormat="1" ht="18.75" customHeight="1">
      <c r="C38" s="2767"/>
      <c r="D38" s="2767"/>
      <c r="F38" s="1590"/>
      <c r="G38" s="1590"/>
    </row>
    <row r="39" spans="1:9" s="191" customFormat="1" ht="15.75" customHeight="1">
      <c r="C39" s="2775" t="s">
        <v>225</v>
      </c>
      <c r="D39" s="2775"/>
      <c r="E39" s="186"/>
      <c r="F39" s="1592">
        <v>586</v>
      </c>
      <c r="G39" s="1592">
        <v>586</v>
      </c>
    </row>
    <row r="40" spans="1:9" s="186" customFormat="1" ht="15.75" customHeight="1">
      <c r="C40" s="2774" t="s">
        <v>226</v>
      </c>
      <c r="D40" s="2774"/>
      <c r="E40" s="191"/>
      <c r="F40" s="1593"/>
      <c r="G40" s="1593"/>
    </row>
    <row r="41" spans="1:9" s="186" customFormat="1" ht="18.75" customHeight="1">
      <c r="C41" s="2767"/>
      <c r="D41" s="2767"/>
      <c r="F41" s="1592"/>
      <c r="G41" s="1592"/>
    </row>
    <row r="42" spans="1:9" s="191" customFormat="1" ht="15.75" customHeight="1">
      <c r="C42" s="2775" t="s">
        <v>227</v>
      </c>
      <c r="D42" s="2775"/>
      <c r="E42" s="186"/>
      <c r="F42" s="1592">
        <v>69745</v>
      </c>
      <c r="G42" s="1592">
        <v>69745</v>
      </c>
    </row>
    <row r="43" spans="1:9" s="186" customFormat="1" ht="15.75" customHeight="1">
      <c r="C43" s="2774" t="s">
        <v>228</v>
      </c>
      <c r="D43" s="2774"/>
      <c r="E43" s="191"/>
      <c r="F43" s="1593"/>
      <c r="G43" s="1593"/>
    </row>
    <row r="44" spans="1:9" s="186" customFormat="1" ht="18.75" customHeight="1">
      <c r="C44" s="2767"/>
      <c r="D44" s="2767"/>
      <c r="F44" s="1592"/>
      <c r="G44" s="1592"/>
    </row>
    <row r="45" spans="1:9" s="191" customFormat="1" ht="15.75" customHeight="1">
      <c r="C45" s="2775" t="s">
        <v>229</v>
      </c>
      <c r="D45" s="2775"/>
      <c r="E45" s="186"/>
      <c r="F45" s="1592">
        <v>2319</v>
      </c>
      <c r="G45" s="1592">
        <v>2319</v>
      </c>
    </row>
    <row r="46" spans="1:9" s="193" customFormat="1" ht="15.75" customHeight="1">
      <c r="A46" s="186"/>
      <c r="C46" s="2774" t="s">
        <v>230</v>
      </c>
      <c r="D46" s="2774"/>
      <c r="E46" s="191"/>
      <c r="F46" s="191"/>
      <c r="G46" s="1595"/>
      <c r="I46" s="213"/>
    </row>
    <row r="47" spans="1:9" s="214" customFormat="1" ht="15.75" customHeight="1" thickBot="1">
      <c r="C47" s="2779"/>
      <c r="D47" s="2779"/>
      <c r="E47" s="215"/>
      <c r="F47" s="215"/>
      <c r="G47" s="216"/>
    </row>
    <row r="48" spans="1:9" s="214" customFormat="1" ht="9.1999999999999993" customHeight="1">
      <c r="C48" s="2780"/>
      <c r="D48" s="2780"/>
      <c r="E48" s="2780"/>
      <c r="F48" s="2780"/>
      <c r="G48" s="2780"/>
    </row>
    <row r="49" spans="1:7" s="214" customFormat="1" ht="15.2" customHeight="1">
      <c r="C49" s="2781" t="s">
        <v>510</v>
      </c>
      <c r="D49" s="2781"/>
      <c r="E49" s="2781"/>
      <c r="F49" s="2781"/>
      <c r="G49" s="2781"/>
    </row>
    <row r="50" spans="1:7" s="214" customFormat="1" ht="15.2" customHeight="1">
      <c r="C50" s="2781" t="s">
        <v>231</v>
      </c>
      <c r="D50" s="2781"/>
      <c r="E50" s="2781"/>
      <c r="F50" s="2781"/>
      <c r="G50" s="2781"/>
    </row>
    <row r="51" spans="1:7" s="214" customFormat="1" ht="15.2" customHeight="1">
      <c r="A51" s="217"/>
      <c r="C51" s="2778" t="s">
        <v>232</v>
      </c>
      <c r="D51" s="2778"/>
      <c r="E51" s="2778"/>
      <c r="F51" s="2778"/>
      <c r="G51" s="2778"/>
    </row>
    <row r="52" spans="1:7" s="214" customFormat="1" ht="15.2" customHeight="1">
      <c r="G52" s="218" t="s">
        <v>233</v>
      </c>
    </row>
    <row r="53" spans="1:7" s="214" customFormat="1" ht="14.25">
      <c r="B53" s="219"/>
      <c r="C53" s="50" t="s">
        <v>234</v>
      </c>
      <c r="D53" s="220"/>
    </row>
    <row r="54" spans="1:7" s="214" customFormat="1" ht="14.25">
      <c r="C54" s="219" t="s">
        <v>237</v>
      </c>
      <c r="D54" s="220"/>
    </row>
    <row r="55" spans="1:7" s="186" customFormat="1" ht="14.25">
      <c r="C55" s="221" t="s">
        <v>238</v>
      </c>
      <c r="D55" s="220"/>
      <c r="E55" s="214"/>
      <c r="F55" s="214"/>
      <c r="G55" s="214"/>
    </row>
    <row r="56" spans="1:7" s="84" customFormat="1"/>
  </sheetData>
  <mergeCells count="48">
    <mergeCell ref="C51:G51"/>
    <mergeCell ref="C40:D40"/>
    <mergeCell ref="C41:D41"/>
    <mergeCell ref="C42:D42"/>
    <mergeCell ref="C43:D43"/>
    <mergeCell ref="C44:D44"/>
    <mergeCell ref="C45:D45"/>
    <mergeCell ref="C46:D46"/>
    <mergeCell ref="C47:D47"/>
    <mergeCell ref="C48:G48"/>
    <mergeCell ref="C49:G49"/>
    <mergeCell ref="C50:G50"/>
    <mergeCell ref="C39:D39"/>
    <mergeCell ref="C28:D28"/>
    <mergeCell ref="C29:D29"/>
    <mergeCell ref="C30:D30"/>
    <mergeCell ref="C31:D31"/>
    <mergeCell ref="C32:D32"/>
    <mergeCell ref="C33:D33"/>
    <mergeCell ref="C34:D34"/>
    <mergeCell ref="C35:D35"/>
    <mergeCell ref="C36:D36"/>
    <mergeCell ref="C37:D37"/>
    <mergeCell ref="C38:D38"/>
    <mergeCell ref="C27:D27"/>
    <mergeCell ref="C16:D16"/>
    <mergeCell ref="C17:D17"/>
    <mergeCell ref="C18:D18"/>
    <mergeCell ref="C19:D19"/>
    <mergeCell ref="C20:D20"/>
    <mergeCell ref="C21:D21"/>
    <mergeCell ref="C22:D22"/>
    <mergeCell ref="C23:D23"/>
    <mergeCell ref="C24:D24"/>
    <mergeCell ref="C25:D25"/>
    <mergeCell ref="C26:D26"/>
    <mergeCell ref="C15:D15"/>
    <mergeCell ref="C4:D4"/>
    <mergeCell ref="C5:D5"/>
    <mergeCell ref="C6:D6"/>
    <mergeCell ref="C7:D7"/>
    <mergeCell ref="C8:D8"/>
    <mergeCell ref="C9:D9"/>
    <mergeCell ref="C10:D10"/>
    <mergeCell ref="C11:D11"/>
    <mergeCell ref="C12:D12"/>
    <mergeCell ref="C13:D13"/>
    <mergeCell ref="C14:D14"/>
  </mergeCells>
  <printOptions horizontalCentered="1"/>
  <pageMargins left="0.55118110236220474" right="0.55118110236220474" top="0.55118110236220474" bottom="0.55118110236220474" header="0.31496062992125984" footer="0.31496062992125984"/>
  <pageSetup paperSize="9" scale="69"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50">
    <tabColor theme="4" tint="0.39997558519241921"/>
    <pageSetUpPr fitToPage="1"/>
  </sheetPr>
  <dimension ref="A1:N78"/>
  <sheetViews>
    <sheetView view="pageBreakPreview" topLeftCell="A49" zoomScaleNormal="100" zoomScaleSheetLayoutView="100" workbookViewId="0">
      <selection activeCell="F76" sqref="F76"/>
    </sheetView>
  </sheetViews>
  <sheetFormatPr defaultRowHeight="15"/>
  <cols>
    <col min="1" max="1" width="3.140625" customWidth="1"/>
    <col min="3" max="3" width="21.28515625" customWidth="1"/>
    <col min="4" max="4" width="8.5703125" customWidth="1"/>
    <col min="5" max="5" width="21" customWidth="1"/>
    <col min="6" max="6" width="13.85546875" customWidth="1"/>
    <col min="7" max="7" width="12.28515625" customWidth="1"/>
    <col min="8" max="8" width="14.42578125" customWidth="1"/>
    <col min="9" max="9" width="18.7109375" customWidth="1"/>
    <col min="10" max="10" width="2.28515625" customWidth="1"/>
  </cols>
  <sheetData>
    <row r="1" spans="1:14" s="126" customFormat="1" ht="7.9" customHeight="1">
      <c r="B1" s="526"/>
      <c r="C1" s="526"/>
      <c r="D1" s="527"/>
      <c r="E1" s="528"/>
      <c r="F1" s="529"/>
      <c r="G1" s="529"/>
      <c r="H1" s="530"/>
      <c r="I1" s="529"/>
    </row>
    <row r="2" spans="1:14" s="126" customFormat="1" ht="8.1" customHeight="1">
      <c r="B2" s="526"/>
      <c r="C2" s="526"/>
      <c r="D2" s="527"/>
      <c r="E2" s="528"/>
      <c r="F2" s="529"/>
      <c r="G2" s="529"/>
      <c r="H2" s="530"/>
      <c r="I2" s="529"/>
    </row>
    <row r="3" spans="1:14" s="66" customFormat="1" ht="16.5" customHeight="1">
      <c r="B3" s="531" t="s">
        <v>511</v>
      </c>
      <c r="C3" s="532" t="s">
        <v>1992</v>
      </c>
      <c r="D3" s="533"/>
      <c r="E3" s="534"/>
      <c r="F3" s="68"/>
      <c r="G3" s="532"/>
      <c r="H3" s="532"/>
      <c r="I3" s="532"/>
      <c r="J3" s="532"/>
      <c r="K3" s="68"/>
      <c r="L3" s="68"/>
      <c r="M3" s="68"/>
      <c r="N3" s="68"/>
    </row>
    <row r="4" spans="1:14" s="66" customFormat="1" ht="16.5" customHeight="1">
      <c r="B4" s="145" t="s">
        <v>512</v>
      </c>
      <c r="C4" s="2782" t="s">
        <v>1993</v>
      </c>
      <c r="D4" s="2782"/>
      <c r="E4" s="2782"/>
      <c r="F4" s="2782"/>
      <c r="G4" s="2782"/>
      <c r="H4" s="2782"/>
      <c r="I4" s="2782"/>
      <c r="J4" s="532"/>
      <c r="K4" s="68"/>
      <c r="L4" s="68"/>
      <c r="M4" s="68"/>
      <c r="N4" s="68"/>
    </row>
    <row r="5" spans="1:14" s="126" customFormat="1" ht="16.5" customHeight="1" thickBot="1">
      <c r="A5" s="147"/>
      <c r="B5" s="147"/>
      <c r="C5" s="147"/>
      <c r="D5" s="535"/>
      <c r="E5" s="536"/>
      <c r="F5" s="537"/>
      <c r="G5" s="538"/>
      <c r="H5" s="538"/>
      <c r="I5" s="538"/>
      <c r="J5" s="147"/>
      <c r="K5" s="539"/>
      <c r="L5" s="539"/>
      <c r="M5" s="539"/>
      <c r="N5" s="539"/>
    </row>
    <row r="6" spans="1:14" s="126" customFormat="1" ht="18.75" customHeight="1">
      <c r="A6" s="540"/>
      <c r="B6" s="540" t="s">
        <v>1094</v>
      </c>
      <c r="C6" s="541"/>
      <c r="D6" s="542" t="s">
        <v>39</v>
      </c>
      <c r="E6" s="544" t="s">
        <v>45</v>
      </c>
      <c r="F6" s="544" t="s">
        <v>513</v>
      </c>
      <c r="G6" s="545" t="s">
        <v>514</v>
      </c>
      <c r="H6" s="543" t="s">
        <v>515</v>
      </c>
      <c r="I6" s="544" t="s">
        <v>516</v>
      </c>
      <c r="J6" s="540"/>
      <c r="K6" s="546"/>
      <c r="L6" s="546"/>
      <c r="M6" s="546"/>
    </row>
    <row r="7" spans="1:14" s="554" customFormat="1" ht="33.6" customHeight="1" thickBot="1">
      <c r="A7" s="547"/>
      <c r="B7" s="547" t="s">
        <v>1086</v>
      </c>
      <c r="C7" s="548"/>
      <c r="D7" s="549" t="s">
        <v>40</v>
      </c>
      <c r="E7" s="550" t="s">
        <v>46</v>
      </c>
      <c r="F7" s="551" t="s">
        <v>517</v>
      </c>
      <c r="G7" s="552" t="s">
        <v>518</v>
      </c>
      <c r="H7" s="550" t="s">
        <v>519</v>
      </c>
      <c r="I7" s="551" t="s">
        <v>248</v>
      </c>
      <c r="J7" s="547"/>
      <c r="K7" s="553"/>
      <c r="L7" s="553"/>
      <c r="M7" s="553"/>
    </row>
    <row r="8" spans="1:14" s="555" customFormat="1" ht="8.1" customHeight="1">
      <c r="B8" s="556"/>
      <c r="C8" s="556"/>
      <c r="D8" s="557"/>
      <c r="E8" s="558"/>
      <c r="F8" s="558"/>
      <c r="G8" s="558"/>
      <c r="H8" s="558"/>
      <c r="I8" s="558"/>
      <c r="K8" s="126"/>
      <c r="L8" s="126"/>
      <c r="M8" s="126"/>
    </row>
    <row r="9" spans="1:14" s="555" customFormat="1" ht="12.95" customHeight="1">
      <c r="B9" s="559" t="s">
        <v>520</v>
      </c>
      <c r="C9" s="559"/>
      <c r="D9" s="557">
        <v>2022</v>
      </c>
      <c r="E9" s="560">
        <v>16489</v>
      </c>
      <c r="F9" s="560">
        <v>310</v>
      </c>
      <c r="G9" s="560">
        <v>1738</v>
      </c>
      <c r="H9" s="560">
        <v>9729</v>
      </c>
      <c r="I9" s="560">
        <v>4712</v>
      </c>
      <c r="K9" s="66"/>
      <c r="L9" s="126"/>
      <c r="M9" s="126"/>
    </row>
    <row r="10" spans="1:14" s="555" customFormat="1" ht="12.95" customHeight="1">
      <c r="B10" s="556"/>
      <c r="C10" s="556"/>
      <c r="D10" s="557">
        <v>2023</v>
      </c>
      <c r="E10" s="560">
        <v>13279</v>
      </c>
      <c r="F10" s="560">
        <v>253</v>
      </c>
      <c r="G10" s="560">
        <v>1582</v>
      </c>
      <c r="H10" s="560">
        <v>7326</v>
      </c>
      <c r="I10" s="560">
        <v>4118</v>
      </c>
      <c r="K10" s="66"/>
      <c r="L10" s="126"/>
      <c r="M10" s="126"/>
    </row>
    <row r="11" spans="1:14" s="555" customFormat="1" ht="12.95" customHeight="1">
      <c r="B11" s="556"/>
      <c r="C11" s="556"/>
      <c r="D11" s="557">
        <v>2024</v>
      </c>
      <c r="E11" s="560">
        <v>11495</v>
      </c>
      <c r="F11" s="560">
        <v>243</v>
      </c>
      <c r="G11" s="560">
        <v>1553</v>
      </c>
      <c r="H11" s="560">
        <v>5636</v>
      </c>
      <c r="I11" s="560">
        <v>4063</v>
      </c>
      <c r="K11" s="66"/>
      <c r="L11" s="126"/>
      <c r="M11" s="126"/>
    </row>
    <row r="12" spans="1:14" s="555" customFormat="1" ht="8.1" customHeight="1">
      <c r="B12" s="1461"/>
      <c r="C12" s="556"/>
      <c r="D12" s="561"/>
      <c r="E12" s="562"/>
      <c r="F12" s="579"/>
      <c r="G12" s="579"/>
      <c r="H12" s="579"/>
      <c r="I12" s="579"/>
      <c r="K12" s="126"/>
      <c r="L12" s="126"/>
      <c r="M12" s="126"/>
    </row>
    <row r="13" spans="1:14" s="564" customFormat="1" ht="12.95" customHeight="1">
      <c r="B13" s="566" t="s">
        <v>412</v>
      </c>
      <c r="C13" s="566"/>
      <c r="D13" s="561">
        <v>2022</v>
      </c>
      <c r="E13" s="562">
        <v>1923</v>
      </c>
      <c r="F13" s="579">
        <v>35</v>
      </c>
      <c r="G13" s="579">
        <v>206</v>
      </c>
      <c r="H13" s="579">
        <v>1083</v>
      </c>
      <c r="I13" s="579">
        <v>599</v>
      </c>
      <c r="K13" s="126"/>
      <c r="L13" s="126"/>
      <c r="M13" s="126"/>
    </row>
    <row r="14" spans="1:14" s="564" customFormat="1" ht="12.95" customHeight="1">
      <c r="B14" s="568"/>
      <c r="C14" s="568"/>
      <c r="D14" s="561">
        <v>2023</v>
      </c>
      <c r="E14" s="562">
        <v>1384</v>
      </c>
      <c r="F14" s="562">
        <v>36</v>
      </c>
      <c r="G14" s="562">
        <v>164</v>
      </c>
      <c r="H14" s="562">
        <v>737</v>
      </c>
      <c r="I14" s="579">
        <v>447</v>
      </c>
      <c r="K14" s="126"/>
      <c r="L14" s="126"/>
      <c r="M14" s="126"/>
    </row>
    <row r="15" spans="1:14" s="564" customFormat="1" ht="12.95" customHeight="1">
      <c r="B15" s="568"/>
      <c r="C15" s="568"/>
      <c r="D15" s="561">
        <v>2024</v>
      </c>
      <c r="E15" s="562">
        <v>925</v>
      </c>
      <c r="F15" s="562">
        <v>21</v>
      </c>
      <c r="G15" s="562">
        <v>144</v>
      </c>
      <c r="H15" s="562">
        <v>395</v>
      </c>
      <c r="I15" s="579">
        <v>365</v>
      </c>
      <c r="J15" s="569"/>
      <c r="K15" s="126"/>
      <c r="L15" s="126"/>
      <c r="M15" s="126"/>
    </row>
    <row r="16" spans="1:14" s="126" customFormat="1" ht="8.1" customHeight="1">
      <c r="B16" s="570"/>
      <c r="C16" s="570"/>
      <c r="D16" s="561"/>
      <c r="E16" s="562"/>
      <c r="F16" s="562"/>
      <c r="G16" s="562"/>
      <c r="H16" s="562"/>
      <c r="I16" s="562"/>
      <c r="L16" s="571"/>
    </row>
    <row r="17" spans="2:14" s="126" customFormat="1" ht="12.95" customHeight="1">
      <c r="B17" s="573" t="s">
        <v>413</v>
      </c>
      <c r="C17" s="573"/>
      <c r="D17" s="561">
        <v>2022</v>
      </c>
      <c r="E17" s="562">
        <v>937</v>
      </c>
      <c r="F17" s="562">
        <v>20</v>
      </c>
      <c r="G17" s="562">
        <v>145</v>
      </c>
      <c r="H17" s="562">
        <v>444</v>
      </c>
      <c r="I17" s="562">
        <v>328</v>
      </c>
    </row>
    <row r="18" spans="2:14" s="526" customFormat="1" ht="12.95" customHeight="1">
      <c r="B18" s="573"/>
      <c r="C18" s="573"/>
      <c r="D18" s="561">
        <v>2023</v>
      </c>
      <c r="E18" s="562">
        <v>674</v>
      </c>
      <c r="F18" s="562">
        <v>13</v>
      </c>
      <c r="G18" s="562">
        <v>119</v>
      </c>
      <c r="H18" s="562">
        <v>270</v>
      </c>
      <c r="I18" s="562">
        <v>272</v>
      </c>
    </row>
    <row r="19" spans="2:14" s="126" customFormat="1" ht="12.95" customHeight="1">
      <c r="B19" s="573"/>
      <c r="C19" s="573"/>
      <c r="D19" s="561">
        <v>2024</v>
      </c>
      <c r="E19" s="562">
        <v>734</v>
      </c>
      <c r="F19" s="562">
        <v>11</v>
      </c>
      <c r="G19" s="562">
        <v>148</v>
      </c>
      <c r="H19" s="562">
        <v>301</v>
      </c>
      <c r="I19" s="562">
        <v>274</v>
      </c>
    </row>
    <row r="20" spans="2:14" s="126" customFormat="1" ht="8.1" customHeight="1">
      <c r="B20" s="570"/>
      <c r="C20" s="570"/>
      <c r="D20" s="561"/>
      <c r="E20" s="562"/>
      <c r="F20" s="562"/>
      <c r="G20" s="562"/>
      <c r="H20" s="562"/>
      <c r="I20" s="562"/>
    </row>
    <row r="21" spans="2:14" s="126" customFormat="1" ht="12.95" customHeight="1">
      <c r="B21" s="573" t="s">
        <v>414</v>
      </c>
      <c r="C21" s="573"/>
      <c r="D21" s="561">
        <v>2022</v>
      </c>
      <c r="E21" s="562">
        <v>470</v>
      </c>
      <c r="F21" s="562">
        <v>9</v>
      </c>
      <c r="G21" s="562">
        <v>73</v>
      </c>
      <c r="H21" s="562">
        <v>210</v>
      </c>
      <c r="I21" s="562">
        <v>178</v>
      </c>
      <c r="K21" s="66"/>
      <c r="L21" s="66"/>
      <c r="M21" s="66"/>
      <c r="N21" s="66"/>
    </row>
    <row r="22" spans="2:14" s="126" customFormat="1" ht="12.95" customHeight="1">
      <c r="B22" s="573"/>
      <c r="C22" s="573"/>
      <c r="D22" s="561">
        <v>2023</v>
      </c>
      <c r="E22" s="562">
        <v>504</v>
      </c>
      <c r="F22" s="562">
        <v>13</v>
      </c>
      <c r="G22" s="562">
        <v>108</v>
      </c>
      <c r="H22" s="562">
        <v>172</v>
      </c>
      <c r="I22" s="562">
        <v>211</v>
      </c>
      <c r="K22" s="66"/>
      <c r="L22" s="66"/>
      <c r="M22" s="66"/>
      <c r="N22" s="66"/>
    </row>
    <row r="23" spans="2:14" s="126" customFormat="1" ht="12.95" customHeight="1">
      <c r="B23" s="573"/>
      <c r="C23" s="573"/>
      <c r="D23" s="561">
        <v>2024</v>
      </c>
      <c r="E23" s="562">
        <v>426</v>
      </c>
      <c r="F23" s="562">
        <v>8</v>
      </c>
      <c r="G23" s="562">
        <v>107</v>
      </c>
      <c r="H23" s="562">
        <v>110</v>
      </c>
      <c r="I23" s="562">
        <v>201</v>
      </c>
      <c r="K23" s="66"/>
      <c r="L23" s="66"/>
      <c r="M23" s="66"/>
      <c r="N23" s="66"/>
    </row>
    <row r="24" spans="2:14" s="126" customFormat="1" ht="8.1" customHeight="1">
      <c r="B24" s="574"/>
      <c r="C24" s="574"/>
      <c r="D24" s="561"/>
      <c r="E24" s="562"/>
      <c r="F24" s="562"/>
      <c r="G24" s="562"/>
      <c r="H24" s="562"/>
      <c r="I24" s="562"/>
      <c r="K24" s="66"/>
      <c r="L24" s="66"/>
      <c r="M24" s="66"/>
      <c r="N24" s="66"/>
    </row>
    <row r="25" spans="2:14" s="126" customFormat="1" ht="12.95" customHeight="1">
      <c r="B25" s="573" t="s">
        <v>415</v>
      </c>
      <c r="C25" s="573"/>
      <c r="D25" s="561">
        <v>2022</v>
      </c>
      <c r="E25" s="562">
        <v>460</v>
      </c>
      <c r="F25" s="562">
        <v>5</v>
      </c>
      <c r="G25" s="562">
        <v>22</v>
      </c>
      <c r="H25" s="562">
        <v>269</v>
      </c>
      <c r="I25" s="562">
        <v>164</v>
      </c>
      <c r="K25" s="66"/>
      <c r="L25" s="66"/>
      <c r="M25" s="66"/>
      <c r="N25" s="66"/>
    </row>
    <row r="26" spans="2:14" s="126" customFormat="1" ht="12.95" customHeight="1">
      <c r="B26" s="573"/>
      <c r="C26" s="573"/>
      <c r="D26" s="561">
        <v>2023</v>
      </c>
      <c r="E26" s="562">
        <v>366</v>
      </c>
      <c r="F26" s="562">
        <v>6</v>
      </c>
      <c r="G26" s="562">
        <v>53</v>
      </c>
      <c r="H26" s="562">
        <v>158</v>
      </c>
      <c r="I26" s="562">
        <v>149</v>
      </c>
      <c r="K26" s="66"/>
      <c r="L26" s="66"/>
      <c r="M26" s="66"/>
      <c r="N26" s="66"/>
    </row>
    <row r="27" spans="2:14" s="126" customFormat="1" ht="12.95" customHeight="1">
      <c r="B27" s="573"/>
      <c r="C27" s="573"/>
      <c r="D27" s="561">
        <v>2024</v>
      </c>
      <c r="E27" s="562">
        <v>311</v>
      </c>
      <c r="F27" s="562">
        <v>4</v>
      </c>
      <c r="G27" s="562">
        <v>41</v>
      </c>
      <c r="H27" s="562">
        <v>96</v>
      </c>
      <c r="I27" s="562">
        <v>170</v>
      </c>
      <c r="K27" s="66"/>
      <c r="L27" s="66"/>
      <c r="M27" s="66"/>
      <c r="N27" s="66"/>
    </row>
    <row r="28" spans="2:14" s="126" customFormat="1" ht="8.1" customHeight="1">
      <c r="B28" s="573"/>
      <c r="C28" s="573"/>
      <c r="D28" s="561"/>
      <c r="E28" s="562"/>
      <c r="F28" s="562"/>
      <c r="G28" s="562"/>
      <c r="H28" s="562"/>
      <c r="I28" s="562"/>
      <c r="K28" s="66"/>
      <c r="L28" s="66"/>
      <c r="M28" s="66"/>
      <c r="N28" s="66"/>
    </row>
    <row r="29" spans="2:14" s="126" customFormat="1" ht="13.5" customHeight="1">
      <c r="B29" s="573" t="s">
        <v>416</v>
      </c>
      <c r="C29" s="573"/>
      <c r="D29" s="561">
        <v>2022</v>
      </c>
      <c r="E29" s="562">
        <v>778</v>
      </c>
      <c r="F29" s="562">
        <v>10</v>
      </c>
      <c r="G29" s="562">
        <v>56</v>
      </c>
      <c r="H29" s="562">
        <v>454</v>
      </c>
      <c r="I29" s="562">
        <v>258</v>
      </c>
      <c r="K29" s="66"/>
      <c r="L29" s="66"/>
      <c r="M29" s="66"/>
      <c r="N29" s="66"/>
    </row>
    <row r="30" spans="2:14" s="126" customFormat="1" ht="13.5" customHeight="1">
      <c r="B30" s="573"/>
      <c r="C30" s="573"/>
      <c r="D30" s="561">
        <v>2023</v>
      </c>
      <c r="E30" s="562">
        <v>525</v>
      </c>
      <c r="F30" s="562">
        <v>8</v>
      </c>
      <c r="G30" s="562">
        <v>75</v>
      </c>
      <c r="H30" s="562">
        <v>229</v>
      </c>
      <c r="I30" s="562">
        <v>213</v>
      </c>
      <c r="K30" s="66"/>
      <c r="L30" s="66"/>
      <c r="M30" s="66"/>
      <c r="N30" s="66"/>
    </row>
    <row r="31" spans="2:14" s="126" customFormat="1" ht="13.5" customHeight="1">
      <c r="B31" s="573"/>
      <c r="C31" s="573"/>
      <c r="D31" s="561">
        <v>2024</v>
      </c>
      <c r="E31" s="562">
        <v>434</v>
      </c>
      <c r="F31" s="562">
        <v>11</v>
      </c>
      <c r="G31" s="562">
        <v>54</v>
      </c>
      <c r="H31" s="562">
        <v>148</v>
      </c>
      <c r="I31" s="562">
        <v>221</v>
      </c>
      <c r="K31" s="66"/>
      <c r="L31" s="66"/>
      <c r="M31" s="66"/>
      <c r="N31" s="66"/>
    </row>
    <row r="32" spans="2:14" s="126" customFormat="1" ht="8.1" customHeight="1">
      <c r="B32" s="570"/>
      <c r="C32" s="570"/>
      <c r="D32" s="561"/>
      <c r="E32" s="562"/>
      <c r="F32" s="562"/>
      <c r="G32" s="562"/>
      <c r="H32" s="562"/>
      <c r="I32" s="562"/>
      <c r="K32" s="66"/>
      <c r="L32" s="66"/>
      <c r="M32" s="66"/>
      <c r="N32" s="66"/>
    </row>
    <row r="33" spans="2:14" s="126" customFormat="1" ht="13.5" customHeight="1">
      <c r="B33" s="573" t="s">
        <v>417</v>
      </c>
      <c r="C33" s="573"/>
      <c r="D33" s="561">
        <v>2022</v>
      </c>
      <c r="E33" s="562">
        <v>595</v>
      </c>
      <c r="F33" s="562">
        <v>16</v>
      </c>
      <c r="G33" s="562">
        <v>114</v>
      </c>
      <c r="H33" s="562">
        <v>239</v>
      </c>
      <c r="I33" s="562">
        <v>226</v>
      </c>
      <c r="K33" s="66"/>
      <c r="L33" s="66"/>
      <c r="M33" s="66"/>
      <c r="N33" s="66"/>
    </row>
    <row r="34" spans="2:14" s="126" customFormat="1" ht="13.5" customHeight="1">
      <c r="B34" s="573"/>
      <c r="C34" s="573"/>
      <c r="D34" s="561">
        <v>2023</v>
      </c>
      <c r="E34" s="562">
        <v>405</v>
      </c>
      <c r="F34" s="562">
        <v>8</v>
      </c>
      <c r="G34" s="562">
        <v>98</v>
      </c>
      <c r="H34" s="562">
        <v>144</v>
      </c>
      <c r="I34" s="562">
        <v>155</v>
      </c>
      <c r="K34" s="66"/>
      <c r="L34" s="66"/>
      <c r="M34" s="66"/>
      <c r="N34" s="66"/>
    </row>
    <row r="35" spans="2:14" s="126" customFormat="1" ht="13.5" customHeight="1">
      <c r="B35" s="573"/>
      <c r="C35" s="573"/>
      <c r="D35" s="561">
        <v>2024</v>
      </c>
      <c r="E35" s="562">
        <v>413</v>
      </c>
      <c r="F35" s="562">
        <v>11</v>
      </c>
      <c r="G35" s="562">
        <v>113</v>
      </c>
      <c r="H35" s="562">
        <v>85</v>
      </c>
      <c r="I35" s="562">
        <v>204</v>
      </c>
      <c r="K35" s="66"/>
      <c r="L35" s="66"/>
      <c r="M35" s="66"/>
      <c r="N35" s="66"/>
    </row>
    <row r="36" spans="2:14" s="126" customFormat="1" ht="8.1" customHeight="1">
      <c r="B36" s="570"/>
      <c r="C36" s="570"/>
      <c r="D36" s="561"/>
      <c r="E36" s="562"/>
      <c r="F36" s="562"/>
      <c r="G36" s="562"/>
      <c r="H36" s="562"/>
      <c r="I36" s="562"/>
      <c r="K36" s="66"/>
      <c r="L36" s="66"/>
      <c r="M36" s="66"/>
      <c r="N36" s="66"/>
    </row>
    <row r="37" spans="2:14" s="126" customFormat="1" ht="13.5" customHeight="1">
      <c r="B37" s="573" t="s">
        <v>418</v>
      </c>
      <c r="C37" s="573"/>
      <c r="D37" s="561">
        <v>2022</v>
      </c>
      <c r="E37" s="562">
        <v>1056</v>
      </c>
      <c r="F37" s="562">
        <v>15</v>
      </c>
      <c r="G37" s="562">
        <v>80</v>
      </c>
      <c r="H37" s="562">
        <v>620</v>
      </c>
      <c r="I37" s="562">
        <v>341</v>
      </c>
      <c r="K37" s="66"/>
      <c r="L37" s="66"/>
      <c r="M37" s="66"/>
      <c r="N37" s="66"/>
    </row>
    <row r="38" spans="2:14" s="126" customFormat="1" ht="13.5" customHeight="1">
      <c r="B38" s="573"/>
      <c r="C38" s="573"/>
      <c r="D38" s="561">
        <v>2023</v>
      </c>
      <c r="E38" s="562">
        <v>842</v>
      </c>
      <c r="F38" s="562">
        <v>16</v>
      </c>
      <c r="G38" s="562">
        <v>88</v>
      </c>
      <c r="H38" s="562">
        <v>425</v>
      </c>
      <c r="I38" s="562">
        <v>313</v>
      </c>
      <c r="K38" s="66"/>
      <c r="L38" s="66"/>
      <c r="M38" s="66"/>
      <c r="N38" s="66"/>
    </row>
    <row r="39" spans="2:14" s="126" customFormat="1" ht="13.5" customHeight="1">
      <c r="B39" s="573"/>
      <c r="C39" s="573"/>
      <c r="D39" s="561">
        <v>2024</v>
      </c>
      <c r="E39" s="562">
        <v>931</v>
      </c>
      <c r="F39" s="562">
        <v>13</v>
      </c>
      <c r="G39" s="562">
        <v>88</v>
      </c>
      <c r="H39" s="562">
        <v>451</v>
      </c>
      <c r="I39" s="562">
        <v>379</v>
      </c>
      <c r="K39" s="66"/>
      <c r="L39" s="66"/>
      <c r="M39" s="66"/>
      <c r="N39" s="66"/>
    </row>
    <row r="40" spans="2:14" s="126" customFormat="1" ht="8.1" customHeight="1">
      <c r="B40" s="570"/>
      <c r="C40" s="570"/>
      <c r="D40" s="561"/>
      <c r="E40" s="562"/>
      <c r="F40" s="562"/>
      <c r="G40" s="562"/>
      <c r="H40" s="562"/>
      <c r="I40" s="562"/>
      <c r="K40" s="66"/>
      <c r="L40" s="66"/>
      <c r="M40" s="66"/>
      <c r="N40" s="66"/>
    </row>
    <row r="41" spans="2:14" s="126" customFormat="1" ht="12.95" customHeight="1">
      <c r="B41" s="573" t="s">
        <v>419</v>
      </c>
      <c r="C41" s="573"/>
      <c r="D41" s="561">
        <v>2022</v>
      </c>
      <c r="E41" s="562">
        <v>1103</v>
      </c>
      <c r="F41" s="562">
        <v>31</v>
      </c>
      <c r="G41" s="562">
        <v>102</v>
      </c>
      <c r="H41" s="562">
        <v>551</v>
      </c>
      <c r="I41" s="562">
        <v>419</v>
      </c>
      <c r="K41" s="66"/>
      <c r="L41" s="66"/>
      <c r="M41" s="66"/>
      <c r="N41" s="66"/>
    </row>
    <row r="42" spans="2:14" s="126" customFormat="1" ht="12.95" customHeight="1">
      <c r="B42" s="573"/>
      <c r="C42" s="573"/>
      <c r="D42" s="561">
        <v>2023</v>
      </c>
      <c r="E42" s="562">
        <v>789</v>
      </c>
      <c r="F42" s="562">
        <v>22</v>
      </c>
      <c r="G42" s="562">
        <v>74</v>
      </c>
      <c r="H42" s="562">
        <v>371</v>
      </c>
      <c r="I42" s="579">
        <v>322</v>
      </c>
      <c r="K42" s="66"/>
      <c r="L42" s="66"/>
      <c r="M42" s="66"/>
      <c r="N42" s="66"/>
    </row>
    <row r="43" spans="2:14" s="126" customFormat="1" ht="12.95" customHeight="1">
      <c r="B43" s="573"/>
      <c r="C43" s="573"/>
      <c r="D43" s="561">
        <v>2024</v>
      </c>
      <c r="E43" s="562">
        <v>747</v>
      </c>
      <c r="F43" s="562">
        <v>27</v>
      </c>
      <c r="G43" s="562">
        <v>96</v>
      </c>
      <c r="H43" s="562">
        <v>289</v>
      </c>
      <c r="I43" s="562">
        <v>335</v>
      </c>
      <c r="K43" s="66"/>
      <c r="L43" s="66"/>
      <c r="M43" s="66"/>
      <c r="N43" s="66"/>
    </row>
    <row r="44" spans="2:14" s="126" customFormat="1" ht="8.1" customHeight="1">
      <c r="B44" s="570"/>
      <c r="C44" s="570"/>
      <c r="D44" s="561"/>
      <c r="E44" s="562"/>
      <c r="F44" s="562"/>
      <c r="G44" s="562"/>
      <c r="H44" s="562"/>
      <c r="I44" s="579"/>
      <c r="K44" s="66"/>
      <c r="L44" s="66"/>
      <c r="M44" s="66"/>
      <c r="N44" s="66"/>
    </row>
    <row r="45" spans="2:14" s="126" customFormat="1" ht="12.95" customHeight="1">
      <c r="B45" s="573" t="s">
        <v>420</v>
      </c>
      <c r="C45" s="573"/>
      <c r="D45" s="561">
        <v>2022</v>
      </c>
      <c r="E45" s="562">
        <v>121</v>
      </c>
      <c r="F45" s="562">
        <v>1</v>
      </c>
      <c r="G45" s="562">
        <v>24</v>
      </c>
      <c r="H45" s="562">
        <v>36</v>
      </c>
      <c r="I45" s="579">
        <v>60</v>
      </c>
      <c r="K45" s="66"/>
      <c r="L45" s="66"/>
      <c r="M45" s="66"/>
      <c r="N45" s="66"/>
    </row>
    <row r="46" spans="2:14" s="126" customFormat="1" ht="12.95" customHeight="1">
      <c r="B46" s="573"/>
      <c r="C46" s="573"/>
      <c r="D46" s="561">
        <v>2023</v>
      </c>
      <c r="E46" s="562">
        <v>81</v>
      </c>
      <c r="F46" s="562">
        <v>2</v>
      </c>
      <c r="G46" s="562">
        <v>19</v>
      </c>
      <c r="H46" s="562">
        <v>20</v>
      </c>
      <c r="I46" s="562">
        <v>40</v>
      </c>
      <c r="K46" s="66"/>
      <c r="L46" s="66"/>
      <c r="M46" s="66"/>
      <c r="N46" s="66"/>
    </row>
    <row r="47" spans="2:14" s="126" customFormat="1" ht="12.95" customHeight="1">
      <c r="B47" s="573"/>
      <c r="C47" s="573"/>
      <c r="D47" s="561">
        <v>2024</v>
      </c>
      <c r="E47" s="562">
        <v>80</v>
      </c>
      <c r="F47" s="562">
        <v>2</v>
      </c>
      <c r="G47" s="562">
        <v>28</v>
      </c>
      <c r="H47" s="562">
        <v>12</v>
      </c>
      <c r="I47" s="562">
        <v>38</v>
      </c>
      <c r="K47" s="66"/>
      <c r="L47" s="66"/>
      <c r="M47" s="66"/>
      <c r="N47" s="66"/>
    </row>
    <row r="48" spans="2:14" s="126" customFormat="1" ht="8.1" customHeight="1">
      <c r="B48" s="573"/>
      <c r="C48" s="573"/>
      <c r="D48" s="561"/>
      <c r="E48" s="562"/>
      <c r="F48" s="562"/>
      <c r="G48" s="562"/>
      <c r="H48" s="562"/>
      <c r="I48" s="562"/>
      <c r="K48" s="66"/>
      <c r="L48" s="66"/>
      <c r="M48" s="66"/>
      <c r="N48" s="66"/>
    </row>
    <row r="49" spans="2:14" s="126" customFormat="1" ht="13.5" customHeight="1">
      <c r="B49" s="576" t="s">
        <v>421</v>
      </c>
      <c r="C49" s="576"/>
      <c r="D49" s="561">
        <v>2022</v>
      </c>
      <c r="E49" s="562">
        <v>4302</v>
      </c>
      <c r="F49" s="562">
        <v>90</v>
      </c>
      <c r="G49" s="562">
        <v>346</v>
      </c>
      <c r="H49" s="562">
        <v>2906</v>
      </c>
      <c r="I49" s="562">
        <v>960</v>
      </c>
      <c r="K49" s="66"/>
      <c r="L49" s="66"/>
      <c r="M49" s="66"/>
      <c r="N49" s="66"/>
    </row>
    <row r="50" spans="2:14" s="126" customFormat="1" ht="13.5" customHeight="1">
      <c r="B50" s="577"/>
      <c r="C50" s="577"/>
      <c r="D50" s="561">
        <v>2023</v>
      </c>
      <c r="E50" s="562">
        <v>4239</v>
      </c>
      <c r="F50" s="562">
        <v>69</v>
      </c>
      <c r="G50" s="562">
        <v>341</v>
      </c>
      <c r="H50" s="562">
        <v>2832</v>
      </c>
      <c r="I50" s="579">
        <v>997</v>
      </c>
      <c r="K50" s="66"/>
      <c r="L50" s="66"/>
      <c r="M50" s="66"/>
      <c r="N50" s="66"/>
    </row>
    <row r="51" spans="2:14" s="126" customFormat="1" ht="13.5" customHeight="1">
      <c r="B51" s="577"/>
      <c r="C51" s="577"/>
      <c r="D51" s="561">
        <v>2024</v>
      </c>
      <c r="E51" s="562">
        <v>3805</v>
      </c>
      <c r="F51" s="562">
        <v>80</v>
      </c>
      <c r="G51" s="562">
        <v>320</v>
      </c>
      <c r="H51" s="562">
        <v>2418</v>
      </c>
      <c r="I51" s="562">
        <v>987</v>
      </c>
      <c r="K51" s="66"/>
      <c r="L51" s="66"/>
      <c r="M51" s="66"/>
      <c r="N51" s="66"/>
    </row>
    <row r="52" spans="2:14" s="126" customFormat="1" ht="8.1" customHeight="1">
      <c r="B52" s="577"/>
      <c r="C52" s="577"/>
      <c r="D52" s="561"/>
      <c r="E52" s="562"/>
      <c r="F52" s="562"/>
      <c r="G52" s="562"/>
      <c r="H52" s="562"/>
      <c r="I52" s="562"/>
      <c r="K52" s="66"/>
      <c r="L52" s="66"/>
      <c r="M52" s="66"/>
      <c r="N52" s="66"/>
    </row>
    <row r="53" spans="2:14" s="126" customFormat="1" ht="13.5" customHeight="1">
      <c r="B53" s="576" t="s">
        <v>422</v>
      </c>
      <c r="C53" s="576"/>
      <c r="D53" s="561">
        <v>2022</v>
      </c>
      <c r="E53" s="562">
        <v>293</v>
      </c>
      <c r="F53" s="562">
        <v>1</v>
      </c>
      <c r="G53" s="562">
        <v>80</v>
      </c>
      <c r="H53" s="562">
        <v>94</v>
      </c>
      <c r="I53" s="562">
        <v>118</v>
      </c>
      <c r="K53" s="66"/>
      <c r="L53" s="66"/>
      <c r="M53" s="66"/>
      <c r="N53" s="66"/>
    </row>
    <row r="54" spans="2:14" s="126" customFormat="1" ht="13.5" customHeight="1">
      <c r="B54" s="576"/>
      <c r="C54" s="576"/>
      <c r="D54" s="561">
        <v>2023</v>
      </c>
      <c r="E54" s="562">
        <v>278</v>
      </c>
      <c r="F54" s="562">
        <v>3</v>
      </c>
      <c r="G54" s="562">
        <v>64</v>
      </c>
      <c r="H54" s="562">
        <v>93</v>
      </c>
      <c r="I54" s="562">
        <v>118</v>
      </c>
      <c r="K54" s="66"/>
      <c r="L54" s="66"/>
      <c r="M54" s="66"/>
      <c r="N54" s="66"/>
    </row>
    <row r="55" spans="2:14" s="126" customFormat="1" ht="13.5" customHeight="1">
      <c r="B55" s="576"/>
      <c r="C55" s="576"/>
      <c r="D55" s="561">
        <v>2024</v>
      </c>
      <c r="E55" s="562">
        <v>224</v>
      </c>
      <c r="F55" s="562">
        <v>4</v>
      </c>
      <c r="G55" s="562">
        <v>68</v>
      </c>
      <c r="H55" s="562">
        <v>51</v>
      </c>
      <c r="I55" s="562">
        <v>101</v>
      </c>
      <c r="K55" s="66"/>
      <c r="L55" s="66"/>
      <c r="M55" s="66"/>
      <c r="N55" s="66"/>
    </row>
    <row r="56" spans="2:14" s="126" customFormat="1" ht="8.1" customHeight="1">
      <c r="B56" s="570"/>
      <c r="C56" s="570"/>
      <c r="D56" s="561"/>
      <c r="E56" s="562"/>
      <c r="F56" s="562"/>
      <c r="G56" s="562"/>
      <c r="H56" s="562"/>
      <c r="I56" s="562"/>
      <c r="K56" s="66"/>
      <c r="L56" s="66"/>
      <c r="M56" s="66"/>
      <c r="N56" s="66"/>
    </row>
    <row r="57" spans="2:14" s="126" customFormat="1" ht="12.95" customHeight="1">
      <c r="B57" s="576" t="s">
        <v>521</v>
      </c>
      <c r="C57" s="576"/>
      <c r="D57" s="561">
        <v>2022</v>
      </c>
      <c r="E57" s="562">
        <v>639</v>
      </c>
      <c r="F57" s="562">
        <v>28</v>
      </c>
      <c r="G57" s="562">
        <v>219</v>
      </c>
      <c r="H57" s="562">
        <v>171</v>
      </c>
      <c r="I57" s="562">
        <v>221</v>
      </c>
      <c r="K57" s="66"/>
      <c r="L57" s="66"/>
      <c r="M57" s="66"/>
      <c r="N57" s="66"/>
    </row>
    <row r="58" spans="2:14" s="126" customFormat="1" ht="12.95" customHeight="1">
      <c r="B58" s="576"/>
      <c r="C58" s="576"/>
      <c r="D58" s="561">
        <v>2023</v>
      </c>
      <c r="E58" s="562">
        <v>483</v>
      </c>
      <c r="F58" s="562">
        <v>24</v>
      </c>
      <c r="G58" s="562">
        <v>153</v>
      </c>
      <c r="H58" s="562">
        <v>130</v>
      </c>
      <c r="I58" s="562">
        <v>176</v>
      </c>
      <c r="K58" s="66"/>
      <c r="L58" s="66"/>
      <c r="M58" s="66"/>
      <c r="N58" s="66"/>
    </row>
    <row r="59" spans="2:14" s="126" customFormat="1" ht="12.95" customHeight="1">
      <c r="B59" s="576"/>
      <c r="C59" s="576"/>
      <c r="D59" s="561">
        <v>2024</v>
      </c>
      <c r="E59" s="562">
        <v>414</v>
      </c>
      <c r="F59" s="562">
        <v>15</v>
      </c>
      <c r="G59" s="562">
        <v>140</v>
      </c>
      <c r="H59" s="562">
        <v>111</v>
      </c>
      <c r="I59" s="562">
        <v>148</v>
      </c>
      <c r="K59" s="66"/>
      <c r="L59" s="66"/>
      <c r="M59" s="66"/>
      <c r="N59" s="66"/>
    </row>
    <row r="60" spans="2:14" s="126" customFormat="1" ht="8.1" customHeight="1">
      <c r="B60" s="578"/>
      <c r="C60" s="578"/>
      <c r="D60" s="561"/>
      <c r="E60" s="562"/>
      <c r="F60" s="562"/>
      <c r="G60" s="562"/>
      <c r="H60" s="562"/>
      <c r="I60" s="579"/>
      <c r="K60" s="66"/>
      <c r="L60" s="66"/>
      <c r="M60" s="66"/>
      <c r="N60" s="66"/>
    </row>
    <row r="61" spans="2:14" s="126" customFormat="1" ht="12.95" customHeight="1">
      <c r="B61" s="573" t="s">
        <v>235</v>
      </c>
      <c r="C61" s="573"/>
      <c r="D61" s="561">
        <v>2022</v>
      </c>
      <c r="E61" s="562">
        <v>898</v>
      </c>
      <c r="F61" s="562">
        <v>27</v>
      </c>
      <c r="G61" s="562">
        <v>149</v>
      </c>
      <c r="H61" s="562">
        <v>387</v>
      </c>
      <c r="I61" s="579">
        <v>335</v>
      </c>
      <c r="K61" s="66"/>
      <c r="L61" s="66"/>
      <c r="M61" s="66"/>
      <c r="N61" s="66"/>
    </row>
    <row r="62" spans="2:14" s="126" customFormat="1" ht="12.95" customHeight="1">
      <c r="B62" s="573"/>
      <c r="C62" s="573"/>
      <c r="D62" s="561">
        <v>2023</v>
      </c>
      <c r="E62" s="562">
        <v>761</v>
      </c>
      <c r="F62" s="562">
        <v>8</v>
      </c>
      <c r="G62" s="562">
        <v>138</v>
      </c>
      <c r="H62" s="562">
        <v>288</v>
      </c>
      <c r="I62" s="579">
        <v>327</v>
      </c>
      <c r="K62" s="66"/>
      <c r="L62" s="66"/>
      <c r="M62" s="66"/>
      <c r="N62" s="66"/>
    </row>
    <row r="63" spans="2:14" s="126" customFormat="1" ht="12.95" customHeight="1">
      <c r="B63" s="573"/>
      <c r="C63" s="573"/>
      <c r="D63" s="561">
        <v>2024</v>
      </c>
      <c r="E63" s="562">
        <v>593</v>
      </c>
      <c r="F63" s="562">
        <v>25</v>
      </c>
      <c r="G63" s="562">
        <v>124</v>
      </c>
      <c r="H63" s="562">
        <v>148</v>
      </c>
      <c r="I63" s="579">
        <v>296</v>
      </c>
      <c r="K63" s="66"/>
      <c r="L63" s="66"/>
      <c r="M63" s="66"/>
      <c r="N63" s="66"/>
    </row>
    <row r="64" spans="2:14" s="126" customFormat="1" ht="8.1" customHeight="1">
      <c r="B64" s="570"/>
      <c r="C64" s="570"/>
      <c r="D64" s="561"/>
      <c r="E64" s="562"/>
      <c r="F64" s="580"/>
      <c r="G64" s="562"/>
      <c r="H64" s="562"/>
      <c r="I64" s="562"/>
      <c r="K64" s="66"/>
      <c r="L64" s="66"/>
      <c r="M64" s="66"/>
      <c r="N64" s="66"/>
    </row>
    <row r="65" spans="1:14" s="126" customFormat="1" ht="13.5" customHeight="1">
      <c r="B65" s="573" t="s">
        <v>522</v>
      </c>
      <c r="C65" s="573"/>
      <c r="D65" s="561">
        <v>2022</v>
      </c>
      <c r="E65" s="562">
        <v>2914</v>
      </c>
      <c r="F65" s="580">
        <v>22</v>
      </c>
      <c r="G65" s="562">
        <v>122</v>
      </c>
      <c r="H65" s="562">
        <v>2265</v>
      </c>
      <c r="I65" s="562">
        <v>505</v>
      </c>
      <c r="K65" s="66"/>
      <c r="L65" s="66"/>
      <c r="M65" s="66"/>
      <c r="N65" s="66"/>
    </row>
    <row r="66" spans="1:14" s="126" customFormat="1" ht="12.95" customHeight="1">
      <c r="B66" s="573"/>
      <c r="C66" s="573"/>
      <c r="D66" s="561">
        <v>2023</v>
      </c>
      <c r="E66" s="562">
        <v>1948</v>
      </c>
      <c r="F66" s="580">
        <v>25</v>
      </c>
      <c r="G66" s="580">
        <v>88</v>
      </c>
      <c r="H66" s="580">
        <v>1457</v>
      </c>
      <c r="I66" s="580">
        <v>378</v>
      </c>
      <c r="K66" s="66"/>
      <c r="L66" s="66"/>
      <c r="M66" s="66"/>
      <c r="N66" s="66"/>
    </row>
    <row r="67" spans="1:14" s="126" customFormat="1" ht="12.95" customHeight="1">
      <c r="B67" s="93"/>
      <c r="C67" s="570"/>
      <c r="D67" s="561">
        <v>2024</v>
      </c>
      <c r="E67" s="562">
        <v>1458</v>
      </c>
      <c r="F67" s="580">
        <v>11</v>
      </c>
      <c r="G67" s="580">
        <v>82</v>
      </c>
      <c r="H67" s="580">
        <v>1021</v>
      </c>
      <c r="I67" s="580">
        <v>344</v>
      </c>
      <c r="K67" s="66"/>
      <c r="L67" s="66"/>
      <c r="M67" s="66"/>
      <c r="N67" s="66"/>
    </row>
    <row r="68" spans="1:14" s="126" customFormat="1" ht="8.1" customHeight="1" thickBot="1">
      <c r="A68" s="147"/>
      <c r="B68" s="581"/>
      <c r="C68" s="581"/>
      <c r="D68" s="535"/>
      <c r="E68" s="1596"/>
      <c r="F68" s="1596"/>
      <c r="G68" s="1596"/>
      <c r="H68" s="1596"/>
      <c r="I68" s="1596"/>
      <c r="K68" s="66"/>
    </row>
    <row r="69" spans="1:14" s="582" customFormat="1" ht="16.5" customHeight="1">
      <c r="D69" s="583"/>
      <c r="I69" s="584"/>
      <c r="J69" s="585" t="s">
        <v>241</v>
      </c>
    </row>
    <row r="70" spans="1:14" s="582" customFormat="1" ht="15.2" customHeight="1">
      <c r="J70" s="586" t="s">
        <v>242</v>
      </c>
    </row>
    <row r="71" spans="1:14" s="582" customFormat="1" ht="16.5" customHeight="1">
      <c r="B71" s="587" t="s">
        <v>523</v>
      </c>
      <c r="J71" s="586"/>
    </row>
    <row r="72" spans="1:14" s="582" customFormat="1" ht="16.5">
      <c r="A72" s="588" t="s">
        <v>3</v>
      </c>
      <c r="B72" s="587" t="s">
        <v>524</v>
      </c>
      <c r="C72" s="589"/>
      <c r="D72" s="590"/>
      <c r="E72" s="587"/>
      <c r="F72" s="587"/>
      <c r="G72" s="587"/>
    </row>
    <row r="73" spans="1:14" s="582" customFormat="1" ht="14.25">
      <c r="B73" s="591" t="s">
        <v>525</v>
      </c>
      <c r="C73" s="592"/>
      <c r="D73" s="593"/>
      <c r="E73" s="587"/>
      <c r="H73" s="594"/>
      <c r="I73" s="595"/>
    </row>
    <row r="74" spans="1:14" s="582" customFormat="1" ht="14.25">
      <c r="B74" s="596" t="s">
        <v>1320</v>
      </c>
      <c r="C74" s="592"/>
      <c r="D74" s="593"/>
      <c r="E74" s="587"/>
      <c r="H74" s="594"/>
      <c r="I74" s="595"/>
    </row>
    <row r="75" spans="1:14" s="582" customFormat="1" ht="15.75">
      <c r="A75" s="588" t="s">
        <v>4</v>
      </c>
      <c r="B75" s="597" t="s">
        <v>526</v>
      </c>
      <c r="C75" s="598"/>
      <c r="D75" s="599"/>
      <c r="E75" s="600"/>
      <c r="F75" s="601"/>
      <c r="G75" s="601"/>
      <c r="H75" s="601"/>
      <c r="I75" s="601"/>
      <c r="J75" s="601"/>
      <c r="K75" s="601"/>
      <c r="L75" s="601"/>
      <c r="M75" s="601"/>
      <c r="N75" s="601"/>
    </row>
    <row r="76" spans="1:14" s="601" customFormat="1" ht="14.25">
      <c r="A76" s="602"/>
      <c r="B76" s="603" t="s">
        <v>527</v>
      </c>
      <c r="C76" s="598"/>
      <c r="D76" s="599"/>
      <c r="E76" s="600"/>
    </row>
    <row r="77" spans="1:14" s="582" customFormat="1" ht="12.95" customHeight="1">
      <c r="A77" s="588" t="s">
        <v>263</v>
      </c>
      <c r="B77" s="604" t="s">
        <v>528</v>
      </c>
      <c r="C77" s="598"/>
      <c r="D77" s="599"/>
      <c r="E77" s="600"/>
      <c r="N77" s="601"/>
    </row>
    <row r="78" spans="1:14" s="582" customFormat="1" ht="14.25">
      <c r="B78" s="603" t="s">
        <v>529</v>
      </c>
      <c r="C78" s="598"/>
      <c r="D78" s="599"/>
      <c r="E78" s="600"/>
      <c r="F78" s="601"/>
      <c r="G78" s="601"/>
      <c r="H78" s="601"/>
      <c r="I78" s="601"/>
      <c r="J78" s="601"/>
      <c r="K78" s="601"/>
      <c r="L78" s="601"/>
      <c r="M78" s="601"/>
      <c r="N78" s="601"/>
    </row>
  </sheetData>
  <mergeCells count="1">
    <mergeCell ref="C4:I4"/>
  </mergeCells>
  <printOptions horizontalCentered="1"/>
  <pageMargins left="0.55118110236220474" right="0.55118110236220474" top="0.55118110236220474" bottom="0.55118110236220474" header="0.31496062992125984" footer="0.31496062992125984"/>
  <pageSetup paperSize="9" scale="73"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51">
    <tabColor theme="4" tint="0.39997558519241921"/>
    <pageSetUpPr fitToPage="1"/>
  </sheetPr>
  <dimension ref="A1:Z77"/>
  <sheetViews>
    <sheetView view="pageBreakPreview" topLeftCell="A10" zoomScaleNormal="100" zoomScaleSheetLayoutView="100" workbookViewId="0">
      <selection activeCell="D67" sqref="D67:D69"/>
    </sheetView>
  </sheetViews>
  <sheetFormatPr defaultRowHeight="15"/>
  <cols>
    <col min="1" max="1" width="2.7109375" customWidth="1"/>
    <col min="3" max="3" width="12.85546875" customWidth="1"/>
    <col min="4" max="4" width="8.42578125" customWidth="1"/>
    <col min="6" max="6" width="16.42578125" customWidth="1"/>
    <col min="7" max="7" width="10.5703125" customWidth="1"/>
    <col min="8" max="8" width="13.7109375" customWidth="1"/>
    <col min="9" max="9" width="20.7109375" customWidth="1"/>
    <col min="10" max="10" width="12.28515625" customWidth="1"/>
    <col min="11" max="11" width="1.140625" customWidth="1"/>
  </cols>
  <sheetData>
    <row r="1" spans="1:26" s="126" customFormat="1" ht="8.1" customHeight="1">
      <c r="B1" s="526"/>
      <c r="C1" s="526"/>
      <c r="D1" s="527"/>
      <c r="E1" s="605"/>
      <c r="F1" s="606"/>
      <c r="G1" s="529"/>
      <c r="H1" s="530"/>
      <c r="I1" s="529"/>
      <c r="J1" s="606"/>
    </row>
    <row r="2" spans="1:26" s="126" customFormat="1" ht="8.1" customHeight="1">
      <c r="B2" s="526"/>
      <c r="C2" s="526"/>
      <c r="D2" s="527"/>
      <c r="E2" s="605"/>
      <c r="F2" s="606"/>
      <c r="G2" s="529"/>
      <c r="H2" s="530"/>
      <c r="I2" s="529"/>
      <c r="J2" s="606"/>
    </row>
    <row r="3" spans="1:26" s="68" customFormat="1" ht="16.5">
      <c r="B3" s="531" t="s">
        <v>530</v>
      </c>
      <c r="C3" s="607" t="s">
        <v>1994</v>
      </c>
      <c r="D3" s="608"/>
      <c r="E3" s="609"/>
      <c r="F3" s="609"/>
      <c r="G3" s="531"/>
      <c r="H3" s="607"/>
      <c r="I3" s="607"/>
      <c r="J3" s="531"/>
      <c r="K3" s="607"/>
      <c r="L3" s="610"/>
    </row>
    <row r="4" spans="1:26" s="611" customFormat="1" ht="16.5">
      <c r="B4" s="612" t="s">
        <v>531</v>
      </c>
      <c r="C4" s="613" t="s">
        <v>1995</v>
      </c>
      <c r="D4" s="608"/>
      <c r="E4" s="609"/>
      <c r="F4" s="609"/>
      <c r="G4" s="531"/>
      <c r="H4" s="613"/>
      <c r="I4" s="614"/>
      <c r="J4" s="612"/>
      <c r="K4" s="614"/>
      <c r="L4" s="615"/>
    </row>
    <row r="5" spans="1:26" s="126" customFormat="1" ht="9.1999999999999993" customHeight="1" thickBot="1">
      <c r="A5" s="147"/>
      <c r="B5" s="616"/>
      <c r="C5" s="616"/>
      <c r="D5" s="535"/>
      <c r="E5" s="617"/>
      <c r="F5" s="617"/>
      <c r="G5" s="147"/>
      <c r="H5" s="147"/>
      <c r="I5" s="147"/>
      <c r="J5" s="617"/>
      <c r="K5" s="147"/>
    </row>
    <row r="6" spans="1:26" s="126" customFormat="1" ht="44.25" customHeight="1">
      <c r="A6" s="618"/>
      <c r="B6" s="126" t="s">
        <v>1085</v>
      </c>
      <c r="D6" s="619" t="s">
        <v>39</v>
      </c>
      <c r="E6" s="605" t="s">
        <v>45</v>
      </c>
      <c r="F6" s="543" t="s">
        <v>532</v>
      </c>
      <c r="G6" s="2783" t="s">
        <v>533</v>
      </c>
      <c r="H6" s="2783"/>
      <c r="I6" s="2783"/>
      <c r="J6" s="543" t="s">
        <v>534</v>
      </c>
      <c r="K6" s="619"/>
    </row>
    <row r="7" spans="1:26" s="553" customFormat="1" ht="16.149999999999999" customHeight="1" thickBot="1">
      <c r="A7" s="620"/>
      <c r="B7" s="621" t="s">
        <v>1086</v>
      </c>
      <c r="C7" s="621"/>
      <c r="D7" s="622" t="s">
        <v>40</v>
      </c>
      <c r="E7" s="623" t="s">
        <v>46</v>
      </c>
      <c r="F7" s="2784" t="s">
        <v>1321</v>
      </c>
      <c r="G7" s="2786" t="s">
        <v>535</v>
      </c>
      <c r="H7" s="2786"/>
      <c r="I7" s="2786"/>
      <c r="J7" s="624" t="s">
        <v>1194</v>
      </c>
      <c r="K7" s="625"/>
    </row>
    <row r="8" spans="1:26" s="546" customFormat="1" ht="18.75" customHeight="1">
      <c r="A8" s="626"/>
      <c r="D8" s="619"/>
      <c r="E8" s="605"/>
      <c r="F8" s="2785"/>
      <c r="G8" s="605" t="s">
        <v>1324</v>
      </c>
      <c r="H8" s="605" t="s">
        <v>536</v>
      </c>
      <c r="I8" s="605" t="s">
        <v>1327</v>
      </c>
      <c r="J8" s="543"/>
      <c r="K8" s="627"/>
      <c r="N8" s="628"/>
    </row>
    <row r="9" spans="1:26" s="553" customFormat="1" ht="18.75" customHeight="1" thickBot="1">
      <c r="A9" s="629"/>
      <c r="B9" s="630"/>
      <c r="C9" s="630"/>
      <c r="D9" s="631"/>
      <c r="E9" s="632"/>
      <c r="F9" s="550"/>
      <c r="G9" s="550" t="s">
        <v>1325</v>
      </c>
      <c r="H9" s="550" t="s">
        <v>537</v>
      </c>
      <c r="I9" s="632" t="s">
        <v>1326</v>
      </c>
      <c r="J9" s="550"/>
      <c r="K9" s="550"/>
      <c r="N9" s="633"/>
    </row>
    <row r="10" spans="1:26" s="546" customFormat="1" ht="8.1" customHeight="1">
      <c r="B10" s="285"/>
      <c r="C10" s="285"/>
      <c r="D10" s="557"/>
      <c r="E10" s="623"/>
      <c r="F10" s="624"/>
      <c r="G10" s="634"/>
      <c r="H10" s="634"/>
      <c r="I10" s="79"/>
      <c r="J10" s="623"/>
      <c r="L10" s="635"/>
      <c r="N10" s="628"/>
    </row>
    <row r="11" spans="1:26" s="546" customFormat="1" ht="14.1" customHeight="1">
      <c r="B11" s="96" t="s">
        <v>538</v>
      </c>
      <c r="C11" s="96"/>
      <c r="D11" s="557">
        <v>2022</v>
      </c>
      <c r="E11" s="560">
        <v>66967</v>
      </c>
      <c r="F11" s="560">
        <v>16497</v>
      </c>
      <c r="G11" s="560">
        <v>1549</v>
      </c>
      <c r="H11" s="560">
        <v>6817</v>
      </c>
      <c r="I11" s="560">
        <v>22501</v>
      </c>
      <c r="J11" s="560">
        <v>19584</v>
      </c>
      <c r="K11" s="66"/>
    </row>
    <row r="12" spans="1:26" s="546" customFormat="1" ht="14.1" customHeight="1">
      <c r="B12" s="139"/>
      <c r="C12" s="139"/>
      <c r="D12" s="557">
        <v>2023</v>
      </c>
      <c r="E12" s="560">
        <v>52344</v>
      </c>
      <c r="F12" s="560">
        <v>14040</v>
      </c>
      <c r="G12" s="560">
        <v>921</v>
      </c>
      <c r="H12" s="560">
        <v>4599</v>
      </c>
      <c r="I12" s="560">
        <v>16059</v>
      </c>
      <c r="J12" s="560">
        <v>16725</v>
      </c>
      <c r="K12" s="66"/>
    </row>
    <row r="13" spans="1:26" s="546" customFormat="1" ht="14.1" customHeight="1">
      <c r="B13" s="139"/>
      <c r="C13" s="139"/>
      <c r="D13" s="557">
        <v>2024</v>
      </c>
      <c r="E13" s="560">
        <v>41479</v>
      </c>
      <c r="F13" s="560">
        <v>11352</v>
      </c>
      <c r="G13" s="560">
        <v>639</v>
      </c>
      <c r="H13" s="560">
        <v>2849</v>
      </c>
      <c r="I13" s="560">
        <v>9944</v>
      </c>
      <c r="J13" s="560">
        <v>16695</v>
      </c>
      <c r="K13" s="66"/>
    </row>
    <row r="14" spans="1:26" s="546" customFormat="1" ht="8.1" customHeight="1">
      <c r="B14" s="139"/>
      <c r="C14" s="139"/>
      <c r="D14" s="561"/>
      <c r="E14" s="1597"/>
      <c r="F14" s="579"/>
      <c r="G14" s="579"/>
      <c r="H14" s="579"/>
      <c r="I14" s="579"/>
      <c r="J14" s="579"/>
      <c r="K14" s="66"/>
      <c r="N14" s="628"/>
    </row>
    <row r="15" spans="1:26" s="555" customFormat="1" ht="14.1" customHeight="1">
      <c r="B15" s="566" t="s">
        <v>412</v>
      </c>
      <c r="C15" s="565"/>
      <c r="D15" s="561">
        <v>2022</v>
      </c>
      <c r="E15" s="1597">
        <v>7947</v>
      </c>
      <c r="F15" s="579">
        <v>1364</v>
      </c>
      <c r="G15" s="579">
        <v>219</v>
      </c>
      <c r="H15" s="579">
        <v>981</v>
      </c>
      <c r="I15" s="579">
        <v>3471</v>
      </c>
      <c r="J15" s="579">
        <v>1908</v>
      </c>
      <c r="K15" s="66"/>
      <c r="N15" s="126"/>
      <c r="O15" s="126"/>
      <c r="P15" s="126"/>
      <c r="X15" s="66"/>
      <c r="Y15" s="66"/>
      <c r="Z15" s="66"/>
    </row>
    <row r="16" spans="1:26" s="555" customFormat="1" ht="14.1" customHeight="1">
      <c r="B16" s="568"/>
      <c r="C16" s="567"/>
      <c r="D16" s="561">
        <v>2023</v>
      </c>
      <c r="E16" s="1597">
        <v>5966</v>
      </c>
      <c r="F16" s="562">
        <v>1273</v>
      </c>
      <c r="G16" s="562">
        <v>141</v>
      </c>
      <c r="H16" s="562">
        <v>802</v>
      </c>
      <c r="I16" s="562">
        <v>2347</v>
      </c>
      <c r="J16" s="562">
        <v>1403</v>
      </c>
      <c r="K16" s="66"/>
      <c r="L16" s="66"/>
      <c r="M16" s="66"/>
      <c r="N16" s="66"/>
      <c r="O16" s="66"/>
      <c r="P16" s="66"/>
      <c r="Q16" s="66"/>
      <c r="R16" s="66"/>
      <c r="S16" s="66"/>
      <c r="T16" s="66"/>
      <c r="U16" s="66"/>
      <c r="V16" s="66"/>
      <c r="W16" s="66"/>
      <c r="X16" s="66"/>
      <c r="Y16" s="66"/>
      <c r="Z16" s="66"/>
    </row>
    <row r="17" spans="2:26" s="555" customFormat="1" ht="14.1" customHeight="1">
      <c r="B17" s="568"/>
      <c r="C17" s="567"/>
      <c r="D17" s="561">
        <v>2024</v>
      </c>
      <c r="E17" s="1597">
        <v>3440</v>
      </c>
      <c r="F17" s="579">
        <v>883</v>
      </c>
      <c r="G17" s="579">
        <v>71</v>
      </c>
      <c r="H17" s="579">
        <v>400</v>
      </c>
      <c r="I17" s="579">
        <v>1144</v>
      </c>
      <c r="J17" s="579">
        <v>942</v>
      </c>
      <c r="K17" s="66"/>
      <c r="L17" s="66"/>
      <c r="M17" s="66"/>
      <c r="N17" s="66"/>
      <c r="O17" s="66"/>
      <c r="P17" s="66"/>
      <c r="Q17" s="66"/>
      <c r="R17" s="66"/>
      <c r="S17" s="66"/>
      <c r="T17" s="66"/>
      <c r="U17" s="66"/>
      <c r="V17" s="66"/>
      <c r="W17" s="66"/>
      <c r="X17" s="66"/>
      <c r="Y17" s="66"/>
      <c r="Z17" s="66"/>
    </row>
    <row r="18" spans="2:26" s="555" customFormat="1" ht="8.1" customHeight="1">
      <c r="B18" s="568"/>
      <c r="C18" s="567"/>
      <c r="D18" s="561"/>
      <c r="E18" s="1597"/>
      <c r="F18" s="562"/>
      <c r="G18" s="562"/>
      <c r="H18" s="562"/>
      <c r="I18" s="562"/>
      <c r="J18" s="562"/>
      <c r="K18" s="66"/>
      <c r="L18" s="66"/>
      <c r="M18" s="66"/>
      <c r="N18" s="66"/>
      <c r="O18" s="66"/>
      <c r="P18" s="66"/>
      <c r="Q18" s="66"/>
      <c r="R18" s="66"/>
      <c r="S18" s="66"/>
      <c r="T18" s="66"/>
      <c r="U18" s="66"/>
      <c r="V18" s="66"/>
      <c r="W18" s="66"/>
      <c r="X18" s="66"/>
      <c r="Y18" s="66"/>
      <c r="Z18" s="66"/>
    </row>
    <row r="19" spans="2:26" s="126" customFormat="1" ht="14.1" customHeight="1">
      <c r="B19" s="573" t="s">
        <v>413</v>
      </c>
      <c r="C19" s="572"/>
      <c r="D19" s="561">
        <v>2022</v>
      </c>
      <c r="E19" s="1597">
        <v>4678</v>
      </c>
      <c r="F19" s="562">
        <v>1138</v>
      </c>
      <c r="G19" s="562">
        <v>78</v>
      </c>
      <c r="H19" s="562">
        <v>314</v>
      </c>
      <c r="I19" s="562">
        <v>2192</v>
      </c>
      <c r="J19" s="562">
        <v>954</v>
      </c>
      <c r="K19" s="66"/>
      <c r="L19" s="66"/>
      <c r="M19" s="66"/>
      <c r="N19" s="66"/>
      <c r="O19" s="66"/>
      <c r="P19" s="66"/>
      <c r="Q19" s="66"/>
      <c r="R19" s="66"/>
      <c r="S19" s="66"/>
      <c r="T19" s="66"/>
      <c r="U19" s="66"/>
      <c r="V19" s="66"/>
      <c r="W19" s="66"/>
      <c r="X19" s="66"/>
      <c r="Y19" s="66"/>
      <c r="Z19" s="66"/>
    </row>
    <row r="20" spans="2:26" s="526" customFormat="1" ht="14.1" customHeight="1">
      <c r="B20" s="573"/>
      <c r="C20" s="572"/>
      <c r="D20" s="561">
        <v>2023</v>
      </c>
      <c r="E20" s="1597">
        <v>3457</v>
      </c>
      <c r="F20" s="562">
        <v>980</v>
      </c>
      <c r="G20" s="562">
        <v>46</v>
      </c>
      <c r="H20" s="562">
        <v>235</v>
      </c>
      <c r="I20" s="562">
        <v>1399</v>
      </c>
      <c r="J20" s="562">
        <v>797</v>
      </c>
      <c r="K20" s="66"/>
      <c r="L20" s="66"/>
      <c r="M20" s="66"/>
      <c r="N20" s="66"/>
      <c r="O20" s="66"/>
      <c r="P20" s="66"/>
      <c r="Q20" s="66"/>
      <c r="R20" s="66"/>
      <c r="S20" s="66"/>
      <c r="T20" s="66"/>
      <c r="U20" s="66"/>
      <c r="V20" s="66"/>
      <c r="W20" s="66"/>
      <c r="X20" s="66"/>
      <c r="Y20" s="66"/>
      <c r="Z20" s="66"/>
    </row>
    <row r="21" spans="2:26" s="126" customFormat="1" ht="14.1" customHeight="1">
      <c r="B21" s="573"/>
      <c r="C21" s="572"/>
      <c r="D21" s="561">
        <v>2024</v>
      </c>
      <c r="E21" s="1597">
        <v>3067</v>
      </c>
      <c r="F21" s="579">
        <v>989</v>
      </c>
      <c r="G21" s="579">
        <v>24</v>
      </c>
      <c r="H21" s="579">
        <v>140</v>
      </c>
      <c r="I21" s="579">
        <v>1083</v>
      </c>
      <c r="J21" s="579">
        <v>831</v>
      </c>
      <c r="L21" s="66"/>
      <c r="M21" s="66"/>
      <c r="N21" s="66"/>
      <c r="O21" s="66"/>
      <c r="P21" s="66"/>
      <c r="Q21" s="66"/>
      <c r="R21" s="66"/>
      <c r="S21" s="66"/>
      <c r="T21" s="66"/>
      <c r="U21" s="66"/>
      <c r="V21" s="66"/>
      <c r="W21" s="66"/>
      <c r="X21" s="66"/>
      <c r="Y21" s="66"/>
      <c r="Z21" s="66"/>
    </row>
    <row r="22" spans="2:26" s="126" customFormat="1" ht="8.1" customHeight="1">
      <c r="B22" s="570"/>
      <c r="C22" s="93"/>
      <c r="D22" s="561"/>
      <c r="E22" s="1597"/>
      <c r="F22" s="562"/>
      <c r="G22" s="562"/>
      <c r="H22" s="562"/>
      <c r="I22" s="562"/>
      <c r="J22" s="562"/>
      <c r="K22" s="66"/>
      <c r="L22" s="66"/>
      <c r="M22" s="66"/>
      <c r="N22" s="66"/>
      <c r="O22" s="66"/>
      <c r="P22" s="66"/>
      <c r="Q22" s="66"/>
      <c r="R22" s="66"/>
      <c r="S22" s="66"/>
      <c r="T22" s="66"/>
      <c r="U22" s="66"/>
      <c r="V22" s="66"/>
      <c r="W22" s="66"/>
      <c r="X22" s="66"/>
      <c r="Y22" s="66"/>
      <c r="Z22" s="66"/>
    </row>
    <row r="23" spans="2:26" s="126" customFormat="1" ht="14.1" customHeight="1">
      <c r="B23" s="573" t="s">
        <v>414</v>
      </c>
      <c r="C23" s="572"/>
      <c r="D23" s="561">
        <v>2022</v>
      </c>
      <c r="E23" s="1597">
        <v>3075</v>
      </c>
      <c r="F23" s="562">
        <v>929</v>
      </c>
      <c r="G23" s="562">
        <v>20</v>
      </c>
      <c r="H23" s="562">
        <v>301</v>
      </c>
      <c r="I23" s="562">
        <v>1069</v>
      </c>
      <c r="J23" s="562">
        <v>755</v>
      </c>
      <c r="K23" s="66"/>
      <c r="L23" s="66"/>
      <c r="M23" s="66"/>
      <c r="N23" s="66"/>
      <c r="O23" s="66"/>
      <c r="P23" s="66"/>
      <c r="Q23" s="66"/>
      <c r="R23" s="66"/>
      <c r="S23" s="66"/>
      <c r="T23" s="66"/>
      <c r="U23" s="66"/>
      <c r="V23" s="66"/>
      <c r="W23" s="66"/>
      <c r="X23" s="66"/>
      <c r="Y23" s="66"/>
      <c r="Z23" s="66"/>
    </row>
    <row r="24" spans="2:26" s="126" customFormat="1" ht="14.1" customHeight="1">
      <c r="B24" s="573"/>
      <c r="C24" s="572"/>
      <c r="D24" s="561">
        <v>2023</v>
      </c>
      <c r="E24" s="1597">
        <v>2027</v>
      </c>
      <c r="F24" s="562">
        <v>626</v>
      </c>
      <c r="G24" s="562">
        <v>14</v>
      </c>
      <c r="H24" s="562">
        <v>118</v>
      </c>
      <c r="I24" s="562">
        <v>709</v>
      </c>
      <c r="J24" s="562">
        <v>560</v>
      </c>
      <c r="K24" s="66"/>
      <c r="L24" s="66"/>
      <c r="M24" s="66"/>
      <c r="N24" s="66"/>
      <c r="O24" s="66"/>
      <c r="P24" s="66"/>
      <c r="Q24" s="66"/>
      <c r="R24" s="66"/>
      <c r="S24" s="66"/>
      <c r="T24" s="66"/>
      <c r="U24" s="66"/>
      <c r="V24" s="66"/>
      <c r="W24" s="66"/>
      <c r="X24" s="66"/>
      <c r="Y24" s="66"/>
      <c r="Z24" s="66"/>
    </row>
    <row r="25" spans="2:26" s="126" customFormat="1" ht="14.1" customHeight="1">
      <c r="B25" s="573"/>
      <c r="C25" s="572"/>
      <c r="D25" s="561">
        <v>2024</v>
      </c>
      <c r="E25" s="1597">
        <v>1591</v>
      </c>
      <c r="F25" s="579">
        <v>483</v>
      </c>
      <c r="G25" s="579">
        <v>4</v>
      </c>
      <c r="H25" s="579">
        <v>73</v>
      </c>
      <c r="I25" s="579">
        <v>483</v>
      </c>
      <c r="J25" s="579">
        <v>548</v>
      </c>
      <c r="K25" s="66"/>
      <c r="L25" s="66"/>
      <c r="M25" s="66"/>
      <c r="N25" s="66"/>
      <c r="O25" s="66"/>
      <c r="P25" s="66"/>
      <c r="Q25" s="66"/>
      <c r="R25" s="66"/>
      <c r="S25" s="66"/>
      <c r="T25" s="66"/>
      <c r="U25" s="66"/>
      <c r="V25" s="66"/>
      <c r="W25" s="66"/>
      <c r="X25" s="66"/>
      <c r="Y25" s="66"/>
      <c r="Z25" s="66"/>
    </row>
    <row r="26" spans="2:26" s="126" customFormat="1" ht="8.1" customHeight="1">
      <c r="B26" s="574"/>
      <c r="C26" s="92"/>
      <c r="D26" s="561"/>
      <c r="E26" s="1597"/>
      <c r="F26" s="562"/>
      <c r="G26" s="562"/>
      <c r="H26" s="562"/>
      <c r="I26" s="562"/>
      <c r="J26" s="562"/>
      <c r="K26" s="66"/>
      <c r="L26" s="66"/>
      <c r="M26" s="66"/>
      <c r="N26" s="66"/>
      <c r="O26" s="66"/>
      <c r="P26" s="66"/>
      <c r="Q26" s="66"/>
      <c r="R26" s="66"/>
      <c r="S26" s="66"/>
      <c r="T26" s="66"/>
      <c r="U26" s="66"/>
      <c r="V26" s="66"/>
      <c r="W26" s="66"/>
      <c r="X26" s="66"/>
      <c r="Y26" s="66"/>
      <c r="Z26" s="66"/>
    </row>
    <row r="27" spans="2:26" s="126" customFormat="1" ht="14.1" customHeight="1">
      <c r="B27" s="573" t="s">
        <v>415</v>
      </c>
      <c r="C27" s="572"/>
      <c r="D27" s="561">
        <v>2022</v>
      </c>
      <c r="E27" s="1597">
        <v>2101</v>
      </c>
      <c r="F27" s="562">
        <v>681</v>
      </c>
      <c r="G27" s="562">
        <v>18</v>
      </c>
      <c r="H27" s="562">
        <v>91</v>
      </c>
      <c r="I27" s="562">
        <v>718</v>
      </c>
      <c r="J27" s="562">
        <v>593</v>
      </c>
      <c r="K27" s="66"/>
      <c r="L27" s="66"/>
      <c r="M27" s="66"/>
      <c r="N27" s="66"/>
      <c r="O27" s="66"/>
      <c r="P27" s="66"/>
      <c r="Q27" s="66"/>
      <c r="R27" s="66"/>
      <c r="S27" s="66"/>
      <c r="T27" s="66"/>
      <c r="U27" s="66"/>
      <c r="V27" s="66"/>
      <c r="W27" s="66"/>
    </row>
    <row r="28" spans="2:26" s="126" customFormat="1" ht="14.1" customHeight="1">
      <c r="B28" s="573"/>
      <c r="C28" s="572"/>
      <c r="D28" s="561">
        <v>2023</v>
      </c>
      <c r="E28" s="1597">
        <v>1428</v>
      </c>
      <c r="F28" s="562">
        <v>487</v>
      </c>
      <c r="G28" s="562">
        <v>13</v>
      </c>
      <c r="H28" s="562">
        <v>59</v>
      </c>
      <c r="I28" s="562">
        <v>393</v>
      </c>
      <c r="J28" s="562">
        <v>476</v>
      </c>
      <c r="K28" s="66"/>
      <c r="L28" s="66"/>
      <c r="M28" s="66"/>
      <c r="N28" s="66"/>
      <c r="O28" s="66"/>
      <c r="P28" s="66"/>
      <c r="Q28" s="66"/>
      <c r="R28" s="66"/>
      <c r="S28" s="66"/>
      <c r="T28" s="66"/>
      <c r="U28" s="66"/>
      <c r="V28" s="66"/>
      <c r="W28" s="66"/>
    </row>
    <row r="29" spans="2:26" s="126" customFormat="1" ht="14.1" customHeight="1">
      <c r="B29" s="573"/>
      <c r="C29" s="572"/>
      <c r="D29" s="561">
        <v>2024</v>
      </c>
      <c r="E29" s="1597">
        <v>999</v>
      </c>
      <c r="F29" s="579">
        <v>315</v>
      </c>
      <c r="G29" s="579">
        <v>3</v>
      </c>
      <c r="H29" s="579">
        <v>29</v>
      </c>
      <c r="I29" s="579">
        <v>276</v>
      </c>
      <c r="J29" s="579">
        <v>376</v>
      </c>
      <c r="K29" s="66"/>
      <c r="L29" s="66"/>
      <c r="M29" s="66"/>
      <c r="N29" s="66"/>
      <c r="O29" s="66"/>
      <c r="P29" s="66"/>
      <c r="Q29" s="66"/>
      <c r="R29" s="66"/>
      <c r="S29" s="66"/>
      <c r="T29" s="66"/>
      <c r="U29" s="66"/>
      <c r="V29" s="66"/>
      <c r="W29" s="66"/>
    </row>
    <row r="30" spans="2:26" s="126" customFormat="1" ht="8.1" customHeight="1">
      <c r="B30" s="573"/>
      <c r="C30" s="572"/>
      <c r="D30" s="561"/>
      <c r="E30" s="1597"/>
      <c r="F30" s="562"/>
      <c r="G30" s="562"/>
      <c r="H30" s="562"/>
      <c r="I30" s="562"/>
      <c r="J30" s="562"/>
      <c r="K30" s="66"/>
      <c r="L30" s="66"/>
      <c r="M30" s="66"/>
      <c r="N30" s="66"/>
      <c r="O30" s="66"/>
      <c r="P30" s="66"/>
      <c r="Q30" s="66"/>
      <c r="R30" s="66"/>
      <c r="S30" s="66"/>
      <c r="T30" s="66"/>
      <c r="U30" s="66"/>
      <c r="V30" s="66"/>
      <c r="W30" s="66"/>
    </row>
    <row r="31" spans="2:26" s="126" customFormat="1" ht="14.1" customHeight="1">
      <c r="B31" s="573" t="s">
        <v>416</v>
      </c>
      <c r="C31" s="572"/>
      <c r="D31" s="561">
        <v>2022</v>
      </c>
      <c r="E31" s="1597">
        <v>2549</v>
      </c>
      <c r="F31" s="562">
        <v>765</v>
      </c>
      <c r="G31" s="562">
        <v>48</v>
      </c>
      <c r="H31" s="562">
        <v>166</v>
      </c>
      <c r="I31" s="562">
        <v>626</v>
      </c>
      <c r="J31" s="562">
        <v>944</v>
      </c>
      <c r="K31" s="66"/>
      <c r="L31" s="66"/>
      <c r="M31" s="66"/>
      <c r="N31" s="66"/>
      <c r="O31" s="66"/>
      <c r="P31" s="66"/>
      <c r="Q31" s="66"/>
      <c r="R31" s="66"/>
      <c r="S31" s="66"/>
      <c r="T31" s="66"/>
      <c r="U31" s="66"/>
      <c r="V31" s="66"/>
      <c r="W31" s="66"/>
    </row>
    <row r="32" spans="2:26" s="126" customFormat="1" ht="14.1" customHeight="1">
      <c r="B32" s="573"/>
      <c r="C32" s="572"/>
      <c r="D32" s="561">
        <v>2023</v>
      </c>
      <c r="E32" s="1597">
        <v>1906</v>
      </c>
      <c r="F32" s="562">
        <v>660</v>
      </c>
      <c r="G32" s="562">
        <v>22</v>
      </c>
      <c r="H32" s="562">
        <v>90</v>
      </c>
      <c r="I32" s="562">
        <v>437</v>
      </c>
      <c r="J32" s="562">
        <v>697</v>
      </c>
      <c r="K32" s="66"/>
      <c r="L32" s="66"/>
      <c r="M32" s="66"/>
      <c r="N32" s="66"/>
      <c r="O32" s="66"/>
      <c r="P32" s="66"/>
      <c r="Q32" s="66"/>
      <c r="R32" s="66"/>
      <c r="S32" s="66"/>
      <c r="T32" s="66"/>
      <c r="U32" s="66"/>
      <c r="V32" s="66"/>
      <c r="W32" s="66"/>
    </row>
    <row r="33" spans="2:23" s="126" customFormat="1" ht="14.1" customHeight="1">
      <c r="B33" s="573"/>
      <c r="C33" s="572"/>
      <c r="D33" s="561">
        <v>2024</v>
      </c>
      <c r="E33" s="1597">
        <v>1401</v>
      </c>
      <c r="F33" s="579">
        <v>380</v>
      </c>
      <c r="G33" s="579">
        <v>25</v>
      </c>
      <c r="H33" s="579">
        <v>62</v>
      </c>
      <c r="I33" s="579">
        <v>307</v>
      </c>
      <c r="J33" s="579">
        <v>627</v>
      </c>
      <c r="K33" s="66"/>
      <c r="L33" s="66"/>
      <c r="M33" s="66"/>
      <c r="N33" s="66"/>
      <c r="O33" s="66"/>
      <c r="P33" s="66"/>
      <c r="Q33" s="66"/>
      <c r="R33" s="66"/>
      <c r="S33" s="66"/>
      <c r="T33" s="66"/>
      <c r="U33" s="66"/>
      <c r="V33" s="66"/>
      <c r="W33" s="66"/>
    </row>
    <row r="34" spans="2:23" s="126" customFormat="1" ht="8.1" customHeight="1">
      <c r="B34" s="573"/>
      <c r="C34" s="572"/>
      <c r="D34" s="561"/>
      <c r="E34" s="1597"/>
      <c r="F34" s="562"/>
      <c r="G34" s="562"/>
      <c r="H34" s="562"/>
      <c r="I34" s="562"/>
      <c r="J34" s="562"/>
      <c r="K34" s="66"/>
      <c r="L34" s="66"/>
      <c r="M34" s="66"/>
      <c r="N34" s="66"/>
      <c r="O34" s="66"/>
      <c r="P34" s="66"/>
      <c r="Q34" s="66"/>
      <c r="R34" s="66"/>
      <c r="S34" s="66"/>
      <c r="T34" s="66"/>
      <c r="U34" s="66"/>
      <c r="V34" s="66"/>
      <c r="W34" s="66"/>
    </row>
    <row r="35" spans="2:23" s="126" customFormat="1" ht="14.1" customHeight="1">
      <c r="B35" s="573" t="s">
        <v>417</v>
      </c>
      <c r="C35" s="572"/>
      <c r="D35" s="561">
        <v>2022</v>
      </c>
      <c r="E35" s="1597">
        <v>2676</v>
      </c>
      <c r="F35" s="562">
        <v>718</v>
      </c>
      <c r="G35" s="562">
        <v>29</v>
      </c>
      <c r="H35" s="562">
        <v>130</v>
      </c>
      <c r="I35" s="562">
        <v>713</v>
      </c>
      <c r="J35" s="562">
        <v>1086</v>
      </c>
      <c r="K35" s="66"/>
      <c r="L35" s="66"/>
      <c r="M35" s="66"/>
      <c r="N35" s="66"/>
      <c r="O35" s="66"/>
      <c r="P35" s="66"/>
      <c r="Q35" s="66"/>
      <c r="R35" s="66"/>
      <c r="S35" s="66"/>
      <c r="T35" s="66"/>
      <c r="U35" s="66"/>
      <c r="V35" s="66"/>
      <c r="W35" s="66"/>
    </row>
    <row r="36" spans="2:23" s="126" customFormat="1" ht="14.1" customHeight="1">
      <c r="B36" s="573"/>
      <c r="C36" s="572"/>
      <c r="D36" s="561">
        <v>2023</v>
      </c>
      <c r="E36" s="1597">
        <v>1926</v>
      </c>
      <c r="F36" s="562">
        <v>604</v>
      </c>
      <c r="G36" s="562">
        <v>26</v>
      </c>
      <c r="H36" s="562">
        <v>100</v>
      </c>
      <c r="I36" s="562">
        <v>484</v>
      </c>
      <c r="J36" s="562">
        <v>712</v>
      </c>
      <c r="K36" s="66"/>
      <c r="L36" s="66"/>
      <c r="M36" s="66"/>
      <c r="N36" s="66"/>
      <c r="O36" s="66"/>
      <c r="P36" s="66"/>
      <c r="Q36" s="66"/>
      <c r="R36" s="66"/>
      <c r="S36" s="66"/>
      <c r="T36" s="66"/>
      <c r="U36" s="66"/>
      <c r="V36" s="66"/>
      <c r="W36" s="66"/>
    </row>
    <row r="37" spans="2:23" s="126" customFormat="1" ht="14.1" customHeight="1">
      <c r="B37" s="573"/>
      <c r="C37" s="572"/>
      <c r="D37" s="561">
        <v>2024</v>
      </c>
      <c r="E37" s="1597">
        <v>1643</v>
      </c>
      <c r="F37" s="579">
        <v>478</v>
      </c>
      <c r="G37" s="579">
        <v>13</v>
      </c>
      <c r="H37" s="579">
        <v>69</v>
      </c>
      <c r="I37" s="579">
        <v>312</v>
      </c>
      <c r="J37" s="579">
        <v>771</v>
      </c>
      <c r="K37" s="66"/>
      <c r="L37" s="66"/>
      <c r="M37" s="66"/>
      <c r="N37" s="66"/>
      <c r="O37" s="66"/>
      <c r="P37" s="66"/>
      <c r="Q37" s="66"/>
      <c r="R37" s="66"/>
      <c r="S37" s="66"/>
      <c r="T37" s="66"/>
      <c r="U37" s="66"/>
      <c r="V37" s="66"/>
      <c r="W37" s="66"/>
    </row>
    <row r="38" spans="2:23" s="126" customFormat="1" ht="8.1" customHeight="1">
      <c r="B38" s="573"/>
      <c r="C38" s="572"/>
      <c r="D38" s="561"/>
      <c r="E38" s="1597"/>
      <c r="F38" s="562"/>
      <c r="G38" s="562"/>
      <c r="H38" s="562"/>
      <c r="I38" s="562"/>
      <c r="J38" s="562"/>
      <c r="K38" s="66"/>
      <c r="L38" s="66"/>
      <c r="M38" s="66"/>
      <c r="N38" s="66"/>
      <c r="O38" s="66"/>
      <c r="P38" s="66"/>
      <c r="Q38" s="66"/>
      <c r="R38" s="66"/>
      <c r="S38" s="66"/>
      <c r="T38" s="66"/>
      <c r="U38" s="66"/>
      <c r="V38" s="66"/>
      <c r="W38" s="66"/>
    </row>
    <row r="39" spans="2:23" s="126" customFormat="1" ht="14.1" customHeight="1">
      <c r="B39" s="573" t="s">
        <v>418</v>
      </c>
      <c r="C39" s="572"/>
      <c r="D39" s="561">
        <v>2022</v>
      </c>
      <c r="E39" s="1597">
        <v>4162</v>
      </c>
      <c r="F39" s="562">
        <v>1036</v>
      </c>
      <c r="G39" s="562">
        <v>73</v>
      </c>
      <c r="H39" s="562">
        <v>314</v>
      </c>
      <c r="I39" s="562">
        <v>1704</v>
      </c>
      <c r="J39" s="562">
        <v>1033</v>
      </c>
      <c r="K39" s="66"/>
      <c r="L39" s="66"/>
      <c r="M39" s="66"/>
      <c r="N39" s="66"/>
      <c r="O39" s="66"/>
      <c r="P39" s="66"/>
      <c r="Q39" s="66"/>
      <c r="R39" s="66"/>
      <c r="S39" s="66"/>
      <c r="T39" s="66"/>
      <c r="U39" s="66"/>
      <c r="V39" s="66"/>
      <c r="W39" s="66"/>
    </row>
    <row r="40" spans="2:23" s="126" customFormat="1" ht="14.1" customHeight="1">
      <c r="B40" s="573"/>
      <c r="C40" s="572"/>
      <c r="D40" s="561">
        <v>2023</v>
      </c>
      <c r="E40" s="1597">
        <v>3011</v>
      </c>
      <c r="F40" s="562">
        <v>736</v>
      </c>
      <c r="G40" s="562">
        <v>29</v>
      </c>
      <c r="H40" s="562">
        <v>156</v>
      </c>
      <c r="I40" s="562">
        <v>1231</v>
      </c>
      <c r="J40" s="562">
        <v>859</v>
      </c>
      <c r="K40" s="66"/>
      <c r="L40" s="66"/>
      <c r="M40" s="66"/>
      <c r="N40" s="66"/>
      <c r="O40" s="66"/>
      <c r="P40" s="66"/>
      <c r="Q40" s="66"/>
      <c r="R40" s="66"/>
      <c r="S40" s="66"/>
      <c r="T40" s="66"/>
      <c r="U40" s="66"/>
      <c r="V40" s="66"/>
      <c r="W40" s="66"/>
    </row>
    <row r="41" spans="2:23" s="126" customFormat="1" ht="14.1" customHeight="1">
      <c r="B41" s="573"/>
      <c r="C41" s="572"/>
      <c r="D41" s="561">
        <v>2024</v>
      </c>
      <c r="E41" s="1597">
        <v>2899</v>
      </c>
      <c r="F41" s="579">
        <v>785</v>
      </c>
      <c r="G41" s="579">
        <v>22</v>
      </c>
      <c r="H41" s="579">
        <v>97</v>
      </c>
      <c r="I41" s="579">
        <v>761</v>
      </c>
      <c r="J41" s="579">
        <v>1234</v>
      </c>
      <c r="K41" s="66"/>
      <c r="L41" s="66"/>
      <c r="M41" s="66"/>
      <c r="N41" s="66"/>
      <c r="O41" s="66"/>
      <c r="P41" s="66"/>
      <c r="Q41" s="66"/>
      <c r="R41" s="66"/>
      <c r="S41" s="66"/>
      <c r="T41" s="66"/>
      <c r="U41" s="66"/>
      <c r="V41" s="66"/>
      <c r="W41" s="66"/>
    </row>
    <row r="42" spans="2:23" s="126" customFormat="1" ht="8.1" customHeight="1">
      <c r="B42" s="573"/>
      <c r="C42" s="572"/>
      <c r="D42" s="561"/>
      <c r="E42" s="1597"/>
      <c r="F42" s="562"/>
      <c r="G42" s="562"/>
      <c r="H42" s="562"/>
      <c r="I42" s="562"/>
      <c r="J42" s="562"/>
      <c r="K42" s="66"/>
      <c r="L42" s="66"/>
      <c r="M42" s="66"/>
      <c r="N42" s="66"/>
      <c r="O42" s="66"/>
      <c r="P42" s="66"/>
      <c r="Q42" s="66"/>
      <c r="R42" s="66"/>
      <c r="S42" s="66"/>
      <c r="T42" s="66"/>
      <c r="U42" s="66"/>
      <c r="V42" s="66"/>
      <c r="W42" s="66"/>
    </row>
    <row r="43" spans="2:23" s="126" customFormat="1" ht="14.1" customHeight="1">
      <c r="B43" s="573" t="s">
        <v>419</v>
      </c>
      <c r="C43" s="572"/>
      <c r="D43" s="561">
        <v>2022</v>
      </c>
      <c r="E43" s="1597">
        <v>3809</v>
      </c>
      <c r="F43" s="562">
        <v>1064</v>
      </c>
      <c r="G43" s="562">
        <v>58</v>
      </c>
      <c r="H43" s="562">
        <v>237</v>
      </c>
      <c r="I43" s="562">
        <v>1359</v>
      </c>
      <c r="J43" s="562">
        <v>1087</v>
      </c>
      <c r="K43" s="66"/>
      <c r="L43" s="66"/>
      <c r="M43" s="66"/>
      <c r="N43" s="66"/>
      <c r="O43" s="66"/>
      <c r="P43" s="66"/>
      <c r="Q43" s="66"/>
      <c r="R43" s="66"/>
      <c r="S43" s="66"/>
      <c r="T43" s="66"/>
      <c r="U43" s="66"/>
      <c r="V43" s="66"/>
      <c r="W43" s="66"/>
    </row>
    <row r="44" spans="2:23" s="126" customFormat="1" ht="14.1" customHeight="1">
      <c r="B44" s="573"/>
      <c r="C44" s="572"/>
      <c r="D44" s="561">
        <v>2023</v>
      </c>
      <c r="E44" s="1597">
        <v>2599</v>
      </c>
      <c r="F44" s="562">
        <v>666</v>
      </c>
      <c r="G44" s="562">
        <v>40</v>
      </c>
      <c r="H44" s="562">
        <v>168</v>
      </c>
      <c r="I44" s="562">
        <v>937</v>
      </c>
      <c r="J44" s="562">
        <v>788</v>
      </c>
      <c r="K44" s="66"/>
      <c r="L44" s="66"/>
      <c r="M44" s="66"/>
      <c r="N44" s="66"/>
      <c r="O44" s="66"/>
      <c r="P44" s="66"/>
      <c r="Q44" s="66"/>
      <c r="R44" s="66"/>
      <c r="S44" s="66"/>
      <c r="T44" s="66"/>
      <c r="U44" s="66"/>
      <c r="V44" s="66"/>
      <c r="W44" s="66"/>
    </row>
    <row r="45" spans="2:23" s="126" customFormat="1" ht="14.1" customHeight="1">
      <c r="B45" s="573"/>
      <c r="C45" s="572"/>
      <c r="D45" s="561">
        <v>2024</v>
      </c>
      <c r="E45" s="1597">
        <v>2178</v>
      </c>
      <c r="F45" s="579">
        <v>614</v>
      </c>
      <c r="G45" s="579">
        <v>23</v>
      </c>
      <c r="H45" s="579">
        <v>121</v>
      </c>
      <c r="I45" s="579">
        <v>609</v>
      </c>
      <c r="J45" s="579">
        <v>811</v>
      </c>
      <c r="K45" s="66"/>
      <c r="L45" s="66"/>
      <c r="M45" s="66"/>
      <c r="N45" s="66"/>
      <c r="O45" s="66"/>
      <c r="P45" s="66"/>
      <c r="Q45" s="66"/>
      <c r="R45" s="66"/>
      <c r="S45" s="66"/>
      <c r="T45" s="66"/>
      <c r="U45" s="66"/>
      <c r="V45" s="66"/>
      <c r="W45" s="66"/>
    </row>
    <row r="46" spans="2:23" s="126" customFormat="1" ht="8.1" customHeight="1">
      <c r="B46" s="573"/>
      <c r="C46" s="572"/>
      <c r="D46" s="561"/>
      <c r="E46" s="1597"/>
      <c r="F46" s="562"/>
      <c r="G46" s="562"/>
      <c r="H46" s="562"/>
      <c r="I46" s="562"/>
      <c r="J46" s="562"/>
      <c r="K46" s="66"/>
      <c r="L46" s="66"/>
      <c r="M46" s="66"/>
      <c r="N46" s="66"/>
      <c r="O46" s="66"/>
      <c r="P46" s="66"/>
      <c r="Q46" s="66"/>
      <c r="R46" s="66"/>
      <c r="S46" s="66"/>
      <c r="T46" s="66"/>
      <c r="U46" s="66"/>
      <c r="V46" s="66"/>
      <c r="W46" s="66"/>
    </row>
    <row r="47" spans="2:23" s="126" customFormat="1" ht="14.1" customHeight="1">
      <c r="B47" s="573" t="s">
        <v>420</v>
      </c>
      <c r="C47" s="572"/>
      <c r="D47" s="561">
        <v>2022</v>
      </c>
      <c r="E47" s="1597">
        <v>406</v>
      </c>
      <c r="F47" s="562">
        <v>111</v>
      </c>
      <c r="G47" s="562">
        <v>2</v>
      </c>
      <c r="H47" s="562">
        <v>17</v>
      </c>
      <c r="I47" s="562">
        <v>89</v>
      </c>
      <c r="J47" s="562">
        <v>187</v>
      </c>
      <c r="K47" s="66"/>
      <c r="L47" s="66"/>
      <c r="M47" s="66"/>
      <c r="N47" s="66"/>
      <c r="O47" s="66"/>
      <c r="P47" s="66"/>
      <c r="Q47" s="66"/>
      <c r="R47" s="66"/>
      <c r="S47" s="66"/>
      <c r="T47" s="66"/>
      <c r="U47" s="66"/>
      <c r="V47" s="66"/>
      <c r="W47" s="66"/>
    </row>
    <row r="48" spans="2:23" s="126" customFormat="1" ht="14.1" customHeight="1">
      <c r="B48" s="573"/>
      <c r="C48" s="572"/>
      <c r="D48" s="561">
        <v>2023</v>
      </c>
      <c r="E48" s="1597">
        <v>412</v>
      </c>
      <c r="F48" s="562">
        <v>155</v>
      </c>
      <c r="G48" s="562" t="s">
        <v>204</v>
      </c>
      <c r="H48" s="562">
        <v>6</v>
      </c>
      <c r="I48" s="562">
        <v>93</v>
      </c>
      <c r="J48" s="562">
        <v>158</v>
      </c>
      <c r="K48" s="66"/>
      <c r="L48" s="66"/>
      <c r="M48" s="66"/>
      <c r="N48" s="66"/>
      <c r="O48" s="66"/>
      <c r="P48" s="66"/>
      <c r="Q48" s="66"/>
      <c r="R48" s="66"/>
      <c r="S48" s="66"/>
      <c r="T48" s="66"/>
      <c r="U48" s="66"/>
      <c r="V48" s="66"/>
      <c r="W48" s="66"/>
    </row>
    <row r="49" spans="2:23" s="126" customFormat="1" ht="14.1" customHeight="1">
      <c r="B49" s="573"/>
      <c r="C49" s="572"/>
      <c r="D49" s="561">
        <v>2024</v>
      </c>
      <c r="E49" s="1597">
        <v>356</v>
      </c>
      <c r="F49" s="579">
        <v>102</v>
      </c>
      <c r="G49" s="637" t="s">
        <v>204</v>
      </c>
      <c r="H49" s="579">
        <v>3</v>
      </c>
      <c r="I49" s="637">
        <v>56</v>
      </c>
      <c r="J49" s="579">
        <v>195</v>
      </c>
      <c r="K49" s="66"/>
      <c r="L49" s="66"/>
      <c r="M49" s="66"/>
      <c r="N49" s="66"/>
      <c r="O49" s="66"/>
      <c r="P49" s="66"/>
      <c r="Q49" s="66"/>
      <c r="R49" s="66"/>
      <c r="S49" s="66"/>
      <c r="T49" s="66"/>
      <c r="U49" s="66"/>
      <c r="V49" s="66"/>
      <c r="W49" s="66"/>
    </row>
    <row r="50" spans="2:23" s="126" customFormat="1" ht="8.1" customHeight="1">
      <c r="B50" s="573"/>
      <c r="C50" s="572"/>
      <c r="D50" s="561"/>
      <c r="E50" s="1597"/>
      <c r="F50" s="562"/>
      <c r="G50" s="562"/>
      <c r="H50" s="562"/>
      <c r="I50" s="562"/>
      <c r="J50" s="562"/>
      <c r="K50" s="66"/>
      <c r="L50" s="66"/>
      <c r="M50" s="66"/>
      <c r="N50" s="66"/>
      <c r="O50" s="66"/>
      <c r="P50" s="66"/>
      <c r="Q50" s="66"/>
      <c r="R50" s="66"/>
      <c r="S50" s="66"/>
      <c r="T50" s="66"/>
      <c r="U50" s="66"/>
      <c r="V50" s="66"/>
      <c r="W50" s="66"/>
    </row>
    <row r="51" spans="2:23" s="126" customFormat="1" ht="14.1" customHeight="1">
      <c r="B51" s="576" t="s">
        <v>421</v>
      </c>
      <c r="C51" s="575"/>
      <c r="D51" s="561">
        <v>2022</v>
      </c>
      <c r="E51" s="1597">
        <v>15498</v>
      </c>
      <c r="F51" s="562">
        <v>3679</v>
      </c>
      <c r="G51" s="562">
        <v>595</v>
      </c>
      <c r="H51" s="562">
        <v>2204</v>
      </c>
      <c r="I51" s="562">
        <v>5503</v>
      </c>
      <c r="J51" s="562">
        <v>3514</v>
      </c>
      <c r="K51" s="66"/>
      <c r="L51" s="66"/>
      <c r="M51" s="66"/>
      <c r="N51" s="66"/>
      <c r="O51" s="66"/>
      <c r="P51" s="66"/>
      <c r="Q51" s="66"/>
      <c r="R51" s="66"/>
      <c r="S51" s="66"/>
      <c r="T51" s="66"/>
      <c r="U51" s="66"/>
      <c r="V51" s="66"/>
      <c r="W51" s="66"/>
    </row>
    <row r="52" spans="2:23" s="126" customFormat="1" ht="13.5" customHeight="1">
      <c r="B52" s="576"/>
      <c r="C52" s="575"/>
      <c r="D52" s="561">
        <v>2023</v>
      </c>
      <c r="E52" s="1597">
        <v>13033</v>
      </c>
      <c r="F52" s="562">
        <v>3025</v>
      </c>
      <c r="G52" s="562">
        <v>374</v>
      </c>
      <c r="H52" s="562">
        <v>1544</v>
      </c>
      <c r="I52" s="562">
        <v>4337</v>
      </c>
      <c r="J52" s="562">
        <v>3753</v>
      </c>
      <c r="K52" s="66"/>
      <c r="L52" s="66"/>
      <c r="M52" s="66"/>
      <c r="N52" s="66"/>
      <c r="O52" s="66"/>
      <c r="P52" s="66"/>
      <c r="Q52" s="66"/>
      <c r="R52" s="66"/>
      <c r="S52" s="66"/>
      <c r="T52" s="66"/>
      <c r="U52" s="66"/>
      <c r="V52" s="66"/>
      <c r="W52" s="66"/>
    </row>
    <row r="53" spans="2:23" s="126" customFormat="1" ht="14.1" customHeight="1">
      <c r="B53" s="576"/>
      <c r="C53" s="575"/>
      <c r="D53" s="561">
        <v>2024</v>
      </c>
      <c r="E53" s="1597">
        <v>11102</v>
      </c>
      <c r="F53" s="579">
        <v>2801</v>
      </c>
      <c r="G53" s="579">
        <v>302</v>
      </c>
      <c r="H53" s="579">
        <v>973</v>
      </c>
      <c r="I53" s="579">
        <v>2606</v>
      </c>
      <c r="J53" s="579">
        <v>4420</v>
      </c>
      <c r="K53" s="66"/>
      <c r="L53" s="66"/>
      <c r="M53" s="66"/>
      <c r="N53" s="66"/>
      <c r="O53" s="66"/>
      <c r="P53" s="66"/>
      <c r="Q53" s="66"/>
      <c r="R53" s="66"/>
      <c r="S53" s="66"/>
      <c r="T53" s="66"/>
      <c r="U53" s="66"/>
      <c r="V53" s="66"/>
      <c r="W53" s="66"/>
    </row>
    <row r="54" spans="2:23" s="126" customFormat="1" ht="8.1" customHeight="1">
      <c r="B54" s="570"/>
      <c r="C54" s="93"/>
      <c r="D54" s="561"/>
      <c r="E54" s="1597"/>
      <c r="F54" s="562"/>
      <c r="G54" s="562"/>
      <c r="H54" s="562"/>
      <c r="I54" s="562"/>
      <c r="J54" s="562"/>
      <c r="K54" s="66"/>
      <c r="L54" s="66"/>
      <c r="M54" s="66"/>
      <c r="N54" s="66"/>
      <c r="O54" s="66"/>
      <c r="P54" s="66"/>
      <c r="Q54" s="66"/>
      <c r="R54" s="66"/>
      <c r="S54" s="66"/>
      <c r="T54" s="66"/>
      <c r="U54" s="66"/>
      <c r="V54" s="66"/>
      <c r="W54" s="66"/>
    </row>
    <row r="55" spans="2:23" s="528" customFormat="1" ht="14.1" customHeight="1">
      <c r="B55" s="576" t="s">
        <v>422</v>
      </c>
      <c r="C55" s="575"/>
      <c r="D55" s="561">
        <v>2022</v>
      </c>
      <c r="E55" s="1597">
        <v>1577</v>
      </c>
      <c r="F55" s="562">
        <v>496</v>
      </c>
      <c r="G55" s="562">
        <v>13</v>
      </c>
      <c r="H55" s="562">
        <v>78</v>
      </c>
      <c r="I55" s="562">
        <v>466</v>
      </c>
      <c r="J55" s="562">
        <v>523</v>
      </c>
      <c r="K55" s="66"/>
      <c r="L55" s="66"/>
      <c r="M55" s="66"/>
      <c r="N55" s="66"/>
      <c r="O55" s="66"/>
      <c r="P55" s="66"/>
      <c r="Q55" s="66"/>
      <c r="R55" s="66"/>
      <c r="S55" s="66"/>
      <c r="T55" s="66"/>
      <c r="U55" s="66"/>
      <c r="V55" s="66"/>
      <c r="W55" s="66"/>
    </row>
    <row r="56" spans="2:23" s="528" customFormat="1" ht="14.1" customHeight="1">
      <c r="B56" s="576"/>
      <c r="C56" s="575"/>
      <c r="D56" s="561">
        <v>2023</v>
      </c>
      <c r="E56" s="1597">
        <v>1821</v>
      </c>
      <c r="F56" s="562">
        <v>601</v>
      </c>
      <c r="G56" s="562">
        <v>4</v>
      </c>
      <c r="H56" s="562">
        <v>56</v>
      </c>
      <c r="I56" s="562">
        <v>313</v>
      </c>
      <c r="J56" s="562">
        <v>847</v>
      </c>
      <c r="K56" s="66"/>
      <c r="L56" s="66"/>
      <c r="M56" s="66"/>
      <c r="N56" s="66"/>
      <c r="O56" s="66"/>
      <c r="P56" s="66"/>
      <c r="Q56" s="66"/>
      <c r="R56" s="66"/>
      <c r="S56" s="66"/>
      <c r="T56" s="66"/>
      <c r="U56" s="66"/>
      <c r="V56" s="66"/>
      <c r="W56" s="66"/>
    </row>
    <row r="57" spans="2:23" s="528" customFormat="1" ht="14.1" customHeight="1">
      <c r="B57" s="576"/>
      <c r="C57" s="575"/>
      <c r="D57" s="561">
        <v>2024</v>
      </c>
      <c r="E57" s="1597">
        <v>1370</v>
      </c>
      <c r="F57" s="579">
        <v>480</v>
      </c>
      <c r="G57" s="579">
        <v>7</v>
      </c>
      <c r="H57" s="579">
        <v>63</v>
      </c>
      <c r="I57" s="579">
        <v>224</v>
      </c>
      <c r="J57" s="579">
        <v>596</v>
      </c>
      <c r="K57" s="66"/>
      <c r="L57" s="66"/>
      <c r="M57" s="66"/>
      <c r="N57" s="66"/>
      <c r="O57" s="66"/>
      <c r="P57" s="66"/>
      <c r="Q57" s="66"/>
      <c r="R57" s="66"/>
      <c r="S57" s="66"/>
      <c r="T57" s="66"/>
      <c r="U57" s="66"/>
      <c r="V57" s="66"/>
      <c r="W57" s="66"/>
    </row>
    <row r="58" spans="2:23" s="126" customFormat="1" ht="8.1" customHeight="1">
      <c r="B58" s="570"/>
      <c r="C58" s="93"/>
      <c r="D58" s="561"/>
      <c r="E58" s="1597"/>
      <c r="F58" s="562"/>
      <c r="G58" s="562"/>
      <c r="H58" s="562"/>
      <c r="I58" s="562"/>
      <c r="J58" s="562"/>
      <c r="K58" s="66"/>
      <c r="L58" s="66"/>
      <c r="M58" s="66"/>
      <c r="N58" s="66"/>
      <c r="O58" s="66"/>
      <c r="P58" s="66"/>
      <c r="Q58" s="66"/>
      <c r="R58" s="66"/>
      <c r="S58" s="66"/>
      <c r="T58" s="66"/>
      <c r="U58" s="66"/>
      <c r="V58" s="66"/>
      <c r="W58" s="66"/>
    </row>
    <row r="59" spans="2:23" s="126" customFormat="1" ht="14.1" customHeight="1">
      <c r="B59" s="576" t="s">
        <v>539</v>
      </c>
      <c r="C59" s="575"/>
      <c r="D59" s="561">
        <v>2022</v>
      </c>
      <c r="E59" s="1597">
        <v>5106</v>
      </c>
      <c r="F59" s="562">
        <v>1806</v>
      </c>
      <c r="G59" s="562">
        <v>81</v>
      </c>
      <c r="H59" s="562">
        <v>157</v>
      </c>
      <c r="I59" s="562">
        <v>435</v>
      </c>
      <c r="J59" s="562">
        <v>2627</v>
      </c>
      <c r="K59" s="66"/>
      <c r="L59" s="66"/>
      <c r="M59" s="66"/>
      <c r="N59" s="66"/>
      <c r="O59" s="66"/>
      <c r="P59" s="66"/>
      <c r="Q59" s="66"/>
      <c r="R59" s="66"/>
      <c r="S59" s="66"/>
      <c r="T59" s="66"/>
      <c r="U59" s="66"/>
      <c r="V59" s="66"/>
      <c r="W59" s="66"/>
    </row>
    <row r="60" spans="2:23" s="126" customFormat="1" ht="14.1" customHeight="1">
      <c r="B60" s="576"/>
      <c r="C60" s="575"/>
      <c r="D60" s="561">
        <v>2023</v>
      </c>
      <c r="E60" s="1597">
        <v>3316</v>
      </c>
      <c r="F60" s="562">
        <v>1332</v>
      </c>
      <c r="G60" s="562">
        <v>36</v>
      </c>
      <c r="H60" s="562">
        <v>77</v>
      </c>
      <c r="I60" s="562">
        <v>318</v>
      </c>
      <c r="J60" s="562">
        <v>1553</v>
      </c>
      <c r="K60" s="66"/>
      <c r="L60" s="66"/>
      <c r="M60" s="66"/>
      <c r="N60" s="66"/>
      <c r="O60" s="66"/>
      <c r="P60" s="66"/>
      <c r="Q60" s="66"/>
      <c r="R60" s="66"/>
      <c r="S60" s="66"/>
      <c r="T60" s="66"/>
      <c r="U60" s="66"/>
      <c r="V60" s="66"/>
      <c r="W60" s="66"/>
    </row>
    <row r="61" spans="2:23" s="126" customFormat="1" ht="14.1" customHeight="1">
      <c r="B61" s="576"/>
      <c r="C61" s="575"/>
      <c r="D61" s="561">
        <v>2024</v>
      </c>
      <c r="E61" s="1597">
        <v>3014</v>
      </c>
      <c r="F61" s="579">
        <v>1122</v>
      </c>
      <c r="G61" s="579">
        <v>25</v>
      </c>
      <c r="H61" s="579">
        <v>70</v>
      </c>
      <c r="I61" s="579">
        <v>263</v>
      </c>
      <c r="J61" s="579">
        <v>1534</v>
      </c>
      <c r="K61" s="66"/>
      <c r="L61" s="66"/>
      <c r="M61" s="66"/>
      <c r="N61" s="66"/>
      <c r="O61" s="66"/>
      <c r="P61" s="66"/>
      <c r="Q61" s="66"/>
      <c r="R61" s="66"/>
      <c r="S61" s="66"/>
      <c r="T61" s="66"/>
      <c r="U61" s="66"/>
      <c r="V61" s="66"/>
      <c r="W61" s="66"/>
    </row>
    <row r="62" spans="2:23" s="126" customFormat="1" ht="8.1" customHeight="1">
      <c r="B62" s="570"/>
      <c r="C62" s="93"/>
      <c r="D62" s="561"/>
      <c r="E62" s="1597"/>
      <c r="F62" s="562"/>
      <c r="G62" s="562"/>
      <c r="H62" s="562"/>
      <c r="I62" s="562"/>
      <c r="J62" s="562"/>
      <c r="K62" s="66"/>
      <c r="L62" s="66"/>
      <c r="M62" s="66"/>
      <c r="N62" s="66"/>
      <c r="O62" s="66"/>
      <c r="P62" s="66"/>
      <c r="Q62" s="66"/>
      <c r="R62" s="66"/>
      <c r="S62" s="66"/>
      <c r="T62" s="66"/>
      <c r="U62" s="66"/>
      <c r="V62" s="66"/>
      <c r="W62" s="66"/>
    </row>
    <row r="63" spans="2:23" s="528" customFormat="1" ht="14.1" customHeight="1">
      <c r="B63" s="573" t="s">
        <v>235</v>
      </c>
      <c r="C63" s="572"/>
      <c r="D63" s="561">
        <v>2022</v>
      </c>
      <c r="E63" s="1597">
        <v>5125</v>
      </c>
      <c r="F63" s="562">
        <v>1623</v>
      </c>
      <c r="G63" s="562">
        <v>61</v>
      </c>
      <c r="H63" s="562">
        <v>404</v>
      </c>
      <c r="I63" s="562">
        <v>1393</v>
      </c>
      <c r="J63" s="562">
        <v>1644</v>
      </c>
      <c r="K63" s="66"/>
      <c r="L63" s="66"/>
      <c r="M63" s="66"/>
      <c r="N63" s="66"/>
      <c r="O63" s="66"/>
      <c r="P63" s="66"/>
      <c r="Q63" s="66"/>
      <c r="R63" s="66"/>
      <c r="S63" s="66"/>
      <c r="T63" s="66"/>
      <c r="U63" s="66"/>
      <c r="V63" s="66"/>
      <c r="W63" s="66"/>
    </row>
    <row r="64" spans="2:23" s="528" customFormat="1" ht="14.1" customHeight="1">
      <c r="B64" s="573"/>
      <c r="C64" s="572"/>
      <c r="D64" s="561">
        <v>2023</v>
      </c>
      <c r="E64" s="1597">
        <v>5089</v>
      </c>
      <c r="F64" s="562">
        <v>1946</v>
      </c>
      <c r="G64" s="562">
        <v>29</v>
      </c>
      <c r="H64" s="562">
        <v>188</v>
      </c>
      <c r="I64" s="562">
        <v>861</v>
      </c>
      <c r="J64" s="562">
        <v>2065</v>
      </c>
      <c r="K64" s="66"/>
      <c r="L64" s="66"/>
      <c r="M64" s="66"/>
      <c r="N64" s="66"/>
      <c r="O64" s="66"/>
      <c r="P64" s="66"/>
      <c r="Q64" s="66"/>
      <c r="R64" s="66"/>
      <c r="S64" s="66"/>
      <c r="T64" s="66"/>
      <c r="U64" s="66"/>
      <c r="V64" s="66"/>
      <c r="W64" s="66"/>
    </row>
    <row r="65" spans="1:23" s="528" customFormat="1" ht="14.1" customHeight="1">
      <c r="B65" s="573"/>
      <c r="C65" s="572"/>
      <c r="D65" s="561">
        <v>2024</v>
      </c>
      <c r="E65" s="1597">
        <v>3701</v>
      </c>
      <c r="F65" s="579">
        <v>1163</v>
      </c>
      <c r="G65" s="579">
        <v>23</v>
      </c>
      <c r="H65" s="579">
        <v>136</v>
      </c>
      <c r="I65" s="579">
        <v>503</v>
      </c>
      <c r="J65" s="579">
        <v>1876</v>
      </c>
      <c r="K65" s="66"/>
      <c r="L65" s="66"/>
      <c r="M65" s="66"/>
      <c r="N65" s="66"/>
      <c r="O65" s="66"/>
      <c r="P65" s="66"/>
      <c r="Q65" s="66"/>
      <c r="R65" s="66"/>
      <c r="S65" s="66"/>
      <c r="T65" s="66"/>
      <c r="U65" s="66"/>
      <c r="V65" s="66"/>
      <c r="W65" s="66"/>
    </row>
    <row r="66" spans="1:23" s="126" customFormat="1" ht="8.1" customHeight="1">
      <c r="B66" s="570"/>
      <c r="C66" s="93"/>
      <c r="D66" s="561"/>
      <c r="E66" s="1597"/>
      <c r="F66" s="562"/>
      <c r="G66" s="562"/>
      <c r="H66" s="562"/>
      <c r="I66" s="562"/>
      <c r="J66" s="562"/>
      <c r="K66" s="66"/>
      <c r="L66" s="66"/>
      <c r="M66" s="66"/>
      <c r="N66" s="66"/>
      <c r="O66" s="66"/>
      <c r="P66" s="66"/>
      <c r="Q66" s="66"/>
      <c r="R66" s="66"/>
      <c r="S66" s="66"/>
      <c r="T66" s="66"/>
      <c r="U66" s="66"/>
      <c r="V66" s="66"/>
      <c r="W66" s="66"/>
    </row>
    <row r="67" spans="1:23" s="126" customFormat="1" ht="14.1" customHeight="1">
      <c r="B67" s="573" t="s">
        <v>540</v>
      </c>
      <c r="C67" s="572"/>
      <c r="D67" s="561">
        <v>2022</v>
      </c>
      <c r="E67" s="1597">
        <v>8258</v>
      </c>
      <c r="F67" s="562">
        <v>1087</v>
      </c>
      <c r="G67" s="562">
        <v>254</v>
      </c>
      <c r="H67" s="562">
        <v>1423</v>
      </c>
      <c r="I67" s="562">
        <v>2763</v>
      </c>
      <c r="J67" s="562">
        <v>2729</v>
      </c>
      <c r="K67" s="66"/>
      <c r="L67" s="66"/>
      <c r="M67" s="66"/>
      <c r="N67" s="66"/>
      <c r="O67" s="66"/>
      <c r="P67" s="66"/>
      <c r="Q67" s="66"/>
      <c r="R67" s="66"/>
      <c r="S67" s="66"/>
      <c r="T67" s="66"/>
      <c r="U67" s="66"/>
      <c r="V67" s="66"/>
      <c r="W67" s="66"/>
    </row>
    <row r="68" spans="1:23" s="126" customFormat="1" ht="14.1" customHeight="1">
      <c r="B68" s="1460"/>
      <c r="C68" s="570"/>
      <c r="D68" s="561">
        <v>2023</v>
      </c>
      <c r="E68" s="1597">
        <v>6353</v>
      </c>
      <c r="F68" s="562">
        <v>949</v>
      </c>
      <c r="G68" s="562">
        <v>147</v>
      </c>
      <c r="H68" s="562">
        <v>1000</v>
      </c>
      <c r="I68" s="562">
        <v>2200</v>
      </c>
      <c r="J68" s="562">
        <v>2057</v>
      </c>
      <c r="K68" s="66"/>
      <c r="L68" s="66"/>
      <c r="M68" s="66"/>
      <c r="N68" s="66"/>
      <c r="O68" s="66"/>
      <c r="P68" s="66"/>
      <c r="Q68" s="66"/>
      <c r="R68" s="66"/>
      <c r="S68" s="66"/>
      <c r="T68" s="66"/>
      <c r="U68" s="66"/>
      <c r="V68" s="66"/>
      <c r="W68" s="66"/>
    </row>
    <row r="69" spans="1:23" s="126" customFormat="1" ht="14.1" customHeight="1">
      <c r="B69" s="1460"/>
      <c r="C69" s="570"/>
      <c r="D69" s="561">
        <v>2024</v>
      </c>
      <c r="E69" s="1597">
        <v>4718</v>
      </c>
      <c r="F69" s="1597">
        <v>757</v>
      </c>
      <c r="G69" s="1597">
        <v>97</v>
      </c>
      <c r="H69" s="1597">
        <v>613</v>
      </c>
      <c r="I69" s="1597">
        <v>1317</v>
      </c>
      <c r="J69" s="562">
        <v>1934</v>
      </c>
      <c r="K69" s="66"/>
      <c r="L69" s="66"/>
      <c r="M69" s="66"/>
      <c r="N69" s="66"/>
      <c r="O69" s="66"/>
      <c r="P69" s="66"/>
      <c r="Q69" s="66"/>
      <c r="R69" s="66"/>
      <c r="S69" s="66"/>
      <c r="T69" s="66"/>
      <c r="U69" s="66"/>
      <c r="V69" s="66"/>
      <c r="W69" s="66"/>
    </row>
    <row r="70" spans="1:23" s="126" customFormat="1" ht="7.5" customHeight="1" thickBot="1">
      <c r="A70" s="147"/>
      <c r="B70" s="147"/>
      <c r="C70" s="147"/>
      <c r="D70" s="638"/>
      <c r="E70" s="639"/>
      <c r="F70" s="617"/>
      <c r="G70" s="640"/>
      <c r="H70" s="641"/>
      <c r="I70" s="640"/>
      <c r="J70" s="617"/>
      <c r="K70" s="147"/>
    </row>
    <row r="71" spans="1:23" s="582" customFormat="1" ht="16.5" customHeight="1">
      <c r="D71" s="642"/>
      <c r="E71" s="602"/>
      <c r="F71" s="601"/>
      <c r="G71" s="595"/>
      <c r="H71" s="594"/>
      <c r="I71" s="595"/>
      <c r="J71" s="601"/>
      <c r="K71" s="643" t="s">
        <v>241</v>
      </c>
    </row>
    <row r="72" spans="1:23" s="582" customFormat="1" ht="16.5" customHeight="1">
      <c r="D72" s="642"/>
      <c r="E72" s="602"/>
      <c r="F72" s="601"/>
      <c r="G72" s="595"/>
      <c r="H72" s="594"/>
      <c r="I72" s="595"/>
      <c r="J72" s="602"/>
      <c r="K72" s="586" t="s">
        <v>242</v>
      </c>
    </row>
    <row r="73" spans="1:23" s="582" customFormat="1" ht="16.5" customHeight="1">
      <c r="B73" s="587" t="s">
        <v>523</v>
      </c>
      <c r="C73" s="644"/>
      <c r="D73" s="583"/>
      <c r="E73" s="602"/>
      <c r="F73" s="601"/>
      <c r="G73" s="595"/>
      <c r="H73" s="594"/>
      <c r="I73" s="595"/>
      <c r="J73" s="602"/>
      <c r="K73" s="586"/>
    </row>
    <row r="74" spans="1:23" s="582" customFormat="1" ht="15.75">
      <c r="A74" s="588" t="s">
        <v>3</v>
      </c>
      <c r="B74" s="597" t="s">
        <v>541</v>
      </c>
      <c r="C74" s="598"/>
      <c r="D74" s="599"/>
      <c r="E74" s="600"/>
      <c r="F74" s="601"/>
      <c r="G74" s="601"/>
      <c r="H74" s="601"/>
      <c r="I74" s="601"/>
      <c r="J74" s="601"/>
      <c r="K74" s="601"/>
      <c r="L74" s="601"/>
    </row>
    <row r="75" spans="1:23" s="601" customFormat="1" ht="14.1" customHeight="1">
      <c r="A75" s="602"/>
      <c r="B75" s="603" t="s">
        <v>527</v>
      </c>
      <c r="C75" s="598"/>
      <c r="D75" s="599"/>
      <c r="E75" s="600"/>
    </row>
    <row r="76" spans="1:23" s="582" customFormat="1" ht="12.95" customHeight="1">
      <c r="A76" s="588" t="s">
        <v>4</v>
      </c>
      <c r="B76" s="604" t="s">
        <v>542</v>
      </c>
      <c r="C76" s="598"/>
      <c r="D76" s="599"/>
      <c r="E76" s="600"/>
      <c r="L76" s="601"/>
    </row>
    <row r="77" spans="1:23" s="582" customFormat="1" ht="14.1" customHeight="1">
      <c r="B77" s="603" t="s">
        <v>529</v>
      </c>
      <c r="C77" s="598"/>
      <c r="D77" s="599"/>
      <c r="E77" s="600"/>
      <c r="F77" s="601"/>
      <c r="G77" s="601"/>
      <c r="H77" s="601"/>
      <c r="I77" s="601"/>
      <c r="J77" s="601"/>
      <c r="K77" s="601"/>
      <c r="L77" s="601"/>
    </row>
  </sheetData>
  <mergeCells count="3">
    <mergeCell ref="G6:I6"/>
    <mergeCell ref="F7:F8"/>
    <mergeCell ref="G7:I7"/>
  </mergeCells>
  <printOptions horizontalCentered="1"/>
  <pageMargins left="0.55118110236220474" right="0.55118110236220474" top="0.55118110236220474" bottom="0.55118110236220474" header="0.31496062992125984" footer="0.31496062992125984"/>
  <pageSetup paperSize="9" scale="77"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52">
    <tabColor theme="4" tint="0.39997558519241921"/>
    <pageSetUpPr fitToPage="1"/>
  </sheetPr>
  <dimension ref="A1:L83"/>
  <sheetViews>
    <sheetView view="pageBreakPreview" zoomScale="90" zoomScaleNormal="100" zoomScaleSheetLayoutView="90" workbookViewId="0">
      <selection activeCell="D61" sqref="D61"/>
    </sheetView>
  </sheetViews>
  <sheetFormatPr defaultRowHeight="15"/>
  <cols>
    <col min="1" max="1" width="3.7109375" customWidth="1"/>
    <col min="3" max="3" width="14" customWidth="1"/>
    <col min="4" max="4" width="25.7109375" customWidth="1"/>
    <col min="5" max="5" width="17.42578125" customWidth="1"/>
    <col min="6" max="6" width="11.5703125" customWidth="1"/>
    <col min="7" max="7" width="11.42578125" customWidth="1"/>
    <col min="8" max="8" width="17" customWidth="1"/>
    <col min="9" max="9" width="14.5703125" customWidth="1"/>
    <col min="10" max="10" width="2.7109375" customWidth="1"/>
  </cols>
  <sheetData>
    <row r="1" spans="1:12" s="68" customFormat="1" ht="8.25" customHeight="1">
      <c r="D1" s="608"/>
      <c r="G1" s="609"/>
      <c r="H1" s="609"/>
      <c r="I1" s="609"/>
    </row>
    <row r="2" spans="1:12" s="68" customFormat="1" ht="16.5" customHeight="1">
      <c r="A2" s="531"/>
      <c r="B2" s="531" t="s">
        <v>543</v>
      </c>
      <c r="C2" s="607" t="s">
        <v>544</v>
      </c>
      <c r="D2" s="645"/>
      <c r="E2" s="607"/>
      <c r="F2" s="607"/>
      <c r="G2" s="531"/>
      <c r="H2" s="531"/>
      <c r="I2" s="531"/>
      <c r="J2" s="607"/>
      <c r="K2" s="607"/>
      <c r="L2" s="607"/>
    </row>
    <row r="3" spans="1:12" s="68" customFormat="1" ht="14.25" customHeight="1">
      <c r="A3" s="531"/>
      <c r="B3" s="531"/>
      <c r="C3" s="646" t="s">
        <v>2004</v>
      </c>
      <c r="D3" s="645"/>
      <c r="E3" s="607"/>
      <c r="F3" s="607"/>
      <c r="G3" s="531"/>
      <c r="H3" s="531"/>
      <c r="I3" s="531"/>
      <c r="J3" s="607"/>
      <c r="K3" s="607"/>
      <c r="L3" s="607"/>
    </row>
    <row r="4" spans="1:12" s="68" customFormat="1" ht="16.5" customHeight="1">
      <c r="A4" s="647"/>
      <c r="B4" s="647" t="s">
        <v>545</v>
      </c>
      <c r="C4" s="613" t="s">
        <v>2005</v>
      </c>
      <c r="D4" s="648"/>
      <c r="E4" s="613"/>
      <c r="F4" s="613"/>
      <c r="G4" s="647"/>
      <c r="H4" s="647"/>
      <c r="I4" s="647"/>
      <c r="J4" s="613"/>
      <c r="K4" s="613"/>
    </row>
    <row r="5" spans="1:12" s="476" customFormat="1" ht="8.25" customHeight="1" thickBot="1">
      <c r="A5" s="537"/>
      <c r="B5" s="537"/>
      <c r="C5" s="537"/>
      <c r="D5" s="649"/>
      <c r="E5" s="537"/>
      <c r="F5" s="537"/>
      <c r="G5" s="650"/>
      <c r="H5" s="650"/>
      <c r="I5" s="650"/>
      <c r="J5" s="539"/>
      <c r="K5" s="539"/>
    </row>
    <row r="6" spans="1:12" s="476" customFormat="1" ht="18.75" customHeight="1">
      <c r="A6" s="651"/>
      <c r="B6" s="652"/>
      <c r="C6" s="475"/>
      <c r="D6" s="653"/>
      <c r="E6" s="654" t="s">
        <v>243</v>
      </c>
      <c r="F6" s="654"/>
      <c r="G6" s="2787" t="s">
        <v>546</v>
      </c>
      <c r="H6" s="2787"/>
      <c r="I6" s="2787"/>
      <c r="J6" s="655"/>
      <c r="K6" s="656"/>
    </row>
    <row r="7" spans="1:12" s="476" customFormat="1" ht="18.75" customHeight="1" thickBot="1">
      <c r="A7" s="478"/>
      <c r="B7" s="657" t="s">
        <v>547</v>
      </c>
      <c r="C7" s="478"/>
      <c r="D7" s="655" t="s">
        <v>39</v>
      </c>
      <c r="E7" s="658" t="s">
        <v>244</v>
      </c>
      <c r="F7" s="658"/>
      <c r="G7" s="659"/>
      <c r="H7" s="660" t="s">
        <v>548</v>
      </c>
      <c r="I7" s="659"/>
      <c r="J7" s="661"/>
    </row>
    <row r="8" spans="1:12" s="476" customFormat="1" ht="27.6" customHeight="1">
      <c r="A8" s="662"/>
      <c r="B8" s="1655" t="s">
        <v>549</v>
      </c>
      <c r="C8" s="662"/>
      <c r="D8" s="669" t="s">
        <v>40</v>
      </c>
      <c r="E8" s="1654" t="s">
        <v>245</v>
      </c>
      <c r="F8" s="664"/>
      <c r="G8" s="665" t="s">
        <v>45</v>
      </c>
      <c r="H8" s="665" t="s">
        <v>246</v>
      </c>
      <c r="I8" s="665" t="s">
        <v>247</v>
      </c>
      <c r="J8" s="663"/>
    </row>
    <row r="9" spans="1:12" s="670" customFormat="1" ht="18.75" customHeight="1" thickBot="1">
      <c r="A9" s="666"/>
      <c r="B9" s="666"/>
      <c r="C9" s="477"/>
      <c r="D9" s="667"/>
      <c r="E9" s="667"/>
      <c r="F9" s="667"/>
      <c r="G9" s="668" t="s">
        <v>46</v>
      </c>
      <c r="H9" s="668" t="s">
        <v>248</v>
      </c>
      <c r="I9" s="668" t="s">
        <v>249</v>
      </c>
      <c r="J9" s="669"/>
    </row>
    <row r="10" spans="1:12" s="476" customFormat="1" ht="8.25" customHeight="1">
      <c r="A10" s="671"/>
      <c r="B10" s="671"/>
      <c r="C10" s="671"/>
      <c r="D10" s="557"/>
      <c r="E10" s="672"/>
      <c r="F10" s="672"/>
      <c r="G10" s="672"/>
      <c r="H10" s="672"/>
      <c r="I10" s="672"/>
      <c r="J10" s="672"/>
    </row>
    <row r="11" spans="1:12" s="476" customFormat="1" ht="13.5" customHeight="1">
      <c r="A11" s="671"/>
      <c r="B11" s="671" t="s">
        <v>538</v>
      </c>
      <c r="D11" s="557">
        <v>2022</v>
      </c>
      <c r="E11" s="672">
        <v>567516</v>
      </c>
      <c r="F11" s="672"/>
      <c r="G11" s="672">
        <v>15044</v>
      </c>
      <c r="H11" s="672">
        <v>8877</v>
      </c>
      <c r="I11" s="672">
        <v>6167</v>
      </c>
      <c r="J11" s="672"/>
    </row>
    <row r="12" spans="1:12" s="476" customFormat="1" ht="13.5" customHeight="1">
      <c r="A12" s="486"/>
      <c r="B12" s="486"/>
      <c r="D12" s="557">
        <v>2023</v>
      </c>
      <c r="E12" s="672">
        <v>418237</v>
      </c>
      <c r="F12" s="672"/>
      <c r="G12" s="672">
        <v>17236</v>
      </c>
      <c r="H12" s="672">
        <v>12602</v>
      </c>
      <c r="I12" s="672">
        <v>4634</v>
      </c>
      <c r="J12" s="579"/>
    </row>
    <row r="13" spans="1:12" s="476" customFormat="1" ht="13.5" customHeight="1">
      <c r="A13" s="486"/>
      <c r="B13" s="486"/>
      <c r="D13" s="557">
        <v>2024</v>
      </c>
      <c r="E13" s="672">
        <v>370286</v>
      </c>
      <c r="F13" s="579"/>
      <c r="G13" s="672">
        <v>23069</v>
      </c>
      <c r="H13" s="672">
        <v>18530</v>
      </c>
      <c r="I13" s="672">
        <v>4539</v>
      </c>
      <c r="J13" s="579"/>
    </row>
    <row r="14" spans="1:12" s="476" customFormat="1" ht="6.75" customHeight="1">
      <c r="A14" s="486"/>
      <c r="B14" s="486"/>
      <c r="D14" s="561"/>
      <c r="E14" s="579"/>
      <c r="F14" s="579"/>
      <c r="G14" s="579"/>
      <c r="H14" s="579"/>
      <c r="I14" s="579"/>
      <c r="J14" s="579"/>
    </row>
    <row r="15" spans="1:12" s="476" customFormat="1" ht="13.5" customHeight="1">
      <c r="A15" s="566"/>
      <c r="B15" s="566" t="s">
        <v>412</v>
      </c>
      <c r="D15" s="561">
        <v>2022</v>
      </c>
      <c r="E15" s="579">
        <v>82502</v>
      </c>
      <c r="F15" s="579"/>
      <c r="G15" s="579">
        <v>1609</v>
      </c>
      <c r="H15" s="579">
        <v>569</v>
      </c>
      <c r="I15" s="579">
        <v>1040</v>
      </c>
      <c r="J15" s="579"/>
    </row>
    <row r="16" spans="1:12" s="476" customFormat="1" ht="13.5" customHeight="1">
      <c r="A16" s="566"/>
      <c r="B16" s="566"/>
      <c r="D16" s="561">
        <v>2023</v>
      </c>
      <c r="E16" s="579">
        <v>58207</v>
      </c>
      <c r="F16" s="579"/>
      <c r="G16" s="579">
        <v>1735</v>
      </c>
      <c r="H16" s="579">
        <v>1038</v>
      </c>
      <c r="I16" s="579">
        <v>697</v>
      </c>
      <c r="J16" s="579"/>
    </row>
    <row r="17" spans="1:10" s="476" customFormat="1" ht="13.5" customHeight="1">
      <c r="A17" s="566"/>
      <c r="B17" s="566"/>
      <c r="D17" s="561">
        <v>2024</v>
      </c>
      <c r="E17" s="579">
        <v>49559</v>
      </c>
      <c r="F17" s="579"/>
      <c r="G17" s="579">
        <v>1786</v>
      </c>
      <c r="H17" s="579">
        <v>1172</v>
      </c>
      <c r="I17" s="579">
        <v>614</v>
      </c>
      <c r="J17" s="579"/>
    </row>
    <row r="18" spans="1:10" s="476" customFormat="1" ht="6.75" customHeight="1">
      <c r="A18" s="566"/>
      <c r="B18" s="566"/>
      <c r="C18" s="673"/>
      <c r="D18" s="561"/>
      <c r="E18" s="579"/>
      <c r="F18" s="579"/>
      <c r="G18" s="579"/>
      <c r="H18" s="579"/>
      <c r="I18" s="579"/>
      <c r="J18" s="579"/>
    </row>
    <row r="19" spans="1:10" s="476" customFormat="1" ht="13.5" customHeight="1">
      <c r="A19" s="573"/>
      <c r="B19" s="573" t="s">
        <v>413</v>
      </c>
      <c r="D19" s="561">
        <v>2022</v>
      </c>
      <c r="E19" s="579">
        <v>24867</v>
      </c>
      <c r="F19" s="579"/>
      <c r="G19" s="579">
        <v>1445</v>
      </c>
      <c r="H19" s="579">
        <v>999</v>
      </c>
      <c r="I19" s="579">
        <v>446</v>
      </c>
      <c r="J19" s="579"/>
    </row>
    <row r="20" spans="1:10" s="476" customFormat="1" ht="13.5" customHeight="1">
      <c r="A20" s="573"/>
      <c r="B20" s="573"/>
      <c r="D20" s="561">
        <v>2023</v>
      </c>
      <c r="E20" s="579">
        <v>19651</v>
      </c>
      <c r="F20" s="579"/>
      <c r="G20" s="579">
        <v>1517</v>
      </c>
      <c r="H20" s="579">
        <v>1163</v>
      </c>
      <c r="I20" s="579">
        <v>354</v>
      </c>
      <c r="J20" s="579"/>
    </row>
    <row r="21" spans="1:10" s="476" customFormat="1" ht="13.5" customHeight="1">
      <c r="A21" s="573"/>
      <c r="B21" s="573"/>
      <c r="D21" s="561">
        <v>2024</v>
      </c>
      <c r="E21" s="579">
        <v>18414</v>
      </c>
      <c r="F21" s="579"/>
      <c r="G21" s="579">
        <v>2028</v>
      </c>
      <c r="H21" s="579">
        <v>1622</v>
      </c>
      <c r="I21" s="579">
        <v>406</v>
      </c>
      <c r="J21" s="579"/>
    </row>
    <row r="22" spans="1:10" s="476" customFormat="1" ht="6" customHeight="1">
      <c r="A22" s="578"/>
      <c r="B22" s="578"/>
      <c r="D22" s="561"/>
      <c r="E22" s="579"/>
      <c r="F22" s="579"/>
      <c r="G22" s="579"/>
      <c r="H22" s="579"/>
      <c r="I22" s="579"/>
      <c r="J22" s="579"/>
    </row>
    <row r="23" spans="1:10" s="476" customFormat="1" ht="13.5" customHeight="1">
      <c r="A23" s="573"/>
      <c r="B23" s="573" t="s">
        <v>414</v>
      </c>
      <c r="D23" s="561">
        <v>2022</v>
      </c>
      <c r="E23" s="579">
        <v>11295</v>
      </c>
      <c r="F23" s="579"/>
      <c r="G23" s="579">
        <v>1813</v>
      </c>
      <c r="H23" s="579">
        <v>1475</v>
      </c>
      <c r="I23" s="579">
        <v>338</v>
      </c>
      <c r="J23" s="579"/>
    </row>
    <row r="24" spans="1:10" s="476" customFormat="1" ht="13.5" customHeight="1">
      <c r="A24" s="573"/>
      <c r="B24" s="573"/>
      <c r="D24" s="561">
        <v>2023</v>
      </c>
      <c r="E24" s="579">
        <v>9752</v>
      </c>
      <c r="F24" s="579"/>
      <c r="G24" s="579">
        <v>2168</v>
      </c>
      <c r="H24" s="579">
        <v>1892</v>
      </c>
      <c r="I24" s="579">
        <v>276</v>
      </c>
      <c r="J24" s="579"/>
    </row>
    <row r="25" spans="1:10" s="476" customFormat="1" ht="13.5" customHeight="1">
      <c r="A25" s="573"/>
      <c r="B25" s="573"/>
      <c r="D25" s="561">
        <v>2024</v>
      </c>
      <c r="E25" s="579">
        <v>7982</v>
      </c>
      <c r="F25" s="579"/>
      <c r="G25" s="579">
        <v>2042</v>
      </c>
      <c r="H25" s="579">
        <v>1818</v>
      </c>
      <c r="I25" s="579">
        <v>224</v>
      </c>
      <c r="J25" s="579"/>
    </row>
    <row r="26" spans="1:10" s="476" customFormat="1" ht="6.75" customHeight="1">
      <c r="A26" s="674"/>
      <c r="B26" s="674"/>
      <c r="D26" s="561"/>
      <c r="E26" s="579"/>
      <c r="F26" s="579"/>
      <c r="G26" s="579"/>
      <c r="H26" s="579"/>
      <c r="I26" s="579"/>
      <c r="J26" s="579"/>
    </row>
    <row r="27" spans="1:10" s="476" customFormat="1" ht="13.5" customHeight="1">
      <c r="A27" s="573"/>
      <c r="B27" s="573" t="s">
        <v>415</v>
      </c>
      <c r="D27" s="561">
        <v>2022</v>
      </c>
      <c r="E27" s="579">
        <v>19593</v>
      </c>
      <c r="F27" s="579"/>
      <c r="G27" s="579">
        <v>406</v>
      </c>
      <c r="H27" s="579">
        <v>189</v>
      </c>
      <c r="I27" s="579">
        <v>217</v>
      </c>
      <c r="J27" s="579"/>
    </row>
    <row r="28" spans="1:10" s="476" customFormat="1" ht="13.5" customHeight="1">
      <c r="A28" s="573"/>
      <c r="B28" s="573"/>
      <c r="D28" s="561">
        <v>2023</v>
      </c>
      <c r="E28" s="579">
        <v>14543</v>
      </c>
      <c r="F28" s="579"/>
      <c r="G28" s="579">
        <v>386</v>
      </c>
      <c r="H28" s="579">
        <v>235</v>
      </c>
      <c r="I28" s="579">
        <v>151</v>
      </c>
      <c r="J28" s="579"/>
    </row>
    <row r="29" spans="1:10" s="476" customFormat="1" ht="13.5" customHeight="1">
      <c r="A29" s="573"/>
      <c r="B29" s="573"/>
      <c r="D29" s="561">
        <v>2024</v>
      </c>
      <c r="E29" s="579">
        <v>13049</v>
      </c>
      <c r="F29" s="579"/>
      <c r="G29" s="579">
        <v>699</v>
      </c>
      <c r="H29" s="579">
        <v>563</v>
      </c>
      <c r="I29" s="579">
        <v>136</v>
      </c>
      <c r="J29" s="579"/>
    </row>
    <row r="30" spans="1:10" s="476" customFormat="1" ht="6.75" customHeight="1">
      <c r="A30" s="573"/>
      <c r="B30" s="573"/>
      <c r="D30" s="561"/>
      <c r="E30" s="579"/>
      <c r="F30" s="579"/>
      <c r="G30" s="579"/>
      <c r="H30" s="579"/>
      <c r="I30" s="579"/>
      <c r="J30" s="579"/>
    </row>
    <row r="31" spans="1:10" s="476" customFormat="1" ht="13.5" customHeight="1">
      <c r="A31" s="573"/>
      <c r="B31" s="573" t="s">
        <v>416</v>
      </c>
      <c r="D31" s="561">
        <v>2022</v>
      </c>
      <c r="E31" s="579">
        <v>25838</v>
      </c>
      <c r="F31" s="579"/>
      <c r="G31" s="579">
        <v>1313</v>
      </c>
      <c r="H31" s="579">
        <v>976</v>
      </c>
      <c r="I31" s="579">
        <v>337</v>
      </c>
      <c r="J31" s="579"/>
    </row>
    <row r="32" spans="1:10" s="476" customFormat="1" ht="13.5" customHeight="1">
      <c r="A32" s="573"/>
      <c r="B32" s="573"/>
      <c r="D32" s="561">
        <v>2023</v>
      </c>
      <c r="E32" s="579">
        <v>19905</v>
      </c>
      <c r="F32" s="579"/>
      <c r="G32" s="579">
        <v>1800</v>
      </c>
      <c r="H32" s="579">
        <v>1565</v>
      </c>
      <c r="I32" s="579">
        <v>235</v>
      </c>
      <c r="J32" s="579"/>
    </row>
    <row r="33" spans="1:10" s="476" customFormat="1" ht="13.5" customHeight="1">
      <c r="A33" s="573"/>
      <c r="B33" s="573"/>
      <c r="D33" s="561">
        <v>2024</v>
      </c>
      <c r="E33" s="579">
        <v>18014</v>
      </c>
      <c r="F33" s="579"/>
      <c r="G33" s="579">
        <v>1711</v>
      </c>
      <c r="H33" s="579">
        <v>1462</v>
      </c>
      <c r="I33" s="579">
        <v>249</v>
      </c>
      <c r="J33" s="579"/>
    </row>
    <row r="34" spans="1:10" s="476" customFormat="1" ht="6.75" customHeight="1">
      <c r="A34" s="573"/>
      <c r="B34" s="573"/>
      <c r="D34" s="561"/>
      <c r="E34" s="579"/>
      <c r="F34" s="579"/>
      <c r="G34" s="579"/>
      <c r="H34" s="579"/>
      <c r="I34" s="579"/>
      <c r="J34" s="579"/>
    </row>
    <row r="35" spans="1:10" s="476" customFormat="1" ht="13.5" customHeight="1">
      <c r="A35" s="573"/>
      <c r="B35" s="573" t="s">
        <v>417</v>
      </c>
      <c r="D35" s="561">
        <v>2022</v>
      </c>
      <c r="E35" s="579">
        <v>21196</v>
      </c>
      <c r="F35" s="579"/>
      <c r="G35" s="579">
        <v>867</v>
      </c>
      <c r="H35" s="579">
        <v>413</v>
      </c>
      <c r="I35" s="579">
        <v>454</v>
      </c>
      <c r="J35" s="579"/>
    </row>
    <row r="36" spans="1:10" s="476" customFormat="1" ht="13.5" customHeight="1">
      <c r="A36" s="573"/>
      <c r="B36" s="573"/>
      <c r="D36" s="561">
        <v>2023</v>
      </c>
      <c r="E36" s="579">
        <v>17000</v>
      </c>
      <c r="F36" s="579"/>
      <c r="G36" s="579">
        <v>805</v>
      </c>
      <c r="H36" s="579">
        <v>449</v>
      </c>
      <c r="I36" s="579">
        <v>356</v>
      </c>
      <c r="J36" s="579"/>
    </row>
    <row r="37" spans="1:10" s="476" customFormat="1" ht="13.5" customHeight="1">
      <c r="A37" s="573"/>
      <c r="B37" s="573"/>
      <c r="D37" s="561">
        <v>2024</v>
      </c>
      <c r="E37" s="579">
        <v>15120</v>
      </c>
      <c r="F37" s="579"/>
      <c r="G37" s="579">
        <v>929</v>
      </c>
      <c r="H37" s="579">
        <v>610</v>
      </c>
      <c r="I37" s="579">
        <v>319</v>
      </c>
      <c r="J37" s="579"/>
    </row>
    <row r="38" spans="1:10" s="476" customFormat="1" ht="6.75" customHeight="1">
      <c r="A38" s="573"/>
      <c r="B38" s="573"/>
      <c r="D38" s="561"/>
      <c r="E38" s="579"/>
      <c r="F38" s="579"/>
      <c r="G38" s="579"/>
      <c r="H38" s="579"/>
      <c r="I38" s="579"/>
      <c r="J38" s="579"/>
    </row>
    <row r="39" spans="1:10" s="476" customFormat="1" ht="13.5" customHeight="1">
      <c r="A39" s="573"/>
      <c r="B39" s="573" t="s">
        <v>418</v>
      </c>
      <c r="D39" s="561">
        <v>2022</v>
      </c>
      <c r="E39" s="579">
        <v>47198</v>
      </c>
      <c r="F39" s="579"/>
      <c r="G39" s="579">
        <v>544</v>
      </c>
      <c r="H39" s="579">
        <v>152</v>
      </c>
      <c r="I39" s="579">
        <v>392</v>
      </c>
      <c r="J39" s="579"/>
    </row>
    <row r="40" spans="1:10" s="476" customFormat="1" ht="13.5" customHeight="1">
      <c r="A40" s="573"/>
      <c r="B40" s="573"/>
      <c r="D40" s="561">
        <v>2023</v>
      </c>
      <c r="E40" s="579">
        <v>35234</v>
      </c>
      <c r="F40" s="579"/>
      <c r="G40" s="579">
        <v>531</v>
      </c>
      <c r="H40" s="579">
        <v>244</v>
      </c>
      <c r="I40" s="579">
        <v>287</v>
      </c>
      <c r="J40" s="579"/>
    </row>
    <row r="41" spans="1:10" s="476" customFormat="1" ht="13.5" customHeight="1">
      <c r="A41" s="573"/>
      <c r="B41" s="573"/>
      <c r="D41" s="561">
        <v>2024</v>
      </c>
      <c r="E41" s="579">
        <v>32792</v>
      </c>
      <c r="F41" s="579"/>
      <c r="G41" s="579">
        <v>4541</v>
      </c>
      <c r="H41" s="579">
        <v>4213</v>
      </c>
      <c r="I41" s="579">
        <v>328</v>
      </c>
      <c r="J41" s="579"/>
    </row>
    <row r="42" spans="1:10" s="476" customFormat="1" ht="6.75" customHeight="1">
      <c r="A42" s="573"/>
      <c r="B42" s="573"/>
      <c r="D42" s="561"/>
      <c r="E42" s="579"/>
      <c r="F42" s="579"/>
      <c r="G42" s="579"/>
      <c r="H42" s="579"/>
      <c r="I42" s="579"/>
      <c r="J42" s="579"/>
    </row>
    <row r="43" spans="1:10" s="476" customFormat="1" ht="13.5" customHeight="1">
      <c r="A43" s="573"/>
      <c r="B43" s="573" t="s">
        <v>419</v>
      </c>
      <c r="D43" s="561">
        <v>2022</v>
      </c>
      <c r="E43" s="579">
        <v>39720</v>
      </c>
      <c r="F43" s="579"/>
      <c r="G43" s="579">
        <v>1727</v>
      </c>
      <c r="H43" s="579">
        <v>1060</v>
      </c>
      <c r="I43" s="579">
        <v>667</v>
      </c>
      <c r="J43" s="579"/>
    </row>
    <row r="44" spans="1:10" s="476" customFormat="1" ht="13.5" customHeight="1">
      <c r="A44" s="573"/>
      <c r="B44" s="573"/>
      <c r="D44" s="561">
        <v>2023</v>
      </c>
      <c r="E44" s="579">
        <v>30669</v>
      </c>
      <c r="F44" s="579"/>
      <c r="G44" s="579">
        <v>2394</v>
      </c>
      <c r="H44" s="579">
        <v>1903</v>
      </c>
      <c r="I44" s="579">
        <v>491</v>
      </c>
      <c r="J44" s="579"/>
    </row>
    <row r="45" spans="1:10" s="476" customFormat="1" ht="13.5" customHeight="1">
      <c r="A45" s="573"/>
      <c r="B45" s="573"/>
      <c r="D45" s="561">
        <v>2024</v>
      </c>
      <c r="E45" s="579">
        <v>28148</v>
      </c>
      <c r="F45" s="579"/>
      <c r="G45" s="579">
        <v>2806</v>
      </c>
      <c r="H45" s="579">
        <v>2231</v>
      </c>
      <c r="I45" s="579">
        <v>575</v>
      </c>
      <c r="J45" s="579"/>
    </row>
    <row r="46" spans="1:10" s="476" customFormat="1" ht="6.75" customHeight="1">
      <c r="A46" s="573"/>
      <c r="B46" s="573"/>
      <c r="D46" s="561"/>
      <c r="E46" s="579"/>
      <c r="F46" s="579"/>
      <c r="G46" s="579"/>
      <c r="H46" s="579"/>
      <c r="I46" s="579"/>
      <c r="J46" s="579"/>
    </row>
    <row r="47" spans="1:10" s="476" customFormat="1" ht="13.5" customHeight="1">
      <c r="A47" s="573"/>
      <c r="B47" s="573" t="s">
        <v>420</v>
      </c>
      <c r="D47" s="561">
        <v>2022</v>
      </c>
      <c r="E47" s="579">
        <v>2098</v>
      </c>
      <c r="F47" s="579"/>
      <c r="G47" s="579">
        <v>292</v>
      </c>
      <c r="H47" s="579">
        <v>216</v>
      </c>
      <c r="I47" s="579">
        <v>76</v>
      </c>
      <c r="J47" s="579"/>
    </row>
    <row r="48" spans="1:10" s="476" customFormat="1" ht="13.5" customHeight="1">
      <c r="A48" s="573"/>
      <c r="B48" s="573"/>
      <c r="D48" s="561">
        <v>2023</v>
      </c>
      <c r="E48" s="579">
        <v>1615</v>
      </c>
      <c r="F48" s="579"/>
      <c r="G48" s="579">
        <v>245</v>
      </c>
      <c r="H48" s="579">
        <v>199</v>
      </c>
      <c r="I48" s="579">
        <v>46</v>
      </c>
      <c r="J48" s="579"/>
    </row>
    <row r="49" spans="1:10" s="476" customFormat="1" ht="13.5" customHeight="1">
      <c r="A49" s="573"/>
      <c r="B49" s="573"/>
      <c r="D49" s="561">
        <v>2024</v>
      </c>
      <c r="E49" s="579">
        <v>1593</v>
      </c>
      <c r="F49" s="579"/>
      <c r="G49" s="579">
        <v>241</v>
      </c>
      <c r="H49" s="579">
        <v>199</v>
      </c>
      <c r="I49" s="579">
        <v>42</v>
      </c>
      <c r="J49" s="579"/>
    </row>
    <row r="50" spans="1:10" s="476" customFormat="1" ht="6.75" customHeight="1">
      <c r="A50" s="573"/>
      <c r="B50" s="573"/>
      <c r="D50" s="561"/>
      <c r="E50" s="579"/>
      <c r="F50" s="579"/>
      <c r="G50" s="579"/>
      <c r="H50" s="579"/>
      <c r="I50" s="579"/>
      <c r="J50" s="579"/>
    </row>
    <row r="51" spans="1:10" s="476" customFormat="1" ht="13.5" customHeight="1">
      <c r="A51" s="576"/>
      <c r="B51" s="576" t="s">
        <v>421</v>
      </c>
      <c r="D51" s="561">
        <v>2022</v>
      </c>
      <c r="E51" s="579">
        <v>168222</v>
      </c>
      <c r="F51" s="579"/>
      <c r="G51" s="579">
        <v>1878</v>
      </c>
      <c r="H51" s="579">
        <v>824</v>
      </c>
      <c r="I51" s="579">
        <v>1054</v>
      </c>
      <c r="J51" s="579"/>
    </row>
    <row r="52" spans="1:10" s="476" customFormat="1" ht="13.5" customHeight="1">
      <c r="A52" s="576"/>
      <c r="B52" s="576"/>
      <c r="D52" s="561">
        <v>2023</v>
      </c>
      <c r="E52" s="579">
        <v>123230</v>
      </c>
      <c r="F52" s="579"/>
      <c r="G52" s="579">
        <v>3191</v>
      </c>
      <c r="H52" s="579">
        <v>2386</v>
      </c>
      <c r="I52" s="579">
        <v>805</v>
      </c>
      <c r="J52" s="579"/>
    </row>
    <row r="53" spans="1:10" s="476" customFormat="1" ht="13.5" customHeight="1">
      <c r="A53" s="576"/>
      <c r="B53" s="576"/>
      <c r="D53" s="561">
        <v>2024</v>
      </c>
      <c r="E53" s="579">
        <v>108564</v>
      </c>
      <c r="F53" s="579"/>
      <c r="G53" s="579">
        <v>2915</v>
      </c>
      <c r="H53" s="579">
        <v>2173</v>
      </c>
      <c r="I53" s="579">
        <v>742</v>
      </c>
      <c r="J53" s="579"/>
    </row>
    <row r="54" spans="1:10" s="476" customFormat="1" ht="6.75" customHeight="1">
      <c r="A54" s="578"/>
      <c r="B54" s="578"/>
      <c r="D54" s="561"/>
      <c r="E54" s="579"/>
      <c r="F54" s="579"/>
      <c r="G54" s="579"/>
      <c r="H54" s="579"/>
      <c r="I54" s="579"/>
      <c r="J54" s="579"/>
    </row>
    <row r="55" spans="1:10" s="476" customFormat="1" ht="13.5" customHeight="1">
      <c r="A55" s="576"/>
      <c r="B55" s="576" t="s">
        <v>422</v>
      </c>
      <c r="D55" s="561">
        <v>2022</v>
      </c>
      <c r="E55" s="579">
        <v>11355</v>
      </c>
      <c r="F55" s="579"/>
      <c r="G55" s="579">
        <v>734</v>
      </c>
      <c r="H55" s="579">
        <v>457</v>
      </c>
      <c r="I55" s="579">
        <v>277</v>
      </c>
      <c r="J55" s="579"/>
    </row>
    <row r="56" spans="1:10" s="476" customFormat="1" ht="13.5" customHeight="1">
      <c r="A56" s="576"/>
      <c r="B56" s="576"/>
      <c r="D56" s="561">
        <v>2023</v>
      </c>
      <c r="E56" s="579">
        <v>9152</v>
      </c>
      <c r="F56" s="579"/>
      <c r="G56" s="579">
        <v>622</v>
      </c>
      <c r="H56" s="579">
        <v>384</v>
      </c>
      <c r="I56" s="579">
        <v>238</v>
      </c>
      <c r="J56" s="579"/>
    </row>
    <row r="57" spans="1:10" s="476" customFormat="1" ht="13.5" customHeight="1">
      <c r="A57" s="576"/>
      <c r="B57" s="576"/>
      <c r="D57" s="561">
        <v>2024</v>
      </c>
      <c r="E57" s="579">
        <v>8458</v>
      </c>
      <c r="F57" s="579"/>
      <c r="G57" s="579">
        <v>642</v>
      </c>
      <c r="H57" s="579">
        <v>452</v>
      </c>
      <c r="I57" s="579">
        <v>190</v>
      </c>
      <c r="J57" s="579"/>
    </row>
    <row r="58" spans="1:10" s="476" customFormat="1" ht="6.75" customHeight="1">
      <c r="A58" s="578"/>
      <c r="B58" s="578"/>
      <c r="D58" s="561"/>
      <c r="E58" s="579"/>
      <c r="F58" s="579"/>
      <c r="G58" s="579"/>
      <c r="H58" s="579"/>
      <c r="I58" s="579"/>
      <c r="J58" s="579"/>
    </row>
    <row r="59" spans="1:10" s="476" customFormat="1" ht="13.5" customHeight="1">
      <c r="A59" s="576"/>
      <c r="B59" s="576" t="s">
        <v>423</v>
      </c>
      <c r="D59" s="561">
        <v>2022</v>
      </c>
      <c r="E59" s="579">
        <v>17902</v>
      </c>
      <c r="F59" s="579"/>
      <c r="G59" s="579">
        <v>916</v>
      </c>
      <c r="H59" s="579">
        <v>632</v>
      </c>
      <c r="I59" s="579">
        <v>284</v>
      </c>
      <c r="J59" s="579"/>
    </row>
    <row r="60" spans="1:10" s="476" customFormat="1" ht="13.5" customHeight="1">
      <c r="A60" s="576"/>
      <c r="B60" s="576"/>
      <c r="D60" s="561">
        <v>2023</v>
      </c>
      <c r="E60" s="579">
        <v>12498</v>
      </c>
      <c r="F60" s="579"/>
      <c r="G60" s="579">
        <v>582</v>
      </c>
      <c r="H60" s="579">
        <v>368</v>
      </c>
      <c r="I60" s="579">
        <v>214</v>
      </c>
      <c r="J60" s="579"/>
    </row>
    <row r="61" spans="1:10" s="476" customFormat="1" ht="13.5" customHeight="1">
      <c r="A61" s="576"/>
      <c r="B61" s="576"/>
      <c r="D61" s="561">
        <v>2024</v>
      </c>
      <c r="E61" s="579">
        <v>12563</v>
      </c>
      <c r="F61" s="579"/>
      <c r="G61" s="579">
        <v>578</v>
      </c>
      <c r="H61" s="579">
        <v>365</v>
      </c>
      <c r="I61" s="579">
        <v>213</v>
      </c>
      <c r="J61" s="579"/>
    </row>
    <row r="62" spans="1:10" s="476" customFormat="1" ht="6.75" customHeight="1">
      <c r="A62" s="578"/>
      <c r="B62" s="578"/>
      <c r="D62" s="561"/>
      <c r="E62" s="579"/>
      <c r="F62" s="579"/>
      <c r="G62" s="579"/>
      <c r="H62" s="579"/>
      <c r="I62" s="579"/>
      <c r="J62" s="579"/>
    </row>
    <row r="63" spans="1:10" s="476" customFormat="1" ht="13.5" customHeight="1">
      <c r="A63" s="573"/>
      <c r="B63" s="573" t="s">
        <v>235</v>
      </c>
      <c r="D63" s="561">
        <v>2022</v>
      </c>
      <c r="E63" s="579">
        <v>21341</v>
      </c>
      <c r="F63" s="579"/>
      <c r="G63" s="579">
        <v>883</v>
      </c>
      <c r="H63" s="579">
        <v>514</v>
      </c>
      <c r="I63" s="579">
        <v>369</v>
      </c>
      <c r="J63" s="579"/>
    </row>
    <row r="64" spans="1:10" s="476" customFormat="1" ht="13.5" customHeight="1">
      <c r="A64" s="573"/>
      <c r="B64" s="573"/>
      <c r="D64" s="561">
        <v>2023</v>
      </c>
      <c r="E64" s="579">
        <v>16158</v>
      </c>
      <c r="F64" s="579"/>
      <c r="G64" s="579">
        <v>818</v>
      </c>
      <c r="H64" s="579">
        <v>503</v>
      </c>
      <c r="I64" s="579">
        <v>315</v>
      </c>
      <c r="J64" s="579"/>
    </row>
    <row r="65" spans="1:11" s="476" customFormat="1" ht="13.5" customHeight="1">
      <c r="A65" s="573"/>
      <c r="B65" s="573"/>
      <c r="D65" s="561">
        <v>2024</v>
      </c>
      <c r="E65" s="579">
        <v>14231</v>
      </c>
      <c r="F65" s="579"/>
      <c r="G65" s="579">
        <v>880</v>
      </c>
      <c r="H65" s="579">
        <v>554</v>
      </c>
      <c r="I65" s="579">
        <v>326</v>
      </c>
      <c r="J65" s="579"/>
    </row>
    <row r="66" spans="1:11" s="476" customFormat="1" ht="6.75" customHeight="1">
      <c r="A66" s="578"/>
      <c r="B66" s="578"/>
      <c r="D66" s="561"/>
      <c r="E66" s="579"/>
      <c r="F66" s="579"/>
      <c r="G66" s="579"/>
      <c r="H66" s="579"/>
      <c r="I66" s="579"/>
      <c r="J66" s="579"/>
    </row>
    <row r="67" spans="1:11" s="476" customFormat="1" ht="13.5" customHeight="1">
      <c r="A67" s="573"/>
      <c r="B67" s="573" t="s">
        <v>424</v>
      </c>
      <c r="D67" s="561">
        <v>2022</v>
      </c>
      <c r="E67" s="579">
        <v>71917</v>
      </c>
      <c r="F67" s="579"/>
      <c r="G67" s="579">
        <v>539</v>
      </c>
      <c r="H67" s="579">
        <v>339</v>
      </c>
      <c r="I67" s="579">
        <v>200</v>
      </c>
      <c r="J67" s="579"/>
    </row>
    <row r="68" spans="1:11" s="476" customFormat="1" ht="13.5" customHeight="1">
      <c r="A68" s="578"/>
      <c r="B68" s="578"/>
      <c r="D68" s="561">
        <v>2023</v>
      </c>
      <c r="E68" s="579">
        <v>48796</v>
      </c>
      <c r="F68" s="579"/>
      <c r="G68" s="579">
        <v>389</v>
      </c>
      <c r="H68" s="579">
        <v>233</v>
      </c>
      <c r="I68" s="579">
        <v>156</v>
      </c>
      <c r="J68" s="675"/>
    </row>
    <row r="69" spans="1:11" s="476" customFormat="1" ht="13.5" customHeight="1">
      <c r="A69" s="578"/>
      <c r="B69" s="578"/>
      <c r="D69" s="561">
        <v>2024</v>
      </c>
      <c r="E69" s="579">
        <v>40237</v>
      </c>
      <c r="F69" s="579"/>
      <c r="G69" s="579">
        <v>1148</v>
      </c>
      <c r="H69" s="579">
        <v>981</v>
      </c>
      <c r="I69" s="579">
        <v>167</v>
      </c>
      <c r="J69" s="675"/>
    </row>
    <row r="70" spans="1:11" s="476" customFormat="1" ht="6.75" customHeight="1">
      <c r="A70" s="578"/>
      <c r="B70" s="578"/>
      <c r="D70" s="561"/>
      <c r="E70" s="579"/>
      <c r="F70" s="579"/>
      <c r="G70" s="579"/>
      <c r="H70" s="579"/>
      <c r="I70" s="579"/>
      <c r="J70" s="675"/>
    </row>
    <row r="71" spans="1:11" s="476" customFormat="1" ht="13.5" customHeight="1">
      <c r="A71" s="573"/>
      <c r="B71" s="573" t="s">
        <v>425</v>
      </c>
      <c r="D71" s="561">
        <v>2022</v>
      </c>
      <c r="E71" s="579">
        <v>618</v>
      </c>
      <c r="F71" s="579"/>
      <c r="G71" s="579">
        <v>41</v>
      </c>
      <c r="H71" s="579">
        <v>34</v>
      </c>
      <c r="I71" s="579">
        <v>7</v>
      </c>
      <c r="J71" s="675"/>
    </row>
    <row r="72" spans="1:11" s="476" customFormat="1" ht="13.5" customHeight="1">
      <c r="A72" s="573"/>
      <c r="B72" s="573"/>
      <c r="D72" s="561">
        <v>2023</v>
      </c>
      <c r="E72" s="579">
        <v>408</v>
      </c>
      <c r="F72" s="579"/>
      <c r="G72" s="579">
        <v>23</v>
      </c>
      <c r="H72" s="579">
        <v>17</v>
      </c>
      <c r="I72" s="579">
        <v>6</v>
      </c>
      <c r="J72" s="675"/>
    </row>
    <row r="73" spans="1:11" s="476" customFormat="1" ht="13.5" customHeight="1">
      <c r="A73" s="573"/>
      <c r="B73" s="573"/>
      <c r="D73" s="561">
        <v>2024</v>
      </c>
      <c r="E73" s="579">
        <v>387</v>
      </c>
      <c r="F73" s="579"/>
      <c r="G73" s="579">
        <v>21</v>
      </c>
      <c r="H73" s="579">
        <v>18</v>
      </c>
      <c r="I73" s="579">
        <v>3</v>
      </c>
      <c r="J73" s="675"/>
    </row>
    <row r="74" spans="1:11" s="476" customFormat="1" ht="6.75" customHeight="1">
      <c r="A74" s="573"/>
      <c r="B74" s="573"/>
      <c r="C74" s="673"/>
      <c r="D74" s="561"/>
      <c r="E74" s="579"/>
      <c r="F74" s="1598"/>
      <c r="G74" s="579"/>
      <c r="H74" s="579"/>
      <c r="I74" s="579"/>
      <c r="J74" s="675"/>
    </row>
    <row r="75" spans="1:11" s="476" customFormat="1" ht="13.5" customHeight="1">
      <c r="A75" s="573"/>
      <c r="B75" s="573" t="s">
        <v>426</v>
      </c>
      <c r="C75" s="673"/>
      <c r="D75" s="561">
        <v>2022</v>
      </c>
      <c r="E75" s="579">
        <v>1854</v>
      </c>
      <c r="F75" s="579"/>
      <c r="G75" s="579">
        <v>37</v>
      </c>
      <c r="H75" s="579">
        <v>28</v>
      </c>
      <c r="I75" s="579">
        <v>9</v>
      </c>
      <c r="J75" s="675"/>
    </row>
    <row r="76" spans="1:11" s="476" customFormat="1" ht="13.5" customHeight="1">
      <c r="A76" s="676"/>
      <c r="B76" s="578"/>
      <c r="C76" s="673"/>
      <c r="D76" s="561">
        <v>2023</v>
      </c>
      <c r="E76" s="579">
        <v>1419</v>
      </c>
      <c r="F76" s="579"/>
      <c r="G76" s="579">
        <v>30</v>
      </c>
      <c r="H76" s="579">
        <v>23</v>
      </c>
      <c r="I76" s="579">
        <v>7</v>
      </c>
    </row>
    <row r="77" spans="1:11" s="476" customFormat="1" ht="13.5" customHeight="1">
      <c r="A77" s="399"/>
      <c r="B77" s="399"/>
      <c r="C77" s="673"/>
      <c r="D77" s="561">
        <v>2024</v>
      </c>
      <c r="E77" s="579">
        <v>1175</v>
      </c>
      <c r="F77" s="579"/>
      <c r="G77" s="579">
        <v>102</v>
      </c>
      <c r="H77" s="579">
        <v>97</v>
      </c>
      <c r="I77" s="579">
        <v>5</v>
      </c>
    </row>
    <row r="78" spans="1:11" s="476" customFormat="1" ht="6.75" customHeight="1" thickBot="1">
      <c r="A78" s="677"/>
      <c r="B78" s="677"/>
      <c r="C78" s="678"/>
      <c r="D78" s="638"/>
      <c r="E78" s="679"/>
      <c r="F78" s="679"/>
      <c r="G78" s="679"/>
      <c r="H78" s="679"/>
      <c r="I78" s="679"/>
      <c r="J78" s="675"/>
    </row>
    <row r="79" spans="1:11" s="684" customFormat="1" ht="16.5" customHeight="1">
      <c r="A79" s="680"/>
      <c r="B79" s="680"/>
      <c r="C79" s="681"/>
      <c r="D79" s="642"/>
      <c r="E79" s="682"/>
      <c r="F79" s="2788" t="s">
        <v>550</v>
      </c>
      <c r="G79" s="2788"/>
      <c r="H79" s="2788"/>
      <c r="I79" s="2788"/>
      <c r="J79" s="683"/>
      <c r="K79" s="683"/>
    </row>
    <row r="80" spans="1:11" s="684" customFormat="1" ht="14.65" customHeight="1">
      <c r="D80" s="685"/>
      <c r="F80" s="2789" t="s">
        <v>551</v>
      </c>
      <c r="G80" s="2789"/>
      <c r="H80" s="2789"/>
      <c r="I80" s="2789"/>
      <c r="J80" s="683"/>
    </row>
    <row r="81" spans="4:10" s="684" customFormat="1" ht="14.65" customHeight="1">
      <c r="D81" s="685"/>
      <c r="E81" s="2790" t="s">
        <v>1322</v>
      </c>
      <c r="F81" s="2790"/>
      <c r="G81" s="2790"/>
      <c r="H81" s="2790"/>
      <c r="I81" s="2790"/>
      <c r="J81" s="686"/>
    </row>
    <row r="82" spans="4:10" s="684" customFormat="1" ht="14.65" customHeight="1">
      <c r="D82" s="685"/>
      <c r="F82" s="2790" t="s">
        <v>552</v>
      </c>
      <c r="G82" s="2790"/>
      <c r="H82" s="2790"/>
      <c r="I82" s="2790"/>
      <c r="J82" s="686"/>
    </row>
    <row r="83" spans="4:10" s="684" customFormat="1" ht="14.25">
      <c r="D83" s="685"/>
      <c r="G83" s="682"/>
      <c r="H83" s="682"/>
      <c r="I83" s="687"/>
      <c r="J83" s="688"/>
    </row>
  </sheetData>
  <mergeCells count="5">
    <mergeCell ref="G6:I6"/>
    <mergeCell ref="F79:I79"/>
    <mergeCell ref="F80:I80"/>
    <mergeCell ref="E81:I81"/>
    <mergeCell ref="F82:I82"/>
  </mergeCells>
  <printOptions horizontalCentered="1"/>
  <pageMargins left="0.55118110236220474" right="0.55118110236220474" top="0.55118110236220474" bottom="0.55118110236220474" header="0.31496062992125984" footer="0.31496062992125984"/>
  <pageSetup paperSize="9" scale="73"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53">
    <tabColor theme="4" tint="0.39997558519241921"/>
    <pageSetUpPr fitToPage="1"/>
  </sheetPr>
  <dimension ref="A1:FS97"/>
  <sheetViews>
    <sheetView view="pageBreakPreview" zoomScaleNormal="106" zoomScaleSheetLayoutView="100" workbookViewId="0">
      <selection activeCell="D69" sqref="D69"/>
    </sheetView>
  </sheetViews>
  <sheetFormatPr defaultColWidth="9.140625" defaultRowHeight="16.5"/>
  <cols>
    <col min="1" max="1" width="3" style="258" customWidth="1"/>
    <col min="2" max="2" width="12.7109375" style="258" customWidth="1"/>
    <col min="3" max="3" width="8.7109375" style="258" customWidth="1"/>
    <col min="4" max="4" width="7.140625" style="258" customWidth="1"/>
    <col min="5" max="5" width="8.5703125" style="258" customWidth="1"/>
    <col min="6" max="6" width="12.5703125" style="258" customWidth="1"/>
    <col min="7" max="7" width="15.28515625" style="258" customWidth="1"/>
    <col min="8" max="8" width="9" style="258" customWidth="1"/>
    <col min="9" max="9" width="14.85546875" style="258" customWidth="1"/>
    <col min="10" max="10" width="10.140625" style="258" customWidth="1"/>
    <col min="11" max="11" width="8.28515625" style="258" customWidth="1"/>
    <col min="12" max="12" width="11.7109375" style="258" customWidth="1"/>
    <col min="13" max="13" width="1.7109375" style="258" customWidth="1"/>
    <col min="14" max="16384" width="9.140625" style="258"/>
  </cols>
  <sheetData>
    <row r="1" spans="1:15" ht="8.1" customHeight="1"/>
    <row r="2" spans="1:15" ht="7.5" customHeight="1"/>
    <row r="3" spans="1:15" ht="16.5" customHeight="1">
      <c r="B3" s="771" t="s">
        <v>553</v>
      </c>
      <c r="C3" s="690" t="s">
        <v>554</v>
      </c>
      <c r="D3" s="691"/>
      <c r="E3" s="692"/>
      <c r="F3" s="692"/>
    </row>
    <row r="4" spans="1:15" ht="16.5" customHeight="1">
      <c r="B4" s="689"/>
      <c r="C4" s="693" t="s">
        <v>1435</v>
      </c>
      <c r="D4" s="691"/>
      <c r="E4" s="692"/>
      <c r="F4" s="692"/>
    </row>
    <row r="5" spans="1:15" ht="16.5" customHeight="1">
      <c r="B5" s="697" t="s">
        <v>555</v>
      </c>
      <c r="C5" s="694" t="s">
        <v>556</v>
      </c>
      <c r="D5" s="695"/>
      <c r="E5" s="696"/>
      <c r="F5" s="696"/>
      <c r="G5" s="696"/>
      <c r="H5" s="696"/>
      <c r="I5" s="696"/>
      <c r="J5" s="696"/>
      <c r="K5" s="696"/>
      <c r="L5" s="696"/>
    </row>
    <row r="6" spans="1:15" ht="16.5" customHeight="1">
      <c r="B6" s="697"/>
      <c r="C6" s="698" t="s">
        <v>1435</v>
      </c>
      <c r="D6" s="695"/>
      <c r="E6" s="696"/>
      <c r="F6" s="696"/>
      <c r="G6" s="696"/>
      <c r="H6" s="696"/>
      <c r="I6" s="696"/>
      <c r="J6" s="696"/>
      <c r="K6" s="696"/>
      <c r="L6" s="696"/>
    </row>
    <row r="7" spans="1:15" ht="9.9499999999999993" customHeight="1" thickBot="1">
      <c r="A7" s="699"/>
      <c r="B7" s="700"/>
      <c r="C7" s="700"/>
      <c r="D7" s="701"/>
      <c r="E7" s="700"/>
      <c r="F7" s="700"/>
      <c r="G7" s="700"/>
      <c r="H7" s="700"/>
      <c r="I7" s="700"/>
      <c r="J7" s="700"/>
      <c r="K7" s="700"/>
      <c r="L7" s="700"/>
      <c r="M7" s="702"/>
    </row>
    <row r="8" spans="1:15" ht="5.25" customHeight="1">
      <c r="A8" s="703"/>
      <c r="B8" s="704" t="s">
        <v>557</v>
      </c>
      <c r="C8" s="704"/>
      <c r="D8" s="705"/>
      <c r="E8" s="704"/>
      <c r="F8" s="706" t="s">
        <v>557</v>
      </c>
      <c r="G8" s="706" t="s">
        <v>557</v>
      </c>
      <c r="H8" s="706"/>
      <c r="I8" s="706"/>
      <c r="J8" s="706"/>
      <c r="K8" s="706"/>
      <c r="L8" s="706"/>
      <c r="M8" s="706"/>
    </row>
    <row r="9" spans="1:15" s="250" customFormat="1" ht="15.95" customHeight="1">
      <c r="A9" s="246"/>
      <c r="B9" s="247" t="s">
        <v>547</v>
      </c>
      <c r="C9" s="247"/>
      <c r="D9" s="248" t="s">
        <v>39</v>
      </c>
      <c r="E9" s="249" t="s">
        <v>45</v>
      </c>
      <c r="F9" s="249" t="s">
        <v>266</v>
      </c>
      <c r="G9" s="249" t="s">
        <v>267</v>
      </c>
      <c r="H9" s="249" t="s">
        <v>268</v>
      </c>
      <c r="I9" s="249" t="s">
        <v>269</v>
      </c>
      <c r="J9" s="249" t="s">
        <v>270</v>
      </c>
      <c r="K9" s="249" t="s">
        <v>271</v>
      </c>
      <c r="L9" s="249" t="s">
        <v>272</v>
      </c>
      <c r="M9" s="249"/>
      <c r="O9" s="251"/>
    </row>
    <row r="10" spans="1:15" s="250" customFormat="1" ht="15.2" customHeight="1">
      <c r="A10" s="246"/>
      <c r="B10" s="252" t="s">
        <v>549</v>
      </c>
      <c r="C10" s="252"/>
      <c r="D10" s="253" t="s">
        <v>40</v>
      </c>
      <c r="E10" s="254" t="s">
        <v>46</v>
      </c>
      <c r="F10" s="254" t="s">
        <v>273</v>
      </c>
      <c r="G10" s="254" t="s">
        <v>274</v>
      </c>
      <c r="H10" s="254" t="s">
        <v>275</v>
      </c>
      <c r="I10" s="249" t="s">
        <v>276</v>
      </c>
      <c r="J10" s="254" t="s">
        <v>277</v>
      </c>
      <c r="K10" s="254"/>
      <c r="L10" s="249" t="s">
        <v>278</v>
      </c>
      <c r="M10" s="254"/>
    </row>
    <row r="11" spans="1:15" s="250" customFormat="1" ht="15.75" customHeight="1">
      <c r="A11" s="246"/>
      <c r="B11" s="246"/>
      <c r="C11" s="246"/>
      <c r="D11" s="255"/>
      <c r="E11" s="254"/>
      <c r="F11" s="254" t="s">
        <v>279</v>
      </c>
      <c r="G11" s="254"/>
      <c r="H11" s="254"/>
      <c r="I11" s="254" t="s">
        <v>280</v>
      </c>
      <c r="J11" s="254"/>
      <c r="K11" s="254"/>
      <c r="L11" s="249" t="s">
        <v>281</v>
      </c>
      <c r="M11" s="256"/>
    </row>
    <row r="12" spans="1:15" s="250" customFormat="1" ht="15.75" customHeight="1">
      <c r="A12" s="246"/>
      <c r="B12" s="246"/>
      <c r="C12" s="246"/>
      <c r="D12" s="255"/>
      <c r="E12" s="254"/>
      <c r="F12" s="254"/>
      <c r="G12" s="254"/>
      <c r="H12" s="254"/>
      <c r="I12" s="254" t="s">
        <v>282</v>
      </c>
      <c r="J12" s="254"/>
      <c r="K12" s="257"/>
      <c r="L12" s="254" t="s">
        <v>283</v>
      </c>
      <c r="M12" s="256"/>
    </row>
    <row r="13" spans="1:15" s="250" customFormat="1" ht="15.75" customHeight="1">
      <c r="A13" s="246"/>
      <c r="B13" s="246"/>
      <c r="C13" s="246"/>
      <c r="D13" s="255"/>
      <c r="E13" s="254"/>
      <c r="F13" s="254"/>
      <c r="G13" s="254"/>
      <c r="H13" s="254"/>
      <c r="I13" s="254"/>
      <c r="J13" s="254"/>
      <c r="K13" s="257"/>
      <c r="L13" s="254" t="s">
        <v>284</v>
      </c>
      <c r="M13" s="256"/>
    </row>
    <row r="14" spans="1:15" s="250" customFormat="1" ht="6.75" customHeight="1">
      <c r="A14" s="707"/>
      <c r="B14" s="707"/>
      <c r="C14" s="707"/>
      <c r="D14" s="708"/>
      <c r="E14" s="709"/>
      <c r="F14" s="710"/>
      <c r="G14" s="709"/>
      <c r="H14" s="709"/>
      <c r="I14" s="709"/>
      <c r="J14" s="709"/>
      <c r="K14" s="709"/>
      <c r="L14" s="709"/>
      <c r="M14" s="709"/>
    </row>
    <row r="15" spans="1:15" s="250" customFormat="1" ht="6.95" customHeight="1">
      <c r="A15" s="251"/>
      <c r="B15" s="246"/>
      <c r="C15" s="246"/>
      <c r="D15" s="255"/>
      <c r="E15" s="711"/>
      <c r="F15" s="256"/>
      <c r="G15" s="256"/>
      <c r="H15" s="256"/>
      <c r="I15" s="256"/>
      <c r="J15" s="256"/>
      <c r="K15" s="256"/>
      <c r="L15" s="256"/>
      <c r="M15" s="256"/>
    </row>
    <row r="16" spans="1:15" s="250" customFormat="1" ht="12.95" customHeight="1">
      <c r="B16" s="712" t="s">
        <v>520</v>
      </c>
      <c r="C16" s="712"/>
      <c r="D16" s="557">
        <v>2023</v>
      </c>
      <c r="E16" s="1599">
        <f t="shared" ref="E16:L18" si="0">SUM(E20,E24,E28,E32,E36,E40,E44,E48,E52,E56,E60,E64,E68,E72,E76)</f>
        <v>542916</v>
      </c>
      <c r="F16" s="1599">
        <f t="shared" si="0"/>
        <v>48353</v>
      </c>
      <c r="G16" s="1599">
        <f t="shared" si="0"/>
        <v>38404</v>
      </c>
      <c r="H16" s="1599">
        <f t="shared" si="0"/>
        <v>196388</v>
      </c>
      <c r="I16" s="1599">
        <f t="shared" si="0"/>
        <v>186416</v>
      </c>
      <c r="J16" s="1599">
        <f t="shared" si="0"/>
        <v>2786</v>
      </c>
      <c r="K16" s="1599">
        <f t="shared" si="0"/>
        <v>45080</v>
      </c>
      <c r="L16" s="1599">
        <f t="shared" si="0"/>
        <v>25489</v>
      </c>
    </row>
    <row r="17" spans="2:23" s="250" customFormat="1" ht="12.95" customHeight="1">
      <c r="B17" s="714"/>
      <c r="C17" s="714"/>
      <c r="D17" s="557">
        <v>2024</v>
      </c>
      <c r="E17" s="1599">
        <f t="shared" si="0"/>
        <v>586558</v>
      </c>
      <c r="F17" s="1599">
        <f t="shared" si="0"/>
        <v>52111</v>
      </c>
      <c r="G17" s="1599">
        <f t="shared" si="0"/>
        <v>40319</v>
      </c>
      <c r="H17" s="1599">
        <f t="shared" si="0"/>
        <v>213716</v>
      </c>
      <c r="I17" s="1599">
        <f t="shared" si="0"/>
        <v>201355</v>
      </c>
      <c r="J17" s="1599">
        <f t="shared" si="0"/>
        <v>2996</v>
      </c>
      <c r="K17" s="1599">
        <f t="shared" si="0"/>
        <v>48644</v>
      </c>
      <c r="L17" s="1599">
        <f t="shared" si="0"/>
        <v>27417</v>
      </c>
    </row>
    <row r="18" spans="2:23" s="250" customFormat="1" ht="12.95" customHeight="1">
      <c r="B18" s="714"/>
      <c r="C18" s="714"/>
      <c r="D18" s="557">
        <v>2025</v>
      </c>
      <c r="E18" s="1599">
        <f t="shared" si="0"/>
        <v>621248</v>
      </c>
      <c r="F18" s="1599">
        <f t="shared" si="0"/>
        <v>55112</v>
      </c>
      <c r="G18" s="1599">
        <f t="shared" si="0"/>
        <v>41819</v>
      </c>
      <c r="H18" s="1599">
        <f t="shared" si="0"/>
        <v>227032</v>
      </c>
      <c r="I18" s="1599">
        <f t="shared" si="0"/>
        <v>213592</v>
      </c>
      <c r="J18" s="1599">
        <f t="shared" si="0"/>
        <v>3204</v>
      </c>
      <c r="K18" s="1599">
        <f t="shared" si="0"/>
        <v>51599</v>
      </c>
      <c r="L18" s="1599">
        <f t="shared" si="0"/>
        <v>28890</v>
      </c>
      <c r="M18" s="714"/>
      <c r="P18" s="716"/>
      <c r="Q18" s="716"/>
      <c r="R18" s="716"/>
      <c r="S18" s="716"/>
      <c r="T18" s="716"/>
      <c r="U18" s="716"/>
      <c r="V18" s="716"/>
      <c r="W18" s="716"/>
    </row>
    <row r="19" spans="2:23" s="250" customFormat="1" ht="6.95" customHeight="1">
      <c r="B19" s="715"/>
      <c r="C19" s="717"/>
      <c r="D19" s="718"/>
      <c r="E19" s="1600"/>
      <c r="F19" s="1600"/>
      <c r="G19" s="1600"/>
      <c r="H19" s="1600"/>
      <c r="I19" s="1600"/>
      <c r="J19" s="1600"/>
      <c r="K19" s="1600"/>
      <c r="L19" s="1600"/>
    </row>
    <row r="20" spans="2:23" s="250" customFormat="1" ht="13.5" customHeight="1">
      <c r="B20" s="1459" t="s">
        <v>412</v>
      </c>
      <c r="C20" s="719"/>
      <c r="D20" s="718">
        <v>2023</v>
      </c>
      <c r="E20" s="1600">
        <f t="shared" ref="E20" si="1">SUM(F20:L20)</f>
        <v>63447</v>
      </c>
      <c r="F20" s="1600">
        <v>5057</v>
      </c>
      <c r="G20" s="1600">
        <v>4221</v>
      </c>
      <c r="H20" s="1600">
        <v>23451</v>
      </c>
      <c r="I20" s="1600">
        <v>21338</v>
      </c>
      <c r="J20" s="1600">
        <v>331</v>
      </c>
      <c r="K20" s="1600">
        <v>6015</v>
      </c>
      <c r="L20" s="1600">
        <v>3034</v>
      </c>
      <c r="P20" s="716"/>
      <c r="Q20" s="716"/>
      <c r="R20" s="716"/>
      <c r="S20" s="716"/>
      <c r="T20" s="716"/>
      <c r="U20" s="716"/>
      <c r="V20" s="716"/>
      <c r="W20" s="716"/>
    </row>
    <row r="21" spans="2:23" s="250" customFormat="1" ht="13.5" customHeight="1">
      <c r="B21" s="1459"/>
      <c r="C21" s="719"/>
      <c r="D21" s="718">
        <v>2024</v>
      </c>
      <c r="E21" s="1600">
        <f>SUM(F21:L21)</f>
        <v>68685</v>
      </c>
      <c r="F21" s="1600">
        <v>5504</v>
      </c>
      <c r="G21" s="1600">
        <v>4417</v>
      </c>
      <c r="H21" s="1600">
        <v>25357</v>
      </c>
      <c r="I21" s="1600">
        <v>23294</v>
      </c>
      <c r="J21" s="1600">
        <v>364</v>
      </c>
      <c r="K21" s="1600">
        <v>6467</v>
      </c>
      <c r="L21" s="1600">
        <v>3282</v>
      </c>
    </row>
    <row r="22" spans="2:23" s="250" customFormat="1" ht="13.5" customHeight="1">
      <c r="B22" s="1459"/>
      <c r="C22" s="719"/>
      <c r="D22" s="718">
        <v>2025</v>
      </c>
      <c r="E22" s="1600">
        <f>SUM(F22:L22)</f>
        <v>72368</v>
      </c>
      <c r="F22" s="1600">
        <v>5840</v>
      </c>
      <c r="G22" s="1600">
        <v>4567</v>
      </c>
      <c r="H22" s="1600">
        <v>26737</v>
      </c>
      <c r="I22" s="1600">
        <v>24580</v>
      </c>
      <c r="J22" s="1600">
        <v>383</v>
      </c>
      <c r="K22" s="1600">
        <v>6855</v>
      </c>
      <c r="L22" s="1601">
        <v>3406</v>
      </c>
      <c r="M22" s="714"/>
    </row>
    <row r="23" spans="2:23" s="250" customFormat="1" ht="6.95" customHeight="1">
      <c r="B23" s="1459"/>
      <c r="C23" s="720"/>
      <c r="D23" s="718"/>
      <c r="E23" s="1600"/>
      <c r="F23" s="1600"/>
      <c r="G23" s="1600"/>
      <c r="H23" s="1600"/>
      <c r="I23" s="1600"/>
      <c r="J23" s="1600"/>
      <c r="K23" s="1600"/>
      <c r="L23" s="1600"/>
    </row>
    <row r="24" spans="2:23" s="250" customFormat="1" ht="13.5" customHeight="1">
      <c r="B24" s="1459" t="s">
        <v>413</v>
      </c>
      <c r="C24" s="719"/>
      <c r="D24" s="718">
        <v>2023</v>
      </c>
      <c r="E24" s="1600">
        <f t="shared" ref="E24:E28" si="2">SUM(F24:L24)</f>
        <v>47185</v>
      </c>
      <c r="F24" s="1600">
        <v>5057</v>
      </c>
      <c r="G24" s="1600">
        <v>3234</v>
      </c>
      <c r="H24" s="1600">
        <v>18375</v>
      </c>
      <c r="I24" s="1600">
        <v>14020</v>
      </c>
      <c r="J24" s="1600">
        <v>307</v>
      </c>
      <c r="K24" s="1600">
        <v>3934</v>
      </c>
      <c r="L24" s="1600">
        <v>2258</v>
      </c>
    </row>
    <row r="25" spans="2:23" s="250" customFormat="1" ht="13.5" customHeight="1">
      <c r="B25" s="1459"/>
      <c r="C25" s="719"/>
      <c r="D25" s="718">
        <v>2024</v>
      </c>
      <c r="E25" s="1600">
        <f>SUM(F25:L25)</f>
        <v>51260</v>
      </c>
      <c r="F25" s="1601">
        <v>5461</v>
      </c>
      <c r="G25" s="1601">
        <v>3401</v>
      </c>
      <c r="H25" s="1601">
        <v>20185</v>
      </c>
      <c r="I25" s="1601">
        <v>15220</v>
      </c>
      <c r="J25" s="1601">
        <v>323</v>
      </c>
      <c r="K25" s="1601">
        <v>4254</v>
      </c>
      <c r="L25" s="1601">
        <v>2416</v>
      </c>
    </row>
    <row r="26" spans="2:23" s="250" customFormat="1" ht="13.5" customHeight="1">
      <c r="B26" s="1459"/>
      <c r="C26" s="719"/>
      <c r="D26" s="718">
        <v>2025</v>
      </c>
      <c r="E26" s="1600">
        <f>SUM(F26:L26)</f>
        <v>54216</v>
      </c>
      <c r="F26" s="1600">
        <v>5756</v>
      </c>
      <c r="G26" s="1600">
        <v>3551</v>
      </c>
      <c r="H26" s="1600">
        <v>21471</v>
      </c>
      <c r="I26" s="1600">
        <v>16036</v>
      </c>
      <c r="J26" s="1600">
        <v>347</v>
      </c>
      <c r="K26" s="1600">
        <v>4485</v>
      </c>
      <c r="L26" s="1601">
        <v>2570</v>
      </c>
      <c r="M26" s="714"/>
    </row>
    <row r="27" spans="2:23" s="250" customFormat="1" ht="6.95" customHeight="1">
      <c r="B27" s="1459"/>
      <c r="C27" s="720"/>
      <c r="D27" s="718"/>
      <c r="E27" s="1600"/>
      <c r="F27" s="1600"/>
      <c r="G27" s="1600"/>
      <c r="H27" s="1600"/>
      <c r="I27" s="1600"/>
      <c r="J27" s="1600"/>
      <c r="K27" s="1600"/>
      <c r="L27" s="1600"/>
    </row>
    <row r="28" spans="2:23" s="250" customFormat="1" ht="13.5" customHeight="1">
      <c r="B28" s="1459" t="s">
        <v>414</v>
      </c>
      <c r="C28" s="719"/>
      <c r="D28" s="718">
        <v>2023</v>
      </c>
      <c r="E28" s="1600">
        <f t="shared" si="2"/>
        <v>37265</v>
      </c>
      <c r="F28" s="1600">
        <v>3394</v>
      </c>
      <c r="G28" s="1600">
        <v>2363</v>
      </c>
      <c r="H28" s="1600">
        <v>11384</v>
      </c>
      <c r="I28" s="1600">
        <v>13760</v>
      </c>
      <c r="J28" s="1600">
        <v>247</v>
      </c>
      <c r="K28" s="1600">
        <v>4169</v>
      </c>
      <c r="L28" s="1600">
        <v>1948</v>
      </c>
    </row>
    <row r="29" spans="2:23" s="250" customFormat="1" ht="13.5" customHeight="1">
      <c r="B29" s="1459"/>
      <c r="C29" s="719"/>
      <c r="D29" s="718">
        <v>2024</v>
      </c>
      <c r="E29" s="1600">
        <f>SUM(F29:L29)</f>
        <v>41545</v>
      </c>
      <c r="F29" s="1601">
        <v>3779</v>
      </c>
      <c r="G29" s="1601">
        <v>2569</v>
      </c>
      <c r="H29" s="1601">
        <v>12777</v>
      </c>
      <c r="I29" s="1601">
        <v>15491</v>
      </c>
      <c r="J29" s="1601">
        <v>273</v>
      </c>
      <c r="K29" s="1601">
        <v>4533</v>
      </c>
      <c r="L29" s="1601">
        <v>2123</v>
      </c>
    </row>
    <row r="30" spans="2:23" s="250" customFormat="1" ht="13.5" customHeight="1">
      <c r="B30" s="1459"/>
      <c r="C30" s="719"/>
      <c r="D30" s="718">
        <v>2025</v>
      </c>
      <c r="E30" s="1600">
        <f>SUM(F30:L30)</f>
        <v>44167</v>
      </c>
      <c r="F30" s="1600">
        <v>3976</v>
      </c>
      <c r="G30" s="1600">
        <v>2712</v>
      </c>
      <c r="H30" s="1600">
        <v>13742</v>
      </c>
      <c r="I30" s="1600">
        <v>16477</v>
      </c>
      <c r="J30" s="1600">
        <v>289</v>
      </c>
      <c r="K30" s="1600">
        <v>4741</v>
      </c>
      <c r="L30" s="1601">
        <v>2230</v>
      </c>
      <c r="M30" s="714"/>
    </row>
    <row r="31" spans="2:23" s="250" customFormat="1" ht="6.95" customHeight="1">
      <c r="B31" s="1459"/>
      <c r="C31" s="720"/>
      <c r="D31" s="718"/>
      <c r="E31" s="1600"/>
      <c r="F31" s="1600"/>
      <c r="G31" s="1600"/>
      <c r="H31" s="1600"/>
      <c r="I31" s="1600"/>
      <c r="J31" s="1600"/>
      <c r="K31" s="1600"/>
      <c r="L31" s="1600"/>
    </row>
    <row r="32" spans="2:23" s="250" customFormat="1" ht="13.5" customHeight="1">
      <c r="B32" s="1459" t="s">
        <v>415</v>
      </c>
      <c r="C32" s="719"/>
      <c r="D32" s="718">
        <v>2023</v>
      </c>
      <c r="E32" s="1600">
        <f>SUM(F32:L32)</f>
        <v>25433</v>
      </c>
      <c r="F32" s="1600">
        <v>1868</v>
      </c>
      <c r="G32" s="1600">
        <v>2223</v>
      </c>
      <c r="H32" s="1600">
        <v>9897</v>
      </c>
      <c r="I32" s="1600">
        <v>8562</v>
      </c>
      <c r="J32" s="1600">
        <v>120</v>
      </c>
      <c r="K32" s="1600">
        <v>1956</v>
      </c>
      <c r="L32" s="1600">
        <v>807</v>
      </c>
    </row>
    <row r="33" spans="2:23" s="250" customFormat="1" ht="13.5" customHeight="1">
      <c r="B33" s="1459"/>
      <c r="C33" s="719"/>
      <c r="D33" s="718">
        <v>2024</v>
      </c>
      <c r="E33" s="1600">
        <f>SUM(F33:L33)</f>
        <v>27054</v>
      </c>
      <c r="F33" s="1601">
        <v>1996</v>
      </c>
      <c r="G33" s="1601">
        <v>2363</v>
      </c>
      <c r="H33" s="1601">
        <v>10644</v>
      </c>
      <c r="I33" s="1601">
        <v>8983</v>
      </c>
      <c r="J33" s="1601">
        <v>125</v>
      </c>
      <c r="K33" s="1601">
        <v>2060</v>
      </c>
      <c r="L33" s="1601">
        <v>883</v>
      </c>
    </row>
    <row r="34" spans="2:23" s="250" customFormat="1" ht="13.5" customHeight="1">
      <c r="B34" s="1459"/>
      <c r="C34" s="719"/>
      <c r="D34" s="718">
        <v>2025</v>
      </c>
      <c r="E34" s="1600">
        <f>SUM(F34:L34)</f>
        <v>28450</v>
      </c>
      <c r="F34" s="1600">
        <v>2112</v>
      </c>
      <c r="G34" s="1600">
        <v>2469</v>
      </c>
      <c r="H34" s="1600">
        <v>11238</v>
      </c>
      <c r="I34" s="1600">
        <v>9455</v>
      </c>
      <c r="J34" s="1600">
        <v>135</v>
      </c>
      <c r="K34" s="1600">
        <v>2131</v>
      </c>
      <c r="L34" s="1601">
        <v>910</v>
      </c>
      <c r="M34" s="714"/>
      <c r="P34" s="716"/>
      <c r="Q34" s="716"/>
      <c r="R34" s="716"/>
      <c r="S34" s="716"/>
      <c r="T34" s="716"/>
      <c r="U34" s="716"/>
      <c r="V34" s="716"/>
      <c r="W34" s="716"/>
    </row>
    <row r="35" spans="2:23" s="250" customFormat="1" ht="6.95" customHeight="1">
      <c r="B35" s="1459"/>
      <c r="C35" s="720"/>
      <c r="D35" s="718"/>
      <c r="E35" s="1600"/>
      <c r="F35" s="1600"/>
      <c r="G35" s="1600"/>
      <c r="H35" s="1600"/>
      <c r="I35" s="1600"/>
      <c r="J35" s="1600"/>
      <c r="K35" s="1600"/>
      <c r="L35" s="1600"/>
    </row>
    <row r="36" spans="2:23" s="250" customFormat="1" ht="13.5" customHeight="1">
      <c r="B36" s="1459" t="s">
        <v>416</v>
      </c>
      <c r="C36" s="719"/>
      <c r="D36" s="718">
        <v>2023</v>
      </c>
      <c r="E36" s="1600">
        <f>SUM(F36:L36)</f>
        <v>24834</v>
      </c>
      <c r="F36" s="1600">
        <v>1876</v>
      </c>
      <c r="G36" s="1600">
        <v>1788</v>
      </c>
      <c r="H36" s="1600">
        <v>9917</v>
      </c>
      <c r="I36" s="1600">
        <v>7933</v>
      </c>
      <c r="J36" s="1600">
        <v>83</v>
      </c>
      <c r="K36" s="1600">
        <v>2014</v>
      </c>
      <c r="L36" s="1600">
        <v>1223</v>
      </c>
    </row>
    <row r="37" spans="2:23" s="250" customFormat="1" ht="13.5" customHeight="1">
      <c r="B37" s="1459"/>
      <c r="C37" s="719"/>
      <c r="D37" s="718">
        <v>2024</v>
      </c>
      <c r="E37" s="1600">
        <f>SUM(F37:L37)</f>
        <v>26758</v>
      </c>
      <c r="F37" s="1601">
        <v>2062</v>
      </c>
      <c r="G37" s="1601">
        <v>1892</v>
      </c>
      <c r="H37" s="1601">
        <v>10742</v>
      </c>
      <c r="I37" s="1601">
        <v>8494</v>
      </c>
      <c r="J37" s="1601">
        <v>90</v>
      </c>
      <c r="K37" s="1601">
        <v>2165</v>
      </c>
      <c r="L37" s="1601">
        <v>1313</v>
      </c>
    </row>
    <row r="38" spans="2:23" s="250" customFormat="1" ht="13.5" customHeight="1">
      <c r="B38" s="1459"/>
      <c r="C38" s="719"/>
      <c r="D38" s="718">
        <v>2025</v>
      </c>
      <c r="E38" s="1600">
        <f>SUM(F38:L38)</f>
        <v>28275</v>
      </c>
      <c r="F38" s="1600">
        <v>2186</v>
      </c>
      <c r="G38" s="1600">
        <v>1970</v>
      </c>
      <c r="H38" s="1600">
        <v>11378</v>
      </c>
      <c r="I38" s="1600">
        <v>8938</v>
      </c>
      <c r="J38" s="1600">
        <v>100</v>
      </c>
      <c r="K38" s="1600">
        <v>2310</v>
      </c>
      <c r="L38" s="1601">
        <v>1393</v>
      </c>
      <c r="M38" s="714"/>
    </row>
    <row r="39" spans="2:23" s="250" customFormat="1" ht="6.95" customHeight="1">
      <c r="B39" s="1459"/>
      <c r="C39" s="720"/>
      <c r="D39" s="718"/>
      <c r="E39" s="1600"/>
      <c r="F39" s="1600"/>
      <c r="G39" s="1600"/>
      <c r="H39" s="1600"/>
      <c r="I39" s="1600"/>
      <c r="J39" s="1600"/>
      <c r="K39" s="1600"/>
      <c r="L39" s="1600"/>
    </row>
    <row r="40" spans="2:23" s="250" customFormat="1" ht="13.5" customHeight="1">
      <c r="B40" s="1459" t="s">
        <v>417</v>
      </c>
      <c r="C40" s="719"/>
      <c r="D40" s="718">
        <v>2023</v>
      </c>
      <c r="E40" s="1600">
        <f>SUM(F40:L40)</f>
        <v>32049</v>
      </c>
      <c r="F40" s="1600">
        <v>2885</v>
      </c>
      <c r="G40" s="1600">
        <v>1960</v>
      </c>
      <c r="H40" s="1600">
        <v>11781</v>
      </c>
      <c r="I40" s="1600">
        <v>11644</v>
      </c>
      <c r="J40" s="1600">
        <v>192</v>
      </c>
      <c r="K40" s="1600">
        <v>2011</v>
      </c>
      <c r="L40" s="1600">
        <v>1576</v>
      </c>
    </row>
    <row r="41" spans="2:23" s="250" customFormat="1" ht="13.5" customHeight="1">
      <c r="B41" s="1459"/>
      <c r="C41" s="719"/>
      <c r="D41" s="718">
        <v>2024</v>
      </c>
      <c r="E41" s="1600">
        <f>SUM(F41:L41)</f>
        <v>34163</v>
      </c>
      <c r="F41" s="1601">
        <v>3073</v>
      </c>
      <c r="G41" s="1601">
        <v>2018</v>
      </c>
      <c r="H41" s="1601">
        <v>12696</v>
      </c>
      <c r="I41" s="1601">
        <v>12323</v>
      </c>
      <c r="J41" s="1601">
        <v>202</v>
      </c>
      <c r="K41" s="1601">
        <v>2179</v>
      </c>
      <c r="L41" s="1601">
        <v>1672</v>
      </c>
    </row>
    <row r="42" spans="2:23" s="250" customFormat="1" ht="13.5" customHeight="1">
      <c r="B42" s="1459"/>
      <c r="C42" s="719"/>
      <c r="D42" s="718">
        <v>2025</v>
      </c>
      <c r="E42" s="1600">
        <f>SUM(F42:L42)</f>
        <v>36257</v>
      </c>
      <c r="F42" s="1600">
        <v>3302</v>
      </c>
      <c r="G42" s="1600">
        <v>2080</v>
      </c>
      <c r="H42" s="1600">
        <v>13556</v>
      </c>
      <c r="I42" s="1600">
        <v>12969</v>
      </c>
      <c r="J42" s="1600">
        <v>220</v>
      </c>
      <c r="K42" s="1600">
        <v>2354</v>
      </c>
      <c r="L42" s="1601">
        <v>1776</v>
      </c>
      <c r="M42" s="714"/>
    </row>
    <row r="43" spans="2:23" s="250" customFormat="1" ht="6.95" customHeight="1">
      <c r="B43" s="1459"/>
      <c r="C43" s="720"/>
      <c r="D43" s="718"/>
      <c r="E43" s="1600"/>
      <c r="F43" s="1600"/>
      <c r="G43" s="1600"/>
      <c r="H43" s="1600"/>
      <c r="I43" s="1600"/>
      <c r="J43" s="1600"/>
      <c r="K43" s="1600"/>
      <c r="L43" s="1600"/>
    </row>
    <row r="44" spans="2:23" s="250" customFormat="1" ht="13.5" customHeight="1">
      <c r="B44" s="1459" t="s">
        <v>418</v>
      </c>
      <c r="C44" s="719"/>
      <c r="D44" s="718">
        <v>2023</v>
      </c>
      <c r="E44" s="1600">
        <f>SUM(F44:L44)</f>
        <v>31875</v>
      </c>
      <c r="F44" s="1600">
        <v>3241</v>
      </c>
      <c r="G44" s="1600">
        <v>2518</v>
      </c>
      <c r="H44" s="1600">
        <v>13291</v>
      </c>
      <c r="I44" s="1600">
        <v>9465</v>
      </c>
      <c r="J44" s="1600">
        <v>114</v>
      </c>
      <c r="K44" s="1600">
        <v>2024</v>
      </c>
      <c r="L44" s="1600">
        <v>1222</v>
      </c>
    </row>
    <row r="45" spans="2:23" s="250" customFormat="1" ht="13.5" customHeight="1">
      <c r="B45" s="1459"/>
      <c r="C45" s="719"/>
      <c r="D45" s="718">
        <v>2024</v>
      </c>
      <c r="E45" s="1600">
        <f>SUM(F45:L45)</f>
        <v>34003</v>
      </c>
      <c r="F45" s="1601">
        <v>3421</v>
      </c>
      <c r="G45" s="1601">
        <v>2633</v>
      </c>
      <c r="H45" s="1601">
        <v>14278</v>
      </c>
      <c r="I45" s="1601">
        <v>10136</v>
      </c>
      <c r="J45" s="1601">
        <v>117</v>
      </c>
      <c r="K45" s="1601">
        <v>2135</v>
      </c>
      <c r="L45" s="1601">
        <v>1283</v>
      </c>
    </row>
    <row r="46" spans="2:23" s="250" customFormat="1" ht="13.5" customHeight="1">
      <c r="B46" s="1459"/>
      <c r="C46" s="719"/>
      <c r="D46" s="718">
        <v>2025</v>
      </c>
      <c r="E46" s="1600">
        <f>SUM(F46:L46)</f>
        <v>35884</v>
      </c>
      <c r="F46" s="1600">
        <v>3580</v>
      </c>
      <c r="G46" s="1600">
        <v>2732</v>
      </c>
      <c r="H46" s="1600">
        <v>15139</v>
      </c>
      <c r="I46" s="1600">
        <v>10695</v>
      </c>
      <c r="J46" s="1600">
        <v>122</v>
      </c>
      <c r="K46" s="1600">
        <v>2282</v>
      </c>
      <c r="L46" s="1601">
        <v>1334</v>
      </c>
      <c r="M46" s="714"/>
    </row>
    <row r="47" spans="2:23" s="250" customFormat="1" ht="6.95" customHeight="1">
      <c r="B47" s="1459"/>
      <c r="C47" s="720"/>
      <c r="D47" s="718"/>
      <c r="E47" s="1600"/>
      <c r="F47" s="1600"/>
      <c r="G47" s="1600"/>
      <c r="H47" s="1600"/>
      <c r="I47" s="1600"/>
      <c r="J47" s="1600"/>
      <c r="K47" s="1600"/>
      <c r="L47" s="1600"/>
    </row>
    <row r="48" spans="2:23" s="250" customFormat="1" ht="13.5" customHeight="1">
      <c r="B48" s="1459" t="s">
        <v>419</v>
      </c>
      <c r="C48" s="719"/>
      <c r="D48" s="718">
        <v>2023</v>
      </c>
      <c r="E48" s="1600">
        <f>SUM(F48:L48)</f>
        <v>47534</v>
      </c>
      <c r="F48" s="1600">
        <v>4160</v>
      </c>
      <c r="G48" s="1600">
        <v>3239</v>
      </c>
      <c r="H48" s="1600">
        <v>16958</v>
      </c>
      <c r="I48" s="1600">
        <v>15865</v>
      </c>
      <c r="J48" s="1600">
        <v>178</v>
      </c>
      <c r="K48" s="1600">
        <v>4825</v>
      </c>
      <c r="L48" s="1600">
        <v>2309</v>
      </c>
    </row>
    <row r="49" spans="2:13" s="250" customFormat="1" ht="13.5" customHeight="1">
      <c r="B49" s="1459"/>
      <c r="C49" s="719"/>
      <c r="D49" s="718">
        <v>2024</v>
      </c>
      <c r="E49" s="1600">
        <f>SUM(F49:L49)</f>
        <v>51458</v>
      </c>
      <c r="F49" s="1601">
        <v>4500</v>
      </c>
      <c r="G49" s="1601">
        <v>3393</v>
      </c>
      <c r="H49" s="1601">
        <v>18757</v>
      </c>
      <c r="I49" s="1601">
        <v>16941</v>
      </c>
      <c r="J49" s="1601">
        <v>191</v>
      </c>
      <c r="K49" s="1601">
        <v>5227</v>
      </c>
      <c r="L49" s="1601">
        <v>2449</v>
      </c>
    </row>
    <row r="50" spans="2:13" s="250" customFormat="1" ht="13.5" customHeight="1">
      <c r="B50" s="1459"/>
      <c r="C50" s="719"/>
      <c r="D50" s="718">
        <v>2025</v>
      </c>
      <c r="E50" s="1600">
        <f>SUM(F50:L50)</f>
        <v>54485</v>
      </c>
      <c r="F50" s="1600">
        <v>4788</v>
      </c>
      <c r="G50" s="1600">
        <v>3517</v>
      </c>
      <c r="H50" s="1600">
        <v>20111</v>
      </c>
      <c r="I50" s="1600">
        <v>17776</v>
      </c>
      <c r="J50" s="1600">
        <v>211</v>
      </c>
      <c r="K50" s="1600">
        <v>5559</v>
      </c>
      <c r="L50" s="1601">
        <v>2523</v>
      </c>
      <c r="M50" s="714"/>
    </row>
    <row r="51" spans="2:13" s="250" customFormat="1" ht="6.95" customHeight="1">
      <c r="B51" s="1459"/>
      <c r="C51" s="720"/>
      <c r="D51" s="718"/>
      <c r="E51" s="1600"/>
      <c r="F51" s="1600"/>
      <c r="G51" s="1600"/>
      <c r="H51" s="1600"/>
      <c r="I51" s="1600"/>
      <c r="J51" s="1600"/>
      <c r="K51" s="1600"/>
      <c r="L51" s="1600"/>
    </row>
    <row r="52" spans="2:13" s="250" customFormat="1" ht="13.5" customHeight="1">
      <c r="B52" s="1459" t="s">
        <v>420</v>
      </c>
      <c r="C52" s="719"/>
      <c r="D52" s="718">
        <v>2023</v>
      </c>
      <c r="E52" s="1600">
        <f>SUM(F52:L52)</f>
        <v>6637</v>
      </c>
      <c r="F52" s="1600">
        <v>707</v>
      </c>
      <c r="G52" s="1600">
        <v>347</v>
      </c>
      <c r="H52" s="1600">
        <v>2281</v>
      </c>
      <c r="I52" s="1600">
        <v>2239</v>
      </c>
      <c r="J52" s="1600">
        <v>63</v>
      </c>
      <c r="K52" s="1600">
        <v>737</v>
      </c>
      <c r="L52" s="1600">
        <v>263</v>
      </c>
    </row>
    <row r="53" spans="2:13" s="250" customFormat="1" ht="13.5" customHeight="1">
      <c r="B53" s="1459"/>
      <c r="C53" s="719"/>
      <c r="D53" s="718">
        <v>2024</v>
      </c>
      <c r="E53" s="1600">
        <f>SUM(F53:L53)</f>
        <v>7464</v>
      </c>
      <c r="F53" s="1601">
        <v>796</v>
      </c>
      <c r="G53" s="1601">
        <v>384</v>
      </c>
      <c r="H53" s="1601">
        <v>2576</v>
      </c>
      <c r="I53" s="1601">
        <v>2486</v>
      </c>
      <c r="J53" s="1601">
        <v>74</v>
      </c>
      <c r="K53" s="1601">
        <v>859</v>
      </c>
      <c r="L53" s="1601">
        <v>289</v>
      </c>
    </row>
    <row r="54" spans="2:13" s="250" customFormat="1" ht="13.5" customHeight="1">
      <c r="B54" s="1459"/>
      <c r="C54" s="719"/>
      <c r="D54" s="718">
        <v>2025</v>
      </c>
      <c r="E54" s="1600">
        <f>SUM(F54:L54)</f>
        <v>7984</v>
      </c>
      <c r="F54" s="1600">
        <v>832</v>
      </c>
      <c r="G54" s="1600">
        <v>404</v>
      </c>
      <c r="H54" s="1600">
        <v>2746</v>
      </c>
      <c r="I54" s="1600">
        <v>2710</v>
      </c>
      <c r="J54" s="1600">
        <v>80</v>
      </c>
      <c r="K54" s="1600">
        <v>907</v>
      </c>
      <c r="L54" s="1601">
        <v>305</v>
      </c>
      <c r="M54" s="714"/>
    </row>
    <row r="55" spans="2:13" s="250" customFormat="1" ht="6.95" customHeight="1">
      <c r="B55" s="1459"/>
      <c r="C55" s="720"/>
      <c r="D55" s="718"/>
      <c r="E55" s="1600"/>
      <c r="F55" s="1600"/>
      <c r="G55" s="1600"/>
      <c r="H55" s="1600"/>
      <c r="I55" s="1600"/>
      <c r="J55" s="1600"/>
      <c r="K55" s="1600"/>
      <c r="L55" s="1600"/>
    </row>
    <row r="56" spans="2:13" s="250" customFormat="1" ht="13.5" customHeight="1">
      <c r="B56" s="1459" t="s">
        <v>558</v>
      </c>
      <c r="C56" s="719"/>
      <c r="D56" s="718">
        <v>2023</v>
      </c>
      <c r="E56" s="1600">
        <f>SUM(F56:L56)</f>
        <v>88466</v>
      </c>
      <c r="F56" s="1600">
        <v>6586</v>
      </c>
      <c r="G56" s="1600">
        <v>6005</v>
      </c>
      <c r="H56" s="1600">
        <v>35230</v>
      </c>
      <c r="I56" s="1600">
        <v>29820</v>
      </c>
      <c r="J56" s="1600">
        <v>358</v>
      </c>
      <c r="K56" s="1600">
        <v>5830</v>
      </c>
      <c r="L56" s="1600">
        <v>4637</v>
      </c>
    </row>
    <row r="57" spans="2:13" s="250" customFormat="1" ht="13.5" customHeight="1">
      <c r="B57" s="1459"/>
      <c r="C57" s="719"/>
      <c r="D57" s="718">
        <v>2024</v>
      </c>
      <c r="E57" s="1600">
        <f>SUM(F57:L57)</f>
        <v>95101</v>
      </c>
      <c r="F57" s="1601">
        <v>7084</v>
      </c>
      <c r="G57" s="1601">
        <v>6272</v>
      </c>
      <c r="H57" s="1601">
        <v>38213</v>
      </c>
      <c r="I57" s="1601">
        <v>31852</v>
      </c>
      <c r="J57" s="1601">
        <v>388</v>
      </c>
      <c r="K57" s="1601">
        <v>6324</v>
      </c>
      <c r="L57" s="1601">
        <v>4968</v>
      </c>
    </row>
    <row r="58" spans="2:13" s="250" customFormat="1" ht="13.5" customHeight="1">
      <c r="B58" s="1459"/>
      <c r="C58" s="719"/>
      <c r="D58" s="718">
        <v>2025</v>
      </c>
      <c r="E58" s="1600">
        <f>SUM(F58:L58)</f>
        <v>100835</v>
      </c>
      <c r="F58" s="1600">
        <v>7535</v>
      </c>
      <c r="G58" s="1600">
        <v>6466</v>
      </c>
      <c r="H58" s="1600">
        <v>40342</v>
      </c>
      <c r="I58" s="1600">
        <v>34153</v>
      </c>
      <c r="J58" s="1600">
        <v>407</v>
      </c>
      <c r="K58" s="1600">
        <v>6691</v>
      </c>
      <c r="L58" s="1601">
        <v>5241</v>
      </c>
      <c r="M58" s="714"/>
    </row>
    <row r="59" spans="2:13" s="250" customFormat="1" ht="6.95" customHeight="1">
      <c r="B59" s="1459"/>
      <c r="C59" s="720"/>
      <c r="D59" s="718"/>
      <c r="E59" s="1600"/>
      <c r="F59" s="1600"/>
      <c r="G59" s="1600"/>
      <c r="H59" s="1600"/>
      <c r="I59" s="1600"/>
      <c r="J59" s="1600"/>
      <c r="K59" s="1600"/>
      <c r="L59" s="1600"/>
    </row>
    <row r="60" spans="2:13" s="250" customFormat="1" ht="13.5" customHeight="1">
      <c r="B60" s="1459" t="s">
        <v>422</v>
      </c>
      <c r="C60" s="719"/>
      <c r="D60" s="718">
        <v>2023</v>
      </c>
      <c r="E60" s="1600">
        <f>SUM(F60:L60)</f>
        <v>27230</v>
      </c>
      <c r="F60" s="1600">
        <v>2418</v>
      </c>
      <c r="G60" s="1600">
        <v>2238</v>
      </c>
      <c r="H60" s="1600">
        <v>8179</v>
      </c>
      <c r="I60" s="1600">
        <v>11051</v>
      </c>
      <c r="J60" s="1600">
        <v>130</v>
      </c>
      <c r="K60" s="1600">
        <v>1924</v>
      </c>
      <c r="L60" s="1600">
        <v>1290</v>
      </c>
    </row>
    <row r="61" spans="2:13" s="250" customFormat="1" ht="13.5" customHeight="1">
      <c r="B61" s="1459"/>
      <c r="C61" s="719"/>
      <c r="D61" s="718">
        <v>2024</v>
      </c>
      <c r="E61" s="1600">
        <f>SUM(F61:L61)</f>
        <v>28961</v>
      </c>
      <c r="F61" s="1601">
        <v>2575</v>
      </c>
      <c r="G61" s="1601">
        <v>2330</v>
      </c>
      <c r="H61" s="1601">
        <v>8768</v>
      </c>
      <c r="I61" s="1601">
        <v>11696</v>
      </c>
      <c r="J61" s="1601">
        <v>144</v>
      </c>
      <c r="K61" s="1601">
        <v>2083</v>
      </c>
      <c r="L61" s="1601">
        <v>1365</v>
      </c>
    </row>
    <row r="62" spans="2:13" s="250" customFormat="1" ht="13.5" customHeight="1">
      <c r="B62" s="1459"/>
      <c r="C62" s="719"/>
      <c r="D62" s="718">
        <v>2025</v>
      </c>
      <c r="E62" s="1600">
        <f>SUM(F62:L62)</f>
        <v>30753</v>
      </c>
      <c r="F62" s="1600">
        <v>2733</v>
      </c>
      <c r="G62" s="1600">
        <v>2420</v>
      </c>
      <c r="H62" s="1600">
        <v>9309</v>
      </c>
      <c r="I62" s="1600">
        <v>12424</v>
      </c>
      <c r="J62" s="1600">
        <v>155</v>
      </c>
      <c r="K62" s="1600">
        <v>2249</v>
      </c>
      <c r="L62" s="1601">
        <v>1463</v>
      </c>
      <c r="M62" s="714"/>
    </row>
    <row r="63" spans="2:13" s="250" customFormat="1" ht="6.95" customHeight="1">
      <c r="B63" s="1459"/>
      <c r="C63" s="720"/>
      <c r="D63" s="718"/>
      <c r="E63" s="1600"/>
      <c r="F63" s="1600"/>
      <c r="G63" s="1600"/>
      <c r="H63" s="1600"/>
      <c r="I63" s="1600"/>
      <c r="J63" s="1600"/>
      <c r="K63" s="1600"/>
      <c r="L63" s="1600"/>
    </row>
    <row r="64" spans="2:13" s="250" customFormat="1" ht="13.5" customHeight="1">
      <c r="B64" s="1459" t="s">
        <v>559</v>
      </c>
      <c r="C64" s="719"/>
      <c r="D64" s="718">
        <v>2023</v>
      </c>
      <c r="E64" s="1600">
        <f>SUM(F64:L64)</f>
        <v>34995</v>
      </c>
      <c r="F64" s="1600">
        <v>3048</v>
      </c>
      <c r="G64" s="1600">
        <v>2636</v>
      </c>
      <c r="H64" s="1600">
        <v>9640</v>
      </c>
      <c r="I64" s="1600">
        <v>14668</v>
      </c>
      <c r="J64" s="1600">
        <v>297</v>
      </c>
      <c r="K64" s="1600">
        <v>2642</v>
      </c>
      <c r="L64" s="1600">
        <v>2064</v>
      </c>
    </row>
    <row r="65" spans="2:13" s="250" customFormat="1" ht="13.5" customHeight="1">
      <c r="B65" s="1459"/>
      <c r="C65" s="719"/>
      <c r="D65" s="718">
        <v>2024</v>
      </c>
      <c r="E65" s="1600">
        <f>SUM(F65:L65)</f>
        <v>37623</v>
      </c>
      <c r="F65" s="1601">
        <v>3232</v>
      </c>
      <c r="G65" s="1601">
        <v>2746</v>
      </c>
      <c r="H65" s="1601">
        <v>10350</v>
      </c>
      <c r="I65" s="1601">
        <v>15858</v>
      </c>
      <c r="J65" s="1601">
        <v>316</v>
      </c>
      <c r="K65" s="1601">
        <v>2875</v>
      </c>
      <c r="L65" s="1601">
        <v>2246</v>
      </c>
    </row>
    <row r="66" spans="2:13" s="250" customFormat="1" ht="13.5" customHeight="1">
      <c r="B66" s="1459"/>
      <c r="C66" s="719"/>
      <c r="D66" s="718">
        <v>2025</v>
      </c>
      <c r="E66" s="1600">
        <f>SUM(F66:L66)</f>
        <v>39751</v>
      </c>
      <c r="F66" s="1600">
        <v>3392</v>
      </c>
      <c r="G66" s="1600">
        <v>2845</v>
      </c>
      <c r="H66" s="1600">
        <v>10985</v>
      </c>
      <c r="I66" s="1600">
        <v>16755</v>
      </c>
      <c r="J66" s="1600">
        <v>340</v>
      </c>
      <c r="K66" s="1600">
        <v>3029</v>
      </c>
      <c r="L66" s="1601">
        <v>2405</v>
      </c>
      <c r="M66" s="714"/>
    </row>
    <row r="67" spans="2:13" s="250" customFormat="1" ht="6.95" customHeight="1">
      <c r="B67" s="1459"/>
      <c r="C67" s="720"/>
      <c r="D67" s="718"/>
      <c r="E67" s="1600"/>
      <c r="F67" s="1600"/>
      <c r="G67" s="1600"/>
      <c r="H67" s="1600"/>
      <c r="I67" s="1600"/>
      <c r="J67" s="1600"/>
      <c r="K67" s="1600"/>
      <c r="L67" s="1600"/>
    </row>
    <row r="68" spans="2:13" s="250" customFormat="1" ht="13.5" customHeight="1">
      <c r="B68" s="1459" t="s">
        <v>235</v>
      </c>
      <c r="C68" s="719"/>
      <c r="D68" s="718">
        <v>2023</v>
      </c>
      <c r="E68" s="1600">
        <f>SUM(F68:L68)</f>
        <v>36069</v>
      </c>
      <c r="F68" s="1600">
        <v>4232</v>
      </c>
      <c r="G68" s="1600">
        <v>2545</v>
      </c>
      <c r="H68" s="1600">
        <v>10352</v>
      </c>
      <c r="I68" s="1600">
        <v>12977</v>
      </c>
      <c r="J68" s="1600">
        <v>221</v>
      </c>
      <c r="K68" s="1600">
        <v>4255</v>
      </c>
      <c r="L68" s="1600">
        <v>1487</v>
      </c>
    </row>
    <row r="69" spans="2:13" s="250" customFormat="1" ht="13.5" customHeight="1">
      <c r="B69" s="1459"/>
      <c r="C69" s="719"/>
      <c r="D69" s="718">
        <v>2024</v>
      </c>
      <c r="E69" s="1600">
        <f>SUM(F69:L69)</f>
        <v>39246</v>
      </c>
      <c r="F69" s="1601">
        <v>4542</v>
      </c>
      <c r="G69" s="1601">
        <v>2665</v>
      </c>
      <c r="H69" s="1601">
        <v>11320</v>
      </c>
      <c r="I69" s="1601">
        <v>14291</v>
      </c>
      <c r="J69" s="1601">
        <v>231</v>
      </c>
      <c r="K69" s="1601">
        <v>4556</v>
      </c>
      <c r="L69" s="1601">
        <v>1641</v>
      </c>
    </row>
    <row r="70" spans="2:13" s="250" customFormat="1" ht="13.5" customHeight="1">
      <c r="B70" s="1459"/>
      <c r="C70" s="719"/>
      <c r="D70" s="718">
        <v>2025</v>
      </c>
      <c r="E70" s="1600">
        <f>SUM(F70:L70)</f>
        <v>41731</v>
      </c>
      <c r="F70" s="1600">
        <v>4780</v>
      </c>
      <c r="G70" s="1600">
        <v>2744</v>
      </c>
      <c r="H70" s="1600">
        <v>12120</v>
      </c>
      <c r="I70" s="1600">
        <v>15258</v>
      </c>
      <c r="J70" s="1600">
        <v>241</v>
      </c>
      <c r="K70" s="1600">
        <v>4839</v>
      </c>
      <c r="L70" s="1601">
        <v>1749</v>
      </c>
      <c r="M70" s="714"/>
    </row>
    <row r="71" spans="2:13" s="250" customFormat="1" ht="6.95" customHeight="1">
      <c r="B71" s="1459"/>
      <c r="C71" s="720"/>
      <c r="D71" s="718"/>
      <c r="E71" s="1600"/>
      <c r="F71" s="1600"/>
      <c r="G71" s="1600"/>
      <c r="H71" s="1600"/>
      <c r="I71" s="1600"/>
      <c r="J71" s="1600"/>
      <c r="K71" s="1600"/>
      <c r="L71" s="1600"/>
    </row>
    <row r="72" spans="2:13" s="250" customFormat="1" ht="13.5">
      <c r="B72" s="1459" t="s">
        <v>424</v>
      </c>
      <c r="C72" s="719"/>
      <c r="D72" s="718">
        <v>2023</v>
      </c>
      <c r="E72" s="1600">
        <f>SUM(F72:L72)</f>
        <v>38194</v>
      </c>
      <c r="F72" s="1600">
        <v>3693</v>
      </c>
      <c r="G72" s="1600">
        <v>3007</v>
      </c>
      <c r="H72" s="1600">
        <v>15201</v>
      </c>
      <c r="I72" s="1600">
        <v>12224</v>
      </c>
      <c r="J72" s="1600">
        <v>120</v>
      </c>
      <c r="K72" s="1600">
        <v>2657</v>
      </c>
      <c r="L72" s="1600">
        <v>1292</v>
      </c>
    </row>
    <row r="73" spans="2:13" s="250" customFormat="1" ht="13.5" customHeight="1">
      <c r="B73" s="1459"/>
      <c r="C73" s="719"/>
      <c r="D73" s="718">
        <v>2024</v>
      </c>
      <c r="E73" s="1600">
        <f>SUM(F73:L73)</f>
        <v>41421</v>
      </c>
      <c r="F73" s="1601">
        <v>3950</v>
      </c>
      <c r="G73" s="1601">
        <v>3151</v>
      </c>
      <c r="H73" s="1601">
        <v>16571</v>
      </c>
      <c r="I73" s="1601">
        <v>13380</v>
      </c>
      <c r="J73" s="1601">
        <v>133</v>
      </c>
      <c r="K73" s="1601">
        <v>2831</v>
      </c>
      <c r="L73" s="1601">
        <v>1405</v>
      </c>
    </row>
    <row r="74" spans="2:13" s="250" customFormat="1" ht="13.5" customHeight="1">
      <c r="B74" s="1459"/>
      <c r="C74" s="719"/>
      <c r="D74" s="718">
        <v>2025</v>
      </c>
      <c r="E74" s="1600">
        <f>SUM(F74:L74)</f>
        <v>44199</v>
      </c>
      <c r="F74" s="1600">
        <v>4163</v>
      </c>
      <c r="G74" s="1600">
        <v>3252</v>
      </c>
      <c r="H74" s="1600">
        <v>17657</v>
      </c>
      <c r="I74" s="1600">
        <v>14412</v>
      </c>
      <c r="J74" s="1600">
        <v>151</v>
      </c>
      <c r="K74" s="1600">
        <v>3067</v>
      </c>
      <c r="L74" s="1601">
        <v>1497</v>
      </c>
      <c r="M74" s="714"/>
    </row>
    <row r="75" spans="2:13" s="250" customFormat="1" ht="6.95" customHeight="1">
      <c r="B75" s="1459"/>
      <c r="C75" s="720"/>
      <c r="D75" s="718"/>
      <c r="E75" s="1600"/>
      <c r="F75" s="1600"/>
      <c r="G75" s="1600"/>
      <c r="H75" s="1600"/>
      <c r="I75" s="1600"/>
      <c r="J75" s="1600"/>
      <c r="K75" s="1600"/>
      <c r="L75" s="1600"/>
    </row>
    <row r="76" spans="2:13" s="250" customFormat="1" ht="13.5" customHeight="1">
      <c r="B76" s="1459" t="s">
        <v>425</v>
      </c>
      <c r="C76" s="719"/>
      <c r="D76" s="718">
        <v>2023</v>
      </c>
      <c r="E76" s="1600">
        <f>SUM(F76:L76)</f>
        <v>1703</v>
      </c>
      <c r="F76" s="1600">
        <v>131</v>
      </c>
      <c r="G76" s="1600">
        <v>80</v>
      </c>
      <c r="H76" s="1600">
        <v>451</v>
      </c>
      <c r="I76" s="1600">
        <v>850</v>
      </c>
      <c r="J76" s="1600">
        <v>25</v>
      </c>
      <c r="K76" s="1600">
        <v>87</v>
      </c>
      <c r="L76" s="1600">
        <v>79</v>
      </c>
    </row>
    <row r="77" spans="2:13" s="250" customFormat="1" ht="13.5" customHeight="1">
      <c r="B77" s="721"/>
      <c r="C77" s="721"/>
      <c r="D77" s="718">
        <v>2024</v>
      </c>
      <c r="E77" s="1600">
        <f>SUM(F77:L77)</f>
        <v>1816</v>
      </c>
      <c r="F77" s="1600">
        <v>136</v>
      </c>
      <c r="G77" s="1600">
        <v>85</v>
      </c>
      <c r="H77" s="1600">
        <v>482</v>
      </c>
      <c r="I77" s="1600">
        <v>910</v>
      </c>
      <c r="J77" s="1600">
        <v>25</v>
      </c>
      <c r="K77" s="1600">
        <v>96</v>
      </c>
      <c r="L77" s="1600">
        <v>82</v>
      </c>
    </row>
    <row r="78" spans="2:13" s="250" customFormat="1" ht="13.5" customHeight="1">
      <c r="B78" s="721"/>
      <c r="C78" s="721"/>
      <c r="D78" s="718">
        <v>2025</v>
      </c>
      <c r="E78" s="1600">
        <f>SUM(F78:L78)</f>
        <v>1893</v>
      </c>
      <c r="F78" s="1602">
        <v>137</v>
      </c>
      <c r="G78" s="1602">
        <v>90</v>
      </c>
      <c r="H78" s="1602">
        <v>501</v>
      </c>
      <c r="I78" s="1602">
        <v>954</v>
      </c>
      <c r="J78" s="1602">
        <v>23</v>
      </c>
      <c r="K78" s="1602">
        <v>100</v>
      </c>
      <c r="L78" s="1602">
        <v>88</v>
      </c>
      <c r="M78" s="714"/>
    </row>
    <row r="79" spans="2:13" s="250" customFormat="1" ht="6.95" customHeight="1">
      <c r="B79" s="721"/>
      <c r="C79" s="721"/>
      <c r="D79" s="718"/>
      <c r="E79" s="1600"/>
      <c r="F79" s="1602"/>
      <c r="G79" s="1602"/>
      <c r="H79" s="1602"/>
      <c r="I79" s="1602"/>
      <c r="J79" s="1602"/>
      <c r="K79" s="1602"/>
      <c r="L79" s="1602"/>
      <c r="M79" s="714"/>
    </row>
    <row r="80" spans="2:13" s="250" customFormat="1" ht="13.5" customHeight="1">
      <c r="B80" s="721"/>
      <c r="C80" s="721"/>
      <c r="D80" s="718"/>
      <c r="E80" s="1600"/>
      <c r="F80" s="1602"/>
      <c r="G80" s="1602"/>
      <c r="H80" s="1602"/>
      <c r="I80" s="1602"/>
      <c r="J80" s="1602"/>
      <c r="K80" s="1602"/>
      <c r="L80" s="1602"/>
      <c r="M80" s="714"/>
    </row>
    <row r="81" spans="1:175" s="250" customFormat="1" ht="6.95" customHeight="1" thickBot="1">
      <c r="A81" s="699"/>
      <c r="B81" s="722"/>
      <c r="C81" s="722"/>
      <c r="D81" s="701"/>
      <c r="E81" s="723"/>
      <c r="F81" s="723"/>
      <c r="G81" s="723"/>
      <c r="H81" s="723"/>
      <c r="I81" s="723"/>
      <c r="J81" s="723"/>
      <c r="K81" s="723"/>
      <c r="L81" s="723"/>
      <c r="M81" s="699"/>
    </row>
    <row r="82" spans="1:175" ht="16.5" customHeight="1">
      <c r="B82" s="262"/>
      <c r="C82" s="262"/>
      <c r="D82" s="265"/>
      <c r="E82" s="262"/>
      <c r="F82" s="262"/>
      <c r="G82" s="262"/>
      <c r="H82" s="262"/>
      <c r="I82" s="724"/>
      <c r="J82" s="725"/>
      <c r="K82" s="266"/>
      <c r="L82" s="724"/>
      <c r="M82" s="726" t="s">
        <v>236</v>
      </c>
      <c r="O82" s="262"/>
      <c r="P82" s="262"/>
      <c r="Q82" s="262"/>
      <c r="R82" s="262"/>
      <c r="S82" s="262"/>
      <c r="T82" s="262"/>
      <c r="U82" s="262"/>
      <c r="V82" s="262"/>
      <c r="W82" s="262"/>
      <c r="X82" s="262"/>
      <c r="Y82" s="262"/>
      <c r="Z82" s="262"/>
      <c r="AA82" s="262"/>
      <c r="AB82" s="262"/>
      <c r="AC82" s="262"/>
      <c r="AD82" s="262"/>
      <c r="AE82" s="262"/>
      <c r="AF82" s="262"/>
      <c r="AG82" s="262"/>
      <c r="AH82" s="262"/>
      <c r="AI82" s="262"/>
      <c r="AJ82" s="262"/>
      <c r="AK82" s="262"/>
      <c r="AL82" s="262"/>
      <c r="AM82" s="262"/>
      <c r="AN82" s="262"/>
      <c r="AO82" s="262"/>
      <c r="AP82" s="262"/>
      <c r="AQ82" s="262"/>
      <c r="AR82" s="262"/>
      <c r="AS82" s="262"/>
      <c r="AT82" s="262"/>
      <c r="AU82" s="262"/>
      <c r="AV82" s="262"/>
      <c r="AW82" s="262"/>
      <c r="AX82" s="262"/>
      <c r="AY82" s="262"/>
      <c r="AZ82" s="262"/>
      <c r="BA82" s="262"/>
      <c r="BB82" s="262"/>
      <c r="BC82" s="262"/>
      <c r="BD82" s="262"/>
      <c r="BE82" s="262"/>
      <c r="BF82" s="262"/>
      <c r="BG82" s="262"/>
      <c r="BH82" s="262"/>
      <c r="BI82" s="262"/>
      <c r="BJ82" s="262"/>
      <c r="BK82" s="262"/>
      <c r="BL82" s="262"/>
      <c r="BM82" s="262"/>
      <c r="BN82" s="262"/>
      <c r="BO82" s="262"/>
      <c r="BP82" s="262"/>
      <c r="BQ82" s="262"/>
      <c r="BR82" s="262"/>
      <c r="BS82" s="262"/>
      <c r="BT82" s="262"/>
      <c r="BU82" s="262"/>
      <c r="BV82" s="262"/>
      <c r="BW82" s="262"/>
      <c r="BX82" s="262"/>
      <c r="BY82" s="262"/>
      <c r="BZ82" s="262"/>
      <c r="CA82" s="262"/>
      <c r="CB82" s="262"/>
      <c r="CC82" s="262"/>
      <c r="CD82" s="262"/>
      <c r="CE82" s="262"/>
      <c r="CF82" s="262"/>
      <c r="CG82" s="262"/>
      <c r="CH82" s="262"/>
      <c r="CI82" s="262"/>
      <c r="CJ82" s="262"/>
      <c r="CK82" s="262"/>
      <c r="CL82" s="262"/>
      <c r="CM82" s="262"/>
      <c r="CN82" s="262"/>
      <c r="CO82" s="262"/>
      <c r="CP82" s="262"/>
      <c r="CQ82" s="262"/>
      <c r="CR82" s="262"/>
      <c r="CS82" s="262"/>
      <c r="CT82" s="262"/>
      <c r="CU82" s="262"/>
      <c r="CV82" s="262"/>
      <c r="CW82" s="262"/>
      <c r="CX82" s="262"/>
      <c r="CY82" s="262"/>
      <c r="CZ82" s="262"/>
      <c r="DA82" s="262"/>
      <c r="DB82" s="262"/>
      <c r="DC82" s="262"/>
      <c r="DD82" s="262"/>
      <c r="DE82" s="262"/>
      <c r="DF82" s="262"/>
      <c r="DG82" s="262"/>
      <c r="DH82" s="262"/>
      <c r="DI82" s="262"/>
      <c r="DJ82" s="262"/>
      <c r="DK82" s="262"/>
      <c r="DL82" s="262"/>
      <c r="DM82" s="262"/>
      <c r="DN82" s="262"/>
      <c r="DO82" s="262"/>
      <c r="DP82" s="262"/>
      <c r="DQ82" s="262"/>
      <c r="DR82" s="262"/>
      <c r="DS82" s="262"/>
      <c r="DT82" s="262"/>
      <c r="DU82" s="262"/>
      <c r="DV82" s="262"/>
      <c r="DW82" s="262"/>
      <c r="DX82" s="262"/>
      <c r="DY82" s="262"/>
      <c r="DZ82" s="262"/>
      <c r="EA82" s="262"/>
      <c r="EB82" s="262"/>
      <c r="EC82" s="262"/>
      <c r="ED82" s="262"/>
      <c r="EE82" s="262"/>
      <c r="EF82" s="262"/>
      <c r="EG82" s="262"/>
      <c r="EH82" s="262"/>
      <c r="EI82" s="262"/>
      <c r="EJ82" s="262"/>
      <c r="EK82" s="262"/>
      <c r="EL82" s="262"/>
      <c r="EM82" s="262"/>
      <c r="EN82" s="262"/>
      <c r="EO82" s="262"/>
      <c r="EP82" s="262"/>
      <c r="EQ82" s="262"/>
      <c r="ER82" s="262"/>
      <c r="ES82" s="262"/>
      <c r="ET82" s="262"/>
      <c r="EU82" s="262"/>
      <c r="EV82" s="262"/>
      <c r="EW82" s="262"/>
      <c r="EX82" s="262"/>
      <c r="EY82" s="262"/>
      <c r="EZ82" s="262"/>
      <c r="FA82" s="262"/>
      <c r="FB82" s="262"/>
      <c r="FC82" s="262"/>
      <c r="FD82" s="262"/>
      <c r="FE82" s="262"/>
      <c r="FF82" s="262"/>
      <c r="FG82" s="262"/>
      <c r="FH82" s="262"/>
      <c r="FI82" s="262"/>
      <c r="FJ82" s="262"/>
      <c r="FK82" s="262"/>
      <c r="FL82" s="262"/>
      <c r="FM82" s="262"/>
      <c r="FN82" s="262"/>
      <c r="FO82" s="262"/>
      <c r="FP82" s="262"/>
      <c r="FQ82" s="262"/>
      <c r="FR82" s="262"/>
      <c r="FS82" s="262"/>
    </row>
    <row r="83" spans="1:175" ht="15.2" customHeight="1">
      <c r="D83" s="265"/>
      <c r="E83" s="262"/>
      <c r="F83" s="262"/>
      <c r="G83" s="262"/>
      <c r="H83" s="262"/>
      <c r="I83" s="724"/>
      <c r="J83" s="727"/>
      <c r="K83" s="727"/>
      <c r="L83" s="728"/>
      <c r="M83" s="729" t="s">
        <v>232</v>
      </c>
      <c r="O83" s="262"/>
      <c r="P83" s="262"/>
      <c r="Q83" s="262"/>
      <c r="R83" s="262"/>
      <c r="S83" s="262"/>
      <c r="T83" s="262"/>
      <c r="U83" s="262"/>
      <c r="V83" s="262"/>
      <c r="W83" s="262"/>
      <c r="X83" s="262"/>
      <c r="Y83" s="262"/>
      <c r="Z83" s="262"/>
      <c r="AA83" s="262"/>
      <c r="AB83" s="262"/>
      <c r="AC83" s="262"/>
      <c r="AD83" s="262"/>
      <c r="AE83" s="262"/>
      <c r="AF83" s="262"/>
      <c r="AG83" s="262"/>
      <c r="AH83" s="262"/>
      <c r="AI83" s="262"/>
      <c r="AJ83" s="262"/>
      <c r="AK83" s="262"/>
      <c r="AL83" s="262"/>
      <c r="AM83" s="262"/>
      <c r="AN83" s="262"/>
      <c r="AO83" s="262"/>
      <c r="AP83" s="262"/>
      <c r="AQ83" s="262"/>
      <c r="AR83" s="262"/>
      <c r="AS83" s="262"/>
      <c r="AT83" s="262"/>
      <c r="AU83" s="262"/>
      <c r="AV83" s="262"/>
      <c r="AW83" s="262"/>
      <c r="AX83" s="262"/>
      <c r="AY83" s="262"/>
      <c r="AZ83" s="262"/>
      <c r="BA83" s="262"/>
      <c r="BB83" s="262"/>
      <c r="BC83" s="262"/>
      <c r="BD83" s="262"/>
      <c r="BE83" s="262"/>
      <c r="BF83" s="262"/>
      <c r="BG83" s="262"/>
      <c r="BH83" s="262"/>
      <c r="BI83" s="262"/>
      <c r="BJ83" s="262"/>
      <c r="BK83" s="262"/>
      <c r="BL83" s="262"/>
      <c r="BM83" s="262"/>
      <c r="BN83" s="262"/>
      <c r="BO83" s="262"/>
      <c r="BP83" s="262"/>
      <c r="BQ83" s="262"/>
      <c r="BR83" s="262"/>
      <c r="BS83" s="262"/>
      <c r="BT83" s="262"/>
      <c r="BU83" s="262"/>
      <c r="BV83" s="262"/>
      <c r="BW83" s="262"/>
      <c r="BX83" s="262"/>
      <c r="BY83" s="262"/>
      <c r="BZ83" s="262"/>
      <c r="CA83" s="262"/>
      <c r="CB83" s="262"/>
      <c r="CC83" s="262"/>
      <c r="CD83" s="262"/>
      <c r="CE83" s="262"/>
      <c r="CF83" s="262"/>
      <c r="CG83" s="262"/>
      <c r="CH83" s="262"/>
      <c r="CI83" s="262"/>
      <c r="CJ83" s="262"/>
      <c r="CK83" s="262"/>
      <c r="CL83" s="262"/>
      <c r="CM83" s="262"/>
      <c r="CN83" s="262"/>
      <c r="CO83" s="262"/>
      <c r="CP83" s="262"/>
      <c r="CQ83" s="262"/>
      <c r="CR83" s="262"/>
      <c r="CS83" s="262"/>
      <c r="CT83" s="262"/>
      <c r="CU83" s="262"/>
      <c r="CV83" s="262"/>
      <c r="CW83" s="262"/>
      <c r="CX83" s="262"/>
      <c r="CY83" s="262"/>
      <c r="CZ83" s="262"/>
      <c r="DA83" s="262"/>
      <c r="DB83" s="262"/>
      <c r="DC83" s="262"/>
      <c r="DD83" s="262"/>
      <c r="DE83" s="262"/>
      <c r="DF83" s="262"/>
      <c r="DG83" s="262"/>
      <c r="DH83" s="262"/>
      <c r="DI83" s="262"/>
      <c r="DJ83" s="262"/>
      <c r="DK83" s="262"/>
      <c r="DL83" s="262"/>
      <c r="DM83" s="262"/>
      <c r="DN83" s="262"/>
      <c r="DO83" s="262"/>
      <c r="DP83" s="262"/>
      <c r="DQ83" s="262"/>
      <c r="DR83" s="262"/>
      <c r="DS83" s="262"/>
      <c r="DT83" s="262"/>
      <c r="DU83" s="262"/>
      <c r="DV83" s="262"/>
      <c r="DW83" s="262"/>
      <c r="DX83" s="262"/>
      <c r="DY83" s="262"/>
      <c r="DZ83" s="262"/>
      <c r="EA83" s="262"/>
      <c r="EB83" s="262"/>
      <c r="EC83" s="262"/>
      <c r="ED83" s="262"/>
      <c r="EE83" s="262"/>
      <c r="EF83" s="262"/>
      <c r="EG83" s="262"/>
      <c r="EH83" s="262"/>
      <c r="EI83" s="262"/>
      <c r="EJ83" s="262"/>
      <c r="EK83" s="262"/>
      <c r="EL83" s="262"/>
      <c r="EM83" s="262"/>
      <c r="EN83" s="262"/>
      <c r="EO83" s="262"/>
      <c r="EP83" s="262"/>
      <c r="EQ83" s="262"/>
      <c r="ER83" s="262"/>
      <c r="ES83" s="262"/>
      <c r="ET83" s="262"/>
      <c r="EU83" s="262"/>
      <c r="EV83" s="262"/>
      <c r="EW83" s="262"/>
      <c r="EX83" s="262"/>
      <c r="EY83" s="262"/>
      <c r="EZ83" s="262"/>
      <c r="FA83" s="262"/>
      <c r="FB83" s="262"/>
      <c r="FC83" s="262"/>
      <c r="FD83" s="262"/>
      <c r="FE83" s="262"/>
      <c r="FF83" s="262"/>
      <c r="FG83" s="262"/>
      <c r="FH83" s="262"/>
      <c r="FI83" s="262"/>
      <c r="FJ83" s="262"/>
      <c r="FK83" s="262"/>
      <c r="FL83" s="262"/>
      <c r="FM83" s="262"/>
      <c r="FN83" s="262"/>
      <c r="FO83" s="262"/>
      <c r="FP83" s="262"/>
      <c r="FQ83" s="262"/>
      <c r="FR83" s="262"/>
      <c r="FS83" s="262"/>
    </row>
    <row r="84" spans="1:175" ht="15.2" customHeight="1">
      <c r="B84" s="259" t="s">
        <v>1053</v>
      </c>
      <c r="C84" s="260"/>
      <c r="D84" s="261"/>
      <c r="E84" s="262"/>
      <c r="F84" s="262"/>
      <c r="G84" s="262"/>
      <c r="H84" s="262"/>
      <c r="O84" s="262"/>
      <c r="P84" s="262"/>
      <c r="Q84" s="262"/>
      <c r="R84" s="262"/>
      <c r="S84" s="262"/>
      <c r="T84" s="262"/>
      <c r="U84" s="262"/>
      <c r="V84" s="262"/>
      <c r="W84" s="262"/>
      <c r="X84" s="262"/>
      <c r="Y84" s="262"/>
      <c r="Z84" s="262"/>
      <c r="AA84" s="262"/>
      <c r="AB84" s="262"/>
      <c r="AC84" s="262"/>
      <c r="AD84" s="262"/>
      <c r="AE84" s="262"/>
      <c r="AF84" s="262"/>
      <c r="AG84" s="262"/>
      <c r="AH84" s="262"/>
      <c r="AI84" s="262"/>
      <c r="AJ84" s="262"/>
      <c r="AK84" s="262"/>
      <c r="AL84" s="262"/>
      <c r="AM84" s="262"/>
      <c r="AN84" s="262"/>
      <c r="AO84" s="262"/>
      <c r="AP84" s="262"/>
      <c r="AQ84" s="262"/>
      <c r="AR84" s="262"/>
      <c r="AS84" s="262"/>
      <c r="AT84" s="262"/>
      <c r="AU84" s="262"/>
      <c r="AV84" s="262"/>
      <c r="AW84" s="262"/>
      <c r="AX84" s="262"/>
      <c r="AY84" s="262"/>
      <c r="AZ84" s="262"/>
      <c r="BA84" s="262"/>
      <c r="BB84" s="262"/>
      <c r="BC84" s="262"/>
      <c r="BD84" s="262"/>
      <c r="BE84" s="262"/>
      <c r="BF84" s="262"/>
      <c r="BG84" s="262"/>
      <c r="BH84" s="262"/>
      <c r="BI84" s="262"/>
      <c r="BJ84" s="262"/>
      <c r="BK84" s="262"/>
      <c r="BL84" s="262"/>
      <c r="BM84" s="262"/>
      <c r="BN84" s="262"/>
      <c r="BO84" s="262"/>
      <c r="BP84" s="262"/>
      <c r="BQ84" s="262"/>
      <c r="BR84" s="262"/>
      <c r="BS84" s="262"/>
      <c r="BT84" s="262"/>
      <c r="BU84" s="262"/>
      <c r="BV84" s="262"/>
      <c r="BW84" s="262"/>
      <c r="BX84" s="262"/>
      <c r="BY84" s="262"/>
      <c r="BZ84" s="262"/>
      <c r="CA84" s="262"/>
      <c r="CB84" s="262"/>
      <c r="CC84" s="262"/>
      <c r="CD84" s="262"/>
      <c r="CE84" s="262"/>
      <c r="CF84" s="262"/>
      <c r="CG84" s="262"/>
      <c r="CH84" s="262"/>
      <c r="CI84" s="262"/>
      <c r="CJ84" s="262"/>
      <c r="CK84" s="262"/>
      <c r="CL84" s="262"/>
      <c r="CM84" s="262"/>
      <c r="CN84" s="262"/>
      <c r="CO84" s="262"/>
      <c r="CP84" s="262"/>
      <c r="CQ84" s="262"/>
      <c r="CR84" s="262"/>
      <c r="CS84" s="262"/>
      <c r="CT84" s="262"/>
      <c r="CU84" s="262"/>
      <c r="CV84" s="262"/>
      <c r="CW84" s="262"/>
      <c r="CX84" s="262"/>
      <c r="CY84" s="262"/>
      <c r="CZ84" s="262"/>
      <c r="DA84" s="262"/>
      <c r="DB84" s="262"/>
      <c r="DC84" s="262"/>
      <c r="DD84" s="262"/>
      <c r="DE84" s="262"/>
      <c r="DF84" s="262"/>
      <c r="DG84" s="262"/>
      <c r="DH84" s="262"/>
      <c r="DI84" s="262"/>
      <c r="DJ84" s="262"/>
      <c r="DK84" s="262"/>
      <c r="DL84" s="262"/>
      <c r="DM84" s="262"/>
      <c r="DN84" s="262"/>
      <c r="DO84" s="262"/>
      <c r="DP84" s="262"/>
      <c r="DQ84" s="262"/>
      <c r="DR84" s="262"/>
      <c r="DS84" s="262"/>
      <c r="DT84" s="262"/>
      <c r="DU84" s="262"/>
      <c r="DV84" s="262"/>
      <c r="DW84" s="262"/>
      <c r="DX84" s="262"/>
      <c r="DY84" s="262"/>
      <c r="DZ84" s="262"/>
      <c r="EA84" s="262"/>
      <c r="EB84" s="262"/>
      <c r="EC84" s="262"/>
      <c r="ED84" s="262"/>
      <c r="EE84" s="262"/>
      <c r="EF84" s="262"/>
      <c r="EG84" s="262"/>
      <c r="EH84" s="262"/>
      <c r="EI84" s="262"/>
      <c r="EJ84" s="262"/>
      <c r="EK84" s="262"/>
      <c r="EL84" s="262"/>
      <c r="EM84" s="262"/>
      <c r="EN84" s="262"/>
      <c r="EO84" s="262"/>
      <c r="EP84" s="262"/>
      <c r="EQ84" s="262"/>
      <c r="ER84" s="262"/>
      <c r="ES84" s="262"/>
      <c r="ET84" s="262"/>
      <c r="EU84" s="262"/>
      <c r="EV84" s="262"/>
      <c r="EW84" s="262"/>
      <c r="EX84" s="262"/>
      <c r="EY84" s="262"/>
      <c r="EZ84" s="262"/>
      <c r="FA84" s="262"/>
      <c r="FB84" s="262"/>
      <c r="FC84" s="262"/>
      <c r="FD84" s="262"/>
      <c r="FE84" s="262"/>
      <c r="FF84" s="262"/>
      <c r="FG84" s="262"/>
      <c r="FH84" s="262"/>
      <c r="FI84" s="262"/>
      <c r="FJ84" s="262"/>
      <c r="FK84" s="262"/>
      <c r="FL84" s="262"/>
      <c r="FM84" s="262"/>
      <c r="FN84" s="262"/>
      <c r="FO84" s="262"/>
      <c r="FP84" s="262"/>
      <c r="FQ84" s="262"/>
      <c r="FR84" s="262"/>
      <c r="FS84" s="262"/>
    </row>
    <row r="85" spans="1:175" ht="16.5" customHeight="1">
      <c r="A85" s="263" t="s">
        <v>3</v>
      </c>
      <c r="B85" s="1717" t="s">
        <v>285</v>
      </c>
      <c r="C85" s="264"/>
      <c r="D85" s="265"/>
      <c r="E85" s="262"/>
      <c r="F85" s="262"/>
      <c r="G85" s="262"/>
      <c r="H85" s="262"/>
      <c r="J85" s="266"/>
      <c r="K85" s="267"/>
      <c r="L85" s="267"/>
      <c r="M85" s="268"/>
      <c r="O85" s="262"/>
      <c r="P85" s="262"/>
      <c r="Q85" s="262"/>
      <c r="R85" s="262"/>
      <c r="S85" s="262"/>
      <c r="T85" s="262"/>
      <c r="U85" s="262"/>
      <c r="V85" s="262"/>
      <c r="W85" s="262"/>
      <c r="X85" s="262"/>
      <c r="Y85" s="262"/>
      <c r="Z85" s="262"/>
      <c r="AA85" s="262"/>
      <c r="AB85" s="262"/>
      <c r="AC85" s="262"/>
      <c r="AD85" s="262"/>
      <c r="AE85" s="262"/>
      <c r="AF85" s="262"/>
      <c r="AG85" s="262"/>
      <c r="AH85" s="262"/>
      <c r="AI85" s="262"/>
      <c r="AJ85" s="262"/>
      <c r="AK85" s="262"/>
      <c r="AL85" s="262"/>
      <c r="AM85" s="262"/>
      <c r="AN85" s="262"/>
      <c r="AO85" s="262"/>
      <c r="AP85" s="262"/>
      <c r="AQ85" s="262"/>
      <c r="AR85" s="262"/>
      <c r="AS85" s="262"/>
      <c r="AT85" s="262"/>
      <c r="AU85" s="262"/>
      <c r="AV85" s="262"/>
      <c r="AW85" s="262"/>
      <c r="AX85" s="262"/>
      <c r="AY85" s="262"/>
      <c r="AZ85" s="262"/>
      <c r="BA85" s="262"/>
      <c r="BB85" s="262"/>
      <c r="BC85" s="262"/>
      <c r="BD85" s="262"/>
      <c r="BE85" s="262"/>
      <c r="BF85" s="262"/>
      <c r="BG85" s="262"/>
      <c r="BH85" s="262"/>
      <c r="BI85" s="262"/>
      <c r="BJ85" s="262"/>
      <c r="BK85" s="262"/>
      <c r="BL85" s="262"/>
      <c r="BM85" s="262"/>
      <c r="BN85" s="262"/>
      <c r="BO85" s="262"/>
      <c r="BP85" s="262"/>
      <c r="BQ85" s="262"/>
      <c r="BR85" s="262"/>
      <c r="BS85" s="262"/>
      <c r="BT85" s="262"/>
      <c r="BU85" s="262"/>
      <c r="BV85" s="262"/>
      <c r="BW85" s="262"/>
      <c r="BX85" s="262"/>
      <c r="BY85" s="262"/>
      <c r="BZ85" s="262"/>
      <c r="CA85" s="262"/>
      <c r="CB85" s="262"/>
      <c r="CC85" s="262"/>
      <c r="CD85" s="262"/>
      <c r="CE85" s="262"/>
      <c r="CF85" s="262"/>
      <c r="CG85" s="262"/>
      <c r="CH85" s="262"/>
      <c r="CI85" s="262"/>
      <c r="CJ85" s="262"/>
      <c r="CK85" s="262"/>
      <c r="CL85" s="262"/>
      <c r="CM85" s="262"/>
      <c r="CN85" s="262"/>
      <c r="CO85" s="262"/>
      <c r="CP85" s="262"/>
      <c r="CQ85" s="262"/>
      <c r="CR85" s="262"/>
      <c r="CS85" s="262"/>
      <c r="CT85" s="262"/>
      <c r="CU85" s="262"/>
      <c r="CV85" s="262"/>
      <c r="CW85" s="262"/>
      <c r="CX85" s="262"/>
      <c r="CY85" s="262"/>
      <c r="CZ85" s="262"/>
      <c r="DA85" s="262"/>
      <c r="DB85" s="262"/>
      <c r="DC85" s="262"/>
      <c r="DD85" s="262"/>
      <c r="DE85" s="262"/>
      <c r="DF85" s="262"/>
      <c r="DG85" s="262"/>
      <c r="DH85" s="262"/>
      <c r="DI85" s="262"/>
      <c r="DJ85" s="262"/>
      <c r="DK85" s="262"/>
      <c r="DL85" s="262"/>
      <c r="DM85" s="262"/>
      <c r="DN85" s="262"/>
      <c r="DO85" s="262"/>
      <c r="DP85" s="262"/>
      <c r="DQ85" s="262"/>
      <c r="DR85" s="262"/>
      <c r="DS85" s="262"/>
      <c r="DT85" s="262"/>
      <c r="DU85" s="262"/>
      <c r="DV85" s="262"/>
      <c r="DW85" s="262"/>
      <c r="DX85" s="262"/>
      <c r="DY85" s="262"/>
      <c r="DZ85" s="262"/>
      <c r="EA85" s="262"/>
      <c r="EB85" s="262"/>
      <c r="EC85" s="262"/>
      <c r="ED85" s="262"/>
      <c r="EE85" s="262"/>
      <c r="EF85" s="262"/>
      <c r="EG85" s="262"/>
      <c r="EH85" s="262"/>
      <c r="EI85" s="262"/>
      <c r="EJ85" s="262"/>
      <c r="EK85" s="262"/>
      <c r="EL85" s="262"/>
      <c r="EM85" s="262"/>
      <c r="EN85" s="262"/>
      <c r="EO85" s="262"/>
      <c r="EP85" s="262"/>
      <c r="EQ85" s="262"/>
      <c r="ER85" s="262"/>
      <c r="ES85" s="262"/>
      <c r="ET85" s="262"/>
      <c r="EU85" s="262"/>
      <c r="EV85" s="262"/>
      <c r="EW85" s="262"/>
      <c r="EX85" s="262"/>
      <c r="EY85" s="262"/>
      <c r="EZ85" s="262"/>
      <c r="FA85" s="262"/>
      <c r="FB85" s="262"/>
      <c r="FC85" s="262"/>
      <c r="FD85" s="262"/>
      <c r="FE85" s="262"/>
      <c r="FF85" s="262"/>
      <c r="FG85" s="262"/>
      <c r="FH85" s="262"/>
      <c r="FI85" s="262"/>
      <c r="FJ85" s="262"/>
      <c r="FK85" s="262"/>
      <c r="FL85" s="262"/>
      <c r="FM85" s="262"/>
      <c r="FN85" s="262"/>
      <c r="FO85" s="262"/>
      <c r="FP85" s="262"/>
      <c r="FQ85" s="262"/>
      <c r="FR85" s="262"/>
      <c r="FS85" s="262"/>
    </row>
    <row r="86" spans="1:175" ht="14.1" customHeight="1">
      <c r="B86" s="269" t="s">
        <v>1323</v>
      </c>
      <c r="C86" s="260"/>
      <c r="D86" s="261"/>
      <c r="E86" s="262"/>
      <c r="F86" s="262"/>
      <c r="G86" s="262"/>
      <c r="H86" s="262"/>
      <c r="I86" s="271"/>
      <c r="K86" s="270"/>
      <c r="L86" s="270"/>
      <c r="M86" s="270"/>
      <c r="O86" s="262"/>
      <c r="P86" s="262"/>
      <c r="Q86" s="262"/>
      <c r="R86" s="262"/>
      <c r="S86" s="262"/>
      <c r="T86" s="262"/>
      <c r="U86" s="262"/>
      <c r="V86" s="262"/>
      <c r="W86" s="262"/>
      <c r="X86" s="262"/>
      <c r="Y86" s="262"/>
      <c r="Z86" s="262"/>
      <c r="AA86" s="262"/>
      <c r="AB86" s="262"/>
      <c r="AC86" s="262"/>
      <c r="AD86" s="262"/>
      <c r="AE86" s="262"/>
      <c r="AF86" s="262"/>
      <c r="AG86" s="262"/>
      <c r="AH86" s="262"/>
      <c r="AI86" s="262"/>
      <c r="AJ86" s="262"/>
      <c r="AK86" s="262"/>
      <c r="AL86" s="262"/>
      <c r="AM86" s="262"/>
      <c r="AN86" s="262"/>
      <c r="AO86" s="262"/>
      <c r="AP86" s="262"/>
      <c r="AQ86" s="262"/>
      <c r="AR86" s="262"/>
      <c r="AS86" s="262"/>
      <c r="AT86" s="262"/>
      <c r="AU86" s="262"/>
      <c r="AV86" s="262"/>
      <c r="AW86" s="262"/>
      <c r="AX86" s="262"/>
      <c r="AY86" s="262"/>
      <c r="AZ86" s="262"/>
      <c r="BA86" s="262"/>
      <c r="BB86" s="262"/>
      <c r="BC86" s="262"/>
      <c r="BD86" s="262"/>
      <c r="BE86" s="262"/>
      <c r="BF86" s="262"/>
      <c r="BG86" s="262"/>
      <c r="BH86" s="262"/>
      <c r="BI86" s="262"/>
      <c r="BJ86" s="262"/>
      <c r="BK86" s="262"/>
      <c r="BL86" s="262"/>
      <c r="BM86" s="262"/>
      <c r="BN86" s="262"/>
      <c r="BO86" s="262"/>
      <c r="BP86" s="262"/>
      <c r="BQ86" s="262"/>
      <c r="BR86" s="262"/>
      <c r="BS86" s="262"/>
      <c r="BT86" s="262"/>
      <c r="BU86" s="262"/>
      <c r="BV86" s="262"/>
      <c r="BW86" s="262"/>
      <c r="BX86" s="262"/>
      <c r="BY86" s="262"/>
      <c r="BZ86" s="262"/>
      <c r="CA86" s="262"/>
      <c r="CB86" s="262"/>
      <c r="CC86" s="262"/>
      <c r="CD86" s="262"/>
      <c r="CE86" s="262"/>
      <c r="CF86" s="262"/>
      <c r="CG86" s="262"/>
      <c r="CH86" s="262"/>
      <c r="CI86" s="262"/>
      <c r="CJ86" s="262"/>
      <c r="CK86" s="262"/>
      <c r="CL86" s="262"/>
      <c r="CM86" s="262"/>
      <c r="CN86" s="262"/>
      <c r="CO86" s="262"/>
      <c r="CP86" s="262"/>
      <c r="CQ86" s="262"/>
      <c r="CR86" s="262"/>
      <c r="CS86" s="262"/>
      <c r="CT86" s="262"/>
      <c r="CU86" s="262"/>
      <c r="CV86" s="262"/>
      <c r="CW86" s="262"/>
      <c r="CX86" s="262"/>
      <c r="CY86" s="262"/>
      <c r="CZ86" s="262"/>
      <c r="DA86" s="262"/>
      <c r="DB86" s="262"/>
      <c r="DC86" s="262"/>
      <c r="DD86" s="262"/>
      <c r="DE86" s="262"/>
      <c r="DF86" s="262"/>
      <c r="DG86" s="262"/>
      <c r="DH86" s="262"/>
      <c r="DI86" s="262"/>
      <c r="DJ86" s="262"/>
      <c r="DK86" s="262"/>
      <c r="DL86" s="262"/>
      <c r="DM86" s="262"/>
      <c r="DN86" s="262"/>
      <c r="DO86" s="262"/>
      <c r="DP86" s="262"/>
      <c r="DQ86" s="262"/>
      <c r="DR86" s="262"/>
      <c r="DS86" s="262"/>
      <c r="DT86" s="262"/>
      <c r="DU86" s="262"/>
      <c r="DV86" s="262"/>
      <c r="DW86" s="262"/>
      <c r="DX86" s="262"/>
      <c r="DY86" s="262"/>
      <c r="DZ86" s="262"/>
      <c r="EA86" s="262"/>
      <c r="EB86" s="262"/>
      <c r="EC86" s="262"/>
      <c r="ED86" s="262"/>
      <c r="EE86" s="262"/>
      <c r="EF86" s="262"/>
      <c r="EG86" s="262"/>
      <c r="EH86" s="262"/>
      <c r="EI86" s="262"/>
      <c r="EJ86" s="262"/>
      <c r="EK86" s="262"/>
      <c r="EL86" s="262"/>
      <c r="EM86" s="262"/>
      <c r="EN86" s="262"/>
      <c r="EO86" s="262"/>
      <c r="EP86" s="262"/>
      <c r="EQ86" s="262"/>
      <c r="ER86" s="262"/>
      <c r="ES86" s="262"/>
      <c r="ET86" s="262"/>
      <c r="EU86" s="262"/>
      <c r="EV86" s="262"/>
      <c r="EW86" s="262"/>
      <c r="EX86" s="262"/>
      <c r="EY86" s="262"/>
      <c r="EZ86" s="262"/>
      <c r="FA86" s="262"/>
      <c r="FB86" s="262"/>
      <c r="FC86" s="262"/>
      <c r="FD86" s="262"/>
      <c r="FE86" s="262"/>
      <c r="FF86" s="262"/>
      <c r="FG86" s="262"/>
      <c r="FH86" s="262"/>
      <c r="FI86" s="262"/>
      <c r="FJ86" s="262"/>
      <c r="FK86" s="262"/>
      <c r="FL86" s="262"/>
      <c r="FM86" s="262"/>
      <c r="FN86" s="262"/>
      <c r="FO86" s="262"/>
      <c r="FP86" s="262"/>
      <c r="FQ86" s="262"/>
      <c r="FR86" s="262"/>
      <c r="FS86" s="262"/>
    </row>
    <row r="87" spans="1:175" ht="13.5" customHeight="1">
      <c r="B87" s="732"/>
      <c r="C87" s="732"/>
      <c r="D87" s="730"/>
      <c r="E87" s="731"/>
      <c r="F87" s="731"/>
      <c r="G87" s="731"/>
      <c r="H87" s="732"/>
      <c r="I87" s="730"/>
      <c r="J87" s="730"/>
      <c r="K87" s="730"/>
      <c r="L87" s="730"/>
      <c r="M87" s="731"/>
    </row>
    <row r="88" spans="1:175" s="1" customFormat="1">
      <c r="A88" s="23" t="s">
        <v>4</v>
      </c>
      <c r="B88" s="25" t="s">
        <v>1136</v>
      </c>
    </row>
    <row r="89" spans="1:175" s="1" customFormat="1">
      <c r="B89" s="24" t="s">
        <v>1137</v>
      </c>
    </row>
    <row r="90" spans="1:175" ht="16.5" customHeight="1">
      <c r="B90" s="733"/>
      <c r="C90" s="733"/>
      <c r="D90" s="713"/>
      <c r="E90" s="734"/>
      <c r="F90" s="735"/>
      <c r="G90" s="736"/>
      <c r="H90" s="735"/>
      <c r="I90" s="736"/>
      <c r="J90" s="735"/>
      <c r="K90" s="735"/>
      <c r="L90" s="735"/>
    </row>
    <row r="91" spans="1:175" ht="16.5" customHeight="1">
      <c r="B91" s="733"/>
      <c r="C91" s="733"/>
      <c r="D91" s="713"/>
      <c r="E91" s="734"/>
      <c r="F91" s="735"/>
      <c r="G91" s="736"/>
      <c r="H91" s="735"/>
      <c r="I91" s="736"/>
      <c r="J91" s="735"/>
      <c r="K91" s="735"/>
      <c r="L91" s="735"/>
    </row>
    <row r="92" spans="1:175" ht="16.5" customHeight="1">
      <c r="B92" s="737"/>
      <c r="C92" s="737"/>
      <c r="D92" s="738"/>
    </row>
    <row r="93" spans="1:175" ht="15.75" customHeight="1">
      <c r="B93" s="737"/>
      <c r="C93" s="737"/>
      <c r="D93" s="738"/>
    </row>
    <row r="94" spans="1:175" ht="15.75" customHeight="1">
      <c r="B94" s="712"/>
      <c r="C94" s="712"/>
      <c r="D94" s="713"/>
    </row>
    <row r="95" spans="1:175" ht="15.75" customHeight="1">
      <c r="D95" s="738"/>
      <c r="F95" s="739"/>
      <c r="G95" s="739"/>
      <c r="H95" s="739"/>
      <c r="I95" s="739"/>
      <c r="J95" s="739"/>
      <c r="K95" s="739"/>
      <c r="L95" s="739"/>
    </row>
    <row r="96" spans="1:175" ht="23.25" customHeight="1"/>
    <row r="97" ht="23.25" customHeight="1"/>
  </sheetData>
  <printOptions horizontalCentered="1"/>
  <pageMargins left="0.55118110236220474" right="0.55118110236220474" top="0.55118110236220474" bottom="0.55118110236220474" header="0.39370078740157483" footer="0.39370078740157483"/>
  <pageSetup paperSize="9" scale="72"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54">
    <tabColor theme="4" tint="0.39997558519241921"/>
    <pageSetUpPr fitToPage="1"/>
  </sheetPr>
  <dimension ref="A1:O29"/>
  <sheetViews>
    <sheetView view="pageBreakPreview" zoomScaleNormal="100" zoomScaleSheetLayoutView="100" workbookViewId="0">
      <selection activeCell="S7" sqref="S7"/>
    </sheetView>
  </sheetViews>
  <sheetFormatPr defaultColWidth="9.140625" defaultRowHeight="15"/>
  <cols>
    <col min="1" max="1" width="1.7109375" customWidth="1"/>
    <col min="2" max="2" width="12.28515625" customWidth="1"/>
    <col min="3" max="3" width="15.7109375" customWidth="1"/>
    <col min="4" max="4" width="3.5703125" customWidth="1"/>
    <col min="5" max="5" width="9.140625" customWidth="1"/>
    <col min="8" max="8" width="4.7109375" customWidth="1"/>
    <col min="12" max="12" width="4.28515625" customWidth="1"/>
  </cols>
  <sheetData>
    <row r="1" spans="1:15" s="58" customFormat="1" ht="16.5" customHeight="1">
      <c r="B1" s="57" t="s">
        <v>1043</v>
      </c>
      <c r="C1" s="1641" t="s">
        <v>1422</v>
      </c>
      <c r="D1" s="1641"/>
      <c r="E1" s="150"/>
      <c r="F1" s="150"/>
      <c r="G1" s="150"/>
      <c r="H1" s="150"/>
      <c r="I1" s="150"/>
      <c r="M1" s="59"/>
    </row>
    <row r="2" spans="1:15" s="611" customFormat="1" ht="16.5">
      <c r="B2" s="612" t="s">
        <v>1044</v>
      </c>
      <c r="C2" s="1642" t="s">
        <v>1423</v>
      </c>
      <c r="D2" s="1642"/>
      <c r="E2" s="613"/>
      <c r="F2" s="608"/>
      <c r="G2" s="609"/>
      <c r="H2" s="609"/>
      <c r="I2" s="531"/>
      <c r="J2" s="613"/>
      <c r="K2" s="614"/>
      <c r="L2" s="612"/>
      <c r="M2" s="614"/>
      <c r="N2" s="615"/>
    </row>
    <row r="3" spans="1:15" s="225" customFormat="1" thickBot="1">
      <c r="A3" s="1643"/>
      <c r="B3" s="2793"/>
      <c r="C3" s="2793"/>
      <c r="D3" s="1644"/>
      <c r="E3" s="740"/>
      <c r="F3" s="740"/>
      <c r="G3" s="740"/>
      <c r="H3" s="740"/>
      <c r="I3" s="223"/>
      <c r="J3" s="223"/>
      <c r="K3" s="740"/>
      <c r="L3" s="740"/>
      <c r="M3" s="223"/>
      <c r="N3" s="223"/>
      <c r="O3" s="740"/>
    </row>
    <row r="4" spans="1:15" s="224" customFormat="1" ht="31.5" customHeight="1" thickBot="1">
      <c r="B4" s="2794" t="s">
        <v>1099</v>
      </c>
      <c r="C4" s="2794"/>
      <c r="D4" s="1632"/>
      <c r="E4" s="2800">
        <v>2023</v>
      </c>
      <c r="F4" s="2801"/>
      <c r="G4" s="2801"/>
      <c r="H4" s="741"/>
      <c r="I4" s="2800">
        <v>2024</v>
      </c>
      <c r="J4" s="2801"/>
      <c r="K4" s="2801"/>
      <c r="L4" s="741"/>
      <c r="M4" s="2800">
        <v>2025</v>
      </c>
      <c r="N4" s="2801"/>
      <c r="O4" s="2801"/>
    </row>
    <row r="5" spans="1:15" s="224" customFormat="1" ht="15.2" customHeight="1">
      <c r="B5" s="2795"/>
      <c r="C5" s="2795"/>
      <c r="D5" s="229"/>
      <c r="E5" s="2797" t="s">
        <v>240</v>
      </c>
      <c r="F5" s="2797" t="s">
        <v>250</v>
      </c>
      <c r="G5" s="2797" t="s">
        <v>251</v>
      </c>
      <c r="H5" s="741"/>
      <c r="I5" s="2797" t="s">
        <v>240</v>
      </c>
      <c r="J5" s="2797" t="s">
        <v>250</v>
      </c>
      <c r="K5" s="2797" t="s">
        <v>251</v>
      </c>
      <c r="L5" s="741"/>
      <c r="M5" s="2797" t="s">
        <v>240</v>
      </c>
      <c r="N5" s="2797" t="s">
        <v>250</v>
      </c>
      <c r="O5" s="2797" t="s">
        <v>251</v>
      </c>
    </row>
    <row r="6" spans="1:15" s="224" customFormat="1" ht="15.2" customHeight="1">
      <c r="B6" s="2795"/>
      <c r="C6" s="2795"/>
      <c r="D6" s="229"/>
      <c r="E6" s="2798"/>
      <c r="F6" s="2798"/>
      <c r="G6" s="2798"/>
      <c r="H6" s="226"/>
      <c r="I6" s="2798"/>
      <c r="J6" s="2798"/>
      <c r="K6" s="2798"/>
      <c r="L6" s="226"/>
      <c r="M6" s="2798"/>
      <c r="N6" s="2798"/>
      <c r="O6" s="2798"/>
    </row>
    <row r="7" spans="1:15" s="224" customFormat="1" ht="29.25" customHeight="1" thickBot="1">
      <c r="A7" s="234"/>
      <c r="B7" s="2796"/>
      <c r="C7" s="2796"/>
      <c r="D7" s="1633"/>
      <c r="E7" s="2799"/>
      <c r="F7" s="2799"/>
      <c r="G7" s="2799"/>
      <c r="H7" s="742"/>
      <c r="I7" s="2799"/>
      <c r="J7" s="2799"/>
      <c r="K7" s="2799"/>
      <c r="L7" s="742"/>
      <c r="M7" s="2799"/>
      <c r="N7" s="2799"/>
      <c r="O7" s="2799"/>
    </row>
    <row r="8" spans="1:15" s="224" customFormat="1" ht="13.5">
      <c r="B8" s="227"/>
      <c r="C8" s="227"/>
      <c r="D8" s="227"/>
      <c r="E8" s="228"/>
      <c r="F8" s="228"/>
      <c r="G8" s="228"/>
      <c r="H8" s="228"/>
      <c r="L8" s="228"/>
    </row>
    <row r="9" spans="1:15" s="224" customFormat="1" ht="15.2" customHeight="1" thickBot="1">
      <c r="B9" s="2792" t="s">
        <v>560</v>
      </c>
      <c r="C9" s="2792"/>
      <c r="D9" s="231"/>
      <c r="E9" s="1603">
        <v>98.2</v>
      </c>
      <c r="F9" s="1603">
        <v>98.768876469721491</v>
      </c>
      <c r="G9" s="1603">
        <v>96.183160328189516</v>
      </c>
      <c r="H9" s="1604"/>
      <c r="I9" s="1603">
        <v>98.565300438638445</v>
      </c>
      <c r="J9" s="1603">
        <v>98.986187697453147</v>
      </c>
      <c r="K9" s="1603">
        <v>96.788124916419747</v>
      </c>
      <c r="L9" s="1604"/>
      <c r="M9" s="1603">
        <v>99.6</v>
      </c>
      <c r="N9" s="1603">
        <v>99.6</v>
      </c>
      <c r="O9" s="1603">
        <v>99.2</v>
      </c>
    </row>
    <row r="10" spans="1:15" s="224" customFormat="1" ht="15.2" customHeight="1" thickTop="1" thickBot="1">
      <c r="B10" s="2791" t="s">
        <v>561</v>
      </c>
      <c r="C10" s="2791"/>
      <c r="D10" s="743"/>
      <c r="E10" s="1603"/>
      <c r="F10" s="1603"/>
      <c r="G10" s="1603"/>
      <c r="H10" s="1604"/>
      <c r="I10" s="1603"/>
      <c r="J10" s="1603"/>
      <c r="K10" s="1603"/>
      <c r="L10" s="1604"/>
      <c r="M10" s="1603"/>
      <c r="N10" s="1603"/>
      <c r="O10" s="1603"/>
    </row>
    <row r="11" spans="1:15" s="224" customFormat="1" ht="15.2" customHeight="1" thickTop="1" thickBot="1">
      <c r="B11" s="229"/>
      <c r="C11" s="229"/>
      <c r="D11" s="229"/>
      <c r="E11" s="1603"/>
      <c r="F11" s="1603"/>
      <c r="G11" s="1603"/>
      <c r="H11" s="1604"/>
      <c r="I11" s="1603"/>
      <c r="J11" s="1603"/>
      <c r="K11" s="1603"/>
      <c r="L11" s="1604"/>
      <c r="M11" s="1603"/>
      <c r="N11" s="1603"/>
      <c r="O11" s="1603"/>
    </row>
    <row r="12" spans="1:15" s="224" customFormat="1" ht="15.2" customHeight="1" thickTop="1" thickBot="1">
      <c r="B12" s="231" t="s">
        <v>252</v>
      </c>
      <c r="C12" s="231"/>
      <c r="D12" s="231"/>
      <c r="E12" s="1603">
        <v>90.087204506204714</v>
      </c>
      <c r="F12" s="1603">
        <v>92.234331639019402</v>
      </c>
      <c r="G12" s="1603">
        <v>81.472463899719443</v>
      </c>
      <c r="H12" s="1604"/>
      <c r="I12" s="1603">
        <v>91.706177877771424</v>
      </c>
      <c r="J12" s="1603">
        <v>93.549477900249229</v>
      </c>
      <c r="K12" s="1603">
        <v>83.922907166243618</v>
      </c>
      <c r="L12" s="1604"/>
      <c r="M12" s="1603">
        <v>95.5</v>
      </c>
      <c r="N12" s="1603">
        <v>96.9</v>
      </c>
      <c r="O12" s="1603">
        <v>89.2</v>
      </c>
    </row>
    <row r="13" spans="1:15" s="224" customFormat="1" ht="15.2" customHeight="1" thickTop="1" thickBot="1">
      <c r="B13" s="231"/>
      <c r="C13" s="231"/>
      <c r="D13" s="231"/>
      <c r="E13" s="1603"/>
      <c r="F13" s="1603"/>
      <c r="G13" s="1603"/>
      <c r="H13" s="1604"/>
      <c r="I13" s="1603"/>
      <c r="J13" s="1603"/>
      <c r="K13" s="1603"/>
      <c r="L13" s="1604"/>
      <c r="M13" s="1603"/>
      <c r="N13" s="1603"/>
      <c r="O13" s="1603"/>
    </row>
    <row r="14" spans="1:15" s="224" customFormat="1" ht="15.2" customHeight="1" thickTop="1" thickBot="1">
      <c r="B14" s="231" t="s">
        <v>562</v>
      </c>
      <c r="C14" s="231"/>
      <c r="D14" s="231"/>
      <c r="E14" s="1603">
        <v>71.291095942553724</v>
      </c>
      <c r="F14" s="1603">
        <v>76.565665414083099</v>
      </c>
      <c r="G14" s="1603">
        <v>50.132117031815667</v>
      </c>
      <c r="H14" s="1604"/>
      <c r="I14" s="1603">
        <v>77.550706933704006</v>
      </c>
      <c r="J14" s="1603">
        <v>82.776652920877623</v>
      </c>
      <c r="K14" s="1603">
        <v>55.484330420527897</v>
      </c>
      <c r="L14" s="1604"/>
      <c r="M14" s="1603">
        <v>88.3</v>
      </c>
      <c r="N14" s="1603">
        <v>91</v>
      </c>
      <c r="O14" s="1603">
        <v>76.3</v>
      </c>
    </row>
    <row r="15" spans="1:15" s="224" customFormat="1" ht="15.2" customHeight="1" thickTop="1" thickBot="1">
      <c r="B15" s="743" t="s">
        <v>563</v>
      </c>
      <c r="C15" s="743"/>
      <c r="D15" s="743"/>
      <c r="E15" s="1603"/>
      <c r="F15" s="1603"/>
      <c r="G15" s="1603"/>
      <c r="H15" s="1604"/>
      <c r="I15" s="1603"/>
      <c r="J15" s="1603"/>
      <c r="K15" s="1603"/>
      <c r="L15" s="1604"/>
      <c r="M15" s="1603"/>
      <c r="N15" s="1603"/>
      <c r="O15" s="1603"/>
    </row>
    <row r="16" spans="1:15" s="224" customFormat="1" ht="15.2" customHeight="1" thickTop="1" thickBot="1">
      <c r="B16" s="229"/>
      <c r="C16" s="229"/>
      <c r="D16" s="229"/>
      <c r="E16" s="1603"/>
      <c r="F16" s="1603"/>
      <c r="G16" s="1603"/>
      <c r="H16" s="1604"/>
      <c r="I16" s="1603"/>
      <c r="J16" s="1603"/>
      <c r="K16" s="1603"/>
      <c r="L16" s="1604"/>
      <c r="M16" s="1603"/>
      <c r="N16" s="1603"/>
      <c r="O16" s="1603"/>
    </row>
    <row r="17" spans="1:15" s="224" customFormat="1" ht="15.2" customHeight="1" thickTop="1" thickBot="1">
      <c r="B17" s="2792" t="s">
        <v>564</v>
      </c>
      <c r="C17" s="2792"/>
      <c r="D17" s="231"/>
      <c r="E17" s="1603">
        <v>75.795368744956477</v>
      </c>
      <c r="F17" s="1603">
        <v>78.956365685112289</v>
      </c>
      <c r="G17" s="1603">
        <v>62.9843024711327</v>
      </c>
      <c r="H17" s="1604"/>
      <c r="I17" s="1603">
        <v>78.948084896631215</v>
      </c>
      <c r="J17" s="1603">
        <v>81.897013747385188</v>
      </c>
      <c r="K17" s="1603">
        <v>66.496341024103742</v>
      </c>
      <c r="L17" s="1604"/>
      <c r="M17" s="1603">
        <v>83.2</v>
      </c>
      <c r="N17" s="1603">
        <v>85.8</v>
      </c>
      <c r="O17" s="1603">
        <v>71.900000000000006</v>
      </c>
    </row>
    <row r="18" spans="1:15" s="224" customFormat="1" ht="15.2" customHeight="1" thickTop="1" thickBot="1">
      <c r="B18" s="2791" t="s">
        <v>565</v>
      </c>
      <c r="C18" s="2791"/>
      <c r="D18" s="743"/>
      <c r="E18" s="1603"/>
      <c r="F18" s="1603"/>
      <c r="G18" s="1603"/>
      <c r="H18" s="1604"/>
      <c r="I18" s="1603"/>
      <c r="J18" s="1603"/>
      <c r="K18" s="1603"/>
      <c r="L18" s="1604"/>
      <c r="M18" s="1603"/>
      <c r="N18" s="1603"/>
      <c r="O18" s="1603"/>
    </row>
    <row r="19" spans="1:15" s="224" customFormat="1" ht="15.2" customHeight="1" thickTop="1" thickBot="1">
      <c r="B19" s="229"/>
      <c r="C19" s="229"/>
      <c r="D19" s="229"/>
      <c r="E19" s="1603"/>
      <c r="F19" s="1603"/>
      <c r="G19" s="1603"/>
      <c r="H19" s="1604"/>
      <c r="I19" s="1603"/>
      <c r="J19" s="1603"/>
      <c r="K19" s="1603"/>
      <c r="L19" s="1604"/>
      <c r="M19" s="1603"/>
      <c r="N19" s="1603"/>
      <c r="O19" s="1603"/>
    </row>
    <row r="20" spans="1:15" s="224" customFormat="1" ht="15.2" customHeight="1" thickTop="1" thickBot="1">
      <c r="B20" s="231" t="s">
        <v>566</v>
      </c>
      <c r="C20" s="231"/>
      <c r="D20" s="231"/>
      <c r="E20" s="1603">
        <v>97.618415295377105</v>
      </c>
      <c r="F20" s="1603">
        <v>98.168310076438658</v>
      </c>
      <c r="G20" s="1603">
        <v>95.389770783161211</v>
      </c>
      <c r="H20" s="1604"/>
      <c r="I20" s="1603">
        <v>98.497987522563932</v>
      </c>
      <c r="J20" s="1603">
        <v>99.018212983378902</v>
      </c>
      <c r="K20" s="1603">
        <v>96.301333472364007</v>
      </c>
      <c r="L20" s="1604"/>
      <c r="M20" s="1603">
        <v>99</v>
      </c>
      <c r="N20" s="1603">
        <v>99.2</v>
      </c>
      <c r="O20" s="1603">
        <v>98</v>
      </c>
    </row>
    <row r="21" spans="1:15" s="224" customFormat="1" ht="15.2" customHeight="1" thickTop="1" thickBot="1">
      <c r="B21" s="743" t="s">
        <v>567</v>
      </c>
      <c r="C21" s="743"/>
      <c r="D21" s="743"/>
      <c r="E21" s="1603"/>
      <c r="F21" s="1603"/>
      <c r="G21" s="1603"/>
      <c r="H21" s="1604"/>
      <c r="I21" s="1603"/>
      <c r="J21" s="1603"/>
      <c r="K21" s="1603"/>
      <c r="L21" s="1604"/>
      <c r="M21" s="1603"/>
      <c r="N21" s="1603"/>
      <c r="O21" s="1603"/>
    </row>
    <row r="22" spans="1:15" s="224" customFormat="1" ht="15.2" customHeight="1" thickTop="1" thickBot="1">
      <c r="B22" s="229"/>
      <c r="C22" s="229"/>
      <c r="D22" s="229"/>
      <c r="E22" s="1603"/>
      <c r="F22" s="1603"/>
      <c r="G22" s="1603"/>
      <c r="H22" s="1604"/>
      <c r="I22" s="1603"/>
      <c r="J22" s="1603"/>
      <c r="K22" s="1603"/>
      <c r="L22" s="1604"/>
      <c r="M22" s="1603"/>
      <c r="N22" s="1603"/>
      <c r="O22" s="1603"/>
    </row>
    <row r="23" spans="1:15" s="224" customFormat="1" ht="15.2" customHeight="1" thickTop="1" thickBot="1">
      <c r="B23" s="231" t="s">
        <v>253</v>
      </c>
      <c r="C23" s="231"/>
      <c r="D23" s="231"/>
      <c r="E23" s="1603">
        <v>97.152660239762156</v>
      </c>
      <c r="F23" s="1603">
        <v>98.022347344002611</v>
      </c>
      <c r="G23" s="1603">
        <v>93.627943404900137</v>
      </c>
      <c r="H23" s="1604"/>
      <c r="I23" s="1603">
        <v>98.542755800414056</v>
      </c>
      <c r="J23" s="1603">
        <v>98.910037101083333</v>
      </c>
      <c r="K23" s="1603">
        <v>96.991923187420056</v>
      </c>
      <c r="L23" s="1604"/>
      <c r="M23" s="1603">
        <v>98.9</v>
      </c>
      <c r="N23" s="1603">
        <v>99.2</v>
      </c>
      <c r="O23" s="1603">
        <v>97.6</v>
      </c>
    </row>
    <row r="24" spans="1:15" s="224" customFormat="1" ht="15.2" customHeight="1" thickTop="1" thickBot="1">
      <c r="B24" s="231"/>
      <c r="C24" s="231"/>
      <c r="D24" s="231"/>
      <c r="E24" s="1603"/>
      <c r="F24" s="1603"/>
      <c r="G24" s="1603"/>
      <c r="H24" s="1604"/>
      <c r="I24" s="1603"/>
      <c r="J24" s="1603"/>
      <c r="K24" s="1603"/>
      <c r="L24" s="1604"/>
      <c r="M24" s="1603"/>
      <c r="N24" s="1603"/>
      <c r="O24" s="1603"/>
    </row>
    <row r="25" spans="1:15" s="224" customFormat="1" ht="15.2" customHeight="1" thickTop="1" thickBot="1">
      <c r="B25" s="2792" t="s">
        <v>568</v>
      </c>
      <c r="C25" s="2792"/>
      <c r="D25" s="231"/>
      <c r="E25" s="1603">
        <v>23.489867553983178</v>
      </c>
      <c r="F25" s="1603">
        <v>26.308930644440792</v>
      </c>
      <c r="G25" s="1603">
        <v>12.064616333426031</v>
      </c>
      <c r="H25" s="1604"/>
      <c r="I25" s="1603">
        <v>22.4</v>
      </c>
      <c r="J25" s="1603">
        <v>25.46503491565381</v>
      </c>
      <c r="K25" s="1603">
        <v>9.2118661256957566</v>
      </c>
      <c r="L25" s="1604"/>
      <c r="M25" s="1603">
        <v>31.3</v>
      </c>
      <c r="N25" s="1603">
        <v>34.9</v>
      </c>
      <c r="O25" s="1603">
        <v>15.7</v>
      </c>
    </row>
    <row r="26" spans="1:15" s="224" customFormat="1" ht="15.2" customHeight="1" thickTop="1">
      <c r="B26" s="2791" t="s">
        <v>569</v>
      </c>
      <c r="C26" s="2791"/>
      <c r="D26" s="743"/>
      <c r="E26" s="230"/>
      <c r="F26" s="230"/>
      <c r="G26" s="230"/>
      <c r="I26" s="230"/>
      <c r="J26" s="230"/>
      <c r="K26" s="230"/>
      <c r="M26" s="230"/>
      <c r="N26" s="230"/>
      <c r="O26" s="230"/>
    </row>
    <row r="27" spans="1:15" s="224" customFormat="1" ht="14.25" thickBot="1">
      <c r="A27" s="234"/>
      <c r="B27" s="232"/>
      <c r="C27" s="232"/>
      <c r="D27" s="232"/>
      <c r="E27" s="233"/>
      <c r="F27" s="233"/>
      <c r="G27" s="233"/>
      <c r="H27" s="234"/>
      <c r="I27" s="233"/>
      <c r="J27" s="233"/>
      <c r="K27" s="233"/>
      <c r="L27" s="234"/>
      <c r="M27" s="233"/>
      <c r="N27" s="233"/>
      <c r="O27" s="233"/>
    </row>
    <row r="28" spans="1:15" s="224" customFormat="1" ht="13.5">
      <c r="K28" s="235"/>
      <c r="O28" s="235" t="s">
        <v>0</v>
      </c>
    </row>
    <row r="29" spans="1:15" s="224" customFormat="1" ht="13.5">
      <c r="K29" s="236"/>
      <c r="O29" s="236" t="s">
        <v>1</v>
      </c>
    </row>
  </sheetData>
  <mergeCells count="20">
    <mergeCell ref="B3:C3"/>
    <mergeCell ref="B4:C7"/>
    <mergeCell ref="M5:M7"/>
    <mergeCell ref="N5:N7"/>
    <mergeCell ref="O5:O7"/>
    <mergeCell ref="E4:G4"/>
    <mergeCell ref="I4:K4"/>
    <mergeCell ref="M4:O4"/>
    <mergeCell ref="E5:E7"/>
    <mergeCell ref="F5:F7"/>
    <mergeCell ref="G5:G7"/>
    <mergeCell ref="I5:I7"/>
    <mergeCell ref="J5:J7"/>
    <mergeCell ref="K5:K7"/>
    <mergeCell ref="B26:C26"/>
    <mergeCell ref="B9:C9"/>
    <mergeCell ref="B10:C10"/>
    <mergeCell ref="B17:C17"/>
    <mergeCell ref="B18:C18"/>
    <mergeCell ref="B25:C25"/>
  </mergeCells>
  <printOptions horizontalCentered="1"/>
  <pageMargins left="0.55118110236220474" right="0.55118110236220474" top="0.55118110236220474" bottom="0.55118110236220474" header="0.31496062992125984" footer="0.31496062992125984"/>
  <pageSetup paperSize="9" scale="73"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55">
    <tabColor theme="4" tint="0.39997558519241921"/>
    <pageSetUpPr fitToPage="1"/>
  </sheetPr>
  <dimension ref="B1:I61"/>
  <sheetViews>
    <sheetView view="pageBreakPreview" zoomScale="90" zoomScaleNormal="100" zoomScaleSheetLayoutView="90" workbookViewId="0">
      <selection activeCell="G56" sqref="G56"/>
    </sheetView>
  </sheetViews>
  <sheetFormatPr defaultRowHeight="15"/>
  <cols>
    <col min="1" max="1" width="2.140625" customWidth="1"/>
    <col min="2" max="2" width="12.85546875" customWidth="1"/>
    <col min="3" max="3" width="15.42578125" customWidth="1"/>
    <col min="4" max="4" width="10.7109375" customWidth="1"/>
    <col min="5" max="5" width="9.7109375" customWidth="1"/>
    <col min="6" max="6" width="11.7109375" customWidth="1"/>
    <col min="7" max="7" width="21.140625" customWidth="1"/>
    <col min="8" max="8" width="15" customWidth="1"/>
    <col min="9" max="9" width="14.28515625" customWidth="1"/>
  </cols>
  <sheetData>
    <row r="1" spans="2:9" s="237" customFormat="1" ht="15.2" customHeight="1">
      <c r="B1" s="1649" t="s">
        <v>1048</v>
      </c>
      <c r="C1" s="1634" t="s">
        <v>1192</v>
      </c>
      <c r="D1" s="1619"/>
      <c r="E1" s="1619"/>
      <c r="F1" s="1619"/>
      <c r="G1" s="1619"/>
      <c r="H1" s="1619"/>
      <c r="I1" s="744"/>
    </row>
    <row r="2" spans="2:9" s="237" customFormat="1" ht="15.2" customHeight="1">
      <c r="B2" s="1650" t="s">
        <v>1049</v>
      </c>
      <c r="C2" s="1635" t="s">
        <v>1193</v>
      </c>
      <c r="D2" s="1648"/>
      <c r="E2" s="1648"/>
      <c r="F2" s="1648"/>
      <c r="G2" s="1648"/>
      <c r="H2" s="1648"/>
      <c r="I2" s="744"/>
    </row>
    <row r="3" spans="2:9" s="222" customFormat="1" ht="15.2" customHeight="1" thickBot="1">
      <c r="B3" s="1712"/>
      <c r="C3" s="1712"/>
      <c r="D3" s="1712"/>
      <c r="E3" s="1713"/>
      <c r="F3" s="1714"/>
      <c r="G3" s="1714"/>
      <c r="H3" s="1714"/>
      <c r="I3" s="1449"/>
    </row>
    <row r="4" spans="2:9" s="222" customFormat="1" ht="22.5" customHeight="1">
      <c r="B4" s="745"/>
      <c r="C4" s="745"/>
      <c r="D4" s="745"/>
      <c r="E4" s="2802" t="s">
        <v>254</v>
      </c>
      <c r="F4" s="2803"/>
      <c r="G4" s="2802" t="s">
        <v>255</v>
      </c>
      <c r="H4" s="2802" t="s">
        <v>256</v>
      </c>
      <c r="I4" s="2802"/>
    </row>
    <row r="5" spans="2:9" s="222" customFormat="1" ht="22.5" customHeight="1" thickBot="1">
      <c r="B5" s="1449"/>
      <c r="C5" s="1449"/>
      <c r="D5" s="1449"/>
      <c r="E5" s="2804"/>
      <c r="F5" s="2804"/>
      <c r="G5" s="2804"/>
      <c r="H5" s="2805"/>
      <c r="I5" s="2805"/>
    </row>
    <row r="6" spans="2:9" s="240" customFormat="1" ht="76.5">
      <c r="B6" s="1456" t="s">
        <v>1003</v>
      </c>
      <c r="C6" s="1456"/>
      <c r="D6" s="1618" t="s">
        <v>239</v>
      </c>
      <c r="E6" s="238" t="s">
        <v>257</v>
      </c>
      <c r="F6" s="238" t="s">
        <v>258</v>
      </c>
      <c r="G6" s="239" t="s">
        <v>259</v>
      </c>
      <c r="H6" s="239" t="s">
        <v>260</v>
      </c>
      <c r="I6" s="238" t="s">
        <v>261</v>
      </c>
    </row>
    <row r="7" spans="2:9" s="222" customFormat="1" ht="22.5" customHeight="1" thickBot="1">
      <c r="B7" s="1457"/>
      <c r="C7" s="1457"/>
      <c r="D7" s="1457"/>
      <c r="E7" s="746" t="s">
        <v>262</v>
      </c>
      <c r="F7" s="746" t="s">
        <v>262</v>
      </c>
      <c r="G7" s="746" t="s">
        <v>262</v>
      </c>
      <c r="H7" s="241" t="s">
        <v>41</v>
      </c>
      <c r="I7" s="241" t="s">
        <v>41</v>
      </c>
    </row>
    <row r="8" spans="2:9" s="222" customFormat="1" ht="13.5">
      <c r="B8" s="747"/>
      <c r="C8" s="747"/>
      <c r="D8" s="747"/>
      <c r="E8" s="748"/>
      <c r="F8" s="748"/>
      <c r="G8" s="749"/>
      <c r="H8" s="750"/>
      <c r="I8" s="750"/>
    </row>
    <row r="9" spans="2:9" s="222" customFormat="1" ht="15.2" customHeight="1">
      <c r="B9" s="751" t="s">
        <v>520</v>
      </c>
      <c r="C9" s="751"/>
      <c r="D9" s="803">
        <v>2022</v>
      </c>
      <c r="E9" s="1611">
        <v>7901</v>
      </c>
      <c r="F9" s="1611">
        <v>5873</v>
      </c>
      <c r="G9" s="1612">
        <v>4534</v>
      </c>
      <c r="H9" s="1613">
        <v>5.6</v>
      </c>
      <c r="I9" s="1613">
        <v>0.40709698</v>
      </c>
    </row>
    <row r="10" spans="2:9" s="222" customFormat="1" ht="15.2" customHeight="1">
      <c r="B10" s="751"/>
      <c r="C10" s="751"/>
      <c r="D10" s="803">
        <v>2024</v>
      </c>
      <c r="E10" s="1611">
        <v>7901</v>
      </c>
      <c r="F10" s="1611">
        <v>5873</v>
      </c>
      <c r="G10" s="1612">
        <v>4534</v>
      </c>
      <c r="H10" s="1613">
        <v>5.6</v>
      </c>
      <c r="I10" s="1613">
        <v>0.40709698</v>
      </c>
    </row>
    <row r="11" spans="2:9" s="222" customFormat="1" ht="15.2" customHeight="1">
      <c r="E11" s="1605"/>
      <c r="F11" s="1605"/>
      <c r="G11" s="1608"/>
      <c r="H11" s="1610"/>
      <c r="I11" s="1610"/>
    </row>
    <row r="12" spans="2:9" s="222" customFormat="1" ht="15.2" customHeight="1">
      <c r="B12" s="752" t="s">
        <v>412</v>
      </c>
      <c r="C12" s="752"/>
      <c r="D12" s="1620">
        <v>2022</v>
      </c>
      <c r="E12" s="1606">
        <v>8013</v>
      </c>
      <c r="F12" s="1606">
        <v>6427</v>
      </c>
      <c r="G12" s="1607">
        <v>4793</v>
      </c>
      <c r="H12" s="1609">
        <v>3.9</v>
      </c>
      <c r="I12" s="1609">
        <v>0.36648001000000002</v>
      </c>
    </row>
    <row r="13" spans="2:9" s="222" customFormat="1" ht="15.2" customHeight="1">
      <c r="B13" s="752"/>
      <c r="C13" s="752"/>
      <c r="D13" s="1620">
        <v>2024</v>
      </c>
      <c r="E13" s="1606">
        <v>8013</v>
      </c>
      <c r="F13" s="1606">
        <v>6427</v>
      </c>
      <c r="G13" s="1607">
        <v>4793</v>
      </c>
      <c r="H13" s="1609">
        <v>3.9</v>
      </c>
      <c r="I13" s="1609">
        <v>0.36648001000000002</v>
      </c>
    </row>
    <row r="14" spans="2:9" s="222" customFormat="1" ht="15.2" customHeight="1">
      <c r="B14" s="752"/>
      <c r="C14" s="752"/>
      <c r="D14" s="1620"/>
      <c r="E14" s="1606"/>
      <c r="F14" s="1606"/>
      <c r="G14" s="1607"/>
      <c r="H14" s="1609"/>
      <c r="I14" s="1609"/>
    </row>
    <row r="15" spans="2:9" s="222" customFormat="1" ht="15.2" customHeight="1">
      <c r="B15" s="752" t="s">
        <v>413</v>
      </c>
      <c r="C15" s="752"/>
      <c r="D15" s="1620">
        <v>2022</v>
      </c>
      <c r="E15" s="1606">
        <v>8013</v>
      </c>
      <c r="F15" s="1606">
        <v>6427</v>
      </c>
      <c r="G15" s="1607">
        <v>4793</v>
      </c>
      <c r="H15" s="1609">
        <v>3.9</v>
      </c>
      <c r="I15" s="1609">
        <v>0.36648001000000002</v>
      </c>
    </row>
    <row r="16" spans="2:9" s="222" customFormat="1" ht="15.2" customHeight="1">
      <c r="B16" s="752"/>
      <c r="C16" s="752"/>
      <c r="D16" s="1620">
        <v>2024</v>
      </c>
      <c r="E16" s="1606">
        <v>8013</v>
      </c>
      <c r="F16" s="1606">
        <v>6427</v>
      </c>
      <c r="G16" s="1607">
        <v>4793</v>
      </c>
      <c r="H16" s="1609">
        <v>3.9</v>
      </c>
      <c r="I16" s="1609">
        <v>0.36648001000000002</v>
      </c>
    </row>
    <row r="17" spans="2:9" s="222" customFormat="1" ht="15.2" customHeight="1">
      <c r="B17" s="752"/>
      <c r="C17" s="752"/>
      <c r="D17" s="1620"/>
      <c r="E17" s="1606"/>
      <c r="F17" s="1606"/>
      <c r="G17" s="1607"/>
      <c r="H17" s="1609"/>
      <c r="I17" s="1609"/>
    </row>
    <row r="18" spans="2:9" s="222" customFormat="1" ht="15.2" customHeight="1">
      <c r="B18" s="752" t="s">
        <v>414</v>
      </c>
      <c r="C18" s="752"/>
      <c r="D18" s="1620">
        <v>2022</v>
      </c>
      <c r="E18" s="1606">
        <v>8013</v>
      </c>
      <c r="F18" s="1606">
        <v>6427</v>
      </c>
      <c r="G18" s="1607">
        <v>4793</v>
      </c>
      <c r="H18" s="1609">
        <v>3.9</v>
      </c>
      <c r="I18" s="1609">
        <v>0.36648001000000002</v>
      </c>
    </row>
    <row r="19" spans="2:9" s="222" customFormat="1" ht="15.2" customHeight="1">
      <c r="B19" s="752"/>
      <c r="C19" s="752"/>
      <c r="D19" s="1620">
        <v>2024</v>
      </c>
      <c r="E19" s="1606">
        <v>8013</v>
      </c>
      <c r="F19" s="1606">
        <v>6427</v>
      </c>
      <c r="G19" s="1607">
        <v>4793</v>
      </c>
      <c r="H19" s="1609">
        <v>3.9</v>
      </c>
      <c r="I19" s="1609">
        <v>0.36648001000000002</v>
      </c>
    </row>
    <row r="20" spans="2:9" s="222" customFormat="1" ht="15.2" customHeight="1">
      <c r="B20" s="752"/>
      <c r="C20" s="752"/>
      <c r="D20" s="1620"/>
      <c r="E20" s="1606"/>
      <c r="F20" s="1606"/>
      <c r="G20" s="1607"/>
      <c r="H20" s="1609"/>
      <c r="I20" s="1609"/>
    </row>
    <row r="21" spans="2:9" s="222" customFormat="1" ht="15.2" customHeight="1">
      <c r="B21" s="752" t="s">
        <v>415</v>
      </c>
      <c r="C21" s="752"/>
      <c r="D21" s="1620">
        <v>2022</v>
      </c>
      <c r="E21" s="1606">
        <v>8013</v>
      </c>
      <c r="F21" s="1606">
        <v>6427</v>
      </c>
      <c r="G21" s="1607">
        <v>4793</v>
      </c>
      <c r="H21" s="1609">
        <v>3.9</v>
      </c>
      <c r="I21" s="1609">
        <v>0.36648001000000002</v>
      </c>
    </row>
    <row r="22" spans="2:9" s="222" customFormat="1" ht="15.2" customHeight="1">
      <c r="B22" s="752"/>
      <c r="C22" s="752"/>
      <c r="D22" s="1620">
        <v>2024</v>
      </c>
      <c r="E22" s="1606">
        <v>8013</v>
      </c>
      <c r="F22" s="1606">
        <v>6427</v>
      </c>
      <c r="G22" s="1607">
        <v>4793</v>
      </c>
      <c r="H22" s="1609">
        <v>3.9</v>
      </c>
      <c r="I22" s="1609">
        <v>0.36648001000000002</v>
      </c>
    </row>
    <row r="23" spans="2:9" s="222" customFormat="1" ht="15.2" customHeight="1">
      <c r="B23" s="752"/>
      <c r="C23" s="752"/>
      <c r="D23" s="1620"/>
      <c r="E23" s="1606"/>
      <c r="F23" s="1606"/>
      <c r="G23" s="1607"/>
      <c r="H23" s="1609"/>
      <c r="I23" s="1609"/>
    </row>
    <row r="24" spans="2:9" s="222" customFormat="1" ht="15.2" customHeight="1">
      <c r="B24" s="752" t="s">
        <v>416</v>
      </c>
      <c r="C24" s="752"/>
      <c r="D24" s="1620">
        <v>2022</v>
      </c>
      <c r="E24" s="1606">
        <v>8013</v>
      </c>
      <c r="F24" s="1606">
        <v>6427</v>
      </c>
      <c r="G24" s="1607">
        <v>4793</v>
      </c>
      <c r="H24" s="1609">
        <v>3.9</v>
      </c>
      <c r="I24" s="1609">
        <v>0.36648001000000002</v>
      </c>
    </row>
    <row r="25" spans="2:9" s="222" customFormat="1" ht="15.2" customHeight="1">
      <c r="B25" s="752"/>
      <c r="C25" s="752"/>
      <c r="D25" s="1620">
        <v>2024</v>
      </c>
      <c r="E25" s="1606">
        <v>8013</v>
      </c>
      <c r="F25" s="1606">
        <v>6427</v>
      </c>
      <c r="G25" s="1607">
        <v>4793</v>
      </c>
      <c r="H25" s="1609">
        <v>3.9</v>
      </c>
      <c r="I25" s="1609">
        <v>0.36648001000000002</v>
      </c>
    </row>
    <row r="26" spans="2:9" s="222" customFormat="1" ht="15.2" customHeight="1">
      <c r="B26" s="752"/>
      <c r="C26" s="752"/>
      <c r="D26" s="1620"/>
      <c r="E26" s="1606"/>
      <c r="F26" s="1606"/>
      <c r="G26" s="1607"/>
      <c r="H26" s="1609"/>
      <c r="I26" s="1609"/>
    </row>
    <row r="27" spans="2:9" s="222" customFormat="1" ht="15.2" customHeight="1">
      <c r="B27" s="752" t="s">
        <v>417</v>
      </c>
      <c r="C27" s="752"/>
      <c r="D27" s="1620">
        <v>2022</v>
      </c>
      <c r="E27" s="1606">
        <v>8013</v>
      </c>
      <c r="F27" s="1606">
        <v>6427</v>
      </c>
      <c r="G27" s="1607">
        <v>4793</v>
      </c>
      <c r="H27" s="1609">
        <v>3.9</v>
      </c>
      <c r="I27" s="1609">
        <v>0.36648001000000002</v>
      </c>
    </row>
    <row r="28" spans="2:9" s="222" customFormat="1" ht="15.2" customHeight="1">
      <c r="B28" s="752"/>
      <c r="C28" s="752"/>
      <c r="D28" s="1620">
        <v>2024</v>
      </c>
      <c r="E28" s="1606">
        <v>8013</v>
      </c>
      <c r="F28" s="1606">
        <v>6427</v>
      </c>
      <c r="G28" s="1607">
        <v>4793</v>
      </c>
      <c r="H28" s="1609">
        <v>3.9</v>
      </c>
      <c r="I28" s="1609">
        <v>0.36648001000000002</v>
      </c>
    </row>
    <row r="29" spans="2:9" s="222" customFormat="1" ht="15.2" customHeight="1">
      <c r="B29" s="752"/>
      <c r="C29" s="752"/>
      <c r="D29" s="1620"/>
      <c r="E29" s="1606"/>
      <c r="F29" s="1606"/>
      <c r="G29" s="1607"/>
      <c r="H29" s="1609"/>
      <c r="I29" s="1609"/>
    </row>
    <row r="30" spans="2:9" s="222" customFormat="1" ht="15.2" customHeight="1">
      <c r="B30" s="752" t="s">
        <v>418</v>
      </c>
      <c r="C30" s="752"/>
      <c r="D30" s="1620">
        <v>2022</v>
      </c>
      <c r="E30" s="1606">
        <v>8013</v>
      </c>
      <c r="F30" s="1606">
        <v>6427</v>
      </c>
      <c r="G30" s="1607">
        <v>4793</v>
      </c>
      <c r="H30" s="1609">
        <v>3.9</v>
      </c>
      <c r="I30" s="1609">
        <v>0.36648001000000002</v>
      </c>
    </row>
    <row r="31" spans="2:9" s="222" customFormat="1" ht="15.2" customHeight="1">
      <c r="B31" s="752"/>
      <c r="C31" s="752"/>
      <c r="D31" s="1620">
        <v>2024</v>
      </c>
      <c r="E31" s="1606">
        <v>8013</v>
      </c>
      <c r="F31" s="1606">
        <v>6427</v>
      </c>
      <c r="G31" s="1607">
        <v>4793</v>
      </c>
      <c r="H31" s="1609">
        <v>3.9</v>
      </c>
      <c r="I31" s="1609">
        <v>0.36648001000000002</v>
      </c>
    </row>
    <row r="32" spans="2:9" s="222" customFormat="1" ht="15.2" customHeight="1">
      <c r="B32" s="752"/>
      <c r="C32" s="752"/>
      <c r="D32" s="1620"/>
      <c r="E32" s="1606"/>
      <c r="F32" s="1606"/>
      <c r="G32" s="1607"/>
      <c r="H32" s="1609"/>
      <c r="I32" s="1609"/>
    </row>
    <row r="33" spans="2:9" s="222" customFormat="1" ht="15.2" customHeight="1">
      <c r="B33" s="752" t="s">
        <v>419</v>
      </c>
      <c r="C33" s="752"/>
      <c r="D33" s="1620">
        <v>2022</v>
      </c>
      <c r="E33" s="1606">
        <v>8013</v>
      </c>
      <c r="F33" s="1606">
        <v>6427</v>
      </c>
      <c r="G33" s="1607">
        <v>4793</v>
      </c>
      <c r="H33" s="1609">
        <v>3.9</v>
      </c>
      <c r="I33" s="1609">
        <v>0.36648001000000002</v>
      </c>
    </row>
    <row r="34" spans="2:9" s="222" customFormat="1" ht="15.2" customHeight="1">
      <c r="B34" s="752"/>
      <c r="C34" s="752"/>
      <c r="D34" s="1620">
        <v>2024</v>
      </c>
      <c r="E34" s="1606">
        <v>8013</v>
      </c>
      <c r="F34" s="1606">
        <v>6427</v>
      </c>
      <c r="G34" s="1607">
        <v>4793</v>
      </c>
      <c r="H34" s="1609">
        <v>3.9</v>
      </c>
      <c r="I34" s="1609">
        <v>0.36648001000000002</v>
      </c>
    </row>
    <row r="35" spans="2:9" s="222" customFormat="1" ht="15.2" customHeight="1">
      <c r="B35" s="752"/>
      <c r="C35" s="752"/>
      <c r="D35" s="1620"/>
      <c r="E35" s="1606"/>
      <c r="F35" s="1606"/>
      <c r="G35" s="1607"/>
      <c r="H35" s="1609"/>
      <c r="I35" s="1609"/>
    </row>
    <row r="36" spans="2:9" s="222" customFormat="1" ht="15.2" customHeight="1">
      <c r="B36" s="752" t="s">
        <v>420</v>
      </c>
      <c r="C36" s="752"/>
      <c r="D36" s="1620">
        <v>2022</v>
      </c>
      <c r="E36" s="1606">
        <v>8013</v>
      </c>
      <c r="F36" s="1606">
        <v>6427</v>
      </c>
      <c r="G36" s="1607">
        <v>4793</v>
      </c>
      <c r="H36" s="1609">
        <v>3.9</v>
      </c>
      <c r="I36" s="1609">
        <v>0.36648001000000002</v>
      </c>
    </row>
    <row r="37" spans="2:9" s="222" customFormat="1" ht="15.2" customHeight="1">
      <c r="B37" s="752"/>
      <c r="C37" s="752"/>
      <c r="D37" s="1620">
        <v>2024</v>
      </c>
      <c r="E37" s="1606">
        <v>8013</v>
      </c>
      <c r="F37" s="1606">
        <v>6427</v>
      </c>
      <c r="G37" s="1607">
        <v>4793</v>
      </c>
      <c r="H37" s="1609">
        <v>3.9</v>
      </c>
      <c r="I37" s="1609">
        <v>0.36648001000000002</v>
      </c>
    </row>
    <row r="38" spans="2:9" s="222" customFormat="1" ht="15.2" customHeight="1">
      <c r="B38" s="752"/>
      <c r="C38" s="752"/>
      <c r="D38" s="1620"/>
      <c r="E38" s="1606"/>
      <c r="F38" s="1606"/>
      <c r="G38" s="1607"/>
      <c r="H38" s="1609"/>
      <c r="I38" s="1609"/>
    </row>
    <row r="39" spans="2:9" s="222" customFormat="1" ht="15.2" customHeight="1">
      <c r="B39" s="752" t="s">
        <v>421</v>
      </c>
      <c r="C39" s="752"/>
      <c r="D39" s="1620">
        <v>2022</v>
      </c>
      <c r="E39" s="1606">
        <v>8013</v>
      </c>
      <c r="F39" s="1606">
        <v>6427</v>
      </c>
      <c r="G39" s="1607">
        <v>4793</v>
      </c>
      <c r="H39" s="1609">
        <v>3.9</v>
      </c>
      <c r="I39" s="1609">
        <v>0.36648001000000002</v>
      </c>
    </row>
    <row r="40" spans="2:9" s="222" customFormat="1" ht="15.2" customHeight="1">
      <c r="B40" s="752"/>
      <c r="C40" s="752"/>
      <c r="D40" s="1620">
        <v>2024</v>
      </c>
      <c r="E40" s="1606">
        <v>8013</v>
      </c>
      <c r="F40" s="1606">
        <v>6427</v>
      </c>
      <c r="G40" s="1607">
        <v>4793</v>
      </c>
      <c r="H40" s="1609">
        <v>3.9</v>
      </c>
      <c r="I40" s="1609">
        <v>0.36648001000000002</v>
      </c>
    </row>
    <row r="41" spans="2:9" s="222" customFormat="1" ht="15.2" customHeight="1">
      <c r="B41" s="752"/>
      <c r="C41" s="752"/>
      <c r="D41" s="1620"/>
      <c r="E41" s="1606"/>
      <c r="F41" s="1606"/>
      <c r="G41" s="1607"/>
      <c r="H41" s="1609"/>
      <c r="I41" s="1609"/>
    </row>
    <row r="42" spans="2:9" s="222" customFormat="1" ht="15.2" customHeight="1">
      <c r="B42" s="752" t="s">
        <v>422</v>
      </c>
      <c r="C42" s="752"/>
      <c r="D42" s="1620">
        <v>2022</v>
      </c>
      <c r="E42" s="1606">
        <v>8013</v>
      </c>
      <c r="F42" s="1606">
        <v>6427</v>
      </c>
      <c r="G42" s="1607">
        <v>4793</v>
      </c>
      <c r="H42" s="1609">
        <v>3.9</v>
      </c>
      <c r="I42" s="1609">
        <v>0.36648001000000002</v>
      </c>
    </row>
    <row r="43" spans="2:9" s="222" customFormat="1" ht="15.2" customHeight="1">
      <c r="B43" s="752"/>
      <c r="C43" s="752"/>
      <c r="D43" s="1620">
        <v>2024</v>
      </c>
      <c r="E43" s="1606">
        <v>8013</v>
      </c>
      <c r="F43" s="1606">
        <v>6427</v>
      </c>
      <c r="G43" s="1607">
        <v>4793</v>
      </c>
      <c r="H43" s="1609">
        <v>3.9</v>
      </c>
      <c r="I43" s="1609">
        <v>0.36648001000000002</v>
      </c>
    </row>
    <row r="44" spans="2:9" s="222" customFormat="1" ht="15.2" customHeight="1">
      <c r="B44" s="752"/>
      <c r="C44" s="752"/>
      <c r="D44" s="1620"/>
      <c r="E44" s="1606"/>
      <c r="F44" s="1606"/>
      <c r="G44" s="1607"/>
      <c r="H44" s="1609"/>
      <c r="I44" s="1609"/>
    </row>
    <row r="45" spans="2:9" s="222" customFormat="1" ht="15.2" customHeight="1">
      <c r="B45" s="752" t="s">
        <v>423</v>
      </c>
      <c r="C45" s="752"/>
      <c r="D45" s="1620">
        <v>2022</v>
      </c>
      <c r="E45" s="1606">
        <v>8013</v>
      </c>
      <c r="F45" s="1606">
        <v>6427</v>
      </c>
      <c r="G45" s="1607">
        <v>4793</v>
      </c>
      <c r="H45" s="1609">
        <v>3.9</v>
      </c>
      <c r="I45" s="1609">
        <v>0.36648001000000002</v>
      </c>
    </row>
    <row r="46" spans="2:9" s="222" customFormat="1" ht="15.2" customHeight="1">
      <c r="B46" s="752"/>
      <c r="C46" s="752"/>
      <c r="D46" s="1620">
        <v>2024</v>
      </c>
      <c r="E46" s="1606">
        <v>8013</v>
      </c>
      <c r="F46" s="1606">
        <v>6427</v>
      </c>
      <c r="G46" s="1607">
        <v>4793</v>
      </c>
      <c r="H46" s="1609">
        <v>3.9</v>
      </c>
      <c r="I46" s="1609">
        <v>0.36648001000000002</v>
      </c>
    </row>
    <row r="47" spans="2:9" s="222" customFormat="1" ht="15.2" customHeight="1">
      <c r="B47" s="752"/>
      <c r="C47" s="752"/>
      <c r="D47" s="1620"/>
      <c r="E47" s="1606"/>
      <c r="F47" s="1606"/>
      <c r="G47" s="1607"/>
      <c r="H47" s="1609"/>
      <c r="I47" s="1609"/>
    </row>
    <row r="48" spans="2:9" s="222" customFormat="1" ht="15.2" customHeight="1">
      <c r="B48" s="752" t="s">
        <v>235</v>
      </c>
      <c r="C48" s="752"/>
      <c r="D48" s="1620">
        <v>2022</v>
      </c>
      <c r="E48" s="1606">
        <v>8013</v>
      </c>
      <c r="F48" s="1606">
        <v>6427</v>
      </c>
      <c r="G48" s="1607">
        <v>4793</v>
      </c>
      <c r="H48" s="1609">
        <v>3.9</v>
      </c>
      <c r="I48" s="1609">
        <v>0.36648001000000002</v>
      </c>
    </row>
    <row r="49" spans="2:9" s="222" customFormat="1" ht="15.2" customHeight="1">
      <c r="B49" s="752"/>
      <c r="C49" s="752"/>
      <c r="D49" s="1620">
        <v>2024</v>
      </c>
      <c r="E49" s="1606">
        <v>8013</v>
      </c>
      <c r="F49" s="1606">
        <v>6427</v>
      </c>
      <c r="G49" s="1607">
        <v>4793</v>
      </c>
      <c r="H49" s="1609">
        <v>3.9</v>
      </c>
      <c r="I49" s="1609">
        <v>0.36648001000000002</v>
      </c>
    </row>
    <row r="50" spans="2:9" s="222" customFormat="1" ht="15.2" customHeight="1">
      <c r="B50" s="752"/>
      <c r="C50" s="752"/>
      <c r="D50" s="1620"/>
      <c r="E50" s="1606"/>
      <c r="F50" s="1606"/>
      <c r="G50" s="1607"/>
      <c r="H50" s="1609"/>
      <c r="I50" s="1609"/>
    </row>
    <row r="51" spans="2:9" s="222" customFormat="1" ht="15.2" customHeight="1">
      <c r="B51" s="752" t="s">
        <v>424</v>
      </c>
      <c r="C51" s="752"/>
      <c r="D51" s="1620">
        <v>2022</v>
      </c>
      <c r="E51" s="1606">
        <v>8013</v>
      </c>
      <c r="F51" s="1606">
        <v>6427</v>
      </c>
      <c r="G51" s="1607">
        <v>4793</v>
      </c>
      <c r="H51" s="1609">
        <v>3.9</v>
      </c>
      <c r="I51" s="1609">
        <v>0.36648001000000002</v>
      </c>
    </row>
    <row r="52" spans="2:9" s="222" customFormat="1" ht="15.2" customHeight="1">
      <c r="B52" s="752"/>
      <c r="C52" s="752"/>
      <c r="D52" s="1620">
        <v>2024</v>
      </c>
      <c r="E52" s="1606">
        <v>8013</v>
      </c>
      <c r="F52" s="1606">
        <v>6427</v>
      </c>
      <c r="G52" s="1607">
        <v>4793</v>
      </c>
      <c r="H52" s="1609">
        <v>3.9</v>
      </c>
      <c r="I52" s="1609">
        <v>0.36648001000000002</v>
      </c>
    </row>
    <row r="53" spans="2:9" s="222" customFormat="1" ht="15.2" customHeight="1">
      <c r="B53" s="752"/>
      <c r="C53" s="752"/>
      <c r="D53" s="1620"/>
      <c r="E53" s="1606"/>
      <c r="F53" s="1606"/>
      <c r="G53" s="1607"/>
      <c r="H53" s="1609"/>
      <c r="I53" s="1609"/>
    </row>
    <row r="54" spans="2:9" s="222" customFormat="1" ht="15.2" customHeight="1">
      <c r="B54" s="752" t="s">
        <v>425</v>
      </c>
      <c r="C54" s="752"/>
      <c r="D54" s="1620">
        <v>2022</v>
      </c>
      <c r="E54" s="1606">
        <v>8013</v>
      </c>
      <c r="F54" s="1606">
        <v>6427</v>
      </c>
      <c r="G54" s="1607">
        <v>4793</v>
      </c>
      <c r="H54" s="1609">
        <v>3.9</v>
      </c>
      <c r="I54" s="1609">
        <v>0.36648001000000002</v>
      </c>
    </row>
    <row r="55" spans="2:9" s="222" customFormat="1" ht="15.2" customHeight="1">
      <c r="B55" s="752"/>
      <c r="C55" s="752"/>
      <c r="D55" s="1620">
        <v>2024</v>
      </c>
      <c r="E55" s="1606">
        <v>8013</v>
      </c>
      <c r="F55" s="1606">
        <v>6427</v>
      </c>
      <c r="G55" s="1607">
        <v>4793</v>
      </c>
      <c r="H55" s="1609">
        <v>3.9</v>
      </c>
      <c r="I55" s="1609">
        <v>0.36648001000000002</v>
      </c>
    </row>
    <row r="56" spans="2:9" s="222" customFormat="1" ht="15.2" customHeight="1">
      <c r="B56" s="752"/>
      <c r="C56" s="752"/>
      <c r="D56" s="1620"/>
      <c r="E56" s="1606"/>
      <c r="F56" s="1606"/>
      <c r="G56" s="1607"/>
      <c r="H56" s="1609"/>
      <c r="I56" s="1609"/>
    </row>
    <row r="57" spans="2:9" s="222" customFormat="1" ht="15.2" customHeight="1">
      <c r="B57" s="752" t="s">
        <v>426</v>
      </c>
      <c r="C57" s="752"/>
      <c r="D57" s="1620">
        <v>2022</v>
      </c>
      <c r="E57" s="1606">
        <v>8013</v>
      </c>
      <c r="F57" s="1606">
        <v>6427</v>
      </c>
      <c r="G57" s="1607">
        <v>4793</v>
      </c>
      <c r="H57" s="1609">
        <v>3.9</v>
      </c>
      <c r="I57" s="1609">
        <v>0.36648001000000002</v>
      </c>
    </row>
    <row r="58" spans="2:9" s="222" customFormat="1" ht="15.2" customHeight="1">
      <c r="B58" s="752"/>
      <c r="C58" s="752"/>
      <c r="D58" s="1620">
        <v>2024</v>
      </c>
      <c r="E58" s="1606">
        <v>8013</v>
      </c>
      <c r="F58" s="1606">
        <v>6427</v>
      </c>
      <c r="G58" s="1607">
        <v>4793</v>
      </c>
      <c r="H58" s="1609">
        <v>3.9</v>
      </c>
      <c r="I58" s="1609">
        <v>0.36648001000000002</v>
      </c>
    </row>
    <row r="59" spans="2:9" s="222" customFormat="1" ht="14.25" thickBot="1">
      <c r="B59" s="242"/>
      <c r="C59" s="242"/>
      <c r="D59" s="242"/>
      <c r="E59" s="753"/>
      <c r="F59" s="753"/>
      <c r="G59" s="754"/>
      <c r="H59" s="755"/>
      <c r="I59" s="756"/>
    </row>
    <row r="60" spans="2:9" s="222" customFormat="1" ht="13.5">
      <c r="E60" s="757"/>
      <c r="F60" s="757"/>
      <c r="G60" s="243"/>
      <c r="I60" s="235" t="s">
        <v>0</v>
      </c>
    </row>
    <row r="61" spans="2:9" s="222" customFormat="1" ht="13.5">
      <c r="E61" s="757"/>
      <c r="F61" s="757"/>
      <c r="G61" s="243"/>
      <c r="I61" s="236" t="s">
        <v>1</v>
      </c>
    </row>
  </sheetData>
  <mergeCells count="3">
    <mergeCell ref="E4:F5"/>
    <mergeCell ref="G4:G5"/>
    <mergeCell ref="H4:I5"/>
  </mergeCells>
  <printOptions horizontalCentered="1"/>
  <pageMargins left="0.55118110236220474" right="0.55118110236220474" top="0.55118110236220474" bottom="0.55118110236220474" header="0.31496062992125984" footer="0.31496062992125984"/>
  <pageSetup paperSize="9" scale="77"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9D08C-F30A-4172-A339-A15715740D01}">
  <sheetPr>
    <tabColor theme="4" tint="0.39997558519241921"/>
  </sheetPr>
  <dimension ref="A1:N74"/>
  <sheetViews>
    <sheetView view="pageBreakPreview" zoomScaleNormal="100" zoomScaleSheetLayoutView="100" workbookViewId="0">
      <selection activeCell="K19" sqref="K19"/>
    </sheetView>
  </sheetViews>
  <sheetFormatPr defaultRowHeight="15"/>
  <cols>
    <col min="1" max="1" width="2.85546875" customWidth="1"/>
    <col min="2" max="2" width="14.140625" customWidth="1"/>
    <col min="3" max="3" width="20.5703125" customWidth="1"/>
    <col min="4" max="4" width="28.28515625" customWidth="1"/>
    <col min="5" max="5" width="16.28515625" style="1754" customWidth="1"/>
    <col min="8" max="8" width="9.140625" customWidth="1"/>
  </cols>
  <sheetData>
    <row r="1" spans="1:13" s="84" customFormat="1" ht="7.5" customHeight="1">
      <c r="E1" s="1793"/>
    </row>
    <row r="2" spans="1:13" s="84" customFormat="1" ht="7.5" customHeight="1">
      <c r="E2" s="1793"/>
    </row>
    <row r="3" spans="1:13" s="84" customFormat="1" ht="15.2" customHeight="1">
      <c r="A3" s="675"/>
      <c r="B3" s="758" t="s">
        <v>1476</v>
      </c>
      <c r="C3" s="532" t="s">
        <v>1475</v>
      </c>
      <c r="D3" s="615"/>
      <c r="E3" s="1791"/>
      <c r="F3" s="615"/>
      <c r="G3" s="615"/>
      <c r="H3" s="615"/>
      <c r="I3" s="615"/>
      <c r="J3" s="476"/>
    </row>
    <row r="4" spans="1:13" s="84" customFormat="1">
      <c r="A4" s="675"/>
      <c r="B4" s="1792"/>
      <c r="C4" s="615" t="s">
        <v>1474</v>
      </c>
      <c r="D4" s="615"/>
      <c r="E4" s="1791"/>
      <c r="F4" s="615"/>
      <c r="G4" s="615"/>
      <c r="H4" s="615"/>
      <c r="I4" s="615"/>
      <c r="J4" s="476"/>
    </row>
    <row r="5" spans="1:13" s="84" customFormat="1" ht="15.2" customHeight="1">
      <c r="A5" s="476"/>
      <c r="B5" s="145" t="s">
        <v>1473</v>
      </c>
      <c r="C5" s="614" t="s">
        <v>1472</v>
      </c>
      <c r="D5" s="1789"/>
      <c r="E5" s="1790"/>
      <c r="F5" s="1789"/>
      <c r="G5" s="1789"/>
      <c r="H5" s="1789"/>
      <c r="I5" s="1789"/>
      <c r="J5" s="476"/>
    </row>
    <row r="6" spans="1:13" s="84" customFormat="1">
      <c r="A6" s="476"/>
      <c r="B6" s="145"/>
      <c r="C6" s="614" t="s">
        <v>1471</v>
      </c>
      <c r="D6" s="1789"/>
      <c r="E6" s="1790"/>
      <c r="F6" s="1789"/>
      <c r="G6" s="1789"/>
      <c r="H6" s="1789"/>
      <c r="I6" s="1789"/>
      <c r="J6" s="476"/>
    </row>
    <row r="7" spans="1:13" ht="15.75" thickBot="1">
      <c r="A7" s="1787"/>
      <c r="B7" s="1787"/>
      <c r="C7" s="1787"/>
      <c r="D7" s="1787"/>
      <c r="E7" s="1788"/>
      <c r="F7" s="1787"/>
      <c r="G7" s="1787"/>
      <c r="H7" s="1787"/>
      <c r="I7" s="1787"/>
      <c r="J7" s="126"/>
    </row>
    <row r="8" spans="1:13" ht="5.25" customHeight="1">
      <c r="A8" s="126"/>
      <c r="B8" s="126"/>
      <c r="C8" s="126"/>
      <c r="D8" s="126"/>
      <c r="E8" s="606"/>
      <c r="F8" s="126"/>
      <c r="G8" s="126"/>
      <c r="H8" s="126"/>
      <c r="I8" s="126"/>
      <c r="J8" s="126"/>
    </row>
    <row r="9" spans="1:13" ht="15.2" customHeight="1">
      <c r="A9" s="1781"/>
      <c r="B9" s="2807" t="s">
        <v>1470</v>
      </c>
      <c r="C9" s="2807"/>
      <c r="D9" s="1786"/>
      <c r="E9" s="1779" t="s">
        <v>1469</v>
      </c>
      <c r="F9" s="1786"/>
      <c r="G9" s="2808" t="s">
        <v>1468</v>
      </c>
      <c r="H9" s="1754"/>
      <c r="I9" s="2808" t="s">
        <v>1467</v>
      </c>
      <c r="J9" s="1782"/>
      <c r="K9" s="1779"/>
    </row>
    <row r="10" spans="1:13">
      <c r="A10" s="1781"/>
      <c r="B10" s="2807"/>
      <c r="C10" s="2807"/>
      <c r="D10" s="1786"/>
      <c r="E10" s="1772" t="s">
        <v>1466</v>
      </c>
      <c r="F10" s="1786"/>
      <c r="G10" s="2808"/>
      <c r="H10" s="1786"/>
      <c r="I10" s="2808"/>
      <c r="J10" s="1782"/>
      <c r="K10" s="1779"/>
    </row>
    <row r="11" spans="1:13" ht="10.5" customHeight="1" thickBot="1">
      <c r="A11" s="1785"/>
      <c r="B11" s="1784"/>
      <c r="C11" s="1784"/>
      <c r="D11" s="1783"/>
      <c r="E11" s="1783"/>
      <c r="F11" s="1783"/>
      <c r="G11" s="1783"/>
      <c r="H11" s="1783"/>
      <c r="I11" s="1783"/>
      <c r="J11" s="1782"/>
      <c r="K11" s="1779"/>
    </row>
    <row r="12" spans="1:13">
      <c r="B12" s="91"/>
      <c r="C12" s="1779"/>
      <c r="D12" s="1779"/>
      <c r="E12" s="1781"/>
      <c r="F12" s="1780"/>
      <c r="G12" s="1780"/>
      <c r="H12" s="1780"/>
      <c r="I12" s="1780"/>
      <c r="K12" s="1779"/>
    </row>
    <row r="13" spans="1:13">
      <c r="B13" s="1771" t="s">
        <v>1465</v>
      </c>
      <c r="C13" s="759"/>
      <c r="D13" s="1778"/>
      <c r="E13" s="1770">
        <v>12.2</v>
      </c>
      <c r="F13" s="759"/>
      <c r="G13" s="759">
        <v>108.7</v>
      </c>
      <c r="H13" s="1776"/>
      <c r="I13" s="759">
        <v>1.6</v>
      </c>
      <c r="J13" s="1769"/>
      <c r="K13" s="1768"/>
      <c r="M13" s="1754"/>
    </row>
    <row r="14" spans="1:13" ht="7.5" customHeight="1">
      <c r="B14" s="1772"/>
      <c r="C14" s="759"/>
      <c r="D14" s="1778"/>
      <c r="E14" s="1770"/>
      <c r="F14" s="759"/>
      <c r="G14" s="759"/>
      <c r="H14" s="1776"/>
      <c r="I14" s="759"/>
      <c r="J14" s="1769"/>
      <c r="K14" s="1768"/>
    </row>
    <row r="15" spans="1:13">
      <c r="B15" s="1771" t="s">
        <v>1464</v>
      </c>
      <c r="C15" s="759"/>
      <c r="D15" s="1778"/>
      <c r="E15" s="1770">
        <v>2.2000000000000002</v>
      </c>
      <c r="F15" s="759"/>
      <c r="G15" s="759">
        <v>16.2</v>
      </c>
      <c r="H15" s="1776"/>
      <c r="I15" s="759">
        <v>92.6</v>
      </c>
      <c r="J15" s="1769"/>
      <c r="K15" s="1768"/>
    </row>
    <row r="16" spans="1:13" ht="7.5" customHeight="1">
      <c r="B16" s="1771"/>
      <c r="C16" s="759"/>
      <c r="D16" s="1778"/>
      <c r="E16" s="1770"/>
      <c r="F16" s="759"/>
      <c r="G16" s="759"/>
      <c r="H16" s="1776"/>
      <c r="I16" s="759"/>
      <c r="J16" s="1769"/>
      <c r="K16" s="1768"/>
    </row>
    <row r="17" spans="2:11">
      <c r="B17" s="1772" t="s">
        <v>1463</v>
      </c>
      <c r="C17" s="759"/>
      <c r="D17" s="1778"/>
      <c r="E17" s="1770">
        <v>23</v>
      </c>
      <c r="F17" s="759"/>
      <c r="G17" s="759">
        <v>69.599999999999994</v>
      </c>
      <c r="H17" s="1776"/>
      <c r="I17" s="759">
        <v>31.8</v>
      </c>
      <c r="J17" s="1769"/>
      <c r="K17" s="1768"/>
    </row>
    <row r="18" spans="2:11" ht="7.5" customHeight="1">
      <c r="B18" s="1772"/>
      <c r="C18" s="759"/>
      <c r="D18" s="1778"/>
      <c r="E18" s="1770"/>
      <c r="F18" s="759"/>
      <c r="G18" s="759"/>
      <c r="H18" s="1776"/>
      <c r="I18" s="759"/>
      <c r="J18" s="1769"/>
      <c r="K18" s="1768"/>
    </row>
    <row r="19" spans="2:11">
      <c r="B19" s="1771" t="s">
        <v>1462</v>
      </c>
      <c r="C19" s="759"/>
      <c r="D19" s="1778"/>
      <c r="E19" s="1770">
        <v>8.4</v>
      </c>
      <c r="F19" s="759"/>
      <c r="G19" s="759">
        <v>104.3</v>
      </c>
      <c r="H19" s="1776"/>
      <c r="I19" s="759">
        <v>0.3</v>
      </c>
      <c r="J19" s="1769"/>
      <c r="K19" s="1768"/>
    </row>
    <row r="20" spans="2:11" ht="7.5" customHeight="1">
      <c r="B20" s="1771"/>
      <c r="C20" s="759"/>
      <c r="D20" s="1778"/>
      <c r="E20" s="1770"/>
      <c r="F20" s="759"/>
      <c r="G20" s="759"/>
      <c r="H20" s="1776"/>
      <c r="I20" s="759"/>
      <c r="J20" s="1769"/>
      <c r="K20" s="1768"/>
    </row>
    <row r="21" spans="2:11">
      <c r="B21" s="1771" t="s">
        <v>1461</v>
      </c>
      <c r="C21" s="759"/>
      <c r="D21" s="1778"/>
      <c r="E21" s="1770">
        <v>2.6</v>
      </c>
      <c r="F21" s="759"/>
      <c r="G21" s="759">
        <v>139.5</v>
      </c>
      <c r="H21" s="1776"/>
      <c r="I21" s="759">
        <v>7.5</v>
      </c>
      <c r="J21" s="1769"/>
      <c r="K21" s="1768"/>
    </row>
    <row r="22" spans="2:11" ht="7.5" customHeight="1">
      <c r="B22" s="1772"/>
      <c r="C22" s="759"/>
      <c r="D22" s="1778"/>
      <c r="E22" s="1770"/>
      <c r="F22" s="759"/>
      <c r="G22" s="759"/>
      <c r="H22" s="1776"/>
      <c r="I22" s="759"/>
      <c r="J22" s="1769"/>
      <c r="K22" s="1768"/>
    </row>
    <row r="23" spans="2:11">
      <c r="B23" s="1771" t="s">
        <v>1460</v>
      </c>
      <c r="C23" s="759"/>
      <c r="D23" s="1778"/>
      <c r="E23" s="1770">
        <v>2.2000000000000002</v>
      </c>
      <c r="F23" s="759"/>
      <c r="G23" s="759">
        <v>29.3</v>
      </c>
      <c r="H23" s="1776"/>
      <c r="I23" s="759">
        <v>75.099999999999994</v>
      </c>
      <c r="J23" s="1769"/>
      <c r="K23" s="1768"/>
    </row>
    <row r="24" spans="2:11" ht="7.5" customHeight="1">
      <c r="B24" s="1771"/>
      <c r="C24" s="759"/>
      <c r="D24" s="1778"/>
      <c r="E24" s="1770"/>
      <c r="F24" s="759"/>
      <c r="G24" s="759"/>
      <c r="H24" s="1776"/>
      <c r="I24" s="759"/>
      <c r="J24" s="1769"/>
      <c r="K24" s="1768"/>
    </row>
    <row r="25" spans="2:11">
      <c r="B25" s="1771" t="s">
        <v>1459</v>
      </c>
      <c r="C25" s="759"/>
      <c r="D25" s="1778"/>
      <c r="E25" s="1770">
        <v>1.7</v>
      </c>
      <c r="F25" s="759"/>
      <c r="G25" s="759">
        <v>14.6</v>
      </c>
      <c r="H25" s="1776"/>
      <c r="I25" s="759">
        <v>86.5</v>
      </c>
      <c r="J25" s="1769"/>
      <c r="K25" s="1768"/>
    </row>
    <row r="26" spans="2:11" ht="7.5" customHeight="1">
      <c r="B26" s="1772"/>
      <c r="C26" s="759"/>
      <c r="D26" s="1778"/>
      <c r="E26" s="1770"/>
      <c r="F26" s="759"/>
      <c r="G26" s="759"/>
      <c r="H26" s="1776"/>
      <c r="I26" s="759"/>
      <c r="J26" s="1769"/>
      <c r="K26" s="1768"/>
    </row>
    <row r="27" spans="2:11">
      <c r="B27" s="1771" t="s">
        <v>1458</v>
      </c>
      <c r="C27" s="759"/>
      <c r="D27" s="1778"/>
      <c r="E27" s="1770">
        <v>6.6</v>
      </c>
      <c r="F27" s="759"/>
      <c r="G27" s="759">
        <v>40.299999999999997</v>
      </c>
      <c r="H27" s="1776"/>
      <c r="I27" s="759">
        <v>61.3</v>
      </c>
      <c r="J27" s="1769"/>
      <c r="K27" s="1768"/>
    </row>
    <row r="28" spans="2:11" ht="7.5" customHeight="1">
      <c r="B28" s="1771"/>
      <c r="C28" s="759"/>
      <c r="D28" s="1778"/>
      <c r="E28" s="1770"/>
      <c r="F28" s="759"/>
      <c r="G28" s="759"/>
      <c r="H28" s="1776"/>
      <c r="I28" s="759"/>
      <c r="J28" s="1769"/>
      <c r="K28" s="1768"/>
    </row>
    <row r="29" spans="2:11">
      <c r="B29" s="1771" t="s">
        <v>1457</v>
      </c>
      <c r="C29" s="759"/>
      <c r="D29" s="1778"/>
      <c r="E29" s="1770">
        <v>2.1</v>
      </c>
      <c r="F29" s="759"/>
      <c r="G29" s="759">
        <v>112</v>
      </c>
      <c r="H29" s="1776"/>
      <c r="I29" s="759">
        <v>1.8</v>
      </c>
      <c r="J29" s="1769"/>
      <c r="K29" s="1768"/>
    </row>
    <row r="30" spans="2:11" ht="7.5" customHeight="1">
      <c r="B30" s="1772"/>
      <c r="C30" s="759"/>
      <c r="D30" s="1778"/>
      <c r="E30" s="1770"/>
      <c r="F30" s="759"/>
      <c r="G30" s="759"/>
      <c r="H30" s="1776"/>
      <c r="I30" s="759"/>
      <c r="J30" s="1769"/>
      <c r="K30" s="1768"/>
    </row>
    <row r="31" spans="2:11">
      <c r="B31" s="1771" t="s">
        <v>1456</v>
      </c>
      <c r="C31" s="759"/>
      <c r="D31" s="1778"/>
      <c r="E31" s="1770">
        <v>2.6</v>
      </c>
      <c r="F31" s="759"/>
      <c r="G31" s="759">
        <v>111.7</v>
      </c>
      <c r="H31" s="1776"/>
      <c r="I31" s="759">
        <v>14.5</v>
      </c>
      <c r="J31" s="1769"/>
      <c r="K31" s="1768"/>
    </row>
    <row r="32" spans="2:11" ht="7.5" customHeight="1">
      <c r="B32" s="1772"/>
      <c r="C32" s="759"/>
      <c r="D32" s="1778"/>
      <c r="E32" s="1770"/>
      <c r="F32" s="759"/>
      <c r="G32" s="759"/>
      <c r="H32" s="1776"/>
      <c r="I32" s="759"/>
      <c r="J32" s="1769"/>
      <c r="K32" s="1768"/>
    </row>
    <row r="33" spans="2:11">
      <c r="B33" s="1771" t="s">
        <v>1455</v>
      </c>
      <c r="C33" s="759"/>
      <c r="D33" s="1778"/>
      <c r="E33" s="1770">
        <v>4.2</v>
      </c>
      <c r="F33" s="759"/>
      <c r="G33" s="759">
        <v>118.9</v>
      </c>
      <c r="H33" s="1776"/>
      <c r="I33" s="759">
        <v>4.4000000000000004</v>
      </c>
      <c r="J33" s="1769"/>
      <c r="K33" s="1768"/>
    </row>
    <row r="34" spans="2:11" ht="7.5" customHeight="1">
      <c r="B34" s="1772"/>
      <c r="C34" s="759"/>
      <c r="D34" s="606"/>
      <c r="E34" s="1770"/>
      <c r="F34" s="759"/>
      <c r="G34" s="759"/>
      <c r="H34" s="1776"/>
      <c r="I34" s="759"/>
      <c r="J34" s="1769"/>
      <c r="K34" s="1768"/>
    </row>
    <row r="35" spans="2:11">
      <c r="B35" s="1771" t="s">
        <v>1454</v>
      </c>
      <c r="C35" s="759"/>
      <c r="D35" s="1777"/>
      <c r="E35" s="1770">
        <v>4.7</v>
      </c>
      <c r="F35" s="759"/>
      <c r="G35" s="759">
        <v>97</v>
      </c>
      <c r="H35" s="1776"/>
      <c r="I35" s="759">
        <v>7</v>
      </c>
      <c r="J35" s="1769"/>
      <c r="K35" s="1768"/>
    </row>
    <row r="36" spans="2:11" ht="7.5" customHeight="1">
      <c r="B36" s="1772"/>
      <c r="C36" s="759"/>
      <c r="D36" s="126"/>
      <c r="E36" s="1770"/>
      <c r="F36" s="759"/>
      <c r="G36" s="759"/>
      <c r="H36" s="759"/>
      <c r="I36" s="759"/>
      <c r="J36" s="1769"/>
      <c r="K36" s="1768"/>
    </row>
    <row r="37" spans="2:11" s="84" customFormat="1">
      <c r="B37" s="760" t="s">
        <v>1453</v>
      </c>
      <c r="C37" s="761"/>
      <c r="D37" s="476"/>
      <c r="E37" s="1775">
        <v>46.1</v>
      </c>
      <c r="F37" s="761"/>
      <c r="G37" s="761">
        <v>99.9</v>
      </c>
      <c r="H37" s="761"/>
      <c r="I37" s="761">
        <v>6.1</v>
      </c>
      <c r="J37" s="1774"/>
      <c r="K37" s="1773"/>
    </row>
    <row r="38" spans="2:11" s="84" customFormat="1" ht="7.5" customHeight="1">
      <c r="B38" s="762"/>
      <c r="C38" s="761"/>
      <c r="D38" s="476"/>
      <c r="E38" s="1775"/>
      <c r="F38" s="761"/>
      <c r="G38" s="761"/>
      <c r="H38" s="761"/>
      <c r="I38" s="761"/>
      <c r="J38" s="1774"/>
      <c r="K38" s="1773"/>
    </row>
    <row r="39" spans="2:11" s="84" customFormat="1">
      <c r="B39" s="760" t="s">
        <v>1452</v>
      </c>
      <c r="C39" s="761"/>
      <c r="D39" s="476"/>
      <c r="E39" s="1775">
        <v>1.6</v>
      </c>
      <c r="F39" s="761"/>
      <c r="G39" s="761">
        <v>130.6</v>
      </c>
      <c r="H39" s="761"/>
      <c r="I39" s="761">
        <v>1.9E-2</v>
      </c>
      <c r="J39" s="1774"/>
      <c r="K39" s="1773"/>
    </row>
    <row r="40" spans="2:11" ht="7.5" customHeight="1">
      <c r="B40" s="1771"/>
      <c r="C40" s="759"/>
      <c r="D40" s="126"/>
      <c r="E40" s="1770"/>
      <c r="F40" s="759"/>
      <c r="G40" s="759"/>
      <c r="H40" s="759"/>
      <c r="I40" s="759"/>
      <c r="J40" s="1769"/>
      <c r="K40" s="1768"/>
    </row>
    <row r="41" spans="2:11" ht="15.2" customHeight="1">
      <c r="B41" s="1771" t="s">
        <v>1451</v>
      </c>
      <c r="C41" s="759"/>
      <c r="D41" s="126"/>
      <c r="E41" s="1770">
        <v>20.8</v>
      </c>
      <c r="F41" s="759"/>
      <c r="G41" s="759">
        <v>114.4</v>
      </c>
      <c r="H41" s="759"/>
      <c r="I41" s="759" t="s">
        <v>204</v>
      </c>
      <c r="J41" s="1769"/>
      <c r="K41" s="1768"/>
    </row>
    <row r="42" spans="2:11" ht="7.15" customHeight="1">
      <c r="B42" s="1771"/>
      <c r="C42" s="759"/>
      <c r="D42" s="126"/>
      <c r="E42" s="1770"/>
      <c r="F42" s="759"/>
      <c r="G42" s="759"/>
      <c r="H42" s="759"/>
      <c r="I42" s="759"/>
      <c r="J42" s="1769"/>
      <c r="K42" s="1768"/>
    </row>
    <row r="43" spans="2:11">
      <c r="B43" s="1771" t="s">
        <v>1450</v>
      </c>
      <c r="C43" s="759"/>
      <c r="D43" s="126"/>
      <c r="E43" s="1770">
        <v>1</v>
      </c>
      <c r="F43" s="759"/>
      <c r="G43" s="759">
        <v>10.7</v>
      </c>
      <c r="H43" s="759"/>
      <c r="I43" s="759">
        <v>89.4</v>
      </c>
      <c r="J43" s="1769"/>
      <c r="K43" s="1768"/>
    </row>
    <row r="44" spans="2:11" ht="7.5" customHeight="1">
      <c r="B44" s="1772"/>
      <c r="C44" s="759"/>
      <c r="D44" s="126"/>
      <c r="E44" s="1770"/>
      <c r="F44" s="759"/>
      <c r="G44" s="759"/>
      <c r="H44" s="759"/>
      <c r="I44" s="759"/>
      <c r="J44" s="1769"/>
      <c r="K44" s="1768"/>
    </row>
    <row r="45" spans="2:11">
      <c r="B45" s="1771" t="s">
        <v>1449</v>
      </c>
      <c r="C45" s="759"/>
      <c r="D45" s="126"/>
      <c r="E45" s="1770">
        <v>5.5</v>
      </c>
      <c r="F45" s="759"/>
      <c r="G45" s="759">
        <v>18.899999999999999</v>
      </c>
      <c r="H45" s="759"/>
      <c r="I45" s="759">
        <v>81.599999999999994</v>
      </c>
      <c r="J45" s="1769"/>
      <c r="K45" s="1768"/>
    </row>
    <row r="46" spans="2:11" ht="7.5" customHeight="1">
      <c r="B46" s="1772"/>
      <c r="C46" s="759"/>
      <c r="D46" s="126"/>
      <c r="E46" s="1770"/>
      <c r="F46" s="759"/>
      <c r="G46" s="759"/>
      <c r="H46" s="759"/>
      <c r="I46" s="759"/>
      <c r="J46" s="1769"/>
      <c r="K46" s="1768"/>
    </row>
    <row r="47" spans="2:11">
      <c r="B47" s="1771" t="s">
        <v>1448</v>
      </c>
      <c r="C47" s="759"/>
      <c r="D47" s="126"/>
      <c r="E47" s="1770">
        <v>17.3</v>
      </c>
      <c r="F47" s="759"/>
      <c r="G47" s="759">
        <v>93.4</v>
      </c>
      <c r="H47" s="759"/>
      <c r="I47" s="759">
        <v>7.1</v>
      </c>
      <c r="J47" s="1769"/>
      <c r="K47" s="1768"/>
    </row>
    <row r="48" spans="2:11" ht="7.5" customHeight="1">
      <c r="B48" s="1771"/>
      <c r="C48" s="759"/>
      <c r="D48" s="126"/>
      <c r="E48" s="1770"/>
      <c r="F48" s="759"/>
      <c r="G48" s="759"/>
      <c r="H48" s="759"/>
      <c r="I48" s="759"/>
      <c r="J48" s="1769"/>
      <c r="K48" s="1768"/>
    </row>
    <row r="49" spans="1:14">
      <c r="B49" s="1771" t="s">
        <v>1447</v>
      </c>
      <c r="C49" s="759"/>
      <c r="D49" s="126"/>
      <c r="E49" s="1770">
        <v>2.1</v>
      </c>
      <c r="F49" s="759"/>
      <c r="G49" s="759">
        <v>56.7</v>
      </c>
      <c r="H49" s="759"/>
      <c r="I49" s="759">
        <v>62.9</v>
      </c>
      <c r="J49" s="1769"/>
      <c r="K49" s="1768"/>
    </row>
    <row r="50" spans="1:14" ht="7.5" customHeight="1">
      <c r="B50" s="1772"/>
      <c r="C50" s="759"/>
      <c r="D50" s="126"/>
      <c r="E50" s="1770"/>
      <c r="F50" s="759"/>
      <c r="G50" s="759"/>
      <c r="H50" s="759"/>
      <c r="I50" s="759"/>
      <c r="J50" s="1769"/>
      <c r="K50" s="1768"/>
    </row>
    <row r="51" spans="1:14" ht="15.2" customHeight="1">
      <c r="B51" s="1771" t="s">
        <v>1446</v>
      </c>
      <c r="C51" s="759"/>
      <c r="D51" s="126"/>
      <c r="E51" s="1770">
        <v>4.5999999999999996</v>
      </c>
      <c r="F51" s="759"/>
      <c r="G51" s="759">
        <v>100.4</v>
      </c>
      <c r="H51" s="759"/>
      <c r="I51" s="759">
        <v>19.3</v>
      </c>
      <c r="J51" s="1769"/>
      <c r="K51" s="1768"/>
    </row>
    <row r="52" spans="1:14" ht="7.5" customHeight="1">
      <c r="B52" s="1772"/>
      <c r="C52" s="759"/>
      <c r="D52" s="126"/>
      <c r="E52" s="1770"/>
      <c r="F52" s="759"/>
      <c r="G52" s="759"/>
      <c r="H52" s="759"/>
      <c r="I52" s="759"/>
      <c r="J52" s="1769"/>
      <c r="K52" s="1768"/>
    </row>
    <row r="53" spans="1:14" ht="15.2" customHeight="1">
      <c r="B53" s="1771" t="s">
        <v>1445</v>
      </c>
      <c r="C53" s="759"/>
      <c r="D53" s="126"/>
      <c r="E53" s="1770">
        <v>2.4</v>
      </c>
      <c r="F53" s="759"/>
      <c r="G53" s="759">
        <v>74.900000000000006</v>
      </c>
      <c r="H53" s="759"/>
      <c r="I53" s="759">
        <v>25.5</v>
      </c>
      <c r="J53" s="1769"/>
      <c r="K53" s="1768"/>
    </row>
    <row r="54" spans="1:14" ht="7.5" customHeight="1" thickBot="1">
      <c r="A54" s="1766"/>
      <c r="B54" s="1766"/>
      <c r="C54" s="1766"/>
      <c r="D54" s="1766"/>
      <c r="E54" s="1767"/>
      <c r="F54" s="1766"/>
      <c r="G54" s="1766"/>
      <c r="H54" s="1766"/>
      <c r="I54" s="1766"/>
      <c r="J54" s="93"/>
      <c r="K54" s="93"/>
    </row>
    <row r="55" spans="1:14" ht="13.5" customHeight="1" thickTop="1">
      <c r="A55" s="582"/>
      <c r="B55" s="582"/>
      <c r="C55" s="582"/>
      <c r="D55" s="582"/>
      <c r="E55" s="2806" t="s">
        <v>0</v>
      </c>
      <c r="F55" s="2806"/>
      <c r="G55" s="2806"/>
      <c r="H55" s="2806"/>
      <c r="I55" s="2806"/>
      <c r="J55" s="1764"/>
      <c r="K55" s="93"/>
    </row>
    <row r="56" spans="1:14" ht="13.5" customHeight="1">
      <c r="A56" s="582"/>
      <c r="B56" s="582"/>
      <c r="C56" s="582"/>
      <c r="D56" s="582"/>
      <c r="E56" s="2810" t="s">
        <v>1</v>
      </c>
      <c r="F56" s="2810"/>
      <c r="G56" s="2810"/>
      <c r="H56" s="2810"/>
      <c r="I56" s="2810"/>
      <c r="J56" s="1765"/>
      <c r="K56" s="93"/>
    </row>
    <row r="57" spans="1:14" s="1760" customFormat="1" ht="13.5" customHeight="1">
      <c r="A57" s="582"/>
      <c r="B57" s="1764" t="s">
        <v>1444</v>
      </c>
      <c r="C57" s="582"/>
      <c r="D57" s="582"/>
      <c r="E57" s="601"/>
      <c r="F57" s="763"/>
      <c r="G57" s="763"/>
      <c r="H57" s="763"/>
      <c r="I57" s="763"/>
      <c r="J57" s="1763"/>
      <c r="K57" s="763"/>
    </row>
    <row r="58" spans="1:14" s="1760" customFormat="1" ht="8.1" customHeight="1">
      <c r="A58" s="582"/>
      <c r="B58" s="1764"/>
      <c r="C58" s="582"/>
      <c r="D58" s="582"/>
      <c r="E58" s="601"/>
      <c r="F58" s="763"/>
      <c r="G58" s="763"/>
      <c r="H58" s="763"/>
      <c r="I58" s="763"/>
      <c r="J58" s="1763"/>
      <c r="K58" s="763"/>
    </row>
    <row r="59" spans="1:14" s="1760" customFormat="1" ht="7.5" customHeight="1">
      <c r="A59" s="587"/>
      <c r="B59" s="1761"/>
      <c r="C59" s="582"/>
      <c r="D59" s="582"/>
      <c r="E59" s="601"/>
      <c r="F59" s="763"/>
      <c r="G59" s="763"/>
      <c r="H59" s="763"/>
      <c r="I59" s="763"/>
      <c r="J59" s="763"/>
      <c r="K59" s="763"/>
    </row>
    <row r="60" spans="1:14" s="1760" customFormat="1" ht="15.75">
      <c r="A60" s="588" t="s">
        <v>3</v>
      </c>
      <c r="B60" s="1761" t="s">
        <v>1443</v>
      </c>
      <c r="C60" s="582"/>
      <c r="D60" s="582"/>
      <c r="E60" s="601"/>
      <c r="F60" s="763"/>
      <c r="G60" s="763"/>
      <c r="H60" s="763"/>
      <c r="I60" s="763"/>
      <c r="J60" s="763"/>
      <c r="K60" s="763"/>
    </row>
    <row r="61" spans="1:14" s="1760" customFormat="1" ht="14.25">
      <c r="A61" s="587"/>
      <c r="B61" s="1762" t="s">
        <v>1442</v>
      </c>
      <c r="C61" s="582"/>
      <c r="D61" s="582"/>
      <c r="E61" s="601"/>
      <c r="F61" s="763"/>
      <c r="G61" s="763"/>
      <c r="H61" s="763"/>
      <c r="I61" s="763"/>
      <c r="J61" s="763"/>
      <c r="K61" s="763"/>
    </row>
    <row r="62" spans="1:14" s="1760" customFormat="1" ht="8.1" customHeight="1">
      <c r="A62" s="587"/>
      <c r="B62" s="1761"/>
      <c r="C62" s="582"/>
      <c r="D62" s="582"/>
      <c r="E62" s="601"/>
      <c r="F62" s="763"/>
      <c r="G62" s="763"/>
      <c r="H62" s="763"/>
      <c r="I62" s="763"/>
      <c r="J62" s="763"/>
      <c r="K62" s="763"/>
    </row>
    <row r="63" spans="1:14" s="582" customFormat="1" ht="14.25">
      <c r="A63" s="588" t="s">
        <v>4</v>
      </c>
      <c r="B63" s="2811" t="s">
        <v>1441</v>
      </c>
      <c r="C63" s="2811"/>
      <c r="D63" s="2811"/>
      <c r="E63" s="2811"/>
      <c r="F63" s="2811"/>
      <c r="G63" s="2811"/>
      <c r="H63" s="2811"/>
      <c r="I63" s="2811"/>
      <c r="J63" s="763"/>
      <c r="K63" s="1759"/>
      <c r="L63" s="1759"/>
      <c r="M63" s="763"/>
      <c r="N63" s="763"/>
    </row>
    <row r="64" spans="1:14" s="582" customFormat="1" ht="14.25">
      <c r="A64" s="587"/>
      <c r="B64" s="2812" t="s">
        <v>1440</v>
      </c>
      <c r="C64" s="2812"/>
      <c r="D64" s="2812"/>
      <c r="E64" s="2812"/>
      <c r="F64" s="2812"/>
      <c r="G64" s="2812"/>
      <c r="H64" s="2812"/>
      <c r="I64" s="2812"/>
    </row>
    <row r="65" spans="1:9" s="582" customFormat="1" ht="7.5" customHeight="1">
      <c r="A65" s="587"/>
      <c r="B65" s="1757"/>
      <c r="C65" s="1757"/>
      <c r="D65" s="1757"/>
      <c r="E65" s="1758"/>
      <c r="F65" s="1757"/>
      <c r="G65" s="1757"/>
      <c r="H65" s="1757"/>
      <c r="I65" s="1757"/>
    </row>
    <row r="66" spans="1:9" s="582" customFormat="1" ht="14.25">
      <c r="A66" s="588" t="s">
        <v>263</v>
      </c>
      <c r="B66" s="2813" t="s">
        <v>1439</v>
      </c>
      <c r="C66" s="2813"/>
      <c r="D66" s="2813"/>
      <c r="E66" s="2813"/>
      <c r="F66" s="2813"/>
      <c r="G66" s="2813"/>
      <c r="H66" s="2813"/>
      <c r="I66" s="2813"/>
    </row>
    <row r="67" spans="1:9" s="582" customFormat="1" ht="14.25">
      <c r="A67" s="587"/>
      <c r="B67" s="2813"/>
      <c r="C67" s="2813"/>
      <c r="D67" s="2813"/>
      <c r="E67" s="2813"/>
      <c r="F67" s="2813"/>
      <c r="G67" s="2813"/>
      <c r="H67" s="2813"/>
      <c r="I67" s="2813"/>
    </row>
    <row r="68" spans="1:9" s="582" customFormat="1" ht="14.25">
      <c r="A68" s="587"/>
      <c r="B68" s="2809" t="s">
        <v>1438</v>
      </c>
      <c r="C68" s="2809"/>
      <c r="D68" s="2809"/>
      <c r="E68" s="2809"/>
      <c r="F68" s="2809"/>
      <c r="G68" s="2809"/>
      <c r="H68" s="2809"/>
      <c r="I68" s="2809"/>
    </row>
    <row r="69" spans="1:9" s="582" customFormat="1" ht="14.25">
      <c r="A69" s="587"/>
      <c r="B69" s="2809"/>
      <c r="C69" s="2809"/>
      <c r="D69" s="2809"/>
      <c r="E69" s="2809"/>
      <c r="F69" s="2809"/>
      <c r="G69" s="2809"/>
      <c r="H69" s="2809"/>
      <c r="I69" s="2809"/>
    </row>
    <row r="70" spans="1:9" s="582" customFormat="1" ht="7.5" customHeight="1">
      <c r="A70" s="587"/>
      <c r="B70" s="1755"/>
      <c r="C70" s="1755"/>
      <c r="D70" s="1755"/>
      <c r="E70" s="1756"/>
      <c r="F70" s="1755"/>
      <c r="G70" s="1755"/>
      <c r="H70" s="1755"/>
      <c r="I70" s="1755"/>
    </row>
    <row r="71" spans="1:9" s="582" customFormat="1" ht="14.25">
      <c r="A71" s="588" t="s">
        <v>570</v>
      </c>
      <c r="B71" s="2813" t="s">
        <v>1437</v>
      </c>
      <c r="C71" s="2813"/>
      <c r="D71" s="2813"/>
      <c r="E71" s="2813"/>
      <c r="F71" s="2813"/>
      <c r="G71" s="2813"/>
      <c r="H71" s="2813"/>
      <c r="I71" s="2813"/>
    </row>
    <row r="72" spans="1:9" s="582" customFormat="1" ht="14.25">
      <c r="A72" s="587"/>
      <c r="B72" s="2813"/>
      <c r="C72" s="2813"/>
      <c r="D72" s="2813"/>
      <c r="E72" s="2813"/>
      <c r="F72" s="2813"/>
      <c r="G72" s="2813"/>
      <c r="H72" s="2813"/>
      <c r="I72" s="2813"/>
    </row>
    <row r="73" spans="1:9" s="582" customFormat="1" ht="14.25">
      <c r="A73" s="587"/>
      <c r="B73" s="2809" t="s">
        <v>1436</v>
      </c>
      <c r="C73" s="2809"/>
      <c r="D73" s="2809"/>
      <c r="E73" s="2809"/>
      <c r="F73" s="2809"/>
      <c r="G73" s="2809"/>
      <c r="H73" s="2809"/>
      <c r="I73" s="2809"/>
    </row>
    <row r="74" spans="1:9" s="582" customFormat="1" ht="14.25">
      <c r="A74" s="587"/>
      <c r="B74" s="2809"/>
      <c r="C74" s="2809"/>
      <c r="D74" s="2809"/>
      <c r="E74" s="2809"/>
      <c r="F74" s="2809"/>
      <c r="G74" s="2809"/>
      <c r="H74" s="2809"/>
      <c r="I74" s="2809"/>
    </row>
  </sheetData>
  <mergeCells count="11">
    <mergeCell ref="E55:I55"/>
    <mergeCell ref="B9:C10"/>
    <mergeCell ref="G9:G10"/>
    <mergeCell ref="I9:I10"/>
    <mergeCell ref="B73:I74"/>
    <mergeCell ref="E56:I56"/>
    <mergeCell ref="B63:I63"/>
    <mergeCell ref="B64:I64"/>
    <mergeCell ref="B66:I67"/>
    <mergeCell ref="B68:I69"/>
    <mergeCell ref="B71:I72"/>
  </mergeCells>
  <conditionalFormatting sqref="C13:C53">
    <cfRule type="cellIs" dxfId="37" priority="1"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76" fitToWidth="0" fitToHeight="0"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4DEE0-54F1-4ED5-AE56-5B0FF425CC40}">
  <sheetPr>
    <tabColor theme="4" tint="0.39997558519241921"/>
    <pageSetUpPr fitToPage="1"/>
  </sheetPr>
  <dimension ref="A1:W57"/>
  <sheetViews>
    <sheetView view="pageBreakPreview" zoomScaleNormal="100" zoomScaleSheetLayoutView="100" workbookViewId="0">
      <selection activeCell="E15" sqref="E15"/>
    </sheetView>
  </sheetViews>
  <sheetFormatPr defaultRowHeight="15"/>
  <cols>
    <col min="1" max="1" width="3.7109375" customWidth="1"/>
    <col min="2" max="2" width="14.28515625" customWidth="1"/>
    <col min="3" max="3" width="5.28515625" customWidth="1"/>
    <col min="5" max="5" width="2.5703125" customWidth="1"/>
    <col min="7" max="7" width="2.5703125" customWidth="1"/>
    <col min="9" max="9" width="2.5703125" customWidth="1"/>
    <col min="11" max="11" width="2.5703125" customWidth="1"/>
    <col min="12" max="12" width="16.140625" customWidth="1"/>
    <col min="13" max="13" width="2.5703125" customWidth="1"/>
    <col min="15" max="15" width="2.5703125" customWidth="1"/>
    <col min="17" max="17" width="2.5703125" customWidth="1"/>
  </cols>
  <sheetData>
    <row r="1" spans="1:20" ht="7.5" customHeight="1"/>
    <row r="2" spans="1:20" ht="7.5" customHeight="1"/>
    <row r="3" spans="1:20" s="84" customFormat="1" ht="16.5" customHeight="1">
      <c r="A3" s="675"/>
      <c r="B3" s="188" t="s">
        <v>1499</v>
      </c>
      <c r="C3" s="2814" t="s">
        <v>1498</v>
      </c>
      <c r="D3" s="2814"/>
      <c r="E3" s="2814"/>
      <c r="F3" s="2814"/>
      <c r="G3" s="2814"/>
      <c r="H3" s="2814"/>
      <c r="I3" s="2814"/>
      <c r="J3" s="2814"/>
      <c r="K3" s="2814"/>
      <c r="L3" s="2814"/>
      <c r="M3" s="2814"/>
      <c r="N3" s="2814"/>
      <c r="O3" s="2814"/>
      <c r="P3" s="2814"/>
      <c r="Q3" s="2814"/>
      <c r="R3" s="2814"/>
      <c r="S3" s="476"/>
    </row>
    <row r="4" spans="1:20" s="84" customFormat="1" ht="3.75" customHeight="1">
      <c r="A4" s="675"/>
      <c r="B4" s="1792"/>
      <c r="C4" s="2814"/>
      <c r="D4" s="2814"/>
      <c r="E4" s="2814"/>
      <c r="F4" s="2814"/>
      <c r="G4" s="2814"/>
      <c r="H4" s="2814"/>
      <c r="I4" s="2814"/>
      <c r="J4" s="2814"/>
      <c r="K4" s="2814"/>
      <c r="L4" s="2814"/>
      <c r="M4" s="2814"/>
      <c r="N4" s="2814"/>
      <c r="O4" s="2814"/>
      <c r="P4" s="2814"/>
      <c r="Q4" s="2814"/>
      <c r="R4" s="2814"/>
      <c r="S4" s="476"/>
    </row>
    <row r="5" spans="1:20" s="84" customFormat="1" ht="16.5" customHeight="1">
      <c r="A5" s="476"/>
      <c r="B5" s="145" t="s">
        <v>1497</v>
      </c>
      <c r="C5" s="2782" t="s">
        <v>1496</v>
      </c>
      <c r="D5" s="2782"/>
      <c r="E5" s="2782"/>
      <c r="F5" s="2782"/>
      <c r="G5" s="2782"/>
      <c r="H5" s="2782"/>
      <c r="I5" s="2782"/>
      <c r="J5" s="2782"/>
      <c r="K5" s="2782"/>
      <c r="L5" s="2782"/>
      <c r="M5" s="2782"/>
      <c r="N5" s="2782"/>
      <c r="O5" s="2782"/>
      <c r="P5" s="2782"/>
      <c r="Q5" s="2782"/>
      <c r="R5" s="2782"/>
      <c r="S5" s="476"/>
    </row>
    <row r="6" spans="1:20" s="84" customFormat="1" ht="3.2" customHeight="1">
      <c r="A6" s="476"/>
      <c r="B6" s="145"/>
      <c r="C6" s="2782"/>
      <c r="D6" s="2782"/>
      <c r="E6" s="2782"/>
      <c r="F6" s="2782"/>
      <c r="G6" s="2782"/>
      <c r="H6" s="2782"/>
      <c r="I6" s="2782"/>
      <c r="J6" s="2782"/>
      <c r="K6" s="2782"/>
      <c r="L6" s="2782"/>
      <c r="M6" s="2782"/>
      <c r="N6" s="2782"/>
      <c r="O6" s="2782"/>
      <c r="P6" s="2782"/>
      <c r="Q6" s="2782"/>
      <c r="R6" s="2782"/>
      <c r="S6" s="476"/>
    </row>
    <row r="7" spans="1:20" s="84" customFormat="1" ht="15.2" customHeight="1" thickBot="1">
      <c r="A7" s="1814"/>
      <c r="B7" s="1814"/>
      <c r="C7" s="1814"/>
      <c r="D7" s="1814"/>
      <c r="E7" s="1814"/>
      <c r="F7" s="1814"/>
      <c r="G7" s="1814"/>
      <c r="H7" s="1814"/>
      <c r="I7" s="1814"/>
      <c r="J7" s="1814"/>
      <c r="K7" s="1814"/>
      <c r="L7" s="1814"/>
      <c r="M7" s="1814"/>
      <c r="N7" s="1814"/>
      <c r="O7" s="1814"/>
      <c r="P7" s="1814"/>
      <c r="Q7" s="1814"/>
      <c r="R7" s="1814"/>
      <c r="S7" s="476"/>
    </row>
    <row r="8" spans="1:20" s="84" customFormat="1" ht="5.25" customHeight="1">
      <c r="A8" s="476"/>
      <c r="B8" s="476"/>
      <c r="C8" s="476"/>
      <c r="D8" s="476"/>
      <c r="E8" s="476"/>
      <c r="F8" s="476"/>
      <c r="G8" s="476"/>
      <c r="H8" s="476"/>
      <c r="I8" s="476"/>
      <c r="J8" s="476"/>
      <c r="K8" s="476"/>
      <c r="L8" s="476"/>
      <c r="M8" s="476"/>
      <c r="N8" s="476"/>
      <c r="O8" s="476"/>
      <c r="P8" s="476"/>
      <c r="Q8" s="476"/>
      <c r="R8" s="476"/>
      <c r="S8" s="476"/>
    </row>
    <row r="9" spans="1:20" s="84" customFormat="1" ht="30" customHeight="1">
      <c r="A9" s="1807"/>
      <c r="B9" s="2815" t="s">
        <v>1495</v>
      </c>
      <c r="C9" s="2815"/>
      <c r="D9" s="2817" t="s">
        <v>1494</v>
      </c>
      <c r="E9" s="2817"/>
      <c r="F9" s="2817"/>
      <c r="G9" s="2817"/>
      <c r="H9" s="2817"/>
      <c r="I9" s="2817"/>
      <c r="J9" s="2817"/>
      <c r="K9" s="2817"/>
      <c r="L9" s="2817"/>
      <c r="M9" s="2817"/>
      <c r="N9" s="2817"/>
      <c r="O9" s="2817"/>
      <c r="P9" s="2817"/>
      <c r="Q9" s="2817"/>
      <c r="R9" s="2817"/>
      <c r="S9" s="1808"/>
      <c r="T9" s="764"/>
    </row>
    <row r="10" spans="1:20" s="84" customFormat="1" ht="5.25" customHeight="1">
      <c r="A10" s="1807"/>
      <c r="B10" s="2815"/>
      <c r="C10" s="2815"/>
      <c r="D10" s="765"/>
      <c r="E10" s="765"/>
      <c r="F10" s="765"/>
      <c r="G10" s="765"/>
      <c r="H10" s="765"/>
      <c r="I10" s="765"/>
      <c r="J10" s="765"/>
      <c r="K10" s="765"/>
      <c r="L10" s="765"/>
      <c r="M10" s="765"/>
      <c r="N10" s="765"/>
      <c r="O10" s="765"/>
      <c r="P10" s="765"/>
      <c r="Q10" s="765"/>
      <c r="R10" s="765"/>
      <c r="S10" s="1808"/>
      <c r="T10" s="764"/>
    </row>
    <row r="11" spans="1:20" s="84" customFormat="1">
      <c r="A11" s="1807"/>
      <c r="B11" s="2815"/>
      <c r="C11" s="2815"/>
      <c r="D11" s="2818" t="s">
        <v>1461</v>
      </c>
      <c r="E11" s="766"/>
      <c r="F11" s="1813" t="s">
        <v>1493</v>
      </c>
      <c r="G11" s="766"/>
      <c r="H11" s="1813" t="s">
        <v>1492</v>
      </c>
      <c r="I11" s="766"/>
      <c r="J11" s="1813" t="s">
        <v>1491</v>
      </c>
      <c r="K11" s="766"/>
      <c r="L11" s="1813" t="s">
        <v>1490</v>
      </c>
      <c r="M11" s="766"/>
      <c r="N11" s="1813" t="s">
        <v>1489</v>
      </c>
      <c r="O11" s="766"/>
      <c r="P11" s="2818" t="s">
        <v>1451</v>
      </c>
      <c r="Q11" s="766"/>
      <c r="R11" s="1813" t="s">
        <v>1488</v>
      </c>
      <c r="S11" s="1808"/>
      <c r="T11" s="764"/>
    </row>
    <row r="12" spans="1:20" s="84" customFormat="1" ht="26.25" thickBot="1">
      <c r="A12" s="1812"/>
      <c r="B12" s="2816"/>
      <c r="C12" s="2816"/>
      <c r="D12" s="2819"/>
      <c r="E12" s="1810"/>
      <c r="F12" s="1809" t="s">
        <v>1487</v>
      </c>
      <c r="G12" s="1810"/>
      <c r="H12" s="1809" t="s">
        <v>1486</v>
      </c>
      <c r="I12" s="1810"/>
      <c r="J12" s="1809" t="s">
        <v>1485</v>
      </c>
      <c r="K12" s="1810"/>
      <c r="L12" s="1811" t="s">
        <v>1484</v>
      </c>
      <c r="M12" s="1810"/>
      <c r="N12" s="1809" t="s">
        <v>1483</v>
      </c>
      <c r="O12" s="1810"/>
      <c r="P12" s="2819"/>
      <c r="Q12" s="1810"/>
      <c r="R12" s="1809" t="s">
        <v>1482</v>
      </c>
      <c r="S12" s="1808"/>
      <c r="T12" s="764"/>
    </row>
    <row r="13" spans="1:20" s="84" customFormat="1">
      <c r="B13" s="561"/>
      <c r="C13" s="764"/>
      <c r="D13" s="764"/>
      <c r="E13" s="764"/>
      <c r="F13" s="1807"/>
      <c r="G13" s="1807"/>
      <c r="H13" s="1807"/>
      <c r="I13" s="1807"/>
      <c r="J13" s="1806"/>
      <c r="K13" s="1806"/>
      <c r="L13" s="1806"/>
      <c r="M13" s="1806"/>
      <c r="N13" s="1806"/>
      <c r="O13" s="1806"/>
      <c r="P13" s="1806"/>
      <c r="Q13" s="1806"/>
      <c r="R13" s="1806"/>
      <c r="T13" s="764"/>
    </row>
    <row r="14" spans="1:20" s="84" customFormat="1" ht="15.2" customHeight="1">
      <c r="B14" s="760" t="s">
        <v>1481</v>
      </c>
      <c r="C14" s="764"/>
      <c r="D14" s="1561">
        <v>12.2</v>
      </c>
      <c r="E14" s="1469"/>
      <c r="F14" s="1561">
        <v>2.2000000000000002</v>
      </c>
      <c r="G14" s="1561"/>
      <c r="H14" s="1561">
        <v>8.4</v>
      </c>
      <c r="I14" s="1561"/>
      <c r="J14" s="1561">
        <v>2.2000000000000002</v>
      </c>
      <c r="K14" s="1564"/>
      <c r="L14" s="1561">
        <v>6.6</v>
      </c>
      <c r="M14" s="1564"/>
      <c r="N14" s="1561">
        <v>2.6</v>
      </c>
      <c r="O14" s="1564"/>
      <c r="P14" s="1561">
        <v>4.2</v>
      </c>
      <c r="Q14" s="1564"/>
      <c r="R14" s="1561">
        <v>4.7</v>
      </c>
      <c r="T14" s="764"/>
    </row>
    <row r="15" spans="1:20" s="84" customFormat="1" ht="15.2" customHeight="1">
      <c r="B15" s="1805"/>
      <c r="C15" s="764"/>
      <c r="D15" s="1561"/>
      <c r="E15" s="1469"/>
      <c r="F15" s="1561"/>
      <c r="G15" s="1561"/>
      <c r="H15" s="1561"/>
      <c r="I15" s="1561"/>
      <c r="J15" s="1561"/>
      <c r="K15" s="1564"/>
      <c r="L15" s="1561"/>
      <c r="M15" s="1564"/>
      <c r="N15" s="1561"/>
      <c r="O15" s="1564"/>
      <c r="P15" s="1561"/>
      <c r="Q15" s="1564"/>
      <c r="R15" s="1561"/>
      <c r="T15" s="764"/>
    </row>
    <row r="16" spans="1:20" s="84" customFormat="1" ht="15.2" customHeight="1">
      <c r="B16" s="578" t="s">
        <v>412</v>
      </c>
      <c r="C16" s="476"/>
      <c r="D16" s="761">
        <v>6</v>
      </c>
      <c r="E16" s="761"/>
      <c r="F16" s="761">
        <v>1.1000000000000001</v>
      </c>
      <c r="G16" s="761"/>
      <c r="H16" s="761">
        <v>8</v>
      </c>
      <c r="I16" s="761"/>
      <c r="J16" s="761">
        <v>3.8</v>
      </c>
      <c r="K16" s="761"/>
      <c r="L16" s="761">
        <v>4.5</v>
      </c>
      <c r="M16" s="761"/>
      <c r="N16" s="761">
        <v>2.2000000000000002</v>
      </c>
      <c r="O16" s="761"/>
      <c r="P16" s="761">
        <v>2.7</v>
      </c>
      <c r="Q16" s="761"/>
      <c r="R16" s="761">
        <v>3.6</v>
      </c>
      <c r="S16" s="399"/>
      <c r="T16" s="399"/>
    </row>
    <row r="17" spans="2:20" s="84" customFormat="1" ht="15.2" customHeight="1">
      <c r="B17" s="1804"/>
      <c r="C17" s="761"/>
      <c r="D17" s="761"/>
      <c r="E17" s="761"/>
      <c r="F17" s="761"/>
      <c r="G17" s="761"/>
      <c r="H17" s="761"/>
      <c r="I17" s="761"/>
      <c r="J17" s="761"/>
      <c r="K17" s="761"/>
      <c r="L17" s="761"/>
      <c r="M17" s="761"/>
      <c r="N17" s="761"/>
      <c r="O17" s="761"/>
      <c r="P17" s="761"/>
      <c r="Q17" s="761"/>
      <c r="R17" s="761"/>
      <c r="S17" s="1774"/>
      <c r="T17" s="1773"/>
    </row>
    <row r="18" spans="2:20" s="84" customFormat="1" ht="15.2" customHeight="1">
      <c r="B18" s="673" t="s">
        <v>413</v>
      </c>
      <c r="C18" s="761"/>
      <c r="D18" s="761">
        <v>5.9</v>
      </c>
      <c r="E18" s="761"/>
      <c r="F18" s="761">
        <v>1.5</v>
      </c>
      <c r="G18" s="761"/>
      <c r="H18" s="761">
        <v>7.6</v>
      </c>
      <c r="I18" s="761"/>
      <c r="J18" s="761">
        <v>2.7</v>
      </c>
      <c r="K18" s="761"/>
      <c r="L18" s="761">
        <v>5.2</v>
      </c>
      <c r="M18" s="761"/>
      <c r="N18" s="761">
        <v>2.8</v>
      </c>
      <c r="O18" s="761"/>
      <c r="P18" s="761">
        <v>3.4</v>
      </c>
      <c r="Q18" s="761"/>
      <c r="R18" s="761">
        <v>5.6</v>
      </c>
      <c r="S18" s="1774"/>
      <c r="T18" s="1773"/>
    </row>
    <row r="19" spans="2:20" s="84" customFormat="1" ht="15.2" customHeight="1">
      <c r="B19" s="1804"/>
      <c r="C19" s="761"/>
      <c r="D19" s="761"/>
      <c r="E19" s="761"/>
      <c r="F19" s="761"/>
      <c r="G19" s="761"/>
      <c r="H19" s="761"/>
      <c r="I19" s="761"/>
      <c r="J19" s="761"/>
      <c r="K19" s="761"/>
      <c r="L19" s="761"/>
      <c r="M19" s="761"/>
      <c r="N19" s="761"/>
      <c r="O19" s="761"/>
      <c r="P19" s="761"/>
      <c r="Q19" s="761"/>
      <c r="R19" s="761"/>
      <c r="S19" s="1774"/>
      <c r="T19" s="1773"/>
    </row>
    <row r="20" spans="2:20" s="84" customFormat="1" ht="15.2" customHeight="1">
      <c r="B20" s="578" t="s">
        <v>414</v>
      </c>
      <c r="C20" s="761"/>
      <c r="D20" s="761">
        <v>16.399999999999999</v>
      </c>
      <c r="E20" s="761"/>
      <c r="F20" s="761">
        <v>5.6</v>
      </c>
      <c r="G20" s="761"/>
      <c r="H20" s="761">
        <v>12.5</v>
      </c>
      <c r="I20" s="761"/>
      <c r="J20" s="761">
        <v>1.3</v>
      </c>
      <c r="K20" s="761"/>
      <c r="L20" s="761">
        <v>8.4</v>
      </c>
      <c r="M20" s="761"/>
      <c r="N20" s="761">
        <v>3.5</v>
      </c>
      <c r="O20" s="761"/>
      <c r="P20" s="761">
        <v>2.4</v>
      </c>
      <c r="Q20" s="761"/>
      <c r="R20" s="761">
        <v>5.4</v>
      </c>
      <c r="S20" s="1774"/>
      <c r="T20" s="1773"/>
    </row>
    <row r="21" spans="2:20" s="84" customFormat="1" ht="15.2" customHeight="1">
      <c r="B21" s="1804"/>
      <c r="C21" s="761"/>
      <c r="D21" s="761"/>
      <c r="E21" s="761"/>
      <c r="F21" s="761"/>
      <c r="G21" s="761"/>
      <c r="H21" s="761"/>
      <c r="I21" s="761"/>
      <c r="J21" s="761"/>
      <c r="K21" s="761"/>
      <c r="L21" s="761"/>
      <c r="M21" s="761"/>
      <c r="N21" s="761"/>
      <c r="O21" s="761"/>
      <c r="P21" s="761"/>
      <c r="Q21" s="761"/>
      <c r="R21" s="761"/>
      <c r="S21" s="1774"/>
      <c r="T21" s="1773"/>
    </row>
    <row r="22" spans="2:20" s="84" customFormat="1" ht="15.2" customHeight="1">
      <c r="B22" s="578" t="s">
        <v>415</v>
      </c>
      <c r="C22" s="761"/>
      <c r="D22" s="761">
        <v>21</v>
      </c>
      <c r="E22" s="761"/>
      <c r="F22" s="761">
        <v>2.2000000000000002</v>
      </c>
      <c r="G22" s="761"/>
      <c r="H22" s="761">
        <v>12.1</v>
      </c>
      <c r="I22" s="761"/>
      <c r="J22" s="761">
        <v>1.6</v>
      </c>
      <c r="K22" s="761"/>
      <c r="L22" s="761">
        <v>6.7</v>
      </c>
      <c r="M22" s="761"/>
      <c r="N22" s="761">
        <v>2.6</v>
      </c>
      <c r="O22" s="761"/>
      <c r="P22" s="761">
        <v>2.6</v>
      </c>
      <c r="Q22" s="761"/>
      <c r="R22" s="761">
        <v>4</v>
      </c>
      <c r="S22" s="1774"/>
      <c r="T22" s="1773"/>
    </row>
    <row r="23" spans="2:20" s="84" customFormat="1" ht="15.2" customHeight="1">
      <c r="B23" s="1804"/>
      <c r="C23" s="761"/>
      <c r="D23" s="761"/>
      <c r="E23" s="761"/>
      <c r="F23" s="761"/>
      <c r="G23" s="761"/>
      <c r="H23" s="761"/>
      <c r="I23" s="761"/>
      <c r="J23" s="761"/>
      <c r="K23" s="761"/>
      <c r="L23" s="761"/>
      <c r="M23" s="761"/>
      <c r="N23" s="761"/>
      <c r="O23" s="761"/>
      <c r="P23" s="761"/>
      <c r="Q23" s="761"/>
      <c r="R23" s="761"/>
      <c r="S23" s="1774"/>
      <c r="T23" s="1773"/>
    </row>
    <row r="24" spans="2:20" s="84" customFormat="1" ht="15.2" customHeight="1">
      <c r="B24" s="578" t="s">
        <v>416</v>
      </c>
      <c r="C24" s="761"/>
      <c r="D24" s="761">
        <v>6.7</v>
      </c>
      <c r="E24" s="761"/>
      <c r="F24" s="761">
        <v>2</v>
      </c>
      <c r="G24" s="761"/>
      <c r="H24" s="761">
        <v>7.5</v>
      </c>
      <c r="I24" s="761"/>
      <c r="J24" s="761">
        <v>2.2999999999999998</v>
      </c>
      <c r="K24" s="761"/>
      <c r="L24" s="761">
        <v>4.7</v>
      </c>
      <c r="M24" s="761"/>
      <c r="N24" s="761">
        <v>2.2000000000000002</v>
      </c>
      <c r="O24" s="761"/>
      <c r="P24" s="761">
        <v>2.8</v>
      </c>
      <c r="Q24" s="761"/>
      <c r="R24" s="761">
        <v>4</v>
      </c>
      <c r="S24" s="1774"/>
      <c r="T24" s="1773"/>
    </row>
    <row r="25" spans="2:20" s="84" customFormat="1" ht="15.2" customHeight="1">
      <c r="B25" s="1804"/>
      <c r="C25" s="761"/>
      <c r="D25" s="761"/>
      <c r="E25" s="761"/>
      <c r="F25" s="761"/>
      <c r="G25" s="761"/>
      <c r="H25" s="761"/>
      <c r="I25" s="761"/>
      <c r="J25" s="761"/>
      <c r="K25" s="761"/>
      <c r="L25" s="761"/>
      <c r="M25" s="761"/>
      <c r="N25" s="761"/>
      <c r="O25" s="761"/>
      <c r="P25" s="761"/>
      <c r="Q25" s="761"/>
      <c r="R25" s="761"/>
      <c r="S25" s="1774"/>
      <c r="T25" s="1773"/>
    </row>
    <row r="26" spans="2:20" s="84" customFormat="1" ht="15.2" customHeight="1">
      <c r="B26" s="578" t="s">
        <v>417</v>
      </c>
      <c r="C26" s="761"/>
      <c r="D26" s="761">
        <v>5.5</v>
      </c>
      <c r="E26" s="761"/>
      <c r="F26" s="761">
        <v>4.5999999999999996</v>
      </c>
      <c r="G26" s="761"/>
      <c r="H26" s="761">
        <v>7.3</v>
      </c>
      <c r="I26" s="761"/>
      <c r="J26" s="761">
        <v>1.1000000000000001</v>
      </c>
      <c r="K26" s="761"/>
      <c r="L26" s="761">
        <v>5.4</v>
      </c>
      <c r="M26" s="761"/>
      <c r="N26" s="761">
        <v>3.8</v>
      </c>
      <c r="O26" s="761"/>
      <c r="P26" s="761">
        <v>2.4</v>
      </c>
      <c r="Q26" s="761"/>
      <c r="R26" s="761">
        <v>3.1</v>
      </c>
      <c r="S26" s="1774"/>
      <c r="T26" s="1773"/>
    </row>
    <row r="27" spans="2:20" s="84" customFormat="1" ht="15.2" customHeight="1">
      <c r="B27" s="1804"/>
      <c r="C27" s="761"/>
      <c r="D27" s="761"/>
      <c r="E27" s="761"/>
      <c r="F27" s="761"/>
      <c r="G27" s="761"/>
      <c r="H27" s="761"/>
      <c r="I27" s="761"/>
      <c r="J27" s="761"/>
      <c r="K27" s="761"/>
      <c r="L27" s="761"/>
      <c r="M27" s="761"/>
      <c r="N27" s="761"/>
      <c r="O27" s="761"/>
      <c r="P27" s="761"/>
      <c r="Q27" s="761"/>
      <c r="R27" s="761"/>
      <c r="S27" s="1774"/>
      <c r="T27" s="1773"/>
    </row>
    <row r="28" spans="2:20" s="84" customFormat="1" ht="15.2" customHeight="1">
      <c r="B28" s="578" t="s">
        <v>418</v>
      </c>
      <c r="C28" s="761"/>
      <c r="D28" s="761">
        <v>10.199999999999999</v>
      </c>
      <c r="E28" s="761"/>
      <c r="F28" s="761">
        <v>1</v>
      </c>
      <c r="G28" s="761"/>
      <c r="H28" s="761">
        <v>8.8000000000000007</v>
      </c>
      <c r="I28" s="761"/>
      <c r="J28" s="761">
        <v>2.2000000000000002</v>
      </c>
      <c r="K28" s="761"/>
      <c r="L28" s="761">
        <v>5</v>
      </c>
      <c r="M28" s="761"/>
      <c r="N28" s="761">
        <v>2.2000000000000002</v>
      </c>
      <c r="O28" s="761"/>
      <c r="P28" s="761">
        <v>5.5</v>
      </c>
      <c r="Q28" s="761"/>
      <c r="R28" s="761">
        <v>6</v>
      </c>
      <c r="S28" s="1774"/>
      <c r="T28" s="1773"/>
    </row>
    <row r="29" spans="2:20" s="84" customFormat="1" ht="15.2" customHeight="1">
      <c r="B29" s="1804"/>
      <c r="C29" s="761"/>
      <c r="D29" s="761"/>
      <c r="E29" s="761"/>
      <c r="F29" s="761"/>
      <c r="G29" s="761"/>
      <c r="H29" s="761"/>
      <c r="I29" s="761"/>
      <c r="J29" s="761"/>
      <c r="K29" s="761"/>
      <c r="L29" s="761"/>
      <c r="M29" s="761"/>
      <c r="N29" s="761"/>
      <c r="O29" s="761"/>
      <c r="P29" s="761"/>
      <c r="Q29" s="761"/>
      <c r="R29" s="761"/>
      <c r="S29" s="1774"/>
      <c r="T29" s="1773"/>
    </row>
    <row r="30" spans="2:20" s="84" customFormat="1" ht="15.2" customHeight="1">
      <c r="B30" s="578" t="s">
        <v>419</v>
      </c>
      <c r="C30" s="761"/>
      <c r="D30" s="761">
        <v>17.7</v>
      </c>
      <c r="E30" s="761"/>
      <c r="F30" s="761">
        <v>2</v>
      </c>
      <c r="G30" s="761"/>
      <c r="H30" s="761">
        <v>7.9</v>
      </c>
      <c r="I30" s="761"/>
      <c r="J30" s="761">
        <v>2.4</v>
      </c>
      <c r="K30" s="761"/>
      <c r="L30" s="761">
        <v>6.9</v>
      </c>
      <c r="M30" s="761"/>
      <c r="N30" s="761">
        <v>2.2000000000000002</v>
      </c>
      <c r="O30" s="761"/>
      <c r="P30" s="761">
        <v>3.9</v>
      </c>
      <c r="Q30" s="761"/>
      <c r="R30" s="761">
        <v>4.9000000000000004</v>
      </c>
      <c r="S30" s="1774"/>
      <c r="T30" s="1773"/>
    </row>
    <row r="31" spans="2:20" s="84" customFormat="1" ht="15.2" customHeight="1">
      <c r="B31" s="1804"/>
      <c r="C31" s="761"/>
      <c r="D31" s="761"/>
      <c r="E31" s="761"/>
      <c r="F31" s="761"/>
      <c r="G31" s="761"/>
      <c r="H31" s="761"/>
      <c r="I31" s="761"/>
      <c r="J31" s="761"/>
      <c r="K31" s="761"/>
      <c r="L31" s="761"/>
      <c r="M31" s="761"/>
      <c r="N31" s="761"/>
      <c r="O31" s="761"/>
      <c r="P31" s="761"/>
      <c r="Q31" s="761"/>
      <c r="R31" s="761"/>
      <c r="S31" s="1774"/>
      <c r="T31" s="1773"/>
    </row>
    <row r="32" spans="2:20" s="84" customFormat="1" ht="15.2" customHeight="1">
      <c r="B32" s="578" t="s">
        <v>420</v>
      </c>
      <c r="C32" s="761"/>
      <c r="D32" s="761">
        <v>15.3</v>
      </c>
      <c r="E32" s="761"/>
      <c r="F32" s="761">
        <v>2.4</v>
      </c>
      <c r="G32" s="761"/>
      <c r="H32" s="761">
        <v>6.9</v>
      </c>
      <c r="I32" s="761"/>
      <c r="J32" s="761">
        <v>1.5</v>
      </c>
      <c r="K32" s="761"/>
      <c r="L32" s="761">
        <v>7.8</v>
      </c>
      <c r="M32" s="761"/>
      <c r="N32" s="761">
        <v>1.7</v>
      </c>
      <c r="O32" s="761"/>
      <c r="P32" s="761">
        <v>1.5</v>
      </c>
      <c r="Q32" s="761"/>
      <c r="R32" s="761">
        <v>4</v>
      </c>
      <c r="S32" s="1774"/>
      <c r="T32" s="1773"/>
    </row>
    <row r="33" spans="1:20" s="84" customFormat="1" ht="15.2" customHeight="1">
      <c r="B33" s="1804"/>
      <c r="C33" s="761"/>
      <c r="D33" s="761"/>
      <c r="E33" s="761"/>
      <c r="F33" s="761"/>
      <c r="G33" s="761"/>
      <c r="H33" s="761"/>
      <c r="I33" s="761"/>
      <c r="J33" s="761"/>
      <c r="K33" s="761"/>
      <c r="L33" s="761"/>
      <c r="M33" s="761"/>
      <c r="N33" s="761"/>
      <c r="O33" s="761"/>
      <c r="P33" s="761"/>
      <c r="Q33" s="761"/>
      <c r="R33" s="761"/>
      <c r="S33" s="1774"/>
      <c r="T33" s="1773"/>
    </row>
    <row r="34" spans="1:20" s="84" customFormat="1" ht="15.2" customHeight="1">
      <c r="B34" s="578" t="s">
        <v>421</v>
      </c>
      <c r="C34" s="761"/>
      <c r="D34" s="761">
        <v>11.3</v>
      </c>
      <c r="E34" s="761"/>
      <c r="F34" s="761">
        <v>2.2999999999999998</v>
      </c>
      <c r="G34" s="761"/>
      <c r="H34" s="761">
        <v>8.1</v>
      </c>
      <c r="I34" s="761"/>
      <c r="J34" s="761">
        <v>2.7</v>
      </c>
      <c r="K34" s="761"/>
      <c r="L34" s="761">
        <v>8.1999999999999993</v>
      </c>
      <c r="M34" s="761"/>
      <c r="N34" s="761">
        <v>2.5</v>
      </c>
      <c r="O34" s="761"/>
      <c r="P34" s="761">
        <v>9.1999999999999993</v>
      </c>
      <c r="Q34" s="761"/>
      <c r="R34" s="761">
        <v>5.7</v>
      </c>
      <c r="S34" s="1774"/>
      <c r="T34" s="1773"/>
    </row>
    <row r="35" spans="1:20" s="84" customFormat="1" ht="15.2" customHeight="1">
      <c r="B35" s="904"/>
      <c r="C35" s="761"/>
      <c r="D35" s="761"/>
      <c r="E35" s="761"/>
      <c r="F35" s="761"/>
      <c r="G35" s="761"/>
      <c r="H35" s="761"/>
      <c r="I35" s="761"/>
      <c r="J35" s="761"/>
      <c r="K35" s="761"/>
      <c r="L35" s="761"/>
      <c r="M35" s="761"/>
      <c r="N35" s="761"/>
      <c r="O35" s="761"/>
      <c r="P35" s="761"/>
      <c r="Q35" s="761"/>
      <c r="R35" s="761"/>
      <c r="S35" s="1774"/>
      <c r="T35" s="1773"/>
    </row>
    <row r="36" spans="1:20" s="84" customFormat="1" ht="15.2" customHeight="1">
      <c r="B36" s="578" t="s">
        <v>422</v>
      </c>
      <c r="C36" s="761"/>
      <c r="D36" s="761">
        <v>10.5</v>
      </c>
      <c r="E36" s="761"/>
      <c r="F36" s="761">
        <v>4.9000000000000004</v>
      </c>
      <c r="G36" s="761"/>
      <c r="H36" s="761">
        <v>17.8</v>
      </c>
      <c r="I36" s="761"/>
      <c r="J36" s="761">
        <v>2.4</v>
      </c>
      <c r="K36" s="761"/>
      <c r="L36" s="761">
        <v>6</v>
      </c>
      <c r="M36" s="761"/>
      <c r="N36" s="761">
        <v>4.8</v>
      </c>
      <c r="O36" s="761"/>
      <c r="P36" s="761">
        <v>3.2</v>
      </c>
      <c r="Q36" s="761"/>
      <c r="R36" s="761">
        <v>4.0999999999999996</v>
      </c>
      <c r="S36" s="1774"/>
      <c r="T36" s="1773"/>
    </row>
    <row r="37" spans="1:20" s="84" customFormat="1" ht="15.2" customHeight="1">
      <c r="B37" s="578"/>
      <c r="C37" s="761"/>
      <c r="D37" s="761"/>
      <c r="E37" s="761"/>
      <c r="F37" s="761"/>
      <c r="G37" s="761"/>
      <c r="H37" s="761"/>
      <c r="I37" s="761"/>
      <c r="J37" s="761"/>
      <c r="K37" s="761"/>
      <c r="L37" s="761"/>
      <c r="M37" s="761"/>
      <c r="N37" s="761"/>
      <c r="O37" s="761"/>
      <c r="P37" s="761"/>
      <c r="Q37" s="761"/>
      <c r="R37" s="761"/>
      <c r="S37" s="1774"/>
      <c r="T37" s="1773"/>
    </row>
    <row r="38" spans="1:20" s="84" customFormat="1">
      <c r="B38" s="578" t="s">
        <v>423</v>
      </c>
      <c r="C38" s="761"/>
      <c r="D38" s="761">
        <v>12.8</v>
      </c>
      <c r="E38" s="761"/>
      <c r="F38" s="761">
        <v>1</v>
      </c>
      <c r="G38" s="761"/>
      <c r="H38" s="761">
        <v>3.5</v>
      </c>
      <c r="I38" s="761"/>
      <c r="J38" s="761">
        <v>0.4</v>
      </c>
      <c r="K38" s="761"/>
      <c r="L38" s="761">
        <v>7.3</v>
      </c>
      <c r="M38" s="761"/>
      <c r="N38" s="761">
        <v>2.6</v>
      </c>
      <c r="O38" s="761"/>
      <c r="P38" s="761">
        <v>1.4</v>
      </c>
      <c r="Q38" s="761"/>
      <c r="R38" s="761">
        <v>4.8</v>
      </c>
      <c r="S38" s="1774"/>
      <c r="T38" s="1773"/>
    </row>
    <row r="39" spans="1:20" s="84" customFormat="1">
      <c r="B39" s="578"/>
      <c r="C39" s="761"/>
      <c r="D39" s="761"/>
      <c r="E39" s="761"/>
      <c r="F39" s="761"/>
      <c r="G39" s="761"/>
      <c r="H39" s="761"/>
      <c r="I39" s="761"/>
      <c r="J39" s="761"/>
      <c r="K39" s="761"/>
      <c r="L39" s="761"/>
      <c r="M39" s="761"/>
      <c r="N39" s="761"/>
      <c r="O39" s="761"/>
      <c r="P39" s="761"/>
      <c r="Q39" s="761"/>
      <c r="R39" s="761"/>
      <c r="S39" s="1774"/>
      <c r="T39" s="1773"/>
    </row>
    <row r="40" spans="1:20" s="84" customFormat="1">
      <c r="B40" s="578" t="s">
        <v>235</v>
      </c>
      <c r="C40" s="761"/>
      <c r="D40" s="761">
        <v>17.7</v>
      </c>
      <c r="E40" s="761"/>
      <c r="F40" s="761">
        <v>0.8</v>
      </c>
      <c r="G40" s="761"/>
      <c r="H40" s="761">
        <v>10.1</v>
      </c>
      <c r="I40" s="761"/>
      <c r="J40" s="761">
        <v>1</v>
      </c>
      <c r="K40" s="761"/>
      <c r="L40" s="761">
        <v>6</v>
      </c>
      <c r="M40" s="761"/>
      <c r="N40" s="761">
        <v>2.6</v>
      </c>
      <c r="O40" s="761"/>
      <c r="P40" s="761">
        <v>1.1000000000000001</v>
      </c>
      <c r="Q40" s="761"/>
      <c r="R40" s="761">
        <v>3.2</v>
      </c>
      <c r="S40" s="1774"/>
      <c r="T40" s="1773"/>
    </row>
    <row r="41" spans="1:20" s="84" customFormat="1">
      <c r="B41" s="578"/>
      <c r="C41" s="761"/>
      <c r="D41" s="761"/>
      <c r="E41" s="761"/>
      <c r="F41" s="761"/>
      <c r="G41" s="761"/>
      <c r="H41" s="761"/>
      <c r="I41" s="761"/>
      <c r="J41" s="761"/>
      <c r="K41" s="761"/>
      <c r="L41" s="761"/>
      <c r="M41" s="761"/>
      <c r="N41" s="761"/>
      <c r="O41" s="761"/>
      <c r="P41" s="761"/>
      <c r="Q41" s="761"/>
      <c r="R41" s="761"/>
      <c r="S41" s="1774"/>
      <c r="T41" s="1773"/>
    </row>
    <row r="42" spans="1:20" s="84" customFormat="1">
      <c r="B42" s="578" t="s">
        <v>424</v>
      </c>
      <c r="C42" s="761"/>
      <c r="D42" s="761">
        <v>22.6</v>
      </c>
      <c r="E42" s="761"/>
      <c r="F42" s="761">
        <v>2.9</v>
      </c>
      <c r="G42" s="761"/>
      <c r="H42" s="761">
        <v>6.8</v>
      </c>
      <c r="I42" s="761"/>
      <c r="J42" s="761">
        <v>2.2999999999999998</v>
      </c>
      <c r="K42" s="761"/>
      <c r="L42" s="761">
        <v>6.3</v>
      </c>
      <c r="M42" s="761"/>
      <c r="N42" s="761">
        <v>2</v>
      </c>
      <c r="O42" s="761"/>
      <c r="P42" s="761">
        <v>3.6</v>
      </c>
      <c r="Q42" s="761"/>
      <c r="R42" s="761">
        <v>4.4000000000000004</v>
      </c>
      <c r="S42" s="1774"/>
      <c r="T42" s="1773"/>
    </row>
    <row r="43" spans="1:20" s="84" customFormat="1">
      <c r="B43" s="578"/>
      <c r="C43" s="761"/>
      <c r="D43" s="761"/>
      <c r="E43" s="761"/>
      <c r="F43" s="761"/>
      <c r="G43" s="761"/>
      <c r="H43" s="761"/>
      <c r="I43" s="761"/>
      <c r="J43" s="761"/>
      <c r="K43" s="761"/>
      <c r="L43" s="761"/>
      <c r="M43" s="761"/>
      <c r="N43" s="761"/>
      <c r="O43" s="761"/>
      <c r="P43" s="761"/>
      <c r="Q43" s="761"/>
      <c r="R43" s="761"/>
      <c r="S43" s="1774"/>
      <c r="T43" s="1773"/>
    </row>
    <row r="44" spans="1:20" s="84" customFormat="1">
      <c r="B44" s="578" t="s">
        <v>425</v>
      </c>
      <c r="C44" s="761"/>
      <c r="D44" s="761">
        <v>1.2</v>
      </c>
      <c r="E44" s="761"/>
      <c r="F44" s="761">
        <v>0.3</v>
      </c>
      <c r="G44" s="761"/>
      <c r="H44" s="761">
        <v>13.5</v>
      </c>
      <c r="I44" s="761"/>
      <c r="J44" s="761">
        <v>0.2</v>
      </c>
      <c r="K44" s="761"/>
      <c r="L44" s="761">
        <v>5.2</v>
      </c>
      <c r="M44" s="761"/>
      <c r="N44" s="761">
        <v>0.8</v>
      </c>
      <c r="O44" s="761"/>
      <c r="P44" s="761">
        <v>1</v>
      </c>
      <c r="Q44" s="761"/>
      <c r="R44" s="761">
        <v>3.1</v>
      </c>
      <c r="S44" s="1774"/>
      <c r="T44" s="1773"/>
    </row>
    <row r="45" spans="1:20" s="84" customFormat="1">
      <c r="B45" s="578"/>
      <c r="C45" s="761"/>
      <c r="D45" s="761"/>
      <c r="E45" s="761"/>
      <c r="F45" s="761"/>
      <c r="G45" s="761"/>
      <c r="H45" s="761"/>
      <c r="I45" s="761"/>
      <c r="J45" s="761"/>
      <c r="K45" s="761"/>
      <c r="L45" s="761"/>
      <c r="M45" s="761"/>
      <c r="N45" s="761"/>
      <c r="O45" s="761"/>
      <c r="P45" s="761"/>
      <c r="Q45" s="761"/>
      <c r="R45" s="761"/>
      <c r="S45" s="1774"/>
      <c r="T45" s="1773"/>
    </row>
    <row r="46" spans="1:20" s="84" customFormat="1">
      <c r="B46" s="578" t="s">
        <v>426</v>
      </c>
      <c r="C46" s="761"/>
      <c r="D46" s="761">
        <v>6.3</v>
      </c>
      <c r="E46" s="761"/>
      <c r="F46" s="761">
        <v>1.2</v>
      </c>
      <c r="G46" s="761"/>
      <c r="H46" s="761">
        <v>10</v>
      </c>
      <c r="I46" s="761"/>
      <c r="J46" s="761">
        <v>2.4</v>
      </c>
      <c r="K46" s="761"/>
      <c r="L46" s="761">
        <v>5.7</v>
      </c>
      <c r="M46" s="761"/>
      <c r="N46" s="761">
        <v>1.1000000000000001</v>
      </c>
      <c r="O46" s="761"/>
      <c r="P46" s="761">
        <v>2</v>
      </c>
      <c r="Q46" s="761"/>
      <c r="R46" s="761">
        <v>1.7</v>
      </c>
      <c r="S46" s="1774"/>
      <c r="T46" s="1773"/>
    </row>
    <row r="47" spans="1:20" s="84" customFormat="1" ht="7.5" customHeight="1" thickBot="1">
      <c r="A47" s="1803"/>
      <c r="B47" s="1803"/>
      <c r="C47" s="1803"/>
      <c r="D47" s="1803"/>
      <c r="E47" s="1803"/>
      <c r="F47" s="1803"/>
      <c r="G47" s="1803"/>
      <c r="H47" s="1803"/>
      <c r="I47" s="1803"/>
      <c r="J47" s="1803"/>
      <c r="K47" s="1803"/>
      <c r="L47" s="1803"/>
      <c r="M47" s="1803"/>
      <c r="N47" s="1803"/>
      <c r="O47" s="1803"/>
      <c r="P47" s="1803"/>
      <c r="Q47" s="1803"/>
      <c r="R47" s="1803"/>
      <c r="S47" s="399"/>
      <c r="T47" s="399"/>
    </row>
    <row r="48" spans="1:20" s="84" customFormat="1" ht="13.5" customHeight="1" thickTop="1">
      <c r="A48" s="684"/>
      <c r="B48" s="684"/>
      <c r="C48" s="684"/>
      <c r="D48" s="684"/>
      <c r="E48" s="684"/>
      <c r="F48" s="684"/>
      <c r="G48" s="684"/>
      <c r="H48" s="767"/>
      <c r="I48" s="767"/>
      <c r="J48" s="767"/>
      <c r="K48" s="767"/>
      <c r="L48" s="767"/>
      <c r="M48" s="1802"/>
      <c r="N48" s="1802"/>
      <c r="O48" s="1802"/>
      <c r="P48" s="1802"/>
      <c r="Q48" s="1802"/>
      <c r="R48" s="1802" t="s">
        <v>0</v>
      </c>
      <c r="S48" s="768"/>
      <c r="T48" s="399"/>
    </row>
    <row r="49" spans="1:23" s="84" customFormat="1" ht="13.5" customHeight="1">
      <c r="A49" s="684"/>
      <c r="B49" s="684"/>
      <c r="C49" s="684"/>
      <c r="D49" s="684"/>
      <c r="E49" s="684"/>
      <c r="F49" s="684"/>
      <c r="G49" s="684"/>
      <c r="H49" s="767"/>
      <c r="I49" s="767"/>
      <c r="J49" s="767"/>
      <c r="K49" s="767"/>
      <c r="L49" s="767"/>
      <c r="M49" s="1801"/>
      <c r="N49" s="1801"/>
      <c r="O49" s="1801"/>
      <c r="P49" s="1801"/>
      <c r="Q49" s="1801"/>
      <c r="R49" s="769" t="s">
        <v>1</v>
      </c>
      <c r="S49" s="1801"/>
      <c r="T49" s="399"/>
    </row>
    <row r="50" spans="1:23" s="84" customFormat="1" ht="15.2" customHeight="1">
      <c r="A50" s="684"/>
      <c r="B50" s="768" t="s">
        <v>2</v>
      </c>
      <c r="C50" s="684"/>
      <c r="D50" s="684"/>
      <c r="E50" s="684"/>
      <c r="F50" s="684"/>
      <c r="G50" s="684"/>
      <c r="H50" s="767"/>
      <c r="I50" s="767"/>
      <c r="J50" s="767"/>
      <c r="K50" s="767"/>
      <c r="L50" s="767"/>
      <c r="M50" s="767"/>
      <c r="N50" s="767"/>
      <c r="O50" s="767"/>
      <c r="P50" s="767"/>
      <c r="Q50" s="767"/>
      <c r="R50" s="767"/>
      <c r="S50" s="1798"/>
      <c r="T50" s="399"/>
    </row>
    <row r="51" spans="1:23" s="84" customFormat="1" ht="8.1" customHeight="1">
      <c r="A51" s="684"/>
      <c r="B51" s="768"/>
      <c r="C51" s="684"/>
      <c r="D51" s="684"/>
      <c r="E51" s="684"/>
      <c r="F51" s="684"/>
      <c r="G51" s="684"/>
      <c r="H51" s="767"/>
      <c r="I51" s="767"/>
      <c r="J51" s="767"/>
      <c r="K51" s="767"/>
      <c r="L51" s="767"/>
      <c r="M51" s="767"/>
      <c r="N51" s="767"/>
      <c r="O51" s="767"/>
      <c r="P51" s="767"/>
      <c r="Q51" s="767"/>
      <c r="R51" s="767"/>
      <c r="S51" s="1798"/>
      <c r="T51" s="399"/>
    </row>
    <row r="52" spans="1:23" s="84" customFormat="1" ht="15.2" customHeight="1">
      <c r="A52" s="588" t="s">
        <v>3</v>
      </c>
      <c r="B52" s="1800" t="s">
        <v>1480</v>
      </c>
      <c r="C52" s="684"/>
      <c r="D52" s="684"/>
      <c r="E52" s="684"/>
      <c r="F52" s="684"/>
      <c r="G52" s="684"/>
      <c r="H52" s="767"/>
      <c r="I52" s="767"/>
      <c r="J52" s="767"/>
      <c r="K52" s="767"/>
      <c r="L52" s="767"/>
      <c r="M52" s="767"/>
      <c r="N52" s="767"/>
      <c r="O52" s="767"/>
      <c r="P52" s="767"/>
      <c r="Q52" s="767"/>
      <c r="R52" s="767"/>
      <c r="S52" s="1798"/>
      <c r="T52" s="399"/>
    </row>
    <row r="53" spans="1:23" s="84" customFormat="1" ht="13.5" customHeight="1">
      <c r="A53" s="587"/>
      <c r="B53" s="1799" t="s">
        <v>1479</v>
      </c>
      <c r="C53" s="684"/>
      <c r="D53" s="684"/>
      <c r="E53" s="684"/>
      <c r="F53" s="684"/>
      <c r="G53" s="684"/>
      <c r="H53" s="767"/>
      <c r="I53" s="767"/>
      <c r="J53" s="767"/>
      <c r="K53" s="767"/>
      <c r="L53" s="767"/>
      <c r="M53" s="767"/>
      <c r="N53" s="767"/>
      <c r="O53" s="767"/>
      <c r="P53" s="767"/>
      <c r="Q53" s="767"/>
      <c r="R53" s="767"/>
      <c r="S53" s="1798"/>
      <c r="T53" s="399"/>
    </row>
    <row r="54" spans="1:23" s="84" customFormat="1" ht="8.1" customHeight="1">
      <c r="A54" s="587"/>
      <c r="C54" s="684"/>
      <c r="D54" s="684"/>
      <c r="E54" s="684"/>
      <c r="F54" s="684"/>
      <c r="G54" s="684"/>
      <c r="H54" s="767"/>
      <c r="I54" s="767"/>
      <c r="J54" s="767"/>
      <c r="K54" s="767"/>
      <c r="L54" s="767"/>
      <c r="M54" s="767"/>
      <c r="N54" s="767"/>
      <c r="O54" s="767"/>
      <c r="P54" s="767"/>
      <c r="Q54" s="767"/>
      <c r="R54" s="767"/>
      <c r="S54" s="767"/>
      <c r="T54" s="399"/>
    </row>
    <row r="55" spans="1:23" s="84" customFormat="1" ht="15.2" customHeight="1">
      <c r="A55" s="588" t="s">
        <v>4</v>
      </c>
      <c r="B55" s="1797" t="s">
        <v>1478</v>
      </c>
      <c r="C55" s="1797"/>
      <c r="D55" s="1797"/>
      <c r="E55" s="1797"/>
      <c r="F55" s="1797"/>
      <c r="G55" s="1797"/>
      <c r="H55" s="1797"/>
      <c r="I55" s="1797"/>
      <c r="J55" s="1797"/>
      <c r="K55" s="1797"/>
      <c r="L55" s="1797"/>
      <c r="M55" s="1797"/>
      <c r="N55" s="1797"/>
      <c r="O55" s="1797"/>
      <c r="P55" s="1797"/>
      <c r="Q55" s="1797"/>
      <c r="R55" s="1797"/>
      <c r="S55" s="767"/>
      <c r="T55" s="399"/>
    </row>
    <row r="56" spans="1:23" s="84" customFormat="1" ht="15.2" customHeight="1">
      <c r="A56" s="587"/>
      <c r="B56" s="1796" t="s">
        <v>1477</v>
      </c>
      <c r="C56" s="1795"/>
      <c r="D56" s="1795"/>
      <c r="E56" s="1795"/>
      <c r="F56" s="1795"/>
      <c r="G56" s="1795"/>
      <c r="H56" s="1795"/>
      <c r="I56" s="1795"/>
      <c r="J56" s="1795"/>
      <c r="K56" s="1795"/>
      <c r="L56" s="1795"/>
      <c r="M56" s="1795"/>
      <c r="N56" s="1795"/>
      <c r="O56" s="1795"/>
      <c r="P56" s="1795"/>
      <c r="Q56" s="1795"/>
      <c r="R56" s="1795"/>
      <c r="S56" s="767"/>
      <c r="T56" s="765"/>
      <c r="U56" s="765"/>
      <c r="V56" s="399"/>
      <c r="W56" s="399"/>
    </row>
    <row r="57" spans="1:23" s="84" customFormat="1" ht="13.5" customHeight="1">
      <c r="A57" s="588"/>
      <c r="B57" s="1795"/>
      <c r="C57" s="1795"/>
      <c r="D57" s="1795"/>
      <c r="E57" s="1795"/>
      <c r="F57" s="1795"/>
      <c r="G57" s="1795"/>
      <c r="H57" s="1795"/>
      <c r="I57" s="1795"/>
      <c r="J57" s="1795"/>
      <c r="K57" s="1795"/>
      <c r="L57" s="1795"/>
      <c r="M57" s="1795"/>
      <c r="N57" s="1795"/>
      <c r="O57" s="1795"/>
      <c r="P57" s="1795"/>
      <c r="Q57" s="1795"/>
      <c r="R57" s="1795"/>
      <c r="S57" s="1794"/>
      <c r="T57" s="1794"/>
    </row>
  </sheetData>
  <mergeCells count="6">
    <mergeCell ref="C3:R4"/>
    <mergeCell ref="C5:R6"/>
    <mergeCell ref="B9:C12"/>
    <mergeCell ref="D9:R9"/>
    <mergeCell ref="D11:D12"/>
    <mergeCell ref="P11:P12"/>
  </mergeCells>
  <conditionalFormatting sqref="C17:C46">
    <cfRule type="cellIs" dxfId="36" priority="1"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75"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C8BEF-DBBA-4D7D-AEC5-5163E510E3A2}">
  <sheetPr>
    <tabColor theme="4" tint="0.39997558519241921"/>
  </sheetPr>
  <dimension ref="A1:K44"/>
  <sheetViews>
    <sheetView view="pageBreakPreview" zoomScaleNormal="100" zoomScaleSheetLayoutView="100" workbookViewId="0">
      <selection activeCell="E15" sqref="E15"/>
    </sheetView>
  </sheetViews>
  <sheetFormatPr defaultRowHeight="15"/>
  <cols>
    <col min="1" max="1" width="2.28515625" customWidth="1"/>
    <col min="2" max="2" width="13" customWidth="1"/>
    <col min="3" max="3" width="31.28515625" customWidth="1"/>
    <col min="4" max="4" width="15.85546875" customWidth="1"/>
    <col min="5" max="5" width="17" customWidth="1"/>
    <col min="6" max="6" width="5.7109375" customWidth="1"/>
    <col min="7" max="7" width="4.7109375" customWidth="1"/>
    <col min="8" max="8" width="12.5703125" customWidth="1"/>
    <col min="9" max="9" width="13.28515625" customWidth="1"/>
    <col min="10" max="10" width="14.28515625" style="84" customWidth="1"/>
  </cols>
  <sheetData>
    <row r="1" spans="2:11" s="126" customFormat="1" ht="7.5" customHeight="1">
      <c r="F1" s="1819"/>
      <c r="G1" s="1819"/>
      <c r="H1" s="1819"/>
      <c r="I1" s="1819"/>
      <c r="J1" s="1818"/>
    </row>
    <row r="2" spans="2:11" s="1847" customFormat="1" ht="14.25">
      <c r="B2" s="290" t="s">
        <v>1545</v>
      </c>
      <c r="C2" s="1850" t="s">
        <v>1544</v>
      </c>
      <c r="D2" s="1849"/>
      <c r="E2" s="1849"/>
      <c r="F2" s="1849"/>
      <c r="G2" s="1849"/>
      <c r="H2" s="1849"/>
      <c r="I2" s="1849"/>
      <c r="J2" s="1848"/>
    </row>
    <row r="3" spans="2:11" s="1842" customFormat="1">
      <c r="B3" s="1846" t="s">
        <v>1543</v>
      </c>
      <c r="C3" s="1845" t="s">
        <v>1542</v>
      </c>
      <c r="D3" s="1844"/>
      <c r="E3" s="1844"/>
      <c r="F3" s="1844"/>
      <c r="G3" s="1844"/>
      <c r="H3" s="1844"/>
      <c r="I3" s="1844"/>
      <c r="J3" s="1843"/>
    </row>
    <row r="4" spans="2:11" s="126" customFormat="1" ht="8.1" customHeight="1" thickBot="1">
      <c r="F4" s="1841"/>
      <c r="G4" s="1841"/>
      <c r="H4" s="2824"/>
      <c r="I4" s="2824"/>
      <c r="J4" s="2824"/>
    </row>
    <row r="5" spans="2:11" s="126" customFormat="1" ht="77.099999999999994" customHeight="1" thickBot="1">
      <c r="B5" s="2736" t="s">
        <v>1541</v>
      </c>
      <c r="C5" s="2736"/>
      <c r="D5" s="1840" t="s">
        <v>1540</v>
      </c>
      <c r="E5" s="1840" t="s">
        <v>1539</v>
      </c>
      <c r="F5" s="1839"/>
      <c r="G5" s="1839"/>
      <c r="H5" s="1838" t="s">
        <v>1538</v>
      </c>
      <c r="I5" s="1837" t="s">
        <v>1537</v>
      </c>
      <c r="J5" s="1837" t="s">
        <v>1536</v>
      </c>
      <c r="K5" s="91"/>
    </row>
    <row r="6" spans="2:11" s="126" customFormat="1" ht="19.5" customHeight="1">
      <c r="B6" s="1751" t="s">
        <v>412</v>
      </c>
      <c r="C6" s="1751"/>
      <c r="D6" s="1833"/>
      <c r="E6" s="92"/>
      <c r="F6" s="1836"/>
      <c r="G6" s="1836"/>
      <c r="H6" s="1836"/>
      <c r="I6" s="1835"/>
      <c r="J6" s="1834"/>
    </row>
    <row r="7" spans="2:11" s="126" customFormat="1" ht="27.2" customHeight="1">
      <c r="B7" s="2821" t="s">
        <v>1535</v>
      </c>
      <c r="C7" s="2821"/>
      <c r="D7" s="2825" t="s">
        <v>1534</v>
      </c>
      <c r="E7" s="553" t="s">
        <v>1508</v>
      </c>
      <c r="F7" s="1828"/>
      <c r="G7" s="1827"/>
      <c r="H7" s="1826">
        <v>24.1</v>
      </c>
      <c r="I7" s="1826">
        <v>24.4</v>
      </c>
      <c r="J7" s="1826">
        <v>24.2</v>
      </c>
    </row>
    <row r="8" spans="2:11" s="126" customFormat="1" ht="27.2" customHeight="1">
      <c r="B8" s="2821"/>
      <c r="C8" s="2821"/>
      <c r="D8" s="2825"/>
      <c r="E8" s="1833" t="s">
        <v>1533</v>
      </c>
      <c r="F8" s="1828"/>
      <c r="G8" s="1827"/>
      <c r="H8" s="1826">
        <v>32.5</v>
      </c>
      <c r="I8" s="1826">
        <v>32.4</v>
      </c>
      <c r="J8" s="1826">
        <v>32.1</v>
      </c>
    </row>
    <row r="9" spans="2:11" s="126" customFormat="1" ht="27.2" customHeight="1">
      <c r="B9" s="2821" t="s">
        <v>1532</v>
      </c>
      <c r="C9" s="2821"/>
      <c r="D9" s="2821" t="s">
        <v>1531</v>
      </c>
      <c r="E9" s="553" t="s">
        <v>1508</v>
      </c>
      <c r="F9" s="1828"/>
      <c r="G9" s="1827"/>
      <c r="H9" s="1826">
        <v>23.9</v>
      </c>
      <c r="I9" s="1826">
        <v>24.1</v>
      </c>
      <c r="J9" s="1826">
        <v>23.8</v>
      </c>
    </row>
    <row r="10" spans="2:11" s="126" customFormat="1" ht="27.2" customHeight="1">
      <c r="B10" s="2821"/>
      <c r="C10" s="2821"/>
      <c r="D10" s="2821"/>
      <c r="E10" s="136" t="s">
        <v>1507</v>
      </c>
      <c r="F10" s="1828"/>
      <c r="G10" s="1827"/>
      <c r="H10" s="1826">
        <v>32.299999999999997</v>
      </c>
      <c r="I10" s="1826">
        <v>31.9</v>
      </c>
      <c r="J10" s="1826">
        <v>31.7</v>
      </c>
    </row>
    <row r="11" spans="2:11" s="126" customFormat="1" ht="27.2" customHeight="1">
      <c r="B11" s="2821" t="s">
        <v>1530</v>
      </c>
      <c r="C11" s="2821"/>
      <c r="D11" s="2821" t="s">
        <v>1529</v>
      </c>
      <c r="E11" s="553" t="s">
        <v>1508</v>
      </c>
      <c r="F11" s="1828"/>
      <c r="G11" s="1827"/>
      <c r="H11" s="1826">
        <v>24.1</v>
      </c>
      <c r="I11" s="1826">
        <v>24.2</v>
      </c>
      <c r="J11" s="1826">
        <v>23.9</v>
      </c>
    </row>
    <row r="12" spans="2:11" s="126" customFormat="1" ht="27.2" customHeight="1">
      <c r="B12" s="2821"/>
      <c r="C12" s="2821"/>
      <c r="D12" s="2821"/>
      <c r="E12" s="136" t="s">
        <v>1507</v>
      </c>
      <c r="F12" s="1828"/>
      <c r="G12" s="1827"/>
      <c r="H12" s="1826">
        <v>32.5</v>
      </c>
      <c r="I12" s="1826">
        <v>31.6</v>
      </c>
      <c r="J12" s="1826">
        <v>31.4</v>
      </c>
    </row>
    <row r="13" spans="2:11" s="126" customFormat="1" ht="27.2" customHeight="1">
      <c r="B13" s="2821" t="s">
        <v>1528</v>
      </c>
      <c r="C13" s="2821"/>
      <c r="D13" s="2821" t="s">
        <v>1527</v>
      </c>
      <c r="E13" s="553" t="s">
        <v>1508</v>
      </c>
      <c r="F13" s="1828"/>
      <c r="G13" s="1827"/>
      <c r="H13" s="1826">
        <v>24</v>
      </c>
      <c r="I13" s="1826">
        <v>24.2</v>
      </c>
      <c r="J13" s="1826">
        <v>23.9</v>
      </c>
    </row>
    <row r="14" spans="2:11" s="126" customFormat="1" ht="27.2" customHeight="1">
      <c r="B14" s="2821"/>
      <c r="C14" s="2821"/>
      <c r="D14" s="2821"/>
      <c r="E14" s="136" t="s">
        <v>1507</v>
      </c>
      <c r="F14" s="1828"/>
      <c r="G14" s="1827"/>
      <c r="H14" s="1826">
        <v>32.700000000000003</v>
      </c>
      <c r="I14" s="1826">
        <v>32.4</v>
      </c>
      <c r="J14" s="1826">
        <v>32.1</v>
      </c>
    </row>
    <row r="15" spans="2:11" s="126" customFormat="1" ht="18.75" customHeight="1">
      <c r="B15" s="1786" t="s">
        <v>413</v>
      </c>
      <c r="C15" s="1833"/>
      <c r="D15" s="1833"/>
      <c r="E15" s="136"/>
      <c r="F15" s="1832"/>
      <c r="G15" s="1831"/>
      <c r="H15" s="1830"/>
      <c r="I15" s="1830"/>
      <c r="J15" s="1830"/>
    </row>
    <row r="16" spans="2:11" s="126" customFormat="1" ht="27.2" customHeight="1">
      <c r="B16" s="2821" t="s">
        <v>1526</v>
      </c>
      <c r="C16" s="2821"/>
      <c r="D16" s="2821" t="s">
        <v>1525</v>
      </c>
      <c r="E16" s="553" t="s">
        <v>1508</v>
      </c>
      <c r="F16" s="1828"/>
      <c r="G16" s="1827"/>
      <c r="H16" s="1826">
        <v>24.5</v>
      </c>
      <c r="I16" s="1826">
        <v>24.3</v>
      </c>
      <c r="J16" s="1826">
        <v>24</v>
      </c>
    </row>
    <row r="17" spans="2:10" s="126" customFormat="1" ht="27.2" customHeight="1">
      <c r="B17" s="2821"/>
      <c r="C17" s="2821"/>
      <c r="D17" s="2821"/>
      <c r="E17" s="136" t="s">
        <v>1507</v>
      </c>
      <c r="F17" s="1828"/>
      <c r="G17" s="1827"/>
      <c r="H17" s="1826">
        <v>33.299999999999997</v>
      </c>
      <c r="I17" s="1826">
        <v>33</v>
      </c>
      <c r="J17" s="1826">
        <v>32.5</v>
      </c>
    </row>
    <row r="18" spans="2:10" s="126" customFormat="1" ht="27.2" customHeight="1">
      <c r="B18" s="2821" t="s">
        <v>1524</v>
      </c>
      <c r="C18" s="2821"/>
      <c r="D18" s="2821" t="s">
        <v>1523</v>
      </c>
      <c r="E18" s="553" t="s">
        <v>1508</v>
      </c>
      <c r="F18" s="1828"/>
      <c r="G18" s="1827"/>
      <c r="H18" s="1826">
        <v>25.8</v>
      </c>
      <c r="I18" s="1826">
        <v>25.7</v>
      </c>
      <c r="J18" s="1826">
        <v>25.4</v>
      </c>
    </row>
    <row r="19" spans="2:10" s="126" customFormat="1" ht="27.2" customHeight="1">
      <c r="B19" s="2821"/>
      <c r="C19" s="2821"/>
      <c r="D19" s="2821"/>
      <c r="E19" s="136" t="s">
        <v>1507</v>
      </c>
      <c r="F19" s="1828"/>
      <c r="G19" s="1827"/>
      <c r="H19" s="1826">
        <v>32.5</v>
      </c>
      <c r="I19" s="1826">
        <v>32.5</v>
      </c>
      <c r="J19" s="1826">
        <v>32</v>
      </c>
    </row>
    <row r="20" spans="2:10" s="126" customFormat="1" ht="21.2" customHeight="1">
      <c r="B20" s="1786" t="s">
        <v>414</v>
      </c>
      <c r="C20" s="1833"/>
      <c r="D20" s="1833"/>
      <c r="E20" s="136"/>
      <c r="F20" s="1832"/>
      <c r="G20" s="1831"/>
      <c r="H20" s="1830"/>
      <c r="I20" s="1830"/>
      <c r="J20" s="1830"/>
    </row>
    <row r="21" spans="2:10" s="126" customFormat="1" ht="27.2" customHeight="1">
      <c r="B21" s="2821" t="s">
        <v>1522</v>
      </c>
      <c r="C21" s="2821"/>
      <c r="D21" s="2821" t="s">
        <v>1521</v>
      </c>
      <c r="E21" s="553" t="s">
        <v>1508</v>
      </c>
      <c r="F21" s="1828"/>
      <c r="G21" s="1827"/>
      <c r="H21" s="1826">
        <v>24.2</v>
      </c>
      <c r="I21" s="1826">
        <v>24.2</v>
      </c>
      <c r="J21" s="1826">
        <v>23.9</v>
      </c>
    </row>
    <row r="22" spans="2:10" s="126" customFormat="1" ht="27.2" customHeight="1">
      <c r="B22" s="2821"/>
      <c r="C22" s="2821"/>
      <c r="D22" s="2821"/>
      <c r="E22" s="136" t="s">
        <v>1507</v>
      </c>
      <c r="F22" s="1828"/>
      <c r="G22" s="1827"/>
      <c r="H22" s="1826">
        <v>32</v>
      </c>
      <c r="I22" s="1826">
        <v>31.5</v>
      </c>
      <c r="J22" s="1826">
        <v>31.3</v>
      </c>
    </row>
    <row r="23" spans="2:10" s="126" customFormat="1" ht="27.2" customHeight="1">
      <c r="B23" s="2821" t="s">
        <v>1520</v>
      </c>
      <c r="C23" s="2821"/>
      <c r="D23" s="2821" t="s">
        <v>1519</v>
      </c>
      <c r="E23" s="553" t="s">
        <v>1508</v>
      </c>
      <c r="F23" s="1828"/>
      <c r="G23" s="1827"/>
      <c r="H23" s="1826">
        <v>24.5</v>
      </c>
      <c r="I23" s="1826">
        <v>24.6</v>
      </c>
      <c r="J23" s="1826">
        <v>24.3</v>
      </c>
    </row>
    <row r="24" spans="2:10" s="126" customFormat="1" ht="27.2" customHeight="1">
      <c r="B24" s="2821"/>
      <c r="C24" s="2821"/>
      <c r="D24" s="2821"/>
      <c r="E24" s="136" t="s">
        <v>1507</v>
      </c>
      <c r="F24" s="1828"/>
      <c r="G24" s="1827"/>
      <c r="H24" s="1826">
        <v>31.9</v>
      </c>
      <c r="I24" s="1826">
        <v>31.6</v>
      </c>
      <c r="J24" s="1826">
        <v>31.2</v>
      </c>
    </row>
    <row r="25" spans="2:10" s="126" customFormat="1" ht="27.2" customHeight="1">
      <c r="B25" s="2821" t="s">
        <v>1518</v>
      </c>
      <c r="C25" s="2821"/>
      <c r="D25" s="2821" t="s">
        <v>1517</v>
      </c>
      <c r="E25" s="553" t="s">
        <v>1508</v>
      </c>
      <c r="F25" s="1828"/>
      <c r="G25" s="1827"/>
      <c r="H25" s="1826">
        <v>23.2</v>
      </c>
      <c r="I25" s="1826">
        <v>23.5</v>
      </c>
      <c r="J25" s="1826">
        <v>23.1</v>
      </c>
    </row>
    <row r="26" spans="2:10" s="126" customFormat="1" ht="27.2" customHeight="1">
      <c r="B26" s="2821"/>
      <c r="C26" s="2821"/>
      <c r="D26" s="2821"/>
      <c r="E26" s="136" t="s">
        <v>1507</v>
      </c>
      <c r="F26" s="1828"/>
      <c r="G26" s="1827"/>
      <c r="H26" s="1826">
        <v>33</v>
      </c>
      <c r="I26" s="1826">
        <v>32.9</v>
      </c>
      <c r="J26" s="1826">
        <v>32.4</v>
      </c>
    </row>
    <row r="27" spans="2:10" s="126" customFormat="1" ht="19.5" customHeight="1">
      <c r="B27" s="1786" t="s">
        <v>415</v>
      </c>
      <c r="C27" s="1833"/>
      <c r="D27" s="1833"/>
      <c r="E27" s="136"/>
      <c r="F27" s="1832"/>
      <c r="G27" s="1831"/>
      <c r="H27" s="1830"/>
      <c r="I27" s="1830"/>
      <c r="J27" s="1830"/>
    </row>
    <row r="28" spans="2:10" s="126" customFormat="1" ht="27.2" customHeight="1">
      <c r="B28" s="2821" t="s">
        <v>1516</v>
      </c>
      <c r="C28" s="2821"/>
      <c r="D28" s="2821" t="s">
        <v>1515</v>
      </c>
      <c r="E28" s="553" t="s">
        <v>1508</v>
      </c>
      <c r="F28" s="1828"/>
      <c r="G28" s="1827"/>
      <c r="H28" s="1826">
        <v>24.5</v>
      </c>
      <c r="I28" s="1826">
        <v>24</v>
      </c>
      <c r="J28" s="1826">
        <v>24.1</v>
      </c>
    </row>
    <row r="29" spans="2:10" s="126" customFormat="1" ht="27.2" customHeight="1">
      <c r="B29" s="2821"/>
      <c r="C29" s="2821"/>
      <c r="D29" s="2821"/>
      <c r="E29" s="136" t="s">
        <v>1507</v>
      </c>
      <c r="F29" s="1828"/>
      <c r="G29" s="1827"/>
      <c r="H29" s="1826">
        <v>32.5</v>
      </c>
      <c r="I29" s="1826">
        <v>32.299999999999997</v>
      </c>
      <c r="J29" s="1826">
        <v>31.7</v>
      </c>
    </row>
    <row r="30" spans="2:10" s="126" customFormat="1" ht="27.2" customHeight="1">
      <c r="B30" s="1786" t="s">
        <v>416</v>
      </c>
      <c r="C30" s="1833"/>
      <c r="D30" s="1833"/>
      <c r="E30" s="136"/>
      <c r="F30" s="1832"/>
      <c r="G30" s="1831"/>
      <c r="H30" s="1830"/>
      <c r="I30" s="1830"/>
      <c r="J30" s="1830"/>
    </row>
    <row r="31" spans="2:10" s="126" customFormat="1" ht="27.2" customHeight="1">
      <c r="B31" s="2821" t="s">
        <v>1514</v>
      </c>
      <c r="C31" s="2821"/>
      <c r="D31" s="2821" t="s">
        <v>1513</v>
      </c>
      <c r="E31" s="553" t="s">
        <v>1508</v>
      </c>
      <c r="F31" s="1828"/>
      <c r="G31" s="1827"/>
      <c r="H31" s="1826">
        <v>23.1</v>
      </c>
      <c r="I31" s="1826">
        <v>25.1</v>
      </c>
      <c r="J31" s="1826">
        <v>23.2</v>
      </c>
    </row>
    <row r="32" spans="2:10" s="126" customFormat="1" ht="27.2" customHeight="1">
      <c r="B32" s="2821"/>
      <c r="C32" s="2821"/>
      <c r="D32" s="2821"/>
      <c r="E32" s="136" t="s">
        <v>1507</v>
      </c>
      <c r="F32" s="1828"/>
      <c r="G32" s="1827"/>
      <c r="H32" s="1826">
        <v>32.200000000000003</v>
      </c>
      <c r="I32" s="1826">
        <v>31.9</v>
      </c>
      <c r="J32" s="1826">
        <v>32</v>
      </c>
    </row>
    <row r="33" spans="1:11" s="126" customFormat="1" ht="19.5" customHeight="1">
      <c r="B33" s="1786" t="s">
        <v>417</v>
      </c>
      <c r="C33" s="1833"/>
      <c r="D33" s="1833"/>
      <c r="E33" s="136"/>
      <c r="F33" s="1832"/>
      <c r="G33" s="1831"/>
      <c r="H33" s="1830"/>
      <c r="I33" s="1830"/>
      <c r="J33" s="1830"/>
    </row>
    <row r="34" spans="1:11" s="126" customFormat="1" ht="28.5" customHeight="1">
      <c r="B34" s="2820" t="s">
        <v>1512</v>
      </c>
      <c r="C34" s="2820"/>
      <c r="D34" s="2821" t="s">
        <v>1511</v>
      </c>
      <c r="E34" s="553" t="s">
        <v>1508</v>
      </c>
      <c r="F34" s="1828"/>
      <c r="G34" s="1827"/>
      <c r="H34" s="1826">
        <v>23.4</v>
      </c>
      <c r="I34" s="1826">
        <v>23.6</v>
      </c>
      <c r="J34" s="1826">
        <v>23.6</v>
      </c>
    </row>
    <row r="35" spans="1:11" s="126" customFormat="1" ht="27.2" customHeight="1">
      <c r="B35" s="2820"/>
      <c r="C35" s="2820"/>
      <c r="D35" s="2821"/>
      <c r="E35" s="136" t="s">
        <v>1507</v>
      </c>
      <c r="F35" s="1828"/>
      <c r="G35" s="1827"/>
      <c r="H35" s="1826">
        <v>33.5</v>
      </c>
      <c r="I35" s="1826">
        <v>33</v>
      </c>
      <c r="J35" s="1826">
        <v>32.6</v>
      </c>
    </row>
    <row r="36" spans="1:11" s="126" customFormat="1" ht="27.2" customHeight="1">
      <c r="B36" s="2821" t="s">
        <v>1510</v>
      </c>
      <c r="C36" s="2821"/>
      <c r="D36" s="2821" t="s">
        <v>1509</v>
      </c>
      <c r="E36" s="553" t="s">
        <v>1508</v>
      </c>
      <c r="F36" s="1828"/>
      <c r="G36" s="1827"/>
      <c r="H36" s="1826">
        <v>15.7</v>
      </c>
      <c r="I36" s="1826">
        <v>15.9</v>
      </c>
      <c r="J36" s="1826">
        <v>15.7</v>
      </c>
    </row>
    <row r="37" spans="1:11" s="126" customFormat="1" ht="27.95" customHeight="1" thickBot="1">
      <c r="B37" s="2822"/>
      <c r="C37" s="2822"/>
      <c r="D37" s="2822"/>
      <c r="E37" s="1825" t="s">
        <v>1507</v>
      </c>
      <c r="F37" s="1824"/>
      <c r="G37" s="1823"/>
      <c r="H37" s="1822">
        <v>22.6</v>
      </c>
      <c r="I37" s="1822">
        <v>22.7</v>
      </c>
      <c r="J37" s="1822">
        <v>22.3</v>
      </c>
    </row>
    <row r="38" spans="1:11">
      <c r="A38" s="126"/>
      <c r="B38" s="126"/>
      <c r="C38" s="126"/>
      <c r="D38" s="126"/>
      <c r="E38" s="126"/>
      <c r="F38" s="1819"/>
      <c r="G38" s="1819"/>
      <c r="H38" s="1819"/>
      <c r="I38" s="1819"/>
      <c r="J38" s="148" t="s">
        <v>1506</v>
      </c>
    </row>
    <row r="39" spans="1:11">
      <c r="A39" s="126"/>
      <c r="B39" s="126"/>
      <c r="C39" s="126"/>
      <c r="D39" s="126"/>
      <c r="E39" s="126"/>
      <c r="F39" s="1819"/>
      <c r="G39" s="1819"/>
      <c r="H39" s="1819"/>
      <c r="I39" s="1819"/>
      <c r="J39" s="1821" t="s">
        <v>1505</v>
      </c>
    </row>
    <row r="40" spans="1:11" ht="15.75">
      <c r="A40" s="126"/>
      <c r="B40" s="587" t="s">
        <v>1504</v>
      </c>
      <c r="C40" s="587"/>
      <c r="D40" s="546"/>
      <c r="E40" s="126"/>
      <c r="F40" s="1819"/>
      <c r="G40" s="1819"/>
      <c r="H40" s="1819"/>
      <c r="I40" s="1819"/>
      <c r="J40" s="1818"/>
      <c r="K40" s="126"/>
    </row>
    <row r="41" spans="1:11" ht="15.75">
      <c r="A41" s="1820" t="s">
        <v>3</v>
      </c>
      <c r="B41" s="587" t="s">
        <v>1503</v>
      </c>
      <c r="C41" s="587"/>
      <c r="D41" s="546"/>
      <c r="E41" s="126"/>
      <c r="F41" s="1819"/>
      <c r="G41" s="1819"/>
      <c r="H41" s="1819"/>
      <c r="I41" s="1819"/>
      <c r="J41" s="1818"/>
      <c r="K41" s="126"/>
    </row>
    <row r="42" spans="1:11">
      <c r="A42" s="1820" t="s">
        <v>4</v>
      </c>
      <c r="B42" s="1764" t="s">
        <v>1502</v>
      </c>
      <c r="C42" s="1764"/>
      <c r="D42" s="546"/>
      <c r="E42" s="126"/>
      <c r="F42" s="1819"/>
      <c r="G42" s="1819"/>
      <c r="H42" s="1819"/>
      <c r="I42" s="1819"/>
      <c r="J42" s="1818"/>
      <c r="K42" s="126"/>
    </row>
    <row r="43" spans="1:11" ht="15.2" customHeight="1">
      <c r="A43" s="1817" t="s">
        <v>263</v>
      </c>
      <c r="B43" s="2823" t="s">
        <v>1501</v>
      </c>
      <c r="C43" s="2823"/>
      <c r="D43" s="2823"/>
      <c r="E43" s="2823"/>
      <c r="F43" s="2823"/>
      <c r="G43" s="2823"/>
      <c r="H43" s="2823"/>
      <c r="I43" s="2823"/>
      <c r="J43" s="2823"/>
    </row>
    <row r="44" spans="1:11">
      <c r="B44" s="1816" t="s">
        <v>1500</v>
      </c>
      <c r="C44" s="1816"/>
      <c r="D44" s="1815"/>
    </row>
  </sheetData>
  <mergeCells count="29">
    <mergeCell ref="H4:J4"/>
    <mergeCell ref="B5:C5"/>
    <mergeCell ref="B7:C8"/>
    <mergeCell ref="D7:D8"/>
    <mergeCell ref="B9:C10"/>
    <mergeCell ref="D9:D10"/>
    <mergeCell ref="B11:C12"/>
    <mergeCell ref="D11:D12"/>
    <mergeCell ref="B13:C14"/>
    <mergeCell ref="D13:D14"/>
    <mergeCell ref="B16:C17"/>
    <mergeCell ref="D16:D17"/>
    <mergeCell ref="B18:C19"/>
    <mergeCell ref="D18:D19"/>
    <mergeCell ref="B21:C22"/>
    <mergeCell ref="D21:D22"/>
    <mergeCell ref="B23:C24"/>
    <mergeCell ref="D23:D24"/>
    <mergeCell ref="B25:C26"/>
    <mergeCell ref="D25:D26"/>
    <mergeCell ref="B28:C29"/>
    <mergeCell ref="D28:D29"/>
    <mergeCell ref="B31:C32"/>
    <mergeCell ref="D31:D32"/>
    <mergeCell ref="B34:C35"/>
    <mergeCell ref="D34:D35"/>
    <mergeCell ref="B36:C37"/>
    <mergeCell ref="D36:D37"/>
    <mergeCell ref="B43:J43"/>
  </mergeCells>
  <pageMargins left="0.55118110236220474" right="0.55118110236220474" top="0.55118110236220474" bottom="0.55118110236220474" header="0.31496062992125984" footer="0.31496062992125984"/>
  <pageSetup paperSize="9" scale="70" fitToWidth="0" fitToHeight="0" orientation="portrait"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1900A-8DDF-4463-9C6C-75476DD924A8}">
  <sheetPr>
    <tabColor theme="4" tint="0.39997558519241921"/>
  </sheetPr>
  <dimension ref="A1:K46"/>
  <sheetViews>
    <sheetView view="pageBreakPreview" zoomScale="90" zoomScaleNormal="100" zoomScaleSheetLayoutView="90" workbookViewId="0">
      <selection activeCell="L5" sqref="L5"/>
    </sheetView>
  </sheetViews>
  <sheetFormatPr defaultRowHeight="15"/>
  <cols>
    <col min="1" max="1" width="2.5703125" customWidth="1"/>
    <col min="2" max="2" width="12.7109375" customWidth="1"/>
    <col min="3" max="3" width="33.7109375" customWidth="1"/>
    <col min="4" max="4" width="17.85546875" customWidth="1"/>
    <col min="5" max="5" width="14.140625" customWidth="1"/>
    <col min="6" max="6" width="7.7109375" customWidth="1"/>
    <col min="7" max="7" width="12.7109375" customWidth="1"/>
    <col min="8" max="8" width="11.7109375" customWidth="1"/>
    <col min="9" max="9" width="13.7109375" style="84" customWidth="1"/>
  </cols>
  <sheetData>
    <row r="1" spans="2:9" s="126" customFormat="1" ht="9.1999999999999993" customHeight="1">
      <c r="F1" s="1819"/>
      <c r="G1" s="1819"/>
      <c r="H1" s="1819"/>
      <c r="I1" s="1818"/>
    </row>
    <row r="2" spans="2:9" s="126" customFormat="1" ht="16.149999999999999" customHeight="1">
      <c r="B2" s="290" t="s">
        <v>1545</v>
      </c>
      <c r="C2" s="1850" t="s">
        <v>1574</v>
      </c>
      <c r="D2" s="1855"/>
      <c r="E2" s="1855"/>
      <c r="F2" s="1855"/>
      <c r="G2" s="1855"/>
      <c r="H2" s="1855"/>
      <c r="I2" s="1792"/>
    </row>
    <row r="3" spans="2:9" s="126" customFormat="1">
      <c r="B3" s="1846" t="s">
        <v>1543</v>
      </c>
      <c r="C3" s="1845" t="s">
        <v>1573</v>
      </c>
      <c r="D3" s="1844"/>
      <c r="E3" s="1844"/>
      <c r="F3" s="1844"/>
      <c r="G3" s="1844"/>
      <c r="H3" s="1844"/>
      <c r="I3" s="1843"/>
    </row>
    <row r="4" spans="2:9" s="126" customFormat="1" ht="8.1" customHeight="1" thickBot="1">
      <c r="F4" s="1841"/>
      <c r="G4" s="2824"/>
      <c r="H4" s="2824"/>
      <c r="I4" s="2824"/>
    </row>
    <row r="5" spans="2:9" s="126" customFormat="1" ht="77.099999999999994" customHeight="1" thickBot="1">
      <c r="B5" s="2736" t="s">
        <v>1541</v>
      </c>
      <c r="C5" s="2736"/>
      <c r="D5" s="1854" t="s">
        <v>1540</v>
      </c>
      <c r="E5" s="1840" t="s">
        <v>1539</v>
      </c>
      <c r="F5" s="1839"/>
      <c r="G5" s="1838" t="s">
        <v>1538</v>
      </c>
      <c r="H5" s="1837" t="s">
        <v>1537</v>
      </c>
      <c r="I5" s="1837" t="s">
        <v>1536</v>
      </c>
    </row>
    <row r="6" spans="2:9" s="126" customFormat="1" ht="18" customHeight="1">
      <c r="B6" s="1786" t="s">
        <v>417</v>
      </c>
      <c r="C6" s="1786"/>
      <c r="D6" s="1833"/>
      <c r="E6" s="92"/>
      <c r="F6" s="1836"/>
      <c r="G6" s="1836"/>
      <c r="H6" s="1836"/>
      <c r="I6" s="1834"/>
    </row>
    <row r="7" spans="2:9" s="126" customFormat="1" ht="27.2" customHeight="1">
      <c r="B7" s="2821" t="s">
        <v>1572</v>
      </c>
      <c r="C7" s="2821"/>
      <c r="D7" s="2825" t="s">
        <v>1571</v>
      </c>
      <c r="E7" s="553" t="s">
        <v>1508</v>
      </c>
      <c r="F7" s="1827"/>
      <c r="G7" s="1826">
        <v>23.8</v>
      </c>
      <c r="H7" s="1826">
        <v>24.1</v>
      </c>
      <c r="I7" s="1826">
        <v>23.9</v>
      </c>
    </row>
    <row r="8" spans="2:9" s="126" customFormat="1" ht="27.2" customHeight="1">
      <c r="B8" s="2821"/>
      <c r="C8" s="2821"/>
      <c r="D8" s="2825"/>
      <c r="E8" s="1833" t="s">
        <v>1533</v>
      </c>
      <c r="F8" s="1827"/>
      <c r="G8" s="1826">
        <v>32.5</v>
      </c>
      <c r="H8" s="1826">
        <v>32.299999999999997</v>
      </c>
      <c r="I8" s="1826">
        <v>31.9</v>
      </c>
    </row>
    <row r="9" spans="2:9" s="126" customFormat="1" ht="27.2" customHeight="1">
      <c r="B9" s="2821" t="s">
        <v>1570</v>
      </c>
      <c r="C9" s="2821"/>
      <c r="D9" s="2825" t="s">
        <v>1569</v>
      </c>
      <c r="E9" s="553" t="s">
        <v>1508</v>
      </c>
      <c r="F9" s="1827"/>
      <c r="G9" s="1826">
        <v>23.5</v>
      </c>
      <c r="H9" s="1826">
        <v>23.7</v>
      </c>
      <c r="I9" s="1826">
        <v>23.4</v>
      </c>
    </row>
    <row r="10" spans="2:9" s="126" customFormat="1" ht="27.2" customHeight="1">
      <c r="B10" s="2821"/>
      <c r="C10" s="2821"/>
      <c r="D10" s="2825"/>
      <c r="E10" s="1833" t="s">
        <v>1533</v>
      </c>
      <c r="F10" s="1827"/>
      <c r="G10" s="1826">
        <v>33</v>
      </c>
      <c r="H10" s="1826">
        <v>32.4</v>
      </c>
      <c r="I10" s="1826">
        <v>32.200000000000003</v>
      </c>
    </row>
    <row r="11" spans="2:9" s="126" customFormat="1" ht="27.2" customHeight="1">
      <c r="B11" s="2821" t="s">
        <v>1568</v>
      </c>
      <c r="C11" s="2821"/>
      <c r="D11" s="2825" t="s">
        <v>1567</v>
      </c>
      <c r="E11" s="553" t="s">
        <v>1508</v>
      </c>
      <c r="F11" s="1827"/>
      <c r="G11" s="1826">
        <v>23.8</v>
      </c>
      <c r="H11" s="1826">
        <v>24</v>
      </c>
      <c r="I11" s="1826">
        <v>23.7</v>
      </c>
    </row>
    <row r="12" spans="2:9" s="126" customFormat="1" ht="27.2" customHeight="1">
      <c r="B12" s="2821"/>
      <c r="C12" s="2821"/>
      <c r="D12" s="2825"/>
      <c r="E12" s="1833" t="s">
        <v>1533</v>
      </c>
      <c r="F12" s="1827"/>
      <c r="G12" s="1826">
        <v>33.9</v>
      </c>
      <c r="H12" s="1826">
        <v>33.4</v>
      </c>
      <c r="I12" s="1826">
        <v>33.200000000000003</v>
      </c>
    </row>
    <row r="13" spans="2:9" s="126" customFormat="1" ht="20.25" customHeight="1">
      <c r="B13" s="96" t="s">
        <v>418</v>
      </c>
      <c r="C13" s="1833"/>
      <c r="D13" s="1833"/>
      <c r="E13" s="136"/>
      <c r="F13" s="1831"/>
      <c r="G13" s="1830"/>
      <c r="H13" s="1830"/>
      <c r="I13" s="1830"/>
    </row>
    <row r="14" spans="2:9" s="126" customFormat="1" ht="27.2" customHeight="1">
      <c r="B14" s="2821" t="s">
        <v>1566</v>
      </c>
      <c r="C14" s="2821"/>
      <c r="D14" s="2821" t="s">
        <v>1565</v>
      </c>
      <c r="E14" s="553" t="s">
        <v>1508</v>
      </c>
      <c r="F14" s="1827"/>
      <c r="G14" s="1826">
        <v>25.5</v>
      </c>
      <c r="H14" s="1826">
        <v>25.4</v>
      </c>
      <c r="I14" s="1826">
        <v>25.1</v>
      </c>
    </row>
    <row r="15" spans="2:9" s="126" customFormat="1" ht="27.2" customHeight="1">
      <c r="B15" s="2821"/>
      <c r="C15" s="2821"/>
      <c r="D15" s="2821"/>
      <c r="E15" s="1833" t="s">
        <v>1533</v>
      </c>
      <c r="F15" s="1827"/>
      <c r="G15" s="1826">
        <v>32.700000000000003</v>
      </c>
      <c r="H15" s="1826">
        <v>32.200000000000003</v>
      </c>
      <c r="I15" s="1826">
        <v>32</v>
      </c>
    </row>
    <row r="16" spans="2:9" s="126" customFormat="1" ht="27.2" customHeight="1">
      <c r="B16" s="2821" t="s">
        <v>1564</v>
      </c>
      <c r="C16" s="2821"/>
      <c r="D16" s="2821" t="s">
        <v>1563</v>
      </c>
      <c r="E16" s="553" t="s">
        <v>1508</v>
      </c>
      <c r="F16" s="1827"/>
      <c r="G16" s="1826">
        <v>24.7</v>
      </c>
      <c r="H16" s="1826">
        <v>24.8</v>
      </c>
      <c r="I16" s="1826">
        <v>24.5</v>
      </c>
    </row>
    <row r="17" spans="1:11" s="126" customFormat="1" ht="27.2" customHeight="1">
      <c r="B17" s="2821"/>
      <c r="C17" s="2821"/>
      <c r="D17" s="2821"/>
      <c r="E17" s="1833" t="s">
        <v>1533</v>
      </c>
      <c r="F17" s="1827"/>
      <c r="G17" s="1826">
        <v>32.4</v>
      </c>
      <c r="H17" s="1826">
        <v>32.1</v>
      </c>
      <c r="I17" s="1826">
        <v>31.8</v>
      </c>
    </row>
    <row r="18" spans="1:11" s="126" customFormat="1" ht="18.75" customHeight="1">
      <c r="B18" s="1786" t="s">
        <v>419</v>
      </c>
      <c r="C18" s="1833"/>
      <c r="D18" s="1833"/>
      <c r="E18" s="136"/>
      <c r="F18" s="1831"/>
      <c r="G18" s="1830"/>
      <c r="H18" s="1830"/>
      <c r="I18" s="1830"/>
    </row>
    <row r="19" spans="1:11" s="126" customFormat="1" ht="27.2" customHeight="1">
      <c r="B19" s="2821" t="s">
        <v>1562</v>
      </c>
      <c r="C19" s="2821"/>
      <c r="D19" s="2825" t="s">
        <v>1561</v>
      </c>
      <c r="E19" s="553" t="s">
        <v>1508</v>
      </c>
      <c r="F19" s="1827"/>
      <c r="G19" s="1826">
        <v>24.3</v>
      </c>
      <c r="H19" s="1826">
        <v>24.3</v>
      </c>
      <c r="I19" s="1826">
        <v>23.9</v>
      </c>
    </row>
    <row r="20" spans="1:11" s="126" customFormat="1" ht="27.2" customHeight="1">
      <c r="B20" s="2821"/>
      <c r="C20" s="2821"/>
      <c r="D20" s="2825"/>
      <c r="E20" s="1833" t="s">
        <v>1533</v>
      </c>
      <c r="F20" s="1827"/>
      <c r="G20" s="1826">
        <v>33.4</v>
      </c>
      <c r="H20" s="1826">
        <v>33</v>
      </c>
      <c r="I20" s="1826">
        <v>32.799999999999997</v>
      </c>
    </row>
    <row r="21" spans="1:11" s="126" customFormat="1" ht="27.2" customHeight="1">
      <c r="B21" s="2821" t="s">
        <v>1560</v>
      </c>
      <c r="C21" s="2821"/>
      <c r="D21" s="2825" t="s">
        <v>1559</v>
      </c>
      <c r="E21" s="553" t="s">
        <v>1508</v>
      </c>
      <c r="F21" s="1827"/>
      <c r="G21" s="1826">
        <v>23.9</v>
      </c>
      <c r="H21" s="1826">
        <v>24</v>
      </c>
      <c r="I21" s="1826">
        <v>23.3</v>
      </c>
    </row>
    <row r="22" spans="1:11" s="126" customFormat="1" ht="27.2" customHeight="1">
      <c r="B22" s="2821"/>
      <c r="C22" s="2821"/>
      <c r="D22" s="2825"/>
      <c r="E22" s="1833" t="s">
        <v>1533</v>
      </c>
      <c r="F22" s="1827"/>
      <c r="G22" s="1826">
        <v>33.6</v>
      </c>
      <c r="H22" s="1826">
        <v>33.299999999999997</v>
      </c>
      <c r="I22" s="1826">
        <v>32.799999999999997</v>
      </c>
    </row>
    <row r="23" spans="1:11" s="126" customFormat="1" ht="27.2" customHeight="1">
      <c r="B23" s="2821" t="s">
        <v>1558</v>
      </c>
      <c r="C23" s="2821"/>
      <c r="D23" s="2821" t="s">
        <v>1557</v>
      </c>
      <c r="E23" s="553" t="s">
        <v>1508</v>
      </c>
      <c r="F23" s="1827"/>
      <c r="G23" s="1826">
        <v>24.4</v>
      </c>
      <c r="H23" s="1826">
        <v>24.5</v>
      </c>
      <c r="I23" s="1826">
        <v>24.1</v>
      </c>
    </row>
    <row r="24" spans="1:11" s="126" customFormat="1" ht="27.2" customHeight="1">
      <c r="B24" s="2821"/>
      <c r="C24" s="2821"/>
      <c r="D24" s="2821"/>
      <c r="E24" s="1833" t="s">
        <v>1533</v>
      </c>
      <c r="F24" s="1827"/>
      <c r="G24" s="1826">
        <v>33.1</v>
      </c>
      <c r="H24" s="1826">
        <v>32.6</v>
      </c>
      <c r="I24" s="1826">
        <v>32.700000000000003</v>
      </c>
    </row>
    <row r="25" spans="1:11" s="126" customFormat="1" ht="20.25" customHeight="1">
      <c r="B25" s="1786" t="s">
        <v>420</v>
      </c>
      <c r="C25" s="1833"/>
      <c r="D25" s="1833"/>
      <c r="E25" s="136"/>
      <c r="F25" s="1831"/>
      <c r="G25" s="1830"/>
      <c r="H25" s="1830"/>
      <c r="I25" s="1830"/>
    </row>
    <row r="26" spans="1:11" s="126" customFormat="1" ht="27.2" customHeight="1">
      <c r="B26" s="2821" t="s">
        <v>1556</v>
      </c>
      <c r="C26" s="2821"/>
      <c r="D26" s="2821" t="s">
        <v>1555</v>
      </c>
      <c r="E26" s="553" t="s">
        <v>1508</v>
      </c>
      <c r="F26" s="1827"/>
      <c r="G26" s="1826">
        <v>24.2</v>
      </c>
      <c r="H26" s="1826">
        <v>24.3</v>
      </c>
      <c r="I26" s="1826">
        <v>24.1</v>
      </c>
    </row>
    <row r="27" spans="1:11" s="126" customFormat="1" ht="27.2" customHeight="1">
      <c r="B27" s="2821"/>
      <c r="C27" s="2821"/>
      <c r="D27" s="2821"/>
      <c r="E27" s="1833" t="s">
        <v>1533</v>
      </c>
      <c r="F27" s="1827"/>
      <c r="G27" s="1826">
        <v>33.4</v>
      </c>
      <c r="H27" s="1826">
        <v>33.200000000000003</v>
      </c>
      <c r="I27" s="1826">
        <v>32.799999999999997</v>
      </c>
    </row>
    <row r="28" spans="1:11" ht="23.25" customHeight="1">
      <c r="A28" s="126"/>
      <c r="B28" s="96" t="s">
        <v>421</v>
      </c>
      <c r="C28" s="553"/>
      <c r="D28" s="1833"/>
      <c r="E28" s="136"/>
      <c r="F28" s="1832"/>
      <c r="G28" s="1831"/>
      <c r="H28" s="1830"/>
      <c r="I28" s="1830"/>
      <c r="J28" s="1853"/>
      <c r="K28" s="126"/>
    </row>
    <row r="29" spans="1:11" ht="27.2" customHeight="1">
      <c r="A29" s="126"/>
      <c r="B29" s="2821" t="s">
        <v>1554</v>
      </c>
      <c r="C29" s="2821"/>
      <c r="D29" s="2821" t="s">
        <v>1552</v>
      </c>
      <c r="E29" s="553" t="s">
        <v>1508</v>
      </c>
      <c r="F29" s="1828"/>
      <c r="G29" s="1826">
        <v>25.5</v>
      </c>
      <c r="H29" s="1826">
        <v>25.5</v>
      </c>
      <c r="I29" s="1826">
        <v>25.3</v>
      </c>
      <c r="J29" s="1851"/>
      <c r="K29" s="126"/>
    </row>
    <row r="30" spans="1:11" ht="27.2" customHeight="1">
      <c r="A30" s="126"/>
      <c r="B30" s="2821"/>
      <c r="C30" s="2821"/>
      <c r="D30" s="2821"/>
      <c r="E30" s="1833" t="s">
        <v>1533</v>
      </c>
      <c r="F30" s="1828"/>
      <c r="G30" s="1826">
        <v>33.5</v>
      </c>
      <c r="H30" s="1826">
        <v>33.299999999999997</v>
      </c>
      <c r="I30" s="1826">
        <v>33.1</v>
      </c>
      <c r="J30" s="1851"/>
      <c r="K30" s="126"/>
    </row>
    <row r="31" spans="1:11" ht="27.2" customHeight="1">
      <c r="A31" s="126"/>
      <c r="B31" s="2821" t="s">
        <v>1553</v>
      </c>
      <c r="C31" s="2821"/>
      <c r="D31" s="2821" t="s">
        <v>1552</v>
      </c>
      <c r="E31" s="553" t="s">
        <v>1508</v>
      </c>
      <c r="F31" s="1828"/>
      <c r="G31" s="1826">
        <v>24.9</v>
      </c>
      <c r="H31" s="1826">
        <v>25.1</v>
      </c>
      <c r="I31" s="1826">
        <v>24.6</v>
      </c>
      <c r="J31" s="1851"/>
      <c r="K31" s="126"/>
    </row>
    <row r="32" spans="1:11" ht="27.2" customHeight="1">
      <c r="A32" s="126"/>
      <c r="B32" s="2821"/>
      <c r="C32" s="2821"/>
      <c r="D32" s="2821"/>
      <c r="E32" s="1833" t="s">
        <v>1533</v>
      </c>
      <c r="F32" s="1828"/>
      <c r="G32" s="1826">
        <v>33.6</v>
      </c>
      <c r="H32" s="1826">
        <v>33.5</v>
      </c>
      <c r="I32" s="1826">
        <v>33.1</v>
      </c>
      <c r="J32" s="1851"/>
      <c r="K32" s="126"/>
    </row>
    <row r="33" spans="1:11" ht="27.2" customHeight="1">
      <c r="A33" s="126"/>
      <c r="B33" s="2821" t="s">
        <v>1551</v>
      </c>
      <c r="C33" s="2821"/>
      <c r="D33" s="2821" t="s">
        <v>1550</v>
      </c>
      <c r="E33" s="553" t="s">
        <v>1508</v>
      </c>
      <c r="F33" s="1828"/>
      <c r="G33" s="1826">
        <v>24.9</v>
      </c>
      <c r="H33" s="1826">
        <v>25.1</v>
      </c>
      <c r="I33" s="1826">
        <v>24.6</v>
      </c>
      <c r="J33" s="1851"/>
      <c r="K33" s="126"/>
    </row>
    <row r="34" spans="1:11" ht="27.2" customHeight="1">
      <c r="A34" s="126"/>
      <c r="B34" s="2821"/>
      <c r="C34" s="2821"/>
      <c r="D34" s="2821"/>
      <c r="E34" s="1833" t="s">
        <v>1533</v>
      </c>
      <c r="F34" s="1828"/>
      <c r="G34" s="1826">
        <v>33.6</v>
      </c>
      <c r="H34" s="1826">
        <v>33.5</v>
      </c>
      <c r="I34" s="1826">
        <v>33.1</v>
      </c>
      <c r="J34" s="1851"/>
      <c r="K34" s="126"/>
    </row>
    <row r="35" spans="1:11" ht="19.5" customHeight="1">
      <c r="A35" s="126"/>
      <c r="B35" s="96" t="s">
        <v>422</v>
      </c>
      <c r="C35" s="553"/>
      <c r="D35" s="1833"/>
      <c r="E35" s="136"/>
      <c r="F35" s="1832"/>
      <c r="G35" s="1830"/>
      <c r="H35" s="1830"/>
      <c r="I35" s="1830"/>
      <c r="J35" s="1853"/>
      <c r="K35" s="126"/>
    </row>
    <row r="36" spans="1:11" ht="27.2" customHeight="1">
      <c r="A36" s="126"/>
      <c r="B36" s="2821" t="s">
        <v>1549</v>
      </c>
      <c r="C36" s="2821"/>
      <c r="D36" s="2821" t="s">
        <v>1548</v>
      </c>
      <c r="E36" s="553" t="s">
        <v>1508</v>
      </c>
      <c r="F36" s="1828"/>
      <c r="G36" s="1826">
        <v>23.9</v>
      </c>
      <c r="H36" s="1826">
        <v>24.1</v>
      </c>
      <c r="I36" s="1826">
        <v>23.8</v>
      </c>
      <c r="J36" s="1851"/>
      <c r="K36" s="126"/>
    </row>
    <row r="37" spans="1:11" ht="27.2" customHeight="1">
      <c r="A37" s="126"/>
      <c r="B37" s="2821"/>
      <c r="C37" s="2821"/>
      <c r="D37" s="2821"/>
      <c r="E37" s="1833" t="s">
        <v>1533</v>
      </c>
      <c r="F37" s="1828"/>
      <c r="G37" s="1826">
        <v>31.4</v>
      </c>
      <c r="H37" s="1826">
        <v>31.3</v>
      </c>
      <c r="I37" s="1826">
        <v>31</v>
      </c>
      <c r="J37" s="1851"/>
      <c r="K37" s="126"/>
    </row>
    <row r="38" spans="1:11" ht="27.2" customHeight="1">
      <c r="A38" s="126"/>
      <c r="B38" s="2821" t="s">
        <v>1547</v>
      </c>
      <c r="C38" s="2821"/>
      <c r="D38" s="2821" t="s">
        <v>1546</v>
      </c>
      <c r="E38" s="553" t="s">
        <v>1508</v>
      </c>
      <c r="F38" s="1828"/>
      <c r="G38" s="1826">
        <v>24.8</v>
      </c>
      <c r="H38" s="1826">
        <v>24.9</v>
      </c>
      <c r="I38" s="1826">
        <v>24.5</v>
      </c>
      <c r="J38" s="1851"/>
      <c r="K38" s="126"/>
    </row>
    <row r="39" spans="1:11" ht="27.95" customHeight="1" thickBot="1">
      <c r="A39" s="126"/>
      <c r="B39" s="2822"/>
      <c r="C39" s="2822"/>
      <c r="D39" s="2822"/>
      <c r="E39" s="1852" t="s">
        <v>1533</v>
      </c>
      <c r="F39" s="1824"/>
      <c r="G39" s="1822">
        <v>31.9</v>
      </c>
      <c r="H39" s="1822">
        <v>31.5</v>
      </c>
      <c r="I39" s="1822">
        <v>31.3</v>
      </c>
      <c r="J39" s="1851"/>
      <c r="K39" s="126"/>
    </row>
    <row r="40" spans="1:11">
      <c r="A40" s="126"/>
      <c r="B40" s="126"/>
      <c r="C40" s="126"/>
      <c r="D40" s="126"/>
      <c r="E40" s="126"/>
      <c r="F40" s="1819"/>
      <c r="G40" s="1819"/>
      <c r="H40" s="1819"/>
      <c r="I40" s="148" t="s">
        <v>1506</v>
      </c>
    </row>
    <row r="41" spans="1:11">
      <c r="A41" s="126"/>
      <c r="B41" s="126"/>
      <c r="C41" s="126"/>
      <c r="D41" s="126"/>
      <c r="E41" s="126"/>
      <c r="F41" s="1819"/>
      <c r="G41" s="1819"/>
      <c r="H41" s="1819"/>
      <c r="I41" s="1821" t="s">
        <v>1505</v>
      </c>
    </row>
    <row r="42" spans="1:11" ht="15.75">
      <c r="A42" s="126"/>
      <c r="B42" s="587" t="s">
        <v>1504</v>
      </c>
      <c r="C42" s="587"/>
      <c r="D42" s="546"/>
      <c r="E42" s="126"/>
      <c r="F42" s="1819"/>
      <c r="G42" s="1819"/>
      <c r="H42" s="1819"/>
      <c r="I42" s="1818"/>
      <c r="J42" s="126"/>
    </row>
    <row r="43" spans="1:11" ht="15.75">
      <c r="A43" s="1820" t="s">
        <v>3</v>
      </c>
      <c r="B43" s="587" t="s">
        <v>1503</v>
      </c>
      <c r="C43" s="587"/>
      <c r="D43" s="546"/>
      <c r="E43" s="126"/>
      <c r="F43" s="1819"/>
      <c r="G43" s="1819"/>
      <c r="H43" s="1819"/>
      <c r="I43" s="1818"/>
      <c r="J43" s="126"/>
    </row>
    <row r="44" spans="1:11">
      <c r="A44" s="1820" t="s">
        <v>4</v>
      </c>
      <c r="B44" s="1764" t="s">
        <v>1502</v>
      </c>
      <c r="C44" s="1764"/>
      <c r="D44" s="546"/>
      <c r="E44" s="126"/>
      <c r="F44" s="1819"/>
      <c r="G44" s="1819"/>
      <c r="H44" s="1819"/>
      <c r="I44" s="1818"/>
      <c r="J44" s="126"/>
    </row>
    <row r="45" spans="1:11" ht="14.65" customHeight="1">
      <c r="A45" s="1817" t="s">
        <v>263</v>
      </c>
      <c r="B45" s="2823" t="s">
        <v>1501</v>
      </c>
      <c r="C45" s="2823"/>
      <c r="D45" s="2823"/>
      <c r="E45" s="2823"/>
      <c r="F45" s="2823"/>
      <c r="G45" s="2823"/>
      <c r="H45" s="2823"/>
      <c r="I45" s="2823"/>
    </row>
    <row r="46" spans="1:11">
      <c r="B46" s="1816" t="s">
        <v>1500</v>
      </c>
      <c r="C46" s="1816"/>
      <c r="D46" s="1815"/>
    </row>
  </sheetData>
  <mergeCells count="31">
    <mergeCell ref="B31:C32"/>
    <mergeCell ref="D31:D32"/>
    <mergeCell ref="B33:C34"/>
    <mergeCell ref="D33:D34"/>
    <mergeCell ref="G4:I4"/>
    <mergeCell ref="B23:C24"/>
    <mergeCell ref="D23:D24"/>
    <mergeCell ref="B11:C12"/>
    <mergeCell ref="D11:D12"/>
    <mergeCell ref="B5:C5"/>
    <mergeCell ref="B7:C8"/>
    <mergeCell ref="D7:D8"/>
    <mergeCell ref="B9:C10"/>
    <mergeCell ref="D9:D10"/>
    <mergeCell ref="B29:C30"/>
    <mergeCell ref="D29:D30"/>
    <mergeCell ref="B45:I45"/>
    <mergeCell ref="B36:C37"/>
    <mergeCell ref="D36:D37"/>
    <mergeCell ref="B38:C39"/>
    <mergeCell ref="D38:D39"/>
    <mergeCell ref="B14:C15"/>
    <mergeCell ref="D14:D15"/>
    <mergeCell ref="B16:C17"/>
    <mergeCell ref="D16:D17"/>
    <mergeCell ref="B26:C27"/>
    <mergeCell ref="D26:D27"/>
    <mergeCell ref="B19:C20"/>
    <mergeCell ref="D19:D20"/>
    <mergeCell ref="B21:C22"/>
    <mergeCell ref="D21:D22"/>
  </mergeCells>
  <pageMargins left="0.55118110236220474" right="0.55118110236220474" top="0.55118110236220474" bottom="0.55118110236220474" header="0.31496062992125984" footer="0.31496062992125984"/>
  <pageSetup paperSize="9" scale="70" fitToWidth="0" fitToHeight="0" orientation="portrait"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7E300-7F99-4EDD-91BC-E3BF1C74BA5C}">
  <sheetPr>
    <tabColor theme="4" tint="0.39997558519241921"/>
  </sheetPr>
  <dimension ref="A1:K43"/>
  <sheetViews>
    <sheetView view="pageBreakPreview" zoomScale="90" zoomScaleNormal="100" zoomScaleSheetLayoutView="90" workbookViewId="0">
      <selection activeCell="E15" sqref="E15"/>
    </sheetView>
  </sheetViews>
  <sheetFormatPr defaultRowHeight="15"/>
  <cols>
    <col min="1" max="1" width="2.7109375" customWidth="1"/>
    <col min="2" max="2" width="12.7109375" customWidth="1"/>
    <col min="3" max="3" width="30.140625" customWidth="1"/>
    <col min="4" max="4" width="15.85546875" customWidth="1"/>
    <col min="5" max="5" width="14.85546875" customWidth="1"/>
    <col min="6" max="6" width="6.5703125" customWidth="1"/>
    <col min="7" max="7" width="8.42578125" customWidth="1"/>
    <col min="8" max="8" width="11.5703125" customWidth="1"/>
    <col min="9" max="9" width="13.140625" customWidth="1"/>
    <col min="10" max="10" width="13.140625" style="84" customWidth="1"/>
  </cols>
  <sheetData>
    <row r="1" spans="1:11" ht="9.1999999999999993" customHeight="1">
      <c r="A1" s="126"/>
      <c r="B1" s="126"/>
      <c r="C1" s="126"/>
      <c r="D1" s="126"/>
      <c r="E1" s="126"/>
      <c r="F1" s="1819"/>
      <c r="G1" s="1819"/>
      <c r="H1" s="1819"/>
      <c r="I1" s="1819"/>
      <c r="J1" s="1818"/>
      <c r="K1" s="126"/>
    </row>
    <row r="2" spans="1:11">
      <c r="A2" s="126"/>
      <c r="B2" s="290" t="s">
        <v>1545</v>
      </c>
      <c r="C2" s="1850" t="s">
        <v>1574</v>
      </c>
      <c r="D2" s="1855"/>
      <c r="E2" s="1855"/>
      <c r="F2" s="1855"/>
      <c r="G2" s="1855"/>
      <c r="H2" s="1855"/>
      <c r="I2" s="1855"/>
      <c r="J2" s="1792"/>
      <c r="K2" s="126"/>
    </row>
    <row r="3" spans="1:11">
      <c r="A3" s="126"/>
      <c r="B3" s="1846" t="s">
        <v>1543</v>
      </c>
      <c r="C3" s="1845" t="s">
        <v>1573</v>
      </c>
      <c r="D3" s="1844"/>
      <c r="E3" s="1844"/>
      <c r="F3" s="1844"/>
      <c r="G3" s="1844"/>
      <c r="H3" s="1844"/>
      <c r="I3" s="1844"/>
      <c r="J3" s="1843"/>
      <c r="K3" s="126"/>
    </row>
    <row r="4" spans="1:11" ht="8.1" customHeight="1" thickBot="1">
      <c r="A4" s="126"/>
      <c r="B4" s="126"/>
      <c r="C4" s="126"/>
      <c r="D4" s="126"/>
      <c r="E4" s="126"/>
      <c r="F4" s="1841"/>
      <c r="G4" s="1841"/>
      <c r="H4" s="2824"/>
      <c r="I4" s="2824"/>
      <c r="J4" s="2824"/>
      <c r="K4" s="126"/>
    </row>
    <row r="5" spans="1:11" s="126" customFormat="1" ht="77.099999999999994" customHeight="1" thickBot="1">
      <c r="B5" s="2736" t="s">
        <v>1541</v>
      </c>
      <c r="C5" s="2736"/>
      <c r="D5" s="1854" t="s">
        <v>1540</v>
      </c>
      <c r="E5" s="1840" t="s">
        <v>1539</v>
      </c>
      <c r="F5" s="1839"/>
      <c r="G5" s="1839"/>
      <c r="H5" s="1838" t="s">
        <v>1538</v>
      </c>
      <c r="I5" s="1837" t="s">
        <v>1537</v>
      </c>
      <c r="J5" s="1837" t="s">
        <v>1536</v>
      </c>
    </row>
    <row r="6" spans="1:11" s="126" customFormat="1" ht="19.5" customHeight="1">
      <c r="B6" s="96" t="s">
        <v>423</v>
      </c>
      <c r="C6" s="1786"/>
      <c r="D6" s="1833"/>
      <c r="E6" s="92"/>
      <c r="F6" s="1836"/>
      <c r="G6" s="1836"/>
      <c r="H6" s="1836"/>
      <c r="I6" s="1836"/>
      <c r="J6" s="1834"/>
    </row>
    <row r="7" spans="1:11" s="126" customFormat="1" ht="27.2" customHeight="1">
      <c r="B7" s="2821" t="s">
        <v>1602</v>
      </c>
      <c r="C7" s="2821"/>
      <c r="D7" s="2821" t="s">
        <v>1601</v>
      </c>
      <c r="E7" s="553" t="s">
        <v>1508</v>
      </c>
      <c r="F7" s="1828"/>
      <c r="G7" s="1827"/>
      <c r="H7" s="1826">
        <v>23.7</v>
      </c>
      <c r="I7" s="1826">
        <v>23.8</v>
      </c>
      <c r="J7" s="1826">
        <v>23.6</v>
      </c>
    </row>
    <row r="8" spans="1:11" s="126" customFormat="1" ht="27.2" customHeight="1">
      <c r="B8" s="2821"/>
      <c r="C8" s="2821"/>
      <c r="D8" s="2821"/>
      <c r="E8" s="1833" t="s">
        <v>1533</v>
      </c>
      <c r="F8" s="1828"/>
      <c r="G8" s="1827"/>
      <c r="H8" s="1826">
        <v>32.1</v>
      </c>
      <c r="I8" s="1826">
        <v>31.8</v>
      </c>
      <c r="J8" s="1826">
        <v>31.5</v>
      </c>
    </row>
    <row r="9" spans="1:11" s="126" customFormat="1" ht="27.2" customHeight="1">
      <c r="B9" s="2821" t="s">
        <v>1600</v>
      </c>
      <c r="C9" s="2821"/>
      <c r="D9" s="2821" t="s">
        <v>1599</v>
      </c>
      <c r="E9" s="553" t="s">
        <v>1508</v>
      </c>
      <c r="F9" s="1828"/>
      <c r="G9" s="1827"/>
      <c r="H9" s="1826">
        <v>23.7</v>
      </c>
      <c r="I9" s="1826">
        <v>23.8</v>
      </c>
      <c r="J9" s="1826">
        <v>23.6</v>
      </c>
    </row>
    <row r="10" spans="1:11" s="126" customFormat="1" ht="27.2" customHeight="1">
      <c r="B10" s="2821"/>
      <c r="C10" s="2821"/>
      <c r="D10" s="2821"/>
      <c r="E10" s="1833" t="s">
        <v>1533</v>
      </c>
      <c r="F10" s="1828"/>
      <c r="G10" s="1827"/>
      <c r="H10" s="1826">
        <v>32.1</v>
      </c>
      <c r="I10" s="1826">
        <v>31.8</v>
      </c>
      <c r="J10" s="1826">
        <v>31.5</v>
      </c>
    </row>
    <row r="11" spans="1:11" s="126" customFormat="1" ht="27.2" customHeight="1">
      <c r="B11" s="2821" t="s">
        <v>1598</v>
      </c>
      <c r="C11" s="2821"/>
      <c r="D11" s="2821" t="s">
        <v>1597</v>
      </c>
      <c r="E11" s="553" t="s">
        <v>1508</v>
      </c>
      <c r="F11" s="1828"/>
      <c r="G11" s="1827"/>
      <c r="H11" s="1826">
        <v>23.7</v>
      </c>
      <c r="I11" s="1826">
        <v>23.8</v>
      </c>
      <c r="J11" s="1826">
        <v>23.6</v>
      </c>
    </row>
    <row r="12" spans="1:11" s="126" customFormat="1" ht="27.2" customHeight="1">
      <c r="B12" s="2821"/>
      <c r="C12" s="2821"/>
      <c r="D12" s="2821"/>
      <c r="E12" s="1833" t="s">
        <v>1533</v>
      </c>
      <c r="F12" s="1828"/>
      <c r="G12" s="1827"/>
      <c r="H12" s="1826">
        <v>32.1</v>
      </c>
      <c r="I12" s="1826">
        <v>31.8</v>
      </c>
      <c r="J12" s="1826">
        <v>31.5</v>
      </c>
    </row>
    <row r="13" spans="1:11" s="126" customFormat="1" ht="27.2" customHeight="1">
      <c r="B13" s="2821" t="s">
        <v>1596</v>
      </c>
      <c r="C13" s="2821"/>
      <c r="D13" s="2821" t="s">
        <v>1595</v>
      </c>
      <c r="E13" s="553" t="s">
        <v>1508</v>
      </c>
      <c r="F13" s="1828"/>
      <c r="G13" s="1827"/>
      <c r="H13" s="1826">
        <v>23.7</v>
      </c>
      <c r="I13" s="1826">
        <v>23.8</v>
      </c>
      <c r="J13" s="1826">
        <v>23.6</v>
      </c>
    </row>
    <row r="14" spans="1:11" s="126" customFormat="1" ht="27.2" customHeight="1">
      <c r="B14" s="2821"/>
      <c r="C14" s="2821"/>
      <c r="D14" s="2821"/>
      <c r="E14" s="1833" t="s">
        <v>1533</v>
      </c>
      <c r="F14" s="1828"/>
      <c r="G14" s="1827"/>
      <c r="H14" s="1826">
        <v>32.1</v>
      </c>
      <c r="I14" s="1826">
        <v>31.8</v>
      </c>
      <c r="J14" s="1826">
        <v>31.5</v>
      </c>
    </row>
    <row r="15" spans="1:11" s="126" customFormat="1" ht="27.2" customHeight="1">
      <c r="B15" s="2821" t="s">
        <v>1594</v>
      </c>
      <c r="C15" s="2821"/>
      <c r="D15" s="2821" t="s">
        <v>1593</v>
      </c>
      <c r="E15" s="553" t="s">
        <v>1508</v>
      </c>
      <c r="F15" s="1828"/>
      <c r="G15" s="1827"/>
      <c r="H15" s="1826">
        <v>23.7</v>
      </c>
      <c r="I15" s="1826">
        <v>23.8</v>
      </c>
      <c r="J15" s="1826">
        <v>23.6</v>
      </c>
    </row>
    <row r="16" spans="1:11" s="126" customFormat="1" ht="27.2" customHeight="1">
      <c r="B16" s="2821"/>
      <c r="C16" s="2821"/>
      <c r="D16" s="2821"/>
      <c r="E16" s="1833" t="s">
        <v>1533</v>
      </c>
      <c r="F16" s="1828"/>
      <c r="G16" s="1827"/>
      <c r="H16" s="1826">
        <v>32.1</v>
      </c>
      <c r="I16" s="1826">
        <v>31.8</v>
      </c>
      <c r="J16" s="1826">
        <v>31.5</v>
      </c>
    </row>
    <row r="17" spans="1:11" s="126" customFormat="1" ht="27.2" customHeight="1">
      <c r="B17" s="2821" t="s">
        <v>1592</v>
      </c>
      <c r="C17" s="2821"/>
      <c r="D17" s="2821" t="s">
        <v>1591</v>
      </c>
      <c r="E17" s="553" t="s">
        <v>1508</v>
      </c>
      <c r="F17" s="1828"/>
      <c r="G17" s="1827"/>
      <c r="H17" s="1826">
        <v>23.7</v>
      </c>
      <c r="I17" s="1826">
        <v>23.8</v>
      </c>
      <c r="J17" s="1826">
        <v>23.6</v>
      </c>
    </row>
    <row r="18" spans="1:11" s="126" customFormat="1" ht="27.2" customHeight="1">
      <c r="B18" s="2821"/>
      <c r="C18" s="2821"/>
      <c r="D18" s="2821"/>
      <c r="E18" s="1833" t="s">
        <v>1533</v>
      </c>
      <c r="F18" s="1828"/>
      <c r="G18" s="1827"/>
      <c r="H18" s="1826">
        <v>32.1</v>
      </c>
      <c r="I18" s="1826">
        <v>31.8</v>
      </c>
      <c r="J18" s="1826">
        <v>31.5</v>
      </c>
    </row>
    <row r="19" spans="1:11" ht="21.2" customHeight="1">
      <c r="A19" s="126"/>
      <c r="B19" s="1786" t="s">
        <v>235</v>
      </c>
      <c r="C19" s="1833"/>
      <c r="D19" s="1833"/>
      <c r="E19" s="136"/>
      <c r="F19" s="1832"/>
      <c r="G19" s="1831"/>
      <c r="H19" s="1830"/>
      <c r="I19" s="1830"/>
      <c r="J19" s="1830"/>
      <c r="K19" s="126"/>
    </row>
    <row r="20" spans="1:11" ht="27.2" customHeight="1">
      <c r="A20" s="126"/>
      <c r="B20" s="2821" t="s">
        <v>1590</v>
      </c>
      <c r="C20" s="2821"/>
      <c r="D20" s="2821" t="s">
        <v>1589</v>
      </c>
      <c r="E20" s="553" t="s">
        <v>1508</v>
      </c>
      <c r="F20" s="1828"/>
      <c r="G20" s="1827"/>
      <c r="H20" s="1826">
        <v>24</v>
      </c>
      <c r="I20" s="1826">
        <v>24.2</v>
      </c>
      <c r="J20" s="1826">
        <v>23.8</v>
      </c>
      <c r="K20" s="126"/>
    </row>
    <row r="21" spans="1:11" ht="27.2" customHeight="1">
      <c r="A21" s="126"/>
      <c r="B21" s="2821"/>
      <c r="C21" s="2821"/>
      <c r="D21" s="2821"/>
      <c r="E21" s="1833" t="s">
        <v>1533</v>
      </c>
      <c r="F21" s="1828"/>
      <c r="G21" s="1827"/>
      <c r="H21" s="1826">
        <v>32</v>
      </c>
      <c r="I21" s="1826">
        <v>31.8</v>
      </c>
      <c r="J21" s="1826">
        <v>31.9</v>
      </c>
      <c r="K21" s="126"/>
    </row>
    <row r="22" spans="1:11" ht="27.2" customHeight="1">
      <c r="A22" s="126"/>
      <c r="B22" s="2821" t="s">
        <v>1588</v>
      </c>
      <c r="C22" s="2821"/>
      <c r="D22" s="2821" t="s">
        <v>1587</v>
      </c>
      <c r="E22" s="553" t="s">
        <v>1508</v>
      </c>
      <c r="F22" s="1828"/>
      <c r="G22" s="1827"/>
      <c r="H22" s="1826">
        <v>24.2</v>
      </c>
      <c r="I22" s="1826">
        <v>24.3</v>
      </c>
      <c r="J22" s="1826">
        <v>23.9</v>
      </c>
      <c r="K22" s="126"/>
    </row>
    <row r="23" spans="1:11" ht="27.2" customHeight="1">
      <c r="A23" s="126"/>
      <c r="B23" s="2821"/>
      <c r="C23" s="2821"/>
      <c r="D23" s="2821"/>
      <c r="E23" s="1833" t="s">
        <v>1533</v>
      </c>
      <c r="F23" s="1828"/>
      <c r="G23" s="1827"/>
      <c r="H23" s="1826">
        <v>33.4</v>
      </c>
      <c r="I23" s="1826">
        <v>32.9</v>
      </c>
      <c r="J23" s="1826">
        <v>32.799999999999997</v>
      </c>
      <c r="K23" s="126"/>
    </row>
    <row r="24" spans="1:11" ht="27.2" customHeight="1">
      <c r="A24" s="126"/>
      <c r="B24" s="2821" t="s">
        <v>1586</v>
      </c>
      <c r="C24" s="2821"/>
      <c r="D24" s="2821" t="s">
        <v>1585</v>
      </c>
      <c r="E24" s="553" t="s">
        <v>1508</v>
      </c>
      <c r="F24" s="1828"/>
      <c r="G24" s="1827"/>
      <c r="H24" s="1826">
        <v>24.1</v>
      </c>
      <c r="I24" s="1826">
        <v>24</v>
      </c>
      <c r="J24" s="1826">
        <v>23.6</v>
      </c>
      <c r="K24" s="126"/>
    </row>
    <row r="25" spans="1:11" ht="27.2" customHeight="1">
      <c r="A25" s="126"/>
      <c r="B25" s="2821"/>
      <c r="C25" s="2821"/>
      <c r="D25" s="2821"/>
      <c r="E25" s="1833" t="s">
        <v>1533</v>
      </c>
      <c r="F25" s="1828"/>
      <c r="G25" s="1827"/>
      <c r="H25" s="1826">
        <v>32.5</v>
      </c>
      <c r="I25" s="1826">
        <v>32</v>
      </c>
      <c r="J25" s="1826">
        <v>32</v>
      </c>
      <c r="K25" s="126"/>
    </row>
    <row r="26" spans="1:11" ht="27.2" customHeight="1">
      <c r="A26" s="126"/>
      <c r="B26" s="2821" t="s">
        <v>1584</v>
      </c>
      <c r="C26" s="2821"/>
      <c r="D26" s="2821" t="s">
        <v>1583</v>
      </c>
      <c r="E26" s="553" t="s">
        <v>1508</v>
      </c>
      <c r="F26" s="1828"/>
      <c r="G26" s="1827"/>
      <c r="H26" s="1826">
        <v>23.7</v>
      </c>
      <c r="I26" s="1826">
        <v>23.8</v>
      </c>
      <c r="J26" s="1826">
        <v>23.6</v>
      </c>
      <c r="K26" s="126"/>
    </row>
    <row r="27" spans="1:11" ht="27.2" customHeight="1">
      <c r="A27" s="126"/>
      <c r="B27" s="2821"/>
      <c r="C27" s="2821"/>
      <c r="D27" s="2821"/>
      <c r="E27" s="1833" t="s">
        <v>1533</v>
      </c>
      <c r="F27" s="1828"/>
      <c r="G27" s="1827"/>
      <c r="H27" s="1826">
        <v>33.299999999999997</v>
      </c>
      <c r="I27" s="1826">
        <v>32.9</v>
      </c>
      <c r="J27" s="1826">
        <v>32.5</v>
      </c>
      <c r="K27" s="126"/>
    </row>
    <row r="28" spans="1:11" ht="27.2" customHeight="1">
      <c r="A28" s="126"/>
      <c r="B28" s="2821" t="s">
        <v>1582</v>
      </c>
      <c r="C28" s="2821"/>
      <c r="D28" s="2821" t="s">
        <v>1580</v>
      </c>
      <c r="E28" s="553" t="s">
        <v>1508</v>
      </c>
      <c r="F28" s="1828"/>
      <c r="G28" s="1827"/>
      <c r="H28" s="1826">
        <v>24</v>
      </c>
      <c r="I28" s="1826">
        <v>24.3</v>
      </c>
      <c r="J28" s="1826">
        <v>24</v>
      </c>
      <c r="K28" s="126"/>
    </row>
    <row r="29" spans="1:11" ht="27.2" customHeight="1">
      <c r="A29" s="126"/>
      <c r="B29" s="2821"/>
      <c r="C29" s="2821"/>
      <c r="D29" s="2821"/>
      <c r="E29" s="1833" t="s">
        <v>1533</v>
      </c>
      <c r="F29" s="1828"/>
      <c r="G29" s="1827"/>
      <c r="H29" s="1826">
        <v>31.7</v>
      </c>
      <c r="I29" s="1826">
        <v>31.6</v>
      </c>
      <c r="J29" s="1826">
        <v>31.3</v>
      </c>
      <c r="K29" s="126"/>
    </row>
    <row r="30" spans="1:11" ht="27.2" customHeight="1">
      <c r="A30" s="126"/>
      <c r="B30" s="2821" t="s">
        <v>1581</v>
      </c>
      <c r="C30" s="2821"/>
      <c r="D30" s="2821" t="s">
        <v>1580</v>
      </c>
      <c r="E30" s="553" t="s">
        <v>1508</v>
      </c>
      <c r="F30" s="1828"/>
      <c r="G30" s="1827"/>
      <c r="H30" s="1826">
        <v>23.3</v>
      </c>
      <c r="I30" s="1826">
        <v>23.5</v>
      </c>
      <c r="J30" s="1826">
        <v>23.1</v>
      </c>
      <c r="K30" s="126"/>
    </row>
    <row r="31" spans="1:11" ht="27.2" customHeight="1">
      <c r="A31" s="126"/>
      <c r="B31" s="2821"/>
      <c r="C31" s="2821"/>
      <c r="D31" s="2821"/>
      <c r="E31" s="1833" t="s">
        <v>1533</v>
      </c>
      <c r="F31" s="1828"/>
      <c r="G31" s="1827"/>
      <c r="H31" s="1826">
        <v>33.5</v>
      </c>
      <c r="I31" s="1826">
        <v>32.9</v>
      </c>
      <c r="J31" s="1826">
        <v>32.9</v>
      </c>
      <c r="K31" s="126"/>
    </row>
    <row r="32" spans="1:11" ht="27.2" customHeight="1">
      <c r="A32" s="126"/>
      <c r="B32" s="2821" t="s">
        <v>1579</v>
      </c>
      <c r="C32" s="2821"/>
      <c r="D32" s="2821" t="s">
        <v>1578</v>
      </c>
      <c r="E32" s="553" t="s">
        <v>1508</v>
      </c>
      <c r="F32" s="1828"/>
      <c r="G32" s="1827"/>
      <c r="H32" s="1826">
        <v>23.3</v>
      </c>
      <c r="I32" s="1826">
        <v>23.5</v>
      </c>
      <c r="J32" s="1826">
        <v>23.1</v>
      </c>
      <c r="K32" s="126"/>
    </row>
    <row r="33" spans="1:11" ht="27.2" customHeight="1">
      <c r="A33" s="126"/>
      <c r="B33" s="2821"/>
      <c r="C33" s="2821"/>
      <c r="D33" s="2821"/>
      <c r="E33" s="1833" t="s">
        <v>1533</v>
      </c>
      <c r="F33" s="1828"/>
      <c r="G33" s="1827"/>
      <c r="H33" s="1826">
        <v>33.5</v>
      </c>
      <c r="I33" s="1826">
        <v>32.9</v>
      </c>
      <c r="J33" s="1826">
        <v>32.9</v>
      </c>
      <c r="K33" s="126"/>
    </row>
    <row r="34" spans="1:11" ht="27.2" customHeight="1">
      <c r="A34" s="126"/>
      <c r="B34" s="2821" t="s">
        <v>1577</v>
      </c>
      <c r="C34" s="2821"/>
      <c r="D34" s="2821" t="s">
        <v>1576</v>
      </c>
      <c r="E34" s="553" t="s">
        <v>1508</v>
      </c>
      <c r="F34" s="1828"/>
      <c r="G34" s="1827"/>
      <c r="H34" s="1826">
        <v>23.4</v>
      </c>
      <c r="I34" s="1826">
        <v>23.6</v>
      </c>
      <c r="J34" s="1826">
        <v>23.2</v>
      </c>
      <c r="K34" s="126"/>
    </row>
    <row r="35" spans="1:11" ht="31.5" customHeight="1" thickBot="1">
      <c r="A35" s="126"/>
      <c r="B35" s="2822"/>
      <c r="C35" s="2822"/>
      <c r="D35" s="2822"/>
      <c r="E35" s="1852" t="s">
        <v>1533</v>
      </c>
      <c r="F35" s="1824"/>
      <c r="G35" s="1823"/>
      <c r="H35" s="1822">
        <v>33.200000000000003</v>
      </c>
      <c r="I35" s="1822">
        <v>32.4</v>
      </c>
      <c r="J35" s="1822">
        <v>32.299999999999997</v>
      </c>
      <c r="K35" s="126"/>
    </row>
    <row r="36" spans="1:11">
      <c r="A36" s="126"/>
      <c r="B36" s="126"/>
      <c r="C36" s="126"/>
      <c r="D36" s="126"/>
      <c r="E36" s="126"/>
      <c r="F36" s="1819"/>
      <c r="G36" s="1819"/>
      <c r="H36" s="1819"/>
      <c r="I36" s="1819"/>
      <c r="J36" s="148" t="s">
        <v>1506</v>
      </c>
    </row>
    <row r="37" spans="1:11">
      <c r="A37" s="126"/>
      <c r="B37" s="126"/>
      <c r="C37" s="126"/>
      <c r="D37" s="126"/>
      <c r="E37" s="126"/>
      <c r="F37" s="1819"/>
      <c r="G37" s="1819"/>
      <c r="H37" s="1819"/>
      <c r="I37" s="1819"/>
      <c r="J37" s="1821" t="s">
        <v>1505</v>
      </c>
    </row>
    <row r="38" spans="1:11" ht="7.5" customHeight="1">
      <c r="A38" s="126"/>
      <c r="B38" s="126"/>
      <c r="C38" s="126"/>
      <c r="D38" s="126"/>
      <c r="E38" s="126"/>
      <c r="F38" s="1819"/>
      <c r="G38" s="1819"/>
      <c r="H38" s="1819"/>
      <c r="I38" s="1819"/>
      <c r="J38" s="1818"/>
      <c r="K38" s="126"/>
    </row>
    <row r="39" spans="1:11" ht="15.75">
      <c r="A39" s="126"/>
      <c r="B39" s="587" t="s">
        <v>1504</v>
      </c>
      <c r="C39" s="587"/>
      <c r="D39" s="546"/>
      <c r="E39" s="126"/>
      <c r="F39" s="1819"/>
      <c r="G39" s="1819"/>
      <c r="H39" s="1819"/>
      <c r="I39" s="1819"/>
      <c r="J39" s="1818"/>
      <c r="K39" s="126"/>
    </row>
    <row r="40" spans="1:11" ht="15.75">
      <c r="A40" s="1820" t="s">
        <v>3</v>
      </c>
      <c r="B40" s="587" t="s">
        <v>1503</v>
      </c>
      <c r="C40" s="587"/>
      <c r="D40" s="546"/>
      <c r="E40" s="126"/>
      <c r="F40" s="1819"/>
      <c r="G40" s="1819"/>
      <c r="H40" s="1819"/>
      <c r="I40" s="1819"/>
      <c r="J40" s="1818"/>
      <c r="K40" s="126"/>
    </row>
    <row r="41" spans="1:11">
      <c r="A41" s="1820" t="s">
        <v>4</v>
      </c>
      <c r="B41" s="1764" t="s">
        <v>1502</v>
      </c>
      <c r="C41" s="1764"/>
      <c r="D41" s="546"/>
      <c r="E41" s="126"/>
      <c r="F41" s="1819"/>
      <c r="G41" s="1819"/>
      <c r="H41" s="1819"/>
      <c r="I41" s="1819"/>
      <c r="J41" s="1818"/>
      <c r="K41" s="126"/>
    </row>
    <row r="42" spans="1:11" ht="24" customHeight="1">
      <c r="A42" s="1856" t="s">
        <v>263</v>
      </c>
      <c r="B42" s="2826" t="s">
        <v>1575</v>
      </c>
      <c r="C42" s="2826"/>
      <c r="D42" s="2826"/>
      <c r="E42" s="2826"/>
      <c r="F42" s="2826"/>
      <c r="G42" s="2826"/>
      <c r="H42" s="2826"/>
      <c r="I42" s="2826"/>
      <c r="J42" s="2826"/>
    </row>
    <row r="43" spans="1:11">
      <c r="B43" s="1816"/>
      <c r="C43" s="1816"/>
      <c r="D43" s="1815"/>
    </row>
  </sheetData>
  <mergeCells count="31">
    <mergeCell ref="H4:J4"/>
    <mergeCell ref="B5:C5"/>
    <mergeCell ref="B17:C18"/>
    <mergeCell ref="D17:D18"/>
    <mergeCell ref="B20:C21"/>
    <mergeCell ref="D20:D21"/>
    <mergeCell ref="B7:C8"/>
    <mergeCell ref="D7:D8"/>
    <mergeCell ref="B9:C10"/>
    <mergeCell ref="D9:D10"/>
    <mergeCell ref="B11:C12"/>
    <mergeCell ref="D11:D12"/>
    <mergeCell ref="B13:C14"/>
    <mergeCell ref="D13:D14"/>
    <mergeCell ref="B15:C16"/>
    <mergeCell ref="D15:D16"/>
    <mergeCell ref="B28:C29"/>
    <mergeCell ref="D28:D29"/>
    <mergeCell ref="B42:J42"/>
    <mergeCell ref="B30:C31"/>
    <mergeCell ref="D30:D31"/>
    <mergeCell ref="B32:C33"/>
    <mergeCell ref="D32:D33"/>
    <mergeCell ref="B34:C35"/>
    <mergeCell ref="D34:D35"/>
    <mergeCell ref="B22:C23"/>
    <mergeCell ref="D22:D23"/>
    <mergeCell ref="B24:C25"/>
    <mergeCell ref="D24:D25"/>
    <mergeCell ref="B26:C27"/>
    <mergeCell ref="D26:D27"/>
  </mergeCells>
  <pageMargins left="0.55118110236220474" right="0.55118110236220474" top="0.55118110236220474" bottom="0.55118110236220474" header="0.31496062992125984" footer="0.31496062992125984"/>
  <pageSetup paperSize="9" scale="70" fitToWidth="0" fitToHeight="0" orientation="portrait"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766CD-A127-48F4-B032-D6ED345E299E}">
  <sheetPr>
    <tabColor theme="4" tint="0.39997558519241921"/>
    <pageSetUpPr fitToPage="1"/>
  </sheetPr>
  <dimension ref="A1:J17"/>
  <sheetViews>
    <sheetView view="pageBreakPreview" zoomScale="90" zoomScaleNormal="100" zoomScaleSheetLayoutView="90" workbookViewId="0">
      <selection activeCell="L25" sqref="L25"/>
    </sheetView>
  </sheetViews>
  <sheetFormatPr defaultRowHeight="15"/>
  <cols>
    <col min="1" max="1" width="2.28515625" customWidth="1"/>
    <col min="2" max="2" width="12.5703125" customWidth="1"/>
    <col min="3" max="3" width="32.42578125" customWidth="1"/>
    <col min="4" max="4" width="11.85546875" customWidth="1"/>
    <col min="5" max="5" width="14" customWidth="1"/>
    <col min="6" max="6" width="19.140625" customWidth="1"/>
    <col min="7" max="7" width="10.7109375" customWidth="1"/>
    <col min="8" max="8" width="12.5703125" customWidth="1"/>
    <col min="9" max="9" width="11.7109375" style="84" customWidth="1"/>
  </cols>
  <sheetData>
    <row r="1" spans="1:10">
      <c r="A1" s="126"/>
      <c r="B1" s="126"/>
      <c r="C1" s="126"/>
      <c r="D1" s="126"/>
      <c r="E1" s="126"/>
      <c r="F1" s="1819"/>
      <c r="G1" s="1819"/>
      <c r="H1" s="1819"/>
      <c r="I1" s="1818"/>
      <c r="J1" s="126"/>
    </row>
    <row r="2" spans="1:10">
      <c r="A2" s="126"/>
      <c r="B2" s="290" t="s">
        <v>1545</v>
      </c>
      <c r="C2" s="1850" t="s">
        <v>1574</v>
      </c>
      <c r="D2" s="1855"/>
      <c r="E2" s="1855"/>
      <c r="F2" s="1855"/>
      <c r="G2" s="1855"/>
      <c r="H2" s="1855"/>
      <c r="I2" s="1792"/>
      <c r="J2" s="126"/>
    </row>
    <row r="3" spans="1:10">
      <c r="A3" s="126"/>
      <c r="B3" s="1846" t="s">
        <v>1543</v>
      </c>
      <c r="C3" s="1845" t="s">
        <v>1605</v>
      </c>
      <c r="D3" s="1844"/>
      <c r="E3" s="1844"/>
      <c r="F3" s="1844"/>
      <c r="G3" s="1844"/>
      <c r="H3" s="1844"/>
      <c r="I3" s="1843"/>
      <c r="J3" s="126"/>
    </row>
    <row r="4" spans="1:10" ht="8.1" customHeight="1" thickBot="1">
      <c r="A4" s="126"/>
      <c r="B4" s="126"/>
      <c r="C4" s="126"/>
      <c r="D4" s="126"/>
      <c r="E4" s="126"/>
      <c r="F4" s="1841"/>
      <c r="G4" s="2824"/>
      <c r="H4" s="2824"/>
      <c r="I4" s="2824"/>
      <c r="J4" s="126"/>
    </row>
    <row r="5" spans="1:10" s="126" customFormat="1" ht="77.099999999999994" customHeight="1" thickBot="1">
      <c r="B5" s="2736" t="s">
        <v>1541</v>
      </c>
      <c r="C5" s="2736"/>
      <c r="D5" s="1854" t="s">
        <v>1540</v>
      </c>
      <c r="E5" s="1840" t="s">
        <v>1539</v>
      </c>
      <c r="F5" s="1839"/>
      <c r="G5" s="1838" t="s">
        <v>1538</v>
      </c>
      <c r="H5" s="1837" t="s">
        <v>1537</v>
      </c>
      <c r="I5" s="1837" t="s">
        <v>1536</v>
      </c>
    </row>
    <row r="6" spans="1:10" ht="27.2" customHeight="1">
      <c r="A6" s="126"/>
      <c r="B6" s="96" t="s">
        <v>425</v>
      </c>
      <c r="C6" s="1786"/>
      <c r="D6" s="1833"/>
      <c r="E6" s="92"/>
      <c r="F6" s="1836"/>
      <c r="G6" s="1836"/>
      <c r="H6" s="1836"/>
      <c r="I6" s="1834"/>
      <c r="J6" s="126"/>
    </row>
    <row r="7" spans="1:10" ht="27.2" customHeight="1">
      <c r="A7" s="126"/>
      <c r="B7" s="2821" t="s">
        <v>1604</v>
      </c>
      <c r="C7" s="2821"/>
      <c r="D7" s="2821" t="s">
        <v>1603</v>
      </c>
      <c r="E7" s="553" t="s">
        <v>1508</v>
      </c>
      <c r="F7" s="1827"/>
      <c r="G7" s="1826">
        <v>25.2</v>
      </c>
      <c r="H7" s="1826">
        <v>25</v>
      </c>
      <c r="I7" s="1826">
        <v>24.4</v>
      </c>
      <c r="J7" s="126"/>
    </row>
    <row r="8" spans="1:10" ht="27.2" customHeight="1">
      <c r="A8" s="126"/>
      <c r="B8" s="2821"/>
      <c r="C8" s="2821"/>
      <c r="D8" s="2821"/>
      <c r="E8" s="1833" t="s">
        <v>1533</v>
      </c>
      <c r="F8" s="1827"/>
      <c r="G8" s="1826">
        <v>31.7</v>
      </c>
      <c r="H8" s="1826">
        <v>31.4</v>
      </c>
      <c r="I8" s="1826">
        <v>30.9</v>
      </c>
      <c r="J8" s="126"/>
    </row>
    <row r="9" spans="1:10" ht="7.5" customHeight="1" thickBot="1">
      <c r="A9" s="126"/>
      <c r="B9" s="1859"/>
      <c r="C9" s="1859"/>
      <c r="D9" s="1859"/>
      <c r="E9" s="1859"/>
      <c r="F9" s="1858"/>
      <c r="G9" s="1858"/>
      <c r="H9" s="1858"/>
      <c r="I9" s="1857"/>
      <c r="J9" s="126"/>
    </row>
    <row r="10" spans="1:10">
      <c r="A10" s="126"/>
      <c r="B10" s="126"/>
      <c r="C10" s="126"/>
      <c r="D10" s="126"/>
      <c r="E10" s="126"/>
      <c r="F10" s="1819"/>
      <c r="G10" s="1819"/>
      <c r="H10" s="1819"/>
      <c r="I10" s="148" t="s">
        <v>1506</v>
      </c>
    </row>
    <row r="11" spans="1:10">
      <c r="A11" s="126"/>
      <c r="B11" s="126"/>
      <c r="C11" s="126"/>
      <c r="D11" s="126"/>
      <c r="E11" s="126"/>
      <c r="F11" s="1819"/>
      <c r="G11" s="1819"/>
      <c r="H11" s="1819"/>
      <c r="I11" s="1821" t="s">
        <v>1505</v>
      </c>
    </row>
    <row r="12" spans="1:10">
      <c r="A12" s="126"/>
      <c r="B12" s="126"/>
      <c r="C12" s="126"/>
      <c r="D12" s="126"/>
      <c r="E12" s="126"/>
      <c r="F12" s="1819"/>
      <c r="G12" s="1819"/>
      <c r="H12" s="1819"/>
      <c r="I12" s="1818"/>
      <c r="J12" s="126"/>
    </row>
    <row r="13" spans="1:10" ht="15.75">
      <c r="A13" s="126"/>
      <c r="B13" s="587" t="s">
        <v>1504</v>
      </c>
      <c r="C13" s="587"/>
      <c r="D13" s="546"/>
      <c r="E13" s="126"/>
      <c r="F13" s="1819"/>
      <c r="G13" s="1819"/>
      <c r="H13" s="1819"/>
      <c r="I13" s="1818"/>
      <c r="J13" s="126"/>
    </row>
    <row r="14" spans="1:10" ht="15.75">
      <c r="A14" s="1820" t="s">
        <v>3</v>
      </c>
      <c r="B14" s="587" t="s">
        <v>1503</v>
      </c>
      <c r="C14" s="587"/>
      <c r="D14" s="546"/>
      <c r="E14" s="126"/>
      <c r="F14" s="1819"/>
      <c r="G14" s="1819"/>
      <c r="H14" s="1819"/>
      <c r="I14" s="1818"/>
      <c r="J14" s="126"/>
    </row>
    <row r="15" spans="1:10">
      <c r="A15" s="1820" t="s">
        <v>4</v>
      </c>
      <c r="B15" s="1764" t="s">
        <v>1502</v>
      </c>
      <c r="C15" s="1764"/>
      <c r="D15" s="546"/>
      <c r="E15" s="126"/>
      <c r="F15" s="1819"/>
      <c r="G15" s="1819"/>
      <c r="H15" s="1819"/>
      <c r="I15" s="1818"/>
      <c r="J15" s="126"/>
    </row>
    <row r="16" spans="1:10" ht="27.75" customHeight="1">
      <c r="A16" s="1856" t="s">
        <v>263</v>
      </c>
      <c r="B16" s="2826" t="s">
        <v>1575</v>
      </c>
      <c r="C16" s="2826"/>
      <c r="D16" s="2826"/>
      <c r="E16" s="2826"/>
      <c r="F16" s="2826"/>
      <c r="G16" s="2826"/>
      <c r="H16" s="2826"/>
      <c r="I16" s="2826"/>
    </row>
    <row r="17" spans="2:4">
      <c r="B17" s="1816"/>
      <c r="C17" s="1816"/>
      <c r="D17" s="1815"/>
    </row>
  </sheetData>
  <mergeCells count="5">
    <mergeCell ref="B5:C5"/>
    <mergeCell ref="B7:C8"/>
    <mergeCell ref="D7:D8"/>
    <mergeCell ref="B16:I16"/>
    <mergeCell ref="G4:I4"/>
  </mergeCells>
  <pageMargins left="0.55118110236220474" right="0.55118110236220474" top="0.55118110236220474" bottom="0.55118110236220474" header="0.31496062992125984" footer="0.31496062992125984"/>
  <pageSetup paperSize="9" scale="71"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12AE6-94C2-414A-91B5-408917427942}">
  <sheetPr>
    <tabColor theme="4" tint="0.39997558519241921"/>
  </sheetPr>
  <dimension ref="A1:J42"/>
  <sheetViews>
    <sheetView view="pageBreakPreview" zoomScaleNormal="100" zoomScaleSheetLayoutView="100" workbookViewId="0">
      <selection activeCell="E15" sqref="E15"/>
    </sheetView>
  </sheetViews>
  <sheetFormatPr defaultColWidth="9.140625" defaultRowHeight="15"/>
  <cols>
    <col min="1" max="1" width="1.85546875" customWidth="1"/>
    <col min="2" max="2" width="14.140625" style="1861" customWidth="1"/>
    <col min="3" max="3" width="29.5703125" style="1861" customWidth="1"/>
    <col min="4" max="4" width="15.5703125" style="1861" customWidth="1"/>
    <col min="5" max="5" width="16" customWidth="1"/>
    <col min="6" max="6" width="6.7109375" style="1860" customWidth="1"/>
    <col min="7" max="7" width="4.85546875" style="1860" customWidth="1"/>
    <col min="8" max="8" width="10.7109375" style="1860" customWidth="1"/>
    <col min="9" max="10" width="12.28515625" style="1860" customWidth="1"/>
  </cols>
  <sheetData>
    <row r="1" spans="1:10" ht="9.1999999999999993" customHeight="1"/>
    <row r="2" spans="1:10">
      <c r="B2" s="1893" t="s">
        <v>1616</v>
      </c>
      <c r="C2" s="1855" t="s">
        <v>1615</v>
      </c>
      <c r="D2" s="1855"/>
      <c r="E2" s="1855"/>
      <c r="F2" s="1855"/>
      <c r="G2" s="1855"/>
      <c r="H2" s="1855"/>
      <c r="I2" s="1855"/>
      <c r="J2" s="1855"/>
    </row>
    <row r="3" spans="1:10">
      <c r="B3" s="1892" t="s">
        <v>1614</v>
      </c>
      <c r="C3" s="1844" t="s">
        <v>1613</v>
      </c>
      <c r="D3" s="1844"/>
      <c r="E3" s="1844"/>
      <c r="F3" s="1844"/>
      <c r="G3" s="1844"/>
      <c r="H3" s="1844"/>
      <c r="I3" s="1844"/>
      <c r="J3" s="1844"/>
    </row>
    <row r="4" spans="1:10" ht="7.5" customHeight="1" thickBot="1">
      <c r="E4" s="1754"/>
      <c r="F4" s="1891"/>
      <c r="G4" s="1891"/>
      <c r="H4" s="2832"/>
      <c r="I4" s="2832"/>
      <c r="J4"/>
    </row>
    <row r="5" spans="1:10" ht="77.25" customHeight="1" thickBot="1">
      <c r="B5" s="2736" t="s">
        <v>1541</v>
      </c>
      <c r="C5" s="2736"/>
      <c r="D5" s="1840" t="s">
        <v>1540</v>
      </c>
      <c r="E5" s="1854"/>
      <c r="F5" s="1890"/>
      <c r="G5" s="1890"/>
      <c r="H5" s="1889">
        <v>2022</v>
      </c>
      <c r="I5" s="1889">
        <v>2023</v>
      </c>
      <c r="J5" s="1837">
        <v>2024</v>
      </c>
    </row>
    <row r="6" spans="1:10" s="126" customFormat="1" ht="18.75" customHeight="1">
      <c r="B6" s="1751" t="s">
        <v>412</v>
      </c>
      <c r="C6" s="1751"/>
      <c r="D6" s="1771"/>
      <c r="E6" s="1786"/>
      <c r="F6" s="1888"/>
      <c r="G6" s="1888"/>
      <c r="H6" s="1888"/>
      <c r="I6" s="1887"/>
      <c r="J6" s="1887"/>
    </row>
    <row r="7" spans="1:10" s="126" customFormat="1" ht="27.2" customHeight="1">
      <c r="A7" s="2833"/>
      <c r="B7" s="2829" t="s">
        <v>1535</v>
      </c>
      <c r="C7" s="2829"/>
      <c r="D7" s="2834" t="s">
        <v>1534</v>
      </c>
      <c r="E7" s="1882" t="s">
        <v>1607</v>
      </c>
      <c r="F7" s="1878"/>
      <c r="G7" s="1878"/>
      <c r="H7" s="1876">
        <v>1980.1</v>
      </c>
      <c r="I7" s="1876">
        <v>2089.6</v>
      </c>
      <c r="J7" s="1876">
        <v>2668.4</v>
      </c>
    </row>
    <row r="8" spans="1:10" s="126" customFormat="1" ht="27.2" customHeight="1">
      <c r="A8" s="2833"/>
      <c r="B8" s="2829"/>
      <c r="C8" s="2829"/>
      <c r="D8" s="2834"/>
      <c r="E8" s="1884" t="s">
        <v>1606</v>
      </c>
      <c r="F8" s="1885"/>
      <c r="G8" s="1885"/>
      <c r="H8" s="1876">
        <v>144</v>
      </c>
      <c r="I8" s="1876">
        <v>197</v>
      </c>
      <c r="J8" s="1876">
        <v>193</v>
      </c>
    </row>
    <row r="9" spans="1:10" s="126" customFormat="1" ht="27.2" customHeight="1">
      <c r="A9" s="2828"/>
      <c r="B9" s="2829" t="s">
        <v>1612</v>
      </c>
      <c r="C9" s="2829"/>
      <c r="D9" s="2829" t="s">
        <v>1531</v>
      </c>
      <c r="E9" s="1882" t="s">
        <v>1607</v>
      </c>
      <c r="F9" s="1878"/>
      <c r="G9" s="1878"/>
      <c r="H9" s="1876">
        <v>2130.1999999999998</v>
      </c>
      <c r="I9" s="1876">
        <v>2574.8000000000002</v>
      </c>
      <c r="J9" s="1876">
        <v>2682.1</v>
      </c>
    </row>
    <row r="10" spans="1:10" s="126" customFormat="1" ht="27.2" customHeight="1">
      <c r="A10" s="2828"/>
      <c r="B10" s="2829"/>
      <c r="C10" s="2829"/>
      <c r="D10" s="2829"/>
      <c r="E10" s="1884" t="s">
        <v>1606</v>
      </c>
      <c r="F10" s="1885"/>
      <c r="G10" s="1885"/>
      <c r="H10" s="1876">
        <v>167</v>
      </c>
      <c r="I10" s="1876">
        <v>196</v>
      </c>
      <c r="J10" s="1876">
        <v>185</v>
      </c>
    </row>
    <row r="11" spans="1:10" s="126" customFormat="1" ht="27.2" customHeight="1">
      <c r="A11" s="2828"/>
      <c r="B11" s="2829" t="s">
        <v>1530</v>
      </c>
      <c r="C11" s="2829"/>
      <c r="D11" s="2829" t="s">
        <v>1529</v>
      </c>
      <c r="E11" s="1882" t="s">
        <v>1607</v>
      </c>
      <c r="F11" s="1878"/>
      <c r="G11" s="1878"/>
      <c r="H11" s="1876">
        <v>2254.8000000000002</v>
      </c>
      <c r="I11" s="1876">
        <v>2392.8000000000002</v>
      </c>
      <c r="J11" s="1876">
        <v>2317.6999999999998</v>
      </c>
    </row>
    <row r="12" spans="1:10" s="126" customFormat="1" ht="27.2" customHeight="1">
      <c r="A12" s="2828"/>
      <c r="B12" s="2829"/>
      <c r="C12" s="2829"/>
      <c r="D12" s="2829"/>
      <c r="E12" s="1884" t="s">
        <v>1606</v>
      </c>
      <c r="F12" s="1885"/>
      <c r="G12" s="1885"/>
      <c r="H12" s="1876">
        <v>160</v>
      </c>
      <c r="I12" s="1876">
        <v>177</v>
      </c>
      <c r="J12" s="1876">
        <v>172</v>
      </c>
    </row>
    <row r="13" spans="1:10" s="126" customFormat="1" ht="27.2" customHeight="1">
      <c r="A13" s="2831"/>
      <c r="B13" s="2829" t="s">
        <v>1611</v>
      </c>
      <c r="C13" s="2829"/>
      <c r="D13" s="2829" t="s">
        <v>1527</v>
      </c>
      <c r="E13" s="1882" t="s">
        <v>1607</v>
      </c>
      <c r="F13" s="1878"/>
      <c r="G13" s="1878"/>
      <c r="H13" s="1876">
        <v>2333</v>
      </c>
      <c r="I13" s="1876">
        <v>2778</v>
      </c>
      <c r="J13" s="1876">
        <v>2872.6</v>
      </c>
    </row>
    <row r="14" spans="1:10" s="126" customFormat="1" ht="27.2" customHeight="1">
      <c r="A14" s="2831"/>
      <c r="B14" s="2829"/>
      <c r="C14" s="2829"/>
      <c r="D14" s="2829"/>
      <c r="E14" s="1884" t="s">
        <v>1606</v>
      </c>
      <c r="F14" s="1885"/>
      <c r="G14" s="1885"/>
      <c r="H14" s="1876">
        <v>161</v>
      </c>
      <c r="I14" s="1876">
        <v>208</v>
      </c>
      <c r="J14" s="1876">
        <v>202</v>
      </c>
    </row>
    <row r="15" spans="1:10" s="126" customFormat="1" ht="16.5" customHeight="1">
      <c r="A15" s="104"/>
      <c r="B15" s="1771" t="s">
        <v>413</v>
      </c>
      <c r="C15" s="1886"/>
      <c r="D15" s="1882"/>
      <c r="E15" s="1882"/>
      <c r="F15" s="1881"/>
      <c r="G15" s="1881"/>
      <c r="H15" s="1880"/>
      <c r="I15" s="1880"/>
      <c r="J15" s="1880"/>
    </row>
    <row r="16" spans="1:10" s="126" customFormat="1" ht="27.2" customHeight="1">
      <c r="A16" s="2828"/>
      <c r="B16" s="2829" t="s">
        <v>1526</v>
      </c>
      <c r="C16" s="2829"/>
      <c r="D16" s="2829" t="s">
        <v>1525</v>
      </c>
      <c r="E16" s="1882" t="s">
        <v>1607</v>
      </c>
      <c r="F16" s="1878"/>
      <c r="G16" s="1878"/>
      <c r="H16" s="1876">
        <v>2181.6</v>
      </c>
      <c r="I16" s="1876">
        <v>2408.4</v>
      </c>
      <c r="J16" s="1876">
        <v>2272</v>
      </c>
    </row>
    <row r="17" spans="1:10" s="126" customFormat="1" ht="27.2" customHeight="1">
      <c r="A17" s="2828"/>
      <c r="B17" s="2829"/>
      <c r="C17" s="2829"/>
      <c r="D17" s="2829"/>
      <c r="E17" s="1884" t="s">
        <v>1606</v>
      </c>
      <c r="F17" s="1885"/>
      <c r="G17" s="1885"/>
      <c r="H17" s="1876">
        <v>160</v>
      </c>
      <c r="I17" s="1876">
        <v>195</v>
      </c>
      <c r="J17" s="1876">
        <v>168</v>
      </c>
    </row>
    <row r="18" spans="1:10" s="126" customFormat="1" ht="27.2" customHeight="1">
      <c r="A18" s="2828"/>
      <c r="B18" s="2829" t="s">
        <v>1524</v>
      </c>
      <c r="C18" s="2829"/>
      <c r="D18" s="2829" t="s">
        <v>1523</v>
      </c>
      <c r="E18" s="1882" t="s">
        <v>1607</v>
      </c>
      <c r="F18" s="1878"/>
      <c r="G18" s="1878"/>
      <c r="H18" s="1876">
        <v>2412.3000000000002</v>
      </c>
      <c r="I18" s="1876">
        <v>2731.6</v>
      </c>
      <c r="J18" s="1876">
        <v>2819.6</v>
      </c>
    </row>
    <row r="19" spans="1:10" s="126" customFormat="1" ht="27.2" customHeight="1">
      <c r="A19" s="2828"/>
      <c r="B19" s="2829"/>
      <c r="C19" s="2829"/>
      <c r="D19" s="2829"/>
      <c r="E19" s="1884" t="s">
        <v>1606</v>
      </c>
      <c r="F19" s="1885"/>
      <c r="G19" s="1885"/>
      <c r="H19" s="1876">
        <v>155</v>
      </c>
      <c r="I19" s="1876">
        <v>189</v>
      </c>
      <c r="J19" s="1876">
        <v>178</v>
      </c>
    </row>
    <row r="20" spans="1:10" s="126" customFormat="1" ht="16.5" customHeight="1">
      <c r="A20" s="104"/>
      <c r="B20" s="1751" t="s">
        <v>414</v>
      </c>
      <c r="C20" s="1882"/>
      <c r="D20" s="1882"/>
      <c r="E20" s="1882"/>
      <c r="F20" s="1881"/>
      <c r="G20" s="1881"/>
      <c r="H20" s="1880"/>
      <c r="I20" s="1880"/>
      <c r="J20" s="1880"/>
    </row>
    <row r="21" spans="1:10" s="126" customFormat="1" ht="27.2" customHeight="1">
      <c r="A21" s="2828"/>
      <c r="B21" s="2829" t="s">
        <v>1522</v>
      </c>
      <c r="C21" s="2829"/>
      <c r="D21" s="2829" t="s">
        <v>1521</v>
      </c>
      <c r="E21" s="1882" t="s">
        <v>1607</v>
      </c>
      <c r="F21" s="1878"/>
      <c r="G21" s="1878"/>
      <c r="H21" s="1876">
        <v>1803.2</v>
      </c>
      <c r="I21" s="1876">
        <v>2984.8</v>
      </c>
      <c r="J21" s="1876">
        <v>2527.6</v>
      </c>
    </row>
    <row r="22" spans="1:10" s="126" customFormat="1" ht="27.2" customHeight="1">
      <c r="A22" s="2828"/>
      <c r="B22" s="2829"/>
      <c r="C22" s="2829"/>
      <c r="D22" s="2829"/>
      <c r="E22" s="1884" t="s">
        <v>1606</v>
      </c>
      <c r="F22" s="1885"/>
      <c r="G22" s="1885"/>
      <c r="H22" s="1876">
        <v>149</v>
      </c>
      <c r="I22" s="1876">
        <v>165</v>
      </c>
      <c r="J22" s="1876">
        <v>168</v>
      </c>
    </row>
    <row r="23" spans="1:10" s="126" customFormat="1" ht="27.2" customHeight="1">
      <c r="A23" s="2828"/>
      <c r="B23" s="2829" t="s">
        <v>1520</v>
      </c>
      <c r="C23" s="2829"/>
      <c r="D23" s="2829" t="s">
        <v>1519</v>
      </c>
      <c r="E23" s="1882" t="s">
        <v>1607</v>
      </c>
      <c r="F23" s="1878"/>
      <c r="G23" s="1878"/>
      <c r="H23" s="1876">
        <v>2313.6</v>
      </c>
      <c r="I23" s="1876">
        <v>2776.4</v>
      </c>
      <c r="J23" s="1876" t="s">
        <v>1610</v>
      </c>
    </row>
    <row r="24" spans="1:10" s="126" customFormat="1" ht="27.2" customHeight="1">
      <c r="A24" s="2828"/>
      <c r="B24" s="2829"/>
      <c r="C24" s="2829"/>
      <c r="D24" s="2829"/>
      <c r="E24" s="1884" t="s">
        <v>1606</v>
      </c>
      <c r="F24" s="1885"/>
      <c r="G24" s="1885"/>
      <c r="H24" s="1876">
        <v>180</v>
      </c>
      <c r="I24" s="1876">
        <v>190</v>
      </c>
      <c r="J24" s="1876" t="s">
        <v>1610</v>
      </c>
    </row>
    <row r="25" spans="1:10" s="126" customFormat="1" ht="27.2" customHeight="1">
      <c r="A25" s="2828"/>
      <c r="B25" s="2829" t="s">
        <v>1518</v>
      </c>
      <c r="C25" s="2829"/>
      <c r="D25" s="2829" t="s">
        <v>1517</v>
      </c>
      <c r="E25" s="1882" t="s">
        <v>1607</v>
      </c>
      <c r="F25" s="1878"/>
      <c r="G25" s="1878"/>
      <c r="H25" s="1876">
        <v>2313.6</v>
      </c>
      <c r="I25" s="1876">
        <v>2776.4</v>
      </c>
      <c r="J25" s="1876" t="s">
        <v>1610</v>
      </c>
    </row>
    <row r="26" spans="1:10" s="126" customFormat="1" ht="27.2" customHeight="1">
      <c r="A26" s="2828"/>
      <c r="B26" s="2829"/>
      <c r="C26" s="2829"/>
      <c r="D26" s="2829"/>
      <c r="E26" s="1884" t="s">
        <v>1606</v>
      </c>
      <c r="F26" s="1885"/>
      <c r="G26" s="1885"/>
      <c r="H26" s="1876">
        <v>180</v>
      </c>
      <c r="I26" s="1876">
        <v>190</v>
      </c>
      <c r="J26" s="1876" t="s">
        <v>1610</v>
      </c>
    </row>
    <row r="27" spans="1:10" s="126" customFormat="1" ht="17.25" customHeight="1">
      <c r="A27" s="104"/>
      <c r="B27" s="1751" t="s">
        <v>1609</v>
      </c>
      <c r="C27" s="1882"/>
      <c r="D27" s="1882"/>
      <c r="E27" s="1882"/>
      <c r="F27" s="1881"/>
      <c r="G27" s="1881"/>
      <c r="H27" s="1880"/>
      <c r="I27" s="1880"/>
      <c r="J27" s="1880"/>
    </row>
    <row r="28" spans="1:10" s="126" customFormat="1" ht="27.2" customHeight="1">
      <c r="A28" s="2828"/>
      <c r="B28" s="2829" t="s">
        <v>1608</v>
      </c>
      <c r="C28" s="2829"/>
      <c r="D28" s="2829" t="s">
        <v>1515</v>
      </c>
      <c r="E28" s="1882" t="s">
        <v>1607</v>
      </c>
      <c r="F28" s="1878"/>
      <c r="G28" s="1878"/>
      <c r="H28" s="1876">
        <v>1616.8</v>
      </c>
      <c r="I28" s="1876">
        <v>1712.2</v>
      </c>
      <c r="J28" s="1876">
        <v>2506</v>
      </c>
    </row>
    <row r="29" spans="1:10" s="126" customFormat="1" ht="27.2" customHeight="1">
      <c r="A29" s="2828"/>
      <c r="B29" s="2829"/>
      <c r="C29" s="2829"/>
      <c r="D29" s="2829"/>
      <c r="E29" s="1884" t="s">
        <v>1606</v>
      </c>
      <c r="F29" s="1885"/>
      <c r="G29" s="1885"/>
      <c r="H29" s="1876">
        <v>129</v>
      </c>
      <c r="I29" s="1876">
        <v>160</v>
      </c>
      <c r="J29" s="1876">
        <v>175</v>
      </c>
    </row>
    <row r="30" spans="1:10" s="126" customFormat="1" ht="18" customHeight="1">
      <c r="A30" s="104"/>
      <c r="B30" s="1771" t="s">
        <v>416</v>
      </c>
      <c r="C30" s="1882"/>
      <c r="D30" s="1882"/>
      <c r="E30" s="1882"/>
      <c r="F30" s="1881"/>
      <c r="G30" s="1881"/>
      <c r="H30" s="1880"/>
      <c r="I30" s="1880"/>
      <c r="J30" s="1880"/>
    </row>
    <row r="31" spans="1:10" s="126" customFormat="1" ht="27.2" customHeight="1">
      <c r="A31" s="2828"/>
      <c r="B31" s="2829" t="s">
        <v>1514</v>
      </c>
      <c r="C31" s="2829"/>
      <c r="D31" s="2829" t="s">
        <v>1513</v>
      </c>
      <c r="E31" s="1882" t="s">
        <v>1607</v>
      </c>
      <c r="F31" s="1883"/>
      <c r="G31" s="1883"/>
      <c r="H31" s="1876">
        <v>607</v>
      </c>
      <c r="I31" s="1876">
        <v>25.1</v>
      </c>
      <c r="J31" s="1876">
        <v>1819.2</v>
      </c>
    </row>
    <row r="32" spans="1:10" s="126" customFormat="1" ht="27.2" customHeight="1">
      <c r="A32" s="2828"/>
      <c r="B32" s="2829"/>
      <c r="C32" s="2829"/>
      <c r="D32" s="2829"/>
      <c r="E32" s="1884" t="s">
        <v>1606</v>
      </c>
      <c r="F32" s="1883"/>
      <c r="G32" s="1883"/>
      <c r="H32" s="1876">
        <v>137</v>
      </c>
      <c r="I32" s="1876">
        <v>177</v>
      </c>
      <c r="J32" s="1876">
        <v>163</v>
      </c>
    </row>
    <row r="33" spans="1:10" s="126" customFormat="1" ht="18.75" customHeight="1">
      <c r="A33" s="104"/>
      <c r="B33" s="1751" t="s">
        <v>417</v>
      </c>
      <c r="C33" s="1882"/>
      <c r="D33" s="1882"/>
      <c r="E33" s="1882"/>
      <c r="F33" s="1881"/>
      <c r="G33" s="1881"/>
      <c r="H33" s="1880"/>
      <c r="I33" s="1880"/>
      <c r="J33" s="1880"/>
    </row>
    <row r="34" spans="1:10" s="1862" customFormat="1" ht="27.2" customHeight="1">
      <c r="A34" s="250"/>
      <c r="B34" s="2820" t="s">
        <v>1512</v>
      </c>
      <c r="C34" s="2820"/>
      <c r="D34" s="2820" t="s">
        <v>1511</v>
      </c>
      <c r="E34" s="1879" t="s">
        <v>1607</v>
      </c>
      <c r="F34" s="1878"/>
      <c r="G34" s="1877"/>
      <c r="H34" s="1876">
        <v>2032.7</v>
      </c>
      <c r="I34" s="1876">
        <v>2875</v>
      </c>
      <c r="J34" s="1876">
        <v>3263.6</v>
      </c>
    </row>
    <row r="35" spans="1:10" s="1862" customFormat="1" ht="29.25" customHeight="1" thickBot="1">
      <c r="A35" s="250"/>
      <c r="B35" s="2830"/>
      <c r="C35" s="2830"/>
      <c r="D35" s="2830"/>
      <c r="E35" s="1875" t="s">
        <v>1606</v>
      </c>
      <c r="F35" s="1874"/>
      <c r="G35" s="1873"/>
      <c r="H35" s="1872">
        <v>224</v>
      </c>
      <c r="I35" s="1872">
        <v>257</v>
      </c>
      <c r="J35" s="1872">
        <v>243</v>
      </c>
    </row>
    <row r="36" spans="1:10" s="1862" customFormat="1">
      <c r="B36" s="1865"/>
      <c r="C36" s="1865"/>
      <c r="D36" s="1865"/>
      <c r="F36" s="1860"/>
      <c r="G36" s="1860"/>
      <c r="H36" s="1860"/>
      <c r="J36" s="1871" t="s">
        <v>1506</v>
      </c>
    </row>
    <row r="37" spans="1:10" s="1862" customFormat="1">
      <c r="B37" s="1865"/>
      <c r="C37" s="1865"/>
      <c r="D37" s="1865"/>
      <c r="F37" s="1860"/>
      <c r="G37" s="1860"/>
      <c r="H37" s="1860"/>
      <c r="J37" s="1870" t="s">
        <v>1505</v>
      </c>
    </row>
    <row r="38" spans="1:10" s="1862" customFormat="1" ht="15.75">
      <c r="B38" s="1869" t="s">
        <v>1504</v>
      </c>
      <c r="C38" s="1868"/>
      <c r="D38" s="1865"/>
      <c r="F38" s="1860"/>
      <c r="G38" s="1860"/>
      <c r="H38" s="1860"/>
      <c r="I38" s="1860"/>
      <c r="J38" s="1860"/>
    </row>
    <row r="39" spans="1:10" s="1862" customFormat="1" ht="15.75">
      <c r="A39" s="1820" t="s">
        <v>3</v>
      </c>
      <c r="B39" s="1869" t="s">
        <v>1503</v>
      </c>
      <c r="C39" s="1868"/>
      <c r="D39" s="1865"/>
      <c r="F39" s="1860"/>
      <c r="G39" s="1860"/>
      <c r="H39" s="1860"/>
      <c r="I39" s="1860"/>
      <c r="J39" s="1860"/>
    </row>
    <row r="40" spans="1:10" s="1862" customFormat="1">
      <c r="A40" s="1820" t="s">
        <v>4</v>
      </c>
      <c r="B40" s="1867" t="s">
        <v>1502</v>
      </c>
      <c r="C40" s="1866"/>
      <c r="D40" s="1865"/>
      <c r="F40" s="1860"/>
      <c r="G40" s="1860"/>
      <c r="H40" s="1860"/>
      <c r="I40" s="1860"/>
      <c r="J40" s="1860"/>
    </row>
    <row r="41" spans="1:10" s="1862" customFormat="1" ht="25.5" customHeight="1">
      <c r="A41" s="1856" t="s">
        <v>263</v>
      </c>
      <c r="B41" s="2827" t="s">
        <v>1575</v>
      </c>
      <c r="C41" s="2827"/>
      <c r="D41" s="2827"/>
      <c r="E41" s="2827"/>
      <c r="F41" s="2827"/>
      <c r="G41" s="2827"/>
      <c r="H41" s="2827"/>
      <c r="I41" s="2827"/>
      <c r="J41" s="2827"/>
    </row>
    <row r="42" spans="1:10" s="1862" customFormat="1">
      <c r="B42" s="1864"/>
      <c r="C42" s="1864"/>
      <c r="D42" s="1863"/>
    </row>
  </sheetData>
  <mergeCells count="38">
    <mergeCell ref="A9:A10"/>
    <mergeCell ref="B9:C10"/>
    <mergeCell ref="D9:D10"/>
    <mergeCell ref="H4:I4"/>
    <mergeCell ref="B5:C5"/>
    <mergeCell ref="A7:A8"/>
    <mergeCell ref="B7:C8"/>
    <mergeCell ref="D7:D8"/>
    <mergeCell ref="A11:A12"/>
    <mergeCell ref="B11:C12"/>
    <mergeCell ref="D11:D12"/>
    <mergeCell ref="A13:A14"/>
    <mergeCell ref="B13:C14"/>
    <mergeCell ref="D13:D14"/>
    <mergeCell ref="A16:A17"/>
    <mergeCell ref="B16:C17"/>
    <mergeCell ref="D16:D17"/>
    <mergeCell ref="A18:A19"/>
    <mergeCell ref="B18:C19"/>
    <mergeCell ref="D18:D19"/>
    <mergeCell ref="A21:A22"/>
    <mergeCell ref="B21:C22"/>
    <mergeCell ref="D21:D22"/>
    <mergeCell ref="A23:A24"/>
    <mergeCell ref="B23:C24"/>
    <mergeCell ref="D23:D24"/>
    <mergeCell ref="A25:A26"/>
    <mergeCell ref="B25:C26"/>
    <mergeCell ref="D25:D26"/>
    <mergeCell ref="A28:A29"/>
    <mergeCell ref="B28:C29"/>
    <mergeCell ref="D28:D29"/>
    <mergeCell ref="B41:J41"/>
    <mergeCell ref="A31:A32"/>
    <mergeCell ref="B31:C32"/>
    <mergeCell ref="D31:D32"/>
    <mergeCell ref="B34:C35"/>
    <mergeCell ref="D34:D35"/>
  </mergeCells>
  <pageMargins left="0.55118110236220474" right="0.55118110236220474" top="0.55118110236220474" bottom="0.55118110236220474" header="0.55118110236220474" footer="0.55118110236220474"/>
  <pageSetup paperSize="9" scale="73" fitToWidth="0" fitToHeight="0"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B8EAB-58B8-4DB1-8647-D7C74F91D269}">
  <sheetPr>
    <tabColor theme="4" tint="0.39997558519241921"/>
  </sheetPr>
  <dimension ref="A1:I43"/>
  <sheetViews>
    <sheetView view="pageBreakPreview" zoomScale="90" zoomScaleNormal="100" zoomScaleSheetLayoutView="90" workbookViewId="0">
      <selection activeCell="L19" sqref="L19"/>
    </sheetView>
  </sheetViews>
  <sheetFormatPr defaultColWidth="8.7109375" defaultRowHeight="15"/>
  <cols>
    <col min="1" max="1" width="1.85546875" style="1862" customWidth="1"/>
    <col min="2" max="2" width="14.140625" style="1862" customWidth="1"/>
    <col min="3" max="3" width="28" style="1862" customWidth="1"/>
    <col min="4" max="4" width="15.5703125" style="1862" customWidth="1"/>
    <col min="5" max="5" width="16" style="1862" customWidth="1"/>
    <col min="6" max="6" width="9.5703125" style="1862" customWidth="1"/>
    <col min="7" max="7" width="10.7109375" style="1862" customWidth="1"/>
    <col min="8" max="9" width="12.28515625" style="1862" customWidth="1"/>
    <col min="10" max="16384" width="8.7109375" style="1862"/>
  </cols>
  <sheetData>
    <row r="1" spans="1:9" ht="6" customHeight="1">
      <c r="B1" s="1865"/>
      <c r="C1" s="1865"/>
      <c r="D1" s="1865"/>
      <c r="F1" s="1860"/>
      <c r="G1" s="1860"/>
      <c r="H1" s="1860"/>
      <c r="I1" s="1860"/>
    </row>
    <row r="2" spans="1:9">
      <c r="B2" s="1904" t="s">
        <v>1616</v>
      </c>
      <c r="C2" s="1903" t="s">
        <v>1619</v>
      </c>
      <c r="D2" s="1903"/>
      <c r="E2" s="1903"/>
      <c r="F2" s="1903"/>
      <c r="G2" s="1903"/>
      <c r="H2" s="1903"/>
      <c r="I2" s="1903"/>
    </row>
    <row r="3" spans="1:9">
      <c r="B3" s="1902" t="s">
        <v>1614</v>
      </c>
      <c r="C3" s="1901" t="s">
        <v>1618</v>
      </c>
      <c r="D3" s="1901"/>
      <c r="E3" s="1901"/>
      <c r="F3" s="1901"/>
      <c r="G3" s="1901"/>
      <c r="H3" s="1901"/>
      <c r="I3" s="1901"/>
    </row>
    <row r="4" spans="1:9" ht="7.5" customHeight="1" thickBot="1">
      <c r="B4" s="1865"/>
      <c r="C4" s="1865"/>
      <c r="D4" s="1865"/>
      <c r="E4" s="1900"/>
      <c r="F4" s="1891"/>
      <c r="G4" s="2832"/>
      <c r="H4" s="2832"/>
    </row>
    <row r="5" spans="1:9" ht="77.25" customHeight="1" thickBot="1">
      <c r="B5" s="2839" t="s">
        <v>1541</v>
      </c>
      <c r="C5" s="2839"/>
      <c r="D5" s="1899" t="s">
        <v>1540</v>
      </c>
      <c r="E5" s="1898"/>
      <c r="F5" s="1890"/>
      <c r="G5" s="1889">
        <v>2022</v>
      </c>
      <c r="H5" s="1889">
        <v>2023</v>
      </c>
      <c r="I5" s="1837">
        <v>2024</v>
      </c>
    </row>
    <row r="6" spans="1:9" ht="15.75" customHeight="1">
      <c r="A6" s="1894"/>
      <c r="B6" s="1895" t="s">
        <v>417</v>
      </c>
      <c r="C6" s="1895"/>
      <c r="D6" s="1895"/>
      <c r="E6" s="1879"/>
      <c r="F6" s="1887"/>
      <c r="G6" s="1887"/>
      <c r="H6" s="1887"/>
      <c r="I6" s="1887"/>
    </row>
    <row r="7" spans="1:9" ht="27.2" customHeight="1">
      <c r="A7" s="250"/>
      <c r="B7" s="2820" t="s">
        <v>1510</v>
      </c>
      <c r="C7" s="2820"/>
      <c r="D7" s="2820" t="s">
        <v>1509</v>
      </c>
      <c r="E7" s="1879" t="s">
        <v>1607</v>
      </c>
      <c r="F7" s="1878"/>
      <c r="G7" s="1876">
        <v>2032.7</v>
      </c>
      <c r="H7" s="1876">
        <v>2875</v>
      </c>
      <c r="I7" s="1876">
        <v>3263.6</v>
      </c>
    </row>
    <row r="8" spans="1:9" ht="27.2" customHeight="1">
      <c r="A8" s="250"/>
      <c r="B8" s="2820"/>
      <c r="C8" s="2820"/>
      <c r="D8" s="2820"/>
      <c r="E8" s="1829" t="s">
        <v>1606</v>
      </c>
      <c r="F8" s="1885"/>
      <c r="G8" s="1876">
        <v>224</v>
      </c>
      <c r="H8" s="1876">
        <v>257</v>
      </c>
      <c r="I8" s="1876">
        <v>243</v>
      </c>
    </row>
    <row r="9" spans="1:9" ht="27.2" customHeight="1">
      <c r="A9" s="2838"/>
      <c r="B9" s="2820" t="s">
        <v>1572</v>
      </c>
      <c r="C9" s="2820"/>
      <c r="D9" s="2837" t="s">
        <v>1571</v>
      </c>
      <c r="E9" s="1879" t="s">
        <v>1607</v>
      </c>
      <c r="F9" s="1878"/>
      <c r="G9" s="1876">
        <v>1970.4</v>
      </c>
      <c r="H9" s="1876">
        <v>2409.1999999999998</v>
      </c>
      <c r="I9" s="1876" t="s">
        <v>1610</v>
      </c>
    </row>
    <row r="10" spans="1:9" ht="27.2" customHeight="1">
      <c r="A10" s="2838"/>
      <c r="B10" s="2820"/>
      <c r="C10" s="2820"/>
      <c r="D10" s="2837"/>
      <c r="E10" s="1829" t="s">
        <v>1606</v>
      </c>
      <c r="F10" s="1885"/>
      <c r="G10" s="1876">
        <v>155</v>
      </c>
      <c r="H10" s="1876">
        <v>180</v>
      </c>
      <c r="I10" s="1876" t="s">
        <v>1610</v>
      </c>
    </row>
    <row r="11" spans="1:9" ht="27.2" customHeight="1">
      <c r="A11" s="2838"/>
      <c r="B11" s="2820" t="s">
        <v>1570</v>
      </c>
      <c r="C11" s="2820"/>
      <c r="D11" s="2837" t="s">
        <v>1569</v>
      </c>
      <c r="E11" s="1879" t="s">
        <v>1607</v>
      </c>
      <c r="F11" s="1878"/>
      <c r="G11" s="1876">
        <v>1843.8</v>
      </c>
      <c r="H11" s="1876">
        <v>1995</v>
      </c>
      <c r="I11" s="1876">
        <v>2466.6</v>
      </c>
    </row>
    <row r="12" spans="1:9" ht="27.2" customHeight="1">
      <c r="A12" s="2838"/>
      <c r="B12" s="2820"/>
      <c r="C12" s="2820"/>
      <c r="D12" s="2837"/>
      <c r="E12" s="1829" t="s">
        <v>1606</v>
      </c>
      <c r="F12" s="1885"/>
      <c r="G12" s="1876">
        <v>156</v>
      </c>
      <c r="H12" s="1876">
        <v>171</v>
      </c>
      <c r="I12" s="1876">
        <v>175</v>
      </c>
    </row>
    <row r="13" spans="1:9" ht="27.2" customHeight="1">
      <c r="A13" s="2838"/>
      <c r="B13" s="2820" t="s">
        <v>1568</v>
      </c>
      <c r="C13" s="2820"/>
      <c r="D13" s="2837" t="s">
        <v>1567</v>
      </c>
      <c r="E13" s="1879" t="s">
        <v>1607</v>
      </c>
      <c r="F13" s="1878"/>
      <c r="G13" s="1876">
        <v>1440.2</v>
      </c>
      <c r="H13" s="1876">
        <v>2034.4</v>
      </c>
      <c r="I13" s="1876">
        <v>2167.9</v>
      </c>
    </row>
    <row r="14" spans="1:9" ht="27.2" customHeight="1">
      <c r="A14" s="2838"/>
      <c r="B14" s="2820"/>
      <c r="C14" s="2820"/>
      <c r="D14" s="2837"/>
      <c r="E14" s="1829" t="s">
        <v>1606</v>
      </c>
      <c r="F14" s="1885"/>
      <c r="G14" s="1876">
        <v>139</v>
      </c>
      <c r="H14" s="1876">
        <v>172</v>
      </c>
      <c r="I14" s="1876">
        <v>170</v>
      </c>
    </row>
    <row r="15" spans="1:9" ht="17.25" customHeight="1">
      <c r="A15" s="1896"/>
      <c r="B15" s="1895" t="s">
        <v>418</v>
      </c>
      <c r="C15" s="1879"/>
      <c r="D15" s="1879"/>
      <c r="E15" s="1879"/>
      <c r="F15" s="1881"/>
      <c r="G15" s="1880"/>
      <c r="H15" s="1880"/>
      <c r="I15" s="1880"/>
    </row>
    <row r="16" spans="1:9" ht="27.2" customHeight="1">
      <c r="A16" s="2835"/>
      <c r="B16" s="2820" t="s">
        <v>1566</v>
      </c>
      <c r="C16" s="2820"/>
      <c r="D16" s="2820" t="s">
        <v>1565</v>
      </c>
      <c r="E16" s="1879" t="s">
        <v>1607</v>
      </c>
      <c r="F16" s="1878"/>
      <c r="G16" s="1876">
        <v>1740.2</v>
      </c>
      <c r="H16" s="1876">
        <v>1831.2</v>
      </c>
      <c r="I16" s="1876">
        <v>2232.8000000000002</v>
      </c>
    </row>
    <row r="17" spans="1:9" ht="27.2" customHeight="1">
      <c r="A17" s="2835"/>
      <c r="B17" s="2820"/>
      <c r="C17" s="2820"/>
      <c r="D17" s="2820"/>
      <c r="E17" s="1829" t="s">
        <v>1606</v>
      </c>
      <c r="F17" s="1885"/>
      <c r="G17" s="1876">
        <v>153</v>
      </c>
      <c r="H17" s="1876">
        <v>167</v>
      </c>
      <c r="I17" s="1876">
        <v>168</v>
      </c>
    </row>
    <row r="18" spans="1:9" ht="27.2" customHeight="1">
      <c r="A18" s="2835"/>
      <c r="B18" s="2820" t="s">
        <v>1564</v>
      </c>
      <c r="C18" s="2820"/>
      <c r="D18" s="2820" t="s">
        <v>1563</v>
      </c>
      <c r="E18" s="1879" t="s">
        <v>1607</v>
      </c>
      <c r="F18" s="1878"/>
      <c r="G18" s="1876">
        <v>2158.9</v>
      </c>
      <c r="H18" s="1876">
        <v>2160.8000000000002</v>
      </c>
      <c r="I18" s="1876">
        <v>1982.2</v>
      </c>
    </row>
    <row r="19" spans="1:9" ht="27.2" customHeight="1">
      <c r="A19" s="2835"/>
      <c r="B19" s="2820"/>
      <c r="C19" s="2820"/>
      <c r="D19" s="2820"/>
      <c r="E19" s="1829" t="s">
        <v>1606</v>
      </c>
      <c r="F19" s="1885"/>
      <c r="G19" s="1876">
        <v>158</v>
      </c>
      <c r="H19" s="1876">
        <v>187</v>
      </c>
      <c r="I19" s="1876">
        <v>177</v>
      </c>
    </row>
    <row r="20" spans="1:9" ht="14.25" customHeight="1">
      <c r="A20" s="250"/>
      <c r="B20" s="1895" t="s">
        <v>419</v>
      </c>
      <c r="C20" s="1879"/>
      <c r="D20" s="1897"/>
      <c r="E20" s="1879"/>
      <c r="F20" s="1881"/>
      <c r="G20" s="1880"/>
      <c r="H20" s="1880"/>
      <c r="I20" s="1880"/>
    </row>
    <row r="21" spans="1:9" ht="27.2" customHeight="1">
      <c r="A21" s="2836"/>
      <c r="B21" s="2820" t="s">
        <v>1562</v>
      </c>
      <c r="C21" s="2820"/>
      <c r="D21" s="2837" t="s">
        <v>1561</v>
      </c>
      <c r="E21" s="1879" t="s">
        <v>1607</v>
      </c>
      <c r="F21" s="1878"/>
      <c r="G21" s="1876">
        <v>2806.4</v>
      </c>
      <c r="H21" s="1876">
        <v>3269.4</v>
      </c>
      <c r="I21" s="1876">
        <v>2965.4</v>
      </c>
    </row>
    <row r="22" spans="1:9" ht="27.2" customHeight="1">
      <c r="A22" s="2836"/>
      <c r="B22" s="2820"/>
      <c r="C22" s="2820"/>
      <c r="D22" s="2837"/>
      <c r="E22" s="1829" t="s">
        <v>1606</v>
      </c>
      <c r="F22" s="1885"/>
      <c r="G22" s="1876">
        <v>197</v>
      </c>
      <c r="H22" s="1876">
        <v>210</v>
      </c>
      <c r="I22" s="1876">
        <v>213</v>
      </c>
    </row>
    <row r="23" spans="1:9" ht="27.2" customHeight="1">
      <c r="A23" s="2838"/>
      <c r="B23" s="2820" t="s">
        <v>1560</v>
      </c>
      <c r="C23" s="2820"/>
      <c r="D23" s="2837" t="s">
        <v>1559</v>
      </c>
      <c r="E23" s="1879" t="s">
        <v>1607</v>
      </c>
      <c r="F23" s="1878"/>
      <c r="G23" s="1876">
        <v>1525.1</v>
      </c>
      <c r="H23" s="1876">
        <v>2053.1</v>
      </c>
      <c r="I23" s="1876">
        <v>1988.2</v>
      </c>
    </row>
    <row r="24" spans="1:9" ht="27.2" customHeight="1">
      <c r="A24" s="2838"/>
      <c r="B24" s="2820"/>
      <c r="C24" s="2820"/>
      <c r="D24" s="2837"/>
      <c r="E24" s="1829" t="s">
        <v>1606</v>
      </c>
      <c r="F24" s="1885"/>
      <c r="G24" s="1876">
        <v>177</v>
      </c>
      <c r="H24" s="1876">
        <v>213</v>
      </c>
      <c r="I24" s="1876">
        <v>174</v>
      </c>
    </row>
    <row r="25" spans="1:9" ht="27.2" customHeight="1">
      <c r="A25" s="2835"/>
      <c r="B25" s="2820" t="s">
        <v>1558</v>
      </c>
      <c r="C25" s="2820"/>
      <c r="D25" s="2820" t="s">
        <v>1557</v>
      </c>
      <c r="E25" s="1879" t="s">
        <v>1607</v>
      </c>
      <c r="F25" s="1878"/>
      <c r="G25" s="1876">
        <v>1920</v>
      </c>
      <c r="H25" s="1876">
        <v>2115</v>
      </c>
      <c r="I25" s="1876">
        <v>2057</v>
      </c>
    </row>
    <row r="26" spans="1:9" ht="27.2" customHeight="1">
      <c r="A26" s="2835"/>
      <c r="B26" s="2820"/>
      <c r="C26" s="2820"/>
      <c r="D26" s="2820"/>
      <c r="E26" s="1829" t="s">
        <v>1606</v>
      </c>
      <c r="F26" s="1885"/>
      <c r="G26" s="1876">
        <v>161</v>
      </c>
      <c r="H26" s="1876">
        <v>186</v>
      </c>
      <c r="I26" s="1876">
        <v>167</v>
      </c>
    </row>
    <row r="27" spans="1:9" ht="15.75" customHeight="1">
      <c r="A27" s="1894"/>
      <c r="B27" s="1895" t="s">
        <v>420</v>
      </c>
      <c r="C27" s="1879"/>
      <c r="D27" s="1879"/>
      <c r="E27" s="1879"/>
      <c r="F27" s="1881"/>
      <c r="G27" s="1880"/>
      <c r="H27" s="1880"/>
      <c r="I27" s="1880"/>
    </row>
    <row r="28" spans="1:9" ht="27.2" customHeight="1">
      <c r="A28" s="2835"/>
      <c r="B28" s="2820" t="s">
        <v>1617</v>
      </c>
      <c r="C28" s="2820"/>
      <c r="D28" s="2820" t="s">
        <v>1555</v>
      </c>
      <c r="E28" s="1879" t="s">
        <v>1607</v>
      </c>
      <c r="F28" s="1878"/>
      <c r="G28" s="1876">
        <v>1553.8</v>
      </c>
      <c r="H28" s="1876">
        <v>2195</v>
      </c>
      <c r="I28" s="1876">
        <v>2081</v>
      </c>
    </row>
    <row r="29" spans="1:9" ht="27.2" customHeight="1">
      <c r="A29" s="2835"/>
      <c r="B29" s="2820"/>
      <c r="C29" s="2820"/>
      <c r="D29" s="2820"/>
      <c r="E29" s="1829" t="s">
        <v>1606</v>
      </c>
      <c r="F29" s="1885"/>
      <c r="G29" s="1876">
        <v>151</v>
      </c>
      <c r="H29" s="1876">
        <v>172</v>
      </c>
      <c r="I29" s="1876">
        <v>168</v>
      </c>
    </row>
    <row r="30" spans="1:9" ht="17.25" customHeight="1">
      <c r="A30" s="1896"/>
      <c r="B30" s="1895" t="s">
        <v>421</v>
      </c>
      <c r="C30" s="1879"/>
      <c r="D30" s="1879"/>
      <c r="E30" s="1879"/>
      <c r="F30" s="1881"/>
      <c r="G30" s="1880"/>
      <c r="H30" s="1880"/>
      <c r="I30" s="1880"/>
    </row>
    <row r="31" spans="1:9" ht="27.2" customHeight="1">
      <c r="A31" s="2835"/>
      <c r="B31" s="2820" t="s">
        <v>1554</v>
      </c>
      <c r="C31" s="2820"/>
      <c r="D31" s="2820" t="s">
        <v>1552</v>
      </c>
      <c r="E31" s="1879" t="s">
        <v>1607</v>
      </c>
      <c r="F31" s="1878"/>
      <c r="G31" s="1876">
        <v>3673.2</v>
      </c>
      <c r="H31" s="1876">
        <v>3817</v>
      </c>
      <c r="I31" s="1876" t="s">
        <v>1610</v>
      </c>
    </row>
    <row r="32" spans="1:9" ht="27.2" customHeight="1">
      <c r="A32" s="2835"/>
      <c r="B32" s="2820"/>
      <c r="C32" s="2820"/>
      <c r="D32" s="2820"/>
      <c r="E32" s="1829" t="s">
        <v>1606</v>
      </c>
      <c r="F32" s="1885"/>
      <c r="G32" s="1876">
        <v>214</v>
      </c>
      <c r="H32" s="1876">
        <v>212</v>
      </c>
      <c r="I32" s="1876" t="s">
        <v>1610</v>
      </c>
    </row>
    <row r="33" spans="1:9" ht="27.2" customHeight="1">
      <c r="A33" s="2835"/>
      <c r="B33" s="2820" t="s">
        <v>1553</v>
      </c>
      <c r="C33" s="2820"/>
      <c r="D33" s="2820" t="s">
        <v>1552</v>
      </c>
      <c r="E33" s="1879" t="s">
        <v>1607</v>
      </c>
      <c r="F33" s="1878"/>
      <c r="G33" s="1876">
        <v>3138.6</v>
      </c>
      <c r="H33" s="1876">
        <v>3236</v>
      </c>
      <c r="I33" s="1876">
        <v>3564.8</v>
      </c>
    </row>
    <row r="34" spans="1:9" ht="27.2" customHeight="1">
      <c r="A34" s="2835"/>
      <c r="B34" s="2820"/>
      <c r="C34" s="2820"/>
      <c r="D34" s="2820"/>
      <c r="E34" s="1829" t="s">
        <v>1606</v>
      </c>
      <c r="F34" s="1885"/>
      <c r="G34" s="1876">
        <v>200</v>
      </c>
      <c r="H34" s="1876">
        <v>206</v>
      </c>
      <c r="I34" s="1876">
        <v>188</v>
      </c>
    </row>
    <row r="35" spans="1:9" ht="27.2" customHeight="1">
      <c r="A35" s="2835"/>
      <c r="B35" s="2820" t="s">
        <v>1551</v>
      </c>
      <c r="C35" s="2820"/>
      <c r="D35" s="2820" t="s">
        <v>1550</v>
      </c>
      <c r="E35" s="1879" t="s">
        <v>1607</v>
      </c>
      <c r="F35" s="1878"/>
      <c r="G35" s="1876">
        <v>3138.6</v>
      </c>
      <c r="H35" s="1876">
        <v>3236</v>
      </c>
      <c r="I35" s="1876">
        <v>3564.8</v>
      </c>
    </row>
    <row r="36" spans="1:9" ht="29.25" customHeight="1" thickBot="1">
      <c r="A36" s="2835"/>
      <c r="B36" s="2830"/>
      <c r="C36" s="2830"/>
      <c r="D36" s="2830"/>
      <c r="E36" s="1875" t="s">
        <v>1606</v>
      </c>
      <c r="F36" s="1874"/>
      <c r="G36" s="1872">
        <v>200</v>
      </c>
      <c r="H36" s="1872">
        <v>206</v>
      </c>
      <c r="I36" s="1872">
        <v>188</v>
      </c>
    </row>
    <row r="37" spans="1:9">
      <c r="B37" s="1865"/>
      <c r="C37" s="1865"/>
      <c r="D37" s="1865"/>
      <c r="F37" s="1860"/>
      <c r="G37" s="1860"/>
      <c r="I37" s="1871" t="s">
        <v>1506</v>
      </c>
    </row>
    <row r="38" spans="1:9">
      <c r="B38" s="1865"/>
      <c r="C38" s="1865"/>
      <c r="D38" s="1865"/>
      <c r="F38" s="1860"/>
      <c r="G38" s="1860"/>
      <c r="I38" s="1870" t="s">
        <v>1505</v>
      </c>
    </row>
    <row r="39" spans="1:9" ht="15.75">
      <c r="B39" s="1869" t="s">
        <v>1504</v>
      </c>
      <c r="C39" s="1868"/>
      <c r="D39" s="1865"/>
      <c r="F39" s="1860"/>
      <c r="G39" s="1860"/>
      <c r="H39" s="1860"/>
      <c r="I39" s="1860"/>
    </row>
    <row r="40" spans="1:9" ht="15.75">
      <c r="A40" s="1820" t="s">
        <v>3</v>
      </c>
      <c r="B40" s="1869" t="s">
        <v>1503</v>
      </c>
      <c r="C40" s="1868"/>
      <c r="D40" s="1865"/>
      <c r="F40" s="1860"/>
      <c r="G40" s="1860"/>
      <c r="H40" s="1860"/>
      <c r="I40" s="1860"/>
    </row>
    <row r="41" spans="1:9">
      <c r="A41" s="1820" t="s">
        <v>4</v>
      </c>
      <c r="B41" s="1867" t="s">
        <v>1502</v>
      </c>
      <c r="C41" s="1866"/>
      <c r="D41" s="1865"/>
      <c r="F41" s="1860"/>
      <c r="G41" s="1860"/>
      <c r="H41" s="1860"/>
      <c r="I41" s="1860"/>
    </row>
    <row r="42" spans="1:9" ht="25.5" customHeight="1">
      <c r="A42" s="1856" t="s">
        <v>263</v>
      </c>
      <c r="B42" s="2827" t="s">
        <v>1575</v>
      </c>
      <c r="C42" s="2827"/>
      <c r="D42" s="2827"/>
      <c r="E42" s="2827"/>
      <c r="F42" s="2827"/>
      <c r="G42" s="2827"/>
      <c r="H42" s="2827"/>
      <c r="I42" s="2827"/>
    </row>
    <row r="43" spans="1:9">
      <c r="B43" s="1864"/>
      <c r="C43" s="1864"/>
      <c r="D43" s="1863"/>
    </row>
  </sheetData>
  <mergeCells count="41">
    <mergeCell ref="G4:H4"/>
    <mergeCell ref="B5:C5"/>
    <mergeCell ref="B7:C8"/>
    <mergeCell ref="D7:D8"/>
    <mergeCell ref="A9:A10"/>
    <mergeCell ref="B9:C10"/>
    <mergeCell ref="D9:D10"/>
    <mergeCell ref="A11:A12"/>
    <mergeCell ref="B11:C12"/>
    <mergeCell ref="D11:D12"/>
    <mergeCell ref="A13:A14"/>
    <mergeCell ref="B13:C14"/>
    <mergeCell ref="D13:D14"/>
    <mergeCell ref="A21:A22"/>
    <mergeCell ref="B21:C22"/>
    <mergeCell ref="D21:D22"/>
    <mergeCell ref="A23:A24"/>
    <mergeCell ref="B23:C24"/>
    <mergeCell ref="D23:D24"/>
    <mergeCell ref="A25:A26"/>
    <mergeCell ref="B25:C26"/>
    <mergeCell ref="D25:D26"/>
    <mergeCell ref="A28:A29"/>
    <mergeCell ref="B28:C29"/>
    <mergeCell ref="D28:D29"/>
    <mergeCell ref="A35:A36"/>
    <mergeCell ref="B35:C36"/>
    <mergeCell ref="D35:D36"/>
    <mergeCell ref="B42:I42"/>
    <mergeCell ref="A31:A32"/>
    <mergeCell ref="B31:C32"/>
    <mergeCell ref="D31:D32"/>
    <mergeCell ref="A33:A34"/>
    <mergeCell ref="B33:C34"/>
    <mergeCell ref="D33:D34"/>
    <mergeCell ref="A16:A17"/>
    <mergeCell ref="B16:C17"/>
    <mergeCell ref="D16:D17"/>
    <mergeCell ref="A18:A19"/>
    <mergeCell ref="B18:C19"/>
    <mergeCell ref="D18:D19"/>
  </mergeCells>
  <pageMargins left="0.55118110236220474" right="0.55118110236220474" top="0.55118110236220474" bottom="0.55118110236220474" header="0.55118110236220474" footer="0.55118110236220474"/>
  <pageSetup paperSize="9" scale="73" fitToWidth="0" fitToHeight="0" orientation="portrait"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9143C-5262-4602-B8EF-D1C515C8501F}">
  <sheetPr>
    <tabColor theme="4" tint="0.39997558519241921"/>
  </sheetPr>
  <dimension ref="A1:I43"/>
  <sheetViews>
    <sheetView view="pageBreakPreview" zoomScaleNormal="100" zoomScaleSheetLayoutView="100" workbookViewId="0">
      <selection activeCell="E15" sqref="E15"/>
    </sheetView>
  </sheetViews>
  <sheetFormatPr defaultColWidth="8.7109375" defaultRowHeight="15"/>
  <cols>
    <col min="1" max="1" width="1.85546875" style="1862" customWidth="1"/>
    <col min="2" max="2" width="14.140625" style="1862" customWidth="1"/>
    <col min="3" max="3" width="29.5703125" style="1862" customWidth="1"/>
    <col min="4" max="4" width="15.5703125" style="1862" customWidth="1"/>
    <col min="5" max="5" width="16" style="1862" customWidth="1"/>
    <col min="6" max="6" width="11.42578125" style="1862" customWidth="1"/>
    <col min="7" max="7" width="10.7109375" style="1862" customWidth="1"/>
    <col min="8" max="9" width="12.28515625" style="1862" customWidth="1"/>
    <col min="10" max="16384" width="8.7109375" style="1862"/>
  </cols>
  <sheetData>
    <row r="1" spans="1:9" ht="7.5" customHeight="1">
      <c r="B1" s="1865"/>
      <c r="C1" s="1865"/>
      <c r="D1" s="1865"/>
      <c r="F1" s="1860"/>
      <c r="G1" s="1860"/>
      <c r="H1" s="1860"/>
      <c r="I1" s="1860"/>
    </row>
    <row r="2" spans="1:9">
      <c r="B2" s="1904" t="s">
        <v>1616</v>
      </c>
      <c r="C2" s="1903" t="s">
        <v>1619</v>
      </c>
      <c r="D2" s="1903"/>
      <c r="E2" s="1903"/>
      <c r="F2" s="1903"/>
      <c r="G2" s="1903"/>
      <c r="H2" s="1903"/>
      <c r="I2" s="1903"/>
    </row>
    <row r="3" spans="1:9">
      <c r="B3" s="1902" t="s">
        <v>1614</v>
      </c>
      <c r="C3" s="1901" t="s">
        <v>1618</v>
      </c>
      <c r="D3" s="1901"/>
      <c r="E3" s="1901"/>
      <c r="F3" s="1901"/>
      <c r="G3" s="1901"/>
      <c r="H3" s="1901"/>
      <c r="I3" s="1901"/>
    </row>
    <row r="4" spans="1:9" ht="9.75" customHeight="1" thickBot="1">
      <c r="B4" s="1865"/>
      <c r="C4" s="1865"/>
      <c r="D4" s="1865"/>
      <c r="E4" s="1900"/>
      <c r="F4" s="1891"/>
      <c r="G4" s="2832"/>
      <c r="H4" s="2832"/>
    </row>
    <row r="5" spans="1:9" ht="77.25" customHeight="1" thickBot="1">
      <c r="B5" s="2839" t="s">
        <v>1541</v>
      </c>
      <c r="C5" s="2839"/>
      <c r="D5" s="1899" t="s">
        <v>1540</v>
      </c>
      <c r="E5" s="1898"/>
      <c r="F5" s="1890"/>
      <c r="G5" s="1889">
        <v>2022</v>
      </c>
      <c r="H5" s="1889">
        <v>2023</v>
      </c>
      <c r="I5" s="1837">
        <v>2024</v>
      </c>
    </row>
    <row r="6" spans="1:9" ht="17.25" customHeight="1">
      <c r="A6" s="1896"/>
      <c r="B6" s="1895" t="s">
        <v>422</v>
      </c>
      <c r="C6" s="1895"/>
      <c r="D6" s="1895"/>
      <c r="E6" s="1879"/>
      <c r="F6" s="1887"/>
      <c r="G6" s="1887"/>
      <c r="H6" s="1887"/>
      <c r="I6" s="1887"/>
    </row>
    <row r="7" spans="1:9" ht="27.2" customHeight="1">
      <c r="A7" s="2842"/>
      <c r="B7" s="2820" t="s">
        <v>1549</v>
      </c>
      <c r="C7" s="2820"/>
      <c r="D7" s="2820" t="s">
        <v>1548</v>
      </c>
      <c r="E7" s="1879" t="s">
        <v>1607</v>
      </c>
      <c r="F7" s="1883"/>
      <c r="G7" s="1876">
        <v>1148</v>
      </c>
      <c r="H7" s="1876">
        <v>3531</v>
      </c>
      <c r="I7" s="1876">
        <v>2751.6</v>
      </c>
    </row>
    <row r="8" spans="1:9" ht="27.2" customHeight="1">
      <c r="A8" s="2842"/>
      <c r="B8" s="2820"/>
      <c r="C8" s="2820"/>
      <c r="D8" s="2820"/>
      <c r="E8" s="1829" t="s">
        <v>1606</v>
      </c>
      <c r="F8" s="1883"/>
      <c r="G8" s="1876">
        <v>75</v>
      </c>
      <c r="H8" s="1876">
        <v>184</v>
      </c>
      <c r="I8" s="1876">
        <v>197</v>
      </c>
    </row>
    <row r="9" spans="1:9" ht="27.2" customHeight="1">
      <c r="A9" s="2835"/>
      <c r="B9" s="2820" t="s">
        <v>1547</v>
      </c>
      <c r="C9" s="2820"/>
      <c r="D9" s="2820" t="s">
        <v>1546</v>
      </c>
      <c r="E9" s="1879" t="s">
        <v>1607</v>
      </c>
      <c r="F9" s="1878"/>
      <c r="G9" s="1876">
        <v>2059</v>
      </c>
      <c r="H9" s="1876">
        <v>2946.6</v>
      </c>
      <c r="I9" s="1876">
        <v>2285.1999999999998</v>
      </c>
    </row>
    <row r="10" spans="1:9" ht="27.2" customHeight="1">
      <c r="A10" s="2835"/>
      <c r="B10" s="2820"/>
      <c r="C10" s="2820"/>
      <c r="D10" s="2820"/>
      <c r="E10" s="1829" t="s">
        <v>1606</v>
      </c>
      <c r="F10" s="1885"/>
      <c r="G10" s="1876">
        <v>148</v>
      </c>
      <c r="H10" s="1876">
        <v>171</v>
      </c>
      <c r="I10" s="1876">
        <v>172</v>
      </c>
    </row>
    <row r="11" spans="1:9" ht="17.25" customHeight="1">
      <c r="A11" s="1894"/>
      <c r="B11" s="1895" t="s">
        <v>423</v>
      </c>
      <c r="C11" s="1829"/>
      <c r="D11" s="1829"/>
      <c r="E11" s="1829"/>
      <c r="F11" s="1885"/>
      <c r="G11" s="1876"/>
      <c r="H11" s="1876"/>
      <c r="I11" s="1876"/>
    </row>
    <row r="12" spans="1:9" ht="27.2" customHeight="1">
      <c r="A12" s="2835"/>
      <c r="B12" s="2820" t="s">
        <v>1602</v>
      </c>
      <c r="C12" s="2820"/>
      <c r="D12" s="2820" t="s">
        <v>1601</v>
      </c>
      <c r="E12" s="1879" t="s">
        <v>1607</v>
      </c>
      <c r="F12" s="1883"/>
      <c r="G12" s="1876">
        <v>870.6</v>
      </c>
      <c r="H12" s="1876">
        <v>2521.4</v>
      </c>
      <c r="I12" s="1876">
        <v>2926</v>
      </c>
    </row>
    <row r="13" spans="1:9" ht="27.2" customHeight="1">
      <c r="A13" s="2835"/>
      <c r="B13" s="2820"/>
      <c r="C13" s="2820"/>
      <c r="D13" s="2820"/>
      <c r="E13" s="1829" t="s">
        <v>1606</v>
      </c>
      <c r="F13" s="1883"/>
      <c r="G13" s="1876">
        <v>203</v>
      </c>
      <c r="H13" s="1876">
        <v>227</v>
      </c>
      <c r="I13" s="1876">
        <v>242</v>
      </c>
    </row>
    <row r="14" spans="1:9" ht="27.2" customHeight="1">
      <c r="A14" s="2835"/>
      <c r="B14" s="2820" t="s">
        <v>1600</v>
      </c>
      <c r="C14" s="2820"/>
      <c r="D14" s="2820" t="s">
        <v>1599</v>
      </c>
      <c r="E14" s="1879" t="s">
        <v>1607</v>
      </c>
      <c r="F14" s="1883"/>
      <c r="G14" s="1876">
        <v>870.6</v>
      </c>
      <c r="H14" s="1876">
        <v>2521.4</v>
      </c>
      <c r="I14" s="1876">
        <v>2926</v>
      </c>
    </row>
    <row r="15" spans="1:9" ht="27.2" customHeight="1">
      <c r="A15" s="2835"/>
      <c r="B15" s="2820"/>
      <c r="C15" s="2820"/>
      <c r="D15" s="2820"/>
      <c r="E15" s="1829" t="s">
        <v>1606</v>
      </c>
      <c r="F15" s="1883"/>
      <c r="G15" s="1876">
        <v>203</v>
      </c>
      <c r="H15" s="1876">
        <v>227</v>
      </c>
      <c r="I15" s="1876">
        <v>242</v>
      </c>
    </row>
    <row r="16" spans="1:9" ht="27.2" customHeight="1">
      <c r="A16" s="2835"/>
      <c r="B16" s="2820" t="s">
        <v>1598</v>
      </c>
      <c r="C16" s="2820"/>
      <c r="D16" s="2820" t="s">
        <v>1597</v>
      </c>
      <c r="E16" s="1879" t="s">
        <v>1607</v>
      </c>
      <c r="F16" s="1883"/>
      <c r="G16" s="1876">
        <v>870.6</v>
      </c>
      <c r="H16" s="1876">
        <v>2521.4</v>
      </c>
      <c r="I16" s="1876">
        <v>2926</v>
      </c>
    </row>
    <row r="17" spans="1:9" ht="27.2" customHeight="1">
      <c r="A17" s="2835"/>
      <c r="B17" s="2820"/>
      <c r="C17" s="2820"/>
      <c r="D17" s="2820"/>
      <c r="E17" s="1829" t="s">
        <v>1606</v>
      </c>
      <c r="F17" s="1883"/>
      <c r="G17" s="1876">
        <v>203</v>
      </c>
      <c r="H17" s="1876">
        <v>227</v>
      </c>
      <c r="I17" s="1876">
        <v>242</v>
      </c>
    </row>
    <row r="18" spans="1:9" ht="27.2" customHeight="1">
      <c r="A18" s="2835"/>
      <c r="B18" s="2820" t="s">
        <v>1596</v>
      </c>
      <c r="C18" s="2820"/>
      <c r="D18" s="2820" t="s">
        <v>1595</v>
      </c>
      <c r="E18" s="1879" t="s">
        <v>1607</v>
      </c>
      <c r="F18" s="1883"/>
      <c r="G18" s="1876">
        <v>870.6</v>
      </c>
      <c r="H18" s="1876">
        <v>2521.4</v>
      </c>
      <c r="I18" s="1876">
        <v>2926</v>
      </c>
    </row>
    <row r="19" spans="1:9" ht="27.2" customHeight="1">
      <c r="A19" s="2835"/>
      <c r="B19" s="2820"/>
      <c r="C19" s="2820"/>
      <c r="D19" s="2820"/>
      <c r="E19" s="1829" t="s">
        <v>1606</v>
      </c>
      <c r="F19" s="1883"/>
      <c r="G19" s="1876">
        <v>203</v>
      </c>
      <c r="H19" s="1876">
        <v>227</v>
      </c>
      <c r="I19" s="1876">
        <v>242</v>
      </c>
    </row>
    <row r="20" spans="1:9" ht="27.2" customHeight="1">
      <c r="A20" s="2841"/>
      <c r="B20" s="2820" t="s">
        <v>1594</v>
      </c>
      <c r="C20" s="2820"/>
      <c r="D20" s="2820" t="s">
        <v>1593</v>
      </c>
      <c r="E20" s="1879" t="s">
        <v>1607</v>
      </c>
      <c r="F20" s="1878"/>
      <c r="G20" s="1876">
        <v>2912.7</v>
      </c>
      <c r="H20" s="1876">
        <v>2380.3000000000002</v>
      </c>
      <c r="I20" s="1876">
        <v>3394</v>
      </c>
    </row>
    <row r="21" spans="1:9" ht="27.2" customHeight="1">
      <c r="A21" s="2841"/>
      <c r="B21" s="2820"/>
      <c r="C21" s="2820"/>
      <c r="D21" s="2820"/>
      <c r="E21" s="1829" t="s">
        <v>1606</v>
      </c>
      <c r="F21" s="1885"/>
      <c r="G21" s="1876">
        <v>163</v>
      </c>
      <c r="H21" s="1876">
        <v>168</v>
      </c>
      <c r="I21" s="1876">
        <v>212</v>
      </c>
    </row>
    <row r="22" spans="1:9" ht="27.2" customHeight="1">
      <c r="A22" s="2835"/>
      <c r="B22" s="2820" t="s">
        <v>1592</v>
      </c>
      <c r="C22" s="2820"/>
      <c r="D22" s="2820" t="s">
        <v>1591</v>
      </c>
      <c r="E22" s="1879" t="s">
        <v>1607</v>
      </c>
      <c r="F22" s="1878"/>
      <c r="G22" s="1876">
        <v>1590.4</v>
      </c>
      <c r="H22" s="1876">
        <v>1947.8</v>
      </c>
      <c r="I22" s="1876">
        <v>1974.4</v>
      </c>
    </row>
    <row r="23" spans="1:9" ht="27.2" customHeight="1">
      <c r="A23" s="2835"/>
      <c r="B23" s="2820"/>
      <c r="C23" s="2820"/>
      <c r="D23" s="2820"/>
      <c r="E23" s="1829" t="s">
        <v>1606</v>
      </c>
      <c r="F23" s="1885"/>
      <c r="G23" s="1876">
        <v>148</v>
      </c>
      <c r="H23" s="1876">
        <v>185</v>
      </c>
      <c r="I23" s="1876">
        <v>192</v>
      </c>
    </row>
    <row r="24" spans="1:9" ht="17.25" customHeight="1">
      <c r="A24" s="1896"/>
      <c r="B24" s="1895" t="s">
        <v>235</v>
      </c>
      <c r="C24" s="1879"/>
      <c r="D24" s="1879"/>
      <c r="E24" s="1879"/>
      <c r="F24" s="1881"/>
      <c r="G24" s="1880"/>
      <c r="H24" s="1880"/>
      <c r="I24" s="1880"/>
    </row>
    <row r="25" spans="1:9" ht="27.2" customHeight="1">
      <c r="A25" s="2835"/>
      <c r="B25" s="2820" t="s">
        <v>1590</v>
      </c>
      <c r="C25" s="2820"/>
      <c r="D25" s="2840" t="s">
        <v>1589</v>
      </c>
      <c r="E25" s="1879" t="s">
        <v>1607</v>
      </c>
      <c r="F25" s="1878"/>
      <c r="G25" s="1876">
        <v>3316.6</v>
      </c>
      <c r="H25" s="1876">
        <v>4248</v>
      </c>
      <c r="I25" s="1876">
        <v>4021.2</v>
      </c>
    </row>
    <row r="26" spans="1:9" ht="27.2" customHeight="1">
      <c r="A26" s="2835"/>
      <c r="B26" s="2820"/>
      <c r="C26" s="2820"/>
      <c r="D26" s="2840"/>
      <c r="E26" s="1829" t="s">
        <v>1606</v>
      </c>
      <c r="F26" s="1885"/>
      <c r="G26" s="1876">
        <v>197</v>
      </c>
      <c r="H26" s="1876">
        <v>242</v>
      </c>
      <c r="I26" s="1876">
        <v>227</v>
      </c>
    </row>
    <row r="27" spans="1:9" ht="27.2" customHeight="1">
      <c r="A27" s="2835"/>
      <c r="B27" s="2820" t="s">
        <v>1588</v>
      </c>
      <c r="C27" s="2820"/>
      <c r="D27" s="2840" t="s">
        <v>1587</v>
      </c>
      <c r="E27" s="1879" t="s">
        <v>1607</v>
      </c>
      <c r="F27" s="1878"/>
      <c r="G27" s="1876">
        <v>1104</v>
      </c>
      <c r="H27" s="1876">
        <v>4751.6000000000004</v>
      </c>
      <c r="I27" s="1876">
        <v>4346.2</v>
      </c>
    </row>
    <row r="28" spans="1:9" ht="27.2" customHeight="1">
      <c r="A28" s="2835"/>
      <c r="B28" s="2820"/>
      <c r="C28" s="2820"/>
      <c r="D28" s="2840"/>
      <c r="E28" s="1829" t="s">
        <v>1606</v>
      </c>
      <c r="F28" s="1885"/>
      <c r="G28" s="1876">
        <v>220</v>
      </c>
      <c r="H28" s="1876">
        <v>292</v>
      </c>
      <c r="I28" s="1876">
        <v>252</v>
      </c>
    </row>
    <row r="29" spans="1:9" ht="27.2" customHeight="1">
      <c r="A29" s="2835"/>
      <c r="B29" s="2820" t="s">
        <v>1586</v>
      </c>
      <c r="C29" s="2820"/>
      <c r="D29" s="2820" t="s">
        <v>1585</v>
      </c>
      <c r="E29" s="1879" t="s">
        <v>1607</v>
      </c>
      <c r="F29" s="1878"/>
      <c r="G29" s="1876">
        <v>3307.5</v>
      </c>
      <c r="H29" s="1876">
        <v>4079.6</v>
      </c>
      <c r="I29" s="1876">
        <v>4436.6000000000004</v>
      </c>
    </row>
    <row r="30" spans="1:9" ht="27.2" customHeight="1">
      <c r="A30" s="2835"/>
      <c r="B30" s="2820"/>
      <c r="C30" s="2820"/>
      <c r="D30" s="2820"/>
      <c r="E30" s="1829" t="s">
        <v>1606</v>
      </c>
      <c r="F30" s="1885"/>
      <c r="G30" s="1876">
        <v>235</v>
      </c>
      <c r="H30" s="1876">
        <v>258</v>
      </c>
      <c r="I30" s="1876">
        <v>236</v>
      </c>
    </row>
    <row r="31" spans="1:9" ht="27.2" customHeight="1">
      <c r="A31" s="2835"/>
      <c r="B31" s="2820" t="s">
        <v>1584</v>
      </c>
      <c r="C31" s="2820"/>
      <c r="D31" s="2820" t="s">
        <v>1583</v>
      </c>
      <c r="E31" s="1879" t="s">
        <v>1607</v>
      </c>
      <c r="F31" s="1883"/>
      <c r="G31" s="1876">
        <v>1121</v>
      </c>
      <c r="H31" s="1876">
        <v>3328</v>
      </c>
      <c r="I31" s="1876">
        <v>4118.6000000000004</v>
      </c>
    </row>
    <row r="32" spans="1:9" ht="27.2" customHeight="1">
      <c r="A32" s="2835"/>
      <c r="B32" s="2820"/>
      <c r="C32" s="2820"/>
      <c r="D32" s="2820"/>
      <c r="E32" s="1829" t="s">
        <v>1606</v>
      </c>
      <c r="F32" s="1883"/>
      <c r="G32" s="1876">
        <v>188</v>
      </c>
      <c r="H32" s="1876">
        <v>226</v>
      </c>
      <c r="I32" s="1876">
        <v>230</v>
      </c>
    </row>
    <row r="33" spans="1:9" ht="27.2" customHeight="1">
      <c r="A33" s="2835"/>
      <c r="B33" s="2820" t="s">
        <v>1582</v>
      </c>
      <c r="C33" s="2820"/>
      <c r="D33" s="2820" t="s">
        <v>1580</v>
      </c>
      <c r="E33" s="1879" t="s">
        <v>1607</v>
      </c>
      <c r="F33" s="1878"/>
      <c r="G33" s="1876">
        <v>2288.6</v>
      </c>
      <c r="H33" s="1876">
        <v>3344.2</v>
      </c>
      <c r="I33" s="1876">
        <v>2877.6</v>
      </c>
    </row>
    <row r="34" spans="1:9" ht="27.2" customHeight="1">
      <c r="A34" s="2835"/>
      <c r="B34" s="2820"/>
      <c r="C34" s="2820"/>
      <c r="D34" s="2820"/>
      <c r="E34" s="1829" t="s">
        <v>1606</v>
      </c>
      <c r="F34" s="1885"/>
      <c r="G34" s="1876">
        <v>160</v>
      </c>
      <c r="H34" s="1876">
        <v>209</v>
      </c>
      <c r="I34" s="1876">
        <v>211</v>
      </c>
    </row>
    <row r="35" spans="1:9" ht="27.2" customHeight="1">
      <c r="A35" s="2835"/>
      <c r="B35" s="2820" t="s">
        <v>1581</v>
      </c>
      <c r="C35" s="2820"/>
      <c r="D35" s="2820" t="s">
        <v>1580</v>
      </c>
      <c r="E35" s="1879" t="s">
        <v>1607</v>
      </c>
      <c r="F35" s="1878"/>
      <c r="G35" s="1876">
        <v>3012.8</v>
      </c>
      <c r="H35" s="1876">
        <v>3275.4</v>
      </c>
      <c r="I35" s="1876">
        <v>3251.4</v>
      </c>
    </row>
    <row r="36" spans="1:9" ht="29.25" customHeight="1" thickBot="1">
      <c r="A36" s="2835"/>
      <c r="B36" s="2830"/>
      <c r="C36" s="2830"/>
      <c r="D36" s="2830"/>
      <c r="E36" s="1875" t="s">
        <v>1606</v>
      </c>
      <c r="F36" s="1874"/>
      <c r="G36" s="1872">
        <v>213</v>
      </c>
      <c r="H36" s="1872">
        <v>258</v>
      </c>
      <c r="I36" s="1872">
        <v>235</v>
      </c>
    </row>
    <row r="37" spans="1:9">
      <c r="B37" s="1865"/>
      <c r="C37" s="1865"/>
      <c r="D37" s="1865"/>
      <c r="F37" s="1860"/>
      <c r="G37" s="1860"/>
      <c r="I37" s="1871" t="s">
        <v>1506</v>
      </c>
    </row>
    <row r="38" spans="1:9">
      <c r="B38" s="1865"/>
      <c r="C38" s="1865"/>
      <c r="D38" s="1865"/>
      <c r="F38" s="1860"/>
      <c r="G38" s="1860"/>
      <c r="I38" s="1870" t="s">
        <v>1505</v>
      </c>
    </row>
    <row r="39" spans="1:9" ht="15.75">
      <c r="B39" s="1869" t="s">
        <v>1504</v>
      </c>
      <c r="C39" s="1868"/>
      <c r="D39" s="1865"/>
      <c r="F39" s="1860"/>
      <c r="G39" s="1860"/>
      <c r="H39" s="1860"/>
      <c r="I39" s="1860"/>
    </row>
    <row r="40" spans="1:9" ht="15.75">
      <c r="A40" s="1820" t="s">
        <v>3</v>
      </c>
      <c r="B40" s="1869" t="s">
        <v>1503</v>
      </c>
      <c r="C40" s="1868"/>
      <c r="D40" s="1865"/>
      <c r="F40" s="1860"/>
      <c r="G40" s="1860"/>
      <c r="H40" s="1860"/>
      <c r="I40" s="1860"/>
    </row>
    <row r="41" spans="1:9">
      <c r="A41" s="1820" t="s">
        <v>4</v>
      </c>
      <c r="B41" s="1867" t="s">
        <v>1502</v>
      </c>
      <c r="C41" s="1866"/>
      <c r="D41" s="1865"/>
      <c r="F41" s="1860"/>
      <c r="G41" s="1860"/>
      <c r="H41" s="1860"/>
      <c r="I41" s="1860"/>
    </row>
    <row r="42" spans="1:9" ht="25.5" customHeight="1">
      <c r="A42" s="1856" t="s">
        <v>263</v>
      </c>
      <c r="B42" s="2827" t="s">
        <v>1575</v>
      </c>
      <c r="C42" s="2827"/>
      <c r="D42" s="2827"/>
      <c r="E42" s="2827"/>
      <c r="F42" s="2827"/>
      <c r="G42" s="2827"/>
      <c r="H42" s="2827"/>
      <c r="I42" s="2827"/>
    </row>
    <row r="43" spans="1:9">
      <c r="B43" s="1864"/>
      <c r="C43" s="1864"/>
      <c r="D43" s="1863"/>
    </row>
  </sheetData>
  <mergeCells count="45">
    <mergeCell ref="G4:H4"/>
    <mergeCell ref="B5:C5"/>
    <mergeCell ref="A18:A19"/>
    <mergeCell ref="B18:C19"/>
    <mergeCell ref="D18:D19"/>
    <mergeCell ref="A7:A8"/>
    <mergeCell ref="B7:C8"/>
    <mergeCell ref="D7:D8"/>
    <mergeCell ref="A9:A10"/>
    <mergeCell ref="B9:C10"/>
    <mergeCell ref="D9:D10"/>
    <mergeCell ref="A12:A13"/>
    <mergeCell ref="B12:C13"/>
    <mergeCell ref="D12:D13"/>
    <mergeCell ref="A14:A15"/>
    <mergeCell ref="B14:C15"/>
    <mergeCell ref="A22:A23"/>
    <mergeCell ref="B22:C23"/>
    <mergeCell ref="D22:D23"/>
    <mergeCell ref="A25:A26"/>
    <mergeCell ref="B25:C26"/>
    <mergeCell ref="D25:D26"/>
    <mergeCell ref="D14:D15"/>
    <mergeCell ref="A16:A17"/>
    <mergeCell ref="B16:C17"/>
    <mergeCell ref="D16:D17"/>
    <mergeCell ref="A20:A21"/>
    <mergeCell ref="B20:C21"/>
    <mergeCell ref="D20:D21"/>
    <mergeCell ref="A27:A28"/>
    <mergeCell ref="B27:C28"/>
    <mergeCell ref="D27:D28"/>
    <mergeCell ref="A29:A30"/>
    <mergeCell ref="B29:C30"/>
    <mergeCell ref="D29:D30"/>
    <mergeCell ref="B42:I42"/>
    <mergeCell ref="A35:A36"/>
    <mergeCell ref="B35:C36"/>
    <mergeCell ref="D35:D36"/>
    <mergeCell ref="A31:A32"/>
    <mergeCell ref="B31:C32"/>
    <mergeCell ref="D31:D32"/>
    <mergeCell ref="A33:A34"/>
    <mergeCell ref="B33:C34"/>
    <mergeCell ref="D33:D34"/>
  </mergeCells>
  <pageMargins left="0.55118110236220474" right="0.55118110236220474" top="0.55118110236220474" bottom="0.55118110236220474" header="0.55118110236220474" footer="0.55118110236220474"/>
  <pageSetup paperSize="9" scale="73" fitToWidth="0" fitToHeight="0" orientation="portrait"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38BB5-4673-4BE3-981A-550E19606B2B}">
  <sheetPr>
    <tabColor theme="4" tint="0.39997558519241921"/>
    <pageSetUpPr fitToPage="1"/>
  </sheetPr>
  <dimension ref="A1:I21"/>
  <sheetViews>
    <sheetView view="pageBreakPreview" zoomScaleNormal="100" zoomScaleSheetLayoutView="100" workbookViewId="0">
      <selection activeCell="E15" sqref="E15"/>
    </sheetView>
  </sheetViews>
  <sheetFormatPr defaultColWidth="8.7109375" defaultRowHeight="15"/>
  <cols>
    <col min="1" max="1" width="3" style="1862" customWidth="1"/>
    <col min="2" max="2" width="14.140625" style="1862" customWidth="1"/>
    <col min="3" max="3" width="29.140625" style="1862" customWidth="1"/>
    <col min="4" max="4" width="15.5703125" style="1862" customWidth="1"/>
    <col min="5" max="5" width="16" style="1862" customWidth="1"/>
    <col min="6" max="6" width="12.140625" style="1862" customWidth="1"/>
    <col min="7" max="7" width="10.7109375" style="1862" customWidth="1"/>
    <col min="8" max="9" width="12.28515625" style="1862" customWidth="1"/>
    <col min="10" max="16384" width="8.7109375" style="1862"/>
  </cols>
  <sheetData>
    <row r="1" spans="1:9">
      <c r="B1" s="1865"/>
      <c r="C1" s="1865"/>
      <c r="D1" s="1865"/>
      <c r="F1" s="1860"/>
      <c r="G1" s="1860"/>
      <c r="H1" s="1860"/>
      <c r="I1" s="1860"/>
    </row>
    <row r="2" spans="1:9">
      <c r="B2" s="1904" t="s">
        <v>1616</v>
      </c>
      <c r="C2" s="1903" t="s">
        <v>1619</v>
      </c>
      <c r="D2" s="1903"/>
      <c r="E2" s="1903"/>
      <c r="F2" s="1903"/>
      <c r="G2" s="1903"/>
      <c r="H2" s="1903"/>
      <c r="I2" s="1903"/>
    </row>
    <row r="3" spans="1:9">
      <c r="B3" s="1902" t="s">
        <v>1614</v>
      </c>
      <c r="C3" s="1901" t="s">
        <v>1618</v>
      </c>
      <c r="D3" s="1901"/>
      <c r="E3" s="1901"/>
      <c r="F3" s="1901"/>
      <c r="G3" s="1901"/>
      <c r="H3" s="1901"/>
      <c r="I3" s="1901"/>
    </row>
    <row r="4" spans="1:9" ht="15.75" thickBot="1">
      <c r="B4" s="1865"/>
      <c r="C4" s="1865"/>
      <c r="D4" s="1865"/>
      <c r="E4" s="1900"/>
      <c r="F4" s="1891"/>
      <c r="G4" s="2832"/>
      <c r="H4" s="2832"/>
    </row>
    <row r="5" spans="1:9" ht="77.25" customHeight="1" thickBot="1">
      <c r="B5" s="2839" t="s">
        <v>1541</v>
      </c>
      <c r="C5" s="2839"/>
      <c r="D5" s="1899" t="s">
        <v>1540</v>
      </c>
      <c r="E5" s="1898"/>
      <c r="F5" s="1890"/>
      <c r="G5" s="1889">
        <v>2022</v>
      </c>
      <c r="H5" s="1889">
        <v>2023</v>
      </c>
      <c r="I5" s="1837">
        <v>2024</v>
      </c>
    </row>
    <row r="6" spans="1:9" ht="17.25" customHeight="1">
      <c r="A6" s="1896"/>
      <c r="B6" s="1895" t="s">
        <v>235</v>
      </c>
      <c r="C6" s="1895"/>
      <c r="D6" s="1895"/>
      <c r="E6" s="1879"/>
      <c r="F6" s="1887"/>
      <c r="G6" s="1887"/>
      <c r="H6" s="1887"/>
      <c r="I6" s="1887"/>
    </row>
    <row r="7" spans="1:9" ht="27.2" customHeight="1">
      <c r="A7" s="2835"/>
      <c r="B7" s="2820" t="s">
        <v>1579</v>
      </c>
      <c r="C7" s="2820"/>
      <c r="D7" s="2820" t="s">
        <v>1578</v>
      </c>
      <c r="E7" s="1879" t="s">
        <v>1607</v>
      </c>
      <c r="F7" s="1883"/>
      <c r="G7" s="1876">
        <v>1121</v>
      </c>
      <c r="H7" s="1876">
        <v>3328</v>
      </c>
      <c r="I7" s="1876">
        <v>4118.6000000000004</v>
      </c>
    </row>
    <row r="8" spans="1:9" ht="27.2" customHeight="1">
      <c r="A8" s="2835"/>
      <c r="B8" s="2820"/>
      <c r="C8" s="2820"/>
      <c r="D8" s="2820"/>
      <c r="E8" s="1829" t="s">
        <v>1606</v>
      </c>
      <c r="F8" s="1883"/>
      <c r="G8" s="1876">
        <v>188</v>
      </c>
      <c r="H8" s="1876">
        <v>226</v>
      </c>
      <c r="I8" s="1876">
        <v>230</v>
      </c>
    </row>
    <row r="9" spans="1:9" ht="27.2" customHeight="1">
      <c r="A9" s="2835"/>
      <c r="B9" s="2820" t="s">
        <v>1577</v>
      </c>
      <c r="C9" s="2820"/>
      <c r="D9" s="2820" t="s">
        <v>1576</v>
      </c>
      <c r="E9" s="1879" t="s">
        <v>1607</v>
      </c>
      <c r="F9" s="1878"/>
      <c r="G9" s="1876">
        <v>2288.6</v>
      </c>
      <c r="H9" s="1876">
        <v>3344.2</v>
      </c>
      <c r="I9" s="1876">
        <v>2877.6</v>
      </c>
    </row>
    <row r="10" spans="1:9" ht="27.2" customHeight="1">
      <c r="A10" s="2835"/>
      <c r="B10" s="2820"/>
      <c r="C10" s="2820"/>
      <c r="D10" s="2820"/>
      <c r="E10" s="1829" t="s">
        <v>1606</v>
      </c>
      <c r="F10" s="1885"/>
      <c r="G10" s="1876">
        <v>160</v>
      </c>
      <c r="H10" s="1876">
        <v>209</v>
      </c>
      <c r="I10" s="1876">
        <v>211</v>
      </c>
    </row>
    <row r="11" spans="1:9" ht="17.25" customHeight="1">
      <c r="A11" s="1896"/>
      <c r="B11" s="1895" t="s">
        <v>425</v>
      </c>
      <c r="C11" s="1879"/>
      <c r="D11" s="1879"/>
      <c r="E11" s="1879"/>
      <c r="F11" s="1881"/>
      <c r="G11" s="1880"/>
      <c r="H11" s="1880"/>
      <c r="I11" s="1880"/>
    </row>
    <row r="12" spans="1:9" ht="27.2" customHeight="1">
      <c r="A12" s="2835"/>
      <c r="B12" s="2820" t="s">
        <v>1620</v>
      </c>
      <c r="C12" s="2820"/>
      <c r="D12" s="2820" t="s">
        <v>1603</v>
      </c>
      <c r="E12" s="1879" t="s">
        <v>1607</v>
      </c>
      <c r="F12" s="1878"/>
      <c r="G12" s="1876">
        <v>3433.6</v>
      </c>
      <c r="H12" s="1876">
        <v>4301.3</v>
      </c>
      <c r="I12" s="1876">
        <v>4127.5</v>
      </c>
    </row>
    <row r="13" spans="1:9" ht="27.2" customHeight="1">
      <c r="A13" s="2835"/>
      <c r="B13" s="2820"/>
      <c r="C13" s="2820"/>
      <c r="D13" s="2820"/>
      <c r="E13" s="1829" t="s">
        <v>1606</v>
      </c>
      <c r="F13" s="1885"/>
      <c r="G13" s="1876">
        <v>180</v>
      </c>
      <c r="H13" s="1876">
        <v>203</v>
      </c>
      <c r="I13" s="1876">
        <v>225</v>
      </c>
    </row>
    <row r="14" spans="1:9" ht="15.75" thickBot="1">
      <c r="B14" s="1908"/>
      <c r="C14" s="1908"/>
      <c r="D14" s="1907"/>
      <c r="E14" s="1875"/>
      <c r="F14" s="1906"/>
      <c r="G14" s="1906"/>
      <c r="H14" s="1906"/>
      <c r="I14" s="1906"/>
    </row>
    <row r="15" spans="1:9">
      <c r="B15" s="1865"/>
      <c r="C15" s="1865"/>
      <c r="D15" s="1865"/>
      <c r="F15" s="1860"/>
      <c r="G15" s="1860"/>
      <c r="I15" s="1871" t="s">
        <v>1506</v>
      </c>
    </row>
    <row r="16" spans="1:9">
      <c r="B16" s="1865"/>
      <c r="C16" s="1865"/>
      <c r="D16" s="1865"/>
      <c r="F16" s="1860"/>
      <c r="G16" s="1860"/>
      <c r="I16" s="1870" t="s">
        <v>1505</v>
      </c>
    </row>
    <row r="17" spans="1:9" ht="15.75">
      <c r="B17" s="1869" t="s">
        <v>1504</v>
      </c>
      <c r="C17" s="1868"/>
      <c r="D17" s="1865"/>
      <c r="F17" s="1860"/>
      <c r="G17" s="1860"/>
      <c r="H17" s="1860"/>
      <c r="I17" s="1860"/>
    </row>
    <row r="18" spans="1:9" ht="15.75">
      <c r="A18" s="1820" t="s">
        <v>3</v>
      </c>
      <c r="B18" s="1869" t="s">
        <v>1503</v>
      </c>
      <c r="C18" s="1868"/>
      <c r="D18" s="1865"/>
      <c r="F18" s="1860"/>
      <c r="G18" s="1860"/>
      <c r="H18" s="1860"/>
      <c r="I18" s="1860"/>
    </row>
    <row r="19" spans="1:9">
      <c r="A19" s="1820" t="s">
        <v>4</v>
      </c>
      <c r="B19" s="1867" t="s">
        <v>1502</v>
      </c>
      <c r="C19" s="1866"/>
      <c r="D19" s="1865"/>
      <c r="F19" s="1860"/>
      <c r="G19" s="1860"/>
      <c r="H19" s="1860"/>
      <c r="I19" s="1860"/>
    </row>
    <row r="20" spans="1:9" ht="25.5" customHeight="1">
      <c r="A20" s="1856" t="s">
        <v>263</v>
      </c>
      <c r="B20" s="2827" t="s">
        <v>1575</v>
      </c>
      <c r="C20" s="2827"/>
      <c r="D20" s="2827"/>
      <c r="E20" s="2827"/>
      <c r="F20" s="2827"/>
      <c r="G20" s="2827"/>
      <c r="H20" s="2827"/>
      <c r="I20" s="2827"/>
    </row>
    <row r="21" spans="1:9">
      <c r="B21" s="1864"/>
      <c r="C21" s="1864"/>
      <c r="D21" s="1863"/>
    </row>
  </sheetData>
  <mergeCells count="12">
    <mergeCell ref="B20:I20"/>
    <mergeCell ref="G4:H4"/>
    <mergeCell ref="B5:C5"/>
    <mergeCell ref="A7:A8"/>
    <mergeCell ref="B7:C8"/>
    <mergeCell ref="D7:D8"/>
    <mergeCell ref="A9:A10"/>
    <mergeCell ref="B9:C10"/>
    <mergeCell ref="D9:D10"/>
    <mergeCell ref="A12:A13"/>
    <mergeCell ref="B12:C13"/>
    <mergeCell ref="D12:D13"/>
  </mergeCells>
  <pageMargins left="0.55118110236220474" right="0.55118110236220474" top="0.55118110236220474" bottom="0.55118110236220474" header="0.55118110236220474" footer="0.55118110236220474"/>
  <pageSetup paperSize="9" scale="72"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B4426-F19C-44D7-B77D-1AC75F0809E2}">
  <sheetPr>
    <tabColor theme="4" tint="0.39997558519241921"/>
  </sheetPr>
  <dimension ref="A1:H49"/>
  <sheetViews>
    <sheetView view="pageBreakPreview" zoomScale="90" zoomScaleNormal="100" zoomScaleSheetLayoutView="90" workbookViewId="0">
      <selection activeCell="E15" sqref="E15"/>
    </sheetView>
  </sheetViews>
  <sheetFormatPr defaultColWidth="9.140625" defaultRowHeight="13.5"/>
  <cols>
    <col min="1" max="1" width="2.140625" style="1910" customWidth="1"/>
    <col min="2" max="2" width="14" style="250" customWidth="1"/>
    <col min="3" max="3" width="33.7109375" style="250" customWidth="1"/>
    <col min="4" max="4" width="17.85546875" style="250" customWidth="1"/>
    <col min="5" max="5" width="23.28515625" style="250" customWidth="1"/>
    <col min="6" max="8" width="10.7109375" style="1909" customWidth="1"/>
    <col min="9" max="16384" width="9.140625" style="250"/>
  </cols>
  <sheetData>
    <row r="1" spans="1:8" ht="8.25" customHeight="1"/>
    <row r="2" spans="1:8" ht="14.25">
      <c r="B2" s="1904" t="s">
        <v>1629</v>
      </c>
      <c r="C2" s="1931" t="s">
        <v>1628</v>
      </c>
      <c r="D2" s="1931"/>
      <c r="E2" s="1931"/>
      <c r="F2" s="1931"/>
      <c r="G2" s="1931"/>
      <c r="H2" s="1931"/>
    </row>
    <row r="3" spans="1:8" ht="14.25">
      <c r="B3" s="1902" t="s">
        <v>1627</v>
      </c>
      <c r="C3" s="1930" t="s">
        <v>1626</v>
      </c>
      <c r="D3" s="1930"/>
      <c r="E3" s="1930"/>
      <c r="F3" s="1930"/>
      <c r="G3" s="1930"/>
      <c r="H3" s="1930"/>
    </row>
    <row r="4" spans="1:8" ht="12.6" customHeight="1" thickBot="1">
      <c r="F4" s="1929"/>
      <c r="G4" s="2844"/>
      <c r="H4" s="2844"/>
    </row>
    <row r="5" spans="1:8" ht="27.2" customHeight="1">
      <c r="B5" s="2845" t="s">
        <v>1541</v>
      </c>
      <c r="C5" s="2845"/>
      <c r="D5" s="2847" t="s">
        <v>1625</v>
      </c>
      <c r="E5" s="1927"/>
      <c r="F5" s="2849"/>
      <c r="G5" s="2849"/>
      <c r="H5" s="2849"/>
    </row>
    <row r="6" spans="1:8" ht="46.5" customHeight="1" thickBot="1">
      <c r="B6" s="2846"/>
      <c r="C6" s="2846"/>
      <c r="D6" s="2848"/>
      <c r="E6" s="1926"/>
      <c r="F6" s="1925" t="s">
        <v>1624</v>
      </c>
      <c r="G6" s="1925" t="s">
        <v>1623</v>
      </c>
      <c r="H6" s="1925" t="s">
        <v>1622</v>
      </c>
    </row>
    <row r="7" spans="1:8" ht="20.25" customHeight="1">
      <c r="B7" s="1919" t="s">
        <v>412</v>
      </c>
      <c r="C7" s="1919"/>
      <c r="D7" s="1921"/>
      <c r="E7" s="1921"/>
      <c r="F7" s="1924"/>
      <c r="G7" s="1923"/>
      <c r="H7" s="1923"/>
    </row>
    <row r="8" spans="1:8" ht="27.2" customHeight="1">
      <c r="B8" s="2820" t="s">
        <v>1535</v>
      </c>
      <c r="C8" s="2820"/>
      <c r="D8" s="1905" t="s">
        <v>1534</v>
      </c>
      <c r="E8" s="1905"/>
      <c r="F8" s="1917">
        <v>80.2</v>
      </c>
      <c r="G8" s="1917">
        <v>82.3</v>
      </c>
      <c r="H8" s="1917">
        <v>82.5</v>
      </c>
    </row>
    <row r="9" spans="1:8" ht="27.2" customHeight="1">
      <c r="A9" s="1922"/>
      <c r="B9" s="2820" t="s">
        <v>1612</v>
      </c>
      <c r="C9" s="2820"/>
      <c r="D9" s="1905" t="s">
        <v>1531</v>
      </c>
      <c r="E9" s="1905"/>
      <c r="F9" s="1917">
        <v>79.900000000000006</v>
      </c>
      <c r="G9" s="1917">
        <v>82.8</v>
      </c>
      <c r="H9" s="1917">
        <v>82.6</v>
      </c>
    </row>
    <row r="10" spans="1:8" ht="27.2" customHeight="1">
      <c r="A10" s="1922"/>
      <c r="B10" s="2820" t="s">
        <v>1530</v>
      </c>
      <c r="C10" s="2820"/>
      <c r="D10" s="1905" t="s">
        <v>1529</v>
      </c>
      <c r="E10" s="1905"/>
      <c r="F10" s="1917" t="s">
        <v>1610</v>
      </c>
      <c r="G10" s="1917">
        <v>78.3</v>
      </c>
      <c r="H10" s="1917">
        <v>84.2</v>
      </c>
    </row>
    <row r="11" spans="1:8" ht="27.2" customHeight="1">
      <c r="A11" s="1922"/>
      <c r="B11" s="2820" t="s">
        <v>1611</v>
      </c>
      <c r="C11" s="2820"/>
      <c r="D11" s="1905" t="s">
        <v>1527</v>
      </c>
      <c r="E11" s="1905"/>
      <c r="F11" s="1917">
        <v>84.9</v>
      </c>
      <c r="G11" s="1917">
        <v>84</v>
      </c>
      <c r="H11" s="1917">
        <v>83.7</v>
      </c>
    </row>
    <row r="12" spans="1:8" ht="19.5" customHeight="1">
      <c r="B12" s="1919" t="s">
        <v>413</v>
      </c>
      <c r="C12" s="1921"/>
      <c r="D12" s="1905"/>
      <c r="E12" s="1905"/>
      <c r="F12" s="1920"/>
      <c r="G12" s="1920"/>
      <c r="H12" s="1920"/>
    </row>
    <row r="13" spans="1:8" ht="27.2" customHeight="1">
      <c r="A13" s="1922"/>
      <c r="B13" s="2820" t="s">
        <v>1526</v>
      </c>
      <c r="C13" s="2820"/>
      <c r="D13" s="1905" t="s">
        <v>1525</v>
      </c>
      <c r="E13" s="1905"/>
      <c r="F13" s="1917">
        <v>82.4</v>
      </c>
      <c r="G13" s="1917">
        <v>83.6</v>
      </c>
      <c r="H13" s="1917">
        <v>82.2</v>
      </c>
    </row>
    <row r="14" spans="1:8" ht="27.2" customHeight="1">
      <c r="A14" s="1922"/>
      <c r="B14" s="2820" t="s">
        <v>1524</v>
      </c>
      <c r="C14" s="2820"/>
      <c r="D14" s="1905" t="s">
        <v>1523</v>
      </c>
      <c r="E14" s="1905"/>
      <c r="F14" s="1917">
        <v>78.7</v>
      </c>
      <c r="G14" s="1917">
        <v>80.900000000000006</v>
      </c>
      <c r="H14" s="1917">
        <v>85.4</v>
      </c>
    </row>
    <row r="15" spans="1:8" ht="20.25" customHeight="1">
      <c r="B15" s="1919" t="s">
        <v>414</v>
      </c>
      <c r="C15" s="1921"/>
      <c r="D15" s="1905"/>
      <c r="E15" s="1905"/>
      <c r="F15" s="1920"/>
      <c r="G15" s="1920"/>
      <c r="H15" s="1920"/>
    </row>
    <row r="16" spans="1:8" ht="27.2" customHeight="1">
      <c r="A16" s="1922"/>
      <c r="B16" s="2820" t="s">
        <v>1522</v>
      </c>
      <c r="C16" s="2820"/>
      <c r="D16" s="1905" t="s">
        <v>1521</v>
      </c>
      <c r="E16" s="1905"/>
      <c r="F16" s="1917">
        <v>79.7</v>
      </c>
      <c r="G16" s="1917">
        <v>81.099999999999994</v>
      </c>
      <c r="H16" s="1917">
        <v>81.7</v>
      </c>
    </row>
    <row r="17" spans="1:8" ht="27.2" customHeight="1">
      <c r="A17" s="1922"/>
      <c r="B17" s="2820" t="s">
        <v>1520</v>
      </c>
      <c r="C17" s="2820"/>
      <c r="D17" s="1905" t="s">
        <v>1519</v>
      </c>
      <c r="E17" s="1905"/>
      <c r="F17" s="1917" t="s">
        <v>1621</v>
      </c>
      <c r="G17" s="1917">
        <v>83.4</v>
      </c>
      <c r="H17" s="1917">
        <v>85.4</v>
      </c>
    </row>
    <row r="18" spans="1:8" ht="27.2" customHeight="1">
      <c r="A18" s="1922"/>
      <c r="B18" s="2820" t="s">
        <v>1518</v>
      </c>
      <c r="C18" s="2820"/>
      <c r="D18" s="1905" t="s">
        <v>1517</v>
      </c>
      <c r="E18" s="1905"/>
      <c r="F18" s="1917" t="s">
        <v>1621</v>
      </c>
      <c r="G18" s="1917">
        <v>83.4</v>
      </c>
      <c r="H18" s="1917">
        <v>85.4</v>
      </c>
    </row>
    <row r="19" spans="1:8" ht="20.25" customHeight="1">
      <c r="B19" s="1919" t="s">
        <v>1609</v>
      </c>
      <c r="C19" s="1921"/>
      <c r="D19" s="1905"/>
      <c r="E19" s="1905"/>
      <c r="F19" s="1920"/>
      <c r="G19" s="1920"/>
      <c r="H19" s="1920"/>
    </row>
    <row r="20" spans="1:8" ht="27.2" customHeight="1">
      <c r="A20" s="1922"/>
      <c r="B20" s="2820" t="s">
        <v>1608</v>
      </c>
      <c r="C20" s="2820"/>
      <c r="D20" s="1905" t="s">
        <v>1515</v>
      </c>
      <c r="E20" s="1905"/>
      <c r="F20" s="1917">
        <v>76.599999999999994</v>
      </c>
      <c r="G20" s="1917">
        <v>79.3</v>
      </c>
      <c r="H20" s="1917">
        <v>80.5</v>
      </c>
    </row>
    <row r="21" spans="1:8" ht="20.25" customHeight="1">
      <c r="B21" s="2843" t="s">
        <v>416</v>
      </c>
      <c r="C21" s="2843"/>
      <c r="D21" s="1905"/>
      <c r="E21" s="1905"/>
      <c r="F21" s="1920"/>
      <c r="G21" s="1920"/>
      <c r="H21" s="1920"/>
    </row>
    <row r="22" spans="1:8" ht="27.2" customHeight="1">
      <c r="A22" s="1922"/>
      <c r="B22" s="2820" t="s">
        <v>1514</v>
      </c>
      <c r="C22" s="2820"/>
      <c r="D22" s="1905" t="s">
        <v>1513</v>
      </c>
      <c r="E22" s="1905"/>
      <c r="F22" s="1917">
        <v>80.900000000000006</v>
      </c>
      <c r="G22" s="1917">
        <v>81.3</v>
      </c>
      <c r="H22" s="1917">
        <v>83.4</v>
      </c>
    </row>
    <row r="23" spans="1:8" ht="21.2" customHeight="1">
      <c r="B23" s="1919" t="s">
        <v>417</v>
      </c>
      <c r="C23" s="1921"/>
      <c r="D23" s="1905"/>
      <c r="E23" s="1905"/>
      <c r="F23" s="1920"/>
      <c r="G23" s="1920"/>
      <c r="H23" s="1920"/>
    </row>
    <row r="24" spans="1:8" ht="27.2" customHeight="1">
      <c r="B24" s="2820" t="s">
        <v>1512</v>
      </c>
      <c r="C24" s="2820"/>
      <c r="D24" s="1905" t="s">
        <v>1511</v>
      </c>
      <c r="E24" s="1905"/>
      <c r="F24" s="1917">
        <v>87.4</v>
      </c>
      <c r="G24" s="1917">
        <v>89.4</v>
      </c>
      <c r="H24" s="1917">
        <v>88.7</v>
      </c>
    </row>
    <row r="25" spans="1:8" ht="27.2" customHeight="1">
      <c r="B25" s="2820" t="s">
        <v>1510</v>
      </c>
      <c r="C25" s="2820"/>
      <c r="D25" s="1905" t="s">
        <v>1509</v>
      </c>
      <c r="E25" s="1905"/>
      <c r="F25" s="1917">
        <v>87.4</v>
      </c>
      <c r="G25" s="1917">
        <v>89.4</v>
      </c>
      <c r="H25" s="1917">
        <v>88.7</v>
      </c>
    </row>
    <row r="26" spans="1:8" ht="27.2" customHeight="1">
      <c r="B26" s="2820" t="s">
        <v>1572</v>
      </c>
      <c r="C26" s="2820"/>
      <c r="D26" s="1905" t="s">
        <v>1571</v>
      </c>
      <c r="E26" s="1905"/>
      <c r="F26" s="1917">
        <v>82.4</v>
      </c>
      <c r="G26" s="1917">
        <v>75.5</v>
      </c>
      <c r="H26" s="1917">
        <v>81.900000000000006</v>
      </c>
    </row>
    <row r="27" spans="1:8" ht="27.2" customHeight="1">
      <c r="B27" s="2820" t="s">
        <v>1570</v>
      </c>
      <c r="C27" s="2820"/>
      <c r="D27" s="1905" t="s">
        <v>1569</v>
      </c>
      <c r="E27" s="1905"/>
      <c r="F27" s="1917">
        <v>80.7</v>
      </c>
      <c r="G27" s="1917">
        <v>80.5</v>
      </c>
      <c r="H27" s="1917">
        <v>80.2</v>
      </c>
    </row>
    <row r="28" spans="1:8" ht="27.2" customHeight="1">
      <c r="B28" s="2820" t="s">
        <v>1568</v>
      </c>
      <c r="C28" s="2820"/>
      <c r="D28" s="1905" t="s">
        <v>1567</v>
      </c>
      <c r="E28" s="1905"/>
      <c r="F28" s="1917">
        <v>81.8</v>
      </c>
      <c r="G28" s="1917">
        <v>82.6</v>
      </c>
      <c r="H28" s="1917">
        <v>83.2</v>
      </c>
    </row>
    <row r="29" spans="1:8" ht="20.25" customHeight="1">
      <c r="B29" s="1919" t="s">
        <v>418</v>
      </c>
      <c r="C29" s="1921"/>
      <c r="D29" s="1905"/>
      <c r="E29" s="1905"/>
      <c r="F29" s="1920"/>
      <c r="G29" s="1920"/>
      <c r="H29" s="1920"/>
    </row>
    <row r="30" spans="1:8" ht="27.2" customHeight="1">
      <c r="A30" s="1916"/>
      <c r="B30" s="2820" t="s">
        <v>1566</v>
      </c>
      <c r="C30" s="2820"/>
      <c r="D30" s="1905" t="s">
        <v>1565</v>
      </c>
      <c r="E30" s="1905"/>
      <c r="F30" s="1917">
        <v>76.2</v>
      </c>
      <c r="G30" s="1917">
        <v>77.8</v>
      </c>
      <c r="H30" s="1917">
        <v>77.7</v>
      </c>
    </row>
    <row r="31" spans="1:8" ht="27.2" customHeight="1">
      <c r="A31" s="1916"/>
      <c r="B31" s="2820" t="s">
        <v>1564</v>
      </c>
      <c r="C31" s="2820"/>
      <c r="D31" s="1905" t="s">
        <v>1563</v>
      </c>
      <c r="E31" s="1905"/>
      <c r="F31" s="1917">
        <v>78.599999999999994</v>
      </c>
      <c r="G31" s="1917">
        <v>79.2</v>
      </c>
      <c r="H31" s="1917">
        <v>78.2</v>
      </c>
    </row>
    <row r="32" spans="1:8" ht="20.25" customHeight="1">
      <c r="B32" s="1919" t="s">
        <v>419</v>
      </c>
      <c r="C32" s="1921"/>
      <c r="D32" s="1905"/>
      <c r="E32" s="1905"/>
      <c r="F32" s="1920"/>
      <c r="G32" s="1920"/>
      <c r="H32" s="1920"/>
    </row>
    <row r="33" spans="1:8" ht="27.2" customHeight="1">
      <c r="B33" s="2820" t="s">
        <v>1562</v>
      </c>
      <c r="C33" s="2820"/>
      <c r="D33" s="1905" t="s">
        <v>1561</v>
      </c>
      <c r="E33" s="1905"/>
      <c r="F33" s="1917">
        <v>78.3</v>
      </c>
      <c r="G33" s="1917">
        <v>79.900000000000006</v>
      </c>
      <c r="H33" s="1917">
        <v>79.2</v>
      </c>
    </row>
    <row r="34" spans="1:8" ht="27.2" customHeight="1">
      <c r="B34" s="2820" t="s">
        <v>1560</v>
      </c>
      <c r="C34" s="2820"/>
      <c r="D34" s="1905" t="s">
        <v>1559</v>
      </c>
      <c r="E34" s="1905"/>
      <c r="F34" s="1917">
        <v>80.7</v>
      </c>
      <c r="G34" s="1917">
        <v>82.1</v>
      </c>
      <c r="H34" s="1917">
        <v>25.1</v>
      </c>
    </row>
    <row r="35" spans="1:8" ht="27.2" customHeight="1">
      <c r="A35" s="1922"/>
      <c r="B35" s="2820" t="s">
        <v>1558</v>
      </c>
      <c r="C35" s="2820"/>
      <c r="D35" s="1905" t="s">
        <v>1557</v>
      </c>
      <c r="E35" s="1905"/>
      <c r="F35" s="1917">
        <v>81.599999999999994</v>
      </c>
      <c r="G35" s="1917">
        <v>83.9</v>
      </c>
      <c r="H35" s="1917">
        <v>81.599999999999994</v>
      </c>
    </row>
    <row r="36" spans="1:8" ht="20.25" customHeight="1">
      <c r="B36" s="1919" t="s">
        <v>420</v>
      </c>
      <c r="C36" s="1921"/>
      <c r="D36" s="1905"/>
      <c r="E36" s="1905"/>
      <c r="F36" s="1920"/>
      <c r="G36" s="1920"/>
      <c r="H36" s="1920"/>
    </row>
    <row r="37" spans="1:8" ht="27.2" customHeight="1">
      <c r="A37" s="1916"/>
      <c r="B37" s="2820" t="s">
        <v>1617</v>
      </c>
      <c r="C37" s="2820"/>
      <c r="D37" s="1905" t="s">
        <v>1555</v>
      </c>
      <c r="E37" s="1905"/>
      <c r="F37" s="1917">
        <v>81.400000000000006</v>
      </c>
      <c r="G37" s="1917">
        <v>82.8</v>
      </c>
      <c r="H37" s="1917">
        <v>83.6</v>
      </c>
    </row>
    <row r="38" spans="1:8" s="1862" customFormat="1" ht="20.25" customHeight="1">
      <c r="A38" s="1910"/>
      <c r="B38" s="1919" t="s">
        <v>421</v>
      </c>
      <c r="C38" s="1919"/>
      <c r="D38" s="1896"/>
      <c r="E38" s="1896"/>
      <c r="F38" s="1918"/>
      <c r="G38" s="1878"/>
      <c r="H38" s="1878"/>
    </row>
    <row r="39" spans="1:8" s="1862" customFormat="1" ht="27.2" customHeight="1">
      <c r="A39" s="1916"/>
      <c r="B39" s="2820" t="s">
        <v>1554</v>
      </c>
      <c r="C39" s="2820"/>
      <c r="D39" s="1905" t="s">
        <v>1552</v>
      </c>
      <c r="E39" s="1905"/>
      <c r="F39" s="1917">
        <v>71.8</v>
      </c>
      <c r="G39" s="1917">
        <v>72.5</v>
      </c>
      <c r="H39" s="1917">
        <v>72.900000000000006</v>
      </c>
    </row>
    <row r="40" spans="1:8" s="1862" customFormat="1" ht="27.2" customHeight="1">
      <c r="A40" s="1916"/>
      <c r="B40" s="2820" t="s">
        <v>1553</v>
      </c>
      <c r="C40" s="2820"/>
      <c r="D40" s="1905" t="s">
        <v>1552</v>
      </c>
      <c r="E40" s="1905"/>
      <c r="F40" s="1917">
        <v>79.099999999999994</v>
      </c>
      <c r="G40" s="1917">
        <v>78.5</v>
      </c>
      <c r="H40" s="1917">
        <v>75.2</v>
      </c>
    </row>
    <row r="41" spans="1:8" s="1862" customFormat="1" ht="29.25" customHeight="1" thickBot="1">
      <c r="A41" s="1916"/>
      <c r="B41" s="2830" t="s">
        <v>1551</v>
      </c>
      <c r="C41" s="2830"/>
      <c r="D41" s="1915" t="s">
        <v>1550</v>
      </c>
      <c r="E41" s="1915"/>
      <c r="F41" s="1914">
        <v>79.099999999999994</v>
      </c>
      <c r="G41" s="1914">
        <v>78.5</v>
      </c>
      <c r="H41" s="1914">
        <v>75.2</v>
      </c>
    </row>
    <row r="42" spans="1:8" s="1862" customFormat="1" ht="15">
      <c r="A42" s="1910"/>
      <c r="B42" s="250"/>
      <c r="C42" s="250"/>
      <c r="D42" s="250"/>
      <c r="E42" s="250"/>
      <c r="F42" s="1909"/>
      <c r="G42" s="1909"/>
      <c r="H42" s="1913" t="s">
        <v>1506</v>
      </c>
    </row>
    <row r="43" spans="1:8" s="1862" customFormat="1" ht="15">
      <c r="A43" s="1910"/>
      <c r="B43" s="250"/>
      <c r="C43" s="250"/>
      <c r="D43" s="250"/>
      <c r="E43" s="250"/>
      <c r="F43" s="1909"/>
      <c r="G43" s="1909"/>
      <c r="H43" s="1912" t="s">
        <v>1505</v>
      </c>
    </row>
    <row r="44" spans="1:8" s="1862" customFormat="1" ht="15">
      <c r="A44" s="1910"/>
      <c r="B44" s="250"/>
      <c r="C44" s="250"/>
      <c r="D44" s="250"/>
      <c r="E44" s="250"/>
      <c r="F44" s="1909"/>
      <c r="G44" s="1909"/>
      <c r="H44" s="1909"/>
    </row>
    <row r="45" spans="1:8" s="1862" customFormat="1" ht="15.75">
      <c r="A45" s="1910"/>
      <c r="B45" s="1869" t="s">
        <v>1504</v>
      </c>
      <c r="C45" s="1869"/>
      <c r="D45" s="1869"/>
      <c r="E45" s="1869"/>
      <c r="F45" s="1911"/>
      <c r="G45" s="1911"/>
      <c r="H45" s="1911"/>
    </row>
    <row r="46" spans="1:8" s="1862" customFormat="1" ht="16.5">
      <c r="A46" s="1820" t="s">
        <v>3</v>
      </c>
      <c r="B46" s="1869" t="s">
        <v>1503</v>
      </c>
      <c r="C46" s="1869"/>
      <c r="D46" s="1869"/>
      <c r="E46" s="1869"/>
      <c r="F46" s="1911"/>
      <c r="G46" s="1911"/>
      <c r="H46" s="1911"/>
    </row>
    <row r="47" spans="1:8" s="1862" customFormat="1" ht="15.75">
      <c r="A47" s="1820" t="s">
        <v>4</v>
      </c>
      <c r="B47" s="1867" t="s">
        <v>1502</v>
      </c>
      <c r="C47" s="1867"/>
      <c r="D47" s="1863"/>
      <c r="E47" s="1863"/>
      <c r="F47" s="1911"/>
      <c r="G47" s="1911"/>
      <c r="H47" s="1911"/>
    </row>
    <row r="48" spans="1:8" s="1862" customFormat="1" ht="29.25" customHeight="1">
      <c r="A48" s="1856" t="s">
        <v>263</v>
      </c>
      <c r="B48" s="2827" t="s">
        <v>1575</v>
      </c>
      <c r="C48" s="2827"/>
      <c r="D48" s="2827"/>
      <c r="E48" s="2827"/>
      <c r="F48" s="2827"/>
      <c r="G48" s="2827"/>
      <c r="H48" s="2827"/>
    </row>
    <row r="49" spans="1:8" s="1862" customFormat="1" ht="15.75">
      <c r="A49" s="1910"/>
      <c r="B49" s="1863"/>
      <c r="C49" s="1863"/>
      <c r="D49" s="1869"/>
      <c r="E49" s="1869"/>
      <c r="F49" s="1911"/>
      <c r="G49" s="1911"/>
      <c r="H49" s="1911"/>
    </row>
  </sheetData>
  <mergeCells count="31">
    <mergeCell ref="G4:H4"/>
    <mergeCell ref="B5:C6"/>
    <mergeCell ref="D5:D6"/>
    <mergeCell ref="F5:H5"/>
    <mergeCell ref="B8:C8"/>
    <mergeCell ref="B17:C17"/>
    <mergeCell ref="B18:C18"/>
    <mergeCell ref="B20:C20"/>
    <mergeCell ref="B21:C21"/>
    <mergeCell ref="B9:C9"/>
    <mergeCell ref="B10:C10"/>
    <mergeCell ref="B11:C11"/>
    <mergeCell ref="B13:C13"/>
    <mergeCell ref="B14:C14"/>
    <mergeCell ref="B16:C16"/>
    <mergeCell ref="B48:H48"/>
    <mergeCell ref="B26:C26"/>
    <mergeCell ref="B27:C27"/>
    <mergeCell ref="B28:C28"/>
    <mergeCell ref="B33:C33"/>
    <mergeCell ref="B41:C41"/>
    <mergeCell ref="B22:C22"/>
    <mergeCell ref="B24:C24"/>
    <mergeCell ref="B37:C37"/>
    <mergeCell ref="B39:C39"/>
    <mergeCell ref="B40:C40"/>
    <mergeCell ref="B25:C25"/>
    <mergeCell ref="B34:C34"/>
    <mergeCell ref="B35:C35"/>
    <mergeCell ref="B30:C30"/>
    <mergeCell ref="B31:C31"/>
  </mergeCells>
  <pageMargins left="0.55118110236220474" right="0.55118110236220474" top="0.55118110236220474" bottom="0.55118110236220474" header="0.55118110236220474" footer="0.55118110236220474"/>
  <pageSetup paperSize="9" scale="67" fitToWidth="0" fitToHeight="0" orientation="portrait"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1FD3E-BEC8-41B4-B3B9-15B4A0388A8A}">
  <sheetPr>
    <tabColor theme="4" tint="0.39997558519241921"/>
    <pageSetUpPr fitToPage="1"/>
  </sheetPr>
  <dimension ref="A1:H36"/>
  <sheetViews>
    <sheetView view="pageBreakPreview" zoomScaleNormal="100" zoomScaleSheetLayoutView="100" workbookViewId="0">
      <selection activeCell="L11" sqref="L11"/>
    </sheetView>
  </sheetViews>
  <sheetFormatPr defaultColWidth="8.7109375" defaultRowHeight="15"/>
  <cols>
    <col min="1" max="1" width="2.140625" style="1862" customWidth="1"/>
    <col min="2" max="2" width="14.28515625" style="1862" customWidth="1"/>
    <col min="3" max="3" width="32" style="1862" customWidth="1"/>
    <col min="4" max="4" width="23.5703125" style="1862" customWidth="1"/>
    <col min="5" max="5" width="17.140625" style="1862" customWidth="1"/>
    <col min="6" max="8" width="10.7109375" style="1862" customWidth="1"/>
    <col min="9" max="16384" width="8.7109375" style="1862"/>
  </cols>
  <sheetData>
    <row r="1" spans="1:8">
      <c r="A1" s="1910"/>
      <c r="B1" s="250"/>
      <c r="C1" s="250"/>
      <c r="D1" s="250"/>
      <c r="E1" s="250"/>
      <c r="F1" s="1909"/>
      <c r="G1" s="1909"/>
      <c r="H1" s="1909"/>
    </row>
    <row r="2" spans="1:8">
      <c r="A2" s="1910"/>
      <c r="B2" s="1904" t="s">
        <v>1629</v>
      </c>
      <c r="C2" s="1931" t="s">
        <v>1631</v>
      </c>
      <c r="D2" s="1931"/>
      <c r="E2" s="1931"/>
      <c r="F2" s="1931"/>
      <c r="G2" s="1931"/>
      <c r="H2" s="1931"/>
    </row>
    <row r="3" spans="1:8">
      <c r="A3" s="1910"/>
      <c r="B3" s="1902" t="s">
        <v>1627</v>
      </c>
      <c r="C3" s="1930" t="s">
        <v>1630</v>
      </c>
      <c r="D3" s="1930"/>
      <c r="E3" s="1930"/>
      <c r="F3" s="1930"/>
      <c r="G3" s="1930"/>
      <c r="H3" s="1930"/>
    </row>
    <row r="4" spans="1:8" ht="15.75" thickBot="1">
      <c r="A4" s="1910"/>
      <c r="B4" s="250"/>
      <c r="C4" s="250"/>
      <c r="D4" s="250"/>
      <c r="E4" s="250"/>
      <c r="F4" s="1929"/>
      <c r="H4" s="1928"/>
    </row>
    <row r="5" spans="1:8" ht="27.2" customHeight="1">
      <c r="A5" s="1910"/>
      <c r="B5" s="2845" t="s">
        <v>1541</v>
      </c>
      <c r="C5" s="2845"/>
      <c r="D5" s="2847" t="s">
        <v>1625</v>
      </c>
      <c r="E5" s="1927"/>
      <c r="F5" s="2849"/>
      <c r="G5" s="2849"/>
      <c r="H5" s="2849"/>
    </row>
    <row r="6" spans="1:8" ht="46.5" customHeight="1" thickBot="1">
      <c r="A6" s="1910"/>
      <c r="B6" s="2846"/>
      <c r="C6" s="2846"/>
      <c r="D6" s="2848"/>
      <c r="E6" s="1926"/>
      <c r="F6" s="1925" t="s">
        <v>1624</v>
      </c>
      <c r="G6" s="1925" t="s">
        <v>1623</v>
      </c>
      <c r="H6" s="1925" t="s">
        <v>1622</v>
      </c>
    </row>
    <row r="7" spans="1:8" ht="27.2" customHeight="1">
      <c r="A7" s="1910"/>
      <c r="B7" s="1919" t="s">
        <v>422</v>
      </c>
      <c r="C7" s="1921"/>
      <c r="D7" s="1905"/>
      <c r="E7" s="1905"/>
      <c r="F7" s="1934"/>
      <c r="G7" s="1934"/>
      <c r="H7" s="1934"/>
    </row>
    <row r="8" spans="1:8" ht="27.2" customHeight="1">
      <c r="A8" s="1916"/>
      <c r="B8" s="2820" t="s">
        <v>1549</v>
      </c>
      <c r="C8" s="2820"/>
      <c r="D8" s="1905" t="s">
        <v>1548</v>
      </c>
      <c r="E8" s="1905"/>
      <c r="F8" s="1917">
        <v>85.5</v>
      </c>
      <c r="G8" s="1917">
        <v>85.8</v>
      </c>
      <c r="H8" s="1917">
        <v>85.3</v>
      </c>
    </row>
    <row r="9" spans="1:8" ht="27.2" customHeight="1">
      <c r="A9" s="1916"/>
      <c r="B9" s="2820" t="s">
        <v>1547</v>
      </c>
      <c r="C9" s="2820"/>
      <c r="D9" s="1905" t="s">
        <v>1546</v>
      </c>
      <c r="E9" s="1905"/>
      <c r="F9" s="1917">
        <v>81.099999999999994</v>
      </c>
      <c r="G9" s="1917">
        <v>82.4</v>
      </c>
      <c r="H9" s="1917">
        <v>82.2</v>
      </c>
    </row>
    <row r="10" spans="1:8" ht="27.2" customHeight="1">
      <c r="A10" s="1916"/>
      <c r="B10" s="2843" t="s">
        <v>423</v>
      </c>
      <c r="C10" s="2843"/>
      <c r="D10" s="1905"/>
      <c r="E10" s="1905"/>
      <c r="F10" s="1917"/>
      <c r="G10" s="1917"/>
      <c r="H10" s="1917"/>
    </row>
    <row r="11" spans="1:8" ht="27.2" customHeight="1">
      <c r="A11" s="1922"/>
      <c r="B11" s="2820" t="s">
        <v>1602</v>
      </c>
      <c r="C11" s="2820"/>
      <c r="D11" s="1905" t="s">
        <v>1601</v>
      </c>
      <c r="E11" s="1905"/>
      <c r="F11" s="1917">
        <v>80.2</v>
      </c>
      <c r="G11" s="1917">
        <v>81.7</v>
      </c>
      <c r="H11" s="1917">
        <v>82.3</v>
      </c>
    </row>
    <row r="12" spans="1:8" ht="27.2" customHeight="1">
      <c r="A12" s="1922"/>
      <c r="B12" s="2820" t="s">
        <v>1600</v>
      </c>
      <c r="C12" s="2820"/>
      <c r="D12" s="1905" t="s">
        <v>1599</v>
      </c>
      <c r="E12" s="1905"/>
      <c r="F12" s="1917">
        <v>78.7</v>
      </c>
      <c r="G12" s="1917">
        <v>82.4</v>
      </c>
      <c r="H12" s="1917">
        <v>82.7</v>
      </c>
    </row>
    <row r="13" spans="1:8" ht="27.2" customHeight="1">
      <c r="A13" s="1916"/>
      <c r="B13" s="2820" t="s">
        <v>1598</v>
      </c>
      <c r="C13" s="2820"/>
      <c r="D13" s="1905" t="s">
        <v>1597</v>
      </c>
      <c r="E13" s="1905"/>
      <c r="F13" s="1917">
        <v>81.2</v>
      </c>
      <c r="G13" s="1917">
        <v>82.9</v>
      </c>
      <c r="H13" s="1917">
        <v>84.5</v>
      </c>
    </row>
    <row r="14" spans="1:8" ht="27.2" customHeight="1">
      <c r="A14" s="1916"/>
      <c r="B14" s="2820" t="s">
        <v>1596</v>
      </c>
      <c r="C14" s="2820"/>
      <c r="D14" s="1905" t="s">
        <v>1595</v>
      </c>
      <c r="E14" s="1905"/>
      <c r="F14" s="1917">
        <v>80.3</v>
      </c>
      <c r="G14" s="1917">
        <v>82.3</v>
      </c>
      <c r="H14" s="1917">
        <v>82.7</v>
      </c>
    </row>
    <row r="15" spans="1:8" ht="27.2" customHeight="1">
      <c r="A15" s="1916"/>
      <c r="B15" s="2820" t="s">
        <v>1594</v>
      </c>
      <c r="C15" s="2820"/>
      <c r="D15" s="1905" t="s">
        <v>1593</v>
      </c>
      <c r="E15" s="1905"/>
      <c r="F15" s="1917">
        <v>80.900000000000006</v>
      </c>
      <c r="G15" s="1917">
        <v>82.3</v>
      </c>
      <c r="H15" s="1917">
        <v>83.7</v>
      </c>
    </row>
    <row r="16" spans="1:8" ht="27.2" customHeight="1">
      <c r="A16" s="1916"/>
      <c r="B16" s="2820" t="s">
        <v>1592</v>
      </c>
      <c r="C16" s="2820"/>
      <c r="D16" s="1905" t="s">
        <v>1591</v>
      </c>
      <c r="E16" s="1905"/>
      <c r="F16" s="1917">
        <v>82</v>
      </c>
      <c r="G16" s="1917">
        <v>85</v>
      </c>
      <c r="H16" s="1917">
        <v>86</v>
      </c>
    </row>
    <row r="17" spans="1:8" ht="27.2" customHeight="1">
      <c r="A17" s="1910"/>
      <c r="B17" s="1919" t="s">
        <v>235</v>
      </c>
      <c r="C17" s="1921"/>
      <c r="D17" s="1905"/>
      <c r="E17" s="1905"/>
      <c r="F17" s="1920"/>
      <c r="G17" s="1920"/>
      <c r="H17" s="1920"/>
    </row>
    <row r="18" spans="1:8" ht="27.2" customHeight="1">
      <c r="A18" s="1916"/>
      <c r="B18" s="2820" t="s">
        <v>1590</v>
      </c>
      <c r="C18" s="2820"/>
      <c r="D18" s="1905" t="s">
        <v>1589</v>
      </c>
      <c r="E18" s="1905"/>
      <c r="F18" s="1917">
        <v>86</v>
      </c>
      <c r="G18" s="1917">
        <v>87.4</v>
      </c>
      <c r="H18" s="1917">
        <v>85.6</v>
      </c>
    </row>
    <row r="19" spans="1:8" ht="27.2" customHeight="1">
      <c r="A19" s="1916"/>
      <c r="B19" s="2820" t="s">
        <v>1588</v>
      </c>
      <c r="C19" s="2820"/>
      <c r="D19" s="1905" t="s">
        <v>1587</v>
      </c>
      <c r="E19" s="1905"/>
      <c r="F19" s="1917">
        <v>86.1</v>
      </c>
      <c r="G19" s="1917">
        <v>86.6</v>
      </c>
      <c r="H19" s="1917">
        <v>86</v>
      </c>
    </row>
    <row r="20" spans="1:8" ht="27.2" customHeight="1">
      <c r="A20" s="1916"/>
      <c r="B20" s="2820" t="s">
        <v>1586</v>
      </c>
      <c r="C20" s="2820"/>
      <c r="D20" s="1905" t="s">
        <v>1585</v>
      </c>
      <c r="E20" s="1905"/>
      <c r="F20" s="1917">
        <v>84</v>
      </c>
      <c r="G20" s="1917">
        <v>86.8</v>
      </c>
      <c r="H20" s="1917">
        <v>85.2</v>
      </c>
    </row>
    <row r="21" spans="1:8" ht="27.2" customHeight="1">
      <c r="A21" s="1916"/>
      <c r="B21" s="2820" t="s">
        <v>1584</v>
      </c>
      <c r="C21" s="2820"/>
      <c r="D21" s="1905" t="s">
        <v>1583</v>
      </c>
      <c r="E21" s="1905"/>
      <c r="F21" s="1917">
        <v>84</v>
      </c>
      <c r="G21" s="1917">
        <v>84</v>
      </c>
      <c r="H21" s="1917">
        <v>85.3</v>
      </c>
    </row>
    <row r="22" spans="1:8" ht="27.2" customHeight="1">
      <c r="A22" s="1916"/>
      <c r="B22" s="2820" t="s">
        <v>1582</v>
      </c>
      <c r="C22" s="2820"/>
      <c r="D22" s="1905" t="s">
        <v>1580</v>
      </c>
      <c r="E22" s="1905"/>
      <c r="F22" s="1917">
        <v>84.4</v>
      </c>
      <c r="G22" s="1917">
        <v>86.1</v>
      </c>
      <c r="H22" s="1917">
        <v>85.4</v>
      </c>
    </row>
    <row r="23" spans="1:8" ht="27.2" customHeight="1">
      <c r="A23" s="1916"/>
      <c r="B23" s="2820" t="s">
        <v>1581</v>
      </c>
      <c r="C23" s="2820"/>
      <c r="D23" s="1905" t="s">
        <v>1580</v>
      </c>
      <c r="E23" s="1905"/>
      <c r="F23" s="1917">
        <v>85.1</v>
      </c>
      <c r="G23" s="1917">
        <v>87.7</v>
      </c>
      <c r="H23" s="1917">
        <v>86</v>
      </c>
    </row>
    <row r="24" spans="1:8" ht="27.2" customHeight="1">
      <c r="A24" s="1916"/>
      <c r="B24" s="2820" t="s">
        <v>1579</v>
      </c>
      <c r="C24" s="2820"/>
      <c r="D24" s="1905" t="s">
        <v>1578</v>
      </c>
      <c r="E24" s="1905"/>
      <c r="F24" s="1917">
        <v>85.1</v>
      </c>
      <c r="G24" s="1917">
        <v>87.7</v>
      </c>
      <c r="H24" s="1917">
        <v>86</v>
      </c>
    </row>
    <row r="25" spans="1:8" ht="27.2" customHeight="1">
      <c r="A25" s="1916"/>
      <c r="B25" s="2820" t="s">
        <v>1577</v>
      </c>
      <c r="C25" s="2820"/>
      <c r="D25" s="1905" t="s">
        <v>1576</v>
      </c>
      <c r="E25" s="1905"/>
      <c r="F25" s="1917">
        <v>85.2</v>
      </c>
      <c r="G25" s="1917">
        <v>87.7</v>
      </c>
      <c r="H25" s="1917">
        <v>86.8</v>
      </c>
    </row>
    <row r="26" spans="1:8" ht="27.2" customHeight="1">
      <c r="A26" s="1910"/>
      <c r="B26" s="1919" t="s">
        <v>425</v>
      </c>
      <c r="C26" s="1921"/>
      <c r="D26" s="1905"/>
      <c r="E26" s="1905"/>
      <c r="F26" s="1920"/>
      <c r="G26" s="1920"/>
      <c r="H26" s="1920"/>
    </row>
    <row r="27" spans="1:8" ht="27.2" customHeight="1">
      <c r="A27" s="1916"/>
      <c r="B27" s="2820" t="s">
        <v>1604</v>
      </c>
      <c r="C27" s="2820"/>
      <c r="D27" s="1905" t="s">
        <v>1603</v>
      </c>
      <c r="E27" s="1905"/>
      <c r="F27" s="1917">
        <v>79.7</v>
      </c>
      <c r="G27" s="1917">
        <v>83.1</v>
      </c>
      <c r="H27" s="1917">
        <v>25.1</v>
      </c>
    </row>
    <row r="28" spans="1:8" ht="15.75" thickBot="1">
      <c r="A28" s="1916"/>
      <c r="B28" s="1933"/>
      <c r="C28" s="1933"/>
      <c r="D28" s="1926"/>
      <c r="E28" s="1926"/>
      <c r="F28" s="1932"/>
      <c r="G28" s="1932"/>
      <c r="H28" s="1932"/>
    </row>
    <row r="29" spans="1:8">
      <c r="A29" s="1910"/>
      <c r="B29" s="250"/>
      <c r="C29" s="250"/>
      <c r="D29" s="250"/>
      <c r="E29" s="250"/>
      <c r="F29" s="1909"/>
      <c r="G29" s="1909"/>
      <c r="H29" s="1913" t="s">
        <v>1506</v>
      </c>
    </row>
    <row r="30" spans="1:8">
      <c r="A30" s="1910"/>
      <c r="B30" s="250"/>
      <c r="C30" s="250"/>
      <c r="D30" s="250"/>
      <c r="E30" s="250"/>
      <c r="F30" s="1909"/>
      <c r="G30" s="1909"/>
      <c r="H30" s="1912" t="s">
        <v>1505</v>
      </c>
    </row>
    <row r="31" spans="1:8">
      <c r="A31" s="1910"/>
      <c r="B31" s="250"/>
      <c r="C31" s="250"/>
      <c r="D31" s="250"/>
      <c r="E31" s="250"/>
      <c r="F31" s="1909"/>
      <c r="G31" s="1909"/>
      <c r="H31" s="1909"/>
    </row>
    <row r="32" spans="1:8" ht="15.75">
      <c r="A32" s="1910"/>
      <c r="B32" s="1869" t="s">
        <v>1504</v>
      </c>
      <c r="C32" s="1869"/>
      <c r="D32" s="1869"/>
      <c r="E32" s="1869"/>
      <c r="F32" s="1911"/>
      <c r="G32" s="1911"/>
      <c r="H32" s="1911"/>
    </row>
    <row r="33" spans="1:8" ht="16.5">
      <c r="A33" s="1820" t="s">
        <v>3</v>
      </c>
      <c r="B33" s="1869" t="s">
        <v>1503</v>
      </c>
      <c r="C33" s="1869"/>
      <c r="D33" s="1869"/>
      <c r="E33" s="1869"/>
      <c r="F33" s="1911"/>
      <c r="G33" s="1911"/>
      <c r="H33" s="1911"/>
    </row>
    <row r="34" spans="1:8" ht="15.75">
      <c r="A34" s="1820" t="s">
        <v>4</v>
      </c>
      <c r="B34" s="1867" t="s">
        <v>1502</v>
      </c>
      <c r="C34" s="1867"/>
      <c r="D34" s="1863"/>
      <c r="E34" s="1863"/>
      <c r="F34" s="1911"/>
      <c r="G34" s="1911"/>
      <c r="H34" s="1911"/>
    </row>
    <row r="35" spans="1:8" ht="29.25" customHeight="1">
      <c r="A35" s="1856" t="s">
        <v>263</v>
      </c>
      <c r="B35" s="2827" t="s">
        <v>1575</v>
      </c>
      <c r="C35" s="2827"/>
      <c r="D35" s="2827"/>
      <c r="E35" s="2827"/>
      <c r="F35" s="2827"/>
      <c r="G35" s="2827"/>
      <c r="H35" s="2827"/>
    </row>
    <row r="36" spans="1:8" ht="15.75">
      <c r="A36" s="1910"/>
      <c r="B36" s="1863"/>
      <c r="C36" s="1863"/>
      <c r="D36" s="1869"/>
      <c r="E36" s="1869"/>
      <c r="F36" s="1911"/>
      <c r="G36" s="1911"/>
      <c r="H36" s="1911"/>
    </row>
  </sheetData>
  <mergeCells count="22">
    <mergeCell ref="B5:C6"/>
    <mergeCell ref="D5:D6"/>
    <mergeCell ref="F5:H5"/>
    <mergeCell ref="B11:C11"/>
    <mergeCell ref="B12:C12"/>
    <mergeCell ref="B8:C8"/>
    <mergeCell ref="B9:C9"/>
    <mergeCell ref="B10:C10"/>
    <mergeCell ref="B35:H35"/>
    <mergeCell ref="B21:C21"/>
    <mergeCell ref="B22:C22"/>
    <mergeCell ref="B23:C23"/>
    <mergeCell ref="B24:C24"/>
    <mergeCell ref="B25:C25"/>
    <mergeCell ref="B27:C27"/>
    <mergeCell ref="B20:C20"/>
    <mergeCell ref="B13:C13"/>
    <mergeCell ref="B14:C14"/>
    <mergeCell ref="B15:C15"/>
    <mergeCell ref="B16:C16"/>
    <mergeCell ref="B18:C18"/>
    <mergeCell ref="B19:C19"/>
  </mergeCells>
  <pageMargins left="0.55118110236220474" right="0.55118110236220474" top="0.55118110236220474" bottom="0.55118110236220474" header="0.55118110236220474" footer="0.55118110236220474"/>
  <pageSetup paperSize="9" scale="75"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C4702-333C-4932-9934-FB441457AFA4}">
  <sheetPr>
    <tabColor theme="4" tint="0.39997558519241921"/>
  </sheetPr>
  <dimension ref="A1:R78"/>
  <sheetViews>
    <sheetView view="pageBreakPreview" zoomScaleNormal="100" zoomScaleSheetLayoutView="100" workbookViewId="0">
      <selection activeCell="K17" sqref="K17"/>
    </sheetView>
  </sheetViews>
  <sheetFormatPr defaultRowHeight="15"/>
  <cols>
    <col min="1" max="1" width="3.85546875" customWidth="1"/>
    <col min="3" max="3" width="20.85546875" customWidth="1"/>
    <col min="4" max="4" width="13.42578125" customWidth="1"/>
    <col min="5" max="5" width="37.140625" customWidth="1"/>
    <col min="6" max="6" width="35.7109375" customWidth="1"/>
  </cols>
  <sheetData>
    <row r="1" spans="1:18" s="1940" customFormat="1" ht="8.25" customHeight="1">
      <c r="E1" s="1976"/>
      <c r="F1" s="1976"/>
      <c r="G1" s="1941"/>
    </row>
    <row r="2" spans="1:18" s="1940" customFormat="1" ht="8.25" customHeight="1">
      <c r="E2" s="1976"/>
      <c r="F2" s="1976"/>
      <c r="G2" s="1941"/>
    </row>
    <row r="3" spans="1:18" s="1982" customFormat="1" ht="16.5" customHeight="1">
      <c r="A3" s="771"/>
      <c r="B3" s="771" t="s">
        <v>1638</v>
      </c>
      <c r="C3" s="690" t="s">
        <v>1958</v>
      </c>
      <c r="D3" s="690"/>
      <c r="E3" s="1983"/>
      <c r="F3" s="1983"/>
      <c r="G3" s="771"/>
      <c r="H3" s="690"/>
      <c r="I3" s="690"/>
      <c r="J3" s="690"/>
      <c r="K3" s="690"/>
      <c r="L3" s="690"/>
      <c r="M3" s="690"/>
      <c r="N3" s="690"/>
      <c r="O3" s="690"/>
      <c r="P3" s="690"/>
      <c r="Q3" s="690"/>
      <c r="R3" s="690"/>
    </row>
    <row r="4" spans="1:18" s="1977" customFormat="1" ht="16.5" customHeight="1">
      <c r="A4" s="1981"/>
      <c r="B4" s="1981" t="s">
        <v>1637</v>
      </c>
      <c r="C4" s="1980" t="s">
        <v>1959</v>
      </c>
      <c r="D4" s="693"/>
      <c r="E4" s="1979"/>
      <c r="F4" s="1979"/>
      <c r="G4" s="1978"/>
      <c r="H4" s="693"/>
      <c r="I4" s="693"/>
      <c r="J4" s="693"/>
      <c r="K4" s="693"/>
      <c r="L4" s="693"/>
      <c r="M4" s="693"/>
      <c r="N4" s="693"/>
      <c r="O4" s="693"/>
      <c r="P4" s="693"/>
      <c r="Q4" s="693"/>
      <c r="R4" s="693"/>
    </row>
    <row r="5" spans="1:18" s="1940" customFormat="1" ht="12" customHeight="1" thickBot="1">
      <c r="E5" s="1976"/>
      <c r="F5" s="1976"/>
      <c r="G5" s="1941"/>
      <c r="J5" s="1966"/>
      <c r="L5" s="1966"/>
    </row>
    <row r="6" spans="1:18" s="1940" customFormat="1" ht="21.2" customHeight="1">
      <c r="A6" s="1975"/>
      <c r="B6" s="1974" t="s">
        <v>547</v>
      </c>
      <c r="C6" s="1973"/>
      <c r="D6" s="2852" t="s">
        <v>1636</v>
      </c>
      <c r="E6" s="1972" t="s">
        <v>1635</v>
      </c>
      <c r="F6" s="1972" t="s">
        <v>1634</v>
      </c>
      <c r="G6" s="1971"/>
    </row>
    <row r="7" spans="1:18" s="1940" customFormat="1" ht="21.2" customHeight="1" thickBot="1">
      <c r="A7" s="1970"/>
      <c r="B7" s="1970" t="s">
        <v>549</v>
      </c>
      <c r="C7" s="1969"/>
      <c r="D7" s="2853"/>
      <c r="E7" s="1968" t="s">
        <v>1633</v>
      </c>
      <c r="F7" s="1968" t="s">
        <v>1632</v>
      </c>
      <c r="G7" s="1950"/>
    </row>
    <row r="8" spans="1:18" s="1940" customFormat="1" ht="8.25" customHeight="1">
      <c r="A8" s="1952"/>
      <c r="B8" s="1952"/>
      <c r="C8" s="1952"/>
      <c r="D8" s="1952"/>
      <c r="E8" s="1967"/>
      <c r="F8" s="1967"/>
      <c r="G8" s="1950"/>
    </row>
    <row r="9" spans="1:18" s="1940" customFormat="1" ht="14.25" customHeight="1">
      <c r="A9" s="1965"/>
      <c r="B9" s="1965" t="s">
        <v>520</v>
      </c>
      <c r="C9" s="1965"/>
      <c r="D9" s="1963">
        <v>2021</v>
      </c>
      <c r="E9" s="1964">
        <v>2645076</v>
      </c>
      <c r="F9" s="1964">
        <v>31016</v>
      </c>
      <c r="G9" s="1966"/>
    </row>
    <row r="10" spans="1:18" s="1940" customFormat="1" ht="14.25" customHeight="1">
      <c r="A10" s="1965"/>
      <c r="B10" s="1965"/>
      <c r="C10" s="1965"/>
      <c r="D10" s="1963">
        <v>2022</v>
      </c>
      <c r="E10" s="1964">
        <v>2645076</v>
      </c>
      <c r="F10" s="1964">
        <v>31016</v>
      </c>
      <c r="G10" s="1962"/>
    </row>
    <row r="11" spans="1:18" s="1940" customFormat="1" ht="15.75" customHeight="1">
      <c r="A11" s="1952"/>
      <c r="B11" s="1952"/>
      <c r="C11" s="1952"/>
      <c r="D11" s="1963">
        <v>2023</v>
      </c>
      <c r="E11" s="1964">
        <v>2645076</v>
      </c>
      <c r="F11" s="1964">
        <v>31016</v>
      </c>
      <c r="G11" s="1950"/>
    </row>
    <row r="12" spans="1:18" s="1940" customFormat="1" ht="15.75" customHeight="1">
      <c r="A12" s="1952"/>
      <c r="B12" s="1952"/>
      <c r="C12" s="1952"/>
      <c r="D12" s="1963"/>
      <c r="E12" s="1951"/>
      <c r="F12" s="1951"/>
      <c r="G12" s="1950"/>
    </row>
    <row r="13" spans="1:18" s="1940" customFormat="1" ht="14.25" customHeight="1">
      <c r="A13" s="1961"/>
      <c r="B13" s="1961" t="s">
        <v>412</v>
      </c>
      <c r="C13" s="1945"/>
      <c r="D13" s="1945">
        <v>2021</v>
      </c>
      <c r="E13" s="1944">
        <v>239206</v>
      </c>
      <c r="F13" s="1944">
        <v>3824</v>
      </c>
      <c r="G13" s="1962"/>
      <c r="K13" s="1959"/>
    </row>
    <row r="14" spans="1:18" s="1940" customFormat="1" ht="14.25" customHeight="1">
      <c r="A14" s="1961"/>
      <c r="B14" s="1961"/>
      <c r="C14" s="1945"/>
      <c r="D14" s="1945">
        <v>2022</v>
      </c>
      <c r="E14" s="1944">
        <v>239206</v>
      </c>
      <c r="F14" s="1944">
        <v>3824</v>
      </c>
      <c r="G14" s="1962"/>
      <c r="K14" s="1959"/>
    </row>
    <row r="15" spans="1:18" s="1940" customFormat="1" ht="14.25" customHeight="1">
      <c r="A15" s="1961"/>
      <c r="B15" s="1961"/>
      <c r="C15" s="1945"/>
      <c r="D15" s="1945">
        <v>2023</v>
      </c>
      <c r="E15" s="1944">
        <v>239206</v>
      </c>
      <c r="F15" s="1944">
        <v>3824</v>
      </c>
      <c r="G15" s="1960"/>
      <c r="K15" s="1959"/>
    </row>
    <row r="16" spans="1:18" s="1940" customFormat="1" ht="8.25" customHeight="1">
      <c r="A16" s="1952"/>
      <c r="B16" s="1953"/>
      <c r="C16" s="1952"/>
      <c r="D16" s="1952"/>
      <c r="E16" s="1951"/>
      <c r="F16" s="1951"/>
      <c r="G16" s="1950"/>
    </row>
    <row r="17" spans="1:11" s="1940" customFormat="1" ht="14.25" customHeight="1">
      <c r="A17" s="1957"/>
      <c r="B17" s="1957" t="s">
        <v>413</v>
      </c>
      <c r="C17" s="1946"/>
      <c r="D17" s="1945">
        <v>2021</v>
      </c>
      <c r="E17" s="1944">
        <v>165362</v>
      </c>
      <c r="F17" s="1944">
        <v>2147</v>
      </c>
      <c r="G17" s="1960"/>
      <c r="K17" s="1959"/>
    </row>
    <row r="18" spans="1:11" s="1940" customFormat="1" ht="14.25" customHeight="1">
      <c r="A18" s="1957"/>
      <c r="B18" s="1957"/>
      <c r="C18" s="1946"/>
      <c r="D18" s="1945">
        <v>2022</v>
      </c>
      <c r="E18" s="1944">
        <v>239206</v>
      </c>
      <c r="F18" s="1944">
        <v>3824</v>
      </c>
      <c r="G18" s="1960"/>
      <c r="K18" s="1959"/>
    </row>
    <row r="19" spans="1:11" s="1940" customFormat="1" ht="14.25" customHeight="1">
      <c r="A19" s="1957"/>
      <c r="B19" s="1957"/>
      <c r="C19" s="1946"/>
      <c r="D19" s="1945">
        <v>2023</v>
      </c>
      <c r="E19" s="1944">
        <v>239206</v>
      </c>
      <c r="F19" s="1944">
        <v>3824</v>
      </c>
      <c r="G19" s="1941"/>
      <c r="K19" s="1959"/>
    </row>
    <row r="20" spans="1:11" s="1940" customFormat="1" ht="8.25" customHeight="1">
      <c r="A20" s="1952"/>
      <c r="B20" s="1953"/>
      <c r="C20" s="1952"/>
      <c r="D20" s="1952"/>
      <c r="E20" s="1951"/>
      <c r="F20" s="1951"/>
      <c r="G20" s="1950"/>
    </row>
    <row r="21" spans="1:11" s="1940" customFormat="1" ht="14.25" customHeight="1">
      <c r="A21" s="1957"/>
      <c r="B21" s="1957" t="s">
        <v>414</v>
      </c>
      <c r="C21" s="1946"/>
      <c r="D21" s="1945">
        <v>2021</v>
      </c>
      <c r="E21" s="1944">
        <v>168285</v>
      </c>
      <c r="F21" s="1944">
        <v>1237</v>
      </c>
      <c r="G21" s="1941"/>
      <c r="K21" s="1959"/>
    </row>
    <row r="22" spans="1:11" s="1940" customFormat="1" ht="14.25" customHeight="1">
      <c r="A22" s="1957"/>
      <c r="B22" s="1957"/>
      <c r="C22" s="1946"/>
      <c r="D22" s="1945">
        <v>2022</v>
      </c>
      <c r="E22" s="1944">
        <v>239206</v>
      </c>
      <c r="F22" s="1944">
        <v>3824</v>
      </c>
      <c r="G22" s="1941"/>
      <c r="K22" s="1959"/>
    </row>
    <row r="23" spans="1:11" s="1940" customFormat="1" ht="14.25" customHeight="1">
      <c r="A23" s="1957"/>
      <c r="B23" s="1957"/>
      <c r="C23" s="1946"/>
      <c r="D23" s="1945">
        <v>2023</v>
      </c>
      <c r="E23" s="1944">
        <v>239206</v>
      </c>
      <c r="F23" s="1944">
        <v>3824</v>
      </c>
      <c r="G23" s="1941"/>
      <c r="K23" s="1959"/>
    </row>
    <row r="24" spans="1:11" s="1940" customFormat="1" ht="8.25" customHeight="1">
      <c r="A24" s="1952"/>
      <c r="B24" s="1953"/>
      <c r="C24" s="1952"/>
      <c r="D24" s="1952"/>
      <c r="E24" s="1951"/>
      <c r="F24" s="1951"/>
      <c r="G24" s="1950"/>
    </row>
    <row r="25" spans="1:11" s="1940" customFormat="1" ht="14.25" customHeight="1">
      <c r="A25" s="1957"/>
      <c r="B25" s="1957" t="s">
        <v>415</v>
      </c>
      <c r="C25" s="1946"/>
      <c r="D25" s="1945">
        <v>2021</v>
      </c>
      <c r="E25" s="1944">
        <v>75065</v>
      </c>
      <c r="F25" s="1944">
        <v>947</v>
      </c>
      <c r="G25" s="1941"/>
      <c r="K25" s="1959"/>
    </row>
    <row r="26" spans="1:11" s="1940" customFormat="1" ht="14.25" customHeight="1">
      <c r="A26" s="1957"/>
      <c r="B26" s="1957"/>
      <c r="C26" s="1946"/>
      <c r="D26" s="1945">
        <v>2022</v>
      </c>
      <c r="E26" s="1944">
        <v>239206</v>
      </c>
      <c r="F26" s="1944">
        <v>3824</v>
      </c>
      <c r="G26" s="1941"/>
      <c r="K26" s="1959"/>
    </row>
    <row r="27" spans="1:11" s="1940" customFormat="1" ht="14.25" customHeight="1">
      <c r="A27" s="1957"/>
      <c r="B27" s="1957"/>
      <c r="C27" s="1946"/>
      <c r="D27" s="1945">
        <v>2023</v>
      </c>
      <c r="E27" s="1944">
        <v>239206</v>
      </c>
      <c r="F27" s="1944">
        <v>3824</v>
      </c>
      <c r="G27" s="1941"/>
      <c r="K27" s="1959"/>
    </row>
    <row r="28" spans="1:11" s="1940" customFormat="1" ht="8.25" customHeight="1">
      <c r="A28" s="1952"/>
      <c r="B28" s="1953"/>
      <c r="C28" s="1952"/>
      <c r="D28" s="1952"/>
      <c r="E28" s="1951"/>
      <c r="F28" s="1951"/>
      <c r="G28" s="1950"/>
    </row>
    <row r="29" spans="1:11" s="1940" customFormat="1" ht="14.25" customHeight="1">
      <c r="A29" s="1957"/>
      <c r="B29" s="1957" t="s">
        <v>416</v>
      </c>
      <c r="C29" s="1946"/>
      <c r="D29" s="1945">
        <v>2021</v>
      </c>
      <c r="E29" s="1956">
        <v>105736</v>
      </c>
      <c r="F29" s="1956">
        <v>1306</v>
      </c>
      <c r="G29" s="1941"/>
      <c r="K29" s="1959"/>
    </row>
    <row r="30" spans="1:11" s="1940" customFormat="1" ht="14.25" customHeight="1">
      <c r="A30" s="1957"/>
      <c r="B30" s="1957"/>
      <c r="C30" s="1946"/>
      <c r="D30" s="1945">
        <v>2022</v>
      </c>
      <c r="E30" s="1944">
        <v>239206</v>
      </c>
      <c r="F30" s="1944">
        <v>3824</v>
      </c>
      <c r="G30" s="1941"/>
      <c r="K30" s="1959"/>
    </row>
    <row r="31" spans="1:11" s="1940" customFormat="1" ht="14.25" customHeight="1">
      <c r="A31" s="1957"/>
      <c r="B31" s="1957"/>
      <c r="C31" s="1946"/>
      <c r="D31" s="1945">
        <v>2023</v>
      </c>
      <c r="E31" s="1944">
        <v>239206</v>
      </c>
      <c r="F31" s="1944">
        <v>3824</v>
      </c>
      <c r="G31" s="1941"/>
      <c r="K31" s="1958"/>
    </row>
    <row r="32" spans="1:11" s="1940" customFormat="1" ht="8.25" customHeight="1">
      <c r="A32" s="1952"/>
      <c r="B32" s="1953"/>
      <c r="C32" s="1952"/>
      <c r="D32" s="1952"/>
      <c r="E32" s="1951"/>
      <c r="F32" s="1951"/>
      <c r="G32" s="1950"/>
    </row>
    <row r="33" spans="1:7" s="1940" customFormat="1" ht="14.25" customHeight="1">
      <c r="A33" s="1957"/>
      <c r="B33" s="1957" t="s">
        <v>417</v>
      </c>
      <c r="C33" s="1946"/>
      <c r="D33" s="1945">
        <v>2021</v>
      </c>
      <c r="E33" s="1944">
        <v>93981</v>
      </c>
      <c r="F33" s="1944">
        <v>761</v>
      </c>
      <c r="G33" s="1941"/>
    </row>
    <row r="34" spans="1:7" s="1940" customFormat="1" ht="14.25" customHeight="1">
      <c r="A34" s="1957"/>
      <c r="B34" s="1957"/>
      <c r="C34" s="1946"/>
      <c r="D34" s="1945">
        <v>2022</v>
      </c>
      <c r="E34" s="1944">
        <v>239206</v>
      </c>
      <c r="F34" s="1944">
        <v>3824</v>
      </c>
      <c r="G34" s="1941"/>
    </row>
    <row r="35" spans="1:7" s="1940" customFormat="1" ht="14.25" customHeight="1">
      <c r="A35" s="1957"/>
      <c r="B35" s="1957"/>
      <c r="C35" s="1946"/>
      <c r="D35" s="1945">
        <v>2023</v>
      </c>
      <c r="E35" s="1944">
        <v>239206</v>
      </c>
      <c r="F35" s="1944">
        <v>3824</v>
      </c>
      <c r="G35" s="1941"/>
    </row>
    <row r="36" spans="1:7" s="1940" customFormat="1" ht="8.25" customHeight="1">
      <c r="A36" s="1952"/>
      <c r="B36" s="1953"/>
      <c r="C36" s="1952"/>
      <c r="D36" s="1952"/>
      <c r="E36" s="1951"/>
      <c r="F36" s="1951"/>
      <c r="G36" s="1950"/>
    </row>
    <row r="37" spans="1:7" s="1940" customFormat="1" ht="14.25" customHeight="1">
      <c r="A37" s="1957"/>
      <c r="B37" s="1957" t="s">
        <v>418</v>
      </c>
      <c r="C37" s="1946"/>
      <c r="D37" s="1945">
        <v>2021</v>
      </c>
      <c r="E37" s="1944">
        <v>157616</v>
      </c>
      <c r="F37" s="1944">
        <v>1736</v>
      </c>
      <c r="G37" s="1941"/>
    </row>
    <row r="38" spans="1:7" s="1940" customFormat="1" ht="14.25" customHeight="1">
      <c r="A38" s="1957"/>
      <c r="B38" s="1957"/>
      <c r="C38" s="1946"/>
      <c r="D38" s="1945">
        <v>2022</v>
      </c>
      <c r="E38" s="1944">
        <v>239206</v>
      </c>
      <c r="F38" s="1944">
        <v>3824</v>
      </c>
      <c r="G38" s="1941"/>
    </row>
    <row r="39" spans="1:7" s="1940" customFormat="1" ht="14.25" customHeight="1">
      <c r="A39" s="1957"/>
      <c r="B39" s="1957"/>
      <c r="C39" s="1946"/>
      <c r="D39" s="1945">
        <v>2023</v>
      </c>
      <c r="E39" s="1944">
        <v>239206</v>
      </c>
      <c r="F39" s="1944">
        <v>3824</v>
      </c>
      <c r="G39" s="1941"/>
    </row>
    <row r="40" spans="1:7" s="1940" customFormat="1" ht="8.25" customHeight="1">
      <c r="A40" s="1952"/>
      <c r="B40" s="1953"/>
      <c r="C40" s="1952"/>
      <c r="D40" s="1952"/>
      <c r="E40" s="1951"/>
      <c r="F40" s="1951"/>
      <c r="G40" s="1950"/>
    </row>
    <row r="41" spans="1:7" s="1940" customFormat="1" ht="14.25" customHeight="1">
      <c r="A41" s="1957"/>
      <c r="B41" s="1957" t="s">
        <v>419</v>
      </c>
      <c r="C41" s="1946"/>
      <c r="D41" s="1945">
        <v>2021</v>
      </c>
      <c r="E41" s="1944">
        <v>125844</v>
      </c>
      <c r="F41" s="1944">
        <v>1380</v>
      </c>
      <c r="G41" s="1941"/>
    </row>
    <row r="42" spans="1:7" s="1940" customFormat="1" ht="14.25" customHeight="1">
      <c r="A42" s="1957"/>
      <c r="B42" s="1957"/>
      <c r="C42" s="1946"/>
      <c r="D42" s="1945">
        <v>2022</v>
      </c>
      <c r="E42" s="1944">
        <v>239206</v>
      </c>
      <c r="F42" s="1944">
        <v>3824</v>
      </c>
      <c r="G42" s="1941"/>
    </row>
    <row r="43" spans="1:7" s="1940" customFormat="1" ht="14.25" customHeight="1">
      <c r="A43" s="1957"/>
      <c r="B43" s="1957"/>
      <c r="C43" s="1946"/>
      <c r="D43" s="1945">
        <v>2023</v>
      </c>
      <c r="E43" s="1944">
        <v>239206</v>
      </c>
      <c r="F43" s="1944">
        <v>3824</v>
      </c>
      <c r="G43" s="1941"/>
    </row>
    <row r="44" spans="1:7" s="1940" customFormat="1" ht="8.25" customHeight="1">
      <c r="A44" s="1952"/>
      <c r="B44" s="1953"/>
      <c r="C44" s="1952"/>
      <c r="D44" s="1952"/>
      <c r="E44" s="1951"/>
      <c r="F44" s="1951"/>
      <c r="G44" s="1950"/>
    </row>
    <row r="45" spans="1:7" s="1940" customFormat="1" ht="14.25" customHeight="1">
      <c r="A45" s="1948"/>
      <c r="B45" s="1948" t="s">
        <v>420</v>
      </c>
      <c r="C45" s="1946"/>
      <c r="D45" s="1945">
        <v>2021</v>
      </c>
      <c r="E45" s="1944">
        <v>7123</v>
      </c>
      <c r="F45" s="1944">
        <v>133</v>
      </c>
      <c r="G45" s="1941"/>
    </row>
    <row r="46" spans="1:7" s="1940" customFormat="1" ht="14.25" customHeight="1">
      <c r="A46" s="1948"/>
      <c r="B46" s="1948"/>
      <c r="C46" s="1946"/>
      <c r="D46" s="1945">
        <v>2022</v>
      </c>
      <c r="E46" s="1944">
        <v>239206</v>
      </c>
      <c r="F46" s="1944">
        <v>3824</v>
      </c>
      <c r="G46" s="1941"/>
    </row>
    <row r="47" spans="1:7" s="1940" customFormat="1" ht="14.25" customHeight="1">
      <c r="A47" s="1948"/>
      <c r="B47" s="1948"/>
      <c r="C47" s="1946"/>
      <c r="D47" s="1945">
        <v>2023</v>
      </c>
      <c r="E47" s="1944">
        <v>239206</v>
      </c>
      <c r="F47" s="1944">
        <v>3824</v>
      </c>
      <c r="G47" s="1941"/>
    </row>
    <row r="48" spans="1:7" s="1940" customFormat="1" ht="8.25" customHeight="1">
      <c r="A48" s="1952"/>
      <c r="B48" s="1953"/>
      <c r="C48" s="1952"/>
      <c r="D48" s="1952"/>
      <c r="E48" s="1951"/>
      <c r="F48" s="1951"/>
      <c r="G48" s="1950"/>
    </row>
    <row r="49" spans="1:7" s="1940" customFormat="1" ht="14.25" customHeight="1">
      <c r="A49" s="1957"/>
      <c r="B49" s="1957" t="s">
        <v>421</v>
      </c>
      <c r="C49" s="1946"/>
      <c r="D49" s="1945">
        <v>2021</v>
      </c>
      <c r="E49" s="1944">
        <v>754235</v>
      </c>
      <c r="F49" s="1944">
        <v>9912</v>
      </c>
      <c r="G49" s="1941"/>
    </row>
    <row r="50" spans="1:7" s="1940" customFormat="1" ht="14.25" customHeight="1">
      <c r="A50" s="1957"/>
      <c r="B50" s="1957"/>
      <c r="C50" s="1946"/>
      <c r="D50" s="1945">
        <v>2022</v>
      </c>
      <c r="E50" s="1944">
        <v>239206</v>
      </c>
      <c r="F50" s="1944">
        <v>3824</v>
      </c>
      <c r="G50" s="1941"/>
    </row>
    <row r="51" spans="1:7" s="1940" customFormat="1" ht="14.25" customHeight="1">
      <c r="A51" s="1957"/>
      <c r="B51" s="1957"/>
      <c r="C51" s="1946"/>
      <c r="D51" s="1945">
        <v>2023</v>
      </c>
      <c r="E51" s="1944">
        <v>239206</v>
      </c>
      <c r="F51" s="1944">
        <v>3824</v>
      </c>
      <c r="G51" s="1941"/>
    </row>
    <row r="52" spans="1:7" s="1940" customFormat="1" ht="8.25" customHeight="1">
      <c r="A52" s="1952"/>
      <c r="B52" s="1953"/>
      <c r="C52" s="1952"/>
      <c r="D52" s="1952"/>
      <c r="E52" s="1951"/>
      <c r="F52" s="1951"/>
      <c r="G52" s="1950"/>
    </row>
    <row r="53" spans="1:7" s="1940" customFormat="1" ht="14.25" customHeight="1">
      <c r="A53" s="1957"/>
      <c r="B53" s="1957" t="s">
        <v>422</v>
      </c>
      <c r="C53" s="1946"/>
      <c r="D53" s="1945">
        <v>2021</v>
      </c>
      <c r="E53" s="1956">
        <v>82355</v>
      </c>
      <c r="F53" s="1956">
        <v>707</v>
      </c>
      <c r="G53" s="1941"/>
    </row>
    <row r="54" spans="1:7" s="1940" customFormat="1" ht="14.25" customHeight="1">
      <c r="A54" s="1957"/>
      <c r="B54" s="1957"/>
      <c r="C54" s="1946"/>
      <c r="D54" s="1945">
        <v>2022</v>
      </c>
      <c r="E54" s="1944">
        <v>239206</v>
      </c>
      <c r="F54" s="1944">
        <v>3824</v>
      </c>
      <c r="G54" s="1941"/>
    </row>
    <row r="55" spans="1:7" s="1940" customFormat="1" ht="14.25" customHeight="1">
      <c r="A55" s="1957"/>
      <c r="B55" s="1957"/>
      <c r="C55" s="1946"/>
      <c r="D55" s="1945">
        <v>2023</v>
      </c>
      <c r="E55" s="1944">
        <v>239206</v>
      </c>
      <c r="F55" s="1944">
        <v>3824</v>
      </c>
      <c r="G55" s="1941"/>
    </row>
    <row r="56" spans="1:7" s="1940" customFormat="1" ht="8.25" customHeight="1">
      <c r="A56" s="1952"/>
      <c r="B56" s="1953"/>
      <c r="C56" s="1952"/>
      <c r="D56" s="1952"/>
      <c r="E56" s="1951"/>
      <c r="F56" s="1951"/>
      <c r="G56" s="1950"/>
    </row>
    <row r="57" spans="1:7" s="1940" customFormat="1" ht="14.25" customHeight="1">
      <c r="A57" s="1957"/>
      <c r="B57" s="1957" t="s">
        <v>423</v>
      </c>
      <c r="C57" s="1946"/>
      <c r="D57" s="1945">
        <v>2021</v>
      </c>
      <c r="E57" s="1949">
        <v>203492</v>
      </c>
      <c r="F57" s="1949">
        <v>2518</v>
      </c>
      <c r="G57" s="1941"/>
    </row>
    <row r="58" spans="1:7" s="1940" customFormat="1" ht="14.25" customHeight="1">
      <c r="A58" s="1957"/>
      <c r="B58" s="1957"/>
      <c r="C58" s="1946"/>
      <c r="D58" s="1945">
        <v>2022</v>
      </c>
      <c r="E58" s="1944">
        <v>239206</v>
      </c>
      <c r="F58" s="1944">
        <v>3824</v>
      </c>
      <c r="G58" s="1941"/>
    </row>
    <row r="59" spans="1:7" s="1940" customFormat="1" ht="14.25" customHeight="1">
      <c r="A59" s="1957"/>
      <c r="B59" s="1957"/>
      <c r="C59" s="1946"/>
      <c r="D59" s="1945">
        <v>2023</v>
      </c>
      <c r="E59" s="1944">
        <v>239206</v>
      </c>
      <c r="F59" s="1944">
        <v>3824</v>
      </c>
      <c r="G59" s="1941"/>
    </row>
    <row r="60" spans="1:7" s="1940" customFormat="1" ht="8.25" customHeight="1">
      <c r="A60" s="1952"/>
      <c r="B60" s="1953"/>
      <c r="C60" s="1952"/>
      <c r="D60" s="1952"/>
      <c r="E60" s="1951"/>
      <c r="F60" s="1951"/>
      <c r="G60" s="1950"/>
    </row>
    <row r="61" spans="1:7" s="1940" customFormat="1" ht="14.25" customHeight="1">
      <c r="A61" s="1957"/>
      <c r="B61" s="1957" t="s">
        <v>235</v>
      </c>
      <c r="C61" s="1946"/>
      <c r="D61" s="1945">
        <v>2021</v>
      </c>
      <c r="E61" s="1949">
        <v>251183</v>
      </c>
      <c r="F61" s="1949">
        <v>1596</v>
      </c>
      <c r="G61" s="1941"/>
    </row>
    <row r="62" spans="1:7" s="1940" customFormat="1" ht="14.25" customHeight="1">
      <c r="A62" s="1957"/>
      <c r="B62" s="1957"/>
      <c r="C62" s="1946"/>
      <c r="D62" s="1945">
        <v>2022</v>
      </c>
      <c r="E62" s="1944">
        <v>239206</v>
      </c>
      <c r="F62" s="1944">
        <v>3824</v>
      </c>
      <c r="G62" s="1941"/>
    </row>
    <row r="63" spans="1:7" s="1940" customFormat="1" ht="14.25" customHeight="1">
      <c r="A63" s="1957"/>
      <c r="B63" s="1957"/>
      <c r="C63" s="1946"/>
      <c r="D63" s="1945">
        <v>2023</v>
      </c>
      <c r="E63" s="1944">
        <v>239206</v>
      </c>
      <c r="F63" s="1944">
        <v>3824</v>
      </c>
      <c r="G63" s="1941"/>
    </row>
    <row r="64" spans="1:7" s="1940" customFormat="1" ht="8.25" customHeight="1">
      <c r="A64" s="1952"/>
      <c r="B64" s="1953"/>
      <c r="C64" s="1952"/>
      <c r="D64" s="1952"/>
      <c r="E64" s="1951"/>
      <c r="F64" s="1951"/>
      <c r="G64" s="1950"/>
    </row>
    <row r="65" spans="1:10" s="1940" customFormat="1" ht="14.25" customHeight="1">
      <c r="A65" s="1948"/>
      <c r="B65" s="1948" t="s">
        <v>424</v>
      </c>
      <c r="C65" s="1946"/>
      <c r="D65" s="1945">
        <v>2021</v>
      </c>
      <c r="E65" s="1956">
        <v>197363</v>
      </c>
      <c r="F65" s="1956">
        <v>2650</v>
      </c>
      <c r="G65" s="1954"/>
      <c r="H65" s="1955"/>
      <c r="I65" s="1955"/>
      <c r="J65" s="1955"/>
    </row>
    <row r="66" spans="1:10" s="1940" customFormat="1" ht="14.25" customHeight="1">
      <c r="A66" s="1948"/>
      <c r="B66" s="1948"/>
      <c r="C66" s="1946"/>
      <c r="D66" s="1945">
        <v>2022</v>
      </c>
      <c r="E66" s="1944">
        <v>239206</v>
      </c>
      <c r="F66" s="1944">
        <v>3824</v>
      </c>
      <c r="G66" s="1954"/>
      <c r="H66" s="1955"/>
      <c r="I66" s="1955"/>
      <c r="J66" s="1955"/>
    </row>
    <row r="67" spans="1:10" s="1940" customFormat="1" ht="14.25" customHeight="1">
      <c r="A67" s="1948"/>
      <c r="B67" s="1948"/>
      <c r="C67" s="1946"/>
      <c r="D67" s="1945">
        <v>2023</v>
      </c>
      <c r="E67" s="1944">
        <v>239206</v>
      </c>
      <c r="F67" s="1944">
        <v>3824</v>
      </c>
      <c r="G67" s="1954"/>
    </row>
    <row r="68" spans="1:10" s="1940" customFormat="1" ht="8.25" customHeight="1">
      <c r="A68" s="1952"/>
      <c r="B68" s="1953"/>
      <c r="C68" s="1952"/>
      <c r="D68" s="1952"/>
      <c r="E68" s="1951"/>
      <c r="F68" s="1951"/>
      <c r="G68" s="1950"/>
    </row>
    <row r="69" spans="1:10" s="1940" customFormat="1" ht="14.25" customHeight="1">
      <c r="A69" s="1948"/>
      <c r="B69" s="1948" t="s">
        <v>425</v>
      </c>
      <c r="C69" s="1946"/>
      <c r="D69" s="1945">
        <v>2021</v>
      </c>
      <c r="E69" s="1949">
        <v>9123</v>
      </c>
      <c r="F69" s="1949">
        <v>143</v>
      </c>
      <c r="G69" s="1941"/>
    </row>
    <row r="70" spans="1:10" s="1940" customFormat="1" ht="14.25" customHeight="1">
      <c r="A70" s="1948"/>
      <c r="B70" s="1948"/>
      <c r="C70" s="1946"/>
      <c r="D70" s="1945">
        <v>2022</v>
      </c>
      <c r="E70" s="1944">
        <v>239206</v>
      </c>
      <c r="F70" s="1944">
        <v>3824</v>
      </c>
      <c r="G70" s="1941"/>
    </row>
    <row r="71" spans="1:10" s="1940" customFormat="1" ht="14.25" customHeight="1">
      <c r="A71" s="1948"/>
      <c r="B71" s="1948"/>
      <c r="C71" s="1946"/>
      <c r="D71" s="1945">
        <v>2023</v>
      </c>
      <c r="E71" s="1944">
        <v>239206</v>
      </c>
      <c r="F71" s="1944">
        <v>3824</v>
      </c>
      <c r="G71" s="1941"/>
    </row>
    <row r="72" spans="1:10" s="1940" customFormat="1" ht="8.25" customHeight="1">
      <c r="A72" s="1952"/>
      <c r="B72" s="1953"/>
      <c r="C72" s="1952"/>
      <c r="D72" s="1952"/>
      <c r="E72" s="1951"/>
      <c r="F72" s="1951"/>
      <c r="G72" s="1950"/>
    </row>
    <row r="73" spans="1:10" s="1940" customFormat="1" ht="14.25" customHeight="1">
      <c r="A73" s="1948"/>
      <c r="B73" s="1948" t="s">
        <v>426</v>
      </c>
      <c r="C73" s="1946"/>
      <c r="D73" s="1945">
        <v>2021</v>
      </c>
      <c r="E73" s="1949">
        <v>9107</v>
      </c>
      <c r="F73" s="1949">
        <v>19</v>
      </c>
      <c r="G73" s="1941"/>
    </row>
    <row r="74" spans="1:10" s="1940" customFormat="1" ht="14.25" customHeight="1">
      <c r="A74" s="1948"/>
      <c r="B74" s="1948"/>
      <c r="C74" s="1946"/>
      <c r="D74" s="1945">
        <v>2022</v>
      </c>
      <c r="E74" s="1944">
        <v>239206</v>
      </c>
      <c r="F74" s="1944">
        <v>3824</v>
      </c>
      <c r="G74" s="1941"/>
    </row>
    <row r="75" spans="1:10" s="1940" customFormat="1" ht="14.25" customHeight="1">
      <c r="A75" s="1948"/>
      <c r="B75" s="1947"/>
      <c r="C75" s="1946"/>
      <c r="D75" s="1945">
        <v>2023</v>
      </c>
      <c r="E75" s="1944">
        <v>239206</v>
      </c>
      <c r="F75" s="1944">
        <v>3824</v>
      </c>
      <c r="G75" s="1941"/>
    </row>
    <row r="76" spans="1:10" s="1940" customFormat="1" ht="13.15" customHeight="1" thickBot="1">
      <c r="A76" s="1943"/>
      <c r="B76" s="1943"/>
      <c r="C76" s="1943"/>
      <c r="D76" s="1943"/>
      <c r="E76" s="1942"/>
      <c r="F76" s="1942"/>
      <c r="G76" s="1941"/>
    </row>
    <row r="77" spans="1:10" s="1936" customFormat="1" ht="15" customHeight="1">
      <c r="E77" s="2850" t="s">
        <v>264</v>
      </c>
      <c r="F77" s="2850"/>
      <c r="G77" s="1939"/>
    </row>
    <row r="78" spans="1:10" s="1935" customFormat="1" ht="15" customHeight="1">
      <c r="A78" s="1938"/>
      <c r="E78" s="2851" t="s">
        <v>265</v>
      </c>
      <c r="F78" s="2851"/>
      <c r="G78" s="1937"/>
      <c r="H78" s="1936"/>
      <c r="I78" s="1936"/>
      <c r="J78" s="1936"/>
    </row>
  </sheetData>
  <mergeCells count="3">
    <mergeCell ref="E77:F77"/>
    <mergeCell ref="E78:F78"/>
    <mergeCell ref="D6:D7"/>
  </mergeCells>
  <pageMargins left="0.55118110236220474" right="0.55118110236220474" top="0.55118110236220474" bottom="0.55118110236220474" header="0.31496062992125984" footer="0.31496062992125984"/>
  <pageSetup paperSize="9" scale="74" fitToWidth="0" fitToHeight="0"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C12B9-C25C-44F5-BBEC-00FAF5F1B63E}">
  <sheetPr>
    <tabColor theme="4" tint="0.39997558519241921"/>
    <pageSetUpPr fitToPage="1"/>
  </sheetPr>
  <dimension ref="A1:S50"/>
  <sheetViews>
    <sheetView view="pageBreakPreview" zoomScale="90" zoomScaleNormal="100" zoomScaleSheetLayoutView="90" workbookViewId="0">
      <selection activeCell="E15" sqref="E15"/>
    </sheetView>
  </sheetViews>
  <sheetFormatPr defaultRowHeight="15"/>
  <cols>
    <col min="1" max="1" width="1.5703125" customWidth="1"/>
    <col min="2" max="2" width="12" customWidth="1"/>
    <col min="3" max="3" width="9.28515625" customWidth="1"/>
    <col min="4" max="5" width="8.7109375" customWidth="1"/>
    <col min="6" max="7" width="12.85546875" customWidth="1"/>
    <col min="8" max="8" width="2" customWidth="1"/>
    <col min="9" max="10" width="8.7109375" customWidth="1"/>
    <col min="11" max="12" width="12.85546875" customWidth="1"/>
    <col min="13" max="13" width="2" customWidth="1"/>
    <col min="14" max="15" width="8.7109375" customWidth="1"/>
    <col min="16" max="17" width="12.85546875" customWidth="1"/>
  </cols>
  <sheetData>
    <row r="1" spans="1:18" s="476" customFormat="1" ht="11.25" customHeight="1">
      <c r="B1" s="673"/>
      <c r="C1" s="673"/>
      <c r="D1" s="2016"/>
      <c r="E1" s="2016"/>
      <c r="F1" s="66"/>
      <c r="G1" s="66"/>
      <c r="H1" s="66"/>
      <c r="I1" s="2021"/>
      <c r="J1" s="2021"/>
      <c r="K1" s="2021"/>
      <c r="L1" s="2021"/>
      <c r="M1" s="2021"/>
      <c r="N1" s="2021"/>
      <c r="O1" s="2021"/>
      <c r="P1" s="2021"/>
      <c r="Q1" s="2021"/>
    </row>
    <row r="2" spans="1:18" s="772" customFormat="1" ht="16.5" customHeight="1">
      <c r="B2" s="758" t="s">
        <v>1650</v>
      </c>
      <c r="C2" s="1792" t="s">
        <v>1649</v>
      </c>
      <c r="D2" s="2020"/>
      <c r="E2" s="2020"/>
      <c r="F2" s="2019"/>
      <c r="G2" s="2019"/>
      <c r="H2" s="2019"/>
      <c r="I2" s="1893"/>
      <c r="J2" s="1893"/>
      <c r="K2" s="1893"/>
      <c r="L2" s="1893"/>
      <c r="M2" s="1893"/>
      <c r="N2" s="1893"/>
      <c r="O2" s="1893"/>
      <c r="P2" s="1893"/>
      <c r="Q2" s="1893"/>
      <c r="R2" s="2018"/>
    </row>
    <row r="3" spans="1:18" s="487" customFormat="1" ht="16.5" customHeight="1">
      <c r="B3" s="612" t="s">
        <v>1648</v>
      </c>
      <c r="C3" s="1843" t="s">
        <v>1647</v>
      </c>
      <c r="D3" s="2017"/>
      <c r="E3" s="2017"/>
    </row>
    <row r="4" spans="1:18" s="476" customFormat="1" ht="8.1" customHeight="1">
      <c r="B4" s="673"/>
      <c r="C4" s="673"/>
      <c r="D4" s="2016"/>
      <c r="E4" s="2016"/>
      <c r="F4" s="2015"/>
      <c r="G4" s="2015"/>
      <c r="H4" s="2015"/>
      <c r="I4" s="2014"/>
      <c r="J4" s="2014"/>
      <c r="K4" s="2014"/>
      <c r="L4" s="2014"/>
      <c r="M4" s="2014"/>
      <c r="N4" s="2014"/>
      <c r="O4" s="2014"/>
      <c r="P4" s="2014"/>
      <c r="Q4" s="2014"/>
    </row>
    <row r="5" spans="1:18" s="476" customFormat="1" ht="8.1" customHeight="1" thickBot="1">
      <c r="A5" s="773"/>
      <c r="B5" s="678"/>
      <c r="C5" s="678"/>
      <c r="D5" s="2013"/>
      <c r="E5" s="2013"/>
      <c r="F5" s="2012"/>
      <c r="G5" s="2012"/>
      <c r="H5" s="2012"/>
      <c r="I5" s="2011"/>
      <c r="J5" s="2011"/>
      <c r="K5" s="2011"/>
      <c r="L5" s="2011"/>
      <c r="M5" s="2011"/>
      <c r="N5" s="2011"/>
      <c r="O5" s="2011"/>
      <c r="P5" s="2011"/>
      <c r="Q5" s="2011"/>
    </row>
    <row r="6" spans="1:18" s="399" customFormat="1" ht="8.1" customHeight="1">
      <c r="D6" s="561"/>
      <c r="E6" s="561"/>
      <c r="F6" s="486"/>
      <c r="G6" s="486"/>
      <c r="H6" s="486"/>
      <c r="I6" s="1798"/>
      <c r="J6" s="1798"/>
      <c r="K6" s="1798"/>
      <c r="L6" s="1798"/>
      <c r="M6" s="1798"/>
      <c r="N6" s="1798"/>
      <c r="O6" s="1798"/>
      <c r="P6" s="1798"/>
      <c r="Q6" s="1798"/>
    </row>
    <row r="7" spans="1:18" s="399" customFormat="1" ht="34.15" customHeight="1" thickBot="1">
      <c r="B7" s="1752" t="s">
        <v>1646</v>
      </c>
      <c r="C7" s="671"/>
      <c r="D7" s="2854" t="s">
        <v>1645</v>
      </c>
      <c r="E7" s="2854"/>
      <c r="F7" s="2854"/>
      <c r="G7" s="2854"/>
      <c r="H7" s="133"/>
      <c r="I7" s="2855" t="s">
        <v>1644</v>
      </c>
      <c r="J7" s="2855"/>
      <c r="K7" s="2855"/>
      <c r="L7" s="2855"/>
      <c r="M7" s="133"/>
      <c r="N7" s="2855" t="s">
        <v>1643</v>
      </c>
      <c r="O7" s="2855"/>
      <c r="P7" s="2855"/>
      <c r="Q7" s="2855"/>
    </row>
    <row r="8" spans="1:18" s="399" customFormat="1" ht="43.5" customHeight="1" thickBot="1">
      <c r="A8" s="774"/>
      <c r="B8" s="2010"/>
      <c r="C8" s="2009"/>
      <c r="D8" s="2006" t="s">
        <v>1642</v>
      </c>
      <c r="E8" s="2006" t="s">
        <v>1641</v>
      </c>
      <c r="F8" s="2006" t="s">
        <v>1640</v>
      </c>
      <c r="G8" s="2006" t="s">
        <v>1639</v>
      </c>
      <c r="H8" s="2008"/>
      <c r="I8" s="2007" t="s">
        <v>1642</v>
      </c>
      <c r="J8" s="2007" t="s">
        <v>1641</v>
      </c>
      <c r="K8" s="2006" t="s">
        <v>1640</v>
      </c>
      <c r="L8" s="2006" t="s">
        <v>1639</v>
      </c>
      <c r="M8" s="2008"/>
      <c r="N8" s="2007" t="s">
        <v>1642</v>
      </c>
      <c r="O8" s="2007" t="s">
        <v>1641</v>
      </c>
      <c r="P8" s="2006" t="s">
        <v>1640</v>
      </c>
      <c r="Q8" s="2006" t="s">
        <v>1639</v>
      </c>
    </row>
    <row r="9" spans="1:18" s="476" customFormat="1" ht="15.2" customHeight="1">
      <c r="B9" s="2005"/>
      <c r="C9" s="2005"/>
      <c r="D9" s="661"/>
      <c r="E9" s="661"/>
      <c r="F9" s="672"/>
      <c r="G9" s="672"/>
      <c r="H9" s="672"/>
      <c r="I9" s="672"/>
      <c r="J9" s="672"/>
      <c r="K9" s="672"/>
      <c r="L9" s="672"/>
      <c r="M9" s="672"/>
      <c r="N9" s="672"/>
      <c r="O9" s="672"/>
      <c r="P9" s="672"/>
      <c r="Q9" s="672"/>
    </row>
    <row r="10" spans="1:18" s="2002" customFormat="1" ht="12.95" customHeight="1">
      <c r="B10" s="1965" t="s">
        <v>520</v>
      </c>
      <c r="C10" s="2004"/>
      <c r="D10" s="2003">
        <v>28309</v>
      </c>
      <c r="E10" s="2003">
        <v>28309</v>
      </c>
      <c r="F10" s="2003">
        <v>28309</v>
      </c>
      <c r="G10" s="2003">
        <v>28309</v>
      </c>
      <c r="H10" s="2003"/>
      <c r="I10" s="2003">
        <v>28309</v>
      </c>
      <c r="J10" s="2003">
        <v>28309</v>
      </c>
      <c r="K10" s="2003">
        <v>28309</v>
      </c>
      <c r="L10" s="2003">
        <v>28309</v>
      </c>
      <c r="M10" s="2003"/>
      <c r="N10" s="2003">
        <v>28309</v>
      </c>
      <c r="O10" s="2003">
        <v>28309</v>
      </c>
      <c r="P10" s="2003">
        <v>28309</v>
      </c>
      <c r="Q10" s="2003">
        <v>28309</v>
      </c>
    </row>
    <row r="11" spans="1:18" s="2002" customFormat="1" ht="12" customHeight="1">
      <c r="B11" s="1965"/>
      <c r="C11" s="2004"/>
      <c r="D11" s="2003"/>
      <c r="E11" s="2003"/>
      <c r="F11" s="2003"/>
      <c r="G11" s="1999"/>
      <c r="H11" s="2003"/>
      <c r="I11" s="2003"/>
      <c r="J11" s="2003"/>
      <c r="K11" s="2003"/>
      <c r="L11" s="2003"/>
      <c r="M11" s="2003"/>
      <c r="N11" s="2003"/>
      <c r="O11" s="2003"/>
      <c r="P11" s="2003"/>
      <c r="Q11" s="2003"/>
    </row>
    <row r="12" spans="1:18" s="1995" customFormat="1" ht="12.95" customHeight="1">
      <c r="B12" s="1952"/>
      <c r="C12" s="1996"/>
      <c r="D12" s="562"/>
      <c r="E12" s="562"/>
      <c r="F12" s="1991"/>
      <c r="G12" s="1999"/>
      <c r="H12" s="1991"/>
      <c r="I12" s="1991"/>
      <c r="J12" s="1991"/>
      <c r="K12" s="1991"/>
      <c r="L12" s="562"/>
      <c r="M12" s="1991"/>
      <c r="N12" s="562"/>
      <c r="O12" s="1991"/>
      <c r="P12" s="1991"/>
      <c r="Q12" s="1991"/>
    </row>
    <row r="13" spans="1:18" s="1995" customFormat="1" ht="12.95" customHeight="1">
      <c r="B13" s="1961" t="s">
        <v>412</v>
      </c>
      <c r="C13" s="1996"/>
      <c r="D13" s="562">
        <v>123</v>
      </c>
      <c r="E13" s="562">
        <v>123</v>
      </c>
      <c r="F13" s="562">
        <v>123</v>
      </c>
      <c r="G13" s="562">
        <v>123</v>
      </c>
      <c r="H13" s="1991"/>
      <c r="I13" s="562">
        <v>123</v>
      </c>
      <c r="J13" s="562">
        <v>123</v>
      </c>
      <c r="K13" s="562">
        <v>123</v>
      </c>
      <c r="L13" s="562">
        <v>123</v>
      </c>
      <c r="M13" s="1991"/>
      <c r="N13" s="562">
        <v>123</v>
      </c>
      <c r="O13" s="562">
        <v>123</v>
      </c>
      <c r="P13" s="562">
        <v>123</v>
      </c>
      <c r="Q13" s="562">
        <v>123</v>
      </c>
    </row>
    <row r="14" spans="1:18" s="1995" customFormat="1" ht="12.95" customHeight="1">
      <c r="B14" s="1961"/>
      <c r="C14" s="1996"/>
      <c r="D14" s="562"/>
      <c r="E14" s="562"/>
      <c r="F14" s="1991"/>
      <c r="G14" s="1999"/>
      <c r="H14" s="1991"/>
      <c r="I14" s="1991"/>
      <c r="J14" s="1991"/>
      <c r="K14" s="1991"/>
      <c r="L14" s="562"/>
      <c r="M14" s="1991"/>
      <c r="N14" s="562"/>
      <c r="O14" s="1991"/>
      <c r="P14" s="1991"/>
      <c r="Q14" s="1991"/>
    </row>
    <row r="15" spans="1:18" s="1995" customFormat="1" ht="12.95" customHeight="1">
      <c r="B15" s="1957" t="s">
        <v>413</v>
      </c>
      <c r="C15" s="1996"/>
      <c r="D15" s="562">
        <v>123</v>
      </c>
      <c r="E15" s="562">
        <v>123</v>
      </c>
      <c r="F15" s="562">
        <v>123</v>
      </c>
      <c r="G15" s="562">
        <v>123</v>
      </c>
      <c r="H15" s="1991"/>
      <c r="I15" s="562">
        <v>123</v>
      </c>
      <c r="J15" s="562">
        <v>123</v>
      </c>
      <c r="K15" s="562">
        <v>123</v>
      </c>
      <c r="L15" s="562">
        <v>123</v>
      </c>
      <c r="M15" s="1991"/>
      <c r="N15" s="562">
        <v>123</v>
      </c>
      <c r="O15" s="562">
        <v>123</v>
      </c>
      <c r="P15" s="562">
        <v>123</v>
      </c>
      <c r="Q15" s="562">
        <v>123</v>
      </c>
    </row>
    <row r="16" spans="1:18" s="1995" customFormat="1" ht="12.95" customHeight="1">
      <c r="B16" s="2000"/>
      <c r="C16" s="1996"/>
      <c r="D16" s="562"/>
      <c r="E16" s="562"/>
      <c r="F16" s="1991"/>
      <c r="G16" s="1999"/>
      <c r="H16" s="1991"/>
      <c r="I16" s="1991"/>
      <c r="J16" s="1991"/>
      <c r="K16" s="1991"/>
      <c r="L16" s="562"/>
      <c r="M16" s="1991"/>
      <c r="N16" s="562"/>
      <c r="O16" s="1991"/>
      <c r="P16" s="1991"/>
      <c r="Q16" s="1991"/>
    </row>
    <row r="17" spans="2:17" s="1995" customFormat="1" ht="12.95" customHeight="1">
      <c r="B17" s="1957" t="s">
        <v>414</v>
      </c>
      <c r="C17" s="1996"/>
      <c r="D17" s="562">
        <v>123</v>
      </c>
      <c r="E17" s="562">
        <v>123</v>
      </c>
      <c r="F17" s="562">
        <v>123</v>
      </c>
      <c r="G17" s="562">
        <v>123</v>
      </c>
      <c r="H17" s="1991"/>
      <c r="I17" s="562">
        <v>123</v>
      </c>
      <c r="J17" s="562">
        <v>123</v>
      </c>
      <c r="K17" s="562">
        <v>123</v>
      </c>
      <c r="L17" s="562">
        <v>123</v>
      </c>
      <c r="M17" s="1991"/>
      <c r="N17" s="562">
        <v>123</v>
      </c>
      <c r="O17" s="562">
        <v>123</v>
      </c>
      <c r="P17" s="562">
        <v>123</v>
      </c>
      <c r="Q17" s="562">
        <v>123</v>
      </c>
    </row>
    <row r="18" spans="2:17" s="1995" customFormat="1" ht="12.95" customHeight="1">
      <c r="B18" s="1957"/>
      <c r="C18" s="1996"/>
      <c r="D18" s="562"/>
      <c r="E18" s="562"/>
      <c r="F18" s="1991"/>
      <c r="G18" s="1999"/>
      <c r="H18" s="1991"/>
      <c r="I18" s="1991"/>
      <c r="J18" s="1991"/>
      <c r="K18" s="1991"/>
      <c r="L18" s="562"/>
      <c r="M18" s="1991"/>
      <c r="N18" s="562"/>
      <c r="O18" s="1991"/>
      <c r="P18" s="1991"/>
      <c r="Q18" s="1991"/>
    </row>
    <row r="19" spans="2:17" s="1995" customFormat="1" ht="12.95" customHeight="1">
      <c r="B19" s="1957" t="s">
        <v>415</v>
      </c>
      <c r="C19" s="1996"/>
      <c r="D19" s="562">
        <v>123</v>
      </c>
      <c r="E19" s="562">
        <v>123</v>
      </c>
      <c r="F19" s="562">
        <v>123</v>
      </c>
      <c r="G19" s="562">
        <v>123</v>
      </c>
      <c r="H19" s="1991"/>
      <c r="I19" s="562">
        <v>123</v>
      </c>
      <c r="J19" s="562">
        <v>123</v>
      </c>
      <c r="K19" s="562">
        <v>123</v>
      </c>
      <c r="L19" s="562">
        <v>123</v>
      </c>
      <c r="M19" s="1991"/>
      <c r="N19" s="562">
        <v>123</v>
      </c>
      <c r="O19" s="562">
        <v>123</v>
      </c>
      <c r="P19" s="562">
        <v>123</v>
      </c>
      <c r="Q19" s="562">
        <v>123</v>
      </c>
    </row>
    <row r="20" spans="2:17" s="1995" customFormat="1" ht="12.95" customHeight="1">
      <c r="B20" s="2000"/>
      <c r="C20" s="1996"/>
      <c r="D20" s="562"/>
      <c r="E20" s="562"/>
      <c r="F20" s="1991"/>
      <c r="G20" s="1999"/>
      <c r="H20" s="1991"/>
      <c r="I20" s="1991"/>
      <c r="J20" s="1991"/>
      <c r="K20" s="1991"/>
      <c r="L20" s="562"/>
      <c r="M20" s="1991"/>
      <c r="N20" s="562"/>
      <c r="O20" s="1991"/>
      <c r="P20" s="1991"/>
      <c r="Q20" s="1991"/>
    </row>
    <row r="21" spans="2:17" s="1995" customFormat="1" ht="12.95" customHeight="1">
      <c r="B21" s="1957" t="s">
        <v>416</v>
      </c>
      <c r="C21" s="1996"/>
      <c r="D21" s="562">
        <v>123</v>
      </c>
      <c r="E21" s="562">
        <v>123</v>
      </c>
      <c r="F21" s="562">
        <v>123</v>
      </c>
      <c r="G21" s="562">
        <v>123</v>
      </c>
      <c r="H21" s="1991"/>
      <c r="I21" s="562">
        <v>123</v>
      </c>
      <c r="J21" s="562">
        <v>123</v>
      </c>
      <c r="K21" s="562">
        <v>123</v>
      </c>
      <c r="L21" s="562">
        <v>123</v>
      </c>
      <c r="M21" s="1991"/>
      <c r="N21" s="562">
        <v>123</v>
      </c>
      <c r="O21" s="562">
        <v>123</v>
      </c>
      <c r="P21" s="562">
        <v>123</v>
      </c>
      <c r="Q21" s="562">
        <v>123</v>
      </c>
    </row>
    <row r="22" spans="2:17" s="1995" customFormat="1" ht="12.95" customHeight="1">
      <c r="B22" s="2000"/>
      <c r="C22" s="1996"/>
      <c r="D22" s="562"/>
      <c r="E22" s="562"/>
      <c r="F22" s="1991"/>
      <c r="G22" s="1999"/>
      <c r="H22" s="1991"/>
      <c r="I22" s="1991"/>
      <c r="J22" s="1991"/>
      <c r="K22" s="1991"/>
      <c r="L22" s="562"/>
      <c r="M22" s="1991"/>
      <c r="N22" s="562"/>
      <c r="O22" s="1991"/>
      <c r="P22" s="1991"/>
      <c r="Q22" s="1991"/>
    </row>
    <row r="23" spans="2:17" s="1995" customFormat="1" ht="12.95" customHeight="1">
      <c r="B23" s="1957" t="s">
        <v>417</v>
      </c>
      <c r="C23" s="1996"/>
      <c r="D23" s="562">
        <v>123</v>
      </c>
      <c r="E23" s="562">
        <v>123</v>
      </c>
      <c r="F23" s="562">
        <v>123</v>
      </c>
      <c r="G23" s="562">
        <v>123</v>
      </c>
      <c r="H23" s="1991"/>
      <c r="I23" s="562">
        <v>123</v>
      </c>
      <c r="J23" s="562">
        <v>123</v>
      </c>
      <c r="K23" s="562">
        <v>123</v>
      </c>
      <c r="L23" s="562">
        <v>123</v>
      </c>
      <c r="M23" s="1991"/>
      <c r="N23" s="562">
        <v>123</v>
      </c>
      <c r="O23" s="562">
        <v>123</v>
      </c>
      <c r="P23" s="562">
        <v>123</v>
      </c>
      <c r="Q23" s="562">
        <v>123</v>
      </c>
    </row>
    <row r="24" spans="2:17" s="1995" customFormat="1" ht="12.95" customHeight="1">
      <c r="B24" s="1957"/>
      <c r="C24" s="1996"/>
      <c r="D24" s="1997"/>
      <c r="E24" s="1997"/>
      <c r="F24" s="1991"/>
      <c r="G24" s="1999"/>
      <c r="H24" s="1991"/>
      <c r="I24" s="1991"/>
      <c r="J24" s="1991"/>
      <c r="K24" s="1991"/>
      <c r="L24" s="1997"/>
      <c r="M24" s="1991"/>
      <c r="N24" s="1997"/>
      <c r="O24" s="1991"/>
      <c r="P24" s="1991"/>
      <c r="Q24" s="1991"/>
    </row>
    <row r="25" spans="2:17" s="1995" customFormat="1" ht="12.95" customHeight="1">
      <c r="B25" s="1957" t="s">
        <v>418</v>
      </c>
      <c r="C25" s="1996"/>
      <c r="D25" s="562">
        <v>123</v>
      </c>
      <c r="E25" s="562">
        <v>123</v>
      </c>
      <c r="F25" s="562">
        <v>123</v>
      </c>
      <c r="G25" s="562">
        <v>123</v>
      </c>
      <c r="H25" s="1991"/>
      <c r="I25" s="562">
        <v>123</v>
      </c>
      <c r="J25" s="562">
        <v>123</v>
      </c>
      <c r="K25" s="562">
        <v>123</v>
      </c>
      <c r="L25" s="562">
        <v>123</v>
      </c>
      <c r="M25" s="1991"/>
      <c r="N25" s="562">
        <v>123</v>
      </c>
      <c r="O25" s="562">
        <v>123</v>
      </c>
      <c r="P25" s="562">
        <v>123</v>
      </c>
      <c r="Q25" s="562">
        <v>123</v>
      </c>
    </row>
    <row r="26" spans="2:17" s="1995" customFormat="1" ht="12.95" customHeight="1">
      <c r="B26" s="1957"/>
      <c r="C26" s="1996"/>
      <c r="D26" s="1997"/>
      <c r="E26" s="1997"/>
      <c r="F26" s="1991"/>
      <c r="G26" s="1999"/>
      <c r="H26" s="1991"/>
      <c r="I26" s="1991"/>
      <c r="J26" s="1991"/>
      <c r="K26" s="1991"/>
      <c r="L26" s="1997"/>
      <c r="M26" s="1991"/>
      <c r="N26" s="1997"/>
      <c r="O26" s="1991"/>
      <c r="P26" s="1991"/>
      <c r="Q26" s="1991"/>
    </row>
    <row r="27" spans="2:17" s="1995" customFormat="1" ht="12.95" customHeight="1">
      <c r="B27" s="1957" t="s">
        <v>419</v>
      </c>
      <c r="C27" s="1996"/>
      <c r="D27" s="562">
        <v>123</v>
      </c>
      <c r="E27" s="562">
        <v>123</v>
      </c>
      <c r="F27" s="562">
        <v>123</v>
      </c>
      <c r="G27" s="562">
        <v>123</v>
      </c>
      <c r="H27" s="1991"/>
      <c r="I27" s="562">
        <v>123</v>
      </c>
      <c r="J27" s="562">
        <v>123</v>
      </c>
      <c r="K27" s="562">
        <v>123</v>
      </c>
      <c r="L27" s="562">
        <v>123</v>
      </c>
      <c r="M27" s="1991"/>
      <c r="N27" s="562">
        <v>123</v>
      </c>
      <c r="O27" s="562">
        <v>123</v>
      </c>
      <c r="P27" s="562">
        <v>123</v>
      </c>
      <c r="Q27" s="562">
        <v>123</v>
      </c>
    </row>
    <row r="28" spans="2:17" s="1995" customFormat="1" ht="12.95" customHeight="1">
      <c r="B28" s="1957"/>
      <c r="C28" s="1996"/>
      <c r="D28" s="579"/>
      <c r="E28" s="579"/>
      <c r="F28" s="579"/>
      <c r="G28" s="1999"/>
      <c r="H28" s="1991"/>
      <c r="I28" s="1991"/>
      <c r="J28" s="1991"/>
      <c r="K28" s="1991"/>
      <c r="L28" s="579"/>
      <c r="M28" s="1991"/>
      <c r="N28" s="579"/>
      <c r="O28" s="1991"/>
      <c r="P28" s="1991"/>
      <c r="Q28" s="1991"/>
    </row>
    <row r="29" spans="2:17" s="1995" customFormat="1" ht="12.95" customHeight="1">
      <c r="B29" s="1948" t="s">
        <v>420</v>
      </c>
      <c r="C29" s="1996"/>
      <c r="D29" s="562">
        <v>123</v>
      </c>
      <c r="E29" s="562">
        <v>123</v>
      </c>
      <c r="F29" s="562">
        <v>123</v>
      </c>
      <c r="G29" s="562">
        <v>123</v>
      </c>
      <c r="H29" s="1991"/>
      <c r="I29" s="562">
        <v>123</v>
      </c>
      <c r="J29" s="562">
        <v>123</v>
      </c>
      <c r="K29" s="562">
        <v>123</v>
      </c>
      <c r="L29" s="562">
        <v>123</v>
      </c>
      <c r="M29" s="1991"/>
      <c r="N29" s="562">
        <v>123</v>
      </c>
      <c r="O29" s="562">
        <v>123</v>
      </c>
      <c r="P29" s="562">
        <v>123</v>
      </c>
      <c r="Q29" s="562">
        <v>123</v>
      </c>
    </row>
    <row r="30" spans="2:17" s="1995" customFormat="1" ht="12.95" customHeight="1">
      <c r="B30" s="2000"/>
      <c r="C30" s="1996"/>
      <c r="D30" s="562"/>
      <c r="E30" s="562"/>
      <c r="F30" s="562"/>
      <c r="G30" s="1999"/>
      <c r="H30" s="1991"/>
      <c r="I30" s="1991"/>
      <c r="J30" s="1991"/>
      <c r="K30" s="1991"/>
      <c r="L30" s="562"/>
      <c r="M30" s="1991"/>
      <c r="N30" s="562"/>
      <c r="O30" s="1991"/>
      <c r="P30" s="1991"/>
      <c r="Q30" s="1991"/>
    </row>
    <row r="31" spans="2:17" s="1995" customFormat="1" ht="12.95" customHeight="1">
      <c r="B31" s="1957" t="s">
        <v>421</v>
      </c>
      <c r="C31" s="1996"/>
      <c r="D31" s="562">
        <v>123</v>
      </c>
      <c r="E31" s="562">
        <v>123</v>
      </c>
      <c r="F31" s="562">
        <v>123</v>
      </c>
      <c r="G31" s="562">
        <v>123</v>
      </c>
      <c r="H31" s="1991"/>
      <c r="I31" s="562">
        <v>123</v>
      </c>
      <c r="J31" s="562">
        <v>123</v>
      </c>
      <c r="K31" s="562">
        <v>123</v>
      </c>
      <c r="L31" s="562">
        <v>123</v>
      </c>
      <c r="M31" s="1991"/>
      <c r="N31" s="562">
        <v>123</v>
      </c>
      <c r="O31" s="562">
        <v>123</v>
      </c>
      <c r="P31" s="562">
        <v>123</v>
      </c>
      <c r="Q31" s="562">
        <v>123</v>
      </c>
    </row>
    <row r="32" spans="2:17" s="1995" customFormat="1" ht="12.95" customHeight="1">
      <c r="B32" s="1953"/>
      <c r="C32" s="1996"/>
      <c r="D32" s="1992"/>
      <c r="E32" s="1992"/>
      <c r="F32" s="562"/>
      <c r="G32" s="1999"/>
      <c r="H32" s="1991"/>
      <c r="I32" s="1991"/>
      <c r="J32" s="1991"/>
      <c r="K32" s="1991"/>
      <c r="L32" s="1992"/>
      <c r="M32" s="1991"/>
      <c r="N32" s="1992"/>
      <c r="O32" s="1991"/>
      <c r="P32" s="1991"/>
      <c r="Q32" s="1991"/>
    </row>
    <row r="33" spans="1:19" s="1995" customFormat="1" ht="12.95" customHeight="1">
      <c r="B33" s="1957" t="s">
        <v>422</v>
      </c>
      <c r="C33" s="1996"/>
      <c r="D33" s="562">
        <v>123</v>
      </c>
      <c r="E33" s="562">
        <v>123</v>
      </c>
      <c r="F33" s="562">
        <v>123</v>
      </c>
      <c r="G33" s="562">
        <v>123</v>
      </c>
      <c r="H33" s="1991"/>
      <c r="I33" s="562">
        <v>123</v>
      </c>
      <c r="J33" s="562">
        <v>123</v>
      </c>
      <c r="K33" s="562">
        <v>123</v>
      </c>
      <c r="L33" s="562">
        <v>123</v>
      </c>
      <c r="M33" s="1991"/>
      <c r="N33" s="562">
        <v>123</v>
      </c>
      <c r="O33" s="562">
        <v>123</v>
      </c>
      <c r="P33" s="562">
        <v>123</v>
      </c>
      <c r="Q33" s="562">
        <v>123</v>
      </c>
    </row>
    <row r="34" spans="1:19" s="1995" customFormat="1" ht="12.95" customHeight="1">
      <c r="B34" s="1957"/>
      <c r="C34" s="1996"/>
      <c r="D34" s="2001"/>
      <c r="E34" s="1997"/>
      <c r="F34" s="562"/>
      <c r="G34" s="1999"/>
      <c r="H34" s="1991"/>
      <c r="I34" s="1991"/>
      <c r="J34" s="1991"/>
      <c r="K34" s="1991"/>
      <c r="L34" s="1991"/>
      <c r="M34" s="1991"/>
      <c r="N34" s="1991"/>
      <c r="O34" s="1991"/>
      <c r="P34" s="1991"/>
      <c r="Q34" s="1991"/>
    </row>
    <row r="35" spans="1:19" s="1995" customFormat="1" ht="12.95" customHeight="1">
      <c r="B35" s="1957" t="s">
        <v>423</v>
      </c>
      <c r="C35" s="1996"/>
      <c r="D35" s="562">
        <v>123</v>
      </c>
      <c r="E35" s="562">
        <v>123</v>
      </c>
      <c r="F35" s="562">
        <v>123</v>
      </c>
      <c r="G35" s="562">
        <v>123</v>
      </c>
      <c r="H35" s="1991"/>
      <c r="I35" s="562">
        <v>123</v>
      </c>
      <c r="J35" s="562">
        <v>123</v>
      </c>
      <c r="K35" s="562">
        <v>123</v>
      </c>
      <c r="L35" s="562">
        <v>123</v>
      </c>
      <c r="M35" s="1991"/>
      <c r="N35" s="562">
        <v>123</v>
      </c>
      <c r="O35" s="562">
        <v>123</v>
      </c>
      <c r="P35" s="562">
        <v>123</v>
      </c>
      <c r="Q35" s="562">
        <v>123</v>
      </c>
    </row>
    <row r="36" spans="1:19" s="1995" customFormat="1" ht="12.95" customHeight="1">
      <c r="B36" s="2000"/>
      <c r="C36" s="1996"/>
      <c r="D36" s="1998"/>
      <c r="E36" s="1992"/>
      <c r="F36" s="1992"/>
      <c r="G36" s="1999"/>
      <c r="H36" s="1991"/>
      <c r="I36" s="1991"/>
      <c r="J36" s="1991"/>
      <c r="K36" s="1991"/>
      <c r="L36" s="1997"/>
      <c r="M36" s="1991"/>
      <c r="N36" s="1997"/>
      <c r="O36" s="1991"/>
      <c r="P36" s="1991"/>
      <c r="Q36" s="1991"/>
    </row>
    <row r="37" spans="1:19" s="1995" customFormat="1" ht="12.95" customHeight="1">
      <c r="B37" s="1957" t="s">
        <v>235</v>
      </c>
      <c r="C37" s="1996"/>
      <c r="D37" s="562">
        <v>123</v>
      </c>
      <c r="E37" s="562">
        <v>123</v>
      </c>
      <c r="F37" s="562">
        <v>123</v>
      </c>
      <c r="G37" s="562">
        <v>123</v>
      </c>
      <c r="H37" s="1991"/>
      <c r="I37" s="562">
        <v>123</v>
      </c>
      <c r="J37" s="562">
        <v>123</v>
      </c>
      <c r="K37" s="562">
        <v>123</v>
      </c>
      <c r="L37" s="562">
        <v>123</v>
      </c>
      <c r="M37" s="1991"/>
      <c r="N37" s="562">
        <v>123</v>
      </c>
      <c r="O37" s="562">
        <v>123</v>
      </c>
      <c r="P37" s="562">
        <v>123</v>
      </c>
      <c r="Q37" s="562">
        <v>123</v>
      </c>
    </row>
    <row r="38" spans="1:19" s="1995" customFormat="1" ht="12.95" customHeight="1">
      <c r="B38" s="1957"/>
      <c r="C38" s="1996"/>
      <c r="D38" s="1998"/>
      <c r="E38" s="1997"/>
      <c r="F38" s="1992"/>
      <c r="G38" s="1991"/>
      <c r="H38" s="1991"/>
      <c r="I38" s="1991"/>
      <c r="J38" s="1991"/>
      <c r="K38" s="1991"/>
      <c r="L38" s="579"/>
      <c r="M38" s="1991"/>
      <c r="N38" s="579"/>
      <c r="O38" s="1991"/>
      <c r="P38" s="1991"/>
      <c r="Q38" s="1991"/>
    </row>
    <row r="39" spans="1:19" s="1995" customFormat="1" ht="12.95" customHeight="1">
      <c r="B39" s="1948" t="s">
        <v>424</v>
      </c>
      <c r="C39" s="1996"/>
      <c r="D39" s="562">
        <v>123</v>
      </c>
      <c r="E39" s="562">
        <v>123</v>
      </c>
      <c r="F39" s="562">
        <v>123</v>
      </c>
      <c r="G39" s="562">
        <v>123</v>
      </c>
      <c r="H39" s="1991"/>
      <c r="I39" s="562">
        <v>123</v>
      </c>
      <c r="J39" s="562">
        <v>123</v>
      </c>
      <c r="K39" s="562">
        <v>123</v>
      </c>
      <c r="L39" s="562">
        <v>123</v>
      </c>
      <c r="M39" s="1991"/>
      <c r="N39" s="562">
        <v>123</v>
      </c>
      <c r="O39" s="562">
        <v>123</v>
      </c>
      <c r="P39" s="562">
        <v>123</v>
      </c>
      <c r="Q39" s="562">
        <v>123</v>
      </c>
    </row>
    <row r="40" spans="1:19" s="476" customFormat="1" ht="15.2" customHeight="1">
      <c r="B40" s="1948"/>
      <c r="C40" s="1990"/>
      <c r="D40" s="1994"/>
      <c r="E40" s="1993"/>
      <c r="F40" s="1988"/>
      <c r="G40" s="1989"/>
      <c r="H40" s="1989"/>
      <c r="I40" s="1988"/>
      <c r="J40" s="1988"/>
      <c r="K40" s="1988"/>
      <c r="L40" s="562"/>
      <c r="M40" s="1988"/>
      <c r="N40" s="562"/>
      <c r="O40" s="1991"/>
      <c r="P40" s="1991"/>
      <c r="Q40" s="1991"/>
      <c r="R40" s="1987"/>
      <c r="S40" s="126"/>
    </row>
    <row r="41" spans="1:19" s="476" customFormat="1" ht="15.2" customHeight="1">
      <c r="B41" s="1948" t="s">
        <v>425</v>
      </c>
      <c r="C41" s="1990"/>
      <c r="D41" s="562">
        <v>123</v>
      </c>
      <c r="E41" s="562">
        <v>123</v>
      </c>
      <c r="F41" s="562">
        <v>123</v>
      </c>
      <c r="G41" s="562">
        <v>123</v>
      </c>
      <c r="H41" s="1989"/>
      <c r="I41" s="562">
        <v>123</v>
      </c>
      <c r="J41" s="562">
        <v>123</v>
      </c>
      <c r="K41" s="562">
        <v>123</v>
      </c>
      <c r="L41" s="562">
        <v>123</v>
      </c>
      <c r="M41" s="1988"/>
      <c r="N41" s="562">
        <v>123</v>
      </c>
      <c r="O41" s="562">
        <v>123</v>
      </c>
      <c r="P41" s="562">
        <v>123</v>
      </c>
      <c r="Q41" s="562">
        <v>123</v>
      </c>
      <c r="R41" s="1987"/>
      <c r="S41" s="126"/>
    </row>
    <row r="42" spans="1:19" s="476" customFormat="1" ht="15.2" customHeight="1">
      <c r="B42" s="1948"/>
      <c r="C42" s="1990"/>
      <c r="D42" s="1994"/>
      <c r="E42" s="1993"/>
      <c r="F42" s="1988"/>
      <c r="G42" s="1989"/>
      <c r="H42" s="1989"/>
      <c r="I42" s="1988"/>
      <c r="J42" s="1988"/>
      <c r="K42" s="1988"/>
      <c r="L42" s="1992"/>
      <c r="M42" s="1988"/>
      <c r="N42" s="1992"/>
      <c r="O42" s="1991"/>
      <c r="P42" s="1991"/>
      <c r="Q42" s="1991"/>
      <c r="R42" s="1987"/>
      <c r="S42" s="126"/>
    </row>
    <row r="43" spans="1:19" s="476" customFormat="1" ht="15.2" customHeight="1">
      <c r="B43" s="1948" t="s">
        <v>426</v>
      </c>
      <c r="C43" s="1990"/>
      <c r="D43" s="562">
        <v>123</v>
      </c>
      <c r="E43" s="562">
        <v>123</v>
      </c>
      <c r="F43" s="562">
        <v>123</v>
      </c>
      <c r="G43" s="562">
        <v>123</v>
      </c>
      <c r="H43" s="1989"/>
      <c r="I43" s="562">
        <v>123</v>
      </c>
      <c r="J43" s="562">
        <v>123</v>
      </c>
      <c r="K43" s="562">
        <v>123</v>
      </c>
      <c r="L43" s="562">
        <v>123</v>
      </c>
      <c r="M43" s="1988"/>
      <c r="N43" s="562">
        <v>123</v>
      </c>
      <c r="O43" s="562">
        <v>123</v>
      </c>
      <c r="P43" s="562">
        <v>123</v>
      </c>
      <c r="Q43" s="562">
        <v>123</v>
      </c>
      <c r="R43" s="1987"/>
      <c r="S43" s="126"/>
    </row>
    <row r="44" spans="1:19" s="684" customFormat="1" ht="7.5" customHeight="1" thickBot="1">
      <c r="A44" s="1986"/>
      <c r="B44" s="1969"/>
      <c r="C44" s="677"/>
      <c r="D44" s="773"/>
      <c r="E44" s="773"/>
      <c r="F44" s="1984"/>
      <c r="G44" s="1985"/>
      <c r="H44" s="1985"/>
      <c r="I44" s="1984"/>
      <c r="J44" s="679"/>
      <c r="K44" s="679"/>
      <c r="L44" s="679"/>
      <c r="M44" s="679"/>
      <c r="N44" s="679"/>
      <c r="O44" s="679"/>
      <c r="P44" s="679"/>
      <c r="Q44" s="679"/>
    </row>
    <row r="45" spans="1:19" s="222" customFormat="1" ht="15.2" customHeight="1">
      <c r="D45" s="757"/>
      <c r="E45" s="2758" t="s">
        <v>264</v>
      </c>
      <c r="F45" s="2758"/>
      <c r="G45" s="2758"/>
      <c r="H45" s="2758"/>
      <c r="I45" s="2758"/>
      <c r="J45" s="2758"/>
      <c r="K45" s="2758"/>
      <c r="L45" s="2758"/>
      <c r="M45" s="2758"/>
      <c r="N45" s="2758"/>
      <c r="O45" s="2758"/>
      <c r="P45" s="2758"/>
      <c r="Q45" s="2758"/>
    </row>
    <row r="46" spans="1:19" s="222" customFormat="1" ht="15.2" customHeight="1">
      <c r="B46" s="1947"/>
      <c r="D46" s="757"/>
      <c r="E46" s="2757" t="s">
        <v>265</v>
      </c>
      <c r="F46" s="2757"/>
      <c r="G46" s="2757"/>
      <c r="H46" s="2757"/>
      <c r="I46" s="2757"/>
      <c r="J46" s="2757"/>
      <c r="K46" s="2757"/>
      <c r="L46" s="2757"/>
      <c r="M46" s="2757"/>
      <c r="N46" s="2757"/>
      <c r="O46" s="2757"/>
      <c r="P46" s="2757"/>
      <c r="Q46" s="2757"/>
    </row>
    <row r="47" spans="1:19" s="582" customFormat="1" ht="14.25">
      <c r="A47" s="684"/>
      <c r="B47" s="1952"/>
      <c r="C47" s="681"/>
      <c r="D47" s="685"/>
      <c r="E47" s="685"/>
      <c r="F47" s="579"/>
      <c r="G47" s="126"/>
      <c r="H47" s="126"/>
      <c r="I47" s="579"/>
      <c r="J47" s="126"/>
      <c r="K47" s="126"/>
      <c r="L47" s="126"/>
      <c r="M47" s="126"/>
      <c r="N47" s="126"/>
      <c r="O47" s="126"/>
      <c r="P47" s="126"/>
      <c r="Q47" s="126"/>
    </row>
    <row r="48" spans="1:19" s="582" customFormat="1" ht="14.25">
      <c r="C48" s="589"/>
      <c r="D48" s="590"/>
      <c r="E48" s="590"/>
      <c r="F48" s="675"/>
      <c r="G48" s="675"/>
      <c r="H48" s="675"/>
      <c r="I48" s="675"/>
      <c r="J48" s="675"/>
      <c r="K48" s="675"/>
      <c r="L48" s="675"/>
      <c r="M48" s="675"/>
      <c r="N48" s="675"/>
      <c r="O48" s="675"/>
      <c r="P48" s="675"/>
      <c r="Q48" s="675"/>
    </row>
    <row r="49" spans="1:19" s="126" customFormat="1" ht="14.25">
      <c r="A49" s="582"/>
      <c r="B49" s="1816"/>
      <c r="C49" s="592"/>
      <c r="D49" s="593"/>
      <c r="E49" s="593"/>
      <c r="F49" s="682"/>
      <c r="G49" s="682"/>
      <c r="H49" s="682"/>
      <c r="I49" s="682"/>
      <c r="J49" s="682"/>
      <c r="K49" s="682"/>
      <c r="L49" s="682"/>
      <c r="M49" s="682"/>
      <c r="N49" s="682"/>
      <c r="O49" s="682"/>
      <c r="P49" s="682"/>
      <c r="Q49" s="682"/>
    </row>
    <row r="50" spans="1:19" s="476" customFormat="1" ht="14.25">
      <c r="A50" s="582"/>
      <c r="B50" s="596"/>
      <c r="C50" s="592"/>
      <c r="D50" s="593"/>
      <c r="E50" s="593"/>
      <c r="F50" s="582"/>
      <c r="G50" s="582"/>
      <c r="H50" s="582"/>
      <c r="I50" s="601"/>
      <c r="J50" s="601"/>
      <c r="K50" s="601"/>
      <c r="L50" s="601"/>
      <c r="M50" s="601"/>
      <c r="N50" s="601"/>
      <c r="O50" s="601"/>
      <c r="P50" s="601"/>
      <c r="Q50" s="601"/>
      <c r="R50" s="126"/>
      <c r="S50" s="126"/>
    </row>
  </sheetData>
  <mergeCells count="5">
    <mergeCell ref="E45:Q45"/>
    <mergeCell ref="E46:Q46"/>
    <mergeCell ref="D7:G7"/>
    <mergeCell ref="I7:L7"/>
    <mergeCell ref="N7:Q7"/>
  </mergeCells>
  <printOptions horizontalCentered="1"/>
  <pageMargins left="0.55118110236220474" right="0.55118110236220474" top="0.55118110236220474" bottom="0.55118110236220474" header="0.31496062992125984" footer="0.31496062992125984"/>
  <pageSetup paperSize="9" scale="58" fitToHeight="0" orientation="portrait"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97CB2-CAE9-459E-9C4A-65C153397A10}">
  <sheetPr>
    <pageSetUpPr fitToPage="1"/>
  </sheetPr>
  <dimension ref="A1:J52"/>
  <sheetViews>
    <sheetView view="pageBreakPreview" zoomScaleNormal="100" zoomScaleSheetLayoutView="100" workbookViewId="0">
      <selection activeCell="E15" sqref="E15"/>
    </sheetView>
  </sheetViews>
  <sheetFormatPr defaultRowHeight="15"/>
  <cols>
    <col min="1" max="1" width="3.28515625" customWidth="1"/>
    <col min="4" max="4" width="33.85546875" customWidth="1"/>
    <col min="5" max="5" width="10.140625" customWidth="1"/>
    <col min="6" max="6" width="15.42578125" customWidth="1"/>
    <col min="7" max="7" width="18.85546875" customWidth="1"/>
    <col min="8" max="8" width="17.7109375" customWidth="1"/>
  </cols>
  <sheetData>
    <row r="1" spans="1:9" s="26" customFormat="1" ht="8.25" customHeight="1"/>
    <row r="2" spans="1:9" s="26" customFormat="1" ht="8.25" customHeight="1"/>
    <row r="3" spans="1:9" s="26" customFormat="1" ht="16.5" customHeight="1">
      <c r="B3" s="244" t="s">
        <v>1664</v>
      </c>
      <c r="C3" s="150" t="s">
        <v>1663</v>
      </c>
      <c r="E3" s="27"/>
    </row>
    <row r="4" spans="1:9" s="26" customFormat="1" ht="16.5" customHeight="1">
      <c r="B4" s="245" t="s">
        <v>1662</v>
      </c>
      <c r="C4" s="151" t="s">
        <v>1661</v>
      </c>
      <c r="D4" s="28"/>
      <c r="E4" s="27"/>
    </row>
    <row r="5" spans="1:9" s="26" customFormat="1" ht="13.15" customHeight="1" thickBot="1">
      <c r="A5" s="29"/>
      <c r="B5" s="29"/>
      <c r="C5" s="29"/>
      <c r="D5" s="29"/>
      <c r="E5" s="30"/>
    </row>
    <row r="6" spans="1:9" s="32" customFormat="1" ht="43.15" customHeight="1" thickBot="1">
      <c r="A6" s="7"/>
      <c r="B6" s="2651" t="s">
        <v>1660</v>
      </c>
      <c r="C6" s="2660"/>
      <c r="D6" s="7"/>
      <c r="E6" s="31"/>
      <c r="F6" s="31">
        <v>2023</v>
      </c>
      <c r="G6" s="31">
        <v>2024</v>
      </c>
      <c r="H6" s="31">
        <v>2025</v>
      </c>
      <c r="I6" s="2030"/>
    </row>
    <row r="7" spans="1:9" s="32" customFormat="1" ht="16.5" customHeight="1">
      <c r="B7" s="33"/>
      <c r="C7" s="34"/>
      <c r="D7" s="35"/>
      <c r="E7" s="35"/>
      <c r="F7" s="36"/>
      <c r="G7" s="37"/>
      <c r="H7" s="37"/>
      <c r="I7" s="37"/>
    </row>
    <row r="8" spans="1:9" s="32" customFormat="1" ht="16.5" customHeight="1">
      <c r="A8" s="2029"/>
      <c r="B8" s="2029" t="s">
        <v>1659</v>
      </c>
      <c r="C8" s="34"/>
      <c r="D8" s="35"/>
      <c r="E8" s="35"/>
      <c r="F8" s="36"/>
      <c r="G8" s="37"/>
      <c r="H8" s="37"/>
      <c r="I8" s="37"/>
    </row>
    <row r="9" spans="1:9" s="32" customFormat="1" ht="16.5" customHeight="1">
      <c r="A9" s="2028"/>
      <c r="B9" s="2028" t="s">
        <v>1658</v>
      </c>
      <c r="C9" s="34"/>
      <c r="D9" s="35"/>
      <c r="E9" s="35"/>
      <c r="F9" s="36"/>
      <c r="G9" s="37"/>
      <c r="H9" s="37"/>
      <c r="I9" s="37"/>
    </row>
    <row r="10" spans="1:9" s="32" customFormat="1" ht="16.5" customHeight="1">
      <c r="B10" s="33"/>
      <c r="C10" s="34"/>
      <c r="D10" s="35"/>
      <c r="E10" s="35"/>
      <c r="F10" s="36"/>
      <c r="G10" s="37"/>
      <c r="H10" s="37"/>
      <c r="I10" s="37"/>
    </row>
    <row r="11" spans="1:9" s="32" customFormat="1" ht="16.5" customHeight="1">
      <c r="B11" s="44" t="s">
        <v>520</v>
      </c>
      <c r="C11" s="34"/>
      <c r="D11" s="35"/>
      <c r="E11" s="516"/>
      <c r="F11" s="516">
        <f>SUM(F12:F25)</f>
        <v>3366279615.2399998</v>
      </c>
      <c r="G11" s="516">
        <f>SUM(G12:G25)</f>
        <v>3366279615.2399998</v>
      </c>
      <c r="H11" s="516">
        <f>SUM(H12:H25)</f>
        <v>3535358194.0499992</v>
      </c>
      <c r="I11" s="37"/>
    </row>
    <row r="12" spans="1:9" s="32" customFormat="1" ht="15.2" customHeight="1">
      <c r="B12" s="2027" t="s">
        <v>412</v>
      </c>
      <c r="C12" s="34"/>
      <c r="D12" s="35"/>
      <c r="E12" s="2026"/>
      <c r="F12" s="2024">
        <v>311727367.23000002</v>
      </c>
      <c r="G12" s="2024">
        <v>311727367.23000002</v>
      </c>
      <c r="H12" s="2024">
        <v>300855626.50999999</v>
      </c>
      <c r="I12" s="37"/>
    </row>
    <row r="13" spans="1:9" s="32" customFormat="1" ht="15.2" customHeight="1">
      <c r="B13" s="2027" t="s">
        <v>413</v>
      </c>
      <c r="C13" s="34"/>
      <c r="D13" s="47"/>
      <c r="E13" s="2026"/>
      <c r="F13" s="2024">
        <v>206055559.61000001</v>
      </c>
      <c r="G13" s="2024">
        <v>206055559.61000001</v>
      </c>
      <c r="H13" s="2024">
        <v>217913020.81999999</v>
      </c>
      <c r="I13" s="37"/>
    </row>
    <row r="14" spans="1:9" s="32" customFormat="1" ht="15.2" customHeight="1">
      <c r="B14" s="2027" t="s">
        <v>414</v>
      </c>
      <c r="C14" s="34"/>
      <c r="D14" s="47"/>
      <c r="E14" s="2026"/>
      <c r="F14" s="2024">
        <v>195138060</v>
      </c>
      <c r="G14" s="2024">
        <v>195138060</v>
      </c>
      <c r="H14" s="2024">
        <v>202654987</v>
      </c>
      <c r="I14" s="37"/>
    </row>
    <row r="15" spans="1:9" s="32" customFormat="1" ht="16.5" customHeight="1">
      <c r="B15" s="2027" t="s">
        <v>415</v>
      </c>
      <c r="C15" s="34"/>
      <c r="D15" s="507"/>
      <c r="E15" s="2025"/>
      <c r="F15" s="2024">
        <v>98838098.549999997</v>
      </c>
      <c r="G15" s="2024">
        <v>98838098.549999997</v>
      </c>
      <c r="H15" s="2024">
        <v>100720991.88</v>
      </c>
      <c r="I15" s="37"/>
    </row>
    <row r="16" spans="1:9" s="32" customFormat="1" ht="15.2" customHeight="1">
      <c r="B16" s="2027" t="s">
        <v>416</v>
      </c>
      <c r="C16" s="34"/>
      <c r="D16" s="35"/>
      <c r="E16" s="2026"/>
      <c r="F16" s="2024">
        <v>141521193.34999999</v>
      </c>
      <c r="G16" s="2024">
        <v>141521193.34999999</v>
      </c>
      <c r="H16" s="2024">
        <v>157160528.43000001</v>
      </c>
      <c r="I16" s="37"/>
    </row>
    <row r="17" spans="2:10" s="32" customFormat="1" ht="15.2" customHeight="1">
      <c r="B17" s="2027" t="s">
        <v>417</v>
      </c>
      <c r="C17" s="34"/>
      <c r="D17" s="47"/>
      <c r="E17" s="2026"/>
      <c r="F17" s="2024">
        <v>167220290.72</v>
      </c>
      <c r="G17" s="2024">
        <v>167220290.72</v>
      </c>
      <c r="H17" s="2024">
        <v>165260316.30000001</v>
      </c>
      <c r="I17" s="37"/>
    </row>
    <row r="18" spans="2:10" s="32" customFormat="1" ht="15.2" customHeight="1">
      <c r="B18" s="2027" t="s">
        <v>418</v>
      </c>
      <c r="C18" s="34"/>
      <c r="D18" s="47"/>
      <c r="E18" s="2026"/>
      <c r="F18" s="2024">
        <v>121432704.20999999</v>
      </c>
      <c r="G18" s="2024">
        <v>121432704.20999999</v>
      </c>
      <c r="H18" s="2024">
        <v>130875632.56999999</v>
      </c>
      <c r="I18" s="37"/>
    </row>
    <row r="19" spans="2:10" s="32" customFormat="1" ht="16.5" customHeight="1">
      <c r="B19" s="2027" t="s">
        <v>419</v>
      </c>
      <c r="C19" s="34"/>
      <c r="D19" s="507"/>
      <c r="E19" s="2025"/>
      <c r="F19" s="2024">
        <v>207187053.49000001</v>
      </c>
      <c r="G19" s="2024">
        <v>207187053.49000001</v>
      </c>
      <c r="H19" s="2024">
        <v>191633580.59</v>
      </c>
      <c r="I19" s="37"/>
    </row>
    <row r="20" spans="2:10" s="32" customFormat="1" ht="15.2" customHeight="1">
      <c r="B20" s="2027" t="s">
        <v>420</v>
      </c>
      <c r="C20" s="34"/>
      <c r="D20" s="35"/>
      <c r="E20" s="2025"/>
      <c r="F20" s="2024" t="s">
        <v>205</v>
      </c>
      <c r="G20" s="2024" t="s">
        <v>205</v>
      </c>
      <c r="H20" s="2024" t="s">
        <v>205</v>
      </c>
      <c r="I20" s="37"/>
    </row>
    <row r="21" spans="2:10" s="32" customFormat="1" ht="15.2" customHeight="1">
      <c r="B21" s="2027" t="s">
        <v>421</v>
      </c>
      <c r="C21" s="34"/>
      <c r="D21" s="47"/>
      <c r="E21" s="2026"/>
      <c r="F21" s="2024">
        <v>855137860</v>
      </c>
      <c r="G21" s="2024">
        <v>855137860</v>
      </c>
      <c r="H21" s="2024">
        <v>912956543</v>
      </c>
      <c r="I21" s="37"/>
    </row>
    <row r="22" spans="2:10" s="32" customFormat="1" ht="15.2" customHeight="1">
      <c r="B22" s="2027" t="s">
        <v>422</v>
      </c>
      <c r="C22" s="34"/>
      <c r="D22" s="47"/>
      <c r="E22" s="2026"/>
      <c r="F22" s="2024">
        <v>178654905.66999999</v>
      </c>
      <c r="G22" s="2024">
        <v>178654905.66999999</v>
      </c>
      <c r="H22" s="2024">
        <v>185104612.28999999</v>
      </c>
      <c r="I22" s="37"/>
    </row>
    <row r="23" spans="2:10" s="32" customFormat="1" ht="16.5" customHeight="1">
      <c r="B23" s="2027" t="s">
        <v>559</v>
      </c>
      <c r="C23" s="34"/>
      <c r="D23" s="507"/>
      <c r="E23" s="2025"/>
      <c r="F23" s="2024">
        <v>88997519.920000002</v>
      </c>
      <c r="G23" s="2024">
        <v>88997519.920000002</v>
      </c>
      <c r="H23" s="2024">
        <v>101788328.22</v>
      </c>
      <c r="I23" s="37"/>
    </row>
    <row r="24" spans="2:10" s="32" customFormat="1" ht="15.2" customHeight="1">
      <c r="B24" s="2027" t="s">
        <v>235</v>
      </c>
      <c r="C24" s="34"/>
      <c r="D24" s="35"/>
      <c r="E24" s="2026"/>
      <c r="F24" s="2024">
        <v>105963561.48999999</v>
      </c>
      <c r="G24" s="2024">
        <v>105963561.48999999</v>
      </c>
      <c r="H24" s="2024">
        <v>110374938.58</v>
      </c>
      <c r="I24" s="37"/>
    </row>
    <row r="25" spans="2:10" s="32" customFormat="1" ht="15.2" customHeight="1">
      <c r="B25" s="2027" t="s">
        <v>1655</v>
      </c>
      <c r="C25" s="34"/>
      <c r="D25" s="47"/>
      <c r="E25" s="2025"/>
      <c r="F25" s="2024">
        <v>688405441</v>
      </c>
      <c r="G25" s="2024">
        <v>688405441</v>
      </c>
      <c r="H25" s="2024">
        <v>758059087.86000001</v>
      </c>
      <c r="I25" s="37"/>
    </row>
    <row r="26" spans="2:10" s="30" customFormat="1" ht="15.2" customHeight="1">
      <c r="B26" s="38"/>
      <c r="C26" s="508"/>
      <c r="D26" s="42"/>
      <c r="F26" s="42"/>
      <c r="G26" s="42"/>
      <c r="H26" s="42"/>
      <c r="I26" s="37"/>
      <c r="J26" s="32"/>
    </row>
    <row r="27" spans="2:10" s="28" customFormat="1" ht="15.2" customHeight="1">
      <c r="B27" s="2029" t="s">
        <v>1657</v>
      </c>
      <c r="F27" s="1589"/>
      <c r="G27" s="1589"/>
      <c r="H27" s="1589"/>
    </row>
    <row r="28" spans="2:10" s="28" customFormat="1" ht="15.2" customHeight="1">
      <c r="B28" s="2028" t="s">
        <v>1656</v>
      </c>
      <c r="F28" s="1589"/>
      <c r="G28" s="1589"/>
      <c r="H28" s="1589"/>
    </row>
    <row r="29" spans="2:10" s="32" customFormat="1" ht="16.5" customHeight="1">
      <c r="B29" s="33"/>
      <c r="C29" s="34"/>
      <c r="D29" s="35"/>
      <c r="E29" s="35"/>
      <c r="F29" s="42"/>
      <c r="G29" s="42"/>
      <c r="H29" s="42"/>
      <c r="I29" s="37"/>
    </row>
    <row r="30" spans="2:10" s="32" customFormat="1" ht="16.5" customHeight="1">
      <c r="B30" s="44" t="s">
        <v>520</v>
      </c>
      <c r="C30" s="34"/>
      <c r="D30" s="35"/>
      <c r="E30" s="516"/>
      <c r="F30" s="516">
        <f>SUM(F31:F44)</f>
        <v>3001086230.4700003</v>
      </c>
      <c r="G30" s="516">
        <f>SUM(G31:G44)</f>
        <v>3001086230.4700003</v>
      </c>
      <c r="H30" s="516">
        <f>SUM(H31:H44)</f>
        <v>3027041449.9799995</v>
      </c>
      <c r="I30" s="37"/>
    </row>
    <row r="31" spans="2:10" s="32" customFormat="1" ht="15.2" customHeight="1">
      <c r="B31" s="2027" t="s">
        <v>412</v>
      </c>
      <c r="C31" s="34"/>
      <c r="D31" s="35"/>
      <c r="E31" s="2025"/>
      <c r="F31" s="2024">
        <v>299809512.74000001</v>
      </c>
      <c r="G31" s="2024">
        <v>299809512.74000001</v>
      </c>
      <c r="H31" s="2024">
        <v>299837853.39999998</v>
      </c>
      <c r="I31" s="37"/>
    </row>
    <row r="32" spans="2:10" s="32" customFormat="1" ht="15.2" customHeight="1">
      <c r="B32" s="2027" t="s">
        <v>413</v>
      </c>
      <c r="C32" s="34"/>
      <c r="D32" s="47"/>
      <c r="E32" s="2026"/>
      <c r="F32" s="2024">
        <v>192622521.12</v>
      </c>
      <c r="G32" s="2024">
        <v>192622521.12</v>
      </c>
      <c r="H32" s="2024">
        <v>195698217.47</v>
      </c>
      <c r="I32" s="37"/>
    </row>
    <row r="33" spans="1:10" s="32" customFormat="1" ht="15.2" customHeight="1">
      <c r="B33" s="2027" t="s">
        <v>414</v>
      </c>
      <c r="C33" s="34"/>
      <c r="D33" s="47"/>
      <c r="E33" s="2026"/>
      <c r="F33" s="2024">
        <v>189017291</v>
      </c>
      <c r="G33" s="2024">
        <v>189017291</v>
      </c>
      <c r="H33" s="2024">
        <v>185584047.38999999</v>
      </c>
      <c r="I33" s="37"/>
    </row>
    <row r="34" spans="1:10" s="32" customFormat="1" ht="16.5" customHeight="1">
      <c r="B34" s="2027" t="s">
        <v>415</v>
      </c>
      <c r="C34" s="34"/>
      <c r="D34" s="507"/>
      <c r="E34" s="2025"/>
      <c r="F34" s="2024">
        <v>96620295.079999998</v>
      </c>
      <c r="G34" s="2024">
        <v>96620295.079999998</v>
      </c>
      <c r="H34" s="2024">
        <v>80269854</v>
      </c>
      <c r="I34" s="37"/>
    </row>
    <row r="35" spans="1:10" s="32" customFormat="1" ht="15.2" customHeight="1">
      <c r="B35" s="2027" t="s">
        <v>416</v>
      </c>
      <c r="C35" s="34"/>
      <c r="D35" s="35"/>
      <c r="E35" s="2025"/>
      <c r="F35" s="2024">
        <v>123406206.16</v>
      </c>
      <c r="G35" s="2024">
        <v>123406206.16</v>
      </c>
      <c r="H35" s="2024">
        <v>114037224.28</v>
      </c>
      <c r="I35" s="37"/>
    </row>
    <row r="36" spans="1:10" s="32" customFormat="1" ht="15.2" customHeight="1">
      <c r="B36" s="2027" t="s">
        <v>417</v>
      </c>
      <c r="C36" s="34"/>
      <c r="D36" s="47"/>
      <c r="E36" s="2025"/>
      <c r="F36" s="2024">
        <v>146767912.16999999</v>
      </c>
      <c r="G36" s="2024">
        <v>146767912.16999999</v>
      </c>
      <c r="H36" s="2024">
        <v>134991563.56</v>
      </c>
      <c r="I36" s="37"/>
    </row>
    <row r="37" spans="1:10" s="32" customFormat="1" ht="15.2" customHeight="1">
      <c r="B37" s="2027" t="s">
        <v>418</v>
      </c>
      <c r="C37" s="34"/>
      <c r="D37" s="47"/>
      <c r="E37" s="2026"/>
      <c r="F37" s="2024">
        <v>111384871.79000001</v>
      </c>
      <c r="G37" s="2024">
        <v>111384871.79000001</v>
      </c>
      <c r="H37" s="2024">
        <v>126581574.20999999</v>
      </c>
      <c r="I37" s="37"/>
    </row>
    <row r="38" spans="1:10" s="32" customFormat="1" ht="16.5" customHeight="1">
      <c r="B38" s="2027" t="s">
        <v>419</v>
      </c>
      <c r="C38" s="34"/>
      <c r="D38" s="507"/>
      <c r="E38" s="2026"/>
      <c r="F38" s="2024">
        <v>196836278.44</v>
      </c>
      <c r="G38" s="2024">
        <v>196836278.44</v>
      </c>
      <c r="H38" s="2024">
        <v>165047590.88</v>
      </c>
      <c r="I38" s="37"/>
    </row>
    <row r="39" spans="1:10" s="32" customFormat="1" ht="15.2" customHeight="1">
      <c r="B39" s="2027" t="s">
        <v>420</v>
      </c>
      <c r="C39" s="34"/>
      <c r="D39" s="35"/>
      <c r="E39" s="2025"/>
      <c r="F39" s="2024" t="s">
        <v>205</v>
      </c>
      <c r="G39" s="2024" t="s">
        <v>205</v>
      </c>
      <c r="H39" s="2024" t="s">
        <v>205</v>
      </c>
      <c r="I39" s="37"/>
    </row>
    <row r="40" spans="1:10" s="32" customFormat="1" ht="15.2" customHeight="1">
      <c r="B40" s="2027" t="s">
        <v>421</v>
      </c>
      <c r="C40" s="34"/>
      <c r="D40" s="47"/>
      <c r="E40" s="2026"/>
      <c r="F40" s="2024">
        <v>868263524</v>
      </c>
      <c r="G40" s="2024">
        <v>868263524</v>
      </c>
      <c r="H40" s="2024">
        <v>867227310</v>
      </c>
      <c r="I40" s="37"/>
    </row>
    <row r="41" spans="1:10" s="32" customFormat="1" ht="15.2" customHeight="1">
      <c r="B41" s="2027" t="s">
        <v>422</v>
      </c>
      <c r="C41" s="34"/>
      <c r="D41" s="47"/>
      <c r="E41" s="2026"/>
      <c r="F41" s="2024">
        <v>191240463.33000001</v>
      </c>
      <c r="G41" s="2024">
        <v>191240463.33000001</v>
      </c>
      <c r="H41" s="2024">
        <v>171122295.83000001</v>
      </c>
      <c r="I41" s="37"/>
    </row>
    <row r="42" spans="1:10" s="32" customFormat="1" ht="16.5" customHeight="1">
      <c r="B42" s="2027" t="s">
        <v>559</v>
      </c>
      <c r="C42" s="34"/>
      <c r="D42" s="507"/>
      <c r="E42" s="2026"/>
      <c r="F42" s="2024">
        <v>71621952.819999993</v>
      </c>
      <c r="G42" s="2024">
        <v>71621952.819999993</v>
      </c>
      <c r="H42" s="2024">
        <v>88575346.450000003</v>
      </c>
      <c r="I42" s="37"/>
    </row>
    <row r="43" spans="1:10" s="32" customFormat="1" ht="15.2" customHeight="1">
      <c r="B43" s="2027" t="s">
        <v>235</v>
      </c>
      <c r="C43" s="34"/>
      <c r="D43" s="35"/>
      <c r="E43" s="2025"/>
      <c r="F43" s="2024">
        <v>68143055.819999993</v>
      </c>
      <c r="G43" s="2024">
        <v>68143055.819999993</v>
      </c>
      <c r="H43" s="2024">
        <v>71597655.810000002</v>
      </c>
      <c r="I43" s="37"/>
    </row>
    <row r="44" spans="1:10" s="32" customFormat="1" ht="15.2" customHeight="1">
      <c r="B44" s="2027" t="s">
        <v>1655</v>
      </c>
      <c r="C44" s="34"/>
      <c r="D44" s="47"/>
      <c r="E44" s="2026"/>
      <c r="F44" s="2024">
        <v>445352346</v>
      </c>
      <c r="G44" s="2024">
        <v>445352346</v>
      </c>
      <c r="H44" s="2024">
        <v>526470916.69999999</v>
      </c>
      <c r="I44" s="37"/>
    </row>
    <row r="45" spans="1:10" s="30" customFormat="1" ht="15.2" customHeight="1">
      <c r="B45" s="38"/>
      <c r="C45" s="508"/>
      <c r="D45" s="42"/>
      <c r="E45" s="2025"/>
      <c r="F45" s="2024"/>
      <c r="G45" s="2024"/>
      <c r="H45" s="2024"/>
      <c r="I45" s="37"/>
      <c r="J45" s="32"/>
    </row>
    <row r="46" spans="1:10" s="28" customFormat="1" ht="8.25" customHeight="1">
      <c r="B46" s="44"/>
      <c r="C46" s="38"/>
      <c r="D46" s="509"/>
      <c r="E46" s="45"/>
      <c r="F46" s="46"/>
      <c r="G46" s="45"/>
      <c r="H46" s="45"/>
      <c r="I46" s="45"/>
    </row>
    <row r="47" spans="1:10" s="28" customFormat="1" ht="8.25" customHeight="1" thickBot="1">
      <c r="A47" s="48"/>
      <c r="B47" s="48"/>
      <c r="C47" s="48"/>
      <c r="D47" s="510"/>
      <c r="E47" s="510"/>
      <c r="F47" s="510"/>
      <c r="G47" s="510"/>
      <c r="H47" s="510"/>
      <c r="I47" s="45"/>
    </row>
    <row r="48" spans="1:10" s="28" customFormat="1" ht="15.2" customHeight="1" thickTop="1">
      <c r="E48" s="2856" t="s">
        <v>1654</v>
      </c>
      <c r="F48" s="2856"/>
      <c r="G48" s="2856"/>
      <c r="H48" s="2856"/>
      <c r="I48" s="52"/>
    </row>
    <row r="49" spans="1:9" s="26" customFormat="1" ht="16.5">
      <c r="E49" s="2757" t="s">
        <v>1653</v>
      </c>
      <c r="F49" s="2757"/>
      <c r="G49" s="2757"/>
      <c r="H49" s="2757"/>
      <c r="I49" s="2022"/>
    </row>
    <row r="50" spans="1:9" s="26" customFormat="1" ht="16.5">
      <c r="A50" s="2023"/>
      <c r="B50" s="50" t="s">
        <v>234</v>
      </c>
      <c r="C50" s="28"/>
      <c r="D50" s="511"/>
      <c r="E50" s="45"/>
      <c r="F50" s="511"/>
      <c r="G50" s="511"/>
      <c r="H50" s="511"/>
    </row>
    <row r="51" spans="1:9" s="26" customFormat="1" ht="16.5">
      <c r="A51" s="2023"/>
      <c r="B51" s="52" t="s">
        <v>1652</v>
      </c>
      <c r="C51" s="50"/>
      <c r="D51" s="50"/>
      <c r="E51" s="28"/>
      <c r="F51" s="50"/>
      <c r="G51" s="50"/>
      <c r="H51" s="50"/>
    </row>
    <row r="52" spans="1:9" s="26" customFormat="1" ht="16.5">
      <c r="B52" s="2022" t="s">
        <v>1651</v>
      </c>
      <c r="C52" s="50"/>
      <c r="D52" s="50"/>
      <c r="E52" s="28"/>
      <c r="F52" s="50"/>
      <c r="G52" s="50"/>
      <c r="H52" s="50"/>
      <c r="I52" s="53"/>
    </row>
  </sheetData>
  <mergeCells count="3">
    <mergeCell ref="B6:C6"/>
    <mergeCell ref="E48:H48"/>
    <mergeCell ref="E49:H49"/>
  </mergeCells>
  <conditionalFormatting sqref="C26">
    <cfRule type="cellIs" dxfId="35" priority="2" stopIfTrue="1" operator="lessThan">
      <formula>0</formula>
    </cfRule>
  </conditionalFormatting>
  <conditionalFormatting sqref="C45">
    <cfRule type="cellIs" dxfId="34" priority="1"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77" orientation="portrait"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97C34-F02D-4CF3-A264-9DA94CEF09E6}">
  <sheetPr>
    <tabColor theme="4" tint="0.39997558519241921"/>
    <pageSetUpPr fitToPage="1"/>
  </sheetPr>
  <dimension ref="A1:L45"/>
  <sheetViews>
    <sheetView view="pageBreakPreview" topLeftCell="A31" zoomScale="90" zoomScaleNormal="100" zoomScaleSheetLayoutView="90" workbookViewId="0">
      <selection activeCell="P9" sqref="P9"/>
    </sheetView>
  </sheetViews>
  <sheetFormatPr defaultRowHeight="15"/>
  <cols>
    <col min="1" max="1" width="3.85546875" customWidth="1"/>
    <col min="2" max="2" width="8.85546875" customWidth="1"/>
    <col min="3" max="3" width="32" customWidth="1"/>
    <col min="4" max="4" width="37.5703125" customWidth="1"/>
    <col min="5" max="5" width="1.85546875" customWidth="1"/>
    <col min="6" max="6" width="2.140625" customWidth="1"/>
    <col min="7" max="7" width="2" customWidth="1"/>
    <col min="8" max="8" width="3.7109375" hidden="1" customWidth="1"/>
    <col min="9" max="9" width="1.28515625" customWidth="1"/>
    <col min="10" max="10" width="12.28515625" customWidth="1"/>
    <col min="11" max="12" width="16.7109375" customWidth="1"/>
  </cols>
  <sheetData>
    <row r="1" spans="1:12" s="1" customFormat="1" ht="8.1" customHeight="1"/>
    <row r="2" spans="1:12" s="1" customFormat="1" ht="8.1" customHeight="1"/>
    <row r="3" spans="1:12" s="1" customFormat="1" ht="17.25" customHeight="1">
      <c r="B3" s="2046" t="s">
        <v>1681</v>
      </c>
      <c r="C3" s="2" t="s">
        <v>1680</v>
      </c>
      <c r="G3" s="3"/>
    </row>
    <row r="4" spans="1:12" s="1" customFormat="1" ht="17.25" customHeight="1">
      <c r="B4" s="2045" t="s">
        <v>1679</v>
      </c>
      <c r="C4" s="1750" t="s">
        <v>1678</v>
      </c>
      <c r="D4" s="4"/>
      <c r="E4" s="4"/>
      <c r="F4" s="4"/>
      <c r="G4" s="3"/>
    </row>
    <row r="5" spans="1:12" s="1" customFormat="1" ht="13.15" customHeight="1" thickBot="1">
      <c r="A5" s="5"/>
      <c r="B5" s="5"/>
      <c r="C5" s="5"/>
      <c r="D5" s="5"/>
      <c r="E5" s="5"/>
      <c r="F5" s="6"/>
      <c r="G5" s="6"/>
      <c r="I5" s="2044"/>
    </row>
    <row r="6" spans="1:12" s="9" customFormat="1" ht="42.95" customHeight="1" thickBot="1">
      <c r="A6" s="7"/>
      <c r="B6" s="2651" t="s">
        <v>1677</v>
      </c>
      <c r="C6" s="2651"/>
      <c r="D6" s="2651"/>
      <c r="E6" s="7"/>
      <c r="F6" s="8"/>
      <c r="G6" s="8"/>
      <c r="H6" s="8"/>
      <c r="I6" s="2043"/>
      <c r="J6" s="8">
        <v>2023</v>
      </c>
      <c r="K6" s="8" t="s">
        <v>1676</v>
      </c>
      <c r="L6" s="8" t="s">
        <v>1675</v>
      </c>
    </row>
    <row r="7" spans="1:12" s="9" customFormat="1" ht="16.350000000000001" customHeight="1">
      <c r="B7" s="2042"/>
      <c r="C7" s="10"/>
      <c r="D7" s="2037"/>
      <c r="E7" s="2037"/>
      <c r="F7" s="2037"/>
      <c r="G7" s="2037"/>
      <c r="H7" s="2037"/>
    </row>
    <row r="8" spans="1:12" s="6" customFormat="1" ht="32.25" customHeight="1">
      <c r="B8" s="2857" t="s">
        <v>1674</v>
      </c>
      <c r="C8" s="2857"/>
      <c r="D8" s="2857"/>
      <c r="E8" s="11"/>
      <c r="F8" s="11"/>
      <c r="G8" s="11"/>
      <c r="H8" s="11"/>
      <c r="J8" s="11">
        <v>48033.553999999996</v>
      </c>
      <c r="K8" s="11">
        <v>46300.654000000002</v>
      </c>
      <c r="L8" s="11">
        <v>47695.845999999998</v>
      </c>
    </row>
    <row r="9" spans="1:12" s="6" customFormat="1" ht="27.75" customHeight="1">
      <c r="B9" s="2715" t="s">
        <v>1672</v>
      </c>
      <c r="C9" s="2715"/>
      <c r="D9" s="11"/>
      <c r="E9" s="11"/>
      <c r="F9" s="12"/>
      <c r="G9" s="13"/>
      <c r="H9" s="13"/>
      <c r="J9" s="12">
        <v>3556.7809999999999</v>
      </c>
      <c r="K9" s="13">
        <v>3318.7020000000002</v>
      </c>
      <c r="L9" s="13">
        <v>3305.2159999999999</v>
      </c>
    </row>
    <row r="10" spans="1:12" s="6" customFormat="1" ht="27.75" customHeight="1">
      <c r="B10" s="2715" t="s">
        <v>1671</v>
      </c>
      <c r="C10" s="2715"/>
      <c r="D10" s="11"/>
      <c r="E10" s="11"/>
      <c r="F10" s="12"/>
      <c r="G10" s="13"/>
      <c r="H10" s="13"/>
      <c r="J10" s="12">
        <v>235.75899999999999</v>
      </c>
      <c r="K10" s="13">
        <v>199.66800000000001</v>
      </c>
      <c r="L10" s="13">
        <v>192.81800000000001</v>
      </c>
    </row>
    <row r="11" spans="1:12" s="6" customFormat="1" ht="27.75" customHeight="1">
      <c r="B11" s="2715" t="s">
        <v>1670</v>
      </c>
      <c r="C11" s="2715"/>
      <c r="D11" s="11"/>
      <c r="E11" s="11"/>
      <c r="F11" s="12"/>
      <c r="G11" s="13"/>
      <c r="H11" s="13"/>
      <c r="J11" s="12">
        <v>17630.391</v>
      </c>
      <c r="K11" s="13">
        <v>16761.477999999999</v>
      </c>
      <c r="L11" s="13">
        <v>17960.146000000001</v>
      </c>
    </row>
    <row r="12" spans="1:12" s="6" customFormat="1" ht="27.75" customHeight="1">
      <c r="B12" s="2715" t="s">
        <v>1669</v>
      </c>
      <c r="C12" s="2715"/>
      <c r="D12" s="11"/>
      <c r="E12" s="11"/>
      <c r="F12" s="12"/>
      <c r="G12" s="13"/>
      <c r="H12" s="13"/>
      <c r="J12" s="12">
        <v>1842.634</v>
      </c>
      <c r="K12" s="13">
        <v>1370.22</v>
      </c>
      <c r="L12" s="13">
        <v>1366.4939999999999</v>
      </c>
    </row>
    <row r="13" spans="1:12" s="6" customFormat="1" ht="27.75" customHeight="1">
      <c r="B13" s="2715" t="s">
        <v>1668</v>
      </c>
      <c r="C13" s="2715"/>
      <c r="D13" s="11"/>
      <c r="E13" s="11"/>
      <c r="F13" s="12"/>
      <c r="G13" s="13"/>
      <c r="H13" s="13"/>
      <c r="J13" s="12">
        <v>24037.373</v>
      </c>
      <c r="K13" s="13">
        <v>23786.620999999999</v>
      </c>
      <c r="L13" s="13">
        <v>24261.913</v>
      </c>
    </row>
    <row r="14" spans="1:12" s="6" customFormat="1" ht="27.75" customHeight="1">
      <c r="B14" s="2715" t="s">
        <v>1667</v>
      </c>
      <c r="C14" s="2715"/>
      <c r="D14" s="11"/>
      <c r="E14" s="11"/>
      <c r="F14" s="12"/>
      <c r="G14" s="13"/>
      <c r="H14" s="13"/>
      <c r="J14" s="12">
        <v>730.61599999999999</v>
      </c>
      <c r="K14" s="13">
        <v>863.96600000000001</v>
      </c>
      <c r="L14" s="13">
        <v>609.25900000000001</v>
      </c>
    </row>
    <row r="15" spans="1:12" s="6" customFormat="1" ht="15.2" customHeight="1">
      <c r="B15" s="14"/>
      <c r="D15" s="11"/>
      <c r="E15" s="11"/>
      <c r="F15" s="11"/>
      <c r="G15" s="15"/>
      <c r="H15" s="15"/>
      <c r="J15" s="11"/>
      <c r="K15" s="15"/>
      <c r="L15" s="15"/>
    </row>
    <row r="16" spans="1:12" s="6" customFormat="1" ht="15.2" customHeight="1">
      <c r="B16" s="14"/>
      <c r="D16" s="11"/>
      <c r="E16" s="11"/>
      <c r="F16" s="11"/>
      <c r="G16" s="15"/>
      <c r="H16" s="15"/>
      <c r="J16" s="11"/>
      <c r="K16" s="15"/>
      <c r="L16" s="15"/>
    </row>
    <row r="17" spans="2:12" s="6" customFormat="1" ht="32.25" customHeight="1">
      <c r="B17" s="2857" t="s">
        <v>1673</v>
      </c>
      <c r="C17" s="2857"/>
      <c r="D17" s="11"/>
      <c r="E17" s="11"/>
      <c r="F17" s="2041"/>
      <c r="G17" s="2040"/>
      <c r="H17" s="2040"/>
      <c r="J17" s="2041">
        <v>5.12</v>
      </c>
      <c r="K17" s="2040">
        <v>-3.6080000000000001</v>
      </c>
      <c r="L17" s="2040">
        <v>3.0129999999999999</v>
      </c>
    </row>
    <row r="18" spans="2:12" s="6" customFormat="1" ht="27.75" customHeight="1">
      <c r="B18" s="2715" t="s">
        <v>1672</v>
      </c>
      <c r="C18" s="2715"/>
      <c r="D18" s="11"/>
      <c r="E18" s="11"/>
      <c r="F18" s="16"/>
      <c r="G18" s="2039"/>
      <c r="H18" s="2039"/>
      <c r="J18" s="16">
        <v>7.032</v>
      </c>
      <c r="K18" s="2039">
        <v>-6.694</v>
      </c>
      <c r="L18" s="2039">
        <v>-0.40600000000000003</v>
      </c>
    </row>
    <row r="19" spans="2:12" s="6" customFormat="1" ht="27.75" customHeight="1">
      <c r="B19" s="2715" t="s">
        <v>1671</v>
      </c>
      <c r="C19" s="2715"/>
      <c r="D19" s="11"/>
      <c r="E19" s="11"/>
      <c r="F19" s="16"/>
      <c r="G19" s="2039"/>
      <c r="H19" s="2039"/>
      <c r="J19" s="16">
        <v>5.4340000000000002</v>
      </c>
      <c r="K19" s="2039">
        <v>-15.308999999999999</v>
      </c>
      <c r="L19" s="2039">
        <v>-3.43</v>
      </c>
    </row>
    <row r="20" spans="2:12" s="6" customFormat="1" ht="27.75" customHeight="1">
      <c r="B20" s="2715" t="s">
        <v>1670</v>
      </c>
      <c r="C20" s="2715"/>
      <c r="D20" s="11"/>
      <c r="E20" s="11"/>
      <c r="F20" s="16"/>
      <c r="G20" s="2039"/>
      <c r="H20" s="2039"/>
      <c r="J20" s="16">
        <v>2.4540000000000002</v>
      </c>
      <c r="K20" s="2039">
        <v>-4.9279999999999999</v>
      </c>
      <c r="L20" s="2039">
        <v>7.1509999999999998</v>
      </c>
    </row>
    <row r="21" spans="2:12" s="6" customFormat="1" ht="27.75" customHeight="1">
      <c r="B21" s="2715" t="s">
        <v>1669</v>
      </c>
      <c r="C21" s="2715"/>
      <c r="D21" s="11"/>
      <c r="E21" s="11"/>
      <c r="F21" s="2039"/>
      <c r="G21" s="2039"/>
      <c r="H21" s="2039"/>
      <c r="J21" s="2039">
        <v>-3.8130000000000002</v>
      </c>
      <c r="K21" s="2039">
        <v>-25.638000000000002</v>
      </c>
      <c r="L21" s="2039">
        <v>-0.27200000000000002</v>
      </c>
    </row>
    <row r="22" spans="2:12" s="6" customFormat="1" ht="27.75" customHeight="1">
      <c r="B22" s="2715" t="s">
        <v>1668</v>
      </c>
      <c r="C22" s="2715"/>
      <c r="D22" s="11"/>
      <c r="E22" s="11"/>
      <c r="F22" s="16"/>
      <c r="G22" s="2039"/>
      <c r="H22" s="2039"/>
      <c r="J22" s="16">
        <v>8.6379999999999999</v>
      </c>
      <c r="K22" s="2039">
        <v>-1.0429999999999999</v>
      </c>
      <c r="L22" s="2039">
        <v>1.998</v>
      </c>
    </row>
    <row r="23" spans="2:12" s="6" customFormat="1" ht="27.75" customHeight="1">
      <c r="B23" s="2715" t="s">
        <v>1667</v>
      </c>
      <c r="C23" s="2715"/>
      <c r="D23" s="11"/>
      <c r="E23" s="11"/>
      <c r="F23" s="2039"/>
      <c r="G23" s="16"/>
      <c r="H23" s="16"/>
      <c r="J23" s="2039">
        <v>-18.587</v>
      </c>
      <c r="K23" s="16">
        <v>18.251999999999999</v>
      </c>
      <c r="L23" s="16">
        <v>-29.481000000000002</v>
      </c>
    </row>
    <row r="24" spans="2:12" s="6" customFormat="1" ht="15.2" customHeight="1">
      <c r="B24" s="14"/>
      <c r="D24" s="11"/>
      <c r="E24" s="11"/>
      <c r="F24" s="11"/>
      <c r="G24" s="15"/>
      <c r="H24" s="15"/>
      <c r="J24" s="11"/>
      <c r="K24" s="15"/>
      <c r="L24" s="15"/>
    </row>
    <row r="25" spans="2:12" s="6" customFormat="1" ht="15.2" customHeight="1">
      <c r="B25" s="14"/>
      <c r="D25" s="11"/>
      <c r="E25" s="11"/>
      <c r="F25" s="11"/>
      <c r="G25" s="15"/>
      <c r="H25" s="15"/>
      <c r="J25" s="11"/>
      <c r="K25" s="15"/>
      <c r="L25" s="15"/>
    </row>
    <row r="26" spans="2:12" s="6" customFormat="1" ht="32.25" customHeight="1">
      <c r="B26" s="2857" t="s">
        <v>1666</v>
      </c>
      <c r="C26" s="2857"/>
      <c r="D26" s="11"/>
      <c r="E26" s="11"/>
      <c r="F26" s="11"/>
      <c r="G26" s="11"/>
      <c r="H26" s="11"/>
      <c r="J26" s="11">
        <v>51111.28</v>
      </c>
      <c r="K26" s="11">
        <v>49504.118000000002</v>
      </c>
      <c r="L26" s="11">
        <v>53578.41</v>
      </c>
    </row>
    <row r="27" spans="2:12" s="9" customFormat="1" ht="16.350000000000001" customHeight="1">
      <c r="B27" s="2038"/>
      <c r="C27" s="10"/>
      <c r="D27" s="2037"/>
      <c r="E27" s="2037"/>
      <c r="F27" s="2037"/>
      <c r="G27" s="2037"/>
      <c r="H27" s="2037"/>
      <c r="J27" s="11"/>
      <c r="K27" s="11"/>
      <c r="L27" s="11"/>
    </row>
    <row r="28" spans="2:12" s="9" customFormat="1" ht="16.350000000000001" customHeight="1">
      <c r="B28" s="2857"/>
      <c r="C28" s="2857"/>
      <c r="D28" s="2037"/>
      <c r="E28" s="2037"/>
      <c r="F28" s="2037"/>
      <c r="G28" s="2037"/>
      <c r="H28" s="2037"/>
      <c r="J28" s="11"/>
      <c r="K28" s="11"/>
      <c r="L28" s="11"/>
    </row>
    <row r="29" spans="2:12" s="6" customFormat="1" ht="60.6" customHeight="1">
      <c r="B29" s="2857" t="s">
        <v>1665</v>
      </c>
      <c r="C29" s="2857"/>
      <c r="D29" s="11"/>
      <c r="E29" s="11"/>
      <c r="F29" s="11"/>
      <c r="G29" s="11"/>
      <c r="H29" s="11"/>
      <c r="J29" s="11">
        <v>45384.000999999997</v>
      </c>
      <c r="K29" s="11">
        <v>41254.324999999997</v>
      </c>
      <c r="L29" s="11">
        <v>44494.612999999998</v>
      </c>
    </row>
    <row r="30" spans="2:12" s="9" customFormat="1" ht="16.350000000000001" customHeight="1">
      <c r="B30" s="2038"/>
      <c r="C30" s="10"/>
      <c r="D30" s="2037"/>
      <c r="E30" s="2037"/>
      <c r="F30" s="2037"/>
      <c r="G30" s="2037"/>
      <c r="H30" s="2037"/>
    </row>
    <row r="31" spans="2:12" s="9" customFormat="1" ht="16.350000000000001" customHeight="1">
      <c r="B31" s="2038"/>
      <c r="C31" s="10"/>
      <c r="D31" s="2037"/>
      <c r="E31" s="2037"/>
      <c r="F31" s="2037"/>
      <c r="G31" s="2037"/>
    </row>
    <row r="32" spans="2:12" s="6" customFormat="1" ht="15.2" customHeight="1">
      <c r="B32" s="14"/>
      <c r="C32" s="2034"/>
      <c r="D32" s="2036"/>
      <c r="E32" s="2036"/>
      <c r="F32" s="2036"/>
      <c r="G32" s="2036"/>
      <c r="I32" s="17"/>
    </row>
    <row r="33" spans="1:12" s="6" customFormat="1" ht="15.2" customHeight="1">
      <c r="B33" s="2035"/>
      <c r="C33" s="2034"/>
      <c r="D33" s="18"/>
      <c r="E33" s="18"/>
      <c r="F33" s="18"/>
      <c r="G33" s="19"/>
      <c r="I33" s="17"/>
    </row>
    <row r="34" spans="1:12" s="6" customFormat="1" ht="15.2" customHeight="1">
      <c r="B34" s="2035"/>
      <c r="C34" s="2034"/>
      <c r="D34" s="18"/>
      <c r="E34" s="18"/>
      <c r="F34" s="18"/>
      <c r="G34" s="19"/>
      <c r="I34" s="17"/>
    </row>
    <row r="35" spans="1:12" s="6" customFormat="1" ht="15.2" customHeight="1">
      <c r="B35" s="2035"/>
      <c r="C35" s="2034"/>
      <c r="D35" s="18"/>
      <c r="E35" s="18"/>
      <c r="F35" s="18"/>
      <c r="G35" s="19"/>
      <c r="I35" s="17"/>
    </row>
    <row r="36" spans="1:12" s="4" customFormat="1" ht="8.1" customHeight="1" thickBot="1">
      <c r="A36" s="2033"/>
      <c r="B36" s="2033"/>
      <c r="C36" s="2033"/>
      <c r="D36" s="2033"/>
      <c r="E36" s="2033"/>
      <c r="F36" s="2033"/>
      <c r="G36" s="2033"/>
      <c r="H36" s="2033"/>
      <c r="I36" s="5"/>
      <c r="J36" s="5"/>
      <c r="K36" s="2033"/>
      <c r="L36" s="2033"/>
    </row>
    <row r="37" spans="1:12" s="20" customFormat="1" ht="15.2" customHeight="1">
      <c r="D37" s="2858" t="s">
        <v>0</v>
      </c>
      <c r="E37" s="2858"/>
      <c r="F37" s="2858"/>
      <c r="G37" s="2858"/>
      <c r="H37" s="2858"/>
      <c r="I37" s="2858"/>
      <c r="J37" s="2858"/>
      <c r="K37" s="2858"/>
      <c r="L37" s="2858"/>
    </row>
    <row r="38" spans="1:12" s="20" customFormat="1" ht="15.2" customHeight="1">
      <c r="B38" s="2032"/>
      <c r="D38" s="2859" t="s">
        <v>1</v>
      </c>
      <c r="E38" s="2859"/>
      <c r="F38" s="2859"/>
      <c r="G38" s="2859"/>
      <c r="H38" s="2859"/>
      <c r="I38" s="2859"/>
      <c r="J38" s="2859"/>
      <c r="K38" s="2859"/>
      <c r="L38" s="2859"/>
    </row>
    <row r="39" spans="1:12" s="20" customFormat="1" ht="14.25">
      <c r="B39" s="21"/>
    </row>
    <row r="40" spans="1:12" s="1" customFormat="1" ht="8.1" customHeight="1">
      <c r="A40" s="2031"/>
      <c r="B40" s="24"/>
    </row>
    <row r="41" spans="1:12" s="1" customFormat="1" ht="16.5">
      <c r="A41" s="23"/>
      <c r="B41" s="25"/>
    </row>
    <row r="42" spans="1:12" s="1" customFormat="1" ht="16.5">
      <c r="B42" s="24"/>
    </row>
    <row r="43" spans="1:12" ht="8.1" customHeight="1"/>
    <row r="44" spans="1:12" s="1" customFormat="1" ht="16.5">
      <c r="A44" s="23"/>
      <c r="B44" s="25"/>
    </row>
    <row r="45" spans="1:12" s="1" customFormat="1" ht="16.5">
      <c r="B45" s="24"/>
    </row>
  </sheetData>
  <mergeCells count="20">
    <mergeCell ref="B19:C19"/>
    <mergeCell ref="D37:L37"/>
    <mergeCell ref="D38:L38"/>
    <mergeCell ref="B29:C29"/>
    <mergeCell ref="B28:C28"/>
    <mergeCell ref="B20:C20"/>
    <mergeCell ref="B21:C21"/>
    <mergeCell ref="B22:C22"/>
    <mergeCell ref="B23:C23"/>
    <mergeCell ref="B26:C26"/>
    <mergeCell ref="B14:C14"/>
    <mergeCell ref="B17:C17"/>
    <mergeCell ref="B18:C18"/>
    <mergeCell ref="B12:C12"/>
    <mergeCell ref="B6:D6"/>
    <mergeCell ref="B8:D8"/>
    <mergeCell ref="B9:C9"/>
    <mergeCell ref="B10:C10"/>
    <mergeCell ref="B11:C11"/>
    <mergeCell ref="B13:C13"/>
  </mergeCells>
  <printOptions horizontalCentered="1"/>
  <pageMargins left="0.55118110236220474" right="0.55118110236220474" top="0.55118110236220474" bottom="0.55118110236220474" header="0.31496062992125984" footer="0.31496062992125984"/>
  <pageSetup paperSize="9" scale="67"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5886A-5CE6-46CE-8385-56C9D7A8C662}">
  <sheetPr>
    <tabColor theme="4" tint="0.39997558519241921"/>
  </sheetPr>
  <dimension ref="A1:AS212"/>
  <sheetViews>
    <sheetView view="pageBreakPreview" topLeftCell="A196" zoomScaleNormal="100" zoomScaleSheetLayoutView="100" workbookViewId="0">
      <selection activeCell="E15" sqref="E15"/>
    </sheetView>
  </sheetViews>
  <sheetFormatPr defaultColWidth="8.85546875" defaultRowHeight="15"/>
  <cols>
    <col min="1" max="1" width="2.7109375" style="2047" customWidth="1"/>
    <col min="2" max="2" width="12.85546875" style="2047" customWidth="1"/>
    <col min="3" max="3" width="11.140625" style="2047" customWidth="1"/>
    <col min="4" max="4" width="8.85546875" style="2047" customWidth="1"/>
    <col min="5" max="5" width="12.7109375" style="2047" customWidth="1"/>
    <col min="6" max="6" width="9.28515625" style="2047" customWidth="1"/>
    <col min="7" max="7" width="16.85546875" style="2047" customWidth="1"/>
    <col min="8" max="8" width="25.5703125" style="2047" customWidth="1"/>
    <col min="9" max="9" width="23.7109375" style="2047" customWidth="1"/>
    <col min="10" max="16384" width="8.85546875" style="2047"/>
  </cols>
  <sheetData>
    <row r="1" spans="1:45" ht="7.9" customHeight="1"/>
    <row r="2" spans="1:45" ht="17.25" customHeight="1">
      <c r="A2" s="2098"/>
      <c r="B2" s="2097" t="s">
        <v>1704</v>
      </c>
      <c r="C2" s="2096" t="s">
        <v>1723</v>
      </c>
      <c r="D2" s="2092"/>
      <c r="E2" s="2070"/>
      <c r="F2" s="2070"/>
      <c r="G2" s="2070"/>
      <c r="H2" s="2070"/>
      <c r="I2" s="2070"/>
      <c r="J2" s="2070"/>
    </row>
    <row r="3" spans="1:45" ht="17.25" customHeight="1">
      <c r="A3" s="2095"/>
      <c r="B3" s="2094" t="s">
        <v>1702</v>
      </c>
      <c r="C3" s="2093" t="s">
        <v>1722</v>
      </c>
      <c r="D3" s="2092"/>
      <c r="E3" s="2070"/>
      <c r="F3" s="2070"/>
      <c r="G3" s="2070"/>
      <c r="H3" s="2070"/>
      <c r="I3" s="2070"/>
      <c r="J3" s="2070"/>
    </row>
    <row r="4" spans="1:45" ht="15.2" customHeight="1" thickBot="1">
      <c r="A4" s="2091"/>
      <c r="B4" s="2091"/>
      <c r="C4" s="2090"/>
      <c r="D4" s="2089"/>
      <c r="E4" s="2088"/>
      <c r="F4" s="2088"/>
      <c r="G4" s="2088"/>
      <c r="H4" s="2088"/>
      <c r="I4" s="2088"/>
      <c r="J4" s="2065"/>
    </row>
    <row r="5" spans="1:45" s="2074" customFormat="1" ht="8.1" customHeight="1">
      <c r="A5" s="2075"/>
      <c r="B5" s="2087"/>
      <c r="C5" s="2084"/>
      <c r="D5" s="2080"/>
      <c r="E5" s="2080"/>
      <c r="F5" s="2086"/>
      <c r="G5" s="2862" t="s">
        <v>1700</v>
      </c>
      <c r="H5" s="2862"/>
      <c r="I5" s="2086"/>
      <c r="M5" s="2075"/>
    </row>
    <row r="6" spans="1:45" s="2074" customFormat="1" ht="38.25" customHeight="1">
      <c r="A6" s="2075"/>
      <c r="B6" s="2085" t="s">
        <v>1699</v>
      </c>
      <c r="C6" s="2084"/>
      <c r="D6" s="2083"/>
      <c r="E6" s="2080" t="s">
        <v>39</v>
      </c>
      <c r="F6" s="2079"/>
      <c r="G6" s="2862"/>
      <c r="H6" s="2862"/>
      <c r="I6" s="2082" t="s">
        <v>1698</v>
      </c>
      <c r="M6" s="2075"/>
    </row>
    <row r="7" spans="1:45" s="2074" customFormat="1" ht="15" customHeight="1">
      <c r="A7" s="2075"/>
      <c r="B7" s="2864" t="s">
        <v>1697</v>
      </c>
      <c r="C7" s="2865"/>
      <c r="D7" s="2080"/>
      <c r="E7" s="2081" t="s">
        <v>40</v>
      </c>
      <c r="F7" s="2079"/>
      <c r="G7" s="2866" t="s">
        <v>1696</v>
      </c>
      <c r="H7" s="2866"/>
      <c r="I7" s="2866" t="s">
        <v>1695</v>
      </c>
      <c r="M7" s="2075"/>
    </row>
    <row r="8" spans="1:45" s="2074" customFormat="1" ht="15" customHeight="1">
      <c r="A8" s="2075"/>
      <c r="B8" s="2865"/>
      <c r="C8" s="2865"/>
      <c r="D8" s="2080"/>
      <c r="E8" s="2080"/>
      <c r="F8" s="2079"/>
      <c r="G8" s="2866"/>
      <c r="H8" s="2866"/>
      <c r="I8" s="2866"/>
      <c r="M8" s="2075"/>
    </row>
    <row r="9" spans="1:45" s="2073" customFormat="1" ht="7.9" customHeight="1" thickBot="1">
      <c r="A9" s="2076"/>
      <c r="B9" s="2078"/>
      <c r="C9" s="2076"/>
      <c r="D9" s="2077"/>
      <c r="E9" s="2077"/>
      <c r="F9" s="2076"/>
      <c r="G9" s="2076"/>
      <c r="H9" s="2076"/>
      <c r="I9" s="2076"/>
      <c r="J9" s="2075"/>
      <c r="K9" s="2074"/>
      <c r="L9" s="2074"/>
      <c r="M9" s="2075"/>
      <c r="N9" s="2074"/>
      <c r="O9" s="2074"/>
      <c r="P9" s="2074"/>
      <c r="Q9" s="2074"/>
      <c r="R9" s="2074"/>
      <c r="S9" s="2074"/>
      <c r="T9" s="2074"/>
      <c r="U9" s="2074"/>
      <c r="V9" s="2074"/>
      <c r="W9" s="2074"/>
      <c r="X9" s="2074"/>
      <c r="Y9" s="2074"/>
      <c r="Z9" s="2074"/>
      <c r="AA9" s="2074"/>
      <c r="AB9" s="2074"/>
      <c r="AC9" s="2074"/>
      <c r="AD9" s="2074"/>
      <c r="AE9" s="2074"/>
      <c r="AF9" s="2074"/>
      <c r="AG9" s="2074"/>
      <c r="AH9" s="2074"/>
      <c r="AI9" s="2074"/>
      <c r="AJ9" s="2074"/>
      <c r="AK9" s="2074"/>
      <c r="AL9" s="2074"/>
      <c r="AM9" s="2074"/>
      <c r="AN9" s="2074"/>
      <c r="AO9" s="2074"/>
      <c r="AP9" s="2074"/>
      <c r="AQ9" s="2074"/>
      <c r="AR9" s="2074"/>
      <c r="AS9" s="2074"/>
    </row>
    <row r="10" spans="1:45" ht="7.9" customHeight="1"/>
    <row r="11" spans="1:45" ht="15.2" customHeight="1">
      <c r="B11" s="2107" t="s">
        <v>1721</v>
      </c>
      <c r="C11" s="2106"/>
      <c r="D11" s="2105"/>
      <c r="E11" s="2105">
        <v>2018</v>
      </c>
      <c r="F11" s="2103"/>
      <c r="G11" s="2103"/>
      <c r="H11" s="2104">
        <v>74.3</v>
      </c>
      <c r="I11" s="2103">
        <v>2.8</v>
      </c>
    </row>
    <row r="12" spans="1:45" ht="15.2" customHeight="1">
      <c r="B12" s="2107"/>
      <c r="C12" s="2106"/>
      <c r="D12" s="2105"/>
      <c r="E12" s="2105">
        <v>2019</v>
      </c>
      <c r="F12" s="2103"/>
      <c r="G12" s="2103"/>
      <c r="H12" s="2104">
        <v>74.7</v>
      </c>
      <c r="I12" s="2103">
        <v>4.8</v>
      </c>
    </row>
    <row r="13" spans="1:45" ht="15.2" customHeight="1">
      <c r="B13" s="2107"/>
      <c r="C13" s="2106"/>
      <c r="D13" s="2105"/>
      <c r="E13" s="2105">
        <v>2020</v>
      </c>
      <c r="F13" s="2103"/>
      <c r="G13" s="2103"/>
      <c r="H13" s="2104">
        <v>74.7</v>
      </c>
      <c r="I13" s="2103">
        <v>4.8</v>
      </c>
    </row>
    <row r="14" spans="1:45" ht="15.2" customHeight="1">
      <c r="B14" s="2065"/>
      <c r="C14" s="2064"/>
      <c r="F14" s="2068"/>
      <c r="G14" s="2068"/>
      <c r="H14" s="2102"/>
      <c r="I14" s="2068"/>
    </row>
    <row r="15" spans="1:45" ht="15.2" customHeight="1">
      <c r="A15" s="2070"/>
      <c r="B15" s="2066" t="s">
        <v>1720</v>
      </c>
      <c r="C15" s="2064"/>
      <c r="D15" s="2063"/>
      <c r="E15" s="2063">
        <v>2018</v>
      </c>
      <c r="F15" s="2062"/>
      <c r="G15" s="2062"/>
      <c r="H15" s="2099">
        <v>74.3</v>
      </c>
      <c r="I15" s="2062">
        <v>2.8</v>
      </c>
      <c r="J15" s="2071"/>
    </row>
    <row r="16" spans="1:45" ht="15.2" customHeight="1">
      <c r="A16" s="2070"/>
      <c r="B16" s="2066"/>
      <c r="C16" s="2064"/>
      <c r="D16" s="2063"/>
      <c r="E16" s="2063">
        <v>2019</v>
      </c>
      <c r="F16" s="2062"/>
      <c r="G16" s="2062"/>
      <c r="H16" s="2099">
        <v>74.7</v>
      </c>
      <c r="I16" s="2062">
        <v>4.8</v>
      </c>
      <c r="J16" s="2053"/>
    </row>
    <row r="17" spans="1:10" ht="15.2" customHeight="1">
      <c r="A17" s="2070"/>
      <c r="B17" s="2066"/>
      <c r="C17" s="2064"/>
      <c r="D17" s="2063"/>
      <c r="E17" s="2063">
        <v>2020</v>
      </c>
      <c r="F17" s="2062"/>
      <c r="G17" s="2062"/>
      <c r="H17" s="2099">
        <v>74.7</v>
      </c>
      <c r="I17" s="2062">
        <v>4.8</v>
      </c>
      <c r="J17" s="2048"/>
    </row>
    <row r="18" spans="1:10" ht="7.9" customHeight="1">
      <c r="B18" s="2066"/>
      <c r="C18" s="2064"/>
      <c r="D18" s="2069"/>
      <c r="E18" s="2069"/>
      <c r="F18" s="2068"/>
      <c r="G18" s="2068"/>
      <c r="H18" s="2102"/>
      <c r="I18" s="2068"/>
      <c r="J18" s="2053"/>
    </row>
    <row r="19" spans="1:10" ht="15.2" customHeight="1">
      <c r="B19" s="2066" t="s">
        <v>1719</v>
      </c>
      <c r="C19" s="2064"/>
      <c r="D19" s="2063"/>
      <c r="E19" s="2063">
        <v>2018</v>
      </c>
      <c r="F19" s="2062"/>
      <c r="G19" s="2062"/>
      <c r="H19" s="2099">
        <v>74.3</v>
      </c>
      <c r="I19" s="2062">
        <v>2.8</v>
      </c>
      <c r="J19" s="2048"/>
    </row>
    <row r="20" spans="1:10" ht="15.2" customHeight="1">
      <c r="B20" s="2066"/>
      <c r="C20" s="2064"/>
      <c r="D20" s="2063"/>
      <c r="E20" s="2063">
        <v>2019</v>
      </c>
      <c r="F20" s="2062"/>
      <c r="G20" s="2062"/>
      <c r="H20" s="2099">
        <v>74.7</v>
      </c>
      <c r="I20" s="2062">
        <v>4.8</v>
      </c>
      <c r="J20" s="2053"/>
    </row>
    <row r="21" spans="1:10" ht="15.2" customHeight="1">
      <c r="B21" s="2066"/>
      <c r="C21" s="2064"/>
      <c r="D21" s="2063"/>
      <c r="E21" s="2063">
        <v>2020</v>
      </c>
      <c r="F21" s="2062"/>
      <c r="G21" s="2062"/>
      <c r="H21" s="2099">
        <v>74.7</v>
      </c>
      <c r="I21" s="2062">
        <v>4.8</v>
      </c>
      <c r="J21" s="2048"/>
    </row>
    <row r="22" spans="1:10" ht="7.9" customHeight="1">
      <c r="B22" s="2066"/>
      <c r="C22" s="2064"/>
      <c r="D22" s="2069"/>
      <c r="E22" s="2069"/>
      <c r="F22" s="2068"/>
      <c r="G22" s="2068"/>
      <c r="H22" s="2102"/>
      <c r="I22" s="2068"/>
      <c r="J22" s="2053"/>
    </row>
    <row r="23" spans="1:10" ht="15.2" customHeight="1">
      <c r="B23" s="2066" t="s">
        <v>1718</v>
      </c>
      <c r="C23" s="2064"/>
      <c r="D23" s="2063"/>
      <c r="E23" s="2063">
        <v>2018</v>
      </c>
      <c r="F23" s="2062"/>
      <c r="G23" s="2062"/>
      <c r="H23" s="2099">
        <v>74.3</v>
      </c>
      <c r="I23" s="2062">
        <v>2.8</v>
      </c>
      <c r="J23" s="2048"/>
    </row>
    <row r="24" spans="1:10" ht="15.2" customHeight="1">
      <c r="B24" s="2066"/>
      <c r="C24" s="2064"/>
      <c r="D24" s="2063"/>
      <c r="E24" s="2063">
        <v>2019</v>
      </c>
      <c r="F24" s="2062"/>
      <c r="G24" s="2062"/>
      <c r="H24" s="2099">
        <v>74.7</v>
      </c>
      <c r="I24" s="2062">
        <v>4.8</v>
      </c>
      <c r="J24" s="2053"/>
    </row>
    <row r="25" spans="1:10" ht="15.2" customHeight="1">
      <c r="B25" s="2066"/>
      <c r="C25" s="2064"/>
      <c r="D25" s="2063"/>
      <c r="E25" s="2063">
        <v>2020</v>
      </c>
      <c r="F25" s="2062"/>
      <c r="G25" s="2062"/>
      <c r="H25" s="2099">
        <v>74.7</v>
      </c>
      <c r="I25" s="2062">
        <v>4.8</v>
      </c>
      <c r="J25" s="2048"/>
    </row>
    <row r="26" spans="1:10" ht="7.9" customHeight="1">
      <c r="B26" s="2066"/>
      <c r="C26" s="2064"/>
      <c r="D26" s="2069"/>
      <c r="E26" s="2069"/>
      <c r="F26" s="2068"/>
      <c r="G26" s="2068"/>
      <c r="H26" s="2102"/>
      <c r="I26" s="2067"/>
      <c r="J26" s="2053"/>
    </row>
    <row r="27" spans="1:10" ht="15.2" customHeight="1">
      <c r="B27" s="2066" t="s">
        <v>1717</v>
      </c>
      <c r="C27" s="2064"/>
      <c r="D27" s="2063"/>
      <c r="E27" s="2063">
        <v>2018</v>
      </c>
      <c r="F27" s="2062"/>
      <c r="G27" s="2062"/>
      <c r="H27" s="2099">
        <v>74.3</v>
      </c>
      <c r="I27" s="2062">
        <v>2.8</v>
      </c>
      <c r="J27" s="2048"/>
    </row>
    <row r="28" spans="1:10" ht="15.2" customHeight="1">
      <c r="B28" s="2066"/>
      <c r="C28" s="2064"/>
      <c r="D28" s="2063"/>
      <c r="E28" s="2063">
        <v>2019</v>
      </c>
      <c r="F28" s="2062"/>
      <c r="G28" s="2062"/>
      <c r="H28" s="2099">
        <v>74.7</v>
      </c>
      <c r="I28" s="2062">
        <v>4.8</v>
      </c>
      <c r="J28" s="2053"/>
    </row>
    <row r="29" spans="1:10" ht="15.2" customHeight="1">
      <c r="B29" s="2066"/>
      <c r="C29" s="2064"/>
      <c r="D29" s="2063"/>
      <c r="E29" s="2063">
        <v>2020</v>
      </c>
      <c r="F29" s="2062"/>
      <c r="G29" s="2062"/>
      <c r="H29" s="2099">
        <v>74.7</v>
      </c>
      <c r="I29" s="2062">
        <v>4.8</v>
      </c>
      <c r="J29" s="2048"/>
    </row>
    <row r="30" spans="1:10" ht="7.9" customHeight="1">
      <c r="B30" s="2066"/>
      <c r="C30" s="2064"/>
      <c r="D30" s="2069"/>
      <c r="E30" s="2069"/>
      <c r="F30" s="2068"/>
      <c r="G30" s="2068"/>
      <c r="H30" s="2102"/>
      <c r="I30" s="2068"/>
      <c r="J30" s="2053"/>
    </row>
    <row r="31" spans="1:10" ht="15.2" customHeight="1">
      <c r="B31" s="2066" t="s">
        <v>1716</v>
      </c>
      <c r="C31" s="2064"/>
      <c r="D31" s="2063"/>
      <c r="E31" s="2063">
        <v>2018</v>
      </c>
      <c r="F31" s="2062"/>
      <c r="G31" s="2062"/>
      <c r="H31" s="2099">
        <v>74.3</v>
      </c>
      <c r="I31" s="2062">
        <v>2.8</v>
      </c>
      <c r="J31" s="2048"/>
    </row>
    <row r="32" spans="1:10" ht="15.2" customHeight="1">
      <c r="B32" s="2066"/>
      <c r="C32" s="2064"/>
      <c r="D32" s="2063"/>
      <c r="E32" s="2063">
        <v>2019</v>
      </c>
      <c r="F32" s="2062"/>
      <c r="G32" s="2062"/>
      <c r="H32" s="2099">
        <v>74.7</v>
      </c>
      <c r="I32" s="2062">
        <v>4.8</v>
      </c>
      <c r="J32" s="2053"/>
    </row>
    <row r="33" spans="2:10" ht="15.2" customHeight="1">
      <c r="B33" s="2066"/>
      <c r="C33" s="2064"/>
      <c r="D33" s="2063"/>
      <c r="E33" s="2063">
        <v>2020</v>
      </c>
      <c r="F33" s="2062"/>
      <c r="G33" s="2062"/>
      <c r="H33" s="2099">
        <v>74.7</v>
      </c>
      <c r="I33" s="2062">
        <v>4.8</v>
      </c>
      <c r="J33" s="2048"/>
    </row>
    <row r="34" spans="2:10" ht="7.9" customHeight="1">
      <c r="B34" s="2066"/>
      <c r="C34" s="2064"/>
      <c r="D34" s="2069"/>
      <c r="E34" s="2069"/>
      <c r="F34" s="2068"/>
      <c r="G34" s="2068"/>
      <c r="H34" s="2102"/>
      <c r="I34" s="2068"/>
      <c r="J34" s="2053"/>
    </row>
    <row r="35" spans="2:10" ht="15.2" customHeight="1">
      <c r="B35" s="2066" t="s">
        <v>1589</v>
      </c>
      <c r="C35" s="2064"/>
      <c r="D35" s="2063"/>
      <c r="E35" s="2063">
        <v>2018</v>
      </c>
      <c r="F35" s="2062"/>
      <c r="G35" s="2062"/>
      <c r="H35" s="2099">
        <v>74.3</v>
      </c>
      <c r="I35" s="2062">
        <v>2.8</v>
      </c>
      <c r="J35" s="2048"/>
    </row>
    <row r="36" spans="2:10" ht="15.2" customHeight="1">
      <c r="B36" s="2066"/>
      <c r="C36" s="2064"/>
      <c r="D36" s="2063"/>
      <c r="E36" s="2063">
        <v>2019</v>
      </c>
      <c r="F36" s="2062"/>
      <c r="G36" s="2062"/>
      <c r="H36" s="2099">
        <v>74.7</v>
      </c>
      <c r="I36" s="2062">
        <v>4.8</v>
      </c>
      <c r="J36" s="2053"/>
    </row>
    <row r="37" spans="2:10" ht="15.2" customHeight="1">
      <c r="B37" s="2066"/>
      <c r="C37" s="2064"/>
      <c r="D37" s="2063"/>
      <c r="E37" s="2063">
        <v>2020</v>
      </c>
      <c r="F37" s="2062"/>
      <c r="G37" s="2062"/>
      <c r="H37" s="2099">
        <v>74.7</v>
      </c>
      <c r="I37" s="2062">
        <v>4.8</v>
      </c>
      <c r="J37" s="2048"/>
    </row>
    <row r="38" spans="2:10" ht="7.9" customHeight="1">
      <c r="B38" s="2066"/>
      <c r="C38" s="2064"/>
      <c r="D38" s="2069"/>
      <c r="E38" s="2069"/>
      <c r="F38" s="2068"/>
      <c r="G38" s="2068"/>
      <c r="H38" s="2102"/>
      <c r="I38" s="2068"/>
      <c r="J38" s="2053"/>
    </row>
    <row r="39" spans="2:10" ht="15.2" customHeight="1">
      <c r="B39" s="2066" t="s">
        <v>1715</v>
      </c>
      <c r="C39" s="2064"/>
      <c r="D39" s="2063"/>
      <c r="E39" s="2063">
        <v>2018</v>
      </c>
      <c r="F39" s="2062"/>
      <c r="G39" s="2062"/>
      <c r="H39" s="2099">
        <v>74.3</v>
      </c>
      <c r="I39" s="2062">
        <v>2.8</v>
      </c>
      <c r="J39" s="2048"/>
    </row>
    <row r="40" spans="2:10" ht="15.2" customHeight="1">
      <c r="B40" s="2066"/>
      <c r="C40" s="2064"/>
      <c r="D40" s="2063"/>
      <c r="E40" s="2063">
        <v>2019</v>
      </c>
      <c r="F40" s="2062"/>
      <c r="G40" s="2062"/>
      <c r="H40" s="2099">
        <v>74.7</v>
      </c>
      <c r="I40" s="2062">
        <v>4.8</v>
      </c>
      <c r="J40" s="2053"/>
    </row>
    <row r="41" spans="2:10" ht="15.2" customHeight="1">
      <c r="B41" s="2066"/>
      <c r="C41" s="2064"/>
      <c r="D41" s="2063"/>
      <c r="E41" s="2063">
        <v>2020</v>
      </c>
      <c r="F41" s="2062"/>
      <c r="G41" s="2062"/>
      <c r="H41" s="2099">
        <v>74.7</v>
      </c>
      <c r="I41" s="2062">
        <v>4.8</v>
      </c>
      <c r="J41" s="2048"/>
    </row>
    <row r="42" spans="2:10" ht="7.9" customHeight="1">
      <c r="B42" s="2066"/>
      <c r="C42" s="2064"/>
      <c r="D42" s="2069"/>
      <c r="E42" s="2069"/>
      <c r="F42" s="2068"/>
      <c r="G42" s="2068"/>
      <c r="H42" s="2102"/>
      <c r="I42" s="2067"/>
      <c r="J42" s="2053"/>
    </row>
    <row r="43" spans="2:10" ht="15.2" customHeight="1">
      <c r="B43" s="2066" t="s">
        <v>1714</v>
      </c>
      <c r="C43" s="2064"/>
      <c r="D43" s="2063"/>
      <c r="E43" s="2063">
        <v>2018</v>
      </c>
      <c r="F43" s="2062"/>
      <c r="G43" s="2062"/>
      <c r="H43" s="2099">
        <v>74.3</v>
      </c>
      <c r="I43" s="2062">
        <v>2.8</v>
      </c>
      <c r="J43" s="2048"/>
    </row>
    <row r="44" spans="2:10" ht="15.2" customHeight="1">
      <c r="B44" s="2066"/>
      <c r="C44" s="2064"/>
      <c r="D44" s="2063"/>
      <c r="E44" s="2063">
        <v>2019</v>
      </c>
      <c r="F44" s="2062"/>
      <c r="G44" s="2062"/>
      <c r="H44" s="2099">
        <v>74.7</v>
      </c>
      <c r="I44" s="2062">
        <v>4.8</v>
      </c>
      <c r="J44" s="2053"/>
    </row>
    <row r="45" spans="2:10" ht="15.2" customHeight="1">
      <c r="B45" s="2066"/>
      <c r="C45" s="2064"/>
      <c r="D45" s="2063"/>
      <c r="E45" s="2063">
        <v>2020</v>
      </c>
      <c r="F45" s="2062"/>
      <c r="G45" s="2062"/>
      <c r="H45" s="2099">
        <v>74.7</v>
      </c>
      <c r="I45" s="2062">
        <v>4.8</v>
      </c>
      <c r="J45" s="2048"/>
    </row>
    <row r="46" spans="2:10" ht="7.9" customHeight="1">
      <c r="B46" s="2066"/>
      <c r="C46" s="1947"/>
      <c r="D46" s="2069"/>
      <c r="E46" s="2069"/>
      <c r="F46" s="2068"/>
      <c r="G46" s="2068"/>
      <c r="H46" s="2102"/>
      <c r="I46" s="2068"/>
      <c r="J46" s="2053"/>
    </row>
    <row r="47" spans="2:10" ht="15.2" customHeight="1">
      <c r="B47" s="2066" t="s">
        <v>1713</v>
      </c>
      <c r="C47" s="1947"/>
      <c r="D47" s="2063"/>
      <c r="E47" s="2063">
        <v>2018</v>
      </c>
      <c r="F47" s="2062"/>
      <c r="G47" s="2062"/>
      <c r="H47" s="2099">
        <v>74.3</v>
      </c>
      <c r="I47" s="2062">
        <v>2.8</v>
      </c>
      <c r="J47" s="2048"/>
    </row>
    <row r="48" spans="2:10" ht="15.2" customHeight="1">
      <c r="B48" s="2100"/>
      <c r="C48" s="1947"/>
      <c r="D48" s="2063"/>
      <c r="E48" s="2063">
        <v>2019</v>
      </c>
      <c r="F48" s="2062"/>
      <c r="G48" s="2062"/>
      <c r="H48" s="2099">
        <v>74.7</v>
      </c>
      <c r="I48" s="2062">
        <v>4.8</v>
      </c>
      <c r="J48" s="2053"/>
    </row>
    <row r="49" spans="2:10" ht="15.2" customHeight="1">
      <c r="B49" s="2100"/>
      <c r="C49" s="1947"/>
      <c r="D49" s="2063"/>
      <c r="E49" s="2063">
        <v>2020</v>
      </c>
      <c r="F49" s="2062"/>
      <c r="G49" s="2062"/>
      <c r="H49" s="2099">
        <v>74.7</v>
      </c>
      <c r="I49" s="2062">
        <v>4.8</v>
      </c>
      <c r="J49" s="2048"/>
    </row>
    <row r="50" spans="2:10" ht="8.1" customHeight="1">
      <c r="B50" s="2100"/>
      <c r="C50" s="1947"/>
      <c r="D50" s="2063"/>
      <c r="E50" s="2063"/>
      <c r="F50" s="2068"/>
      <c r="G50" s="2068"/>
      <c r="H50" s="2102"/>
      <c r="I50" s="2068"/>
      <c r="J50" s="2048"/>
    </row>
    <row r="51" spans="2:10" ht="15.2" customHeight="1">
      <c r="B51" s="2066" t="s">
        <v>1712</v>
      </c>
      <c r="C51" s="1947"/>
      <c r="D51" s="2063"/>
      <c r="E51" s="2063">
        <v>2018</v>
      </c>
      <c r="F51" s="2062"/>
      <c r="G51" s="2062"/>
      <c r="H51" s="2099">
        <v>74.3</v>
      </c>
      <c r="I51" s="2062">
        <v>2.8</v>
      </c>
      <c r="J51" s="2048"/>
    </row>
    <row r="52" spans="2:10" ht="15.2" customHeight="1">
      <c r="B52" s="2100"/>
      <c r="C52" s="1947"/>
      <c r="D52" s="2063"/>
      <c r="E52" s="2063">
        <v>2019</v>
      </c>
      <c r="F52" s="2062"/>
      <c r="G52" s="2062"/>
      <c r="H52" s="2099">
        <v>74.7</v>
      </c>
      <c r="I52" s="2062">
        <v>4.8</v>
      </c>
      <c r="J52" s="2048"/>
    </row>
    <row r="53" spans="2:10" ht="15.2" customHeight="1">
      <c r="B53" s="2100"/>
      <c r="C53" s="1947"/>
      <c r="D53" s="2063"/>
      <c r="E53" s="2063">
        <v>2020</v>
      </c>
      <c r="F53" s="2062"/>
      <c r="G53" s="2062"/>
      <c r="H53" s="2099">
        <v>74.7</v>
      </c>
      <c r="I53" s="2062">
        <v>4.8</v>
      </c>
      <c r="J53" s="2048"/>
    </row>
    <row r="54" spans="2:10" ht="8.1" customHeight="1">
      <c r="B54" s="2100"/>
      <c r="C54" s="1947"/>
      <c r="D54" s="2069"/>
      <c r="E54" s="2069"/>
      <c r="F54" s="2068"/>
      <c r="G54" s="2068"/>
      <c r="H54" s="2102"/>
      <c r="I54" s="2068"/>
      <c r="J54" s="2048"/>
    </row>
    <row r="55" spans="2:10" ht="15.2" customHeight="1">
      <c r="B55" s="2066" t="s">
        <v>1707</v>
      </c>
      <c r="C55" s="2064"/>
      <c r="D55" s="2063"/>
      <c r="E55" s="2063">
        <v>2018</v>
      </c>
      <c r="F55" s="2062"/>
      <c r="G55" s="2062"/>
      <c r="H55" s="2099">
        <v>74.3</v>
      </c>
      <c r="I55" s="2062">
        <v>2.8</v>
      </c>
      <c r="J55" s="2048"/>
    </row>
    <row r="56" spans="2:10" ht="15.2" customHeight="1">
      <c r="B56" s="2066"/>
      <c r="C56" s="2064"/>
      <c r="D56" s="2063"/>
      <c r="E56" s="2063">
        <v>2019</v>
      </c>
      <c r="F56" s="2062"/>
      <c r="G56" s="2062"/>
      <c r="H56" s="2099">
        <v>74.7</v>
      </c>
      <c r="I56" s="2062">
        <v>4.8</v>
      </c>
      <c r="J56" s="2048"/>
    </row>
    <row r="57" spans="2:10" ht="15.2" customHeight="1">
      <c r="B57" s="2066"/>
      <c r="C57" s="2064"/>
      <c r="D57" s="2063"/>
      <c r="E57" s="2063">
        <v>2020</v>
      </c>
      <c r="F57" s="2062"/>
      <c r="G57" s="2062"/>
      <c r="H57" s="2099">
        <v>74.7</v>
      </c>
      <c r="I57" s="2062">
        <v>4.8</v>
      </c>
      <c r="J57" s="2048"/>
    </row>
    <row r="58" spans="2:10" ht="8.1" customHeight="1">
      <c r="B58" s="2066"/>
      <c r="C58" s="1947"/>
      <c r="D58" s="2069"/>
      <c r="E58" s="2069"/>
      <c r="F58" s="2068"/>
      <c r="G58" s="2068"/>
      <c r="H58" s="2102"/>
      <c r="I58" s="2067"/>
      <c r="J58" s="2048"/>
    </row>
    <row r="59" spans="2:10" ht="15.2" customHeight="1">
      <c r="B59" s="2066" t="s">
        <v>1706</v>
      </c>
      <c r="C59" s="1947"/>
      <c r="D59" s="2063"/>
      <c r="E59" s="2063">
        <v>2018</v>
      </c>
      <c r="F59" s="2062"/>
      <c r="G59" s="2062"/>
      <c r="H59" s="2099">
        <v>74.3</v>
      </c>
      <c r="I59" s="2062">
        <v>2.8</v>
      </c>
      <c r="J59" s="2048"/>
    </row>
    <row r="60" spans="2:10" ht="15.2" customHeight="1">
      <c r="B60" s="2100"/>
      <c r="C60" s="1947"/>
      <c r="D60" s="2063"/>
      <c r="E60" s="2063">
        <v>2019</v>
      </c>
      <c r="F60" s="2062"/>
      <c r="G60" s="2062"/>
      <c r="H60" s="2099">
        <v>74.7</v>
      </c>
      <c r="I60" s="2062">
        <v>4.8</v>
      </c>
      <c r="J60" s="2048"/>
    </row>
    <row r="61" spans="2:10" ht="15.2" customHeight="1">
      <c r="B61" s="2100"/>
      <c r="C61" s="1947"/>
      <c r="D61" s="2063"/>
      <c r="E61" s="2063">
        <v>2020</v>
      </c>
      <c r="F61" s="2062"/>
      <c r="G61" s="2062"/>
      <c r="H61" s="2099">
        <v>74.7</v>
      </c>
      <c r="I61" s="2062">
        <v>4.8</v>
      </c>
      <c r="J61" s="2048"/>
    </row>
    <row r="62" spans="2:10" ht="8.1" customHeight="1">
      <c r="B62" s="2100"/>
      <c r="C62" s="1947"/>
      <c r="D62" s="2063"/>
      <c r="E62" s="2063"/>
      <c r="F62" s="2067"/>
      <c r="G62" s="2067"/>
      <c r="H62" s="2101"/>
      <c r="I62" s="2067"/>
      <c r="J62" s="2048"/>
    </row>
    <row r="63" spans="2:10" ht="15.2" customHeight="1">
      <c r="B63" s="2066" t="s">
        <v>1705</v>
      </c>
      <c r="C63" s="1947"/>
      <c r="D63" s="2063"/>
      <c r="E63" s="2063">
        <v>2018</v>
      </c>
      <c r="F63" s="2062"/>
      <c r="G63" s="2062"/>
      <c r="H63" s="2099">
        <v>74.3</v>
      </c>
      <c r="I63" s="2062">
        <v>2.8</v>
      </c>
      <c r="J63" s="2048"/>
    </row>
    <row r="64" spans="2:10" ht="15.2" customHeight="1">
      <c r="B64" s="2100"/>
      <c r="C64" s="1947"/>
      <c r="D64" s="2063"/>
      <c r="E64" s="2063">
        <v>2019</v>
      </c>
      <c r="F64" s="2062"/>
      <c r="G64" s="2062"/>
      <c r="H64" s="2099">
        <v>74.7</v>
      </c>
      <c r="I64" s="2062">
        <v>4.8</v>
      </c>
      <c r="J64" s="2048"/>
    </row>
    <row r="65" spans="1:13" ht="15.2" customHeight="1">
      <c r="C65" s="1947"/>
      <c r="D65" s="2063"/>
      <c r="E65" s="2063">
        <v>2020</v>
      </c>
      <c r="F65" s="2062"/>
      <c r="G65" s="2062"/>
      <c r="H65" s="2099">
        <v>74.7</v>
      </c>
      <c r="I65" s="2062">
        <v>4.8</v>
      </c>
      <c r="J65" s="2048"/>
    </row>
    <row r="66" spans="1:13" ht="15.2" customHeight="1">
      <c r="C66" s="1947"/>
      <c r="D66" s="2063"/>
      <c r="E66" s="2063"/>
      <c r="F66" s="2062"/>
      <c r="G66" s="2062"/>
      <c r="H66" s="2099"/>
      <c r="I66" s="2062"/>
      <c r="J66" s="2048"/>
    </row>
    <row r="67" spans="1:13" ht="15.2" customHeight="1">
      <c r="B67" s="2066" t="s">
        <v>1705</v>
      </c>
      <c r="C67" s="1947"/>
      <c r="D67" s="2063"/>
      <c r="E67" s="2063">
        <v>2018</v>
      </c>
      <c r="F67" s="2062"/>
      <c r="G67" s="2062"/>
      <c r="H67" s="2099">
        <v>74.3</v>
      </c>
      <c r="I67" s="2062">
        <v>2.8</v>
      </c>
      <c r="J67" s="2048"/>
    </row>
    <row r="68" spans="1:13" ht="15.2" customHeight="1">
      <c r="B68" s="2100"/>
      <c r="C68" s="1947"/>
      <c r="D68" s="2063"/>
      <c r="E68" s="2063">
        <v>2019</v>
      </c>
      <c r="F68" s="2062"/>
      <c r="G68" s="2062"/>
      <c r="H68" s="2099">
        <v>74.7</v>
      </c>
      <c r="I68" s="2062">
        <v>4.8</v>
      </c>
      <c r="J68" s="2048"/>
    </row>
    <row r="69" spans="1:13" ht="15.2" customHeight="1">
      <c r="C69" s="1947"/>
      <c r="D69" s="2063"/>
      <c r="E69" s="2063">
        <v>2020</v>
      </c>
      <c r="F69" s="2062"/>
      <c r="G69" s="2062"/>
      <c r="H69" s="2099">
        <v>74.7</v>
      </c>
      <c r="I69" s="2062">
        <v>4.8</v>
      </c>
      <c r="J69" s="2048"/>
    </row>
    <row r="70" spans="1:13" ht="7.9" customHeight="1" thickBot="1">
      <c r="A70" s="2060"/>
      <c r="B70" s="2060"/>
      <c r="C70" s="2060"/>
      <c r="D70" s="2061"/>
      <c r="E70" s="2060"/>
      <c r="F70" s="2060"/>
      <c r="G70" s="2060"/>
      <c r="H70" s="2060"/>
      <c r="I70" s="2060"/>
      <c r="J70" s="2053"/>
    </row>
    <row r="71" spans="1:13" ht="15.2" customHeight="1">
      <c r="A71" s="2058"/>
      <c r="B71" s="2057"/>
      <c r="C71" s="2057"/>
      <c r="D71" s="2056"/>
      <c r="E71" s="2055"/>
      <c r="F71" s="2049"/>
      <c r="G71" s="2860" t="s">
        <v>0</v>
      </c>
      <c r="H71" s="2860"/>
      <c r="I71" s="2860"/>
      <c r="J71" s="2048"/>
    </row>
    <row r="72" spans="1:13" ht="15.2" customHeight="1">
      <c r="A72" s="2052"/>
      <c r="D72" s="2051"/>
      <c r="E72" s="2050"/>
      <c r="F72" s="2049"/>
      <c r="G72" s="2861" t="s">
        <v>1</v>
      </c>
      <c r="H72" s="2861"/>
      <c r="I72" s="2861"/>
      <c r="J72" s="2053"/>
    </row>
    <row r="73" spans="1:13" ht="15.2" customHeight="1">
      <c r="A73" s="2052"/>
      <c r="D73" s="2051"/>
      <c r="E73" s="2050"/>
      <c r="F73" s="2049"/>
      <c r="G73" s="2054"/>
      <c r="H73" s="2054"/>
      <c r="I73" s="2054"/>
      <c r="J73" s="2053"/>
    </row>
    <row r="74" spans="1:13" s="1" customFormat="1" ht="8.1" customHeight="1">
      <c r="A74" s="2031"/>
      <c r="B74" s="24"/>
    </row>
    <row r="75" spans="1:13" s="1" customFormat="1" ht="16.5">
      <c r="A75" s="23"/>
      <c r="B75" s="25"/>
    </row>
    <row r="76" spans="1:13" ht="17.25" customHeight="1">
      <c r="A76" s="2098"/>
      <c r="B76" s="2097" t="s">
        <v>1704</v>
      </c>
      <c r="C76" s="2096" t="s">
        <v>1703</v>
      </c>
      <c r="D76" s="2092"/>
      <c r="E76" s="2070"/>
      <c r="F76" s="2070"/>
      <c r="G76" s="2070"/>
      <c r="H76" s="2070"/>
      <c r="I76" s="2070"/>
      <c r="J76" s="2070"/>
    </row>
    <row r="77" spans="1:13" ht="17.25" customHeight="1">
      <c r="A77" s="2095"/>
      <c r="B77" s="2094" t="s">
        <v>1702</v>
      </c>
      <c r="C77" s="2093" t="s">
        <v>1701</v>
      </c>
      <c r="D77" s="2092"/>
      <c r="E77" s="2070"/>
      <c r="F77" s="2070"/>
      <c r="G77" s="2070"/>
      <c r="H77" s="2070"/>
      <c r="I77" s="2070"/>
      <c r="J77" s="2070"/>
    </row>
    <row r="78" spans="1:13" ht="15.2" customHeight="1" thickBot="1">
      <c r="A78" s="2091"/>
      <c r="B78" s="2091"/>
      <c r="C78" s="2090"/>
      <c r="D78" s="2089"/>
      <c r="E78" s="2088"/>
      <c r="F78" s="2088"/>
      <c r="G78" s="2088"/>
      <c r="H78" s="2088"/>
      <c r="I78" s="2088"/>
      <c r="J78" s="2065"/>
    </row>
    <row r="79" spans="1:13" s="2074" customFormat="1" ht="8.1" customHeight="1">
      <c r="A79" s="2075"/>
      <c r="B79" s="2087"/>
      <c r="C79" s="2084"/>
      <c r="D79" s="2080"/>
      <c r="E79" s="2080"/>
      <c r="F79" s="2086"/>
      <c r="G79" s="2862" t="s">
        <v>1700</v>
      </c>
      <c r="H79" s="2862"/>
      <c r="I79" s="2086"/>
      <c r="M79" s="2075"/>
    </row>
    <row r="80" spans="1:13" s="2074" customFormat="1" ht="38.25" customHeight="1">
      <c r="A80" s="2075"/>
      <c r="B80" s="2085" t="s">
        <v>1699</v>
      </c>
      <c r="C80" s="2084"/>
      <c r="D80" s="2083"/>
      <c r="E80" s="2080" t="s">
        <v>39</v>
      </c>
      <c r="F80" s="2079"/>
      <c r="G80" s="2862"/>
      <c r="H80" s="2862"/>
      <c r="I80" s="2082" t="s">
        <v>1698</v>
      </c>
      <c r="M80" s="2075"/>
    </row>
    <row r="81" spans="1:45" s="2074" customFormat="1" ht="15" customHeight="1">
      <c r="A81" s="2075"/>
      <c r="B81" s="2864" t="s">
        <v>1697</v>
      </c>
      <c r="C81" s="2865"/>
      <c r="D81" s="2080"/>
      <c r="E81" s="2081" t="s">
        <v>40</v>
      </c>
      <c r="F81" s="2079"/>
      <c r="G81" s="2866" t="s">
        <v>1696</v>
      </c>
      <c r="H81" s="2866"/>
      <c r="I81" s="2866" t="s">
        <v>1695</v>
      </c>
      <c r="M81" s="2075"/>
    </row>
    <row r="82" spans="1:45" s="2074" customFormat="1" ht="15" customHeight="1">
      <c r="A82" s="2075"/>
      <c r="B82" s="2865"/>
      <c r="C82" s="2865"/>
      <c r="D82" s="2080"/>
      <c r="E82" s="2080"/>
      <c r="F82" s="2079"/>
      <c r="G82" s="2866"/>
      <c r="H82" s="2866"/>
      <c r="I82" s="2866"/>
      <c r="M82" s="2075"/>
    </row>
    <row r="83" spans="1:45" s="2073" customFormat="1" ht="7.9" customHeight="1" thickBot="1">
      <c r="A83" s="2076"/>
      <c r="B83" s="2078"/>
      <c r="C83" s="2076"/>
      <c r="D83" s="2077"/>
      <c r="E83" s="2077"/>
      <c r="F83" s="2076"/>
      <c r="G83" s="2076"/>
      <c r="H83" s="2076"/>
      <c r="I83" s="2076"/>
      <c r="J83" s="2075"/>
      <c r="K83" s="2074"/>
      <c r="L83" s="2074"/>
      <c r="M83" s="2075"/>
      <c r="N83" s="2074"/>
      <c r="O83" s="2074"/>
      <c r="P83" s="2074"/>
      <c r="Q83" s="2074"/>
      <c r="R83" s="2074"/>
      <c r="S83" s="2074"/>
      <c r="T83" s="2074"/>
      <c r="U83" s="2074"/>
      <c r="V83" s="2074"/>
      <c r="W83" s="2074"/>
      <c r="X83" s="2074"/>
      <c r="Y83" s="2074"/>
      <c r="Z83" s="2074"/>
      <c r="AA83" s="2074"/>
      <c r="AB83" s="2074"/>
      <c r="AC83" s="2074"/>
      <c r="AD83" s="2074"/>
      <c r="AE83" s="2074"/>
      <c r="AF83" s="2074"/>
      <c r="AG83" s="2074"/>
      <c r="AH83" s="2074"/>
      <c r="AI83" s="2074"/>
      <c r="AJ83" s="2074"/>
      <c r="AK83" s="2074"/>
      <c r="AL83" s="2074"/>
      <c r="AM83" s="2074"/>
      <c r="AN83" s="2074"/>
      <c r="AO83" s="2074"/>
      <c r="AP83" s="2074"/>
      <c r="AQ83" s="2074"/>
      <c r="AR83" s="2074"/>
      <c r="AS83" s="2074"/>
    </row>
    <row r="84" spans="1:45" ht="7.9" customHeight="1">
      <c r="B84" s="2065"/>
      <c r="C84" s="2064"/>
      <c r="F84" s="2072"/>
      <c r="G84" s="2072"/>
      <c r="H84" s="2072"/>
      <c r="I84" s="2072"/>
    </row>
    <row r="85" spans="1:45" ht="15.2" customHeight="1">
      <c r="A85" s="2070"/>
      <c r="B85" s="2066" t="s">
        <v>1711</v>
      </c>
      <c r="C85" s="2064"/>
      <c r="D85" s="2063"/>
      <c r="E85" s="2063">
        <v>2018</v>
      </c>
      <c r="F85" s="2062"/>
      <c r="G85" s="2062"/>
      <c r="H85" s="2062">
        <v>74.3</v>
      </c>
      <c r="I85" s="2062">
        <v>2.8</v>
      </c>
      <c r="J85" s="2071"/>
    </row>
    <row r="86" spans="1:45" ht="15.2" customHeight="1">
      <c r="A86" s="2070"/>
      <c r="B86" s="2065"/>
      <c r="C86" s="2064"/>
      <c r="D86" s="2063"/>
      <c r="E86" s="2063">
        <v>2019</v>
      </c>
      <c r="F86" s="2062"/>
      <c r="G86" s="2062"/>
      <c r="H86" s="2062">
        <v>74.7</v>
      </c>
      <c r="I86" s="2062">
        <v>4.8</v>
      </c>
      <c r="J86" s="2053"/>
    </row>
    <row r="87" spans="1:45" ht="15.2" customHeight="1">
      <c r="A87" s="2070"/>
      <c r="B87" s="2065"/>
      <c r="C87" s="2064"/>
      <c r="D87" s="2063"/>
      <c r="E87" s="2063">
        <v>2020</v>
      </c>
      <c r="F87" s="2062"/>
      <c r="G87" s="2062"/>
      <c r="H87" s="2062">
        <v>74.7</v>
      </c>
      <c r="I87" s="2062">
        <v>4.8</v>
      </c>
      <c r="J87" s="2048"/>
    </row>
    <row r="88" spans="1:45" ht="7.9" customHeight="1">
      <c r="B88" s="2065"/>
      <c r="C88" s="2064"/>
      <c r="D88" s="2063"/>
      <c r="E88" s="2069"/>
      <c r="F88" s="2068"/>
      <c r="G88" s="2068"/>
      <c r="H88" s="2068"/>
      <c r="I88" s="2068"/>
      <c r="J88" s="2053"/>
    </row>
    <row r="89" spans="1:45" ht="15.2" customHeight="1">
      <c r="B89" s="2066" t="s">
        <v>1710</v>
      </c>
      <c r="C89" s="2064"/>
      <c r="D89" s="2063"/>
      <c r="E89" s="2063">
        <v>2018</v>
      </c>
      <c r="F89" s="2062"/>
      <c r="G89" s="2062"/>
      <c r="H89" s="2062">
        <v>74.3</v>
      </c>
      <c r="I89" s="2062">
        <v>2.8</v>
      </c>
      <c r="J89" s="2048"/>
    </row>
    <row r="90" spans="1:45" ht="15.2" customHeight="1">
      <c r="B90" s="2066"/>
      <c r="C90" s="2064"/>
      <c r="D90" s="2063"/>
      <c r="E90" s="2063">
        <v>2019</v>
      </c>
      <c r="F90" s="2062"/>
      <c r="G90" s="2062"/>
      <c r="H90" s="2062">
        <v>74.7</v>
      </c>
      <c r="I90" s="2062">
        <v>4.8</v>
      </c>
      <c r="J90" s="2053"/>
    </row>
    <row r="91" spans="1:45" ht="15.2" customHeight="1">
      <c r="B91" s="2066"/>
      <c r="C91" s="2064"/>
      <c r="D91" s="2063"/>
      <c r="E91" s="2063">
        <v>2020</v>
      </c>
      <c r="F91" s="2062"/>
      <c r="G91" s="2062"/>
      <c r="H91" s="2062">
        <v>74.7</v>
      </c>
      <c r="I91" s="2062">
        <v>4.8</v>
      </c>
      <c r="J91" s="2048"/>
    </row>
    <row r="92" spans="1:45" ht="7.9" customHeight="1">
      <c r="B92" s="2066"/>
      <c r="C92" s="2064"/>
      <c r="D92" s="2069"/>
      <c r="E92" s="2063"/>
      <c r="F92" s="2068"/>
      <c r="G92" s="2068"/>
      <c r="H92" s="2068"/>
      <c r="I92" s="2068"/>
      <c r="J92" s="2053"/>
    </row>
    <row r="93" spans="1:45" ht="15.2" customHeight="1">
      <c r="B93" s="2066" t="s">
        <v>1709</v>
      </c>
      <c r="C93" s="2064"/>
      <c r="D93" s="2063"/>
      <c r="E93" s="2063">
        <v>2018</v>
      </c>
      <c r="F93" s="2062"/>
      <c r="G93" s="2062"/>
      <c r="H93" s="2062">
        <v>74.3</v>
      </c>
      <c r="I93" s="2062">
        <v>2.8</v>
      </c>
      <c r="J93" s="2048"/>
    </row>
    <row r="94" spans="1:45" ht="15.2" customHeight="1">
      <c r="B94" s="2066"/>
      <c r="C94" s="2064"/>
      <c r="D94" s="2063"/>
      <c r="E94" s="2063">
        <v>2019</v>
      </c>
      <c r="F94" s="2062"/>
      <c r="G94" s="2062"/>
      <c r="H94" s="2062">
        <v>74.7</v>
      </c>
      <c r="I94" s="2062">
        <v>4.8</v>
      </c>
      <c r="J94" s="2053"/>
    </row>
    <row r="95" spans="1:45" ht="15.2" customHeight="1">
      <c r="B95" s="2066"/>
      <c r="C95" s="2064"/>
      <c r="D95" s="2063"/>
      <c r="E95" s="2063">
        <v>2020</v>
      </c>
      <c r="F95" s="2062"/>
      <c r="G95" s="2062"/>
      <c r="H95" s="2062">
        <v>74.7</v>
      </c>
      <c r="I95" s="2062">
        <v>4.8</v>
      </c>
      <c r="J95" s="2048"/>
    </row>
    <row r="96" spans="1:45" ht="7.9" customHeight="1">
      <c r="B96" s="2066"/>
      <c r="C96" s="2064"/>
      <c r="D96" s="2069"/>
      <c r="E96" s="2069"/>
      <c r="F96" s="2068"/>
      <c r="G96" s="2068"/>
      <c r="H96" s="2068"/>
      <c r="I96" s="2067"/>
      <c r="J96" s="2053"/>
    </row>
    <row r="97" spans="2:10" ht="15.2" customHeight="1">
      <c r="B97" s="2066" t="s">
        <v>1587</v>
      </c>
      <c r="C97" s="2064"/>
      <c r="D97" s="2063"/>
      <c r="E97" s="2063">
        <v>2018</v>
      </c>
      <c r="F97" s="2062"/>
      <c r="G97" s="2062"/>
      <c r="H97" s="2062">
        <v>74.3</v>
      </c>
      <c r="I97" s="2062">
        <v>2.8</v>
      </c>
      <c r="J97" s="2048"/>
    </row>
    <row r="98" spans="2:10" ht="15.2" customHeight="1">
      <c r="B98" s="2066"/>
      <c r="C98" s="2064"/>
      <c r="D98" s="2063"/>
      <c r="E98" s="2063">
        <v>2019</v>
      </c>
      <c r="F98" s="2062"/>
      <c r="G98" s="2062"/>
      <c r="H98" s="2062">
        <v>74.7</v>
      </c>
      <c r="I98" s="2062">
        <v>4.8</v>
      </c>
      <c r="J98" s="2053"/>
    </row>
    <row r="99" spans="2:10" ht="15.2" customHeight="1">
      <c r="B99" s="2066"/>
      <c r="C99" s="2064"/>
      <c r="D99" s="2063"/>
      <c r="E99" s="2063">
        <v>2020</v>
      </c>
      <c r="F99" s="2062"/>
      <c r="G99" s="2062"/>
      <c r="H99" s="2062">
        <v>74.7</v>
      </c>
      <c r="I99" s="2062">
        <v>4.8</v>
      </c>
      <c r="J99" s="2048"/>
    </row>
    <row r="100" spans="2:10" ht="7.9" customHeight="1">
      <c r="B100" s="2066"/>
      <c r="C100" s="2064"/>
      <c r="D100" s="2063"/>
      <c r="E100" s="2069"/>
      <c r="F100" s="2067"/>
      <c r="G100" s="2067"/>
      <c r="H100" s="2067"/>
      <c r="I100" s="2067"/>
      <c r="J100" s="2053"/>
    </row>
    <row r="101" spans="2:10" ht="15.2" customHeight="1">
      <c r="B101" s="2066" t="s">
        <v>1585</v>
      </c>
      <c r="C101" s="2064"/>
      <c r="D101" s="2063"/>
      <c r="E101" s="2063">
        <v>2018</v>
      </c>
      <c r="F101" s="2062"/>
      <c r="G101" s="2062"/>
      <c r="H101" s="2062">
        <v>74.3</v>
      </c>
      <c r="I101" s="2062">
        <v>2.8</v>
      </c>
      <c r="J101" s="2048"/>
    </row>
    <row r="102" spans="2:10" ht="15.2" customHeight="1">
      <c r="B102" s="2066"/>
      <c r="C102" s="2064"/>
      <c r="D102" s="2063"/>
      <c r="E102" s="2063">
        <v>2019</v>
      </c>
      <c r="F102" s="2062"/>
      <c r="G102" s="2062"/>
      <c r="H102" s="2062">
        <v>74.7</v>
      </c>
      <c r="I102" s="2062">
        <v>4.8</v>
      </c>
      <c r="J102" s="2053"/>
    </row>
    <row r="103" spans="2:10" ht="15.2" customHeight="1">
      <c r="B103" s="2066"/>
      <c r="C103" s="2064"/>
      <c r="D103" s="2063"/>
      <c r="E103" s="2063">
        <v>2020</v>
      </c>
      <c r="F103" s="2062"/>
      <c r="G103" s="2062"/>
      <c r="H103" s="2062">
        <v>74.7</v>
      </c>
      <c r="I103" s="2062">
        <v>4.8</v>
      </c>
      <c r="J103" s="2048"/>
    </row>
    <row r="104" spans="2:10" ht="7.9" customHeight="1">
      <c r="B104" s="2066"/>
      <c r="C104" s="2064"/>
      <c r="D104" s="2069"/>
      <c r="E104" s="2063"/>
      <c r="F104" s="2068"/>
      <c r="G104" s="2068"/>
      <c r="H104" s="2068"/>
      <c r="I104" s="2068"/>
      <c r="J104" s="2053"/>
    </row>
    <row r="105" spans="2:10" ht="15.2" customHeight="1">
      <c r="B105" s="2066" t="s">
        <v>1708</v>
      </c>
      <c r="C105" s="2064"/>
      <c r="D105" s="2063"/>
      <c r="E105" s="2063">
        <v>2018</v>
      </c>
      <c r="F105" s="2062"/>
      <c r="G105" s="2062"/>
      <c r="H105" s="2062">
        <v>74.3</v>
      </c>
      <c r="I105" s="2062">
        <v>2.8</v>
      </c>
      <c r="J105" s="2048"/>
    </row>
    <row r="106" spans="2:10" ht="15.2" customHeight="1">
      <c r="B106" s="2066"/>
      <c r="C106" s="2064"/>
      <c r="D106" s="2063"/>
      <c r="E106" s="2063">
        <v>2019</v>
      </c>
      <c r="F106" s="2062"/>
      <c r="G106" s="2062"/>
      <c r="H106" s="2062">
        <v>74.7</v>
      </c>
      <c r="I106" s="2062">
        <v>4.8</v>
      </c>
      <c r="J106" s="2053"/>
    </row>
    <row r="107" spans="2:10" ht="15.2" customHeight="1">
      <c r="B107" s="2066"/>
      <c r="C107" s="2064"/>
      <c r="D107" s="2063"/>
      <c r="E107" s="2063">
        <v>2020</v>
      </c>
      <c r="F107" s="2062"/>
      <c r="G107" s="2062"/>
      <c r="H107" s="2062">
        <v>74.7</v>
      </c>
      <c r="I107" s="2062">
        <v>4.8</v>
      </c>
      <c r="J107" s="2048"/>
    </row>
    <row r="108" spans="2:10" ht="7.9" customHeight="1">
      <c r="B108" s="2066"/>
      <c r="C108" s="2064"/>
      <c r="D108" s="2063"/>
      <c r="E108" s="2063"/>
      <c r="F108" s="2068"/>
      <c r="G108" s="2068"/>
      <c r="H108" s="2068"/>
      <c r="I108" s="2068"/>
      <c r="J108" s="2053"/>
    </row>
    <row r="109" spans="2:10" ht="15.2" customHeight="1">
      <c r="B109" s="2066" t="s">
        <v>1583</v>
      </c>
      <c r="C109" s="2064"/>
      <c r="D109" s="2063"/>
      <c r="E109" s="2063">
        <v>2018</v>
      </c>
      <c r="F109" s="2062"/>
      <c r="G109" s="2062"/>
      <c r="H109" s="2062">
        <v>74.3</v>
      </c>
      <c r="I109" s="2062">
        <v>2.8</v>
      </c>
      <c r="J109" s="2048"/>
    </row>
    <row r="110" spans="2:10" ht="15.2" customHeight="1">
      <c r="B110" s="2066"/>
      <c r="C110" s="2064"/>
      <c r="D110" s="2063"/>
      <c r="E110" s="2063">
        <v>2019</v>
      </c>
      <c r="F110" s="2062"/>
      <c r="G110" s="2062"/>
      <c r="H110" s="2062">
        <v>74.7</v>
      </c>
      <c r="I110" s="2062">
        <v>4.8</v>
      </c>
      <c r="J110" s="2053"/>
    </row>
    <row r="111" spans="2:10" ht="15.2" customHeight="1">
      <c r="B111" s="2066"/>
      <c r="C111" s="2064"/>
      <c r="D111" s="2063"/>
      <c r="E111" s="2063">
        <v>2020</v>
      </c>
      <c r="F111" s="2062"/>
      <c r="G111" s="2062"/>
      <c r="H111" s="2062">
        <v>74.7</v>
      </c>
      <c r="I111" s="2062">
        <v>4.8</v>
      </c>
      <c r="J111" s="2048"/>
    </row>
    <row r="112" spans="2:10" ht="7.9" customHeight="1">
      <c r="B112" s="2066"/>
      <c r="C112" s="2064"/>
      <c r="D112" s="2069"/>
      <c r="E112" s="2069"/>
      <c r="F112" s="2068"/>
      <c r="G112" s="2068"/>
      <c r="H112" s="2068"/>
      <c r="I112" s="2068"/>
      <c r="J112" s="2053"/>
    </row>
    <row r="113" spans="2:10" ht="15.2" customHeight="1">
      <c r="B113" s="2066" t="s">
        <v>1707</v>
      </c>
      <c r="C113" s="2064"/>
      <c r="D113" s="2063"/>
      <c r="E113" s="2063">
        <v>2018</v>
      </c>
      <c r="F113" s="2062"/>
      <c r="G113" s="2062"/>
      <c r="H113" s="2062">
        <v>74.3</v>
      </c>
      <c r="I113" s="2062">
        <v>2.8</v>
      </c>
      <c r="J113" s="2048"/>
    </row>
    <row r="114" spans="2:10" ht="15.2" customHeight="1">
      <c r="B114" s="2066"/>
      <c r="C114" s="2064"/>
      <c r="D114" s="2063"/>
      <c r="E114" s="2063">
        <v>2019</v>
      </c>
      <c r="F114" s="2062"/>
      <c r="G114" s="2062"/>
      <c r="H114" s="2062">
        <v>74.7</v>
      </c>
      <c r="I114" s="2062">
        <v>4.8</v>
      </c>
      <c r="J114" s="2053"/>
    </row>
    <row r="115" spans="2:10" ht="15.2" customHeight="1">
      <c r="B115" s="2066"/>
      <c r="C115" s="2064"/>
      <c r="D115" s="2063"/>
      <c r="E115" s="2063">
        <v>2020</v>
      </c>
      <c r="F115" s="2062"/>
      <c r="G115" s="2062"/>
      <c r="H115" s="2062">
        <v>74.7</v>
      </c>
      <c r="I115" s="2062">
        <v>4.8</v>
      </c>
      <c r="J115" s="2048"/>
    </row>
    <row r="116" spans="2:10" ht="7.9" customHeight="1">
      <c r="B116" s="2066"/>
      <c r="C116" s="1947"/>
      <c r="D116" s="2069"/>
      <c r="E116" s="2063"/>
      <c r="F116" s="2068"/>
      <c r="G116" s="2068"/>
      <c r="H116" s="2068"/>
      <c r="I116" s="2067"/>
      <c r="J116" s="2053"/>
    </row>
    <row r="117" spans="2:10" ht="15.2" customHeight="1">
      <c r="B117" s="2066" t="s">
        <v>1706</v>
      </c>
      <c r="C117" s="1947"/>
      <c r="D117" s="2063"/>
      <c r="E117" s="2063">
        <v>2018</v>
      </c>
      <c r="F117" s="2062"/>
      <c r="G117" s="2062"/>
      <c r="H117" s="2062">
        <v>74.3</v>
      </c>
      <c r="I117" s="2062">
        <v>2.8</v>
      </c>
      <c r="J117" s="2048"/>
    </row>
    <row r="118" spans="2:10" ht="15.2" customHeight="1">
      <c r="B118" s="2066"/>
      <c r="C118" s="1947"/>
      <c r="D118" s="2063"/>
      <c r="E118" s="2063">
        <v>2019</v>
      </c>
      <c r="F118" s="2062"/>
      <c r="G118" s="2062"/>
      <c r="H118" s="2062">
        <v>74.7</v>
      </c>
      <c r="I118" s="2062">
        <v>4.8</v>
      </c>
      <c r="J118" s="2053"/>
    </row>
    <row r="119" spans="2:10" ht="15.2" customHeight="1">
      <c r="B119" s="2066"/>
      <c r="C119" s="1947"/>
      <c r="D119" s="2063"/>
      <c r="E119" s="2063">
        <v>2020</v>
      </c>
      <c r="F119" s="2062"/>
      <c r="G119" s="2062"/>
      <c r="H119" s="2062">
        <v>74.7</v>
      </c>
      <c r="I119" s="2062">
        <v>4.8</v>
      </c>
      <c r="J119" s="2048"/>
    </row>
    <row r="120" spans="2:10" ht="8.1" customHeight="1">
      <c r="B120" s="2066"/>
      <c r="C120" s="1947"/>
      <c r="D120" s="2063"/>
      <c r="E120" s="2063"/>
      <c r="F120" s="2067"/>
      <c r="G120" s="2067"/>
      <c r="H120" s="2067"/>
      <c r="I120" s="2067"/>
      <c r="J120" s="2048"/>
    </row>
    <row r="121" spans="2:10" ht="15.2" customHeight="1">
      <c r="B121" s="2066" t="s">
        <v>1705</v>
      </c>
      <c r="C121" s="1947"/>
      <c r="D121" s="2063"/>
      <c r="E121" s="2063">
        <v>2018</v>
      </c>
      <c r="F121" s="2062"/>
      <c r="G121" s="2062"/>
      <c r="H121" s="2062">
        <v>74.3</v>
      </c>
      <c r="I121" s="2062">
        <v>2.8</v>
      </c>
      <c r="J121" s="2048"/>
    </row>
    <row r="122" spans="2:10" ht="15.2" customHeight="1">
      <c r="B122" s="2066"/>
      <c r="C122" s="1947"/>
      <c r="D122" s="2063"/>
      <c r="E122" s="2063">
        <v>2019</v>
      </c>
      <c r="F122" s="2062"/>
      <c r="G122" s="2062"/>
      <c r="H122" s="2062">
        <v>74.7</v>
      </c>
      <c r="I122" s="2062">
        <v>4.8</v>
      </c>
      <c r="J122" s="2048"/>
    </row>
    <row r="123" spans="2:10" ht="15.2" customHeight="1">
      <c r="B123" s="2066"/>
      <c r="C123" s="1947"/>
      <c r="D123" s="2063"/>
      <c r="E123" s="2063">
        <v>2020</v>
      </c>
      <c r="F123" s="2062"/>
      <c r="G123" s="2062"/>
      <c r="H123" s="2062">
        <v>74.7</v>
      </c>
      <c r="I123" s="2062">
        <v>4.8</v>
      </c>
      <c r="J123" s="2048"/>
    </row>
    <row r="124" spans="2:10" ht="8.1" customHeight="1">
      <c r="B124" s="2066"/>
      <c r="C124" s="1947"/>
      <c r="D124" s="2063"/>
      <c r="E124" s="2069"/>
      <c r="F124" s="2067"/>
      <c r="G124" s="2067"/>
      <c r="H124" s="2067"/>
      <c r="I124" s="2067"/>
      <c r="J124" s="2048"/>
    </row>
    <row r="125" spans="2:10" ht="15.2" customHeight="1">
      <c r="B125" s="2066" t="s">
        <v>1688</v>
      </c>
      <c r="C125" s="2064"/>
      <c r="D125" s="2063"/>
      <c r="E125" s="2063">
        <v>2018</v>
      </c>
      <c r="F125" s="2062"/>
      <c r="G125" s="2062"/>
      <c r="H125" s="2062">
        <v>74.3</v>
      </c>
      <c r="I125" s="2062">
        <v>2.8</v>
      </c>
      <c r="J125" s="2048"/>
    </row>
    <row r="126" spans="2:10" ht="15.2" customHeight="1">
      <c r="B126" s="2066"/>
      <c r="C126" s="2064"/>
      <c r="D126" s="2063"/>
      <c r="E126" s="2063">
        <v>2019</v>
      </c>
      <c r="F126" s="2062"/>
      <c r="G126" s="2062"/>
      <c r="H126" s="2062">
        <v>74.7</v>
      </c>
      <c r="I126" s="2062">
        <v>4.8</v>
      </c>
      <c r="J126" s="2048"/>
    </row>
    <row r="127" spans="2:10" ht="15.2" customHeight="1">
      <c r="B127" s="2066"/>
      <c r="C127" s="2064"/>
      <c r="D127" s="2063"/>
      <c r="E127" s="2063">
        <v>2020</v>
      </c>
      <c r="F127" s="2062"/>
      <c r="G127" s="2062"/>
      <c r="H127" s="2062">
        <v>74.7</v>
      </c>
      <c r="I127" s="2062">
        <v>4.8</v>
      </c>
      <c r="J127" s="2048"/>
    </row>
    <row r="128" spans="2:10" ht="8.1" customHeight="1">
      <c r="B128" s="2066"/>
      <c r="C128" s="1947"/>
      <c r="D128" s="2069"/>
      <c r="E128" s="2063"/>
      <c r="F128" s="2068"/>
      <c r="G128" s="2068"/>
      <c r="H128" s="2068"/>
      <c r="I128" s="2068"/>
      <c r="J128" s="2048"/>
    </row>
    <row r="129" spans="1:10" ht="15.2" customHeight="1">
      <c r="B129" s="2066" t="s">
        <v>1687</v>
      </c>
      <c r="C129" s="1947"/>
      <c r="D129" s="2063"/>
      <c r="E129" s="2063">
        <v>2018</v>
      </c>
      <c r="F129" s="2062"/>
      <c r="G129" s="2062"/>
      <c r="H129" s="2062">
        <v>74.3</v>
      </c>
      <c r="I129" s="2062">
        <v>2.8</v>
      </c>
      <c r="J129" s="2048"/>
    </row>
    <row r="130" spans="1:10" ht="15.2" customHeight="1">
      <c r="B130" s="2066"/>
      <c r="C130" s="1947"/>
      <c r="D130" s="2063"/>
      <c r="E130" s="2063">
        <v>2019</v>
      </c>
      <c r="F130" s="2062"/>
      <c r="G130" s="2062"/>
      <c r="H130" s="2062">
        <v>74.7</v>
      </c>
      <c r="I130" s="2062">
        <v>4.8</v>
      </c>
      <c r="J130" s="2048"/>
    </row>
    <row r="131" spans="1:10" ht="15.2" customHeight="1">
      <c r="B131" s="2066"/>
      <c r="C131" s="1947"/>
      <c r="D131" s="2063"/>
      <c r="E131" s="2063">
        <v>2020</v>
      </c>
      <c r="F131" s="2062"/>
      <c r="G131" s="2062"/>
      <c r="H131" s="2062">
        <v>74.7</v>
      </c>
      <c r="I131" s="2062">
        <v>4.8</v>
      </c>
      <c r="J131" s="2048"/>
    </row>
    <row r="132" spans="1:10" ht="8.1" customHeight="1">
      <c r="B132" s="2066"/>
      <c r="C132" s="1947"/>
      <c r="D132" s="2063"/>
      <c r="E132" s="2063"/>
      <c r="F132" s="2067"/>
      <c r="G132" s="2067"/>
      <c r="H132" s="2067"/>
      <c r="I132" s="2067"/>
      <c r="J132" s="2048"/>
    </row>
    <row r="133" spans="1:10" ht="15.2" customHeight="1">
      <c r="B133" s="2066" t="s">
        <v>1686</v>
      </c>
      <c r="C133" s="1947"/>
      <c r="D133" s="2063"/>
      <c r="E133" s="2063">
        <v>2018</v>
      </c>
      <c r="F133" s="2062"/>
      <c r="G133" s="2062"/>
      <c r="H133" s="2062">
        <v>74.3</v>
      </c>
      <c r="I133" s="2062">
        <v>2.8</v>
      </c>
      <c r="J133" s="2048"/>
    </row>
    <row r="134" spans="1:10" ht="15.2" customHeight="1">
      <c r="C134" s="1947"/>
      <c r="D134" s="2063"/>
      <c r="E134" s="2063">
        <v>2019</v>
      </c>
      <c r="F134" s="2062"/>
      <c r="G134" s="2062"/>
      <c r="H134" s="2062">
        <v>74.7</v>
      </c>
      <c r="I134" s="2062">
        <v>4.8</v>
      </c>
      <c r="J134" s="2048"/>
    </row>
    <row r="135" spans="1:10" ht="15.2" customHeight="1">
      <c r="C135" s="1947"/>
      <c r="D135" s="2063"/>
      <c r="E135" s="2063">
        <v>2020</v>
      </c>
      <c r="F135" s="2062"/>
      <c r="G135" s="2062"/>
      <c r="H135" s="2062">
        <v>74.7</v>
      </c>
      <c r="I135" s="2062">
        <v>4.8</v>
      </c>
      <c r="J135" s="2048"/>
    </row>
    <row r="136" spans="1:10" ht="7.9" customHeight="1" thickBot="1">
      <c r="A136" s="2060"/>
      <c r="B136" s="2060"/>
      <c r="C136" s="2060"/>
      <c r="D136" s="2061"/>
      <c r="E136" s="2060"/>
      <c r="F136" s="2060"/>
      <c r="G136" s="2060"/>
      <c r="H136" s="2060"/>
      <c r="I136" s="2060"/>
      <c r="J136" s="2053"/>
    </row>
    <row r="137" spans="1:10" ht="15.2" customHeight="1">
      <c r="A137" s="2058"/>
      <c r="B137" s="2057"/>
      <c r="C137" s="2057"/>
      <c r="D137" s="2056"/>
      <c r="E137" s="2055"/>
      <c r="F137" s="2049"/>
      <c r="G137" s="2863" t="s">
        <v>0</v>
      </c>
      <c r="H137" s="2863"/>
      <c r="I137" s="2863"/>
      <c r="J137" s="2048"/>
    </row>
    <row r="138" spans="1:10" ht="15.2" customHeight="1">
      <c r="A138" s="2052"/>
      <c r="D138" s="2051"/>
      <c r="E138" s="2050"/>
      <c r="F138" s="2049"/>
      <c r="G138" s="2861" t="s">
        <v>1</v>
      </c>
      <c r="H138" s="2861"/>
      <c r="I138" s="2861"/>
      <c r="J138" s="2053"/>
    </row>
    <row r="139" spans="1:10" ht="15.2" customHeight="1">
      <c r="A139" s="2052"/>
      <c r="D139" s="2051"/>
      <c r="E139" s="2050"/>
      <c r="F139" s="2049"/>
      <c r="G139" s="2054"/>
      <c r="H139" s="2054"/>
      <c r="I139" s="2054"/>
      <c r="J139" s="2053"/>
    </row>
    <row r="140" spans="1:10" s="1" customFormat="1" ht="8.1" customHeight="1">
      <c r="A140" s="2031"/>
      <c r="B140" s="24"/>
    </row>
    <row r="141" spans="1:10" s="1" customFormat="1" ht="16.5">
      <c r="A141" s="23"/>
      <c r="B141" s="25"/>
    </row>
    <row r="142" spans="1:10" ht="17.25" customHeight="1">
      <c r="A142" s="2098"/>
      <c r="B142" s="2097" t="s">
        <v>1704</v>
      </c>
      <c r="C142" s="2096" t="s">
        <v>1703</v>
      </c>
      <c r="D142" s="2092"/>
      <c r="E142" s="2070"/>
      <c r="F142" s="2070"/>
      <c r="G142" s="2070"/>
      <c r="H142" s="2070"/>
      <c r="I142" s="2070"/>
      <c r="J142" s="2070"/>
    </row>
    <row r="143" spans="1:10" ht="17.25" customHeight="1">
      <c r="A143" s="2095"/>
      <c r="B143" s="2094" t="s">
        <v>1702</v>
      </c>
      <c r="C143" s="2093" t="s">
        <v>1701</v>
      </c>
      <c r="D143" s="2092"/>
      <c r="E143" s="2070"/>
      <c r="F143" s="2070"/>
      <c r="G143" s="2070"/>
      <c r="H143" s="2070"/>
      <c r="I143" s="2070"/>
      <c r="J143" s="2070"/>
    </row>
    <row r="144" spans="1:10" ht="15.2" customHeight="1" thickBot="1">
      <c r="A144" s="2091"/>
      <c r="B144" s="2091"/>
      <c r="C144" s="2090"/>
      <c r="D144" s="2089"/>
      <c r="E144" s="2088"/>
      <c r="F144" s="2088"/>
      <c r="G144" s="2088"/>
      <c r="H144" s="2088"/>
      <c r="I144" s="2088"/>
      <c r="J144" s="2065"/>
    </row>
    <row r="145" spans="1:45" s="2074" customFormat="1" ht="8.1" customHeight="1">
      <c r="A145" s="2075"/>
      <c r="B145" s="2087"/>
      <c r="C145" s="2084"/>
      <c r="D145" s="2080"/>
      <c r="E145" s="2080"/>
      <c r="F145" s="2086"/>
      <c r="G145" s="2862" t="s">
        <v>1700</v>
      </c>
      <c r="H145" s="2862"/>
      <c r="I145" s="2086"/>
      <c r="M145" s="2075"/>
    </row>
    <row r="146" spans="1:45" s="2074" customFormat="1" ht="38.25" customHeight="1">
      <c r="A146" s="2075"/>
      <c r="B146" s="2085" t="s">
        <v>1699</v>
      </c>
      <c r="C146" s="2084"/>
      <c r="D146" s="2083"/>
      <c r="E146" s="2080" t="s">
        <v>39</v>
      </c>
      <c r="F146" s="2079"/>
      <c r="G146" s="2862"/>
      <c r="H146" s="2862"/>
      <c r="I146" s="2082" t="s">
        <v>1698</v>
      </c>
      <c r="M146" s="2075"/>
    </row>
    <row r="147" spans="1:45" s="2074" customFormat="1" ht="15" customHeight="1">
      <c r="A147" s="2075"/>
      <c r="B147" s="2864" t="s">
        <v>1697</v>
      </c>
      <c r="C147" s="2865"/>
      <c r="D147" s="2080"/>
      <c r="E147" s="2081" t="s">
        <v>40</v>
      </c>
      <c r="F147" s="2079"/>
      <c r="G147" s="2866" t="s">
        <v>1696</v>
      </c>
      <c r="H147" s="2866"/>
      <c r="I147" s="2866" t="s">
        <v>1695</v>
      </c>
      <c r="M147" s="2075"/>
    </row>
    <row r="148" spans="1:45" s="2074" customFormat="1" ht="15" customHeight="1">
      <c r="A148" s="2075"/>
      <c r="B148" s="2865"/>
      <c r="C148" s="2865"/>
      <c r="D148" s="2080"/>
      <c r="E148" s="2080"/>
      <c r="F148" s="2079"/>
      <c r="G148" s="2866"/>
      <c r="H148" s="2866"/>
      <c r="I148" s="2866"/>
      <c r="M148" s="2075"/>
    </row>
    <row r="149" spans="1:45" s="2073" customFormat="1" ht="7.9" customHeight="1" thickBot="1">
      <c r="A149" s="2076"/>
      <c r="B149" s="2078"/>
      <c r="C149" s="2076"/>
      <c r="D149" s="2077"/>
      <c r="E149" s="2077"/>
      <c r="F149" s="2076"/>
      <c r="G149" s="2076"/>
      <c r="H149" s="2076"/>
      <c r="I149" s="2076"/>
      <c r="J149" s="2075"/>
      <c r="K149" s="2074"/>
      <c r="L149" s="2074"/>
      <c r="M149" s="2075"/>
      <c r="N149" s="2074"/>
      <c r="O149" s="2074"/>
      <c r="P149" s="2074"/>
      <c r="Q149" s="2074"/>
      <c r="R149" s="2074"/>
      <c r="S149" s="2074"/>
      <c r="T149" s="2074"/>
      <c r="U149" s="2074"/>
      <c r="V149" s="2074"/>
      <c r="W149" s="2074"/>
      <c r="X149" s="2074"/>
      <c r="Y149" s="2074"/>
      <c r="Z149" s="2074"/>
      <c r="AA149" s="2074"/>
      <c r="AB149" s="2074"/>
      <c r="AC149" s="2074"/>
      <c r="AD149" s="2074"/>
      <c r="AE149" s="2074"/>
      <c r="AF149" s="2074"/>
      <c r="AG149" s="2074"/>
      <c r="AH149" s="2074"/>
      <c r="AI149" s="2074"/>
      <c r="AJ149" s="2074"/>
      <c r="AK149" s="2074"/>
      <c r="AL149" s="2074"/>
      <c r="AM149" s="2074"/>
      <c r="AN149" s="2074"/>
      <c r="AO149" s="2074"/>
      <c r="AP149" s="2074"/>
      <c r="AQ149" s="2074"/>
      <c r="AR149" s="2074"/>
      <c r="AS149" s="2074"/>
    </row>
    <row r="150" spans="1:45" ht="7.9" customHeight="1">
      <c r="B150" s="2065"/>
      <c r="C150" s="2064"/>
      <c r="F150" s="2072"/>
      <c r="G150" s="2072"/>
      <c r="H150" s="2072"/>
      <c r="I150" s="2072"/>
    </row>
    <row r="151" spans="1:45" ht="15.2" customHeight="1">
      <c r="A151" s="2070"/>
      <c r="B151" s="2066" t="s">
        <v>1694</v>
      </c>
      <c r="C151" s="2064"/>
      <c r="D151" s="2063"/>
      <c r="E151" s="2063">
        <v>2018</v>
      </c>
      <c r="F151" s="2062"/>
      <c r="G151" s="2062"/>
      <c r="H151" s="2062">
        <v>74.3</v>
      </c>
      <c r="I151" s="2062">
        <v>2.8</v>
      </c>
      <c r="J151" s="2071"/>
    </row>
    <row r="152" spans="1:45" ht="15.2" customHeight="1">
      <c r="A152" s="2070"/>
      <c r="B152" s="2066"/>
      <c r="C152" s="2064"/>
      <c r="D152" s="2063"/>
      <c r="E152" s="2063">
        <v>2019</v>
      </c>
      <c r="F152" s="2062"/>
      <c r="G152" s="2062"/>
      <c r="H152" s="2062">
        <v>74.7</v>
      </c>
      <c r="I152" s="2062">
        <v>4.8</v>
      </c>
      <c r="J152" s="2059"/>
    </row>
    <row r="153" spans="1:45" ht="15.2" customHeight="1">
      <c r="A153" s="2070"/>
      <c r="B153" s="2066"/>
      <c r="C153" s="2064"/>
      <c r="D153" s="2063"/>
      <c r="E153" s="2063">
        <v>2020</v>
      </c>
      <c r="F153" s="2062"/>
      <c r="G153" s="2062"/>
      <c r="H153" s="2062">
        <v>74.7</v>
      </c>
      <c r="I153" s="2062">
        <v>4.8</v>
      </c>
      <c r="J153" s="2048"/>
    </row>
    <row r="154" spans="1:45" ht="7.9" customHeight="1">
      <c r="B154" s="2066"/>
      <c r="C154" s="2064"/>
      <c r="D154" s="2063"/>
      <c r="E154" s="2063"/>
      <c r="F154" s="2067"/>
      <c r="G154" s="2067"/>
      <c r="H154" s="2067"/>
      <c r="I154" s="2067"/>
      <c r="J154" s="2059"/>
    </row>
    <row r="155" spans="1:45" ht="15.2" customHeight="1">
      <c r="B155" s="2066" t="s">
        <v>1580</v>
      </c>
      <c r="C155" s="2064"/>
      <c r="D155" s="2063"/>
      <c r="E155" s="2063">
        <v>2018</v>
      </c>
      <c r="F155" s="2062"/>
      <c r="G155" s="2062"/>
      <c r="H155" s="2062">
        <v>74.3</v>
      </c>
      <c r="I155" s="2062">
        <v>2.8</v>
      </c>
      <c r="J155" s="2048"/>
    </row>
    <row r="156" spans="1:45" ht="15.2" customHeight="1">
      <c r="B156" s="2066"/>
      <c r="C156" s="2064"/>
      <c r="D156" s="2063"/>
      <c r="E156" s="2063">
        <v>2019</v>
      </c>
      <c r="F156" s="2062"/>
      <c r="G156" s="2062"/>
      <c r="H156" s="2062">
        <v>74.7</v>
      </c>
      <c r="I156" s="2062">
        <v>4.8</v>
      </c>
      <c r="J156" s="2059"/>
    </row>
    <row r="157" spans="1:45" ht="15.2" customHeight="1">
      <c r="B157" s="2066"/>
      <c r="C157" s="2064"/>
      <c r="D157" s="2063"/>
      <c r="E157" s="2063">
        <v>2020</v>
      </c>
      <c r="F157" s="2062"/>
      <c r="G157" s="2062"/>
      <c r="H157" s="2062">
        <v>74.7</v>
      </c>
      <c r="I157" s="2062">
        <v>4.8</v>
      </c>
      <c r="J157" s="2048"/>
    </row>
    <row r="158" spans="1:45" ht="7.9" customHeight="1">
      <c r="B158" s="2066"/>
      <c r="C158" s="2064"/>
      <c r="D158" s="2063"/>
      <c r="E158" s="2063"/>
      <c r="F158" s="2067"/>
      <c r="G158" s="2067"/>
      <c r="H158" s="2067"/>
      <c r="I158" s="2067"/>
      <c r="J158" s="2059"/>
    </row>
    <row r="159" spans="1:45" ht="15.2" customHeight="1">
      <c r="B159" s="2066" t="s">
        <v>1693</v>
      </c>
      <c r="C159" s="2064"/>
      <c r="D159" s="2063"/>
      <c r="E159" s="2063">
        <v>2018</v>
      </c>
      <c r="F159" s="2062"/>
      <c r="G159" s="2062"/>
      <c r="H159" s="2062">
        <v>74.3</v>
      </c>
      <c r="I159" s="2062">
        <v>2.8</v>
      </c>
      <c r="J159" s="2048"/>
    </row>
    <row r="160" spans="1:45" ht="15.2" customHeight="1">
      <c r="B160" s="2066"/>
      <c r="C160" s="2064"/>
      <c r="D160" s="2063"/>
      <c r="E160" s="2063">
        <v>2019</v>
      </c>
      <c r="F160" s="2062"/>
      <c r="G160" s="2062"/>
      <c r="H160" s="2062">
        <v>74.7</v>
      </c>
      <c r="I160" s="2062">
        <v>4.8</v>
      </c>
      <c r="J160" s="2059"/>
    </row>
    <row r="161" spans="2:10" ht="15.2" customHeight="1">
      <c r="B161" s="2066"/>
      <c r="C161" s="2064"/>
      <c r="D161" s="2063"/>
      <c r="E161" s="2063">
        <v>2020</v>
      </c>
      <c r="F161" s="2062"/>
      <c r="G161" s="2062"/>
      <c r="H161" s="2062">
        <v>74.7</v>
      </c>
      <c r="I161" s="2062">
        <v>4.8</v>
      </c>
      <c r="J161" s="2048"/>
    </row>
    <row r="162" spans="2:10" ht="7.9" customHeight="1">
      <c r="B162" s="2066"/>
      <c r="C162" s="2064"/>
      <c r="D162" s="2069"/>
      <c r="E162" s="2069"/>
      <c r="F162" s="2068"/>
      <c r="G162" s="2068"/>
      <c r="H162" s="2068"/>
      <c r="I162" s="2068"/>
      <c r="J162" s="2059"/>
    </row>
    <row r="163" spans="2:10" ht="15.2" customHeight="1">
      <c r="B163" s="2066" t="s">
        <v>1692</v>
      </c>
      <c r="C163" s="2064"/>
      <c r="D163" s="2063"/>
      <c r="E163" s="2063">
        <v>2018</v>
      </c>
      <c r="F163" s="2062"/>
      <c r="G163" s="2062"/>
      <c r="H163" s="2062">
        <v>74.3</v>
      </c>
      <c r="I163" s="2062">
        <v>2.8</v>
      </c>
      <c r="J163" s="2048"/>
    </row>
    <row r="164" spans="2:10" ht="15.2" customHeight="1">
      <c r="B164" s="2066"/>
      <c r="C164" s="2064"/>
      <c r="D164" s="2063"/>
      <c r="E164" s="2063">
        <v>2019</v>
      </c>
      <c r="F164" s="2062"/>
      <c r="G164" s="2062"/>
      <c r="H164" s="2062">
        <v>74.7</v>
      </c>
      <c r="I164" s="2062">
        <v>4.8</v>
      </c>
      <c r="J164" s="2059"/>
    </row>
    <row r="165" spans="2:10" ht="15.2" customHeight="1">
      <c r="B165" s="2066"/>
      <c r="C165" s="2064"/>
      <c r="D165" s="2063"/>
      <c r="E165" s="2063">
        <v>2020</v>
      </c>
      <c r="F165" s="2062"/>
      <c r="G165" s="2062"/>
      <c r="H165" s="2062">
        <v>74.7</v>
      </c>
      <c r="I165" s="2062">
        <v>4.8</v>
      </c>
      <c r="J165" s="2048"/>
    </row>
    <row r="166" spans="2:10" ht="7.9" customHeight="1">
      <c r="B166" s="2066"/>
      <c r="C166" s="2064"/>
      <c r="D166" s="2063"/>
      <c r="E166" s="2063"/>
      <c r="F166" s="2067"/>
      <c r="G166" s="2067"/>
      <c r="H166" s="2067"/>
      <c r="I166" s="2067"/>
      <c r="J166" s="2059"/>
    </row>
    <row r="167" spans="2:10" ht="15.2" customHeight="1">
      <c r="B167" s="2066" t="s">
        <v>1691</v>
      </c>
      <c r="C167" s="2064"/>
      <c r="D167" s="2063"/>
      <c r="E167" s="2063">
        <v>2018</v>
      </c>
      <c r="F167" s="2062"/>
      <c r="G167" s="2062"/>
      <c r="H167" s="2062">
        <v>74.3</v>
      </c>
      <c r="I167" s="2062">
        <v>2.8</v>
      </c>
      <c r="J167" s="2048"/>
    </row>
    <row r="168" spans="2:10" ht="15.2" customHeight="1">
      <c r="B168" s="2066"/>
      <c r="C168" s="2064"/>
      <c r="D168" s="2063"/>
      <c r="E168" s="2063">
        <v>2019</v>
      </c>
      <c r="F168" s="2062"/>
      <c r="G168" s="2062"/>
      <c r="H168" s="2062">
        <v>74.7</v>
      </c>
      <c r="I168" s="2062">
        <v>4.8</v>
      </c>
      <c r="J168" s="2059"/>
    </row>
    <row r="169" spans="2:10" ht="15.2" customHeight="1">
      <c r="B169" s="2066"/>
      <c r="C169" s="2064"/>
      <c r="D169" s="2063"/>
      <c r="E169" s="2063">
        <v>2020</v>
      </c>
      <c r="F169" s="2062"/>
      <c r="G169" s="2062"/>
      <c r="H169" s="2062">
        <v>74.7</v>
      </c>
      <c r="I169" s="2062">
        <v>4.8</v>
      </c>
      <c r="J169" s="2048"/>
    </row>
    <row r="170" spans="2:10" ht="7.9" customHeight="1">
      <c r="B170" s="2066"/>
      <c r="C170" s="2064"/>
      <c r="D170" s="2069"/>
      <c r="E170" s="2063"/>
      <c r="F170" s="2068"/>
      <c r="G170" s="2068"/>
      <c r="H170" s="2068"/>
      <c r="I170" s="2068"/>
      <c r="J170" s="2059"/>
    </row>
    <row r="171" spans="2:10" ht="15.2" customHeight="1">
      <c r="B171" s="2066" t="s">
        <v>1690</v>
      </c>
      <c r="C171" s="2064"/>
      <c r="D171" s="2063"/>
      <c r="E171" s="2063">
        <v>2018</v>
      </c>
      <c r="F171" s="2062"/>
      <c r="G171" s="2062"/>
      <c r="H171" s="2062">
        <v>74.3</v>
      </c>
      <c r="I171" s="2062">
        <v>2.8</v>
      </c>
      <c r="J171" s="2048"/>
    </row>
    <row r="172" spans="2:10" ht="15.2" customHeight="1">
      <c r="B172" s="2066"/>
      <c r="C172" s="2064"/>
      <c r="D172" s="2063"/>
      <c r="E172" s="2063">
        <v>2019</v>
      </c>
      <c r="F172" s="2062"/>
      <c r="G172" s="2062"/>
      <c r="H172" s="2062">
        <v>74.7</v>
      </c>
      <c r="I172" s="2062">
        <v>4.8</v>
      </c>
      <c r="J172" s="2059"/>
    </row>
    <row r="173" spans="2:10" ht="15.2" customHeight="1">
      <c r="B173" s="2066"/>
      <c r="C173" s="2064"/>
      <c r="D173" s="2063"/>
      <c r="E173" s="2063">
        <v>2020</v>
      </c>
      <c r="F173" s="2062"/>
      <c r="G173" s="2062"/>
      <c r="H173" s="2062">
        <v>74.7</v>
      </c>
      <c r="I173" s="2062">
        <v>4.8</v>
      </c>
      <c r="J173" s="2048"/>
    </row>
    <row r="174" spans="2:10" ht="7.9" customHeight="1">
      <c r="B174" s="2066"/>
      <c r="C174" s="2064"/>
      <c r="D174" s="2063"/>
      <c r="E174" s="2063"/>
      <c r="F174" s="2067"/>
      <c r="G174" s="2067"/>
      <c r="H174" s="2067"/>
      <c r="I174" s="2067"/>
      <c r="J174" s="2059"/>
    </row>
    <row r="175" spans="2:10" ht="15.2" customHeight="1">
      <c r="B175" s="2066" t="s">
        <v>1689</v>
      </c>
      <c r="C175" s="2064"/>
      <c r="D175" s="2063"/>
      <c r="E175" s="2063">
        <v>2018</v>
      </c>
      <c r="F175" s="2062"/>
      <c r="G175" s="2062"/>
      <c r="H175" s="2062">
        <v>74.3</v>
      </c>
      <c r="I175" s="2062">
        <v>2.8</v>
      </c>
      <c r="J175" s="2048"/>
    </row>
    <row r="176" spans="2:10" ht="15.2" customHeight="1">
      <c r="B176" s="2066"/>
      <c r="C176" s="2064"/>
      <c r="D176" s="2063"/>
      <c r="E176" s="2063">
        <v>2019</v>
      </c>
      <c r="F176" s="2062"/>
      <c r="G176" s="2062"/>
      <c r="H176" s="2062">
        <v>74.7</v>
      </c>
      <c r="I176" s="2062">
        <v>4.8</v>
      </c>
      <c r="J176" s="2059"/>
    </row>
    <row r="177" spans="2:10" ht="15.2" customHeight="1">
      <c r="B177" s="2066"/>
      <c r="C177" s="2064"/>
      <c r="D177" s="2063"/>
      <c r="E177" s="2063">
        <v>2020</v>
      </c>
      <c r="F177" s="2062"/>
      <c r="G177" s="2062"/>
      <c r="H177" s="2062">
        <v>74.7</v>
      </c>
      <c r="I177" s="2062">
        <v>4.8</v>
      </c>
      <c r="J177" s="2048"/>
    </row>
    <row r="178" spans="2:10" ht="7.9" customHeight="1">
      <c r="B178" s="2066"/>
      <c r="C178" s="2064"/>
      <c r="D178" s="2063"/>
      <c r="E178" s="2063"/>
      <c r="F178" s="2067"/>
      <c r="G178" s="2067"/>
      <c r="H178" s="2067"/>
      <c r="I178" s="2067"/>
      <c r="J178" s="2059"/>
    </row>
    <row r="179" spans="2:10" ht="15.2" customHeight="1">
      <c r="B179" s="2066" t="s">
        <v>1688</v>
      </c>
      <c r="C179" s="2064"/>
      <c r="D179" s="2063"/>
      <c r="E179" s="2063">
        <v>2018</v>
      </c>
      <c r="F179" s="2062"/>
      <c r="G179" s="2062"/>
      <c r="H179" s="2062">
        <v>74.3</v>
      </c>
      <c r="I179" s="2062">
        <v>2.8</v>
      </c>
      <c r="J179" s="2048"/>
    </row>
    <row r="180" spans="2:10" ht="15.2" customHeight="1">
      <c r="B180" s="2066"/>
      <c r="C180" s="2064"/>
      <c r="D180" s="2063"/>
      <c r="E180" s="2063">
        <v>2019</v>
      </c>
      <c r="F180" s="2062"/>
      <c r="G180" s="2062"/>
      <c r="H180" s="2062">
        <v>74.7</v>
      </c>
      <c r="I180" s="2062">
        <v>4.8</v>
      </c>
      <c r="J180" s="2059"/>
    </row>
    <row r="181" spans="2:10" ht="15.2" customHeight="1">
      <c r="B181" s="2066"/>
      <c r="C181" s="2064"/>
      <c r="D181" s="2063"/>
      <c r="E181" s="2063">
        <v>2020</v>
      </c>
      <c r="F181" s="2062"/>
      <c r="G181" s="2062"/>
      <c r="H181" s="2062">
        <v>74.7</v>
      </c>
      <c r="I181" s="2062">
        <v>4.8</v>
      </c>
      <c r="J181" s="2048"/>
    </row>
    <row r="182" spans="2:10" ht="7.9" customHeight="1">
      <c r="B182" s="2066"/>
      <c r="C182" s="1947"/>
      <c r="D182" s="2069"/>
      <c r="E182" s="2063"/>
      <c r="F182" s="2068"/>
      <c r="G182" s="2068"/>
      <c r="H182" s="2068"/>
      <c r="I182" s="2068"/>
      <c r="J182" s="2059"/>
    </row>
    <row r="183" spans="2:10" ht="15.2" customHeight="1">
      <c r="B183" s="2066" t="s">
        <v>1687</v>
      </c>
      <c r="C183" s="1947"/>
      <c r="D183" s="2063"/>
      <c r="E183" s="2063">
        <v>2018</v>
      </c>
      <c r="F183" s="2062"/>
      <c r="G183" s="2062"/>
      <c r="H183" s="2062">
        <v>74.3</v>
      </c>
      <c r="I183" s="2062">
        <v>2.8</v>
      </c>
      <c r="J183" s="2048"/>
    </row>
    <row r="184" spans="2:10" ht="15.2" customHeight="1">
      <c r="B184" s="2066"/>
      <c r="C184" s="1947"/>
      <c r="D184" s="2063"/>
      <c r="E184" s="2063">
        <v>2019</v>
      </c>
      <c r="F184" s="2062"/>
      <c r="G184" s="2062"/>
      <c r="H184" s="2062">
        <v>74.7</v>
      </c>
      <c r="I184" s="2062">
        <v>4.8</v>
      </c>
      <c r="J184" s="2059"/>
    </row>
    <row r="185" spans="2:10" ht="15.2" customHeight="1">
      <c r="B185" s="2066"/>
      <c r="C185" s="1947"/>
      <c r="D185" s="2063"/>
      <c r="E185" s="2063">
        <v>2020</v>
      </c>
      <c r="F185" s="2062"/>
      <c r="G185" s="2062"/>
      <c r="H185" s="2062">
        <v>74.7</v>
      </c>
      <c r="I185" s="2062">
        <v>4.8</v>
      </c>
      <c r="J185" s="2048"/>
    </row>
    <row r="186" spans="2:10" ht="8.1" customHeight="1">
      <c r="B186" s="2066"/>
      <c r="C186" s="1947"/>
      <c r="D186" s="2063"/>
      <c r="E186" s="2063"/>
      <c r="F186" s="2067"/>
      <c r="G186" s="2067"/>
      <c r="H186" s="2067"/>
      <c r="I186" s="2067"/>
      <c r="J186" s="2059"/>
    </row>
    <row r="187" spans="2:10" ht="15.2" customHeight="1">
      <c r="B187" s="2066" t="s">
        <v>1686</v>
      </c>
      <c r="C187" s="1947"/>
      <c r="D187" s="2063"/>
      <c r="E187" s="2063">
        <v>2018</v>
      </c>
      <c r="F187" s="2062"/>
      <c r="G187" s="2062"/>
      <c r="H187" s="2062">
        <v>74.3</v>
      </c>
      <c r="I187" s="2062">
        <v>2.8</v>
      </c>
      <c r="J187" s="2048"/>
    </row>
    <row r="188" spans="2:10" ht="15.2" customHeight="1">
      <c r="B188" s="2066"/>
      <c r="C188" s="1947"/>
      <c r="D188" s="2063"/>
      <c r="E188" s="2063">
        <v>2019</v>
      </c>
      <c r="F188" s="2062"/>
      <c r="G188" s="2062"/>
      <c r="H188" s="2062">
        <v>74.7</v>
      </c>
      <c r="I188" s="2062">
        <v>4.8</v>
      </c>
      <c r="J188" s="2059"/>
    </row>
    <row r="189" spans="2:10" ht="15.2" customHeight="1">
      <c r="B189" s="2066"/>
      <c r="C189" s="1947"/>
      <c r="D189" s="2063"/>
      <c r="E189" s="2063">
        <v>2020</v>
      </c>
      <c r="F189" s="2062"/>
      <c r="G189" s="2062"/>
      <c r="H189" s="2062">
        <v>74.7</v>
      </c>
      <c r="I189" s="2062">
        <v>4.8</v>
      </c>
      <c r="J189" s="2048"/>
    </row>
    <row r="190" spans="2:10" ht="8.1" customHeight="1">
      <c r="B190" s="2066"/>
      <c r="C190" s="1947"/>
      <c r="D190" s="2063"/>
      <c r="E190" s="2063"/>
      <c r="F190" s="2067"/>
      <c r="G190" s="2067"/>
      <c r="H190" s="2067"/>
      <c r="I190" s="2067"/>
      <c r="J190" s="2048"/>
    </row>
    <row r="191" spans="2:10" ht="15.2" customHeight="1">
      <c r="B191" s="2066" t="s">
        <v>1685</v>
      </c>
      <c r="C191" s="2064"/>
      <c r="D191" s="2063"/>
      <c r="E191" s="2063">
        <v>2018</v>
      </c>
      <c r="F191" s="2062"/>
      <c r="G191" s="2062"/>
      <c r="H191" s="2062">
        <v>74.3</v>
      </c>
      <c r="I191" s="2062">
        <v>2.8</v>
      </c>
      <c r="J191" s="2048"/>
    </row>
    <row r="192" spans="2:10" ht="15.2" customHeight="1">
      <c r="B192" s="2066"/>
      <c r="C192" s="2064"/>
      <c r="D192" s="2063"/>
      <c r="E192" s="2063">
        <v>2019</v>
      </c>
      <c r="F192" s="2062"/>
      <c r="G192" s="2062"/>
      <c r="H192" s="2062">
        <v>74.7</v>
      </c>
      <c r="I192" s="2062">
        <v>4.8</v>
      </c>
      <c r="J192" s="2048"/>
    </row>
    <row r="193" spans="1:10" ht="15.2" customHeight="1">
      <c r="B193" s="2066"/>
      <c r="C193" s="2064"/>
      <c r="D193" s="2063"/>
      <c r="E193" s="2063">
        <v>2020</v>
      </c>
      <c r="F193" s="2062"/>
      <c r="G193" s="2062"/>
      <c r="H193" s="2062">
        <v>74.7</v>
      </c>
      <c r="I193" s="2062">
        <v>4.8</v>
      </c>
      <c r="J193" s="2048"/>
    </row>
    <row r="194" spans="1:10" ht="8.1" customHeight="1">
      <c r="B194" s="2066"/>
      <c r="C194" s="1947"/>
      <c r="D194" s="2069"/>
      <c r="E194" s="2063"/>
      <c r="F194" s="2068"/>
      <c r="G194" s="2068"/>
      <c r="H194" s="2068"/>
      <c r="I194" s="2068"/>
      <c r="J194" s="2048"/>
    </row>
    <row r="195" spans="1:10" ht="15.2" customHeight="1">
      <c r="B195" s="2066" t="s">
        <v>1684</v>
      </c>
      <c r="C195" s="1947"/>
      <c r="D195" s="2063"/>
      <c r="E195" s="2063">
        <v>2018</v>
      </c>
      <c r="F195" s="2062"/>
      <c r="G195" s="2062"/>
      <c r="H195" s="2062">
        <v>74.3</v>
      </c>
      <c r="I195" s="2062">
        <v>2.8</v>
      </c>
      <c r="J195" s="2048"/>
    </row>
    <row r="196" spans="1:10" ht="15.2" customHeight="1">
      <c r="B196" s="2066"/>
      <c r="C196" s="1947"/>
      <c r="D196" s="2063"/>
      <c r="E196" s="2063">
        <v>2019</v>
      </c>
      <c r="F196" s="2062"/>
      <c r="G196" s="2062"/>
      <c r="H196" s="2062">
        <v>74.7</v>
      </c>
      <c r="I196" s="2062">
        <v>4.8</v>
      </c>
      <c r="J196" s="2048"/>
    </row>
    <row r="197" spans="1:10" ht="15.2" customHeight="1">
      <c r="B197" s="2066"/>
      <c r="C197" s="1947"/>
      <c r="D197" s="2063"/>
      <c r="E197" s="2063">
        <v>2020</v>
      </c>
      <c r="F197" s="2062"/>
      <c r="G197" s="2062"/>
      <c r="H197" s="2062">
        <v>74.7</v>
      </c>
      <c r="I197" s="2062">
        <v>4.8</v>
      </c>
      <c r="J197" s="2048"/>
    </row>
    <row r="198" spans="1:10" ht="8.1" customHeight="1">
      <c r="B198" s="2066"/>
      <c r="C198" s="1947"/>
      <c r="D198" s="2063"/>
      <c r="E198" s="2063"/>
      <c r="F198" s="2067"/>
      <c r="G198" s="2067"/>
      <c r="H198" s="2067"/>
      <c r="I198" s="2067"/>
      <c r="J198" s="2048"/>
    </row>
    <row r="199" spans="1:10" ht="15.2" customHeight="1">
      <c r="B199" s="2066" t="s">
        <v>1683</v>
      </c>
      <c r="C199" s="1947"/>
      <c r="D199" s="2063"/>
      <c r="E199" s="2063">
        <v>2018</v>
      </c>
      <c r="F199" s="2062"/>
      <c r="G199" s="2062"/>
      <c r="H199" s="2062">
        <v>74.3</v>
      </c>
      <c r="I199" s="2062">
        <v>2.8</v>
      </c>
      <c r="J199" s="2048"/>
    </row>
    <row r="200" spans="1:10" ht="15.2" customHeight="1">
      <c r="B200" s="2066"/>
      <c r="C200" s="1947"/>
      <c r="D200" s="2063"/>
      <c r="E200" s="2063">
        <v>2019</v>
      </c>
      <c r="F200" s="2062"/>
      <c r="G200" s="2062"/>
      <c r="H200" s="2062">
        <v>74.7</v>
      </c>
      <c r="I200" s="2062">
        <v>4.8</v>
      </c>
      <c r="J200" s="2048"/>
    </row>
    <row r="201" spans="1:10" ht="15.2" customHeight="1">
      <c r="B201" s="2066"/>
      <c r="C201" s="1947"/>
      <c r="D201" s="2063"/>
      <c r="E201" s="2063">
        <v>2020</v>
      </c>
      <c r="F201" s="2062"/>
      <c r="G201" s="2062"/>
      <c r="H201" s="2062">
        <v>74.7</v>
      </c>
      <c r="I201" s="2062">
        <v>4.8</v>
      </c>
      <c r="J201" s="2048"/>
    </row>
    <row r="202" spans="1:10" ht="8.1" customHeight="1">
      <c r="B202" s="2066"/>
      <c r="C202" s="1947"/>
      <c r="D202" s="2063"/>
      <c r="E202" s="2063"/>
      <c r="F202" s="2067"/>
      <c r="G202" s="2067"/>
      <c r="H202" s="2067"/>
      <c r="I202" s="2067"/>
      <c r="J202" s="2048"/>
    </row>
    <row r="203" spans="1:10" ht="15.2" customHeight="1">
      <c r="B203" s="2066" t="s">
        <v>1682</v>
      </c>
      <c r="C203" s="2064"/>
      <c r="D203" s="2063"/>
      <c r="E203" s="2063">
        <v>2018</v>
      </c>
      <c r="F203" s="2062"/>
      <c r="G203" s="2062"/>
      <c r="H203" s="2062">
        <v>74.3</v>
      </c>
      <c r="I203" s="2062">
        <v>2.8</v>
      </c>
      <c r="J203" s="2048"/>
    </row>
    <row r="204" spans="1:10" ht="15.2" customHeight="1">
      <c r="B204" s="2065"/>
      <c r="C204" s="2064"/>
      <c r="D204" s="2063"/>
      <c r="E204" s="2063">
        <v>2019</v>
      </c>
      <c r="F204" s="2062"/>
      <c r="G204" s="2062"/>
      <c r="H204" s="2062">
        <v>74.7</v>
      </c>
      <c r="I204" s="2062">
        <v>4.8</v>
      </c>
      <c r="J204" s="2048"/>
    </row>
    <row r="205" spans="1:10" ht="15.2" customHeight="1">
      <c r="B205" s="2065"/>
      <c r="C205" s="2064"/>
      <c r="D205" s="2063"/>
      <c r="E205" s="2063">
        <v>2020</v>
      </c>
      <c r="F205" s="2062"/>
      <c r="G205" s="2062"/>
      <c r="H205" s="2062">
        <v>74.7</v>
      </c>
      <c r="I205" s="2062">
        <v>4.8</v>
      </c>
      <c r="J205" s="2048"/>
    </row>
    <row r="206" spans="1:10" ht="7.9" customHeight="1" thickBot="1">
      <c r="A206" s="2060"/>
      <c r="B206" s="2060"/>
      <c r="C206" s="2060"/>
      <c r="D206" s="2061"/>
      <c r="E206" s="2060"/>
      <c r="F206" s="2060"/>
      <c r="G206" s="2060"/>
      <c r="H206" s="2060"/>
      <c r="I206" s="2060"/>
      <c r="J206" s="2059"/>
    </row>
    <row r="207" spans="1:10" ht="15.2" customHeight="1">
      <c r="A207" s="2058"/>
      <c r="B207" s="2057"/>
      <c r="C207" s="2057"/>
      <c r="D207" s="2056"/>
      <c r="E207" s="2055"/>
      <c r="F207" s="2049"/>
      <c r="G207" s="2860" t="s">
        <v>0</v>
      </c>
      <c r="H207" s="2860"/>
      <c r="I207" s="2860"/>
      <c r="J207" s="2048"/>
    </row>
    <row r="208" spans="1:10" ht="15.2" customHeight="1">
      <c r="A208" s="2052"/>
      <c r="D208" s="2051"/>
      <c r="E208" s="2050"/>
      <c r="F208" s="2049"/>
      <c r="G208" s="2861" t="s">
        <v>1</v>
      </c>
      <c r="H208" s="2861"/>
      <c r="I208" s="2861"/>
      <c r="J208" s="2053"/>
    </row>
    <row r="209" spans="1:10" ht="7.9" customHeight="1">
      <c r="A209" s="2052"/>
      <c r="D209" s="2051"/>
      <c r="E209" s="2050"/>
      <c r="F209" s="2049"/>
      <c r="G209" s="2049"/>
      <c r="J209" s="2048"/>
    </row>
    <row r="210" spans="1:10" s="1" customFormat="1" ht="8.1" customHeight="1">
      <c r="A210" s="2031"/>
      <c r="B210" s="24"/>
    </row>
    <row r="211" spans="1:10" s="1" customFormat="1" ht="16.5">
      <c r="A211" s="23"/>
      <c r="B211" s="25"/>
    </row>
    <row r="212" spans="1:10" s="1" customFormat="1" ht="16.5">
      <c r="B212" s="24"/>
    </row>
  </sheetData>
  <mergeCells count="18">
    <mergeCell ref="B147:C148"/>
    <mergeCell ref="G147:H148"/>
    <mergeCell ref="I147:I148"/>
    <mergeCell ref="G5:H6"/>
    <mergeCell ref="G7:H8"/>
    <mergeCell ref="I7:I8"/>
    <mergeCell ref="G81:H82"/>
    <mergeCell ref="I81:I82"/>
    <mergeCell ref="B7:C8"/>
    <mergeCell ref="G79:H80"/>
    <mergeCell ref="G71:I71"/>
    <mergeCell ref="G72:I72"/>
    <mergeCell ref="B81:C82"/>
    <mergeCell ref="G207:I207"/>
    <mergeCell ref="G208:I208"/>
    <mergeCell ref="G145:H146"/>
    <mergeCell ref="G137:I137"/>
    <mergeCell ref="G138:I138"/>
  </mergeCells>
  <conditionalFormatting sqref="D71">
    <cfRule type="cellIs" dxfId="33" priority="3" stopIfTrue="1" operator="lessThan">
      <formula>0</formula>
    </cfRule>
  </conditionalFormatting>
  <conditionalFormatting sqref="D137">
    <cfRule type="cellIs" dxfId="32" priority="2" stopIfTrue="1" operator="lessThan">
      <formula>0</formula>
    </cfRule>
  </conditionalFormatting>
  <conditionalFormatting sqref="D207">
    <cfRule type="cellIs" dxfId="31" priority="1"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70" fitToWidth="0" fitToHeight="0" orientation="portrait" r:id="rId1"/>
  <rowBreaks count="2" manualBreakCount="2">
    <brk id="74" max="8" man="1"/>
    <brk id="140" max="8" man="1"/>
  </rowBreaks>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6F44A-A81F-4A52-8F8D-CA3AE5E62622}">
  <sheetPr>
    <tabColor theme="4" tint="0.39997558519241921"/>
    <pageSetUpPr fitToPage="1"/>
  </sheetPr>
  <dimension ref="A1:J44"/>
  <sheetViews>
    <sheetView view="pageBreakPreview" topLeftCell="A7" zoomScaleNormal="100" zoomScaleSheetLayoutView="100" workbookViewId="0">
      <selection activeCell="E29" sqref="E29"/>
    </sheetView>
  </sheetViews>
  <sheetFormatPr defaultRowHeight="15"/>
  <cols>
    <col min="1" max="1" width="3.5703125" customWidth="1"/>
    <col min="3" max="3" width="58.140625" customWidth="1"/>
    <col min="4" max="4" width="8" customWidth="1"/>
    <col min="5" max="5" width="3.7109375" customWidth="1"/>
    <col min="6" max="6" width="2.28515625" customWidth="1"/>
    <col min="7" max="9" width="20.7109375" customWidth="1"/>
  </cols>
  <sheetData>
    <row r="1" spans="1:10" s="26" customFormat="1" ht="8.1" customHeight="1"/>
    <row r="2" spans="1:10" s="26" customFormat="1" ht="8.1" customHeight="1"/>
    <row r="3" spans="1:10" s="26" customFormat="1" ht="17.25" customHeight="1">
      <c r="B3" s="2119" t="s">
        <v>1744</v>
      </c>
      <c r="C3" s="2" t="s">
        <v>1954</v>
      </c>
      <c r="E3" s="27"/>
    </row>
    <row r="4" spans="1:10" s="26" customFormat="1" ht="17.25" customHeight="1">
      <c r="B4" s="2118" t="s">
        <v>1743</v>
      </c>
      <c r="C4" s="1750" t="s">
        <v>1955</v>
      </c>
      <c r="D4" s="28"/>
      <c r="E4" s="27"/>
    </row>
    <row r="5" spans="1:10" s="26" customFormat="1" ht="13.35" customHeight="1" thickBot="1">
      <c r="A5" s="29"/>
      <c r="B5" s="29"/>
      <c r="C5" s="29"/>
      <c r="D5" s="29"/>
      <c r="E5" s="30"/>
      <c r="F5" s="2117"/>
      <c r="G5" s="2117"/>
    </row>
    <row r="6" spans="1:10" s="32" customFormat="1" ht="42.95" customHeight="1" thickBot="1">
      <c r="A6" s="7"/>
      <c r="B6" s="2651" t="s">
        <v>5</v>
      </c>
      <c r="C6" s="2660"/>
      <c r="D6" s="7"/>
      <c r="E6" s="31"/>
      <c r="F6" s="7"/>
      <c r="G6" s="7">
        <v>2023</v>
      </c>
      <c r="H6" s="31">
        <v>2024</v>
      </c>
      <c r="I6" s="31" t="s">
        <v>1675</v>
      </c>
    </row>
    <row r="7" spans="1:10" s="32" customFormat="1" ht="16.350000000000001" customHeight="1">
      <c r="B7" s="33"/>
      <c r="C7" s="34"/>
      <c r="D7" s="35"/>
      <c r="E7" s="35"/>
      <c r="F7" s="35"/>
      <c r="G7" s="35"/>
      <c r="H7" s="36"/>
      <c r="I7" s="37"/>
    </row>
    <row r="8" spans="1:10" s="32" customFormat="1" ht="15.2" customHeight="1">
      <c r="B8" s="38" t="s">
        <v>1742</v>
      </c>
      <c r="C8" s="34"/>
      <c r="D8" s="2116"/>
      <c r="E8" s="2116"/>
      <c r="F8" s="2116"/>
      <c r="G8" s="2116">
        <v>196775</v>
      </c>
      <c r="H8" s="2116">
        <v>172489</v>
      </c>
      <c r="I8" s="2116">
        <v>235299</v>
      </c>
    </row>
    <row r="9" spans="1:10" s="32" customFormat="1" ht="15.2" customHeight="1">
      <c r="B9" s="2028" t="s">
        <v>1741</v>
      </c>
      <c r="C9" s="34"/>
      <c r="D9" s="2116"/>
      <c r="E9" s="2116"/>
      <c r="F9" s="2116"/>
      <c r="G9" s="2116"/>
      <c r="H9" s="2116"/>
      <c r="I9" s="2116"/>
    </row>
    <row r="10" spans="1:10" s="32" customFormat="1" ht="15.2" customHeight="1">
      <c r="B10" s="39"/>
      <c r="C10" s="34"/>
      <c r="D10" s="2116"/>
      <c r="E10" s="2116"/>
      <c r="F10" s="2116"/>
      <c r="G10" s="2116"/>
      <c r="H10" s="2116"/>
      <c r="I10" s="2116"/>
    </row>
    <row r="11" spans="1:10" s="32" customFormat="1" ht="15.2" customHeight="1">
      <c r="B11" s="38" t="s">
        <v>1740</v>
      </c>
      <c r="C11" s="34"/>
      <c r="D11" s="2116"/>
      <c r="E11" s="2116"/>
      <c r="F11" s="2116"/>
      <c r="G11" s="2116">
        <v>236494</v>
      </c>
      <c r="H11" s="2116">
        <v>217220</v>
      </c>
      <c r="I11" s="2116">
        <v>267023</v>
      </c>
    </row>
    <row r="12" spans="1:10" s="32" customFormat="1" ht="16.350000000000001" customHeight="1">
      <c r="B12" s="2112" t="s">
        <v>1739</v>
      </c>
      <c r="C12" s="34"/>
      <c r="D12" s="2116"/>
      <c r="E12" s="2116"/>
      <c r="F12" s="2116"/>
      <c r="G12" s="2116"/>
      <c r="H12" s="2116"/>
      <c r="I12" s="2116"/>
    </row>
    <row r="13" spans="1:10" s="30" customFormat="1" ht="15.2" customHeight="1">
      <c r="B13" s="38"/>
      <c r="C13" s="32"/>
      <c r="D13" s="2116"/>
      <c r="E13" s="2116"/>
      <c r="F13" s="2116"/>
      <c r="G13" s="2116"/>
      <c r="H13" s="2116"/>
      <c r="I13" s="2116"/>
      <c r="J13" s="32"/>
    </row>
    <row r="14" spans="1:10" s="30" customFormat="1" ht="15.2" customHeight="1">
      <c r="B14" s="38" t="s">
        <v>1738</v>
      </c>
      <c r="C14" s="32"/>
      <c r="D14" s="2116"/>
      <c r="E14" s="2116"/>
      <c r="F14" s="2116"/>
      <c r="G14" s="2116">
        <v>433269</v>
      </c>
      <c r="H14" s="2116">
        <v>389709</v>
      </c>
      <c r="I14" s="2116">
        <v>502322</v>
      </c>
      <c r="J14" s="32"/>
    </row>
    <row r="15" spans="1:10" s="30" customFormat="1" ht="15.2" customHeight="1">
      <c r="B15" s="2112" t="s">
        <v>1737</v>
      </c>
      <c r="C15" s="32"/>
      <c r="D15" s="2116"/>
      <c r="E15" s="2116"/>
      <c r="F15" s="2116"/>
      <c r="G15" s="2116"/>
      <c r="H15" s="2116"/>
      <c r="I15" s="2116"/>
      <c r="J15" s="32"/>
    </row>
    <row r="16" spans="1:10" s="30" customFormat="1" ht="15.2" customHeight="1">
      <c r="B16" s="38"/>
      <c r="C16" s="32"/>
      <c r="D16" s="2116"/>
      <c r="E16" s="2116"/>
      <c r="F16" s="2116"/>
      <c r="G16" s="2116"/>
      <c r="H16" s="2116"/>
      <c r="I16" s="2116"/>
      <c r="J16" s="32"/>
    </row>
    <row r="17" spans="1:10" s="30" customFormat="1" ht="15.2" customHeight="1">
      <c r="B17" s="38" t="s">
        <v>1736</v>
      </c>
      <c r="C17" s="32"/>
      <c r="D17" s="2116"/>
      <c r="E17" s="2116"/>
      <c r="F17" s="2116"/>
      <c r="G17" s="2116">
        <v>-39719</v>
      </c>
      <c r="H17" s="2116">
        <v>-44731</v>
      </c>
      <c r="I17" s="2116">
        <v>-31724</v>
      </c>
      <c r="J17" s="32"/>
    </row>
    <row r="18" spans="1:10" s="30" customFormat="1" ht="15.2" customHeight="1">
      <c r="B18" s="40" t="s">
        <v>1735</v>
      </c>
      <c r="C18" s="32"/>
      <c r="D18" s="2114"/>
      <c r="E18" s="2115"/>
      <c r="F18" s="2114"/>
      <c r="G18" s="2114"/>
      <c r="H18" s="2115"/>
      <c r="I18" s="2115"/>
      <c r="J18" s="32"/>
    </row>
    <row r="19" spans="1:10" s="30" customFormat="1" ht="15.2" customHeight="1">
      <c r="B19" s="40"/>
      <c r="C19" s="32"/>
      <c r="D19" s="2114"/>
      <c r="E19" s="2113"/>
      <c r="F19" s="2114"/>
      <c r="G19" s="2114"/>
      <c r="H19" s="2113"/>
      <c r="I19" s="2113"/>
      <c r="J19" s="32"/>
    </row>
    <row r="20" spans="1:10" s="30" customFormat="1" ht="15.2" customHeight="1">
      <c r="B20" s="38" t="s">
        <v>1734</v>
      </c>
      <c r="C20" s="34"/>
      <c r="D20" s="2111"/>
      <c r="E20" s="2111"/>
      <c r="F20" s="2111"/>
      <c r="G20" s="2110">
        <v>0.5</v>
      </c>
      <c r="H20" s="2110">
        <v>-12.3</v>
      </c>
      <c r="I20" s="2110">
        <v>36.4</v>
      </c>
      <c r="J20" s="32"/>
    </row>
    <row r="21" spans="1:10" s="30" customFormat="1" ht="15.2" customHeight="1">
      <c r="B21" s="2028" t="s">
        <v>1733</v>
      </c>
      <c r="C21" s="34"/>
      <c r="D21" s="2111"/>
      <c r="E21" s="2111"/>
      <c r="F21" s="2111"/>
      <c r="G21" s="2110"/>
      <c r="H21" s="2110"/>
      <c r="I21" s="2110"/>
      <c r="J21" s="32"/>
    </row>
    <row r="22" spans="1:10" s="30" customFormat="1" ht="15.2" customHeight="1">
      <c r="B22" s="39"/>
      <c r="C22" s="34"/>
      <c r="D22" s="2111"/>
      <c r="E22" s="2111"/>
      <c r="F22" s="2111"/>
      <c r="G22" s="2110"/>
      <c r="H22" s="2110"/>
      <c r="I22" s="2110"/>
      <c r="J22" s="32"/>
    </row>
    <row r="23" spans="1:10" s="30" customFormat="1" ht="15.2" customHeight="1">
      <c r="B23" s="38" t="s">
        <v>1732</v>
      </c>
      <c r="C23" s="34"/>
      <c r="D23" s="2111"/>
      <c r="E23" s="2111"/>
      <c r="F23" s="2111"/>
      <c r="G23" s="2110">
        <v>-3.9</v>
      </c>
      <c r="H23" s="2110">
        <v>-8.1</v>
      </c>
      <c r="I23" s="2110">
        <v>22.9</v>
      </c>
      <c r="J23" s="32"/>
    </row>
    <row r="24" spans="1:10" s="28" customFormat="1" ht="13.5" customHeight="1">
      <c r="B24" s="2112" t="s">
        <v>1731</v>
      </c>
      <c r="C24" s="34"/>
      <c r="D24" s="2111"/>
      <c r="E24" s="2111"/>
      <c r="F24" s="2111"/>
      <c r="G24" s="2110"/>
      <c r="H24" s="2110"/>
      <c r="I24" s="2110"/>
    </row>
    <row r="25" spans="1:10" s="30" customFormat="1" ht="15.2" customHeight="1">
      <c r="B25" s="38"/>
      <c r="C25" s="32"/>
      <c r="D25" s="2111"/>
      <c r="E25" s="2111"/>
      <c r="F25" s="2111"/>
      <c r="G25" s="2110"/>
      <c r="H25" s="2110"/>
      <c r="I25" s="2110"/>
      <c r="J25" s="32"/>
    </row>
    <row r="26" spans="1:10" s="30" customFormat="1" ht="15.2" customHeight="1">
      <c r="B26" s="38" t="s">
        <v>1730</v>
      </c>
      <c r="C26" s="32"/>
      <c r="D26" s="2111"/>
      <c r="E26" s="2111"/>
      <c r="F26" s="2111"/>
      <c r="G26" s="2110">
        <v>-1.9</v>
      </c>
      <c r="H26" s="2110">
        <v>-10.1</v>
      </c>
      <c r="I26" s="2110">
        <v>28.9</v>
      </c>
      <c r="J26" s="32"/>
    </row>
    <row r="27" spans="1:10" s="30" customFormat="1" ht="15.2" customHeight="1">
      <c r="B27" s="2112" t="s">
        <v>1729</v>
      </c>
      <c r="C27" s="32"/>
      <c r="D27" s="2111"/>
      <c r="E27" s="2111"/>
      <c r="F27" s="2111"/>
      <c r="G27" s="2110"/>
      <c r="H27" s="2110"/>
      <c r="I27" s="2110"/>
      <c r="J27" s="32"/>
    </row>
    <row r="28" spans="1:10" s="30" customFormat="1" ht="15.2" customHeight="1">
      <c r="B28" s="38"/>
      <c r="C28" s="32"/>
      <c r="D28" s="2111"/>
      <c r="E28" s="2111"/>
      <c r="F28" s="2111"/>
      <c r="G28" s="2110"/>
      <c r="H28" s="2110"/>
      <c r="I28" s="2110"/>
      <c r="J28" s="32"/>
    </row>
    <row r="29" spans="1:10" s="28" customFormat="1" ht="8.1" customHeight="1" thickBot="1">
      <c r="A29" s="48"/>
      <c r="B29" s="48"/>
      <c r="C29" s="48"/>
      <c r="D29" s="48"/>
      <c r="E29" s="48"/>
      <c r="F29" s="48"/>
      <c r="G29" s="48"/>
      <c r="H29" s="48"/>
      <c r="I29" s="48"/>
    </row>
    <row r="30" spans="1:10" s="28" customFormat="1" ht="15.2" customHeight="1" thickTop="1">
      <c r="D30" s="49"/>
      <c r="F30" s="50"/>
      <c r="G30" s="50"/>
      <c r="H30" s="50"/>
      <c r="I30" s="51" t="s">
        <v>0</v>
      </c>
    </row>
    <row r="31" spans="1:10" s="28" customFormat="1" ht="15.2" customHeight="1">
      <c r="B31" s="52"/>
      <c r="C31" s="50"/>
      <c r="D31" s="50"/>
      <c r="F31" s="50"/>
      <c r="G31" s="50"/>
      <c r="H31" s="50"/>
      <c r="I31" s="53" t="s">
        <v>1</v>
      </c>
    </row>
    <row r="32" spans="1:10" s="28" customFormat="1" ht="16.5">
      <c r="B32" s="2109"/>
      <c r="C32" s="50"/>
      <c r="D32" s="50"/>
      <c r="E32" s="50"/>
    </row>
    <row r="33" spans="1:9" s="55" customFormat="1" ht="15.2" customHeight="1">
      <c r="A33" s="26"/>
      <c r="B33" s="52" t="s">
        <v>1728</v>
      </c>
      <c r="C33" s="30"/>
      <c r="D33" s="54"/>
      <c r="E33" s="54"/>
      <c r="F33" s="26"/>
      <c r="G33" s="28"/>
      <c r="H33" s="28"/>
      <c r="I33" s="28"/>
    </row>
    <row r="34" spans="1:9" s="55" customFormat="1" ht="8.1" customHeight="1">
      <c r="A34" s="26"/>
      <c r="B34" s="52"/>
      <c r="C34" s="30"/>
      <c r="D34" s="54"/>
      <c r="E34" s="54"/>
      <c r="F34" s="26"/>
      <c r="G34" s="28"/>
      <c r="H34" s="28"/>
      <c r="I34" s="28"/>
    </row>
    <row r="35" spans="1:9" s="55" customFormat="1" ht="15.2" customHeight="1">
      <c r="A35" s="2023" t="s">
        <v>3</v>
      </c>
      <c r="B35" s="52" t="s">
        <v>1956</v>
      </c>
      <c r="C35" s="30"/>
      <c r="D35" s="54"/>
      <c r="E35" s="54"/>
      <c r="F35" s="26"/>
      <c r="G35" s="28"/>
      <c r="H35" s="28"/>
      <c r="I35" s="28"/>
    </row>
    <row r="36" spans="1:9" s="55" customFormat="1" ht="15.2" customHeight="1">
      <c r="A36" s="26"/>
      <c r="B36" s="2022" t="s">
        <v>1957</v>
      </c>
      <c r="C36" s="30"/>
      <c r="D36" s="54"/>
      <c r="E36" s="54"/>
      <c r="F36" s="26"/>
      <c r="G36" s="28"/>
      <c r="H36" s="28"/>
      <c r="I36" s="28"/>
    </row>
    <row r="37" spans="1:9" s="55" customFormat="1" ht="8.1" customHeight="1">
      <c r="A37" s="26"/>
      <c r="B37" s="2022"/>
      <c r="C37" s="30"/>
      <c r="D37" s="54"/>
      <c r="E37" s="54"/>
      <c r="F37" s="26"/>
      <c r="G37" s="28"/>
      <c r="H37" s="28"/>
      <c r="I37" s="28"/>
    </row>
    <row r="38" spans="1:9" s="55" customFormat="1" ht="15.2" customHeight="1">
      <c r="A38" s="2108" t="s">
        <v>4</v>
      </c>
      <c r="B38" s="2867" t="s">
        <v>1727</v>
      </c>
      <c r="C38" s="2867"/>
      <c r="D38" s="2867"/>
      <c r="E38" s="2867"/>
      <c r="F38" s="2867"/>
      <c r="G38" s="2867"/>
      <c r="H38" s="2867"/>
      <c r="I38" s="2867"/>
    </row>
    <row r="39" spans="1:9" s="55" customFormat="1" ht="15.2" customHeight="1">
      <c r="A39" s="26"/>
      <c r="B39" s="2867" t="s">
        <v>1726</v>
      </c>
      <c r="C39" s="2867"/>
      <c r="D39" s="2867"/>
      <c r="E39" s="2867"/>
      <c r="F39" s="2867"/>
      <c r="G39" s="2867"/>
      <c r="H39" s="2867"/>
      <c r="I39" s="2867"/>
    </row>
    <row r="40" spans="1:9" s="55" customFormat="1" ht="15.2" customHeight="1">
      <c r="A40" s="26"/>
      <c r="B40" s="2868" t="s">
        <v>1725</v>
      </c>
      <c r="C40" s="2868"/>
      <c r="D40" s="2868"/>
      <c r="E40" s="2868"/>
      <c r="F40" s="2868"/>
      <c r="G40" s="2868"/>
      <c r="H40" s="2868"/>
      <c r="I40" s="2868"/>
    </row>
    <row r="41" spans="1:9" s="55" customFormat="1" ht="15.2" customHeight="1">
      <c r="A41" s="26"/>
      <c r="B41" s="2868" t="s">
        <v>1724</v>
      </c>
      <c r="C41" s="2868"/>
      <c r="D41" s="2868"/>
      <c r="E41" s="2868"/>
      <c r="F41" s="2868"/>
      <c r="G41" s="2868"/>
      <c r="H41" s="2868"/>
      <c r="I41" s="2868"/>
    </row>
    <row r="42" spans="1:9" s="55" customFormat="1" ht="8.1" customHeight="1">
      <c r="A42" s="26"/>
      <c r="B42" s="52"/>
      <c r="C42" s="30"/>
      <c r="D42" s="54"/>
      <c r="E42" s="54"/>
      <c r="F42" s="26"/>
      <c r="G42" s="28"/>
      <c r="H42" s="28"/>
      <c r="I42" s="28"/>
    </row>
    <row r="43" spans="1:9" s="55" customFormat="1" ht="15.2" customHeight="1">
      <c r="A43" s="2023"/>
      <c r="B43" s="52"/>
      <c r="C43" s="30"/>
      <c r="D43" s="54"/>
      <c r="E43" s="54"/>
      <c r="F43" s="26"/>
      <c r="G43" s="28"/>
      <c r="H43" s="28"/>
      <c r="I43" s="28"/>
    </row>
    <row r="44" spans="1:9" s="55" customFormat="1" ht="15.2" customHeight="1">
      <c r="A44" s="26"/>
      <c r="B44" s="2022"/>
      <c r="C44" s="30"/>
      <c r="D44" s="54"/>
      <c r="E44" s="54"/>
      <c r="F44" s="26"/>
      <c r="G44" s="28"/>
      <c r="H44" s="28"/>
      <c r="I44" s="28"/>
    </row>
  </sheetData>
  <mergeCells count="5">
    <mergeCell ref="B6:C6"/>
    <mergeCell ref="B38:I38"/>
    <mergeCell ref="B39:I39"/>
    <mergeCell ref="B40:I40"/>
    <mergeCell ref="B41:I41"/>
  </mergeCells>
  <conditionalFormatting sqref="C13:C19 C25:C28">
    <cfRule type="cellIs" dxfId="30" priority="1"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62" orientation="portrait"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6EF27-4419-481B-B4B6-33AC5D0433F5}">
  <sheetPr>
    <pageSetUpPr fitToPage="1"/>
  </sheetPr>
  <dimension ref="B1:J31"/>
  <sheetViews>
    <sheetView view="pageBreakPreview" zoomScale="90" zoomScaleNormal="100" zoomScaleSheetLayoutView="90" workbookViewId="0">
      <selection activeCell="E15" sqref="E15"/>
    </sheetView>
  </sheetViews>
  <sheetFormatPr defaultRowHeight="15"/>
  <cols>
    <col min="1" max="1" width="2.28515625" customWidth="1"/>
    <col min="2" max="2" width="10.7109375" customWidth="1"/>
    <col min="3" max="3" width="43.5703125" customWidth="1"/>
    <col min="4" max="4" width="6.28515625" customWidth="1"/>
    <col min="5" max="6" width="27.7109375" customWidth="1"/>
    <col min="7" max="7" width="27.7109375" style="84" customWidth="1"/>
  </cols>
  <sheetData>
    <row r="1" spans="2:10" s="56" customFormat="1" ht="8.1" customHeight="1"/>
    <row r="2" spans="2:10" s="56" customFormat="1" ht="8.1" customHeight="1"/>
    <row r="3" spans="2:10" s="58" customFormat="1" ht="17.25" customHeight="1">
      <c r="B3" s="57" t="s">
        <v>1766</v>
      </c>
      <c r="C3" s="2" t="s">
        <v>1765</v>
      </c>
      <c r="J3" s="59"/>
    </row>
    <row r="4" spans="2:10" s="58" customFormat="1" ht="17.25" customHeight="1">
      <c r="B4" s="60" t="s">
        <v>1764</v>
      </c>
      <c r="C4" s="61" t="s">
        <v>1763</v>
      </c>
      <c r="D4" s="62"/>
      <c r="E4" s="63"/>
      <c r="F4" s="63"/>
      <c r="G4" s="63"/>
      <c r="H4" s="63"/>
      <c r="I4" s="63"/>
      <c r="J4" s="59"/>
    </row>
    <row r="5" spans="2:10" s="56" customFormat="1" ht="13.35" customHeight="1" thickBot="1">
      <c r="B5" s="64"/>
      <c r="C5" s="64"/>
      <c r="D5" s="64"/>
      <c r="E5" s="64"/>
      <c r="F5" s="64"/>
      <c r="G5" s="64"/>
      <c r="H5" s="64"/>
      <c r="I5" s="64"/>
      <c r="J5" s="64"/>
    </row>
    <row r="6" spans="2:10" s="66" customFormat="1" ht="22.5" customHeight="1">
      <c r="B6" s="2869" t="s">
        <v>1762</v>
      </c>
      <c r="C6" s="2869"/>
      <c r="D6" s="2870"/>
      <c r="E6" s="2870">
        <v>2023</v>
      </c>
      <c r="F6" s="2870">
        <v>2024</v>
      </c>
      <c r="G6" s="2872">
        <v>2025</v>
      </c>
      <c r="H6" s="65"/>
      <c r="I6" s="65"/>
    </row>
    <row r="7" spans="2:10" s="66" customFormat="1" ht="22.5" customHeight="1" thickBot="1">
      <c r="B7" s="2874" t="s">
        <v>1761</v>
      </c>
      <c r="C7" s="2874"/>
      <c r="D7" s="2871"/>
      <c r="E7" s="2871"/>
      <c r="F7" s="2871"/>
      <c r="G7" s="2873"/>
      <c r="H7" s="67"/>
      <c r="I7" s="65"/>
    </row>
    <row r="8" spans="2:10" s="66" customFormat="1" ht="20.100000000000001" customHeight="1">
      <c r="B8" s="2698"/>
      <c r="C8" s="2698"/>
      <c r="D8" s="1779"/>
      <c r="G8" s="68"/>
      <c r="H8" s="69"/>
      <c r="I8" s="70"/>
    </row>
    <row r="9" spans="2:10" s="66" customFormat="1" ht="20.100000000000001" customHeight="1">
      <c r="B9" s="2732" t="s">
        <v>6</v>
      </c>
      <c r="C9" s="2732"/>
      <c r="D9" s="71"/>
      <c r="E9" s="1548">
        <v>15544.408509962021</v>
      </c>
      <c r="F9" s="1548">
        <v>7051.4634661316522</v>
      </c>
      <c r="G9" s="2124">
        <v>1213.385</v>
      </c>
      <c r="H9" s="67"/>
      <c r="I9" s="72"/>
    </row>
    <row r="10" spans="2:10" s="66" customFormat="1" ht="20.100000000000001" customHeight="1">
      <c r="B10" s="73" t="s">
        <v>7</v>
      </c>
      <c r="C10" s="74"/>
      <c r="D10" s="71"/>
      <c r="E10" s="1548"/>
      <c r="F10" s="1548"/>
      <c r="G10" s="2126"/>
      <c r="H10" s="67"/>
      <c r="I10" s="72"/>
    </row>
    <row r="11" spans="2:10" s="66" customFormat="1" ht="20.100000000000001" customHeight="1">
      <c r="B11" s="2729" t="s">
        <v>8</v>
      </c>
      <c r="C11" s="2730"/>
      <c r="D11" s="75"/>
      <c r="E11" s="1549">
        <v>14493.4837701258</v>
      </c>
      <c r="F11" s="1549">
        <v>6864.7479105065022</v>
      </c>
      <c r="G11" s="2125">
        <v>1110.4449999999999</v>
      </c>
      <c r="H11" s="69"/>
      <c r="I11" s="70"/>
    </row>
    <row r="12" spans="2:10" s="66" customFormat="1" ht="20.100000000000001" customHeight="1">
      <c r="B12" s="2729" t="s">
        <v>9</v>
      </c>
      <c r="C12" s="2730"/>
      <c r="D12" s="75"/>
      <c r="E12" s="1549">
        <v>1050.9247398362199</v>
      </c>
      <c r="F12" s="1549">
        <v>186.71555562515002</v>
      </c>
      <c r="G12" s="2125">
        <v>102.94</v>
      </c>
      <c r="H12" s="69"/>
      <c r="I12" s="70"/>
    </row>
    <row r="13" spans="2:10" s="66" customFormat="1" ht="20.100000000000001" customHeight="1">
      <c r="B13" s="2731"/>
      <c r="C13" s="2731"/>
      <c r="D13" s="75"/>
      <c r="E13" s="1549"/>
      <c r="F13" s="1549"/>
      <c r="G13" s="2125"/>
      <c r="H13" s="69"/>
      <c r="I13" s="70"/>
    </row>
    <row r="14" spans="2:10" s="66" customFormat="1" ht="20.100000000000001" customHeight="1">
      <c r="B14" s="76" t="s">
        <v>10</v>
      </c>
      <c r="C14" s="76"/>
      <c r="D14" s="71"/>
      <c r="E14" s="1548">
        <v>33588.526958699462</v>
      </c>
      <c r="F14" s="1548">
        <v>19714.734</v>
      </c>
      <c r="G14" s="2124">
        <v>5485.17</v>
      </c>
      <c r="H14" s="69"/>
      <c r="I14" s="70"/>
    </row>
    <row r="15" spans="2:10" s="66" customFormat="1" ht="20.100000000000001" customHeight="1">
      <c r="B15" s="73" t="s">
        <v>11</v>
      </c>
      <c r="C15" s="74"/>
      <c r="D15" s="71"/>
      <c r="E15" s="1548"/>
      <c r="F15" s="1548"/>
      <c r="G15" s="2124"/>
      <c r="H15" s="69"/>
      <c r="I15" s="70"/>
    </row>
    <row r="16" spans="2:10" s="66" customFormat="1" ht="27.2" customHeight="1">
      <c r="B16" s="2727" t="s">
        <v>1760</v>
      </c>
      <c r="C16" s="2727"/>
      <c r="D16" s="75"/>
      <c r="E16" s="1549">
        <v>24439.106457956899</v>
      </c>
      <c r="F16" s="1549">
        <v>15021.587</v>
      </c>
      <c r="G16" s="2125">
        <v>4275.8810000000003</v>
      </c>
      <c r="H16" s="69"/>
      <c r="I16" s="70"/>
    </row>
    <row r="17" spans="2:9" s="66" customFormat="1" ht="27.75" customHeight="1">
      <c r="B17" s="2727" t="s">
        <v>1759</v>
      </c>
      <c r="C17" s="2727"/>
      <c r="D17" s="75"/>
      <c r="E17" s="1549">
        <v>9149.4205007425608</v>
      </c>
      <c r="F17" s="1549">
        <v>4693.1469999999999</v>
      </c>
      <c r="G17" s="2125">
        <v>1209.289</v>
      </c>
      <c r="H17" s="69"/>
      <c r="I17" s="70"/>
    </row>
    <row r="18" spans="2:9" s="66" customFormat="1" ht="20.100000000000001" customHeight="1">
      <c r="B18" s="77"/>
      <c r="C18" s="78"/>
      <c r="D18" s="75"/>
      <c r="E18" s="1549"/>
      <c r="F18" s="1549"/>
      <c r="G18" s="2125"/>
      <c r="H18" s="69"/>
      <c r="I18" s="70"/>
    </row>
    <row r="19" spans="2:9" s="66" customFormat="1" ht="20.100000000000001" customHeight="1">
      <c r="B19" s="76" t="s">
        <v>12</v>
      </c>
      <c r="C19" s="76"/>
      <c r="D19" s="71"/>
      <c r="E19" s="1548">
        <v>45766.3686716109</v>
      </c>
      <c r="F19" s="1548">
        <v>21897.631000000001</v>
      </c>
      <c r="G19" s="2124">
        <v>6554.8289999999997</v>
      </c>
      <c r="H19" s="2120"/>
      <c r="I19" s="72"/>
    </row>
    <row r="20" spans="2:9" s="66" customFormat="1" ht="20.100000000000001" customHeight="1">
      <c r="B20" s="73" t="s">
        <v>13</v>
      </c>
      <c r="C20" s="74"/>
      <c r="D20" s="71"/>
      <c r="E20" s="71"/>
      <c r="F20" s="71"/>
      <c r="G20" s="2123"/>
      <c r="H20" s="2120"/>
      <c r="I20" s="72"/>
    </row>
    <row r="21" spans="2:9" s="66" customFormat="1" ht="20.100000000000001" customHeight="1">
      <c r="B21" s="74"/>
      <c r="C21" s="74"/>
      <c r="D21" s="71"/>
      <c r="E21" s="71"/>
      <c r="F21" s="71"/>
      <c r="G21" s="2123"/>
      <c r="H21" s="2120"/>
      <c r="I21" s="72"/>
    </row>
    <row r="22" spans="2:9" s="66" customFormat="1" ht="66" customHeight="1">
      <c r="B22" s="2723" t="s">
        <v>1758</v>
      </c>
      <c r="C22" s="2723"/>
      <c r="D22" s="79"/>
      <c r="E22" s="2122" t="s">
        <v>1757</v>
      </c>
      <c r="F22" s="2122" t="s">
        <v>1756</v>
      </c>
      <c r="G22" s="2121" t="s">
        <v>1755</v>
      </c>
      <c r="H22" s="2120"/>
      <c r="I22" s="72"/>
    </row>
    <row r="23" spans="2:9" s="66" customFormat="1" ht="66" customHeight="1">
      <c r="B23" s="74"/>
      <c r="C23" s="74"/>
      <c r="D23" s="79"/>
      <c r="E23" s="2122" t="s">
        <v>1754</v>
      </c>
      <c r="F23" s="2122" t="s">
        <v>1550</v>
      </c>
      <c r="G23" s="2121" t="s">
        <v>1753</v>
      </c>
      <c r="H23" s="2120"/>
      <c r="I23" s="72"/>
    </row>
    <row r="24" spans="2:9" s="66" customFormat="1" ht="66" customHeight="1">
      <c r="B24" s="74"/>
      <c r="C24" s="74"/>
      <c r="D24" s="79"/>
      <c r="E24" s="2122" t="s">
        <v>1752</v>
      </c>
      <c r="F24" s="2122" t="s">
        <v>1747</v>
      </c>
      <c r="G24" s="2121" t="s">
        <v>1751</v>
      </c>
      <c r="H24" s="2120"/>
      <c r="I24" s="72"/>
    </row>
    <row r="25" spans="2:9" s="66" customFormat="1" ht="66" customHeight="1">
      <c r="B25" s="74"/>
      <c r="C25" s="74"/>
      <c r="D25" s="79"/>
      <c r="E25" s="2122" t="s">
        <v>1750</v>
      </c>
      <c r="F25" s="2122" t="s">
        <v>1749</v>
      </c>
      <c r="G25" s="2121" t="s">
        <v>1748</v>
      </c>
      <c r="H25" s="2120"/>
      <c r="I25" s="72"/>
    </row>
    <row r="26" spans="2:9" s="66" customFormat="1" ht="66" customHeight="1">
      <c r="B26" s="74"/>
      <c r="C26" s="74"/>
      <c r="D26" s="79"/>
      <c r="E26" s="2122" t="s">
        <v>1747</v>
      </c>
      <c r="F26" s="2122" t="s">
        <v>1746</v>
      </c>
      <c r="G26" s="2121" t="s">
        <v>1745</v>
      </c>
      <c r="H26" s="2120"/>
      <c r="I26" s="72"/>
    </row>
    <row r="27" spans="2:9" s="66" customFormat="1" ht="20.100000000000001" customHeight="1" thickBot="1">
      <c r="B27" s="80"/>
      <c r="C27" s="80"/>
      <c r="D27" s="80"/>
      <c r="E27" s="80"/>
      <c r="F27" s="80"/>
      <c r="G27" s="81"/>
      <c r="H27" s="69"/>
      <c r="I27" s="70"/>
    </row>
    <row r="28" spans="2:9" s="82" customFormat="1" ht="15.2" customHeight="1">
      <c r="D28" s="49"/>
      <c r="E28" s="49"/>
      <c r="F28" s="49"/>
      <c r="G28" s="51" t="s">
        <v>0</v>
      </c>
    </row>
    <row r="29" spans="2:9" s="82" customFormat="1" ht="15.2" customHeight="1">
      <c r="B29" s="83"/>
      <c r="D29" s="50"/>
      <c r="E29" s="50"/>
      <c r="F29" s="50"/>
      <c r="G29" s="53" t="s">
        <v>1</v>
      </c>
    </row>
    <row r="30" spans="2:9" s="66" customFormat="1" ht="16.5" customHeight="1">
      <c r="G30" s="68"/>
      <c r="H30" s="69"/>
      <c r="I30" s="69"/>
    </row>
    <row r="31" spans="2:9" s="66" customFormat="1" ht="16.5">
      <c r="G31" s="68"/>
      <c r="H31" s="2120"/>
      <c r="I31" s="2120"/>
    </row>
  </sheetData>
  <mergeCells count="14">
    <mergeCell ref="B17:C17"/>
    <mergeCell ref="B22:C22"/>
    <mergeCell ref="B8:C8"/>
    <mergeCell ref="B9:C9"/>
    <mergeCell ref="B11:C11"/>
    <mergeCell ref="B12:C12"/>
    <mergeCell ref="B13:C13"/>
    <mergeCell ref="B16:C16"/>
    <mergeCell ref="B6:C6"/>
    <mergeCell ref="D6:D7"/>
    <mergeCell ref="E6:E7"/>
    <mergeCell ref="F6:F7"/>
    <mergeCell ref="G6:G7"/>
    <mergeCell ref="B7:C7"/>
  </mergeCells>
  <printOptions horizontalCentered="1"/>
  <pageMargins left="0.55118110236220474" right="0.55118110236220474" top="0.55118110236220474" bottom="0.55118110236220474" header="0.31496062992125984" footer="0.31496062992125984"/>
  <pageSetup paperSize="9" scale="62" orientation="portrait"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A9EE6-45CE-4E23-9E16-48A138195DE3}">
  <sheetPr>
    <tabColor theme="4" tint="0.39997558519241921"/>
    <pageSetUpPr fitToPage="1"/>
  </sheetPr>
  <dimension ref="B1:J35"/>
  <sheetViews>
    <sheetView view="pageBreakPreview" topLeftCell="A25" zoomScaleNormal="100" zoomScaleSheetLayoutView="100" workbookViewId="0">
      <selection activeCell="E15" sqref="E15"/>
    </sheetView>
  </sheetViews>
  <sheetFormatPr defaultRowHeight="15"/>
  <cols>
    <col min="1" max="1" width="1.7109375" customWidth="1"/>
    <col min="2" max="2" width="12.28515625" customWidth="1"/>
    <col min="3" max="3" width="59.7109375" customWidth="1"/>
    <col min="4" max="4" width="4.7109375" customWidth="1"/>
    <col min="5" max="5" width="13.7109375" customWidth="1"/>
    <col min="6" max="6" width="13" customWidth="1"/>
    <col min="7" max="7" width="14" customWidth="1"/>
  </cols>
  <sheetData>
    <row r="1" spans="2:10" s="85" customFormat="1" ht="17.25" customHeight="1">
      <c r="B1" s="2145" t="s">
        <v>1777</v>
      </c>
      <c r="C1" s="2880" t="s">
        <v>1776</v>
      </c>
      <c r="D1" s="2880"/>
      <c r="E1" s="2880"/>
      <c r="F1" s="2880"/>
    </row>
    <row r="2" spans="2:10" s="85" customFormat="1" ht="17.25" customHeight="1">
      <c r="B2" s="2144" t="s">
        <v>1775</v>
      </c>
      <c r="C2" s="2143" t="s">
        <v>1774</v>
      </c>
    </row>
    <row r="3" spans="2:10" s="89" customFormat="1" ht="12.75" customHeight="1" thickBot="1">
      <c r="B3" s="86"/>
      <c r="C3" s="87"/>
      <c r="D3" s="88"/>
      <c r="E3" s="88"/>
      <c r="F3" s="88"/>
      <c r="G3" s="88"/>
    </row>
    <row r="4" spans="2:10" s="91" customFormat="1" ht="40.5" customHeight="1" thickBot="1">
      <c r="B4" s="2736" t="s">
        <v>990</v>
      </c>
      <c r="C4" s="2736"/>
      <c r="D4" s="90"/>
      <c r="E4" s="90">
        <v>2023</v>
      </c>
      <c r="F4" s="90">
        <v>2024</v>
      </c>
      <c r="G4" s="90">
        <v>2025</v>
      </c>
    </row>
    <row r="5" spans="2:10" s="93" customFormat="1" ht="12.95" customHeight="1">
      <c r="B5" s="91"/>
      <c r="C5" s="92"/>
      <c r="D5" s="2734"/>
      <c r="E5" s="2735"/>
      <c r="F5" s="2735"/>
      <c r="G5" s="2735"/>
    </row>
    <row r="6" spans="2:10" s="96" customFormat="1" ht="43.15" customHeight="1">
      <c r="B6" s="2752" t="s">
        <v>1773</v>
      </c>
      <c r="C6" s="2752"/>
      <c r="D6" s="95"/>
      <c r="E6" s="95"/>
      <c r="F6" s="95"/>
      <c r="G6" s="95"/>
      <c r="I6" s="89"/>
      <c r="J6" s="94"/>
    </row>
    <row r="7" spans="2:10" s="93" customFormat="1" ht="27.6" customHeight="1">
      <c r="B7" s="2881" t="s">
        <v>15</v>
      </c>
      <c r="C7" s="2881"/>
      <c r="D7" s="2139"/>
      <c r="E7" s="2142">
        <v>3592.9</v>
      </c>
      <c r="F7" s="2142">
        <v>3602.7</v>
      </c>
      <c r="G7" s="2142">
        <v>3676.9</v>
      </c>
      <c r="I7" s="91"/>
      <c r="J7" s="97"/>
    </row>
    <row r="8" spans="2:10" s="93" customFormat="1" ht="30.6" customHeight="1">
      <c r="B8" s="2875" t="s">
        <v>16</v>
      </c>
      <c r="C8" s="2875"/>
      <c r="D8" s="2139"/>
      <c r="E8" s="2142">
        <v>3489.5</v>
      </c>
      <c r="F8" s="2142">
        <v>3446.5</v>
      </c>
      <c r="G8" s="2142">
        <v>3518.5</v>
      </c>
      <c r="I8" s="91"/>
      <c r="J8" s="98"/>
    </row>
    <row r="9" spans="2:10" s="93" customFormat="1" ht="28.15" customHeight="1">
      <c r="B9" s="2875" t="s">
        <v>1772</v>
      </c>
      <c r="C9" s="2875"/>
      <c r="D9" s="2139"/>
      <c r="E9" s="2142">
        <v>103.4</v>
      </c>
      <c r="F9" s="2142">
        <v>156.19999999999999</v>
      </c>
      <c r="G9" s="2142">
        <v>158.5</v>
      </c>
      <c r="I9" s="91"/>
      <c r="J9" s="98"/>
    </row>
    <row r="10" spans="2:10" s="93" customFormat="1" ht="31.15" customHeight="1">
      <c r="B10" s="2875" t="s">
        <v>989</v>
      </c>
      <c r="C10" s="2875"/>
      <c r="D10" s="2139"/>
      <c r="E10" s="2142">
        <v>1136.8</v>
      </c>
      <c r="F10" s="2142">
        <v>1172.5</v>
      </c>
      <c r="G10" s="2142">
        <v>1138.9000000000001</v>
      </c>
      <c r="I10" s="91"/>
      <c r="J10" s="98"/>
    </row>
    <row r="11" spans="2:10" s="93" customFormat="1" ht="31.9" customHeight="1">
      <c r="B11" s="2875" t="s">
        <v>18</v>
      </c>
      <c r="C11" s="2875"/>
      <c r="D11" s="2139"/>
      <c r="E11" s="2141">
        <v>76</v>
      </c>
      <c r="F11" s="2141">
        <v>75.400000000000006</v>
      </c>
      <c r="G11" s="2141">
        <v>76.400000000000006</v>
      </c>
      <c r="I11" s="91"/>
      <c r="J11" s="98"/>
    </row>
    <row r="12" spans="2:10" s="93" customFormat="1" ht="30" customHeight="1">
      <c r="B12" s="2875" t="s">
        <v>1771</v>
      </c>
      <c r="C12" s="2875"/>
      <c r="D12" s="2139"/>
      <c r="E12" s="2141">
        <v>2.9</v>
      </c>
      <c r="F12" s="2141">
        <v>4.3</v>
      </c>
      <c r="G12" s="2141">
        <v>4.3</v>
      </c>
      <c r="I12" s="91"/>
      <c r="J12" s="98"/>
    </row>
    <row r="13" spans="2:10" s="93" customFormat="1" ht="13.5">
      <c r="B13" s="91"/>
      <c r="C13" s="99"/>
      <c r="D13" s="100"/>
      <c r="E13" s="1552"/>
      <c r="F13" s="1552"/>
      <c r="G13" s="1552"/>
      <c r="I13" s="91"/>
      <c r="J13" s="99"/>
    </row>
    <row r="14" spans="2:10" s="96" customFormat="1" ht="33.6" customHeight="1">
      <c r="B14" s="2876" t="s">
        <v>20</v>
      </c>
      <c r="C14" s="2876"/>
      <c r="D14" s="102"/>
      <c r="E14" s="1553"/>
      <c r="F14" s="1553"/>
      <c r="G14" s="1553"/>
      <c r="I14" s="89"/>
      <c r="J14" s="101"/>
    </row>
    <row r="15" spans="2:10" s="93" customFormat="1" ht="29.45" customHeight="1">
      <c r="B15" s="2875" t="s">
        <v>21</v>
      </c>
      <c r="C15" s="2875"/>
      <c r="D15" s="2139"/>
      <c r="E15" s="2138">
        <v>1378.9</v>
      </c>
      <c r="F15" s="2138">
        <v>1399.6</v>
      </c>
      <c r="G15" s="2138">
        <v>1245.2</v>
      </c>
      <c r="I15" s="91"/>
      <c r="J15" s="98"/>
    </row>
    <row r="16" spans="2:10" s="93" customFormat="1" ht="28.15" customHeight="1">
      <c r="B16" s="2875" t="s">
        <v>22</v>
      </c>
      <c r="C16" s="2875"/>
      <c r="D16" s="2139"/>
      <c r="E16" s="2140">
        <v>1863.2</v>
      </c>
      <c r="F16" s="2110">
        <v>1796.6</v>
      </c>
      <c r="G16" s="2110">
        <v>1952.8</v>
      </c>
      <c r="I16" s="91"/>
      <c r="J16" s="98"/>
    </row>
    <row r="17" spans="2:10" s="93" customFormat="1" ht="28.15" customHeight="1">
      <c r="B17" s="2875" t="s">
        <v>23</v>
      </c>
      <c r="C17" s="2875"/>
      <c r="D17" s="2139"/>
      <c r="E17" s="2138">
        <v>247.4</v>
      </c>
      <c r="F17" s="2138">
        <v>250.3</v>
      </c>
      <c r="G17" s="2138">
        <v>320.60000000000002</v>
      </c>
      <c r="I17" s="91"/>
      <c r="J17" s="98"/>
    </row>
    <row r="18" spans="2:10" s="93" customFormat="1" ht="13.5">
      <c r="B18" s="91"/>
      <c r="C18" s="103"/>
      <c r="D18" s="100"/>
      <c r="E18" s="1552"/>
      <c r="F18" s="1552"/>
      <c r="G18" s="1552"/>
      <c r="I18" s="91"/>
      <c r="J18" s="103"/>
    </row>
    <row r="19" spans="2:10" s="93" customFormat="1" ht="31.15" customHeight="1">
      <c r="B19" s="2876" t="s">
        <v>24</v>
      </c>
      <c r="C19" s="2876"/>
      <c r="D19" s="100"/>
      <c r="E19" s="1552"/>
      <c r="F19" s="1552"/>
      <c r="G19" s="1552"/>
      <c r="I19" s="91"/>
      <c r="J19" s="101"/>
    </row>
    <row r="20" spans="2:10" s="93" customFormat="1" ht="29.45" customHeight="1">
      <c r="B20" s="2875" t="s">
        <v>25</v>
      </c>
      <c r="C20" s="2875"/>
      <c r="D20" s="2139"/>
      <c r="E20" s="2138">
        <v>1379</v>
      </c>
      <c r="F20" s="2138">
        <v>1456.7</v>
      </c>
      <c r="G20" s="2138">
        <v>1516.8</v>
      </c>
      <c r="I20" s="91"/>
      <c r="J20" s="98"/>
    </row>
    <row r="21" spans="2:10" s="93" customFormat="1" ht="28.9" customHeight="1">
      <c r="B21" s="2875" t="s">
        <v>26</v>
      </c>
      <c r="C21" s="2875"/>
      <c r="D21" s="2139"/>
      <c r="E21" s="2138">
        <v>1821.8</v>
      </c>
      <c r="F21" s="2138">
        <v>1791.5</v>
      </c>
      <c r="G21" s="2138">
        <v>1840.3</v>
      </c>
      <c r="I21" s="91"/>
      <c r="J21" s="98"/>
    </row>
    <row r="22" spans="2:10" s="93" customFormat="1" ht="27.2" customHeight="1">
      <c r="B22" s="2875" t="s">
        <v>27</v>
      </c>
      <c r="C22" s="2875"/>
      <c r="D22" s="2139"/>
      <c r="E22" s="2138">
        <v>255.8</v>
      </c>
      <c r="F22" s="2138">
        <v>178.8</v>
      </c>
      <c r="G22" s="2138">
        <v>134.6</v>
      </c>
      <c r="I22" s="91"/>
      <c r="J22" s="98"/>
    </row>
    <row r="23" spans="2:10" s="93" customFormat="1" ht="30.6" customHeight="1">
      <c r="B23" s="2875" t="s">
        <v>28</v>
      </c>
      <c r="C23" s="2875"/>
      <c r="D23" s="2139"/>
      <c r="E23" s="2138">
        <v>32.9</v>
      </c>
      <c r="F23" s="2138">
        <v>19.5</v>
      </c>
      <c r="G23" s="2138">
        <v>26.8</v>
      </c>
      <c r="I23" s="91"/>
      <c r="J23" s="98"/>
    </row>
    <row r="24" spans="2:10" s="93" customFormat="1" ht="13.5">
      <c r="B24" s="91"/>
      <c r="C24" s="104"/>
      <c r="D24" s="100"/>
      <c r="E24" s="1552"/>
      <c r="F24" s="1552"/>
      <c r="G24" s="1552"/>
      <c r="I24" s="91"/>
      <c r="J24" s="104"/>
    </row>
    <row r="25" spans="2:10" s="93" customFormat="1" ht="30" customHeight="1">
      <c r="B25" s="2879" t="s">
        <v>1770</v>
      </c>
      <c r="C25" s="2879"/>
      <c r="D25" s="100"/>
      <c r="E25" s="1552"/>
      <c r="F25" s="1552"/>
      <c r="G25" s="1552"/>
      <c r="I25" s="89"/>
      <c r="J25" s="105"/>
    </row>
    <row r="26" spans="2:10" s="93" customFormat="1" ht="33.6" customHeight="1">
      <c r="B26" s="2877" t="s">
        <v>30</v>
      </c>
      <c r="C26" s="2877"/>
      <c r="D26" s="100"/>
      <c r="E26" s="1552">
        <v>2333.6</v>
      </c>
      <c r="F26" s="1552">
        <v>2291.3000000000002</v>
      </c>
      <c r="G26" s="2137">
        <v>2304.6</v>
      </c>
      <c r="I26" s="91"/>
      <c r="J26" s="106"/>
    </row>
    <row r="27" spans="2:10" s="93" customFormat="1" ht="30" customHeight="1">
      <c r="B27" s="2877" t="s">
        <v>31</v>
      </c>
      <c r="C27" s="2877"/>
      <c r="D27" s="107"/>
      <c r="E27" s="1555">
        <v>2956</v>
      </c>
      <c r="F27" s="1555">
        <v>2725</v>
      </c>
      <c r="G27" s="2136">
        <v>2884</v>
      </c>
      <c r="I27" s="91"/>
      <c r="J27" s="106"/>
    </row>
    <row r="28" spans="2:10" s="93" customFormat="1" ht="33.75" customHeight="1" thickBot="1">
      <c r="B28" s="2878" t="s">
        <v>32</v>
      </c>
      <c r="C28" s="2878"/>
      <c r="D28" s="2135"/>
      <c r="E28" s="1556">
        <v>3892</v>
      </c>
      <c r="F28" s="1556">
        <v>3480</v>
      </c>
      <c r="G28" s="2134">
        <v>3544</v>
      </c>
    </row>
    <row r="29" spans="2:10" s="93" customFormat="1" ht="13.5">
      <c r="B29" s="91"/>
      <c r="C29" s="2133"/>
      <c r="D29" s="100"/>
      <c r="E29" s="100"/>
      <c r="F29" s="100"/>
      <c r="G29" s="110" t="s">
        <v>0</v>
      </c>
    </row>
    <row r="30" spans="2:10" s="93" customFormat="1" ht="13.5">
      <c r="B30" s="91"/>
      <c r="C30" s="2133"/>
      <c r="D30" s="100"/>
      <c r="E30" s="100"/>
      <c r="F30" s="100"/>
      <c r="G30" s="111" t="s">
        <v>1</v>
      </c>
    </row>
    <row r="31" spans="2:10" s="93" customFormat="1" ht="13.5">
      <c r="B31" s="91"/>
      <c r="C31" s="2133"/>
      <c r="D31" s="100"/>
      <c r="E31" s="100"/>
      <c r="F31" s="100"/>
      <c r="G31" s="100"/>
    </row>
    <row r="32" spans="2:10" s="93" customFormat="1" ht="13.5">
      <c r="B32" s="2132" t="s">
        <v>1769</v>
      </c>
      <c r="C32" s="92"/>
      <c r="D32" s="107"/>
      <c r="E32" s="107"/>
      <c r="F32" s="107"/>
      <c r="G32" s="107"/>
    </row>
    <row r="33" spans="2:7" s="93" customFormat="1" ht="13.5">
      <c r="B33" s="2131" t="s">
        <v>1768</v>
      </c>
      <c r="C33" s="92"/>
      <c r="D33" s="107"/>
      <c r="E33" s="107"/>
      <c r="F33" s="107"/>
      <c r="G33" s="107"/>
    </row>
    <row r="34" spans="2:7" s="93" customFormat="1" ht="13.5">
      <c r="B34" s="2130" t="s">
        <v>1767</v>
      </c>
      <c r="C34" s="92"/>
      <c r="D34" s="107"/>
      <c r="E34" s="107"/>
      <c r="F34" s="107"/>
      <c r="G34" s="107"/>
    </row>
    <row r="35" spans="2:7" s="93" customFormat="1" ht="13.5">
      <c r="B35" s="2129"/>
      <c r="C35" s="2128"/>
      <c r="D35" s="2127"/>
      <c r="E35" s="2127"/>
      <c r="F35" s="2127"/>
      <c r="G35" s="2127"/>
    </row>
  </sheetData>
  <mergeCells count="23">
    <mergeCell ref="B15:C15"/>
    <mergeCell ref="B4:C4"/>
    <mergeCell ref="D5:G5"/>
    <mergeCell ref="C1:F1"/>
    <mergeCell ref="B6:C6"/>
    <mergeCell ref="B7:C7"/>
    <mergeCell ref="B8:C8"/>
    <mergeCell ref="B9:C9"/>
    <mergeCell ref="B10:C10"/>
    <mergeCell ref="B11:C11"/>
    <mergeCell ref="B12:C12"/>
    <mergeCell ref="B14:C14"/>
    <mergeCell ref="B28:C28"/>
    <mergeCell ref="B20:C20"/>
    <mergeCell ref="B21:C21"/>
    <mergeCell ref="B22:C22"/>
    <mergeCell ref="B23:C23"/>
    <mergeCell ref="B25:C25"/>
    <mergeCell ref="B16:C16"/>
    <mergeCell ref="B17:C17"/>
    <mergeCell ref="B19:C19"/>
    <mergeCell ref="B26:C26"/>
    <mergeCell ref="B27:C27"/>
  </mergeCells>
  <printOptions horizontalCentered="1"/>
  <pageMargins left="0.55118110236220474" right="0.55118110236220474" top="0.55118110236220474" bottom="0.55118110236220474" header="0.31496062992125984" footer="0.31496062992125984"/>
  <pageSetup paperSize="9" scale="76" orientation="portrait"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F17A1-81E2-4BF9-9B3A-755E1D01C23E}">
  <sheetPr>
    <tabColor theme="4" tint="0.39997558519241921"/>
    <pageSetUpPr fitToPage="1"/>
  </sheetPr>
  <dimension ref="A1:G22"/>
  <sheetViews>
    <sheetView view="pageBreakPreview" zoomScaleNormal="100" zoomScaleSheetLayoutView="100" workbookViewId="0">
      <selection activeCell="E15" sqref="E15"/>
    </sheetView>
  </sheetViews>
  <sheetFormatPr defaultRowHeight="15"/>
  <cols>
    <col min="1" max="1" width="2.140625" customWidth="1"/>
    <col min="2" max="2" width="12.28515625" customWidth="1"/>
    <col min="3" max="3" width="70.5703125" customWidth="1"/>
    <col min="4" max="4" width="3.28515625" customWidth="1"/>
    <col min="5" max="5" width="11" customWidth="1"/>
    <col min="6" max="6" width="10.5703125" customWidth="1"/>
    <col min="7" max="7" width="11.5703125" customWidth="1"/>
  </cols>
  <sheetData>
    <row r="1" spans="1:7" s="85" customFormat="1" ht="17.25" customHeight="1">
      <c r="B1" s="2145" t="s">
        <v>1777</v>
      </c>
      <c r="C1" s="2883" t="s">
        <v>1781</v>
      </c>
      <c r="D1" s="2883"/>
      <c r="E1" s="2883"/>
      <c r="F1" s="2883"/>
    </row>
    <row r="2" spans="1:7" s="85" customFormat="1" ht="17.25" customHeight="1">
      <c r="B2" s="2144" t="s">
        <v>1775</v>
      </c>
      <c r="C2" s="2143" t="s">
        <v>1780</v>
      </c>
    </row>
    <row r="3" spans="1:7" s="89" customFormat="1" ht="12.75" customHeight="1" thickBot="1">
      <c r="B3" s="86"/>
      <c r="C3" s="87"/>
      <c r="D3" s="88"/>
      <c r="E3" s="88"/>
      <c r="F3" s="88"/>
      <c r="G3" s="88"/>
    </row>
    <row r="4" spans="1:7" s="91" customFormat="1" ht="40.5" customHeight="1" thickBot="1">
      <c r="B4" s="2736" t="s">
        <v>990</v>
      </c>
      <c r="C4" s="2882"/>
      <c r="D4" s="90"/>
      <c r="E4" s="90">
        <v>2023</v>
      </c>
      <c r="F4" s="90">
        <v>2024</v>
      </c>
      <c r="G4" s="90">
        <v>2025</v>
      </c>
    </row>
    <row r="5" spans="1:7" s="93" customFormat="1" ht="12.95" customHeight="1">
      <c r="B5" s="91"/>
      <c r="C5" s="2147"/>
      <c r="D5" s="100"/>
      <c r="E5" s="100"/>
      <c r="F5" s="100"/>
      <c r="G5" s="100"/>
    </row>
    <row r="6" spans="1:7" s="93" customFormat="1" ht="25.15" customHeight="1">
      <c r="B6" s="2884" t="s">
        <v>1779</v>
      </c>
      <c r="C6" s="2884"/>
      <c r="D6" s="100"/>
      <c r="E6" s="100"/>
      <c r="F6" s="100"/>
      <c r="G6" s="100"/>
    </row>
    <row r="7" spans="1:7" s="93" customFormat="1" ht="32.65" customHeight="1">
      <c r="B7" s="2875" t="s">
        <v>34</v>
      </c>
      <c r="C7" s="2875"/>
      <c r="D7" s="100"/>
      <c r="E7" s="1552">
        <v>1385.5</v>
      </c>
      <c r="F7" s="1552">
        <v>1432.8</v>
      </c>
      <c r="G7" s="759">
        <v>1478.6</v>
      </c>
    </row>
    <row r="8" spans="1:7" s="93" customFormat="1" ht="29.45" customHeight="1">
      <c r="B8" s="2875" t="s">
        <v>35</v>
      </c>
      <c r="C8" s="2875"/>
      <c r="D8" s="100"/>
      <c r="E8" s="1552">
        <v>1344</v>
      </c>
      <c r="F8" s="1552">
        <v>1371.9</v>
      </c>
      <c r="G8" s="759">
        <v>1434.9</v>
      </c>
    </row>
    <row r="9" spans="1:7" s="93" customFormat="1" ht="31.9" customHeight="1">
      <c r="B9" s="2875" t="s">
        <v>36</v>
      </c>
      <c r="C9" s="2875"/>
      <c r="D9" s="100"/>
      <c r="E9" s="1552">
        <v>41.5</v>
      </c>
      <c r="F9" s="1552">
        <v>60.9</v>
      </c>
      <c r="G9" s="759">
        <v>43.7</v>
      </c>
    </row>
    <row r="10" spans="1:7" s="93" customFormat="1" ht="28.9" customHeight="1">
      <c r="B10" s="2875" t="s">
        <v>989</v>
      </c>
      <c r="C10" s="2875"/>
      <c r="D10" s="100"/>
      <c r="E10" s="1552">
        <v>216.8</v>
      </c>
      <c r="F10" s="1552">
        <v>185.2</v>
      </c>
      <c r="G10" s="759">
        <v>208</v>
      </c>
    </row>
    <row r="11" spans="1:7" s="93" customFormat="1" ht="29.45" customHeight="1">
      <c r="B11" s="2875" t="s">
        <v>18</v>
      </c>
      <c r="C11" s="2875"/>
      <c r="D11" s="100"/>
      <c r="E11" s="1552">
        <v>86.5</v>
      </c>
      <c r="F11" s="1552">
        <v>88.6</v>
      </c>
      <c r="G11" s="759">
        <v>87.7</v>
      </c>
    </row>
    <row r="12" spans="1:7" s="93" customFormat="1" ht="28.9" customHeight="1">
      <c r="B12" s="2875" t="s">
        <v>37</v>
      </c>
      <c r="C12" s="2875"/>
      <c r="D12" s="100"/>
      <c r="E12" s="1552">
        <v>3</v>
      </c>
      <c r="F12" s="1552">
        <v>4.3</v>
      </c>
      <c r="G12" s="759">
        <v>3</v>
      </c>
    </row>
    <row r="13" spans="1:7" s="93" customFormat="1" ht="29.45" customHeight="1">
      <c r="B13" s="2875" t="s">
        <v>38</v>
      </c>
      <c r="C13" s="2875"/>
      <c r="D13" s="107"/>
      <c r="E13" s="1555">
        <v>4589</v>
      </c>
      <c r="F13" s="1555">
        <v>4037</v>
      </c>
      <c r="G13" s="562">
        <v>4130</v>
      </c>
    </row>
    <row r="14" spans="1:7" s="93" customFormat="1" ht="34.9" customHeight="1" thickBot="1">
      <c r="A14" s="113"/>
      <c r="B14" s="2885" t="s">
        <v>1081</v>
      </c>
      <c r="C14" s="2885"/>
      <c r="D14" s="115"/>
      <c r="E14" s="1556">
        <v>5376</v>
      </c>
      <c r="F14" s="1556">
        <v>4772</v>
      </c>
      <c r="G14" s="1596">
        <v>4844</v>
      </c>
    </row>
    <row r="15" spans="1:7" s="93" customFormat="1" ht="13.5">
      <c r="B15" s="91"/>
      <c r="C15" s="2133"/>
      <c r="D15" s="100"/>
      <c r="E15" s="100"/>
      <c r="F15" s="100"/>
      <c r="G15" s="110" t="s">
        <v>0</v>
      </c>
    </row>
    <row r="16" spans="1:7" s="93" customFormat="1" ht="13.5">
      <c r="B16" s="91"/>
      <c r="C16" s="2133"/>
      <c r="D16" s="100"/>
      <c r="E16" s="100"/>
      <c r="F16" s="100"/>
      <c r="G16" s="111" t="s">
        <v>1</v>
      </c>
    </row>
    <row r="17" spans="1:7" s="93" customFormat="1" ht="13.5">
      <c r="B17" s="91"/>
      <c r="C17" s="2133"/>
      <c r="D17" s="100"/>
      <c r="E17" s="107"/>
      <c r="F17" s="100"/>
      <c r="G17" s="111"/>
    </row>
    <row r="18" spans="1:7" s="93" customFormat="1" ht="13.5">
      <c r="B18" s="2132" t="s">
        <v>1769</v>
      </c>
      <c r="C18" s="92"/>
      <c r="D18" s="107"/>
      <c r="F18" s="107"/>
      <c r="G18" s="107"/>
    </row>
    <row r="19" spans="1:7" s="93" customFormat="1" ht="13.5">
      <c r="A19" s="116"/>
      <c r="B19" s="117" t="s">
        <v>1778</v>
      </c>
      <c r="C19" s="92"/>
    </row>
    <row r="20" spans="1:7" s="93" customFormat="1" ht="13.5">
      <c r="A20" s="96"/>
      <c r="B20" s="118" t="s">
        <v>1767</v>
      </c>
      <c r="C20" s="92"/>
    </row>
    <row r="21" spans="1:7" s="93" customFormat="1" ht="13.5">
      <c r="A21" s="116"/>
      <c r="B21" s="2129"/>
      <c r="C21" s="2128"/>
      <c r="D21" s="2127"/>
      <c r="E21" s="2127"/>
      <c r="F21" s="2127"/>
      <c r="G21" s="2127"/>
    </row>
    <row r="22" spans="1:7" s="93" customFormat="1" ht="13.5">
      <c r="A22" s="96"/>
      <c r="B22" s="2146"/>
      <c r="C22" s="2128"/>
      <c r="D22" s="2127"/>
      <c r="E22" s="2127"/>
      <c r="F22" s="2127"/>
      <c r="G22" s="2127"/>
    </row>
  </sheetData>
  <mergeCells count="11">
    <mergeCell ref="B14:C14"/>
    <mergeCell ref="B9:C9"/>
    <mergeCell ref="B10:C10"/>
    <mergeCell ref="B11:C11"/>
    <mergeCell ref="B12:C12"/>
    <mergeCell ref="B13:C13"/>
    <mergeCell ref="B4:C4"/>
    <mergeCell ref="C1:F1"/>
    <mergeCell ref="B6:C6"/>
    <mergeCell ref="B7:C7"/>
    <mergeCell ref="B8:C8"/>
  </mergeCells>
  <printOptions horizontalCentered="1"/>
  <pageMargins left="0.55118110236220474" right="0.55118110236220474" top="0.55118110236220474" bottom="0.55118110236220474" header="0.31496062992125984" footer="0.31496062992125984"/>
  <pageSetup paperSize="9" scale="75" orientation="portrait"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21BA2-7C45-4AD7-99AE-8101F8A57E20}">
  <sheetPr>
    <tabColor theme="4" tint="0.39997558519241921"/>
  </sheetPr>
  <dimension ref="A1:AT233"/>
  <sheetViews>
    <sheetView view="pageBreakPreview" topLeftCell="A214" zoomScale="110" zoomScaleNormal="100" zoomScaleSheetLayoutView="110" workbookViewId="0">
      <selection activeCell="D214" sqref="D214"/>
    </sheetView>
  </sheetViews>
  <sheetFormatPr defaultColWidth="8.85546875" defaultRowHeight="15"/>
  <cols>
    <col min="1" max="1" width="2.7109375" style="2047" customWidth="1"/>
    <col min="2" max="2" width="12.85546875" style="2047" customWidth="1"/>
    <col min="3" max="3" width="11.42578125" style="2047" customWidth="1"/>
    <col min="4" max="4" width="8.85546875" style="2047" customWidth="1"/>
    <col min="5" max="5" width="10.85546875" style="2047" customWidth="1"/>
    <col min="6" max="6" width="15.42578125" style="2047" customWidth="1"/>
    <col min="7" max="7" width="13.85546875" style="2047" bestFit="1" customWidth="1"/>
    <col min="8" max="8" width="16.85546875" style="2047" customWidth="1"/>
    <col min="9" max="9" width="20.140625" style="2047" customWidth="1"/>
    <col min="10" max="10" width="17.140625" style="2047" customWidth="1"/>
    <col min="11" max="16384" width="8.85546875" style="2047"/>
  </cols>
  <sheetData>
    <row r="1" spans="1:46" ht="7.9" customHeight="1"/>
    <row r="2" spans="1:46" ht="7.9" customHeight="1"/>
    <row r="3" spans="1:46" ht="17.25" customHeight="1">
      <c r="A3" s="2098"/>
      <c r="B3" s="2097" t="s">
        <v>1818</v>
      </c>
      <c r="C3" s="2096" t="s">
        <v>1822</v>
      </c>
      <c r="D3" s="2092"/>
      <c r="E3" s="2070"/>
      <c r="F3" s="2070"/>
      <c r="G3" s="2070"/>
      <c r="H3" s="2070"/>
      <c r="I3" s="2070"/>
      <c r="J3" s="2070"/>
      <c r="K3" s="2070"/>
    </row>
    <row r="4" spans="1:46" ht="17.25" customHeight="1">
      <c r="A4" s="2095"/>
      <c r="B4" s="2094" t="s">
        <v>1821</v>
      </c>
      <c r="C4" s="2093" t="s">
        <v>1820</v>
      </c>
      <c r="D4" s="2092"/>
      <c r="E4" s="2070"/>
      <c r="F4" s="2070"/>
      <c r="G4" s="2070"/>
      <c r="H4" s="2070"/>
      <c r="I4" s="2070"/>
      <c r="J4" s="2070"/>
      <c r="K4" s="2070"/>
    </row>
    <row r="5" spans="1:46" ht="15.2" customHeight="1" thickBot="1">
      <c r="A5" s="2091"/>
      <c r="B5" s="2091"/>
      <c r="C5" s="2090"/>
      <c r="D5" s="2089"/>
      <c r="E5" s="2088"/>
      <c r="F5" s="2088"/>
      <c r="G5" s="2088"/>
      <c r="H5" s="2088"/>
      <c r="I5" s="2088"/>
      <c r="J5" s="2088"/>
      <c r="K5" s="2065"/>
    </row>
    <row r="6" spans="1:46" s="2074" customFormat="1" ht="7.9" customHeight="1">
      <c r="A6" s="2075"/>
      <c r="B6" s="2160"/>
      <c r="C6" s="2075"/>
      <c r="D6" s="2083"/>
      <c r="E6" s="2079"/>
      <c r="F6" s="2079"/>
      <c r="G6" s="2079"/>
      <c r="H6" s="2079"/>
      <c r="I6" s="2079"/>
      <c r="J6" s="2079"/>
      <c r="K6" s="2079"/>
      <c r="L6" s="2079"/>
      <c r="M6" s="2079"/>
      <c r="N6" s="2075"/>
    </row>
    <row r="7" spans="1:46" s="2074" customFormat="1" ht="13.5">
      <c r="A7" s="2075"/>
      <c r="B7" s="2087" t="s">
        <v>1814</v>
      </c>
      <c r="C7" s="2084"/>
      <c r="D7" s="2080" t="s">
        <v>39</v>
      </c>
      <c r="E7" s="2086" t="s">
        <v>1813</v>
      </c>
      <c r="F7" s="2086" t="s">
        <v>1812</v>
      </c>
      <c r="G7" s="2086" t="s">
        <v>1811</v>
      </c>
      <c r="H7" s="2086" t="s">
        <v>1810</v>
      </c>
      <c r="I7" s="2086" t="s">
        <v>1809</v>
      </c>
      <c r="J7" s="2086" t="s">
        <v>1808</v>
      </c>
      <c r="N7" s="2075"/>
    </row>
    <row r="8" spans="1:46" s="2074" customFormat="1" ht="13.5">
      <c r="A8" s="2075"/>
      <c r="B8" s="2087" t="s">
        <v>1807</v>
      </c>
      <c r="C8" s="2084"/>
      <c r="D8" s="2083" t="s">
        <v>40</v>
      </c>
      <c r="E8" s="2086" t="s">
        <v>1806</v>
      </c>
      <c r="F8" s="2086" t="s">
        <v>1805</v>
      </c>
      <c r="G8" s="2079" t="s">
        <v>1804</v>
      </c>
      <c r="H8" s="2086" t="s">
        <v>1803</v>
      </c>
      <c r="I8" s="2086" t="s">
        <v>1802</v>
      </c>
      <c r="J8" s="2086" t="s">
        <v>1801</v>
      </c>
      <c r="N8" s="2075"/>
    </row>
    <row r="9" spans="1:46" s="2074" customFormat="1" ht="13.5">
      <c r="A9" s="2075"/>
      <c r="B9" s="2160" t="s">
        <v>1800</v>
      </c>
      <c r="C9" s="2084"/>
      <c r="D9" s="2080"/>
      <c r="E9" s="2079" t="s">
        <v>1799</v>
      </c>
      <c r="F9" s="2079" t="s">
        <v>1798</v>
      </c>
      <c r="G9" s="2079" t="s">
        <v>1792</v>
      </c>
      <c r="H9" s="2079" t="s">
        <v>1797</v>
      </c>
      <c r="I9" s="2079" t="s">
        <v>1796</v>
      </c>
      <c r="J9" s="2079" t="s">
        <v>1795</v>
      </c>
      <c r="N9" s="2075"/>
    </row>
    <row r="10" spans="1:46" s="2074" customFormat="1" ht="13.5">
      <c r="A10" s="2075"/>
      <c r="B10" s="2160" t="s">
        <v>1794</v>
      </c>
      <c r="C10" s="2084"/>
      <c r="D10" s="2080"/>
      <c r="E10" s="2079" t="s">
        <v>1793</v>
      </c>
      <c r="F10" s="2079" t="s">
        <v>1792</v>
      </c>
      <c r="G10" s="2079"/>
      <c r="H10" s="2079" t="s">
        <v>1791</v>
      </c>
      <c r="I10" s="2079" t="s">
        <v>1790</v>
      </c>
      <c r="J10" s="2079" t="s">
        <v>1789</v>
      </c>
      <c r="N10" s="2075"/>
    </row>
    <row r="11" spans="1:46" s="2074" customFormat="1" ht="13.5">
      <c r="A11" s="2075"/>
      <c r="B11" s="2159"/>
      <c r="D11" s="2158"/>
      <c r="E11" s="2157" t="s">
        <v>1788</v>
      </c>
      <c r="F11" s="2157" t="s">
        <v>1788</v>
      </c>
      <c r="G11" s="2157" t="s">
        <v>1788</v>
      </c>
      <c r="H11" s="2157" t="s">
        <v>1788</v>
      </c>
      <c r="I11" s="2157" t="s">
        <v>41</v>
      </c>
      <c r="J11" s="2157" t="s">
        <v>41</v>
      </c>
      <c r="N11" s="2075"/>
    </row>
    <row r="12" spans="1:46" s="2073" customFormat="1" ht="7.9" customHeight="1" thickBot="1">
      <c r="A12" s="2076"/>
      <c r="B12" s="2078"/>
      <c r="C12" s="2076"/>
      <c r="D12" s="2077"/>
      <c r="E12" s="2076"/>
      <c r="F12" s="2076"/>
      <c r="G12" s="2076"/>
      <c r="H12" s="2076"/>
      <c r="I12" s="2076"/>
      <c r="J12" s="2076"/>
      <c r="K12" s="2075"/>
      <c r="L12" s="2074"/>
      <c r="M12" s="2074"/>
      <c r="N12" s="2075"/>
      <c r="O12" s="2074"/>
      <c r="P12" s="2074"/>
      <c r="Q12" s="2074"/>
      <c r="R12" s="2074"/>
      <c r="S12" s="2074"/>
      <c r="T12" s="2074"/>
      <c r="U12" s="2074"/>
      <c r="V12" s="2074"/>
      <c r="W12" s="2074"/>
      <c r="X12" s="2074"/>
      <c r="Y12" s="2074"/>
      <c r="Z12" s="2074"/>
      <c r="AA12" s="2074"/>
      <c r="AB12" s="2074"/>
      <c r="AC12" s="2074"/>
      <c r="AD12" s="2074"/>
      <c r="AE12" s="2074"/>
      <c r="AF12" s="2074"/>
      <c r="AG12" s="2074"/>
      <c r="AH12" s="2074"/>
      <c r="AI12" s="2074"/>
      <c r="AJ12" s="2074"/>
      <c r="AK12" s="2074"/>
      <c r="AL12" s="2074"/>
      <c r="AM12" s="2074"/>
      <c r="AN12" s="2074"/>
      <c r="AO12" s="2074"/>
      <c r="AP12" s="2074"/>
      <c r="AQ12" s="2074"/>
      <c r="AR12" s="2074"/>
      <c r="AS12" s="2074"/>
      <c r="AT12" s="2074"/>
    </row>
    <row r="13" spans="1:46" ht="7.9" customHeight="1"/>
    <row r="14" spans="1:46" ht="15.2" customHeight="1">
      <c r="B14" s="2107" t="s">
        <v>1721</v>
      </c>
      <c r="C14" s="2106"/>
      <c r="D14" s="2105" t="s">
        <v>1819</v>
      </c>
      <c r="E14" s="2161">
        <v>3592.9</v>
      </c>
      <c r="F14" s="2103">
        <v>3489.5</v>
      </c>
      <c r="G14" s="2103">
        <v>103.4</v>
      </c>
      <c r="H14" s="2103">
        <v>1136.8</v>
      </c>
      <c r="I14" s="2103">
        <v>76</v>
      </c>
      <c r="J14" s="2103">
        <v>2.9</v>
      </c>
    </row>
    <row r="15" spans="1:46" ht="15.2" customHeight="1">
      <c r="B15" s="2065"/>
      <c r="C15" s="2106"/>
      <c r="D15" s="2105">
        <v>2023</v>
      </c>
      <c r="E15" s="2161">
        <v>3602.7</v>
      </c>
      <c r="F15" s="2103">
        <v>3446.5</v>
      </c>
      <c r="G15" s="2103">
        <v>156.19999999999999</v>
      </c>
      <c r="H15" s="2103">
        <v>1172.5</v>
      </c>
      <c r="I15" s="2103">
        <v>75.400000000000006</v>
      </c>
      <c r="J15" s="2103">
        <v>4.3</v>
      </c>
    </row>
    <row r="16" spans="1:46" ht="15.2" customHeight="1">
      <c r="B16" s="2065"/>
      <c r="C16" s="2106"/>
      <c r="D16" s="2105">
        <v>2024</v>
      </c>
      <c r="E16" s="2161">
        <v>3602.7</v>
      </c>
      <c r="F16" s="2103">
        <v>3446.5</v>
      </c>
      <c r="G16" s="2103">
        <v>156.19999999999999</v>
      </c>
      <c r="H16" s="2103">
        <v>1172.5</v>
      </c>
      <c r="I16" s="2103">
        <v>75.400000000000006</v>
      </c>
      <c r="J16" s="2103">
        <v>4.3</v>
      </c>
    </row>
    <row r="17" spans="1:11" ht="7.9" customHeight="1">
      <c r="B17" s="2065"/>
      <c r="C17" s="2064"/>
      <c r="E17" s="2068"/>
      <c r="F17" s="2068"/>
      <c r="G17" s="2068"/>
      <c r="H17" s="2068"/>
      <c r="I17" s="2068"/>
      <c r="J17" s="2068"/>
    </row>
    <row r="18" spans="1:11" ht="15.2" customHeight="1">
      <c r="A18" s="2070"/>
      <c r="B18" s="2066" t="s">
        <v>1720</v>
      </c>
      <c r="C18" s="2064"/>
      <c r="D18" s="2063" t="s">
        <v>1787</v>
      </c>
      <c r="E18" s="2156">
        <v>442.3</v>
      </c>
      <c r="F18" s="2062">
        <v>429.9</v>
      </c>
      <c r="G18" s="2062">
        <v>12.4</v>
      </c>
      <c r="H18" s="2062">
        <v>152.80000000000001</v>
      </c>
      <c r="I18" s="2062">
        <v>74.3</v>
      </c>
      <c r="J18" s="2062">
        <v>2.8</v>
      </c>
      <c r="K18" s="2071"/>
    </row>
    <row r="19" spans="1:11" ht="15.2" customHeight="1">
      <c r="A19" s="2070"/>
      <c r="B19" s="2066"/>
      <c r="C19" s="2064"/>
      <c r="D19" s="2063">
        <v>2023</v>
      </c>
      <c r="E19" s="2156">
        <v>454.7</v>
      </c>
      <c r="F19" s="2062">
        <v>432.7</v>
      </c>
      <c r="G19" s="2062">
        <v>22</v>
      </c>
      <c r="H19" s="2062">
        <v>153.9</v>
      </c>
      <c r="I19" s="2062">
        <v>74.7</v>
      </c>
      <c r="J19" s="2062">
        <v>4.8</v>
      </c>
      <c r="K19" s="2053"/>
    </row>
    <row r="20" spans="1:11" ht="15.2" customHeight="1">
      <c r="A20" s="2070"/>
      <c r="B20" s="2066"/>
      <c r="C20" s="2064"/>
      <c r="D20" s="2063">
        <v>2024</v>
      </c>
      <c r="E20" s="2156">
        <v>454.7</v>
      </c>
      <c r="F20" s="2062">
        <v>432.7</v>
      </c>
      <c r="G20" s="2062">
        <v>22</v>
      </c>
      <c r="H20" s="2062">
        <v>153.9</v>
      </c>
      <c r="I20" s="2062">
        <v>74.7</v>
      </c>
      <c r="J20" s="2062">
        <v>4.8</v>
      </c>
      <c r="K20" s="2048"/>
    </row>
    <row r="21" spans="1:11" ht="7.9" customHeight="1">
      <c r="B21" s="2066"/>
      <c r="C21" s="2064"/>
      <c r="D21" s="2069"/>
      <c r="E21" s="2068"/>
      <c r="F21" s="2068"/>
      <c r="G21" s="2068"/>
      <c r="H21" s="2068"/>
      <c r="I21" s="2068"/>
      <c r="J21" s="2068"/>
      <c r="K21" s="2053"/>
    </row>
    <row r="22" spans="1:11" ht="15.2" customHeight="1">
      <c r="B22" s="2066" t="s">
        <v>1719</v>
      </c>
      <c r="C22" s="2064"/>
      <c r="D22" s="2063" t="s">
        <v>1787</v>
      </c>
      <c r="E22" s="2156">
        <v>442.3</v>
      </c>
      <c r="F22" s="2062">
        <v>429.9</v>
      </c>
      <c r="G22" s="2062">
        <v>12.4</v>
      </c>
      <c r="H22" s="2062">
        <v>152.80000000000001</v>
      </c>
      <c r="I22" s="2062">
        <v>74.3</v>
      </c>
      <c r="J22" s="2062">
        <v>2.8</v>
      </c>
      <c r="K22" s="2048"/>
    </row>
    <row r="23" spans="1:11" ht="15.2" customHeight="1">
      <c r="B23" s="2066"/>
      <c r="C23" s="2064"/>
      <c r="D23" s="2063">
        <v>2023</v>
      </c>
      <c r="E23" s="2156">
        <v>454.7</v>
      </c>
      <c r="F23" s="2062">
        <v>432.7</v>
      </c>
      <c r="G23" s="2062">
        <v>22</v>
      </c>
      <c r="H23" s="2062">
        <v>153.9</v>
      </c>
      <c r="I23" s="2062">
        <v>74.7</v>
      </c>
      <c r="J23" s="2062">
        <v>4.8</v>
      </c>
      <c r="K23" s="2053"/>
    </row>
    <row r="24" spans="1:11" ht="15.2" customHeight="1">
      <c r="B24" s="2066"/>
      <c r="C24" s="2064"/>
      <c r="D24" s="2063">
        <v>2024</v>
      </c>
      <c r="E24" s="2156">
        <v>454.7</v>
      </c>
      <c r="F24" s="2062">
        <v>432.7</v>
      </c>
      <c r="G24" s="2062">
        <v>22</v>
      </c>
      <c r="H24" s="2062">
        <v>153.9</v>
      </c>
      <c r="I24" s="2062">
        <v>74.7</v>
      </c>
      <c r="J24" s="2062">
        <v>4.8</v>
      </c>
      <c r="K24" s="2048"/>
    </row>
    <row r="25" spans="1:11" ht="7.9" customHeight="1">
      <c r="B25" s="2066"/>
      <c r="C25" s="2064"/>
      <c r="D25" s="2069"/>
      <c r="E25" s="2068"/>
      <c r="F25" s="2068"/>
      <c r="G25" s="2068"/>
      <c r="H25" s="2068"/>
      <c r="I25" s="2068"/>
      <c r="J25" s="2068"/>
      <c r="K25" s="2053"/>
    </row>
    <row r="26" spans="1:11" ht="15.2" customHeight="1">
      <c r="B26" s="2066" t="s">
        <v>1718</v>
      </c>
      <c r="C26" s="2064"/>
      <c r="D26" s="2063" t="s">
        <v>1787</v>
      </c>
      <c r="E26" s="2156">
        <v>442.3</v>
      </c>
      <c r="F26" s="2062">
        <v>429.9</v>
      </c>
      <c r="G26" s="2062">
        <v>12.4</v>
      </c>
      <c r="H26" s="2062">
        <v>152.80000000000001</v>
      </c>
      <c r="I26" s="2062">
        <v>74.3</v>
      </c>
      <c r="J26" s="2062">
        <v>2.8</v>
      </c>
      <c r="K26" s="2048"/>
    </row>
    <row r="27" spans="1:11" ht="15.2" customHeight="1">
      <c r="B27" s="2066"/>
      <c r="C27" s="2064"/>
      <c r="D27" s="2063">
        <v>2023</v>
      </c>
      <c r="E27" s="2156">
        <v>454.7</v>
      </c>
      <c r="F27" s="2062">
        <v>432.7</v>
      </c>
      <c r="G27" s="2062">
        <v>22</v>
      </c>
      <c r="H27" s="2062">
        <v>153.9</v>
      </c>
      <c r="I27" s="2062">
        <v>74.7</v>
      </c>
      <c r="J27" s="2062">
        <v>4.8</v>
      </c>
      <c r="K27" s="2053"/>
    </row>
    <row r="28" spans="1:11" ht="15.2" customHeight="1">
      <c r="B28" s="2066"/>
      <c r="C28" s="2064"/>
      <c r="D28" s="2063">
        <v>2024</v>
      </c>
      <c r="E28" s="2156">
        <v>454.7</v>
      </c>
      <c r="F28" s="2062">
        <v>432.7</v>
      </c>
      <c r="G28" s="2062">
        <v>22</v>
      </c>
      <c r="H28" s="2062">
        <v>153.9</v>
      </c>
      <c r="I28" s="2062">
        <v>74.7</v>
      </c>
      <c r="J28" s="2062">
        <v>4.8</v>
      </c>
      <c r="K28" s="2048"/>
    </row>
    <row r="29" spans="1:11" ht="7.9" customHeight="1">
      <c r="B29" s="2066"/>
      <c r="C29" s="2064"/>
      <c r="D29" s="2069"/>
      <c r="E29" s="2068"/>
      <c r="F29" s="2068"/>
      <c r="G29" s="2068"/>
      <c r="H29" s="2068"/>
      <c r="I29" s="2068"/>
      <c r="J29" s="2067"/>
      <c r="K29" s="2053"/>
    </row>
    <row r="30" spans="1:11" ht="15.2" customHeight="1">
      <c r="B30" s="2066" t="s">
        <v>1717</v>
      </c>
      <c r="C30" s="2064"/>
      <c r="D30" s="2063" t="s">
        <v>1787</v>
      </c>
      <c r="E30" s="2156">
        <v>442.3</v>
      </c>
      <c r="F30" s="2062">
        <v>429.9</v>
      </c>
      <c r="G30" s="2062">
        <v>12.4</v>
      </c>
      <c r="H30" s="2062">
        <v>152.80000000000001</v>
      </c>
      <c r="I30" s="2062">
        <v>74.3</v>
      </c>
      <c r="J30" s="2062">
        <v>2.8</v>
      </c>
      <c r="K30" s="2048"/>
    </row>
    <row r="31" spans="1:11" ht="15.2" customHeight="1">
      <c r="B31" s="2066"/>
      <c r="C31" s="2064"/>
      <c r="D31" s="2063">
        <v>2023</v>
      </c>
      <c r="E31" s="2156">
        <v>454.7</v>
      </c>
      <c r="F31" s="2062">
        <v>432.7</v>
      </c>
      <c r="G31" s="2062">
        <v>22</v>
      </c>
      <c r="H31" s="2062">
        <v>153.9</v>
      </c>
      <c r="I31" s="2062">
        <v>74.7</v>
      </c>
      <c r="J31" s="2062">
        <v>4.8</v>
      </c>
      <c r="K31" s="2053"/>
    </row>
    <row r="32" spans="1:11" ht="15.2" customHeight="1">
      <c r="B32" s="2066"/>
      <c r="C32" s="2064"/>
      <c r="D32" s="2063">
        <v>2024</v>
      </c>
      <c r="E32" s="2156">
        <v>454.7</v>
      </c>
      <c r="F32" s="2062">
        <v>432.7</v>
      </c>
      <c r="G32" s="2062">
        <v>22</v>
      </c>
      <c r="H32" s="2062">
        <v>153.9</v>
      </c>
      <c r="I32" s="2062">
        <v>74.7</v>
      </c>
      <c r="J32" s="2062">
        <v>4.8</v>
      </c>
      <c r="K32" s="2048"/>
    </row>
    <row r="33" spans="2:11" ht="7.9" customHeight="1">
      <c r="B33" s="2066"/>
      <c r="C33" s="2064"/>
      <c r="D33" s="2069"/>
      <c r="E33" s="2068"/>
      <c r="F33" s="2062"/>
      <c r="G33" s="2068"/>
      <c r="H33" s="2068"/>
      <c r="I33" s="2068"/>
      <c r="J33" s="2068"/>
      <c r="K33" s="2053"/>
    </row>
    <row r="34" spans="2:11" ht="15.2" customHeight="1">
      <c r="B34" s="2066" t="s">
        <v>1716</v>
      </c>
      <c r="C34" s="2064"/>
      <c r="D34" s="2063" t="s">
        <v>1787</v>
      </c>
      <c r="E34" s="2156">
        <v>442.3</v>
      </c>
      <c r="F34" s="2062">
        <v>429.9</v>
      </c>
      <c r="G34" s="2062">
        <v>12.4</v>
      </c>
      <c r="H34" s="2062">
        <v>152.80000000000001</v>
      </c>
      <c r="I34" s="2062">
        <v>74.3</v>
      </c>
      <c r="J34" s="2062">
        <v>2.8</v>
      </c>
      <c r="K34" s="2048"/>
    </row>
    <row r="35" spans="2:11" ht="15.2" customHeight="1">
      <c r="B35" s="2066"/>
      <c r="C35" s="2064"/>
      <c r="D35" s="2063">
        <v>2023</v>
      </c>
      <c r="E35" s="2156">
        <v>454.7</v>
      </c>
      <c r="F35" s="2062">
        <v>432.7</v>
      </c>
      <c r="G35" s="2062">
        <v>22</v>
      </c>
      <c r="H35" s="2062">
        <v>153.9</v>
      </c>
      <c r="I35" s="2062">
        <v>74.7</v>
      </c>
      <c r="J35" s="2062">
        <v>4.8</v>
      </c>
      <c r="K35" s="2053"/>
    </row>
    <row r="36" spans="2:11" ht="15.2" customHeight="1">
      <c r="B36" s="2066"/>
      <c r="C36" s="2064"/>
      <c r="D36" s="2063">
        <v>2024</v>
      </c>
      <c r="E36" s="2156">
        <v>454.7</v>
      </c>
      <c r="F36" s="2062">
        <v>432.7</v>
      </c>
      <c r="G36" s="2062">
        <v>22</v>
      </c>
      <c r="H36" s="2062">
        <v>153.9</v>
      </c>
      <c r="I36" s="2062">
        <v>74.7</v>
      </c>
      <c r="J36" s="2062">
        <v>4.8</v>
      </c>
      <c r="K36" s="2048"/>
    </row>
    <row r="37" spans="2:11" ht="7.9" customHeight="1">
      <c r="B37" s="2066"/>
      <c r="C37" s="2064"/>
      <c r="D37" s="2069"/>
      <c r="E37" s="2068"/>
      <c r="F37" s="2068"/>
      <c r="G37" s="2068"/>
      <c r="H37" s="2068"/>
      <c r="I37" s="2068"/>
      <c r="J37" s="2068"/>
      <c r="K37" s="2053"/>
    </row>
    <row r="38" spans="2:11" ht="15.2" customHeight="1">
      <c r="B38" s="2066" t="s">
        <v>1589</v>
      </c>
      <c r="C38" s="2064"/>
      <c r="D38" s="2063" t="s">
        <v>1787</v>
      </c>
      <c r="E38" s="2156">
        <v>442.3</v>
      </c>
      <c r="F38" s="2062">
        <v>429.9</v>
      </c>
      <c r="G38" s="2062">
        <v>12.4</v>
      </c>
      <c r="H38" s="2062">
        <v>152.80000000000001</v>
      </c>
      <c r="I38" s="2062">
        <v>74.3</v>
      </c>
      <c r="J38" s="2062">
        <v>2.8</v>
      </c>
      <c r="K38" s="2048"/>
    </row>
    <row r="39" spans="2:11" ht="15.2" customHeight="1">
      <c r="B39" s="2066"/>
      <c r="C39" s="2064"/>
      <c r="D39" s="2063">
        <v>2023</v>
      </c>
      <c r="E39" s="2156">
        <v>454.7</v>
      </c>
      <c r="F39" s="2062">
        <v>432.7</v>
      </c>
      <c r="G39" s="2062">
        <v>22</v>
      </c>
      <c r="H39" s="2062">
        <v>153.9</v>
      </c>
      <c r="I39" s="2062">
        <v>74.7</v>
      </c>
      <c r="J39" s="2062">
        <v>4.8</v>
      </c>
      <c r="K39" s="2053"/>
    </row>
    <row r="40" spans="2:11" ht="15.2" customHeight="1">
      <c r="B40" s="2066"/>
      <c r="C40" s="2064"/>
      <c r="D40" s="2063">
        <v>2024</v>
      </c>
      <c r="E40" s="2156">
        <v>454.7</v>
      </c>
      <c r="F40" s="2062">
        <v>432.7</v>
      </c>
      <c r="G40" s="2062">
        <v>22</v>
      </c>
      <c r="H40" s="2062">
        <v>153.9</v>
      </c>
      <c r="I40" s="2062">
        <v>74.7</v>
      </c>
      <c r="J40" s="2062">
        <v>4.8</v>
      </c>
      <c r="K40" s="2048"/>
    </row>
    <row r="41" spans="2:11" ht="7.9" customHeight="1">
      <c r="B41" s="2066"/>
      <c r="C41" s="2064"/>
      <c r="D41" s="2069"/>
      <c r="E41" s="2068"/>
      <c r="F41" s="2068"/>
      <c r="G41" s="2068"/>
      <c r="H41" s="2068"/>
      <c r="I41" s="2068"/>
      <c r="J41" s="2068"/>
      <c r="K41" s="2053"/>
    </row>
    <row r="42" spans="2:11" ht="15.2" customHeight="1">
      <c r="B42" s="2066" t="s">
        <v>1715</v>
      </c>
      <c r="C42" s="2064"/>
      <c r="D42" s="2063" t="s">
        <v>1787</v>
      </c>
      <c r="E42" s="2156">
        <v>442.3</v>
      </c>
      <c r="F42" s="2062">
        <v>429.9</v>
      </c>
      <c r="G42" s="2062">
        <v>12.4</v>
      </c>
      <c r="H42" s="2062">
        <v>152.80000000000001</v>
      </c>
      <c r="I42" s="2062">
        <v>74.3</v>
      </c>
      <c r="J42" s="2062">
        <v>2.8</v>
      </c>
      <c r="K42" s="2048"/>
    </row>
    <row r="43" spans="2:11" ht="15.2" customHeight="1">
      <c r="B43" s="2066"/>
      <c r="C43" s="2064"/>
      <c r="D43" s="2063">
        <v>2023</v>
      </c>
      <c r="E43" s="2156">
        <v>454.7</v>
      </c>
      <c r="F43" s="2062">
        <v>432.7</v>
      </c>
      <c r="G43" s="2062">
        <v>22</v>
      </c>
      <c r="H43" s="2062">
        <v>153.9</v>
      </c>
      <c r="I43" s="2062">
        <v>74.7</v>
      </c>
      <c r="J43" s="2062">
        <v>4.8</v>
      </c>
      <c r="K43" s="2053"/>
    </row>
    <row r="44" spans="2:11" ht="15.2" customHeight="1">
      <c r="B44" s="2066"/>
      <c r="C44" s="2064"/>
      <c r="D44" s="2063">
        <v>2024</v>
      </c>
      <c r="E44" s="2156">
        <v>454.7</v>
      </c>
      <c r="F44" s="2062">
        <v>432.7</v>
      </c>
      <c r="G44" s="2062">
        <v>22</v>
      </c>
      <c r="H44" s="2062">
        <v>153.9</v>
      </c>
      <c r="I44" s="2062">
        <v>74.7</v>
      </c>
      <c r="J44" s="2062">
        <v>4.8</v>
      </c>
      <c r="K44" s="2048"/>
    </row>
    <row r="45" spans="2:11" ht="7.9" customHeight="1">
      <c r="B45" s="2066"/>
      <c r="C45" s="2064"/>
      <c r="D45" s="2069"/>
      <c r="E45" s="2068"/>
      <c r="F45" s="2068"/>
      <c r="G45" s="2068"/>
      <c r="H45" s="2068"/>
      <c r="I45" s="2068"/>
      <c r="J45" s="2067"/>
      <c r="K45" s="2053"/>
    </row>
    <row r="46" spans="2:11" ht="15.2" customHeight="1">
      <c r="B46" s="2066" t="s">
        <v>1714</v>
      </c>
      <c r="C46" s="2064"/>
      <c r="D46" s="2063" t="s">
        <v>1787</v>
      </c>
      <c r="E46" s="2156">
        <v>442.3</v>
      </c>
      <c r="F46" s="2062">
        <v>429.9</v>
      </c>
      <c r="G46" s="2062">
        <v>12.4</v>
      </c>
      <c r="H46" s="2062">
        <v>152.80000000000001</v>
      </c>
      <c r="I46" s="2062">
        <v>74.3</v>
      </c>
      <c r="J46" s="2062">
        <v>2.8</v>
      </c>
      <c r="K46" s="2048"/>
    </row>
    <row r="47" spans="2:11" ht="15.2" customHeight="1">
      <c r="B47" s="2066"/>
      <c r="C47" s="2064"/>
      <c r="D47" s="2063">
        <v>2023</v>
      </c>
      <c r="E47" s="2156">
        <v>454.7</v>
      </c>
      <c r="F47" s="2062">
        <v>432.7</v>
      </c>
      <c r="G47" s="2062">
        <v>22</v>
      </c>
      <c r="H47" s="2062">
        <v>153.9</v>
      </c>
      <c r="I47" s="2062">
        <v>74.7</v>
      </c>
      <c r="J47" s="2062">
        <v>4.8</v>
      </c>
      <c r="K47" s="2053"/>
    </row>
    <row r="48" spans="2:11" ht="15.2" customHeight="1">
      <c r="B48" s="2066"/>
      <c r="C48" s="2064"/>
      <c r="D48" s="2063">
        <v>2024</v>
      </c>
      <c r="E48" s="2156">
        <v>454.7</v>
      </c>
      <c r="F48" s="2062">
        <v>432.7</v>
      </c>
      <c r="G48" s="2062">
        <v>22</v>
      </c>
      <c r="H48" s="2062">
        <v>153.9</v>
      </c>
      <c r="I48" s="2062">
        <v>74.7</v>
      </c>
      <c r="J48" s="2062">
        <v>4.8</v>
      </c>
      <c r="K48" s="2048"/>
    </row>
    <row r="49" spans="2:11" ht="7.9" customHeight="1">
      <c r="B49" s="2066"/>
      <c r="C49" s="1947"/>
      <c r="D49" s="2069"/>
      <c r="E49" s="2068"/>
      <c r="F49" s="2068"/>
      <c r="G49" s="2068"/>
      <c r="H49" s="2068"/>
      <c r="I49" s="2068"/>
      <c r="J49" s="2068"/>
      <c r="K49" s="2053"/>
    </row>
    <row r="50" spans="2:11" ht="15.2" customHeight="1">
      <c r="B50" s="2066" t="s">
        <v>1713</v>
      </c>
      <c r="C50" s="1947"/>
      <c r="D50" s="2063" t="s">
        <v>1787</v>
      </c>
      <c r="E50" s="2156">
        <v>442.3</v>
      </c>
      <c r="F50" s="2062">
        <v>429.9</v>
      </c>
      <c r="G50" s="2062">
        <v>12.4</v>
      </c>
      <c r="H50" s="2062">
        <v>152.80000000000001</v>
      </c>
      <c r="I50" s="2062">
        <v>74.3</v>
      </c>
      <c r="J50" s="2062">
        <v>2.8</v>
      </c>
      <c r="K50" s="2048"/>
    </row>
    <row r="51" spans="2:11" ht="15.2" customHeight="1">
      <c r="B51" s="2100"/>
      <c r="C51" s="1947"/>
      <c r="D51" s="2063">
        <v>2023</v>
      </c>
      <c r="E51" s="2156">
        <v>454.7</v>
      </c>
      <c r="F51" s="2062">
        <v>432.7</v>
      </c>
      <c r="G51" s="2062">
        <v>22</v>
      </c>
      <c r="H51" s="2062">
        <v>153.9</v>
      </c>
      <c r="I51" s="2062">
        <v>74.7</v>
      </c>
      <c r="J51" s="2062">
        <v>4.8</v>
      </c>
      <c r="K51" s="2053"/>
    </row>
    <row r="52" spans="2:11" ht="15.2" customHeight="1">
      <c r="B52" s="2100"/>
      <c r="C52" s="1947"/>
      <c r="D52" s="2063">
        <v>2024</v>
      </c>
      <c r="E52" s="2156">
        <v>454.7</v>
      </c>
      <c r="F52" s="2062">
        <v>432.7</v>
      </c>
      <c r="G52" s="2062">
        <v>22</v>
      </c>
      <c r="H52" s="2062">
        <v>153.9</v>
      </c>
      <c r="I52" s="2062">
        <v>74.7</v>
      </c>
      <c r="J52" s="2062">
        <v>4.8</v>
      </c>
      <c r="K52" s="2048"/>
    </row>
    <row r="53" spans="2:11" ht="8.1" customHeight="1">
      <c r="B53" s="2100"/>
      <c r="C53" s="1947"/>
      <c r="D53" s="2063"/>
      <c r="E53" s="2068"/>
      <c r="F53" s="2068"/>
      <c r="G53" s="2068"/>
      <c r="H53" s="2068"/>
      <c r="I53" s="2068"/>
      <c r="J53" s="2068"/>
      <c r="K53" s="2048"/>
    </row>
    <row r="54" spans="2:11" ht="15.2" customHeight="1">
      <c r="B54" s="2066" t="s">
        <v>1712</v>
      </c>
      <c r="C54" s="1947"/>
      <c r="D54" s="2063" t="s">
        <v>1787</v>
      </c>
      <c r="E54" s="2156">
        <v>442.3</v>
      </c>
      <c r="F54" s="2062">
        <v>429.9</v>
      </c>
      <c r="G54" s="2062">
        <v>12.4</v>
      </c>
      <c r="H54" s="2062">
        <v>152.80000000000001</v>
      </c>
      <c r="I54" s="2062">
        <v>74.3</v>
      </c>
      <c r="J54" s="2062">
        <v>2.8</v>
      </c>
      <c r="K54" s="2048"/>
    </row>
    <row r="55" spans="2:11" ht="15.2" customHeight="1">
      <c r="B55" s="2100"/>
      <c r="C55" s="1947"/>
      <c r="D55" s="2063">
        <v>2023</v>
      </c>
      <c r="E55" s="2156">
        <v>454.7</v>
      </c>
      <c r="F55" s="2062">
        <v>432.7</v>
      </c>
      <c r="G55" s="2062">
        <v>22</v>
      </c>
      <c r="H55" s="2062">
        <v>153.9</v>
      </c>
      <c r="I55" s="2062">
        <v>74.7</v>
      </c>
      <c r="J55" s="2062">
        <v>4.8</v>
      </c>
      <c r="K55" s="2048"/>
    </row>
    <row r="56" spans="2:11" ht="15.2" customHeight="1">
      <c r="B56" s="2100"/>
      <c r="C56" s="1947"/>
      <c r="D56" s="2063">
        <v>2024</v>
      </c>
      <c r="E56" s="2156">
        <v>454.7</v>
      </c>
      <c r="F56" s="2062">
        <v>432.7</v>
      </c>
      <c r="G56" s="2062">
        <v>22</v>
      </c>
      <c r="H56" s="2062">
        <v>153.9</v>
      </c>
      <c r="I56" s="2062">
        <v>74.7</v>
      </c>
      <c r="J56" s="2062">
        <v>4.8</v>
      </c>
      <c r="K56" s="2048"/>
    </row>
    <row r="57" spans="2:11" ht="8.1" customHeight="1">
      <c r="B57" s="2100"/>
      <c r="C57" s="1947"/>
      <c r="D57" s="2069"/>
      <c r="E57" s="2068"/>
      <c r="F57" s="2068"/>
      <c r="G57" s="2068"/>
      <c r="H57" s="2068"/>
      <c r="I57" s="2068"/>
      <c r="J57" s="2068"/>
      <c r="K57" s="2048"/>
    </row>
    <row r="58" spans="2:11" ht="15.2" customHeight="1">
      <c r="B58" s="2066" t="s">
        <v>1707</v>
      </c>
      <c r="C58" s="2064"/>
      <c r="D58" s="2063" t="s">
        <v>1787</v>
      </c>
      <c r="E58" s="2156">
        <v>442.3</v>
      </c>
      <c r="F58" s="2062">
        <v>429.9</v>
      </c>
      <c r="G58" s="2062">
        <v>12.4</v>
      </c>
      <c r="H58" s="2062">
        <v>152.80000000000001</v>
      </c>
      <c r="I58" s="2062">
        <v>74.3</v>
      </c>
      <c r="J58" s="2062">
        <v>2.8</v>
      </c>
      <c r="K58" s="2048"/>
    </row>
    <row r="59" spans="2:11" ht="15.2" customHeight="1">
      <c r="B59" s="2066"/>
      <c r="C59" s="2064"/>
      <c r="D59" s="2063">
        <v>2023</v>
      </c>
      <c r="E59" s="2156">
        <v>454.7</v>
      </c>
      <c r="F59" s="2062">
        <v>432.7</v>
      </c>
      <c r="G59" s="2062">
        <v>22</v>
      </c>
      <c r="H59" s="2062">
        <v>153.9</v>
      </c>
      <c r="I59" s="2062">
        <v>74.7</v>
      </c>
      <c r="J59" s="2062">
        <v>4.8</v>
      </c>
      <c r="K59" s="2048"/>
    </row>
    <row r="60" spans="2:11" ht="15.2" customHeight="1">
      <c r="B60" s="2066"/>
      <c r="C60" s="2064"/>
      <c r="D60" s="2063">
        <v>2024</v>
      </c>
      <c r="E60" s="2156">
        <v>454.7</v>
      </c>
      <c r="F60" s="2062">
        <v>432.7</v>
      </c>
      <c r="G60" s="2062">
        <v>22</v>
      </c>
      <c r="H60" s="2062">
        <v>153.9</v>
      </c>
      <c r="I60" s="2062">
        <v>74.7</v>
      </c>
      <c r="J60" s="2062">
        <v>4.8</v>
      </c>
      <c r="K60" s="2048"/>
    </row>
    <row r="61" spans="2:11" ht="8.1" customHeight="1">
      <c r="B61" s="2066"/>
      <c r="C61" s="1947"/>
      <c r="D61" s="2069"/>
      <c r="E61" s="2068"/>
      <c r="F61" s="2068"/>
      <c r="G61" s="2068"/>
      <c r="H61" s="2068"/>
      <c r="I61" s="2068"/>
      <c r="J61" s="2067"/>
      <c r="K61" s="2048"/>
    </row>
    <row r="62" spans="2:11" ht="15.2" customHeight="1">
      <c r="B62" s="2066" t="s">
        <v>1706</v>
      </c>
      <c r="C62" s="1947"/>
      <c r="D62" s="2063" t="s">
        <v>1787</v>
      </c>
      <c r="E62" s="2156">
        <v>442.3</v>
      </c>
      <c r="F62" s="2062">
        <v>429.9</v>
      </c>
      <c r="G62" s="2062">
        <v>12.4</v>
      </c>
      <c r="H62" s="2062">
        <v>152.80000000000001</v>
      </c>
      <c r="I62" s="2062">
        <v>74.3</v>
      </c>
      <c r="J62" s="2062">
        <v>2.8</v>
      </c>
      <c r="K62" s="2048"/>
    </row>
    <row r="63" spans="2:11" ht="15.2" customHeight="1">
      <c r="B63" s="2100"/>
      <c r="C63" s="1947"/>
      <c r="D63" s="2063">
        <v>2023</v>
      </c>
      <c r="E63" s="2156">
        <v>454.7</v>
      </c>
      <c r="F63" s="2062">
        <v>432.7</v>
      </c>
      <c r="G63" s="2062">
        <v>22</v>
      </c>
      <c r="H63" s="2062">
        <v>153.9</v>
      </c>
      <c r="I63" s="2062">
        <v>74.7</v>
      </c>
      <c r="J63" s="2062">
        <v>4.8</v>
      </c>
      <c r="K63" s="2048"/>
    </row>
    <row r="64" spans="2:11" ht="15.2" customHeight="1">
      <c r="B64" s="2100"/>
      <c r="C64" s="1947"/>
      <c r="D64" s="2063">
        <v>2024</v>
      </c>
      <c r="E64" s="2156">
        <v>454.7</v>
      </c>
      <c r="F64" s="2062">
        <v>432.7</v>
      </c>
      <c r="G64" s="2062">
        <v>22</v>
      </c>
      <c r="H64" s="2062">
        <v>153.9</v>
      </c>
      <c r="I64" s="2062">
        <v>74.7</v>
      </c>
      <c r="J64" s="2062">
        <v>4.8</v>
      </c>
      <c r="K64" s="2048"/>
    </row>
    <row r="65" spans="1:11" ht="8.1" customHeight="1">
      <c r="B65" s="2100"/>
      <c r="C65" s="1947"/>
      <c r="D65" s="2063"/>
      <c r="E65" s="2067"/>
      <c r="F65" s="2067"/>
      <c r="G65" s="2067"/>
      <c r="H65" s="2067"/>
      <c r="I65" s="2067"/>
      <c r="J65" s="2067"/>
      <c r="K65" s="2048"/>
    </row>
    <row r="66" spans="1:11" ht="15.2" customHeight="1">
      <c r="B66" s="2066" t="s">
        <v>1705</v>
      </c>
      <c r="C66" s="1947"/>
      <c r="D66" s="2063" t="s">
        <v>1787</v>
      </c>
      <c r="E66" s="2156">
        <v>442.3</v>
      </c>
      <c r="F66" s="2062">
        <v>429.9</v>
      </c>
      <c r="G66" s="2062">
        <v>12.4</v>
      </c>
      <c r="H66" s="2062">
        <v>152.80000000000001</v>
      </c>
      <c r="I66" s="2062">
        <v>74.3</v>
      </c>
      <c r="J66" s="2062">
        <v>2.8</v>
      </c>
      <c r="K66" s="2048"/>
    </row>
    <row r="67" spans="1:11" ht="15.2" customHeight="1">
      <c r="B67" s="2100"/>
      <c r="C67" s="1947"/>
      <c r="D67" s="2063">
        <v>2023</v>
      </c>
      <c r="E67" s="2156">
        <v>454.7</v>
      </c>
      <c r="F67" s="2062">
        <v>432.7</v>
      </c>
      <c r="G67" s="2062">
        <v>22</v>
      </c>
      <c r="H67" s="2062">
        <v>153.9</v>
      </c>
      <c r="I67" s="2062">
        <v>74.7</v>
      </c>
      <c r="J67" s="2062">
        <v>4.8</v>
      </c>
      <c r="K67" s="2048"/>
    </row>
    <row r="68" spans="1:11" ht="15.2" customHeight="1">
      <c r="C68" s="1947"/>
      <c r="D68" s="2063">
        <v>2024</v>
      </c>
      <c r="E68" s="2156">
        <v>454.7</v>
      </c>
      <c r="F68" s="2062">
        <v>432.7</v>
      </c>
      <c r="G68" s="2062">
        <v>22</v>
      </c>
      <c r="H68" s="2062">
        <v>153.9</v>
      </c>
      <c r="I68" s="2062">
        <v>74.7</v>
      </c>
      <c r="J68" s="2062">
        <v>4.8</v>
      </c>
      <c r="K68" s="2048"/>
    </row>
    <row r="69" spans="1:11" ht="7.9" customHeight="1" thickBot="1">
      <c r="A69" s="2060"/>
      <c r="B69" s="2060"/>
      <c r="C69" s="2060"/>
      <c r="D69" s="2061"/>
      <c r="E69" s="2060"/>
      <c r="F69" s="2060"/>
      <c r="G69" s="2060"/>
      <c r="H69" s="2060"/>
      <c r="I69" s="2060"/>
      <c r="J69" s="2060"/>
      <c r="K69" s="2053"/>
    </row>
    <row r="70" spans="1:11" ht="15.2" customHeight="1">
      <c r="A70" s="2058"/>
      <c r="B70" s="2057"/>
      <c r="C70" s="2057"/>
      <c r="D70" s="2056"/>
      <c r="E70" s="2056"/>
      <c r="F70" s="2055"/>
      <c r="G70" s="2049"/>
      <c r="H70" s="2860" t="s">
        <v>0</v>
      </c>
      <c r="I70" s="2860"/>
      <c r="J70" s="2860"/>
      <c r="K70" s="2048"/>
    </row>
    <row r="71" spans="1:11" ht="15.2" customHeight="1">
      <c r="A71" s="2052"/>
      <c r="D71" s="2051"/>
      <c r="E71" s="2051"/>
      <c r="F71" s="2050"/>
      <c r="G71" s="2049"/>
      <c r="H71" s="2861" t="s">
        <v>1</v>
      </c>
      <c r="I71" s="2861"/>
      <c r="J71" s="2861"/>
      <c r="K71" s="2053"/>
    </row>
    <row r="72" spans="1:11" ht="7.9" customHeight="1">
      <c r="A72" s="2052"/>
      <c r="D72" s="2051"/>
      <c r="E72" s="2051"/>
      <c r="F72" s="2050"/>
      <c r="G72" s="2049"/>
      <c r="H72" s="2049"/>
      <c r="K72" s="2048"/>
    </row>
    <row r="73" spans="1:11" s="2148" customFormat="1" ht="15.2" customHeight="1">
      <c r="B73" s="2155" t="s">
        <v>1786</v>
      </c>
      <c r="K73" s="2053"/>
    </row>
    <row r="74" spans="1:11" s="2148" customFormat="1" ht="15.2" customHeight="1">
      <c r="A74" s="2149" t="s">
        <v>3</v>
      </c>
      <c r="B74" s="2154" t="s">
        <v>1785</v>
      </c>
    </row>
    <row r="75" spans="1:11" s="2148" customFormat="1" ht="15.2" customHeight="1">
      <c r="A75" s="2151"/>
      <c r="B75" s="2153" t="s">
        <v>1784</v>
      </c>
    </row>
    <row r="76" spans="1:11" s="2148" customFormat="1" ht="15.2" customHeight="1">
      <c r="A76" s="2149" t="s">
        <v>4</v>
      </c>
      <c r="B76" s="2152" t="s">
        <v>1783</v>
      </c>
    </row>
    <row r="77" spans="1:11" s="2148" customFormat="1" ht="15.2" customHeight="1">
      <c r="A77" s="2151"/>
      <c r="B77" s="2150" t="s">
        <v>1782</v>
      </c>
    </row>
    <row r="78" spans="1:11" s="2148" customFormat="1" ht="15.2" customHeight="1"/>
    <row r="79" spans="1:11" s="2148" customFormat="1" ht="15.2" customHeight="1"/>
    <row r="81" spans="1:46" ht="17.25" customHeight="1">
      <c r="A81" s="2098"/>
      <c r="B81" s="2097" t="s">
        <v>1818</v>
      </c>
      <c r="C81" s="2096" t="s">
        <v>1817</v>
      </c>
      <c r="D81" s="2092"/>
      <c r="E81" s="2070"/>
      <c r="F81" s="2070"/>
      <c r="G81" s="2070"/>
      <c r="H81" s="2070"/>
      <c r="I81" s="2070"/>
      <c r="J81" s="2070"/>
      <c r="K81" s="2070"/>
    </row>
    <row r="82" spans="1:46" ht="17.25" customHeight="1">
      <c r="A82" s="2095"/>
      <c r="B82" s="2094" t="s">
        <v>1816</v>
      </c>
      <c r="C82" s="2093" t="s">
        <v>1815</v>
      </c>
      <c r="D82" s="2092"/>
      <c r="E82" s="2070"/>
      <c r="F82" s="2070"/>
      <c r="G82" s="2070"/>
      <c r="H82" s="2070"/>
      <c r="I82" s="2070"/>
      <c r="J82" s="2070"/>
      <c r="K82" s="2070"/>
    </row>
    <row r="83" spans="1:46" ht="15.2" customHeight="1" thickBot="1">
      <c r="A83" s="2091"/>
      <c r="B83" s="2091"/>
      <c r="C83" s="2090"/>
      <c r="D83" s="2089"/>
      <c r="E83" s="2088"/>
      <c r="F83" s="2088"/>
      <c r="G83" s="2088"/>
      <c r="H83" s="2088"/>
      <c r="I83" s="2088"/>
      <c r="J83" s="2088"/>
      <c r="K83" s="2065"/>
    </row>
    <row r="84" spans="1:46" s="2074" customFormat="1" ht="7.9" customHeight="1">
      <c r="A84" s="2075"/>
      <c r="B84" s="2160"/>
      <c r="C84" s="2075"/>
      <c r="D84" s="2083"/>
      <c r="E84" s="2079"/>
      <c r="F84" s="2079"/>
      <c r="G84" s="2079"/>
      <c r="H84" s="2079"/>
      <c r="I84" s="2079"/>
      <c r="J84" s="2079"/>
      <c r="K84" s="2079"/>
      <c r="L84" s="2079"/>
      <c r="M84" s="2079"/>
      <c r="N84" s="2075"/>
    </row>
    <row r="85" spans="1:46" s="2074" customFormat="1" ht="13.5">
      <c r="A85" s="2075"/>
      <c r="B85" s="2087" t="s">
        <v>1814</v>
      </c>
      <c r="C85" s="2084"/>
      <c r="D85" s="2080" t="s">
        <v>39</v>
      </c>
      <c r="E85" s="2086" t="s">
        <v>1813</v>
      </c>
      <c r="F85" s="2086" t="s">
        <v>1812</v>
      </c>
      <c r="G85" s="2086" t="s">
        <v>1811</v>
      </c>
      <c r="H85" s="2086" t="s">
        <v>1810</v>
      </c>
      <c r="I85" s="2086" t="s">
        <v>1809</v>
      </c>
      <c r="J85" s="2086" t="s">
        <v>1808</v>
      </c>
      <c r="N85" s="2075"/>
    </row>
    <row r="86" spans="1:46" s="2074" customFormat="1" ht="13.5">
      <c r="A86" s="2075"/>
      <c r="B86" s="2087" t="s">
        <v>1807</v>
      </c>
      <c r="C86" s="2084"/>
      <c r="D86" s="2083" t="s">
        <v>40</v>
      </c>
      <c r="E86" s="2086" t="s">
        <v>1806</v>
      </c>
      <c r="F86" s="2086" t="s">
        <v>1805</v>
      </c>
      <c r="G86" s="2079" t="s">
        <v>1804</v>
      </c>
      <c r="H86" s="2086" t="s">
        <v>1803</v>
      </c>
      <c r="I86" s="2086" t="s">
        <v>1802</v>
      </c>
      <c r="J86" s="2086" t="s">
        <v>1801</v>
      </c>
      <c r="N86" s="2075"/>
    </row>
    <row r="87" spans="1:46" s="2074" customFormat="1" ht="13.5">
      <c r="A87" s="2075"/>
      <c r="B87" s="2160" t="s">
        <v>1800</v>
      </c>
      <c r="C87" s="2084"/>
      <c r="D87" s="2080"/>
      <c r="E87" s="2079" t="s">
        <v>1799</v>
      </c>
      <c r="F87" s="2079" t="s">
        <v>1798</v>
      </c>
      <c r="G87" s="2079" t="s">
        <v>1792</v>
      </c>
      <c r="H87" s="2079" t="s">
        <v>1797</v>
      </c>
      <c r="I87" s="2079" t="s">
        <v>1796</v>
      </c>
      <c r="J87" s="2079" t="s">
        <v>1795</v>
      </c>
      <c r="N87" s="2075"/>
    </row>
    <row r="88" spans="1:46" s="2074" customFormat="1" ht="13.5">
      <c r="A88" s="2075"/>
      <c r="B88" s="2160" t="s">
        <v>1794</v>
      </c>
      <c r="C88" s="2084"/>
      <c r="D88" s="2080"/>
      <c r="E88" s="2079" t="s">
        <v>1793</v>
      </c>
      <c r="F88" s="2079" t="s">
        <v>1792</v>
      </c>
      <c r="G88" s="2079"/>
      <c r="H88" s="2079" t="s">
        <v>1791</v>
      </c>
      <c r="I88" s="2079" t="s">
        <v>1790</v>
      </c>
      <c r="J88" s="2079" t="s">
        <v>1789</v>
      </c>
      <c r="N88" s="2075"/>
    </row>
    <row r="89" spans="1:46" s="2074" customFormat="1" ht="13.5">
      <c r="A89" s="2075"/>
      <c r="B89" s="2159"/>
      <c r="D89" s="2158"/>
      <c r="E89" s="2157" t="s">
        <v>1788</v>
      </c>
      <c r="F89" s="2157" t="s">
        <v>1788</v>
      </c>
      <c r="G89" s="2157" t="s">
        <v>1788</v>
      </c>
      <c r="H89" s="2157" t="s">
        <v>1788</v>
      </c>
      <c r="I89" s="2157" t="s">
        <v>41</v>
      </c>
      <c r="J89" s="2157" t="s">
        <v>41</v>
      </c>
      <c r="N89" s="2075"/>
    </row>
    <row r="90" spans="1:46" s="2074" customFormat="1" ht="13.5">
      <c r="A90" s="2075"/>
      <c r="B90" s="2159"/>
      <c r="D90" s="2158"/>
      <c r="E90" s="2157"/>
      <c r="F90" s="2157"/>
      <c r="G90" s="2157"/>
      <c r="H90" s="2157"/>
      <c r="I90" s="2157"/>
      <c r="J90" s="2157"/>
      <c r="N90" s="2075"/>
    </row>
    <row r="91" spans="1:46" s="2073" customFormat="1" ht="7.9" customHeight="1" thickBot="1">
      <c r="A91" s="2076"/>
      <c r="B91" s="2078"/>
      <c r="C91" s="2076"/>
      <c r="D91" s="2077"/>
      <c r="E91" s="2076"/>
      <c r="F91" s="2076"/>
      <c r="G91" s="2076"/>
      <c r="H91" s="2076"/>
      <c r="I91" s="2076"/>
      <c r="J91" s="2076"/>
      <c r="K91" s="2075"/>
      <c r="L91" s="2074"/>
      <c r="M91" s="2074"/>
      <c r="N91" s="2075"/>
      <c r="O91" s="2074"/>
      <c r="P91" s="2074"/>
      <c r="Q91" s="2074"/>
      <c r="R91" s="2074"/>
      <c r="S91" s="2074"/>
      <c r="T91" s="2074"/>
      <c r="U91" s="2074"/>
      <c r="V91" s="2074"/>
      <c r="W91" s="2074"/>
      <c r="X91" s="2074"/>
      <c r="Y91" s="2074"/>
      <c r="Z91" s="2074"/>
      <c r="AA91" s="2074"/>
      <c r="AB91" s="2074"/>
      <c r="AC91" s="2074"/>
      <c r="AD91" s="2074"/>
      <c r="AE91" s="2074"/>
      <c r="AF91" s="2074"/>
      <c r="AG91" s="2074"/>
      <c r="AH91" s="2074"/>
      <c r="AI91" s="2074"/>
      <c r="AJ91" s="2074"/>
      <c r="AK91" s="2074"/>
      <c r="AL91" s="2074"/>
      <c r="AM91" s="2074"/>
      <c r="AN91" s="2074"/>
      <c r="AO91" s="2074"/>
      <c r="AP91" s="2074"/>
      <c r="AQ91" s="2074"/>
      <c r="AR91" s="2074"/>
      <c r="AS91" s="2074"/>
      <c r="AT91" s="2074"/>
    </row>
    <row r="92" spans="1:46" ht="7.9" customHeight="1">
      <c r="B92" s="2065"/>
      <c r="C92" s="2064"/>
      <c r="E92" s="2072"/>
      <c r="F92" s="2072"/>
      <c r="G92" s="2072"/>
      <c r="H92" s="2072"/>
      <c r="I92" s="2072"/>
      <c r="J92" s="2072"/>
    </row>
    <row r="93" spans="1:46" ht="15.2" customHeight="1">
      <c r="A93" s="2070"/>
      <c r="B93" s="2066" t="s">
        <v>1711</v>
      </c>
      <c r="C93" s="2064"/>
      <c r="D93" s="2063" t="s">
        <v>1787</v>
      </c>
      <c r="E93" s="2156">
        <v>442.3</v>
      </c>
      <c r="F93" s="2062">
        <v>429.9</v>
      </c>
      <c r="G93" s="2062">
        <v>12.4</v>
      </c>
      <c r="H93" s="2062">
        <v>152.80000000000001</v>
      </c>
      <c r="I93" s="2062">
        <v>74.3</v>
      </c>
      <c r="J93" s="2062">
        <v>2.8</v>
      </c>
      <c r="K93" s="2071"/>
    </row>
    <row r="94" spans="1:46" ht="15.2" customHeight="1">
      <c r="A94" s="2070"/>
      <c r="B94" s="2065"/>
      <c r="C94" s="2064"/>
      <c r="D94" s="2063">
        <v>2023</v>
      </c>
      <c r="E94" s="2156">
        <v>454.7</v>
      </c>
      <c r="F94" s="2062">
        <v>432.7</v>
      </c>
      <c r="G94" s="2062">
        <v>22</v>
      </c>
      <c r="H94" s="2062">
        <v>153.9</v>
      </c>
      <c r="I94" s="2062">
        <v>74.7</v>
      </c>
      <c r="J94" s="2062">
        <v>4.8</v>
      </c>
      <c r="K94" s="2053"/>
    </row>
    <row r="95" spans="1:46" ht="15.2" customHeight="1">
      <c r="A95" s="2070"/>
      <c r="B95" s="2065"/>
      <c r="C95" s="2064"/>
      <c r="D95" s="2063">
        <v>2024</v>
      </c>
      <c r="E95" s="2156">
        <v>454.7</v>
      </c>
      <c r="F95" s="2062">
        <v>432.7</v>
      </c>
      <c r="G95" s="2062">
        <v>22</v>
      </c>
      <c r="H95" s="2062">
        <v>153.9</v>
      </c>
      <c r="I95" s="2062">
        <v>74.7</v>
      </c>
      <c r="J95" s="2062">
        <v>4.8</v>
      </c>
      <c r="K95" s="2048"/>
    </row>
    <row r="96" spans="1:46" ht="7.9" customHeight="1">
      <c r="B96" s="2065"/>
      <c r="C96" s="2064"/>
      <c r="D96" s="2069"/>
      <c r="E96" s="2068"/>
      <c r="F96" s="2068"/>
      <c r="G96" s="2068"/>
      <c r="H96" s="2068"/>
      <c r="I96" s="2068"/>
      <c r="J96" s="2068"/>
      <c r="K96" s="2053"/>
    </row>
    <row r="97" spans="2:11" ht="15.2" customHeight="1">
      <c r="B97" s="2066" t="s">
        <v>1710</v>
      </c>
      <c r="C97" s="2064"/>
      <c r="D97" s="2063" t="s">
        <v>1787</v>
      </c>
      <c r="E97" s="2156">
        <v>442.3</v>
      </c>
      <c r="F97" s="2062">
        <v>429.9</v>
      </c>
      <c r="G97" s="2062">
        <v>12.4</v>
      </c>
      <c r="H97" s="2062">
        <v>152.80000000000001</v>
      </c>
      <c r="I97" s="2062">
        <v>74.3</v>
      </c>
      <c r="J97" s="2062">
        <v>2.8</v>
      </c>
      <c r="K97" s="2048"/>
    </row>
    <row r="98" spans="2:11" ht="15.2" customHeight="1">
      <c r="B98" s="2066"/>
      <c r="C98" s="2064"/>
      <c r="D98" s="2063">
        <v>2023</v>
      </c>
      <c r="E98" s="2156">
        <v>454.7</v>
      </c>
      <c r="F98" s="2062">
        <v>432.7</v>
      </c>
      <c r="G98" s="2062">
        <v>22</v>
      </c>
      <c r="H98" s="2062">
        <v>153.9</v>
      </c>
      <c r="I98" s="2062">
        <v>74.7</v>
      </c>
      <c r="J98" s="2062">
        <v>4.8</v>
      </c>
      <c r="K98" s="2053"/>
    </row>
    <row r="99" spans="2:11" ht="15.2" customHeight="1">
      <c r="B99" s="2066"/>
      <c r="C99" s="2064"/>
      <c r="D99" s="2063">
        <v>2024</v>
      </c>
      <c r="E99" s="2156">
        <v>454.7</v>
      </c>
      <c r="F99" s="2062">
        <v>432.7</v>
      </c>
      <c r="G99" s="2062">
        <v>22</v>
      </c>
      <c r="H99" s="2062">
        <v>153.9</v>
      </c>
      <c r="I99" s="2062">
        <v>74.7</v>
      </c>
      <c r="J99" s="2062">
        <v>4.8</v>
      </c>
      <c r="K99" s="2048"/>
    </row>
    <row r="100" spans="2:11" ht="7.9" customHeight="1">
      <c r="B100" s="2066"/>
      <c r="C100" s="2064"/>
      <c r="D100" s="2063"/>
      <c r="E100" s="2068"/>
      <c r="F100" s="2068"/>
      <c r="G100" s="2068"/>
      <c r="H100" s="2068"/>
      <c r="I100" s="2068"/>
      <c r="J100" s="2068"/>
      <c r="K100" s="2053"/>
    </row>
    <row r="101" spans="2:11" ht="15.2" customHeight="1">
      <c r="B101" s="2066" t="s">
        <v>1709</v>
      </c>
      <c r="C101" s="2064"/>
      <c r="D101" s="2063" t="s">
        <v>1787</v>
      </c>
      <c r="E101" s="2156">
        <v>442.3</v>
      </c>
      <c r="F101" s="2062">
        <v>429.9</v>
      </c>
      <c r="G101" s="2062">
        <v>12.4</v>
      </c>
      <c r="H101" s="2062">
        <v>152.80000000000001</v>
      </c>
      <c r="I101" s="2062">
        <v>74.3</v>
      </c>
      <c r="J101" s="2062">
        <v>2.8</v>
      </c>
      <c r="K101" s="2048"/>
    </row>
    <row r="102" spans="2:11" ht="15.2" customHeight="1">
      <c r="B102" s="2066"/>
      <c r="C102" s="2064"/>
      <c r="D102" s="2063">
        <v>2023</v>
      </c>
      <c r="E102" s="2156">
        <v>454.7</v>
      </c>
      <c r="F102" s="2062">
        <v>432.7</v>
      </c>
      <c r="G102" s="2062">
        <v>22</v>
      </c>
      <c r="H102" s="2062">
        <v>153.9</v>
      </c>
      <c r="I102" s="2062">
        <v>74.7</v>
      </c>
      <c r="J102" s="2062">
        <v>4.8</v>
      </c>
      <c r="K102" s="2053"/>
    </row>
    <row r="103" spans="2:11" ht="15.2" customHeight="1">
      <c r="B103" s="2066"/>
      <c r="C103" s="2064"/>
      <c r="D103" s="2063">
        <v>2024</v>
      </c>
      <c r="E103" s="2156">
        <v>454.7</v>
      </c>
      <c r="F103" s="2062">
        <v>432.7</v>
      </c>
      <c r="G103" s="2062">
        <v>22</v>
      </c>
      <c r="H103" s="2062">
        <v>153.9</v>
      </c>
      <c r="I103" s="2062">
        <v>74.7</v>
      </c>
      <c r="J103" s="2062">
        <v>4.8</v>
      </c>
      <c r="K103" s="2048"/>
    </row>
    <row r="104" spans="2:11" ht="7.9" customHeight="1">
      <c r="B104" s="2066"/>
      <c r="C104" s="2064"/>
      <c r="D104" s="2069"/>
      <c r="E104" s="2068"/>
      <c r="F104" s="2068"/>
      <c r="G104" s="2068"/>
      <c r="H104" s="2068"/>
      <c r="I104" s="2068"/>
      <c r="J104" s="2067"/>
      <c r="K104" s="2053"/>
    </row>
    <row r="105" spans="2:11" ht="15.2" customHeight="1">
      <c r="B105" s="2066" t="s">
        <v>1587</v>
      </c>
      <c r="C105" s="2064"/>
      <c r="D105" s="2063" t="s">
        <v>1787</v>
      </c>
      <c r="E105" s="2156">
        <v>442.3</v>
      </c>
      <c r="F105" s="2062">
        <v>429.9</v>
      </c>
      <c r="G105" s="2062">
        <v>12.4</v>
      </c>
      <c r="H105" s="2062">
        <v>152.80000000000001</v>
      </c>
      <c r="I105" s="2062">
        <v>74.3</v>
      </c>
      <c r="J105" s="2062">
        <v>2.8</v>
      </c>
      <c r="K105" s="2048"/>
    </row>
    <row r="106" spans="2:11" ht="15.2" customHeight="1">
      <c r="B106" s="2066"/>
      <c r="C106" s="2064"/>
      <c r="D106" s="2063">
        <v>2023</v>
      </c>
      <c r="E106" s="2156">
        <v>454.7</v>
      </c>
      <c r="F106" s="2062">
        <v>432.7</v>
      </c>
      <c r="G106" s="2062">
        <v>22</v>
      </c>
      <c r="H106" s="2062">
        <v>153.9</v>
      </c>
      <c r="I106" s="2062">
        <v>74.7</v>
      </c>
      <c r="J106" s="2062">
        <v>4.8</v>
      </c>
      <c r="K106" s="2053"/>
    </row>
    <row r="107" spans="2:11" ht="15.2" customHeight="1">
      <c r="B107" s="2066"/>
      <c r="C107" s="2064"/>
      <c r="D107" s="2063">
        <v>2024</v>
      </c>
      <c r="E107" s="2156">
        <v>454.7</v>
      </c>
      <c r="F107" s="2062">
        <v>432.7</v>
      </c>
      <c r="G107" s="2062">
        <v>22</v>
      </c>
      <c r="H107" s="2062">
        <v>153.9</v>
      </c>
      <c r="I107" s="2062">
        <v>74.7</v>
      </c>
      <c r="J107" s="2062">
        <v>4.8</v>
      </c>
      <c r="K107" s="2048"/>
    </row>
    <row r="108" spans="2:11" ht="7.9" customHeight="1">
      <c r="B108" s="2066"/>
      <c r="C108" s="2064"/>
      <c r="D108" s="2069"/>
      <c r="E108" s="2067"/>
      <c r="F108" s="2067"/>
      <c r="G108" s="2067"/>
      <c r="H108" s="2067"/>
      <c r="I108" s="2067"/>
      <c r="J108" s="2067"/>
      <c r="K108" s="2053"/>
    </row>
    <row r="109" spans="2:11" ht="15.2" customHeight="1">
      <c r="B109" s="2066" t="s">
        <v>1585</v>
      </c>
      <c r="C109" s="2064"/>
      <c r="D109" s="2063" t="s">
        <v>1787</v>
      </c>
      <c r="E109" s="2156">
        <v>442.3</v>
      </c>
      <c r="F109" s="2062">
        <v>429.9</v>
      </c>
      <c r="G109" s="2062">
        <v>12.4</v>
      </c>
      <c r="H109" s="2062">
        <v>152.80000000000001</v>
      </c>
      <c r="I109" s="2062">
        <v>74.3</v>
      </c>
      <c r="J109" s="2062">
        <v>2.8</v>
      </c>
      <c r="K109" s="2048"/>
    </row>
    <row r="110" spans="2:11" ht="15.2" customHeight="1">
      <c r="B110" s="2066"/>
      <c r="C110" s="2064"/>
      <c r="D110" s="2063">
        <v>2023</v>
      </c>
      <c r="E110" s="2156">
        <v>454.7</v>
      </c>
      <c r="F110" s="2062">
        <v>432.7</v>
      </c>
      <c r="G110" s="2062">
        <v>22</v>
      </c>
      <c r="H110" s="2062">
        <v>153.9</v>
      </c>
      <c r="I110" s="2062">
        <v>74.7</v>
      </c>
      <c r="J110" s="2062">
        <v>4.8</v>
      </c>
      <c r="K110" s="2053"/>
    </row>
    <row r="111" spans="2:11" ht="15.2" customHeight="1">
      <c r="B111" s="2066"/>
      <c r="C111" s="2064"/>
      <c r="D111" s="2063">
        <v>2024</v>
      </c>
      <c r="E111" s="2156">
        <v>454.7</v>
      </c>
      <c r="F111" s="2062">
        <v>432.7</v>
      </c>
      <c r="G111" s="2062">
        <v>22</v>
      </c>
      <c r="H111" s="2062">
        <v>153.9</v>
      </c>
      <c r="I111" s="2062">
        <v>74.7</v>
      </c>
      <c r="J111" s="2062">
        <v>4.8</v>
      </c>
      <c r="K111" s="2048"/>
    </row>
    <row r="112" spans="2:11" ht="7.9" customHeight="1">
      <c r="B112" s="2066"/>
      <c r="C112" s="2064"/>
      <c r="D112" s="2063"/>
      <c r="E112" s="2068"/>
      <c r="F112" s="2068"/>
      <c r="G112" s="2068"/>
      <c r="H112" s="2068"/>
      <c r="I112" s="2068"/>
      <c r="J112" s="2068"/>
      <c r="K112" s="2053"/>
    </row>
    <row r="113" spans="2:11" ht="15.2" customHeight="1">
      <c r="B113" s="2066" t="s">
        <v>1708</v>
      </c>
      <c r="C113" s="2064"/>
      <c r="D113" s="2063" t="s">
        <v>1787</v>
      </c>
      <c r="E113" s="2156">
        <v>442.3</v>
      </c>
      <c r="F113" s="2062">
        <v>429.9</v>
      </c>
      <c r="G113" s="2062">
        <v>12.4</v>
      </c>
      <c r="H113" s="2062">
        <v>152.80000000000001</v>
      </c>
      <c r="I113" s="2062">
        <v>74.3</v>
      </c>
      <c r="J113" s="2062">
        <v>2.8</v>
      </c>
      <c r="K113" s="2048"/>
    </row>
    <row r="114" spans="2:11" ht="15.2" customHeight="1">
      <c r="B114" s="2066"/>
      <c r="C114" s="2064"/>
      <c r="D114" s="2063">
        <v>2023</v>
      </c>
      <c r="E114" s="2156">
        <v>454.7</v>
      </c>
      <c r="F114" s="2062">
        <v>432.7</v>
      </c>
      <c r="G114" s="2062">
        <v>22</v>
      </c>
      <c r="H114" s="2062">
        <v>153.9</v>
      </c>
      <c r="I114" s="2062">
        <v>74.7</v>
      </c>
      <c r="J114" s="2062">
        <v>4.8</v>
      </c>
      <c r="K114" s="2053"/>
    </row>
    <row r="115" spans="2:11" ht="15.2" customHeight="1">
      <c r="B115" s="2066"/>
      <c r="C115" s="2064"/>
      <c r="D115" s="2063">
        <v>2024</v>
      </c>
      <c r="E115" s="2156">
        <v>454.7</v>
      </c>
      <c r="F115" s="2062">
        <v>432.7</v>
      </c>
      <c r="G115" s="2062">
        <v>22</v>
      </c>
      <c r="H115" s="2062">
        <v>153.9</v>
      </c>
      <c r="I115" s="2062">
        <v>74.7</v>
      </c>
      <c r="J115" s="2062">
        <v>4.8</v>
      </c>
      <c r="K115" s="2048"/>
    </row>
    <row r="116" spans="2:11" ht="7.9" customHeight="1">
      <c r="B116" s="2066"/>
      <c r="C116" s="2064"/>
      <c r="D116" s="2063"/>
      <c r="E116" s="2068"/>
      <c r="F116" s="2068"/>
      <c r="G116" s="2068"/>
      <c r="H116" s="2068"/>
      <c r="I116" s="2068"/>
      <c r="J116" s="2068"/>
      <c r="K116" s="2053"/>
    </row>
    <row r="117" spans="2:11" ht="15.2" customHeight="1">
      <c r="B117" s="2066" t="s">
        <v>1583</v>
      </c>
      <c r="C117" s="2064"/>
      <c r="D117" s="2063" t="s">
        <v>1787</v>
      </c>
      <c r="E117" s="2156">
        <v>442.3</v>
      </c>
      <c r="F117" s="2062">
        <v>429.9</v>
      </c>
      <c r="G117" s="2062">
        <v>12.4</v>
      </c>
      <c r="H117" s="2062">
        <v>152.80000000000001</v>
      </c>
      <c r="I117" s="2062">
        <v>74.3</v>
      </c>
      <c r="J117" s="2062">
        <v>2.8</v>
      </c>
      <c r="K117" s="2048"/>
    </row>
    <row r="118" spans="2:11" ht="15.2" customHeight="1">
      <c r="B118" s="2066"/>
      <c r="C118" s="2064"/>
      <c r="D118" s="2063">
        <v>2023</v>
      </c>
      <c r="E118" s="2156">
        <v>454.7</v>
      </c>
      <c r="F118" s="2062">
        <v>432.7</v>
      </c>
      <c r="G118" s="2062">
        <v>22</v>
      </c>
      <c r="H118" s="2062">
        <v>153.9</v>
      </c>
      <c r="I118" s="2062">
        <v>74.7</v>
      </c>
      <c r="J118" s="2062">
        <v>4.8</v>
      </c>
      <c r="K118" s="2053"/>
    </row>
    <row r="119" spans="2:11" ht="15.2" customHeight="1">
      <c r="B119" s="2066"/>
      <c r="C119" s="2064"/>
      <c r="D119" s="2063">
        <v>2024</v>
      </c>
      <c r="E119" s="2156">
        <v>454.7</v>
      </c>
      <c r="F119" s="2062">
        <v>432.7</v>
      </c>
      <c r="G119" s="2062">
        <v>22</v>
      </c>
      <c r="H119" s="2062">
        <v>153.9</v>
      </c>
      <c r="I119" s="2062">
        <v>74.7</v>
      </c>
      <c r="J119" s="2062">
        <v>4.8</v>
      </c>
      <c r="K119" s="2048"/>
    </row>
    <row r="120" spans="2:11" ht="7.9" customHeight="1">
      <c r="B120" s="2066"/>
      <c r="C120" s="2064"/>
      <c r="D120" s="2069"/>
      <c r="E120" s="2068"/>
      <c r="F120" s="2068"/>
      <c r="G120" s="2068"/>
      <c r="H120" s="2068"/>
      <c r="I120" s="2068"/>
      <c r="J120" s="2068"/>
      <c r="K120" s="2053"/>
    </row>
    <row r="121" spans="2:11" ht="15.2" customHeight="1">
      <c r="B121" s="2066" t="s">
        <v>1707</v>
      </c>
      <c r="C121" s="2064"/>
      <c r="D121" s="2063" t="s">
        <v>1787</v>
      </c>
      <c r="E121" s="2156">
        <v>442.3</v>
      </c>
      <c r="F121" s="2062">
        <v>429.9</v>
      </c>
      <c r="G121" s="2062">
        <v>12.4</v>
      </c>
      <c r="H121" s="2062">
        <v>152.80000000000001</v>
      </c>
      <c r="I121" s="2062">
        <v>74.3</v>
      </c>
      <c r="J121" s="2062">
        <v>2.8</v>
      </c>
      <c r="K121" s="2048"/>
    </row>
    <row r="122" spans="2:11" ht="15.2" customHeight="1">
      <c r="B122" s="2066"/>
      <c r="C122" s="2064"/>
      <c r="D122" s="2063">
        <v>2023</v>
      </c>
      <c r="E122" s="2156">
        <v>454.7</v>
      </c>
      <c r="F122" s="2062">
        <v>432.7</v>
      </c>
      <c r="G122" s="2062">
        <v>22</v>
      </c>
      <c r="H122" s="2062">
        <v>153.9</v>
      </c>
      <c r="I122" s="2062">
        <v>74.7</v>
      </c>
      <c r="J122" s="2062">
        <v>4.8</v>
      </c>
      <c r="K122" s="2053"/>
    </row>
    <row r="123" spans="2:11" ht="15.2" customHeight="1">
      <c r="B123" s="2066"/>
      <c r="C123" s="2064"/>
      <c r="D123" s="2063">
        <v>2024</v>
      </c>
      <c r="E123" s="2156">
        <v>454.7</v>
      </c>
      <c r="F123" s="2062">
        <v>432.7</v>
      </c>
      <c r="G123" s="2062">
        <v>22</v>
      </c>
      <c r="H123" s="2062">
        <v>153.9</v>
      </c>
      <c r="I123" s="2062">
        <v>74.7</v>
      </c>
      <c r="J123" s="2062">
        <v>4.8</v>
      </c>
      <c r="K123" s="2048"/>
    </row>
    <row r="124" spans="2:11" ht="7.9" customHeight="1">
      <c r="B124" s="2066"/>
      <c r="C124" s="1947"/>
      <c r="D124" s="2063"/>
      <c r="E124" s="2068"/>
      <c r="F124" s="2068"/>
      <c r="G124" s="2068"/>
      <c r="H124" s="2068"/>
      <c r="I124" s="2068"/>
      <c r="J124" s="2067"/>
      <c r="K124" s="2053"/>
    </row>
    <row r="125" spans="2:11" ht="15.2" customHeight="1">
      <c r="B125" s="2066" t="s">
        <v>1706</v>
      </c>
      <c r="C125" s="1947"/>
      <c r="D125" s="2063" t="s">
        <v>1787</v>
      </c>
      <c r="E125" s="2156">
        <v>442.3</v>
      </c>
      <c r="F125" s="2062">
        <v>429.9</v>
      </c>
      <c r="G125" s="2062">
        <v>12.4</v>
      </c>
      <c r="H125" s="2062">
        <v>152.80000000000001</v>
      </c>
      <c r="I125" s="2062">
        <v>74.3</v>
      </c>
      <c r="J125" s="2062">
        <v>2.8</v>
      </c>
      <c r="K125" s="2048"/>
    </row>
    <row r="126" spans="2:11" ht="15.2" customHeight="1">
      <c r="B126" s="2066"/>
      <c r="C126" s="1947"/>
      <c r="D126" s="2063">
        <v>2023</v>
      </c>
      <c r="E126" s="2156">
        <v>454.7</v>
      </c>
      <c r="F126" s="2062">
        <v>432.7</v>
      </c>
      <c r="G126" s="2062">
        <v>22</v>
      </c>
      <c r="H126" s="2062">
        <v>153.9</v>
      </c>
      <c r="I126" s="2062">
        <v>74.7</v>
      </c>
      <c r="J126" s="2062">
        <v>4.8</v>
      </c>
      <c r="K126" s="2053"/>
    </row>
    <row r="127" spans="2:11" ht="15.2" customHeight="1">
      <c r="B127" s="2066"/>
      <c r="C127" s="1947"/>
      <c r="D127" s="2063">
        <v>2024</v>
      </c>
      <c r="E127" s="2156">
        <v>454.7</v>
      </c>
      <c r="F127" s="2062">
        <v>432.7</v>
      </c>
      <c r="G127" s="2062">
        <v>22</v>
      </c>
      <c r="H127" s="2062">
        <v>153.9</v>
      </c>
      <c r="I127" s="2062">
        <v>74.7</v>
      </c>
      <c r="J127" s="2062">
        <v>4.8</v>
      </c>
      <c r="K127" s="2048"/>
    </row>
    <row r="128" spans="2:11" ht="8.1" customHeight="1">
      <c r="B128" s="2066"/>
      <c r="C128" s="1947"/>
      <c r="D128" s="2063"/>
      <c r="E128" s="2067"/>
      <c r="F128" s="2067"/>
      <c r="G128" s="2067"/>
      <c r="H128" s="2067"/>
      <c r="I128" s="2067"/>
      <c r="J128" s="2067"/>
      <c r="K128" s="2048"/>
    </row>
    <row r="129" spans="1:11" ht="15.2" customHeight="1">
      <c r="B129" s="2066" t="s">
        <v>1705</v>
      </c>
      <c r="C129" s="1947"/>
      <c r="D129" s="2063" t="s">
        <v>1787</v>
      </c>
      <c r="E129" s="2156">
        <v>442.3</v>
      </c>
      <c r="F129" s="2062">
        <v>429.9</v>
      </c>
      <c r="G129" s="2062">
        <v>12.4</v>
      </c>
      <c r="H129" s="2062">
        <v>152.80000000000001</v>
      </c>
      <c r="I129" s="2062">
        <v>74.3</v>
      </c>
      <c r="J129" s="2062">
        <v>2.8</v>
      </c>
      <c r="K129" s="2048"/>
    </row>
    <row r="130" spans="1:11" ht="15.2" customHeight="1">
      <c r="B130" s="2066"/>
      <c r="C130" s="1947"/>
      <c r="D130" s="2063">
        <v>2023</v>
      </c>
      <c r="E130" s="2156">
        <v>454.7</v>
      </c>
      <c r="F130" s="2062">
        <v>432.7</v>
      </c>
      <c r="G130" s="2062">
        <v>22</v>
      </c>
      <c r="H130" s="2062">
        <v>153.9</v>
      </c>
      <c r="I130" s="2062">
        <v>74.7</v>
      </c>
      <c r="J130" s="2062">
        <v>4.8</v>
      </c>
      <c r="K130" s="2048"/>
    </row>
    <row r="131" spans="1:11" ht="15.2" customHeight="1">
      <c r="B131" s="2066"/>
      <c r="C131" s="1947"/>
      <c r="D131" s="2063">
        <v>2024</v>
      </c>
      <c r="E131" s="2156">
        <v>454.7</v>
      </c>
      <c r="F131" s="2062">
        <v>432.7</v>
      </c>
      <c r="G131" s="2062">
        <v>22</v>
      </c>
      <c r="H131" s="2062">
        <v>153.9</v>
      </c>
      <c r="I131" s="2062">
        <v>74.7</v>
      </c>
      <c r="J131" s="2062">
        <v>4.8</v>
      </c>
      <c r="K131" s="2048"/>
    </row>
    <row r="132" spans="1:11" ht="8.1" customHeight="1">
      <c r="B132" s="2066"/>
      <c r="C132" s="1947"/>
      <c r="D132" s="2069"/>
      <c r="E132" s="2067"/>
      <c r="F132" s="2067"/>
      <c r="G132" s="2067"/>
      <c r="H132" s="2067"/>
      <c r="I132" s="2067"/>
      <c r="J132" s="2067"/>
      <c r="K132" s="2048"/>
    </row>
    <row r="133" spans="1:11" ht="15.2" customHeight="1">
      <c r="B133" s="2066" t="s">
        <v>1688</v>
      </c>
      <c r="C133" s="2064"/>
      <c r="D133" s="2063" t="s">
        <v>1787</v>
      </c>
      <c r="E133" s="2156">
        <v>442.3</v>
      </c>
      <c r="F133" s="2062">
        <v>429.9</v>
      </c>
      <c r="G133" s="2062">
        <v>12.4</v>
      </c>
      <c r="H133" s="2062">
        <v>152.80000000000001</v>
      </c>
      <c r="I133" s="2062">
        <v>74.3</v>
      </c>
      <c r="J133" s="2062">
        <v>2.8</v>
      </c>
      <c r="K133" s="2048"/>
    </row>
    <row r="134" spans="1:11" ht="15.2" customHeight="1">
      <c r="B134" s="2066"/>
      <c r="C134" s="2064"/>
      <c r="D134" s="2063">
        <v>2023</v>
      </c>
      <c r="E134" s="2156">
        <v>454.7</v>
      </c>
      <c r="F134" s="2062">
        <v>432.7</v>
      </c>
      <c r="G134" s="2062">
        <v>22</v>
      </c>
      <c r="H134" s="2062">
        <v>153.9</v>
      </c>
      <c r="I134" s="2062">
        <v>74.7</v>
      </c>
      <c r="J134" s="2062">
        <v>4.8</v>
      </c>
      <c r="K134" s="2048"/>
    </row>
    <row r="135" spans="1:11" ht="15.2" customHeight="1">
      <c r="B135" s="2066"/>
      <c r="C135" s="2064"/>
      <c r="D135" s="2063">
        <v>2024</v>
      </c>
      <c r="E135" s="2156">
        <v>454.7</v>
      </c>
      <c r="F135" s="2062">
        <v>432.7</v>
      </c>
      <c r="G135" s="2062">
        <v>22</v>
      </c>
      <c r="H135" s="2062">
        <v>153.9</v>
      </c>
      <c r="I135" s="2062">
        <v>74.7</v>
      </c>
      <c r="J135" s="2062">
        <v>4.8</v>
      </c>
      <c r="K135" s="2048"/>
    </row>
    <row r="136" spans="1:11" ht="8.1" customHeight="1">
      <c r="B136" s="2066"/>
      <c r="C136" s="1947"/>
      <c r="D136" s="2063"/>
      <c r="E136" s="2068"/>
      <c r="F136" s="2068"/>
      <c r="G136" s="2068"/>
      <c r="H136" s="2068"/>
      <c r="I136" s="2068"/>
      <c r="J136" s="2068"/>
      <c r="K136" s="2048"/>
    </row>
    <row r="137" spans="1:11" ht="15.2" customHeight="1">
      <c r="B137" s="2066" t="s">
        <v>1687</v>
      </c>
      <c r="C137" s="1947"/>
      <c r="D137" s="2063" t="s">
        <v>1787</v>
      </c>
      <c r="E137" s="2156">
        <v>442.3</v>
      </c>
      <c r="F137" s="2062">
        <v>429.9</v>
      </c>
      <c r="G137" s="2062">
        <v>12.4</v>
      </c>
      <c r="H137" s="2062">
        <v>152.80000000000001</v>
      </c>
      <c r="I137" s="2062">
        <v>74.3</v>
      </c>
      <c r="J137" s="2062">
        <v>2.8</v>
      </c>
      <c r="K137" s="2048"/>
    </row>
    <row r="138" spans="1:11" ht="15.2" customHeight="1">
      <c r="B138" s="2066"/>
      <c r="C138" s="1947"/>
      <c r="D138" s="2063">
        <v>2023</v>
      </c>
      <c r="E138" s="2156">
        <v>454.7</v>
      </c>
      <c r="F138" s="2062">
        <v>432.7</v>
      </c>
      <c r="G138" s="2062">
        <v>22</v>
      </c>
      <c r="H138" s="2062">
        <v>153.9</v>
      </c>
      <c r="I138" s="2062">
        <v>74.7</v>
      </c>
      <c r="J138" s="2062">
        <v>4.8</v>
      </c>
      <c r="K138" s="2048"/>
    </row>
    <row r="139" spans="1:11" ht="15.2" customHeight="1">
      <c r="B139" s="2066"/>
      <c r="C139" s="1947"/>
      <c r="D139" s="2063">
        <v>2024</v>
      </c>
      <c r="E139" s="2156">
        <v>454.7</v>
      </c>
      <c r="F139" s="2062">
        <v>432.7</v>
      </c>
      <c r="G139" s="2062">
        <v>22</v>
      </c>
      <c r="H139" s="2062">
        <v>153.9</v>
      </c>
      <c r="I139" s="2062">
        <v>74.7</v>
      </c>
      <c r="J139" s="2062">
        <v>4.8</v>
      </c>
      <c r="K139" s="2048"/>
    </row>
    <row r="140" spans="1:11" ht="8.1" customHeight="1">
      <c r="B140" s="2066"/>
      <c r="C140" s="1947"/>
      <c r="D140" s="2063"/>
      <c r="E140" s="2067"/>
      <c r="F140" s="2067"/>
      <c r="G140" s="2067"/>
      <c r="H140" s="2067"/>
      <c r="I140" s="2067"/>
      <c r="J140" s="2067"/>
      <c r="K140" s="2048"/>
    </row>
    <row r="141" spans="1:11" ht="15.2" customHeight="1">
      <c r="B141" s="2066" t="s">
        <v>1686</v>
      </c>
      <c r="C141" s="1947"/>
      <c r="D141" s="2063" t="s">
        <v>1787</v>
      </c>
      <c r="E141" s="2156">
        <v>442.3</v>
      </c>
      <c r="F141" s="2062">
        <v>429.9</v>
      </c>
      <c r="G141" s="2062">
        <v>12.4</v>
      </c>
      <c r="H141" s="2062">
        <v>152.80000000000001</v>
      </c>
      <c r="I141" s="2062">
        <v>74.3</v>
      </c>
      <c r="J141" s="2062">
        <v>2.8</v>
      </c>
      <c r="K141" s="2048"/>
    </row>
    <row r="142" spans="1:11" ht="15.2" customHeight="1">
      <c r="C142" s="1947"/>
      <c r="D142" s="2063">
        <v>2023</v>
      </c>
      <c r="E142" s="2156">
        <v>454.7</v>
      </c>
      <c r="F142" s="2062">
        <v>432.7</v>
      </c>
      <c r="G142" s="2062">
        <v>22</v>
      </c>
      <c r="H142" s="2062">
        <v>153.9</v>
      </c>
      <c r="I142" s="2062">
        <v>74.7</v>
      </c>
      <c r="J142" s="2062">
        <v>4.8</v>
      </c>
      <c r="K142" s="2048"/>
    </row>
    <row r="143" spans="1:11" ht="15.2" customHeight="1">
      <c r="C143" s="1947"/>
      <c r="D143" s="2063">
        <v>2024</v>
      </c>
      <c r="E143" s="2156">
        <v>454.7</v>
      </c>
      <c r="F143" s="2062">
        <v>432.7</v>
      </c>
      <c r="G143" s="2062">
        <v>22</v>
      </c>
      <c r="H143" s="2062">
        <v>153.9</v>
      </c>
      <c r="I143" s="2062">
        <v>74.7</v>
      </c>
      <c r="J143" s="2062">
        <v>4.8</v>
      </c>
      <c r="K143" s="2048"/>
    </row>
    <row r="144" spans="1:11" ht="7.9" customHeight="1" thickBot="1">
      <c r="A144" s="2060"/>
      <c r="B144" s="2060"/>
      <c r="C144" s="2060"/>
      <c r="D144" s="2061"/>
      <c r="E144" s="2060"/>
      <c r="F144" s="2060"/>
      <c r="G144" s="2060"/>
      <c r="H144" s="2060"/>
      <c r="I144" s="2060"/>
      <c r="J144" s="2060"/>
      <c r="K144" s="2053"/>
    </row>
    <row r="145" spans="1:14" ht="15.2" customHeight="1">
      <c r="A145" s="2058"/>
      <c r="B145" s="2057"/>
      <c r="C145" s="2057"/>
      <c r="D145" s="2056"/>
      <c r="E145" s="2056"/>
      <c r="F145" s="2055"/>
      <c r="G145" s="2049"/>
      <c r="H145" s="2863" t="s">
        <v>0</v>
      </c>
      <c r="I145" s="2863"/>
      <c r="J145" s="2863"/>
      <c r="K145" s="2048"/>
    </row>
    <row r="146" spans="1:14" ht="15.2" customHeight="1">
      <c r="A146" s="2052"/>
      <c r="D146" s="2051"/>
      <c r="E146" s="2051"/>
      <c r="F146" s="2050"/>
      <c r="G146" s="2049"/>
      <c r="H146" s="2861" t="s">
        <v>1</v>
      </c>
      <c r="I146" s="2861"/>
      <c r="J146" s="2861"/>
      <c r="K146" s="2053"/>
    </row>
    <row r="147" spans="1:14" ht="7.9" customHeight="1">
      <c r="A147" s="2052"/>
      <c r="D147" s="2051"/>
      <c r="E147" s="2051"/>
      <c r="F147" s="2050"/>
      <c r="G147" s="2049"/>
      <c r="H147" s="2049"/>
      <c r="K147" s="2048"/>
    </row>
    <row r="148" spans="1:14" s="2148" customFormat="1" ht="15.2" customHeight="1">
      <c r="B148" s="2155" t="s">
        <v>1786</v>
      </c>
      <c r="K148" s="2053"/>
    </row>
    <row r="149" spans="1:14" s="2148" customFormat="1" ht="15.2" customHeight="1">
      <c r="A149" s="2149" t="s">
        <v>3</v>
      </c>
      <c r="B149" s="2154" t="s">
        <v>1785</v>
      </c>
    </row>
    <row r="150" spans="1:14" s="2148" customFormat="1" ht="15.2" customHeight="1">
      <c r="A150" s="2151"/>
      <c r="B150" s="2153" t="s">
        <v>1784</v>
      </c>
    </row>
    <row r="151" spans="1:14" s="2148" customFormat="1" ht="15.2" customHeight="1">
      <c r="A151" s="2149" t="s">
        <v>4</v>
      </c>
      <c r="B151" s="2152" t="s">
        <v>1783</v>
      </c>
    </row>
    <row r="152" spans="1:14" s="2148" customFormat="1" ht="15.2" customHeight="1">
      <c r="A152" s="2151"/>
      <c r="B152" s="2150" t="s">
        <v>1782</v>
      </c>
    </row>
    <row r="153" spans="1:14" s="2148" customFormat="1" ht="15.2" customHeight="1">
      <c r="A153" s="2149"/>
    </row>
    <row r="154" spans="1:14" s="2148" customFormat="1" ht="15.2" customHeight="1"/>
    <row r="155" spans="1:14" ht="7.9" customHeight="1"/>
    <row r="156" spans="1:14" ht="7.9" customHeight="1"/>
    <row r="157" spans="1:14" ht="17.25" customHeight="1">
      <c r="A157" s="2098"/>
      <c r="B157" s="2097" t="s">
        <v>1818</v>
      </c>
      <c r="C157" s="2096" t="s">
        <v>1817</v>
      </c>
      <c r="D157" s="2092"/>
      <c r="E157" s="2070"/>
      <c r="F157" s="2070"/>
      <c r="G157" s="2070"/>
      <c r="H157" s="2070"/>
      <c r="I157" s="2070"/>
      <c r="J157" s="2070"/>
      <c r="K157" s="2070"/>
    </row>
    <row r="158" spans="1:14" ht="17.25" customHeight="1">
      <c r="A158" s="2095"/>
      <c r="B158" s="2094" t="s">
        <v>1816</v>
      </c>
      <c r="C158" s="2093" t="s">
        <v>1815</v>
      </c>
      <c r="D158" s="2092"/>
      <c r="E158" s="2070"/>
      <c r="F158" s="2070"/>
      <c r="G158" s="2070"/>
      <c r="H158" s="2070"/>
      <c r="I158" s="2070"/>
      <c r="J158" s="2070"/>
      <c r="K158" s="2070"/>
    </row>
    <row r="159" spans="1:14" ht="15.2" customHeight="1" thickBot="1">
      <c r="A159" s="2091"/>
      <c r="B159" s="2091"/>
      <c r="C159" s="2090"/>
      <c r="D159" s="2089"/>
      <c r="E159" s="2088"/>
      <c r="F159" s="2088"/>
      <c r="G159" s="2088"/>
      <c r="H159" s="2088"/>
      <c r="I159" s="2088"/>
      <c r="J159" s="2088"/>
      <c r="K159" s="2065"/>
    </row>
    <row r="160" spans="1:14" s="2074" customFormat="1" ht="7.9" customHeight="1">
      <c r="A160" s="2075"/>
      <c r="B160" s="2160"/>
      <c r="C160" s="2075"/>
      <c r="D160" s="2083"/>
      <c r="E160" s="2079"/>
      <c r="F160" s="2079"/>
      <c r="G160" s="2079"/>
      <c r="H160" s="2079"/>
      <c r="I160" s="2079"/>
      <c r="J160" s="2079"/>
      <c r="K160" s="2079"/>
      <c r="L160" s="2079"/>
      <c r="M160" s="2079"/>
      <c r="N160" s="2075"/>
    </row>
    <row r="161" spans="1:46" s="2074" customFormat="1" ht="13.5">
      <c r="A161" s="2075"/>
      <c r="B161" s="2087" t="s">
        <v>1814</v>
      </c>
      <c r="C161" s="2084"/>
      <c r="D161" s="2080" t="s">
        <v>39</v>
      </c>
      <c r="E161" s="2086" t="s">
        <v>1813</v>
      </c>
      <c r="F161" s="2086" t="s">
        <v>1812</v>
      </c>
      <c r="G161" s="2086" t="s">
        <v>1811</v>
      </c>
      <c r="H161" s="2086" t="s">
        <v>1810</v>
      </c>
      <c r="I161" s="2086" t="s">
        <v>1809</v>
      </c>
      <c r="J161" s="2086" t="s">
        <v>1808</v>
      </c>
      <c r="N161" s="2075"/>
    </row>
    <row r="162" spans="1:46" s="2074" customFormat="1" ht="13.5">
      <c r="A162" s="2075"/>
      <c r="B162" s="2087" t="s">
        <v>1807</v>
      </c>
      <c r="C162" s="2084"/>
      <c r="D162" s="2083" t="s">
        <v>40</v>
      </c>
      <c r="E162" s="2086" t="s">
        <v>1806</v>
      </c>
      <c r="F162" s="2086" t="s">
        <v>1805</v>
      </c>
      <c r="G162" s="2079" t="s">
        <v>1804</v>
      </c>
      <c r="H162" s="2086" t="s">
        <v>1803</v>
      </c>
      <c r="I162" s="2086" t="s">
        <v>1802</v>
      </c>
      <c r="J162" s="2086" t="s">
        <v>1801</v>
      </c>
      <c r="N162" s="2075"/>
    </row>
    <row r="163" spans="1:46" s="2074" customFormat="1" ht="13.5">
      <c r="A163" s="2075"/>
      <c r="B163" s="2160" t="s">
        <v>1800</v>
      </c>
      <c r="C163" s="2084"/>
      <c r="D163" s="2080"/>
      <c r="E163" s="2079" t="s">
        <v>1799</v>
      </c>
      <c r="F163" s="2079" t="s">
        <v>1798</v>
      </c>
      <c r="G163" s="2079" t="s">
        <v>1792</v>
      </c>
      <c r="H163" s="2079" t="s">
        <v>1797</v>
      </c>
      <c r="I163" s="2079" t="s">
        <v>1796</v>
      </c>
      <c r="J163" s="2079" t="s">
        <v>1795</v>
      </c>
      <c r="N163" s="2075"/>
    </row>
    <row r="164" spans="1:46" s="2074" customFormat="1" ht="13.5">
      <c r="A164" s="2075"/>
      <c r="B164" s="2160" t="s">
        <v>1794</v>
      </c>
      <c r="C164" s="2084"/>
      <c r="D164" s="2080"/>
      <c r="E164" s="2079" t="s">
        <v>1793</v>
      </c>
      <c r="F164" s="2079" t="s">
        <v>1792</v>
      </c>
      <c r="G164" s="2079"/>
      <c r="H164" s="2079" t="s">
        <v>1791</v>
      </c>
      <c r="I164" s="2079" t="s">
        <v>1790</v>
      </c>
      <c r="J164" s="2079" t="s">
        <v>1789</v>
      </c>
      <c r="N164" s="2075"/>
    </row>
    <row r="165" spans="1:46" s="2074" customFormat="1" ht="13.5">
      <c r="A165" s="2075"/>
      <c r="B165" s="2159"/>
      <c r="D165" s="2158"/>
      <c r="E165" s="2157" t="s">
        <v>1788</v>
      </c>
      <c r="F165" s="2157" t="s">
        <v>1788</v>
      </c>
      <c r="G165" s="2157" t="s">
        <v>1788</v>
      </c>
      <c r="H165" s="2157" t="s">
        <v>1788</v>
      </c>
      <c r="I165" s="2157" t="s">
        <v>41</v>
      </c>
      <c r="J165" s="2157" t="s">
        <v>41</v>
      </c>
      <c r="N165" s="2075"/>
    </row>
    <row r="166" spans="1:46" s="2073" customFormat="1" ht="7.9" customHeight="1" thickBot="1">
      <c r="A166" s="2076"/>
      <c r="B166" s="2078"/>
      <c r="C166" s="2076"/>
      <c r="D166" s="2077"/>
      <c r="E166" s="2076"/>
      <c r="F166" s="2076"/>
      <c r="G166" s="2076"/>
      <c r="H166" s="2076"/>
      <c r="I166" s="2076"/>
      <c r="J166" s="2076"/>
      <c r="K166" s="2075"/>
      <c r="L166" s="2074"/>
      <c r="M166" s="2074"/>
      <c r="N166" s="2075"/>
      <c r="O166" s="2074"/>
      <c r="P166" s="2074"/>
      <c r="Q166" s="2074"/>
      <c r="R166" s="2074"/>
      <c r="S166" s="2074"/>
      <c r="T166" s="2074"/>
      <c r="U166" s="2074"/>
      <c r="V166" s="2074"/>
      <c r="W166" s="2074"/>
      <c r="X166" s="2074"/>
      <c r="Y166" s="2074"/>
      <c r="Z166" s="2074"/>
      <c r="AA166" s="2074"/>
      <c r="AB166" s="2074"/>
      <c r="AC166" s="2074"/>
      <c r="AD166" s="2074"/>
      <c r="AE166" s="2074"/>
      <c r="AF166" s="2074"/>
      <c r="AG166" s="2074"/>
      <c r="AH166" s="2074"/>
      <c r="AI166" s="2074"/>
      <c r="AJ166" s="2074"/>
      <c r="AK166" s="2074"/>
      <c r="AL166" s="2074"/>
      <c r="AM166" s="2074"/>
      <c r="AN166" s="2074"/>
      <c r="AO166" s="2074"/>
      <c r="AP166" s="2074"/>
      <c r="AQ166" s="2074"/>
      <c r="AR166" s="2074"/>
      <c r="AS166" s="2074"/>
      <c r="AT166" s="2074"/>
    </row>
    <row r="167" spans="1:46" ht="7.9" customHeight="1">
      <c r="B167" s="2065"/>
      <c r="C167" s="2064"/>
      <c r="E167" s="2072"/>
      <c r="F167" s="2072"/>
      <c r="G167" s="2072"/>
      <c r="H167" s="2072"/>
      <c r="I167" s="2072"/>
      <c r="J167" s="2072"/>
    </row>
    <row r="168" spans="1:46" ht="15.2" customHeight="1">
      <c r="A168" s="2070"/>
      <c r="B168" s="2066" t="s">
        <v>1694</v>
      </c>
      <c r="C168" s="2064"/>
      <c r="D168" s="2063" t="s">
        <v>1787</v>
      </c>
      <c r="E168" s="2156">
        <v>442.3</v>
      </c>
      <c r="F168" s="2062">
        <v>429.9</v>
      </c>
      <c r="G168" s="2062">
        <v>12.4</v>
      </c>
      <c r="H168" s="2062">
        <v>152.80000000000001</v>
      </c>
      <c r="I168" s="2062">
        <v>74.3</v>
      </c>
      <c r="J168" s="2062">
        <v>2.8</v>
      </c>
      <c r="K168" s="2071"/>
    </row>
    <row r="169" spans="1:46" ht="15.2" customHeight="1">
      <c r="A169" s="2070"/>
      <c r="B169" s="2066"/>
      <c r="C169" s="2064"/>
      <c r="D169" s="2063">
        <v>2023</v>
      </c>
      <c r="E169" s="2156">
        <v>454.7</v>
      </c>
      <c r="F169" s="2062">
        <v>432.7</v>
      </c>
      <c r="G169" s="2062">
        <v>22</v>
      </c>
      <c r="H169" s="2062">
        <v>153.9</v>
      </c>
      <c r="I169" s="2062">
        <v>74.7</v>
      </c>
      <c r="J169" s="2062">
        <v>4.8</v>
      </c>
      <c r="K169" s="2059"/>
    </row>
    <row r="170" spans="1:46" ht="15.2" customHeight="1">
      <c r="A170" s="2070"/>
      <c r="B170" s="2066"/>
      <c r="C170" s="2064"/>
      <c r="D170" s="2063">
        <v>2024</v>
      </c>
      <c r="E170" s="2156">
        <v>454.7</v>
      </c>
      <c r="F170" s="2062">
        <v>432.7</v>
      </c>
      <c r="G170" s="2062">
        <v>22</v>
      </c>
      <c r="H170" s="2062">
        <v>153.9</v>
      </c>
      <c r="I170" s="2062">
        <v>74.7</v>
      </c>
      <c r="J170" s="2062">
        <v>4.8</v>
      </c>
      <c r="K170" s="2048"/>
    </row>
    <row r="171" spans="1:46" ht="7.9" customHeight="1">
      <c r="B171" s="2066"/>
      <c r="C171" s="2064"/>
      <c r="D171" s="2069"/>
      <c r="E171" s="2067"/>
      <c r="F171" s="2067"/>
      <c r="G171" s="2067"/>
      <c r="H171" s="2067"/>
      <c r="I171" s="2067"/>
      <c r="J171" s="2067"/>
      <c r="K171" s="2059"/>
    </row>
    <row r="172" spans="1:46" ht="15.2" customHeight="1">
      <c r="B172" s="2066" t="s">
        <v>1580</v>
      </c>
      <c r="C172" s="2064"/>
      <c r="D172" s="2063" t="s">
        <v>1787</v>
      </c>
      <c r="E172" s="2156">
        <v>442.3</v>
      </c>
      <c r="F172" s="2062">
        <v>429.9</v>
      </c>
      <c r="G172" s="2062">
        <v>12.4</v>
      </c>
      <c r="H172" s="2062">
        <v>152.80000000000001</v>
      </c>
      <c r="I172" s="2062">
        <v>74.3</v>
      </c>
      <c r="J172" s="2062">
        <v>2.8</v>
      </c>
      <c r="K172" s="2048"/>
    </row>
    <row r="173" spans="1:46" ht="15.2" customHeight="1">
      <c r="B173" s="2066"/>
      <c r="C173" s="2064"/>
      <c r="D173" s="2063">
        <v>2023</v>
      </c>
      <c r="E173" s="2156">
        <v>454.7</v>
      </c>
      <c r="F173" s="2062">
        <v>432.7</v>
      </c>
      <c r="G173" s="2062">
        <v>22</v>
      </c>
      <c r="H173" s="2062">
        <v>153.9</v>
      </c>
      <c r="I173" s="2062">
        <v>74.7</v>
      </c>
      <c r="J173" s="2062">
        <v>4.8</v>
      </c>
      <c r="K173" s="2059"/>
    </row>
    <row r="174" spans="1:46" ht="15.2" customHeight="1">
      <c r="B174" s="2066"/>
      <c r="C174" s="2064"/>
      <c r="D174" s="2063">
        <v>2024</v>
      </c>
      <c r="E174" s="2156">
        <v>454.7</v>
      </c>
      <c r="F174" s="2062">
        <v>432.7</v>
      </c>
      <c r="G174" s="2062">
        <v>22</v>
      </c>
      <c r="H174" s="2062">
        <v>153.9</v>
      </c>
      <c r="I174" s="2062">
        <v>74.7</v>
      </c>
      <c r="J174" s="2062">
        <v>4.8</v>
      </c>
      <c r="K174" s="2048"/>
    </row>
    <row r="175" spans="1:46" ht="7.9" customHeight="1">
      <c r="B175" s="2066"/>
      <c r="C175" s="2064"/>
      <c r="D175" s="2063"/>
      <c r="E175" s="2067"/>
      <c r="F175" s="2067"/>
      <c r="G175" s="2067"/>
      <c r="H175" s="2067"/>
      <c r="I175" s="2067"/>
      <c r="J175" s="2067"/>
      <c r="K175" s="2059"/>
    </row>
    <row r="176" spans="1:46" ht="15.2" customHeight="1">
      <c r="B176" s="2066" t="s">
        <v>1693</v>
      </c>
      <c r="C176" s="2064"/>
      <c r="D176" s="2063" t="s">
        <v>1787</v>
      </c>
      <c r="E176" s="2156">
        <v>442.3</v>
      </c>
      <c r="F176" s="2062">
        <v>429.9</v>
      </c>
      <c r="G176" s="2062">
        <v>12.4</v>
      </c>
      <c r="H176" s="2062">
        <v>152.80000000000001</v>
      </c>
      <c r="I176" s="2062">
        <v>74.3</v>
      </c>
      <c r="J176" s="2062">
        <v>2.8</v>
      </c>
      <c r="K176" s="2048"/>
    </row>
    <row r="177" spans="2:11" ht="15.2" customHeight="1">
      <c r="B177" s="2066"/>
      <c r="C177" s="2064"/>
      <c r="D177" s="2063">
        <v>2023</v>
      </c>
      <c r="E177" s="2156">
        <v>454.7</v>
      </c>
      <c r="F177" s="2062">
        <v>432.7</v>
      </c>
      <c r="G177" s="2062">
        <v>22</v>
      </c>
      <c r="H177" s="2062">
        <v>153.9</v>
      </c>
      <c r="I177" s="2062">
        <v>74.7</v>
      </c>
      <c r="J177" s="2062">
        <v>4.8</v>
      </c>
      <c r="K177" s="2059"/>
    </row>
    <row r="178" spans="2:11" ht="15.2" customHeight="1">
      <c r="B178" s="2066"/>
      <c r="C178" s="2064"/>
      <c r="D178" s="2063">
        <v>2024</v>
      </c>
      <c r="E178" s="2156">
        <v>454.7</v>
      </c>
      <c r="F178" s="2062">
        <v>432.7</v>
      </c>
      <c r="G178" s="2062">
        <v>22</v>
      </c>
      <c r="H178" s="2062">
        <v>153.9</v>
      </c>
      <c r="I178" s="2062">
        <v>74.7</v>
      </c>
      <c r="J178" s="2062">
        <v>4.8</v>
      </c>
      <c r="K178" s="2048"/>
    </row>
    <row r="179" spans="2:11" ht="7.9" customHeight="1">
      <c r="B179" s="2066"/>
      <c r="C179" s="2064"/>
      <c r="D179" s="2063"/>
      <c r="E179" s="2068"/>
      <c r="F179" s="2068"/>
      <c r="G179" s="2068"/>
      <c r="H179" s="2068"/>
      <c r="I179" s="2068"/>
      <c r="J179" s="2068"/>
      <c r="K179" s="2059"/>
    </row>
    <row r="180" spans="2:11" ht="15.2" customHeight="1">
      <c r="B180" s="2066" t="s">
        <v>1692</v>
      </c>
      <c r="C180" s="2064"/>
      <c r="D180" s="2063" t="s">
        <v>1787</v>
      </c>
      <c r="E180" s="2156">
        <v>442.3</v>
      </c>
      <c r="F180" s="2062">
        <v>429.9</v>
      </c>
      <c r="G180" s="2062">
        <v>12.4</v>
      </c>
      <c r="H180" s="2062">
        <v>152.80000000000001</v>
      </c>
      <c r="I180" s="2062">
        <v>74.3</v>
      </c>
      <c r="J180" s="2062">
        <v>2.8</v>
      </c>
      <c r="K180" s="2048"/>
    </row>
    <row r="181" spans="2:11" ht="15.2" customHeight="1">
      <c r="B181" s="2066"/>
      <c r="C181" s="2064"/>
      <c r="D181" s="2063">
        <v>2023</v>
      </c>
      <c r="E181" s="2156">
        <v>454.7</v>
      </c>
      <c r="F181" s="2062">
        <v>432.7</v>
      </c>
      <c r="G181" s="2062">
        <v>22</v>
      </c>
      <c r="H181" s="2062">
        <v>153.9</v>
      </c>
      <c r="I181" s="2062">
        <v>74.7</v>
      </c>
      <c r="J181" s="2062">
        <v>4.8</v>
      </c>
      <c r="K181" s="2059"/>
    </row>
    <row r="182" spans="2:11" ht="15.2" customHeight="1">
      <c r="B182" s="2066"/>
      <c r="C182" s="2064"/>
      <c r="D182" s="2063">
        <v>2024</v>
      </c>
      <c r="E182" s="2156">
        <v>454.7</v>
      </c>
      <c r="F182" s="2062">
        <v>432.7</v>
      </c>
      <c r="G182" s="2062">
        <v>22</v>
      </c>
      <c r="H182" s="2062">
        <v>153.9</v>
      </c>
      <c r="I182" s="2062">
        <v>74.7</v>
      </c>
      <c r="J182" s="2062">
        <v>4.8</v>
      </c>
      <c r="K182" s="2048"/>
    </row>
    <row r="183" spans="2:11" ht="7.9" customHeight="1">
      <c r="B183" s="2066"/>
      <c r="C183" s="2064"/>
      <c r="D183" s="2063"/>
      <c r="E183" s="2067"/>
      <c r="F183" s="2067"/>
      <c r="G183" s="2067"/>
      <c r="H183" s="2067"/>
      <c r="I183" s="2067"/>
      <c r="J183" s="2067"/>
      <c r="K183" s="2059"/>
    </row>
    <row r="184" spans="2:11" ht="15.2" customHeight="1">
      <c r="B184" s="2066" t="s">
        <v>1691</v>
      </c>
      <c r="C184" s="2064"/>
      <c r="D184" s="2063" t="s">
        <v>1787</v>
      </c>
      <c r="E184" s="2156">
        <v>442.3</v>
      </c>
      <c r="F184" s="2062">
        <v>429.9</v>
      </c>
      <c r="G184" s="2062">
        <v>12.4</v>
      </c>
      <c r="H184" s="2062">
        <v>152.80000000000001</v>
      </c>
      <c r="I184" s="2062">
        <v>74.3</v>
      </c>
      <c r="J184" s="2062">
        <v>2.8</v>
      </c>
      <c r="K184" s="2048"/>
    </row>
    <row r="185" spans="2:11" ht="15.2" customHeight="1">
      <c r="B185" s="2066"/>
      <c r="C185" s="2064"/>
      <c r="D185" s="2063">
        <v>2023</v>
      </c>
      <c r="E185" s="2156">
        <v>454.7</v>
      </c>
      <c r="F185" s="2062">
        <v>432.7</v>
      </c>
      <c r="G185" s="2062">
        <v>22</v>
      </c>
      <c r="H185" s="2062">
        <v>153.9</v>
      </c>
      <c r="I185" s="2062">
        <v>74.7</v>
      </c>
      <c r="J185" s="2062">
        <v>4.8</v>
      </c>
      <c r="K185" s="2059"/>
    </row>
    <row r="186" spans="2:11" ht="15.2" customHeight="1">
      <c r="B186" s="2066"/>
      <c r="C186" s="2064"/>
      <c r="D186" s="2063">
        <v>2024</v>
      </c>
      <c r="E186" s="2156">
        <v>454.7</v>
      </c>
      <c r="F186" s="2062">
        <v>432.7</v>
      </c>
      <c r="G186" s="2062">
        <v>22</v>
      </c>
      <c r="H186" s="2062">
        <v>153.9</v>
      </c>
      <c r="I186" s="2062">
        <v>74.7</v>
      </c>
      <c r="J186" s="2062">
        <v>4.8</v>
      </c>
      <c r="K186" s="2048"/>
    </row>
    <row r="187" spans="2:11" ht="7.9" customHeight="1">
      <c r="B187" s="2066"/>
      <c r="C187" s="2064"/>
      <c r="D187" s="2069"/>
      <c r="E187" s="2068"/>
      <c r="F187" s="2068"/>
      <c r="G187" s="2068"/>
      <c r="H187" s="2068"/>
      <c r="I187" s="2068"/>
      <c r="J187" s="2068"/>
      <c r="K187" s="2059"/>
    </row>
    <row r="188" spans="2:11" ht="15.2" customHeight="1">
      <c r="B188" s="2066" t="s">
        <v>1690</v>
      </c>
      <c r="C188" s="2064"/>
      <c r="D188" s="2063" t="s">
        <v>1787</v>
      </c>
      <c r="E188" s="2156">
        <v>442.3</v>
      </c>
      <c r="F188" s="2062">
        <v>429.9</v>
      </c>
      <c r="G188" s="2062">
        <v>12.4</v>
      </c>
      <c r="H188" s="2062">
        <v>152.80000000000001</v>
      </c>
      <c r="I188" s="2062">
        <v>74.3</v>
      </c>
      <c r="J188" s="2062">
        <v>2.8</v>
      </c>
      <c r="K188" s="2048"/>
    </row>
    <row r="189" spans="2:11" ht="15.2" customHeight="1">
      <c r="B189" s="2066"/>
      <c r="C189" s="2064"/>
      <c r="D189" s="2063">
        <v>2023</v>
      </c>
      <c r="E189" s="2156">
        <v>454.7</v>
      </c>
      <c r="F189" s="2062">
        <v>432.7</v>
      </c>
      <c r="G189" s="2062">
        <v>22</v>
      </c>
      <c r="H189" s="2062">
        <v>153.9</v>
      </c>
      <c r="I189" s="2062">
        <v>74.7</v>
      </c>
      <c r="J189" s="2062">
        <v>4.8</v>
      </c>
      <c r="K189" s="2059"/>
    </row>
    <row r="190" spans="2:11" ht="15.2" customHeight="1">
      <c r="B190" s="2066"/>
      <c r="C190" s="2064"/>
      <c r="D190" s="2063">
        <v>2024</v>
      </c>
      <c r="E190" s="2156">
        <v>454.7</v>
      </c>
      <c r="F190" s="2062">
        <v>432.7</v>
      </c>
      <c r="G190" s="2062">
        <v>22</v>
      </c>
      <c r="H190" s="2062">
        <v>153.9</v>
      </c>
      <c r="I190" s="2062">
        <v>74.7</v>
      </c>
      <c r="J190" s="2062">
        <v>4.8</v>
      </c>
      <c r="K190" s="2048"/>
    </row>
    <row r="191" spans="2:11" ht="7.9" customHeight="1">
      <c r="B191" s="2066"/>
      <c r="C191" s="2064"/>
      <c r="D191" s="2063"/>
      <c r="E191" s="2067"/>
      <c r="F191" s="2067"/>
      <c r="G191" s="2067"/>
      <c r="H191" s="2067"/>
      <c r="I191" s="2067"/>
      <c r="J191" s="2067"/>
      <c r="K191" s="2059"/>
    </row>
    <row r="192" spans="2:11" ht="15.2" customHeight="1">
      <c r="B192" s="2066" t="s">
        <v>1689</v>
      </c>
      <c r="C192" s="2064"/>
      <c r="D192" s="2063" t="s">
        <v>1787</v>
      </c>
      <c r="E192" s="2156">
        <v>442.3</v>
      </c>
      <c r="F192" s="2062">
        <v>429.9</v>
      </c>
      <c r="G192" s="2062">
        <v>12.4</v>
      </c>
      <c r="H192" s="2062">
        <v>152.80000000000001</v>
      </c>
      <c r="I192" s="2062">
        <v>74.3</v>
      </c>
      <c r="J192" s="2062">
        <v>2.8</v>
      </c>
      <c r="K192" s="2048"/>
    </row>
    <row r="193" spans="2:11" ht="15.2" customHeight="1">
      <c r="B193" s="2066"/>
      <c r="C193" s="2064"/>
      <c r="D193" s="2063">
        <v>2023</v>
      </c>
      <c r="E193" s="2156">
        <v>454.7</v>
      </c>
      <c r="F193" s="2062">
        <v>432.7</v>
      </c>
      <c r="G193" s="2062">
        <v>22</v>
      </c>
      <c r="H193" s="2062">
        <v>153.9</v>
      </c>
      <c r="I193" s="2062">
        <v>74.7</v>
      </c>
      <c r="J193" s="2062">
        <v>4.8</v>
      </c>
      <c r="K193" s="2059"/>
    </row>
    <row r="194" spans="2:11" ht="15.2" customHeight="1">
      <c r="B194" s="2066"/>
      <c r="C194" s="2064"/>
      <c r="D194" s="2063">
        <v>2024</v>
      </c>
      <c r="E194" s="2156">
        <v>454.7</v>
      </c>
      <c r="F194" s="2062">
        <v>432.7</v>
      </c>
      <c r="G194" s="2062">
        <v>22</v>
      </c>
      <c r="H194" s="2062">
        <v>153.9</v>
      </c>
      <c r="I194" s="2062">
        <v>74.7</v>
      </c>
      <c r="J194" s="2062">
        <v>4.8</v>
      </c>
      <c r="K194" s="2048"/>
    </row>
    <row r="195" spans="2:11" ht="7.9" customHeight="1">
      <c r="B195" s="2066"/>
      <c r="C195" s="2064"/>
      <c r="D195" s="2063"/>
      <c r="E195" s="2067"/>
      <c r="F195" s="2067"/>
      <c r="G195" s="2067"/>
      <c r="H195" s="2067"/>
      <c r="I195" s="2067"/>
      <c r="J195" s="2067"/>
      <c r="K195" s="2059"/>
    </row>
    <row r="196" spans="2:11" ht="15.2" customHeight="1">
      <c r="B196" s="2066" t="s">
        <v>1688</v>
      </c>
      <c r="C196" s="2064"/>
      <c r="D196" s="2063" t="s">
        <v>1787</v>
      </c>
      <c r="E196" s="2156">
        <v>442.3</v>
      </c>
      <c r="F196" s="2062">
        <v>429.9</v>
      </c>
      <c r="G196" s="2062">
        <v>12.4</v>
      </c>
      <c r="H196" s="2062">
        <v>152.80000000000001</v>
      </c>
      <c r="I196" s="2062">
        <v>74.3</v>
      </c>
      <c r="J196" s="2062">
        <v>2.8</v>
      </c>
      <c r="K196" s="2048"/>
    </row>
    <row r="197" spans="2:11" ht="15.2" customHeight="1">
      <c r="B197" s="2066"/>
      <c r="C197" s="2064"/>
      <c r="D197" s="2063">
        <v>2023</v>
      </c>
      <c r="E197" s="2156">
        <v>454.7</v>
      </c>
      <c r="F197" s="2062">
        <v>432.7</v>
      </c>
      <c r="G197" s="2062">
        <v>22</v>
      </c>
      <c r="H197" s="2062">
        <v>153.9</v>
      </c>
      <c r="I197" s="2062">
        <v>74.7</v>
      </c>
      <c r="J197" s="2062">
        <v>4.8</v>
      </c>
      <c r="K197" s="2059"/>
    </row>
    <row r="198" spans="2:11" ht="15.2" customHeight="1">
      <c r="B198" s="2066"/>
      <c r="C198" s="2064"/>
      <c r="D198" s="2063">
        <v>2024</v>
      </c>
      <c r="E198" s="2156">
        <v>454.7</v>
      </c>
      <c r="F198" s="2062">
        <v>432.7</v>
      </c>
      <c r="G198" s="2062">
        <v>22</v>
      </c>
      <c r="H198" s="2062">
        <v>153.9</v>
      </c>
      <c r="I198" s="2062">
        <v>74.7</v>
      </c>
      <c r="J198" s="2062">
        <v>4.8</v>
      </c>
      <c r="K198" s="2048"/>
    </row>
    <row r="199" spans="2:11" ht="7.9" customHeight="1">
      <c r="B199" s="2066"/>
      <c r="C199" s="1947"/>
      <c r="D199" s="2063"/>
      <c r="E199" s="2068"/>
      <c r="F199" s="2068"/>
      <c r="G199" s="2068"/>
      <c r="H199" s="2068"/>
      <c r="I199" s="2068"/>
      <c r="J199" s="2068"/>
      <c r="K199" s="2059"/>
    </row>
    <row r="200" spans="2:11" ht="15.2" customHeight="1">
      <c r="B200" s="2066" t="s">
        <v>1687</v>
      </c>
      <c r="C200" s="1947"/>
      <c r="D200" s="2063" t="s">
        <v>1787</v>
      </c>
      <c r="E200" s="2156">
        <v>442.3</v>
      </c>
      <c r="F200" s="2062">
        <v>429.9</v>
      </c>
      <c r="G200" s="2062">
        <v>12.4</v>
      </c>
      <c r="H200" s="2062">
        <v>152.80000000000001</v>
      </c>
      <c r="I200" s="2062">
        <v>74.3</v>
      </c>
      <c r="J200" s="2062">
        <v>2.8</v>
      </c>
      <c r="K200" s="2048"/>
    </row>
    <row r="201" spans="2:11" ht="15.2" customHeight="1">
      <c r="B201" s="2066"/>
      <c r="C201" s="1947"/>
      <c r="D201" s="2063">
        <v>2023</v>
      </c>
      <c r="E201" s="2156">
        <v>454.7</v>
      </c>
      <c r="F201" s="2062">
        <v>432.7</v>
      </c>
      <c r="G201" s="2062">
        <v>22</v>
      </c>
      <c r="H201" s="2062">
        <v>153.9</v>
      </c>
      <c r="I201" s="2062">
        <v>74.7</v>
      </c>
      <c r="J201" s="2062">
        <v>4.8</v>
      </c>
      <c r="K201" s="2059"/>
    </row>
    <row r="202" spans="2:11" ht="15.2" customHeight="1">
      <c r="B202" s="2066"/>
      <c r="C202" s="1947"/>
      <c r="D202" s="2063">
        <v>2024</v>
      </c>
      <c r="E202" s="2156">
        <v>454.7</v>
      </c>
      <c r="F202" s="2062">
        <v>432.7</v>
      </c>
      <c r="G202" s="2062">
        <v>22</v>
      </c>
      <c r="H202" s="2062">
        <v>153.9</v>
      </c>
      <c r="I202" s="2062">
        <v>74.7</v>
      </c>
      <c r="J202" s="2062">
        <v>4.8</v>
      </c>
      <c r="K202" s="2048"/>
    </row>
    <row r="203" spans="2:11" ht="8.1" customHeight="1">
      <c r="B203" s="2066"/>
      <c r="C203" s="1947"/>
      <c r="D203" s="2069"/>
      <c r="E203" s="2067"/>
      <c r="F203" s="2067"/>
      <c r="G203" s="2067"/>
      <c r="H203" s="2067"/>
      <c r="I203" s="2067"/>
      <c r="J203" s="2067"/>
      <c r="K203" s="2059"/>
    </row>
    <row r="204" spans="2:11" ht="15.2" customHeight="1">
      <c r="B204" s="2066" t="s">
        <v>1686</v>
      </c>
      <c r="C204" s="1947"/>
      <c r="D204" s="2063" t="s">
        <v>1787</v>
      </c>
      <c r="E204" s="2156">
        <v>442.3</v>
      </c>
      <c r="F204" s="2062">
        <v>429.9</v>
      </c>
      <c r="G204" s="2062">
        <v>12.4</v>
      </c>
      <c r="H204" s="2062">
        <v>152.80000000000001</v>
      </c>
      <c r="I204" s="2062">
        <v>74.3</v>
      </c>
      <c r="J204" s="2062">
        <v>2.8</v>
      </c>
      <c r="K204" s="2048"/>
    </row>
    <row r="205" spans="2:11" ht="15.2" customHeight="1">
      <c r="B205" s="2066"/>
      <c r="C205" s="1947"/>
      <c r="D205" s="2063">
        <v>2023</v>
      </c>
      <c r="E205" s="2156">
        <v>454.7</v>
      </c>
      <c r="F205" s="2062">
        <v>432.7</v>
      </c>
      <c r="G205" s="2062">
        <v>22</v>
      </c>
      <c r="H205" s="2062">
        <v>153.9</v>
      </c>
      <c r="I205" s="2062">
        <v>74.7</v>
      </c>
      <c r="J205" s="2062">
        <v>4.8</v>
      </c>
      <c r="K205" s="2059"/>
    </row>
    <row r="206" spans="2:11" ht="15.2" customHeight="1">
      <c r="B206" s="2066"/>
      <c r="C206" s="1947"/>
      <c r="D206" s="2063">
        <v>2024</v>
      </c>
      <c r="E206" s="2156">
        <v>454.7</v>
      </c>
      <c r="F206" s="2062">
        <v>432.7</v>
      </c>
      <c r="G206" s="2062">
        <v>22</v>
      </c>
      <c r="H206" s="2062">
        <v>153.9</v>
      </c>
      <c r="I206" s="2062">
        <v>74.7</v>
      </c>
      <c r="J206" s="2062">
        <v>4.8</v>
      </c>
      <c r="K206" s="2048"/>
    </row>
    <row r="207" spans="2:11" ht="8.1" customHeight="1">
      <c r="B207" s="2066"/>
      <c r="C207" s="1947"/>
      <c r="D207" s="2063"/>
      <c r="E207" s="2067"/>
      <c r="F207" s="2067"/>
      <c r="G207" s="2067"/>
      <c r="H207" s="2067"/>
      <c r="I207" s="2067"/>
      <c r="J207" s="2067"/>
      <c r="K207" s="2048"/>
    </row>
    <row r="208" spans="2:11" ht="15.2" customHeight="1">
      <c r="B208" s="2066" t="s">
        <v>1685</v>
      </c>
      <c r="C208" s="2064"/>
      <c r="D208" s="2063" t="s">
        <v>1787</v>
      </c>
      <c r="E208" s="2156">
        <v>442.3</v>
      </c>
      <c r="F208" s="2062">
        <v>429.9</v>
      </c>
      <c r="G208" s="2062">
        <v>12.4</v>
      </c>
      <c r="H208" s="2062">
        <v>152.80000000000001</v>
      </c>
      <c r="I208" s="2062">
        <v>74.3</v>
      </c>
      <c r="J208" s="2062">
        <v>2.8</v>
      </c>
      <c r="K208" s="2048"/>
    </row>
    <row r="209" spans="1:11" ht="15.2" customHeight="1">
      <c r="B209" s="2066"/>
      <c r="C209" s="2064"/>
      <c r="D209" s="2063">
        <v>2023</v>
      </c>
      <c r="E209" s="2156">
        <v>454.7</v>
      </c>
      <c r="F209" s="2062">
        <v>432.7</v>
      </c>
      <c r="G209" s="2062">
        <v>22</v>
      </c>
      <c r="H209" s="2062">
        <v>153.9</v>
      </c>
      <c r="I209" s="2062">
        <v>74.7</v>
      </c>
      <c r="J209" s="2062">
        <v>4.8</v>
      </c>
      <c r="K209" s="2048"/>
    </row>
    <row r="210" spans="1:11" ht="15.2" customHeight="1">
      <c r="B210" s="2066"/>
      <c r="C210" s="2064"/>
      <c r="D210" s="2063">
        <v>2024</v>
      </c>
      <c r="E210" s="2156">
        <v>454.7</v>
      </c>
      <c r="F210" s="2062">
        <v>432.7</v>
      </c>
      <c r="G210" s="2062">
        <v>22</v>
      </c>
      <c r="H210" s="2062">
        <v>153.9</v>
      </c>
      <c r="I210" s="2062">
        <v>74.7</v>
      </c>
      <c r="J210" s="2062">
        <v>4.8</v>
      </c>
      <c r="K210" s="2048"/>
    </row>
    <row r="211" spans="1:11" ht="8.1" customHeight="1">
      <c r="B211" s="2066"/>
      <c r="C211" s="1947"/>
      <c r="D211" s="2063"/>
      <c r="E211" s="2068"/>
      <c r="F211" s="2068"/>
      <c r="G211" s="2068"/>
      <c r="H211" s="2068"/>
      <c r="I211" s="2068"/>
      <c r="J211" s="2068"/>
      <c r="K211" s="2048"/>
    </row>
    <row r="212" spans="1:11" ht="15.2" customHeight="1">
      <c r="B212" s="2066" t="s">
        <v>1684</v>
      </c>
      <c r="C212" s="1947"/>
      <c r="D212" s="2063" t="s">
        <v>1787</v>
      </c>
      <c r="E212" s="2156">
        <v>442.3</v>
      </c>
      <c r="F212" s="2062">
        <v>429.9</v>
      </c>
      <c r="G212" s="2062">
        <v>12.4</v>
      </c>
      <c r="H212" s="2062">
        <v>152.80000000000001</v>
      </c>
      <c r="I212" s="2062">
        <v>74.3</v>
      </c>
      <c r="J212" s="2062">
        <v>2.8</v>
      </c>
      <c r="K212" s="2048"/>
    </row>
    <row r="213" spans="1:11" ht="15.2" customHeight="1">
      <c r="B213" s="2066"/>
      <c r="C213" s="1947"/>
      <c r="D213" s="2063">
        <v>2023</v>
      </c>
      <c r="E213" s="2156">
        <v>454.7</v>
      </c>
      <c r="F213" s="2062">
        <v>432.7</v>
      </c>
      <c r="G213" s="2062">
        <v>22</v>
      </c>
      <c r="H213" s="2062">
        <v>153.9</v>
      </c>
      <c r="I213" s="2062">
        <v>74.7</v>
      </c>
      <c r="J213" s="2062">
        <v>4.8</v>
      </c>
      <c r="K213" s="2048"/>
    </row>
    <row r="214" spans="1:11" ht="15.2" customHeight="1">
      <c r="B214" s="2066"/>
      <c r="C214" s="1947"/>
      <c r="D214" s="2063">
        <v>2024</v>
      </c>
      <c r="E214" s="2156">
        <v>454.7</v>
      </c>
      <c r="F214" s="2062">
        <v>432.7</v>
      </c>
      <c r="G214" s="2062">
        <v>22</v>
      </c>
      <c r="H214" s="2062">
        <v>153.9</v>
      </c>
      <c r="I214" s="2062">
        <v>74.7</v>
      </c>
      <c r="J214" s="2062">
        <v>4.8</v>
      </c>
      <c r="K214" s="2048"/>
    </row>
    <row r="215" spans="1:11" ht="8.1" customHeight="1">
      <c r="B215" s="2066"/>
      <c r="C215" s="1947"/>
      <c r="D215" s="2063"/>
      <c r="E215" s="2067"/>
      <c r="F215" s="2067"/>
      <c r="G215" s="2067"/>
      <c r="H215" s="2067"/>
      <c r="I215" s="2067"/>
      <c r="J215" s="2067"/>
      <c r="K215" s="2048"/>
    </row>
    <row r="216" spans="1:11" ht="15.2" customHeight="1">
      <c r="B216" s="2066" t="s">
        <v>1683</v>
      </c>
      <c r="C216" s="1947"/>
      <c r="D216" s="2063" t="s">
        <v>1787</v>
      </c>
      <c r="E216" s="2156">
        <v>442.3</v>
      </c>
      <c r="F216" s="2062">
        <v>429.9</v>
      </c>
      <c r="G216" s="2062">
        <v>12.4</v>
      </c>
      <c r="H216" s="2062">
        <v>152.80000000000001</v>
      </c>
      <c r="I216" s="2062">
        <v>74.3</v>
      </c>
      <c r="J216" s="2062">
        <v>2.8</v>
      </c>
      <c r="K216" s="2048"/>
    </row>
    <row r="217" spans="1:11" ht="15.2" customHeight="1">
      <c r="B217" s="2066"/>
      <c r="C217" s="1947"/>
      <c r="D217" s="2063">
        <v>2023</v>
      </c>
      <c r="E217" s="2156">
        <v>454.7</v>
      </c>
      <c r="F217" s="2062">
        <v>432.7</v>
      </c>
      <c r="G217" s="2062">
        <v>22</v>
      </c>
      <c r="H217" s="2062">
        <v>153.9</v>
      </c>
      <c r="I217" s="2062">
        <v>74.7</v>
      </c>
      <c r="J217" s="2062">
        <v>4.8</v>
      </c>
      <c r="K217" s="2048"/>
    </row>
    <row r="218" spans="1:11" ht="15.2" customHeight="1">
      <c r="B218" s="2066"/>
      <c r="C218" s="1947"/>
      <c r="D218" s="2063">
        <v>2024</v>
      </c>
      <c r="E218" s="2156">
        <v>454.7</v>
      </c>
      <c r="F218" s="2062">
        <v>432.7</v>
      </c>
      <c r="G218" s="2062">
        <v>22</v>
      </c>
      <c r="H218" s="2062">
        <v>153.9</v>
      </c>
      <c r="I218" s="2062">
        <v>74.7</v>
      </c>
      <c r="J218" s="2062">
        <v>4.8</v>
      </c>
      <c r="K218" s="2048"/>
    </row>
    <row r="219" spans="1:11" ht="8.1" customHeight="1">
      <c r="B219" s="2066"/>
      <c r="C219" s="1947"/>
      <c r="D219" s="2063"/>
      <c r="E219" s="2067"/>
      <c r="F219" s="2067"/>
      <c r="G219" s="2067"/>
      <c r="H219" s="2067"/>
      <c r="I219" s="2067"/>
      <c r="J219" s="2067"/>
      <c r="K219" s="2048"/>
    </row>
    <row r="220" spans="1:11" ht="15.2" customHeight="1">
      <c r="B220" s="2066" t="s">
        <v>1682</v>
      </c>
      <c r="C220" s="2064"/>
      <c r="D220" s="2063" t="s">
        <v>1787</v>
      </c>
      <c r="E220" s="2156">
        <v>442.3</v>
      </c>
      <c r="F220" s="2062">
        <v>429.9</v>
      </c>
      <c r="G220" s="2062">
        <v>12.4</v>
      </c>
      <c r="H220" s="2062">
        <v>152.80000000000001</v>
      </c>
      <c r="I220" s="2062">
        <v>74.3</v>
      </c>
      <c r="J220" s="2062">
        <v>2.8</v>
      </c>
      <c r="K220" s="2048"/>
    </row>
    <row r="221" spans="1:11" ht="15.2" customHeight="1">
      <c r="B221" s="2065"/>
      <c r="C221" s="2064"/>
      <c r="D221" s="2063">
        <v>2023</v>
      </c>
      <c r="E221" s="2156">
        <v>454.7</v>
      </c>
      <c r="F221" s="2062">
        <v>432.7</v>
      </c>
      <c r="G221" s="2062">
        <v>22</v>
      </c>
      <c r="H221" s="2062">
        <v>153.9</v>
      </c>
      <c r="I221" s="2062">
        <v>74.7</v>
      </c>
      <c r="J221" s="2062">
        <v>4.8</v>
      </c>
      <c r="K221" s="2048"/>
    </row>
    <row r="222" spans="1:11" ht="15.2" customHeight="1">
      <c r="B222" s="2065"/>
      <c r="C222" s="2064"/>
      <c r="D222" s="2063">
        <v>2024</v>
      </c>
      <c r="E222" s="2156">
        <v>454.7</v>
      </c>
      <c r="F222" s="2062">
        <v>432.7</v>
      </c>
      <c r="G222" s="2062">
        <v>22</v>
      </c>
      <c r="H222" s="2062">
        <v>153.9</v>
      </c>
      <c r="I222" s="2062">
        <v>74.7</v>
      </c>
      <c r="J222" s="2062">
        <v>4.8</v>
      </c>
      <c r="K222" s="2048"/>
    </row>
    <row r="223" spans="1:11" ht="7.9" customHeight="1" thickBot="1">
      <c r="A223" s="2060"/>
      <c r="B223" s="2060"/>
      <c r="C223" s="2060"/>
      <c r="D223" s="2061"/>
      <c r="E223" s="2060"/>
      <c r="F223" s="2060"/>
      <c r="G223" s="2060"/>
      <c r="H223" s="2060"/>
      <c r="I223" s="2060"/>
      <c r="J223" s="2060"/>
      <c r="K223" s="2059"/>
    </row>
    <row r="224" spans="1:11" ht="15.2" customHeight="1">
      <c r="A224" s="2058"/>
      <c r="B224" s="2057"/>
      <c r="C224" s="2057"/>
      <c r="D224" s="2056"/>
      <c r="E224" s="2056"/>
      <c r="F224" s="2055"/>
      <c r="G224" s="2049"/>
      <c r="H224" s="2860" t="s">
        <v>0</v>
      </c>
      <c r="I224" s="2860"/>
      <c r="J224" s="2860"/>
      <c r="K224" s="2048"/>
    </row>
    <row r="225" spans="1:11" ht="15.2" customHeight="1">
      <c r="A225" s="2052"/>
      <c r="D225" s="2051"/>
      <c r="E225" s="2051"/>
      <c r="F225" s="2050"/>
      <c r="G225" s="2049"/>
      <c r="H225" s="2861" t="s">
        <v>1</v>
      </c>
      <c r="I225" s="2861"/>
      <c r="J225" s="2861"/>
      <c r="K225" s="2053"/>
    </row>
    <row r="226" spans="1:11" ht="7.9" customHeight="1">
      <c r="A226" s="2052"/>
      <c r="D226" s="2051"/>
      <c r="E226" s="2051"/>
      <c r="F226" s="2050"/>
      <c r="G226" s="2049"/>
      <c r="H226" s="2049"/>
      <c r="K226" s="2048"/>
    </row>
    <row r="227" spans="1:11" s="2148" customFormat="1" ht="15.2" customHeight="1">
      <c r="B227" s="2155" t="s">
        <v>1786</v>
      </c>
      <c r="K227" s="2053"/>
    </row>
    <row r="228" spans="1:11" s="2148" customFormat="1" ht="15.2" customHeight="1">
      <c r="A228" s="2149" t="s">
        <v>3</v>
      </c>
      <c r="B228" s="2154" t="s">
        <v>1785</v>
      </c>
    </row>
    <row r="229" spans="1:11" s="2148" customFormat="1" ht="15.2" customHeight="1">
      <c r="A229" s="2151"/>
      <c r="B229" s="2153" t="s">
        <v>1784</v>
      </c>
    </row>
    <row r="230" spans="1:11" s="2148" customFormat="1" ht="15.2" customHeight="1">
      <c r="A230" s="2149" t="s">
        <v>4</v>
      </c>
      <c r="B230" s="2152" t="s">
        <v>1783</v>
      </c>
    </row>
    <row r="231" spans="1:11" s="2148" customFormat="1" ht="15.2" customHeight="1">
      <c r="A231" s="2151"/>
      <c r="B231" s="2150" t="s">
        <v>1782</v>
      </c>
    </row>
    <row r="232" spans="1:11" s="2148" customFormat="1" ht="15.2" customHeight="1">
      <c r="A232" s="2149"/>
    </row>
    <row r="233" spans="1:11" s="2148" customFormat="1" ht="15.2" customHeight="1"/>
  </sheetData>
  <mergeCells count="6">
    <mergeCell ref="H225:J225"/>
    <mergeCell ref="H70:J70"/>
    <mergeCell ref="H71:J71"/>
    <mergeCell ref="H145:J145"/>
    <mergeCell ref="H146:J146"/>
    <mergeCell ref="H224:J224"/>
  </mergeCells>
  <conditionalFormatting sqref="D70:E70">
    <cfRule type="cellIs" dxfId="29" priority="3" stopIfTrue="1" operator="lessThan">
      <formula>0</formula>
    </cfRule>
  </conditionalFormatting>
  <conditionalFormatting sqref="D145:E145">
    <cfRule type="cellIs" dxfId="28" priority="2" stopIfTrue="1" operator="lessThan">
      <formula>0</formula>
    </cfRule>
  </conditionalFormatting>
  <conditionalFormatting sqref="D224:E224">
    <cfRule type="cellIs" dxfId="27" priority="1"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70" fitToWidth="0" fitToHeight="0" orientation="portrait" r:id="rId1"/>
  <rowBreaks count="2" manualBreakCount="2">
    <brk id="79" max="10" man="1"/>
    <brk id="154" max="10" man="1"/>
  </rowBreaks>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7225C-679D-4939-98CA-81450B26E185}">
  <sheetPr>
    <tabColor theme="4" tint="0.39997558519241921"/>
    <pageSetUpPr fitToPage="1"/>
  </sheetPr>
  <dimension ref="A1:J96"/>
  <sheetViews>
    <sheetView view="pageBreakPreview" zoomScale="90" zoomScaleNormal="100" zoomScaleSheetLayoutView="90" workbookViewId="0">
      <selection activeCell="G76" sqref="G76"/>
    </sheetView>
  </sheetViews>
  <sheetFormatPr defaultRowHeight="15"/>
  <cols>
    <col min="1" max="1" width="1.140625" customWidth="1"/>
    <col min="2" max="2" width="1.42578125" customWidth="1"/>
    <col min="3" max="3" width="10.7109375" customWidth="1"/>
    <col min="4" max="4" width="48.85546875" customWidth="1"/>
    <col min="5" max="5" width="6.85546875" customWidth="1"/>
    <col min="6" max="6" width="20.140625" customWidth="1"/>
    <col min="7" max="7" width="4.28515625" customWidth="1"/>
    <col min="8" max="9" width="12.7109375" customWidth="1"/>
    <col min="10" max="10" width="12.7109375" style="84" customWidth="1"/>
  </cols>
  <sheetData>
    <row r="1" spans="1:10" s="66" customFormat="1" ht="17.25" customHeight="1">
      <c r="C1" s="411" t="s">
        <v>1830</v>
      </c>
      <c r="D1" s="119" t="s">
        <v>1829</v>
      </c>
      <c r="J1" s="68"/>
    </row>
    <row r="2" spans="1:10" s="66" customFormat="1" ht="17.25" customHeight="1">
      <c r="C2" s="120" t="s">
        <v>1828</v>
      </c>
      <c r="D2" s="121" t="s">
        <v>1827</v>
      </c>
      <c r="J2" s="68"/>
    </row>
    <row r="3" spans="1:10" s="66" customFormat="1" ht="17.25" thickBot="1">
      <c r="B3" s="122"/>
      <c r="C3" s="122"/>
      <c r="D3" s="122"/>
      <c r="J3" s="68"/>
    </row>
    <row r="4" spans="1:10" s="126" customFormat="1" ht="15.2" customHeight="1">
      <c r="A4" s="2015"/>
      <c r="B4" s="2744" t="s">
        <v>1826</v>
      </c>
      <c r="C4" s="2886"/>
      <c r="D4" s="2886"/>
      <c r="E4" s="2164"/>
      <c r="F4" s="2164"/>
      <c r="G4" s="1458"/>
      <c r="H4" s="1458">
        <v>2023</v>
      </c>
      <c r="I4" s="1458">
        <v>2024</v>
      </c>
      <c r="J4" s="1448">
        <v>2025</v>
      </c>
    </row>
    <row r="5" spans="1:10" s="126" customFormat="1" ht="17.25" customHeight="1" thickBot="1">
      <c r="A5" s="2015"/>
      <c r="B5" s="2887"/>
      <c r="C5" s="2887"/>
      <c r="D5" s="2887"/>
      <c r="E5" s="128"/>
      <c r="F5" s="128"/>
      <c r="G5" s="128"/>
      <c r="H5" s="2743" t="s">
        <v>1825</v>
      </c>
      <c r="I5" s="2743"/>
      <c r="J5" s="2743"/>
    </row>
    <row r="6" spans="1:10" s="126" customFormat="1" ht="13.5">
      <c r="A6" s="2015"/>
      <c r="B6" s="2163"/>
      <c r="C6" s="2163"/>
      <c r="D6" s="2163"/>
      <c r="E6" s="131"/>
      <c r="F6" s="131"/>
      <c r="G6" s="132"/>
      <c r="H6" s="132"/>
      <c r="I6" s="132"/>
      <c r="J6" s="132"/>
    </row>
    <row r="7" spans="1:10" s="126" customFormat="1" ht="17.25" customHeight="1">
      <c r="B7" s="129" t="s">
        <v>43</v>
      </c>
      <c r="C7" s="130"/>
      <c r="D7" s="130"/>
      <c r="E7" s="131"/>
      <c r="F7" s="131"/>
      <c r="G7" s="132"/>
      <c r="H7" s="132"/>
      <c r="I7" s="132"/>
      <c r="J7" s="133"/>
    </row>
    <row r="8" spans="1:10" s="126" customFormat="1" ht="17.25" customHeight="1">
      <c r="B8" s="134" t="s">
        <v>44</v>
      </c>
      <c r="C8" s="130"/>
      <c r="D8" s="130"/>
      <c r="E8" s="131"/>
      <c r="F8" s="131"/>
      <c r="G8" s="132"/>
      <c r="H8" s="132"/>
      <c r="I8" s="132"/>
      <c r="J8" s="133"/>
    </row>
    <row r="9" spans="1:10" s="126" customFormat="1" ht="17.25" customHeight="1">
      <c r="B9" s="134"/>
      <c r="C9" s="130"/>
      <c r="D9" s="130"/>
      <c r="E9" s="131"/>
      <c r="F9" s="131"/>
      <c r="G9" s="132"/>
      <c r="H9" s="132"/>
      <c r="I9" s="132"/>
      <c r="J9" s="133"/>
    </row>
    <row r="10" spans="1:10" s="126" customFormat="1" ht="13.5" customHeight="1">
      <c r="B10" s="135" t="s">
        <v>45</v>
      </c>
      <c r="C10" s="129"/>
      <c r="D10" s="129"/>
      <c r="E10" s="136"/>
      <c r="F10" s="136"/>
      <c r="G10" s="137"/>
      <c r="H10" s="1566">
        <v>122.4</v>
      </c>
      <c r="I10" s="1562">
        <v>125.7</v>
      </c>
      <c r="J10" s="1561">
        <v>127</v>
      </c>
    </row>
    <row r="11" spans="1:10" s="126" customFormat="1" ht="13.5" customHeight="1">
      <c r="B11" s="138" t="s">
        <v>46</v>
      </c>
      <c r="C11" s="139"/>
      <c r="D11" s="139"/>
      <c r="E11" s="136"/>
      <c r="F11" s="136"/>
      <c r="G11" s="137"/>
      <c r="H11" s="1566"/>
      <c r="I11" s="1562"/>
      <c r="J11" s="1561"/>
    </row>
    <row r="12" spans="1:10" s="126" customFormat="1" ht="13.5">
      <c r="B12" s="129"/>
      <c r="C12" s="129"/>
      <c r="D12" s="129"/>
      <c r="E12" s="136"/>
      <c r="F12" s="136"/>
      <c r="G12" s="137"/>
      <c r="H12" s="1566"/>
      <c r="I12" s="1562"/>
      <c r="J12" s="1561"/>
    </row>
    <row r="13" spans="1:10" s="126" customFormat="1" ht="13.5" customHeight="1">
      <c r="B13" s="135" t="s">
        <v>47</v>
      </c>
      <c r="C13" s="129"/>
      <c r="D13" s="129"/>
      <c r="E13" s="136"/>
      <c r="F13" s="136"/>
      <c r="G13" s="140"/>
      <c r="H13" s="1565">
        <v>139.69999999999999</v>
      </c>
      <c r="I13" s="1563">
        <v>143.1</v>
      </c>
      <c r="J13" s="1564">
        <v>142.80000000000001</v>
      </c>
    </row>
    <row r="14" spans="1:10" s="126" customFormat="1" ht="13.5" customHeight="1">
      <c r="B14" s="142" t="s">
        <v>48</v>
      </c>
      <c r="C14" s="134"/>
      <c r="D14" s="134"/>
      <c r="E14" s="136"/>
      <c r="F14" s="136"/>
      <c r="G14" s="140"/>
      <c r="H14" s="1565"/>
      <c r="I14" s="1563"/>
      <c r="J14" s="1564"/>
    </row>
    <row r="15" spans="1:10" s="126" customFormat="1" ht="6.75" customHeight="1">
      <c r="B15" s="143"/>
      <c r="C15" s="143"/>
      <c r="D15" s="143"/>
      <c r="E15" s="136"/>
      <c r="F15" s="136"/>
      <c r="G15" s="140"/>
      <c r="H15" s="1565"/>
      <c r="I15" s="1563"/>
      <c r="J15" s="1564"/>
    </row>
    <row r="16" spans="1:10" s="126" customFormat="1" ht="13.5" customHeight="1">
      <c r="B16" s="135" t="s">
        <v>49</v>
      </c>
      <c r="C16" s="129"/>
      <c r="D16" s="129"/>
      <c r="E16" s="136"/>
      <c r="F16" s="136"/>
      <c r="G16" s="140"/>
      <c r="H16" s="1565">
        <v>170.6</v>
      </c>
      <c r="I16" s="1563">
        <v>171.4</v>
      </c>
      <c r="J16" s="1564">
        <v>171</v>
      </c>
    </row>
    <row r="17" spans="2:10" s="126" customFormat="1" ht="13.5" customHeight="1">
      <c r="B17" s="138" t="s">
        <v>50</v>
      </c>
      <c r="C17" s="139"/>
      <c r="D17" s="139"/>
      <c r="E17" s="136"/>
      <c r="F17" s="136"/>
      <c r="G17" s="140"/>
      <c r="H17" s="1565"/>
      <c r="I17" s="1563"/>
      <c r="J17" s="1564"/>
    </row>
    <row r="18" spans="2:10" s="126" customFormat="1" ht="6.75" customHeight="1">
      <c r="B18" s="143"/>
      <c r="C18" s="143"/>
      <c r="D18" s="143"/>
      <c r="E18" s="136"/>
      <c r="F18" s="136"/>
      <c r="G18" s="140"/>
      <c r="H18" s="1565"/>
      <c r="I18" s="1563"/>
      <c r="J18" s="1564"/>
    </row>
    <row r="19" spans="2:10" s="126" customFormat="1" ht="13.5" customHeight="1">
      <c r="B19" s="135" t="s">
        <v>51</v>
      </c>
      <c r="C19" s="129"/>
      <c r="D19" s="129"/>
      <c r="E19" s="136"/>
      <c r="F19" s="136"/>
      <c r="G19" s="140"/>
      <c r="H19" s="1565">
        <v>96.1</v>
      </c>
      <c r="I19" s="1563">
        <v>95.8</v>
      </c>
      <c r="J19" s="1564">
        <v>99.8</v>
      </c>
    </row>
    <row r="20" spans="2:10" s="126" customFormat="1" ht="13.5" customHeight="1">
      <c r="B20" s="138" t="s">
        <v>52</v>
      </c>
      <c r="C20" s="139"/>
      <c r="D20" s="139"/>
      <c r="E20" s="136"/>
      <c r="F20" s="136"/>
      <c r="G20" s="140"/>
      <c r="H20" s="1565"/>
      <c r="I20" s="1563"/>
      <c r="J20" s="1564"/>
    </row>
    <row r="21" spans="2:10" s="126" customFormat="1" ht="6.75" customHeight="1">
      <c r="B21" s="143"/>
      <c r="C21" s="143"/>
      <c r="D21" s="143"/>
      <c r="E21" s="136"/>
      <c r="F21" s="136"/>
      <c r="G21" s="140"/>
      <c r="H21" s="1565"/>
      <c r="I21" s="1563"/>
      <c r="J21" s="1564"/>
    </row>
    <row r="22" spans="2:10" s="126" customFormat="1" ht="13.5" customHeight="1">
      <c r="B22" s="135" t="s">
        <v>53</v>
      </c>
      <c r="C22" s="129"/>
      <c r="D22" s="129"/>
      <c r="E22" s="136"/>
      <c r="F22" s="136"/>
      <c r="G22" s="140"/>
      <c r="H22" s="1565">
        <v>121.9</v>
      </c>
      <c r="I22" s="1563">
        <v>124</v>
      </c>
      <c r="J22" s="1564">
        <v>121.9</v>
      </c>
    </row>
    <row r="23" spans="2:10" s="126" customFormat="1" ht="13.5" customHeight="1">
      <c r="B23" s="138" t="s">
        <v>54</v>
      </c>
      <c r="C23" s="139"/>
      <c r="D23" s="139"/>
      <c r="E23" s="136"/>
      <c r="F23" s="136"/>
      <c r="G23" s="140"/>
      <c r="H23" s="1565"/>
      <c r="I23" s="1563"/>
      <c r="J23" s="1564"/>
    </row>
    <row r="24" spans="2:10" s="126" customFormat="1" ht="6.75" customHeight="1">
      <c r="B24" s="143"/>
      <c r="C24" s="143"/>
      <c r="D24" s="143"/>
      <c r="E24" s="136"/>
      <c r="F24" s="136"/>
      <c r="G24" s="140"/>
      <c r="H24" s="1565"/>
      <c r="I24" s="1563"/>
      <c r="J24" s="1564"/>
    </row>
    <row r="25" spans="2:10" s="126" customFormat="1" ht="13.5" customHeight="1">
      <c r="B25" s="135" t="s">
        <v>55</v>
      </c>
      <c r="C25" s="129"/>
      <c r="D25" s="129"/>
      <c r="E25" s="136"/>
      <c r="F25" s="136"/>
      <c r="G25" s="140"/>
      <c r="H25" s="1565">
        <v>123.1</v>
      </c>
      <c r="I25" s="1563">
        <v>126.3</v>
      </c>
      <c r="J25" s="1564">
        <v>118.7</v>
      </c>
    </row>
    <row r="26" spans="2:10" s="126" customFormat="1" ht="15.75" customHeight="1">
      <c r="B26" s="138" t="s">
        <v>56</v>
      </c>
      <c r="C26" s="139"/>
      <c r="D26" s="139"/>
      <c r="E26" s="136"/>
      <c r="F26" s="136"/>
      <c r="G26" s="140"/>
      <c r="H26" s="1565"/>
      <c r="I26" s="1563"/>
      <c r="J26" s="1564"/>
    </row>
    <row r="27" spans="2:10" s="126" customFormat="1" ht="6.75" customHeight="1">
      <c r="B27" s="143"/>
      <c r="C27" s="143"/>
      <c r="D27" s="143"/>
      <c r="E27" s="136"/>
      <c r="F27" s="136"/>
      <c r="G27" s="140"/>
      <c r="H27" s="1565"/>
      <c r="I27" s="1563"/>
      <c r="J27" s="1564"/>
    </row>
    <row r="28" spans="2:10" s="126" customFormat="1" ht="13.5" customHeight="1">
      <c r="B28" s="135" t="s">
        <v>57</v>
      </c>
      <c r="C28" s="129"/>
      <c r="D28" s="129"/>
      <c r="E28" s="136"/>
      <c r="F28" s="136"/>
      <c r="G28" s="140"/>
      <c r="H28" s="1565">
        <v>122.4</v>
      </c>
      <c r="I28" s="1563">
        <v>123.2</v>
      </c>
      <c r="J28" s="1564">
        <v>127.4</v>
      </c>
    </row>
    <row r="29" spans="2:10" s="126" customFormat="1" ht="13.5" customHeight="1">
      <c r="B29" s="138" t="s">
        <v>58</v>
      </c>
      <c r="C29" s="139"/>
      <c r="D29" s="139"/>
      <c r="E29" s="136"/>
      <c r="F29" s="136"/>
      <c r="G29" s="140"/>
      <c r="H29" s="1565"/>
      <c r="I29" s="1563"/>
      <c r="J29" s="1564"/>
    </row>
    <row r="30" spans="2:10" s="126" customFormat="1" ht="6.75" customHeight="1">
      <c r="B30" s="143"/>
      <c r="C30" s="143"/>
      <c r="D30" s="143"/>
      <c r="E30" s="136"/>
      <c r="F30" s="136"/>
      <c r="G30" s="140"/>
      <c r="H30" s="1565"/>
      <c r="I30" s="1563"/>
      <c r="J30" s="1564"/>
    </row>
    <row r="31" spans="2:10" s="126" customFormat="1" ht="13.5" customHeight="1">
      <c r="B31" s="135" t="s">
        <v>59</v>
      </c>
      <c r="C31" s="129"/>
      <c r="D31" s="129"/>
      <c r="E31" s="136"/>
      <c r="F31" s="136"/>
      <c r="G31" s="140"/>
      <c r="H31" s="1565">
        <v>106</v>
      </c>
      <c r="I31" s="1563">
        <v>116.8</v>
      </c>
      <c r="J31" s="1564">
        <v>117.9</v>
      </c>
    </row>
    <row r="32" spans="2:10" s="126" customFormat="1" ht="13.5" customHeight="1">
      <c r="B32" s="138" t="s">
        <v>60</v>
      </c>
      <c r="C32" s="139"/>
      <c r="D32" s="139"/>
      <c r="E32" s="136"/>
      <c r="F32" s="136"/>
      <c r="G32" s="140"/>
      <c r="H32" s="1565"/>
      <c r="I32" s="1563"/>
      <c r="J32" s="1564"/>
    </row>
    <row r="33" spans="2:10" s="126" customFormat="1" ht="6.75" customHeight="1">
      <c r="B33" s="143"/>
      <c r="C33" s="143"/>
      <c r="D33" s="143"/>
      <c r="E33" s="136"/>
      <c r="F33" s="136"/>
      <c r="G33" s="140"/>
      <c r="H33" s="1565"/>
      <c r="I33" s="1563"/>
      <c r="J33" s="1564"/>
    </row>
    <row r="34" spans="2:10" s="126" customFormat="1" ht="13.5" customHeight="1">
      <c r="B34" s="135" t="s">
        <v>2054</v>
      </c>
      <c r="C34" s="129"/>
      <c r="D34" s="129"/>
      <c r="E34" s="136"/>
      <c r="F34" s="140"/>
      <c r="G34" s="1563"/>
      <c r="H34" s="1563">
        <v>97.5</v>
      </c>
      <c r="I34" s="1564">
        <v>97.5</v>
      </c>
      <c r="J34" s="1564">
        <v>97.5</v>
      </c>
    </row>
    <row r="35" spans="2:10" s="126" customFormat="1" ht="13.5" customHeight="1">
      <c r="B35" s="138" t="s">
        <v>61</v>
      </c>
      <c r="C35" s="139" t="s">
        <v>2055</v>
      </c>
      <c r="D35" s="139"/>
      <c r="E35" s="136"/>
      <c r="F35" s="140"/>
      <c r="G35" s="1563"/>
      <c r="H35" s="1563"/>
      <c r="I35" s="1564"/>
    </row>
    <row r="36" spans="2:10" s="126" customFormat="1" ht="6.75" customHeight="1">
      <c r="B36" s="143"/>
      <c r="C36" s="143"/>
      <c r="D36" s="143"/>
      <c r="E36" s="136"/>
      <c r="F36" s="136"/>
      <c r="G36" s="140"/>
      <c r="H36" s="1565"/>
      <c r="I36" s="1563"/>
      <c r="J36" s="1564"/>
    </row>
    <row r="37" spans="2:10" s="126" customFormat="1" ht="13.5" customHeight="1">
      <c r="B37" s="135" t="s">
        <v>2056</v>
      </c>
      <c r="C37" s="129"/>
      <c r="D37" s="129"/>
      <c r="E37" s="136"/>
      <c r="F37" s="140"/>
      <c r="G37" s="1563"/>
      <c r="H37" s="1563">
        <v>112.8</v>
      </c>
      <c r="I37" s="1564">
        <v>115.4</v>
      </c>
      <c r="J37" s="1564">
        <v>115.4</v>
      </c>
    </row>
    <row r="38" spans="2:10" s="126" customFormat="1" ht="13.5" customHeight="1">
      <c r="B38" s="138" t="s">
        <v>2057</v>
      </c>
      <c r="C38" s="139"/>
      <c r="D38" s="139"/>
      <c r="E38" s="136"/>
      <c r="F38" s="140"/>
      <c r="G38" s="1563"/>
      <c r="H38" s="1563"/>
      <c r="I38" s="1564"/>
    </row>
    <row r="39" spans="2:10" s="126" customFormat="1" ht="6.75" customHeight="1">
      <c r="B39" s="143"/>
      <c r="C39" s="143"/>
      <c r="D39" s="143"/>
      <c r="E39" s="136"/>
      <c r="F39" s="136"/>
      <c r="G39" s="140"/>
      <c r="H39" s="1565"/>
      <c r="I39" s="1563"/>
      <c r="J39" s="1564"/>
    </row>
    <row r="40" spans="2:10" s="126" customFormat="1" ht="13.5" customHeight="1">
      <c r="B40" s="135" t="s">
        <v>62</v>
      </c>
      <c r="C40" s="129"/>
      <c r="D40" s="129"/>
      <c r="E40" s="136"/>
      <c r="F40" s="136"/>
      <c r="G40" s="140"/>
      <c r="H40" s="1565">
        <v>122.4</v>
      </c>
      <c r="I40" s="1563">
        <v>122.9</v>
      </c>
      <c r="J40" s="1564">
        <v>115.1</v>
      </c>
    </row>
    <row r="41" spans="2:10" s="126" customFormat="1" ht="13.5" customHeight="1">
      <c r="B41" s="138" t="s">
        <v>63</v>
      </c>
      <c r="C41" s="139"/>
      <c r="D41" s="139"/>
      <c r="E41" s="136"/>
      <c r="F41" s="136"/>
      <c r="G41" s="140"/>
      <c r="H41" s="1565"/>
      <c r="I41" s="1563"/>
      <c r="J41" s="1564"/>
    </row>
    <row r="42" spans="2:10" s="126" customFormat="1" ht="6.75" customHeight="1">
      <c r="B42" s="139"/>
      <c r="C42" s="139"/>
      <c r="D42" s="139"/>
      <c r="E42" s="136"/>
      <c r="F42" s="136"/>
      <c r="G42" s="140"/>
      <c r="H42" s="1565"/>
      <c r="I42" s="1563"/>
      <c r="J42" s="1564"/>
    </row>
    <row r="43" spans="2:10" s="126" customFormat="1" ht="13.5">
      <c r="B43" s="135" t="s">
        <v>2058</v>
      </c>
      <c r="C43" s="129"/>
      <c r="D43" s="129"/>
      <c r="E43" s="136"/>
      <c r="F43" s="140"/>
      <c r="G43" s="1563"/>
      <c r="H43" s="1563">
        <v>132.9</v>
      </c>
      <c r="I43" s="1564">
        <v>139.5</v>
      </c>
      <c r="J43" s="1564">
        <v>139.5</v>
      </c>
    </row>
    <row r="44" spans="2:10" s="126" customFormat="1" ht="13.5">
      <c r="B44" s="138" t="s">
        <v>2059</v>
      </c>
      <c r="C44" s="139"/>
      <c r="D44" s="139"/>
      <c r="E44" s="136"/>
      <c r="F44" s="140"/>
      <c r="G44" s="1563"/>
      <c r="H44" s="1563"/>
      <c r="I44" s="1564"/>
    </row>
    <row r="45" spans="2:10" s="126" customFormat="1" ht="6.75" customHeight="1">
      <c r="B45" s="143"/>
      <c r="C45" s="143"/>
      <c r="D45" s="143"/>
      <c r="E45" s="136"/>
      <c r="F45" s="136"/>
      <c r="G45" s="140"/>
      <c r="H45" s="1565"/>
      <c r="I45" s="1563"/>
      <c r="J45" s="1564"/>
    </row>
    <row r="46" spans="2:10" s="126" customFormat="1" ht="13.5">
      <c r="B46" s="135" t="s">
        <v>2060</v>
      </c>
      <c r="C46" s="129"/>
      <c r="D46" s="129"/>
      <c r="E46" s="136"/>
      <c r="F46" s="140"/>
      <c r="G46" s="1563"/>
      <c r="H46" s="1563">
        <v>116.6</v>
      </c>
      <c r="I46" s="1564">
        <v>118.9</v>
      </c>
      <c r="J46" s="1564">
        <v>139.5</v>
      </c>
    </row>
    <row r="47" spans="2:10" s="126" customFormat="1" ht="15.75" customHeight="1">
      <c r="B47" s="138" t="s">
        <v>64</v>
      </c>
      <c r="C47" s="139" t="s">
        <v>2061</v>
      </c>
      <c r="D47" s="139"/>
      <c r="E47" s="136"/>
      <c r="F47" s="140"/>
      <c r="G47" s="1565"/>
      <c r="H47" s="1565"/>
      <c r="I47" s="761"/>
    </row>
    <row r="48" spans="2:10" s="66" customFormat="1" ht="16.5">
      <c r="H48" s="759"/>
      <c r="I48" s="759"/>
      <c r="J48" s="761"/>
    </row>
    <row r="49" spans="2:10" s="66" customFormat="1" ht="16.5">
      <c r="B49" s="96" t="s">
        <v>1824</v>
      </c>
      <c r="H49" s="759"/>
      <c r="I49" s="759"/>
      <c r="J49" s="761"/>
    </row>
    <row r="50" spans="2:10" s="66" customFormat="1" ht="16.5">
      <c r="B50" s="139" t="s">
        <v>1823</v>
      </c>
      <c r="H50" s="759"/>
      <c r="I50" s="759"/>
      <c r="J50" s="761"/>
    </row>
    <row r="51" spans="2:10" s="68" customFormat="1" ht="16.5">
      <c r="C51" s="145"/>
      <c r="D51" s="1843"/>
      <c r="H51" s="761"/>
      <c r="I51" s="761"/>
      <c r="J51" s="761"/>
    </row>
    <row r="52" spans="2:10" s="126" customFormat="1" ht="13.5" customHeight="1">
      <c r="B52" s="135" t="s">
        <v>45</v>
      </c>
      <c r="C52" s="129"/>
      <c r="D52" s="129"/>
      <c r="E52" s="136"/>
      <c r="F52" s="136"/>
      <c r="G52" s="137"/>
      <c r="H52" s="1566">
        <v>-0.6</v>
      </c>
      <c r="I52" s="1566">
        <v>2.7</v>
      </c>
      <c r="J52" s="1469">
        <v>2.8</v>
      </c>
    </row>
    <row r="53" spans="2:10" s="126" customFormat="1" ht="13.5" customHeight="1">
      <c r="B53" s="138" t="s">
        <v>46</v>
      </c>
      <c r="C53" s="139"/>
      <c r="D53" s="139"/>
      <c r="E53" s="136"/>
      <c r="F53" s="136"/>
      <c r="G53" s="2162"/>
      <c r="H53" s="1566"/>
      <c r="I53" s="1566"/>
      <c r="J53" s="1469"/>
    </row>
    <row r="54" spans="2:10" s="126" customFormat="1" ht="13.5">
      <c r="B54" s="129"/>
      <c r="C54" s="129"/>
      <c r="D54" s="129"/>
      <c r="E54" s="136"/>
      <c r="F54" s="136"/>
      <c r="G54" s="2162"/>
      <c r="H54" s="1566"/>
      <c r="I54" s="1566"/>
      <c r="J54" s="1469"/>
    </row>
    <row r="55" spans="2:10" s="126" customFormat="1" ht="13.5" customHeight="1">
      <c r="B55" s="135" t="s">
        <v>47</v>
      </c>
      <c r="C55" s="129"/>
      <c r="D55" s="129"/>
      <c r="E55" s="136"/>
      <c r="F55" s="136"/>
      <c r="G55" s="140"/>
      <c r="H55" s="1565">
        <v>2</v>
      </c>
      <c r="I55" s="1565">
        <v>2.4</v>
      </c>
      <c r="J55" s="761">
        <v>4.8</v>
      </c>
    </row>
    <row r="56" spans="2:10" s="126" customFormat="1" ht="13.5" customHeight="1">
      <c r="B56" s="142" t="s">
        <v>48</v>
      </c>
      <c r="C56" s="134"/>
      <c r="D56" s="134"/>
      <c r="E56" s="136"/>
      <c r="F56" s="136"/>
      <c r="G56" s="140"/>
      <c r="H56" s="1565"/>
      <c r="I56" s="1565"/>
      <c r="J56" s="761"/>
    </row>
    <row r="57" spans="2:10" s="126" customFormat="1" ht="6.75" customHeight="1">
      <c r="B57" s="143"/>
      <c r="C57" s="143"/>
      <c r="D57" s="143"/>
      <c r="E57" s="136"/>
      <c r="F57" s="136"/>
      <c r="G57" s="140"/>
      <c r="H57" s="1565"/>
      <c r="I57" s="1565"/>
      <c r="J57" s="761"/>
    </row>
    <row r="58" spans="2:10" s="126" customFormat="1" ht="13.5" customHeight="1">
      <c r="B58" s="135" t="s">
        <v>49</v>
      </c>
      <c r="C58" s="129"/>
      <c r="D58" s="129"/>
      <c r="E58" s="136"/>
      <c r="F58" s="136"/>
      <c r="G58" s="140"/>
      <c r="H58" s="1565">
        <v>0.3</v>
      </c>
      <c r="I58" s="1565">
        <v>0.5</v>
      </c>
      <c r="J58" s="761">
        <v>0.2</v>
      </c>
    </row>
    <row r="59" spans="2:10" s="126" customFormat="1" ht="13.5" customHeight="1">
      <c r="B59" s="138" t="s">
        <v>50</v>
      </c>
      <c r="C59" s="139"/>
      <c r="D59" s="139"/>
      <c r="E59" s="136"/>
      <c r="F59" s="136"/>
      <c r="G59" s="140"/>
      <c r="H59" s="1565"/>
      <c r="I59" s="1565"/>
      <c r="J59" s="761"/>
    </row>
    <row r="60" spans="2:10" s="126" customFormat="1" ht="6.75" customHeight="1">
      <c r="B60" s="143"/>
      <c r="C60" s="143"/>
      <c r="D60" s="143"/>
      <c r="E60" s="136"/>
      <c r="F60" s="136"/>
      <c r="G60" s="140"/>
      <c r="H60" s="1565"/>
      <c r="I60" s="1565"/>
      <c r="J60" s="761"/>
    </row>
    <row r="61" spans="2:10" s="126" customFormat="1" ht="13.5" customHeight="1">
      <c r="B61" s="135" t="s">
        <v>51</v>
      </c>
      <c r="C61" s="129"/>
      <c r="D61" s="129"/>
      <c r="E61" s="136"/>
      <c r="F61" s="136"/>
      <c r="G61" s="140"/>
      <c r="H61" s="1565">
        <v>-0.7</v>
      </c>
      <c r="I61" s="1565">
        <v>-0.3</v>
      </c>
      <c r="J61" s="761">
        <v>0.4</v>
      </c>
    </row>
    <row r="62" spans="2:10" s="126" customFormat="1" ht="13.5" customHeight="1">
      <c r="B62" s="138" t="s">
        <v>52</v>
      </c>
      <c r="C62" s="139"/>
      <c r="D62" s="139"/>
      <c r="E62" s="136"/>
      <c r="F62" s="136"/>
      <c r="G62" s="140"/>
      <c r="H62" s="1565"/>
      <c r="I62" s="1565"/>
      <c r="J62" s="761"/>
    </row>
    <row r="63" spans="2:10" s="126" customFormat="1" ht="6.75" customHeight="1">
      <c r="B63" s="143"/>
      <c r="C63" s="143"/>
      <c r="D63" s="143"/>
      <c r="E63" s="136"/>
      <c r="F63" s="136"/>
      <c r="G63" s="140"/>
      <c r="H63" s="1565"/>
      <c r="I63" s="1565"/>
      <c r="J63" s="761"/>
    </row>
    <row r="64" spans="2:10" s="126" customFormat="1" ht="13.5" customHeight="1">
      <c r="B64" s="135" t="s">
        <v>53</v>
      </c>
      <c r="C64" s="129"/>
      <c r="D64" s="129"/>
      <c r="E64" s="136"/>
      <c r="F64" s="136"/>
      <c r="G64" s="140"/>
      <c r="H64" s="1565">
        <v>-1.4</v>
      </c>
      <c r="I64" s="1565">
        <v>1.7</v>
      </c>
      <c r="J64" s="761">
        <v>1.9</v>
      </c>
    </row>
    <row r="65" spans="2:10" s="126" customFormat="1" ht="13.5" customHeight="1">
      <c r="B65" s="138" t="s">
        <v>54</v>
      </c>
      <c r="C65" s="139"/>
      <c r="D65" s="139"/>
      <c r="E65" s="136"/>
      <c r="F65" s="136"/>
      <c r="G65" s="140"/>
      <c r="H65" s="1565"/>
      <c r="I65" s="1565"/>
      <c r="J65" s="761"/>
    </row>
    <row r="66" spans="2:10" s="126" customFormat="1" ht="6.75" customHeight="1">
      <c r="B66" s="143"/>
      <c r="C66" s="143"/>
      <c r="D66" s="143"/>
      <c r="E66" s="136"/>
      <c r="F66" s="136"/>
      <c r="G66" s="140"/>
      <c r="H66" s="1565"/>
      <c r="I66" s="1565"/>
      <c r="J66" s="761"/>
    </row>
    <row r="67" spans="2:10" s="126" customFormat="1" ht="13.5" customHeight="1">
      <c r="B67" s="135" t="s">
        <v>55</v>
      </c>
      <c r="C67" s="129"/>
      <c r="D67" s="129"/>
      <c r="E67" s="136"/>
      <c r="F67" s="136"/>
      <c r="G67" s="140"/>
      <c r="H67" s="1565">
        <v>0.2</v>
      </c>
      <c r="I67" s="1565">
        <v>2.6</v>
      </c>
      <c r="J67" s="761">
        <v>2.2000000000000002</v>
      </c>
    </row>
    <row r="68" spans="2:10" s="126" customFormat="1" ht="15.75" customHeight="1">
      <c r="B68" s="138" t="s">
        <v>56</v>
      </c>
      <c r="C68" s="139"/>
      <c r="D68" s="139"/>
      <c r="E68" s="136"/>
      <c r="F68" s="136"/>
      <c r="G68" s="140"/>
      <c r="H68" s="1565"/>
      <c r="I68" s="1565"/>
      <c r="J68" s="761"/>
    </row>
    <row r="69" spans="2:10" s="126" customFormat="1" ht="6.75" customHeight="1">
      <c r="B69" s="143"/>
      <c r="C69" s="143"/>
      <c r="D69" s="143"/>
      <c r="E69" s="136"/>
      <c r="F69" s="136"/>
      <c r="G69" s="140"/>
      <c r="H69" s="1565"/>
      <c r="I69" s="1565"/>
      <c r="J69" s="761"/>
    </row>
    <row r="70" spans="2:10" s="126" customFormat="1" ht="13.5" customHeight="1">
      <c r="B70" s="135" t="s">
        <v>57</v>
      </c>
      <c r="C70" s="129"/>
      <c r="D70" s="129"/>
      <c r="E70" s="136"/>
      <c r="F70" s="136"/>
      <c r="G70" s="140"/>
      <c r="H70" s="1565">
        <v>1.1000000000000001</v>
      </c>
      <c r="I70" s="1565">
        <v>0.7</v>
      </c>
      <c r="J70" s="761">
        <v>1</v>
      </c>
    </row>
    <row r="71" spans="2:10" s="126" customFormat="1" ht="13.5" customHeight="1">
      <c r="B71" s="138" t="s">
        <v>58</v>
      </c>
      <c r="C71" s="139"/>
      <c r="D71" s="139"/>
      <c r="E71" s="136"/>
      <c r="F71" s="136"/>
      <c r="G71" s="140"/>
      <c r="H71" s="1565"/>
      <c r="I71" s="1565"/>
      <c r="J71" s="761"/>
    </row>
    <row r="72" spans="2:10" s="126" customFormat="1" ht="6.75" customHeight="1">
      <c r="B72" s="143"/>
      <c r="C72" s="143"/>
      <c r="D72" s="143"/>
      <c r="E72" s="136"/>
      <c r="F72" s="136"/>
      <c r="G72" s="140"/>
      <c r="H72" s="1565"/>
      <c r="I72" s="1565"/>
      <c r="J72" s="761"/>
    </row>
    <row r="73" spans="2:10" s="126" customFormat="1" ht="13.5" customHeight="1">
      <c r="B73" s="135" t="s">
        <v>59</v>
      </c>
      <c r="C73" s="129"/>
      <c r="D73" s="129"/>
      <c r="E73" s="136"/>
      <c r="F73" s="136"/>
      <c r="G73" s="140"/>
      <c r="H73" s="1565">
        <v>-8.4</v>
      </c>
      <c r="I73" s="1565">
        <v>10.199999999999999</v>
      </c>
      <c r="J73" s="761">
        <v>3.1</v>
      </c>
    </row>
    <row r="74" spans="2:10" s="126" customFormat="1" ht="13.5" customHeight="1">
      <c r="B74" s="138" t="s">
        <v>60</v>
      </c>
      <c r="C74" s="139"/>
      <c r="D74" s="139"/>
      <c r="E74" s="136"/>
      <c r="F74" s="136"/>
      <c r="G74" s="140"/>
      <c r="H74" s="1565"/>
      <c r="I74" s="1565"/>
      <c r="J74" s="761"/>
    </row>
    <row r="75" spans="2:10" s="126" customFormat="1" ht="6.75" customHeight="1">
      <c r="B75" s="143"/>
      <c r="C75" s="143"/>
      <c r="D75" s="143"/>
      <c r="E75" s="136"/>
      <c r="F75" s="136"/>
      <c r="G75" s="140"/>
      <c r="H75" s="1565"/>
      <c r="I75" s="1565"/>
      <c r="J75" s="761"/>
    </row>
    <row r="76" spans="2:10" s="126" customFormat="1" ht="13.5" customHeight="1">
      <c r="B76" s="135" t="s">
        <v>2054</v>
      </c>
      <c r="C76" s="129"/>
      <c r="D76" s="129"/>
      <c r="E76" s="136"/>
      <c r="F76" s="140"/>
      <c r="G76" s="1563"/>
      <c r="H76" s="1563">
        <v>97.5</v>
      </c>
      <c r="I76" s="1564">
        <v>97.5</v>
      </c>
      <c r="J76" s="1564">
        <v>97.5</v>
      </c>
    </row>
    <row r="77" spans="2:10" s="126" customFormat="1" ht="13.5" customHeight="1">
      <c r="B77" s="138" t="s">
        <v>61</v>
      </c>
      <c r="C77" s="139" t="s">
        <v>2055</v>
      </c>
      <c r="D77" s="139"/>
      <c r="E77" s="136"/>
      <c r="F77" s="140"/>
      <c r="G77" s="1563"/>
      <c r="H77" s="1563"/>
      <c r="I77" s="1564"/>
    </row>
    <row r="78" spans="2:10" s="126" customFormat="1" ht="6.75" customHeight="1">
      <c r="B78" s="143"/>
      <c r="C78" s="143"/>
      <c r="D78" s="143"/>
      <c r="E78" s="136"/>
      <c r="F78" s="136"/>
      <c r="G78" s="140"/>
      <c r="H78" s="1565"/>
      <c r="I78" s="1565"/>
      <c r="J78" s="761"/>
    </row>
    <row r="79" spans="2:10" s="126" customFormat="1" ht="13.5" customHeight="1">
      <c r="B79" s="135" t="s">
        <v>2056</v>
      </c>
      <c r="C79" s="129"/>
      <c r="D79" s="129"/>
      <c r="E79" s="136"/>
      <c r="F79" s="140"/>
      <c r="G79" s="1563"/>
      <c r="H79" s="1563">
        <v>112.8</v>
      </c>
      <c r="I79" s="1564">
        <v>115.4</v>
      </c>
      <c r="J79" s="761">
        <v>3.1</v>
      </c>
    </row>
    <row r="80" spans="2:10" s="126" customFormat="1" ht="13.5" customHeight="1">
      <c r="B80" s="138" t="s">
        <v>2057</v>
      </c>
      <c r="C80" s="139"/>
      <c r="D80" s="139"/>
      <c r="E80" s="136"/>
      <c r="F80" s="140"/>
      <c r="G80" s="1563"/>
      <c r="H80" s="1563"/>
      <c r="I80" s="1564"/>
    </row>
    <row r="81" spans="2:10" s="126" customFormat="1" ht="6.75" customHeight="1">
      <c r="B81" s="143"/>
      <c r="C81" s="143"/>
      <c r="D81" s="143"/>
      <c r="E81" s="136"/>
      <c r="F81" s="136"/>
      <c r="G81" s="140"/>
      <c r="H81" s="1565"/>
      <c r="I81" s="1565"/>
      <c r="J81" s="761"/>
    </row>
    <row r="82" spans="2:10" s="126" customFormat="1" ht="13.5" customHeight="1">
      <c r="B82" s="135" t="s">
        <v>62</v>
      </c>
      <c r="C82" s="129"/>
      <c r="D82" s="129"/>
      <c r="E82" s="136"/>
      <c r="F82" s="136"/>
      <c r="G82" s="140"/>
      <c r="H82" s="1565">
        <v>1.2</v>
      </c>
      <c r="I82" s="1565">
        <v>0.4</v>
      </c>
      <c r="J82" s="761">
        <v>0.2</v>
      </c>
    </row>
    <row r="83" spans="2:10" s="126" customFormat="1" ht="13.5" customHeight="1">
      <c r="B83" s="138" t="s">
        <v>63</v>
      </c>
      <c r="C83" s="139"/>
      <c r="D83" s="139"/>
      <c r="E83" s="136"/>
      <c r="F83" s="136"/>
      <c r="G83" s="140"/>
      <c r="H83" s="1565"/>
      <c r="I83" s="1565"/>
      <c r="J83" s="761"/>
    </row>
    <row r="84" spans="2:10" s="126" customFormat="1" ht="6.75" customHeight="1">
      <c r="B84" s="139"/>
      <c r="C84" s="139"/>
      <c r="D84" s="139"/>
      <c r="E84" s="136"/>
      <c r="F84" s="136"/>
      <c r="G84" s="140"/>
      <c r="H84" s="1565"/>
      <c r="I84" s="1565"/>
      <c r="J84" s="761"/>
    </row>
    <row r="85" spans="2:10" s="126" customFormat="1" ht="13.5">
      <c r="B85" s="135" t="s">
        <v>2058</v>
      </c>
      <c r="C85" s="129"/>
      <c r="D85" s="129"/>
      <c r="E85" s="136"/>
      <c r="F85" s="140"/>
      <c r="G85" s="1563"/>
      <c r="H85" s="1563">
        <v>132.9</v>
      </c>
      <c r="I85" s="1564">
        <v>139.5</v>
      </c>
      <c r="J85" s="761">
        <v>3.1</v>
      </c>
    </row>
    <row r="86" spans="2:10" s="126" customFormat="1" ht="13.5">
      <c r="B86" s="138" t="s">
        <v>2059</v>
      </c>
      <c r="C86" s="139"/>
      <c r="D86" s="139"/>
      <c r="E86" s="136"/>
      <c r="F86" s="140"/>
      <c r="G86" s="1563"/>
      <c r="H86" s="1563"/>
      <c r="I86" s="1564"/>
    </row>
    <row r="87" spans="2:10" s="126" customFormat="1" ht="6.75" customHeight="1">
      <c r="B87" s="143"/>
      <c r="C87" s="143"/>
      <c r="D87" s="143"/>
      <c r="E87" s="136"/>
      <c r="F87" s="136"/>
      <c r="G87" s="140"/>
      <c r="H87" s="1565"/>
      <c r="I87" s="1565"/>
      <c r="J87" s="761"/>
    </row>
    <row r="88" spans="2:10" s="126" customFormat="1" ht="13.5">
      <c r="B88" s="135" t="s">
        <v>2060</v>
      </c>
      <c r="C88" s="129"/>
      <c r="D88" s="129"/>
      <c r="E88" s="136"/>
      <c r="F88" s="140"/>
      <c r="G88" s="1563"/>
      <c r="H88" s="1563">
        <v>116.6</v>
      </c>
      <c r="I88" s="1564">
        <v>118.9</v>
      </c>
      <c r="J88" s="761">
        <v>3.1</v>
      </c>
    </row>
    <row r="89" spans="2:10" s="126" customFormat="1" ht="15.75" customHeight="1">
      <c r="B89" s="138" t="s">
        <v>64</v>
      </c>
      <c r="C89" s="139" t="s">
        <v>2061</v>
      </c>
      <c r="D89" s="139"/>
      <c r="E89" s="136"/>
      <c r="F89" s="140"/>
      <c r="G89" s="1565"/>
      <c r="H89" s="1565"/>
      <c r="I89" s="761"/>
    </row>
    <row r="90" spans="2:10" s="66" customFormat="1" ht="8.1" customHeight="1" thickBot="1">
      <c r="B90" s="147"/>
      <c r="C90" s="147"/>
      <c r="D90" s="147"/>
      <c r="E90" s="80"/>
      <c r="F90" s="80"/>
      <c r="G90" s="80"/>
      <c r="H90" s="80"/>
      <c r="I90" s="80"/>
      <c r="J90" s="81"/>
    </row>
    <row r="91" spans="2:10">
      <c r="H91" s="126"/>
      <c r="I91" s="126"/>
      <c r="J91" s="148" t="s">
        <v>0</v>
      </c>
    </row>
    <row r="92" spans="2:10">
      <c r="H92" s="126"/>
      <c r="I92" s="126"/>
      <c r="J92" s="1821" t="s">
        <v>1</v>
      </c>
    </row>
    <row r="94" spans="2:10" s="158" customFormat="1" ht="12" customHeight="1">
      <c r="B94" s="384" t="s">
        <v>397</v>
      </c>
      <c r="C94" s="327"/>
      <c r="D94" s="165"/>
      <c r="E94" s="165"/>
      <c r="F94" s="165"/>
      <c r="G94" s="19"/>
      <c r="I94" s="17"/>
    </row>
    <row r="95" spans="2:10" s="154" customFormat="1" ht="13.5" customHeight="1">
      <c r="B95" s="25" t="s">
        <v>2025</v>
      </c>
    </row>
    <row r="96" spans="2:10" s="154" customFormat="1" ht="15" customHeight="1">
      <c r="B96" s="298" t="s">
        <v>2026</v>
      </c>
    </row>
  </sheetData>
  <mergeCells count="2">
    <mergeCell ref="B4:D5"/>
    <mergeCell ref="H5:J5"/>
  </mergeCells>
  <printOptions horizontalCentered="1"/>
  <pageMargins left="0.55118110236220474" right="0.55118110236220474" top="0.55118110236220474" bottom="0.55118110236220474" header="0.31496062992125984" footer="0.31496062992125984"/>
  <pageSetup paperSize="9" scale="65" orientation="portrait"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C2509-8E98-409B-BBB1-BD2407F7EDF2}">
  <sheetPr>
    <tabColor theme="4" tint="0.39997558519241921"/>
  </sheetPr>
  <dimension ref="A1:M97"/>
  <sheetViews>
    <sheetView tabSelected="1" view="pageBreakPreview" zoomScaleNormal="100" zoomScaleSheetLayoutView="100" workbookViewId="0">
      <selection activeCell="F86" sqref="F86"/>
    </sheetView>
  </sheetViews>
  <sheetFormatPr defaultColWidth="9.140625" defaultRowHeight="16.5"/>
  <cols>
    <col min="1" max="1" width="4" style="66" customWidth="1"/>
    <col min="2" max="3" width="9.140625" style="66"/>
    <col min="4" max="4" width="40.7109375" style="66" customWidth="1"/>
    <col min="5" max="5" width="9.140625" style="66"/>
    <col min="6" max="6" width="19.85546875" style="66" customWidth="1"/>
    <col min="7" max="8" width="17.7109375" style="66" customWidth="1"/>
    <col min="9" max="9" width="17.7109375" style="68" customWidth="1"/>
    <col min="10" max="16384" width="9.140625" style="66"/>
  </cols>
  <sheetData>
    <row r="1" spans="1:10" s="2195" customFormat="1" ht="17.25" customHeight="1">
      <c r="A1" s="2203"/>
      <c r="B1" s="2202" t="s">
        <v>1834</v>
      </c>
      <c r="C1" s="2644" t="s">
        <v>1833</v>
      </c>
      <c r="D1" s="2644"/>
      <c r="E1" s="2644"/>
      <c r="F1" s="2644"/>
      <c r="G1" s="2644"/>
      <c r="H1" s="2644"/>
      <c r="I1" s="2200"/>
    </row>
    <row r="2" spans="1:10" s="2195" customFormat="1" ht="17.25" customHeight="1">
      <c r="B2" s="2201" t="s">
        <v>1832</v>
      </c>
      <c r="C2" s="2645" t="s">
        <v>1831</v>
      </c>
      <c r="D2" s="2645"/>
      <c r="E2" s="2645"/>
      <c r="F2" s="2645"/>
      <c r="G2" s="2645"/>
      <c r="H2" s="2645"/>
      <c r="I2" s="2200"/>
    </row>
    <row r="3" spans="1:10" s="2195" customFormat="1" ht="6.6" customHeight="1" thickBot="1">
      <c r="A3" s="2199"/>
      <c r="B3" s="2199"/>
      <c r="C3" s="2199"/>
      <c r="D3" s="2199"/>
      <c r="E3" s="2199"/>
      <c r="F3" s="2198"/>
      <c r="G3" s="2197"/>
      <c r="H3" s="2197"/>
      <c r="I3" s="2196"/>
    </row>
    <row r="4" spans="1:10" s="2165" customFormat="1" ht="5.25" customHeight="1">
      <c r="F4" s="2173"/>
      <c r="G4" s="2194"/>
      <c r="H4" s="2194"/>
      <c r="I4" s="2182"/>
    </row>
    <row r="5" spans="1:10" s="2165" customFormat="1" ht="16.5" customHeight="1">
      <c r="A5" s="2192"/>
      <c r="B5" s="2646" t="s">
        <v>67</v>
      </c>
      <c r="C5" s="2646"/>
      <c r="D5" s="2191"/>
      <c r="E5" s="2191"/>
      <c r="F5" s="2191"/>
      <c r="G5" s="2190">
        <v>2023</v>
      </c>
      <c r="H5" s="2190">
        <v>2024</v>
      </c>
      <c r="I5" s="2193">
        <v>2025</v>
      </c>
      <c r="J5" s="2181"/>
    </row>
    <row r="6" spans="1:10" s="2165" customFormat="1" ht="5.25" customHeight="1">
      <c r="A6" s="2192"/>
      <c r="B6" s="2646"/>
      <c r="C6" s="2646"/>
      <c r="D6" s="2191"/>
      <c r="E6" s="2191"/>
      <c r="F6" s="2191"/>
      <c r="G6" s="2190"/>
      <c r="H6" s="2190"/>
      <c r="I6" s="2189"/>
      <c r="J6" s="2181"/>
    </row>
    <row r="7" spans="1:10" s="2165" customFormat="1" ht="5.25" customHeight="1" thickBot="1">
      <c r="A7" s="2188"/>
      <c r="B7" s="2647"/>
      <c r="C7" s="2647"/>
      <c r="D7" s="2186"/>
      <c r="E7" s="2186"/>
      <c r="F7" s="2187"/>
      <c r="G7" s="2186"/>
      <c r="H7" s="2186"/>
      <c r="I7" s="2185"/>
      <c r="J7" s="2181"/>
    </row>
    <row r="8" spans="1:10" s="2165" customFormat="1" ht="6.95" customHeight="1">
      <c r="B8" s="2184"/>
      <c r="C8" s="2181"/>
      <c r="D8" s="2181"/>
      <c r="E8" s="2181"/>
      <c r="F8" s="2181"/>
      <c r="G8" s="2183"/>
      <c r="H8" s="2183"/>
      <c r="I8" s="2182"/>
      <c r="J8" s="2181"/>
    </row>
    <row r="9" spans="1:10" s="2165" customFormat="1" ht="13.7" customHeight="1">
      <c r="B9" s="438" t="s">
        <v>68</v>
      </c>
      <c r="C9" s="431"/>
      <c r="D9" s="431"/>
      <c r="E9" s="431"/>
      <c r="F9" s="2181"/>
      <c r="G9" s="2183"/>
      <c r="H9" s="2183"/>
      <c r="I9" s="2182"/>
      <c r="J9" s="2181"/>
    </row>
    <row r="10" spans="1:10" s="2165" customFormat="1" ht="13.7" customHeight="1">
      <c r="B10" s="439" t="s">
        <v>69</v>
      </c>
      <c r="C10" s="431"/>
      <c r="D10" s="431"/>
      <c r="E10" s="431"/>
      <c r="F10" s="2181"/>
      <c r="G10" s="2183"/>
      <c r="H10" s="2183"/>
      <c r="I10" s="2182"/>
      <c r="J10" s="2181"/>
    </row>
    <row r="11" spans="1:10" s="2165" customFormat="1" ht="6.95" customHeight="1">
      <c r="B11" s="439"/>
      <c r="C11" s="431"/>
      <c r="D11" s="431"/>
      <c r="E11" s="431"/>
      <c r="F11" s="2181"/>
      <c r="G11" s="2183"/>
      <c r="H11" s="2183"/>
      <c r="I11" s="2182"/>
      <c r="J11" s="2181"/>
    </row>
    <row r="12" spans="1:10" s="2165" customFormat="1" ht="14.45" customHeight="1">
      <c r="B12" s="445" t="s">
        <v>2048</v>
      </c>
      <c r="C12" s="431"/>
      <c r="D12" s="431"/>
      <c r="E12" s="441" t="s">
        <v>70</v>
      </c>
      <c r="F12" s="2172"/>
      <c r="G12" s="2171">
        <v>5.07</v>
      </c>
      <c r="H12" s="2170">
        <v>5.07</v>
      </c>
      <c r="I12" s="2170">
        <v>5.12</v>
      </c>
      <c r="J12" s="2180"/>
    </row>
    <row r="13" spans="1:10" s="2165" customFormat="1" ht="14.45" customHeight="1">
      <c r="B13" s="440" t="s">
        <v>71</v>
      </c>
      <c r="C13" s="423"/>
      <c r="D13" s="431"/>
      <c r="E13" s="441" t="s">
        <v>70</v>
      </c>
      <c r="F13" s="2172"/>
      <c r="G13" s="2171">
        <v>8.93</v>
      </c>
      <c r="H13" s="2170">
        <v>8.84</v>
      </c>
      <c r="I13" s="2170">
        <v>8.31</v>
      </c>
      <c r="J13" s="2180"/>
    </row>
    <row r="14" spans="1:10" s="2165" customFormat="1" ht="14.45" customHeight="1">
      <c r="B14" s="440" t="s">
        <v>72</v>
      </c>
      <c r="C14" s="444"/>
      <c r="D14" s="431"/>
      <c r="E14" s="441" t="s">
        <v>70</v>
      </c>
      <c r="F14" s="2172"/>
      <c r="G14" s="2171">
        <v>6.49</v>
      </c>
      <c r="H14" s="2170">
        <v>6.5</v>
      </c>
      <c r="I14" s="2170">
        <v>6.57</v>
      </c>
      <c r="J14" s="2180"/>
    </row>
    <row r="15" spans="1:10" s="2165" customFormat="1" ht="14.45" customHeight="1">
      <c r="B15" s="440" t="s">
        <v>1315</v>
      </c>
      <c r="C15" s="444"/>
      <c r="D15" s="431"/>
      <c r="E15" s="441" t="s">
        <v>70</v>
      </c>
      <c r="F15" s="2172"/>
      <c r="G15" s="2171">
        <v>3.76</v>
      </c>
      <c r="H15" s="2170">
        <v>4.16</v>
      </c>
      <c r="I15" s="2170">
        <v>7.27</v>
      </c>
      <c r="J15" s="2180"/>
    </row>
    <row r="16" spans="1:10" s="2165" customFormat="1" ht="14.45" customHeight="1">
      <c r="B16" s="440" t="s">
        <v>2041</v>
      </c>
      <c r="C16" s="444"/>
      <c r="D16" s="431"/>
      <c r="E16" s="441" t="s">
        <v>73</v>
      </c>
      <c r="F16" s="2172"/>
      <c r="G16" s="2171">
        <v>2.75</v>
      </c>
      <c r="H16" s="2170">
        <v>2.77</v>
      </c>
      <c r="I16" s="2170">
        <v>2.85</v>
      </c>
      <c r="J16" s="2180"/>
    </row>
    <row r="17" spans="2:11" s="2165" customFormat="1" ht="14.45" customHeight="1">
      <c r="B17" s="440" t="s">
        <v>74</v>
      </c>
      <c r="C17" s="444"/>
      <c r="D17" s="431"/>
      <c r="E17" s="441" t="s">
        <v>70</v>
      </c>
      <c r="F17" s="2172"/>
      <c r="G17" s="2171">
        <v>16.7</v>
      </c>
      <c r="H17" s="2170">
        <v>15.9</v>
      </c>
      <c r="I17" s="2170">
        <v>16.68</v>
      </c>
      <c r="J17" s="2180"/>
    </row>
    <row r="18" spans="2:11" s="2165" customFormat="1" ht="14.45" customHeight="1">
      <c r="B18" s="440" t="s">
        <v>75</v>
      </c>
      <c r="C18" s="444"/>
      <c r="D18" s="431"/>
      <c r="E18" s="441" t="s">
        <v>70</v>
      </c>
      <c r="F18" s="2172"/>
      <c r="G18" s="2171">
        <v>15.65</v>
      </c>
      <c r="H18" s="2170">
        <v>14.58</v>
      </c>
      <c r="I18" s="2170">
        <v>14.68</v>
      </c>
      <c r="J18" s="2180"/>
    </row>
    <row r="19" spans="2:11" s="2165" customFormat="1" ht="14.45" customHeight="1">
      <c r="B19" s="440" t="s">
        <v>76</v>
      </c>
      <c r="C19" s="444"/>
      <c r="D19" s="431"/>
      <c r="E19" s="441" t="s">
        <v>70</v>
      </c>
      <c r="F19" s="2172"/>
      <c r="G19" s="2171">
        <v>7.59</v>
      </c>
      <c r="H19" s="2170">
        <v>7.44</v>
      </c>
      <c r="I19" s="2170">
        <v>7.83</v>
      </c>
      <c r="J19" s="2180"/>
    </row>
    <row r="20" spans="2:11" s="2165" customFormat="1" ht="14.45" customHeight="1">
      <c r="B20" s="440" t="s">
        <v>77</v>
      </c>
      <c r="C20" s="444"/>
      <c r="D20" s="431"/>
      <c r="E20" s="441" t="s">
        <v>70</v>
      </c>
      <c r="F20" s="2172"/>
      <c r="G20" s="2171">
        <v>12.8</v>
      </c>
      <c r="H20" s="2170">
        <v>12.47</v>
      </c>
      <c r="I20" s="2170">
        <v>12.17</v>
      </c>
      <c r="J20" s="2180"/>
    </row>
    <row r="21" spans="2:11" s="2165" customFormat="1" ht="14.45" customHeight="1">
      <c r="B21" s="440" t="s">
        <v>2030</v>
      </c>
      <c r="C21" s="444"/>
      <c r="D21" s="431"/>
      <c r="E21" s="441" t="s">
        <v>70</v>
      </c>
      <c r="F21" s="2172"/>
      <c r="G21" s="2171">
        <v>5.12</v>
      </c>
      <c r="H21" s="2170">
        <v>4.8499999999999996</v>
      </c>
      <c r="I21" s="2170">
        <v>5.09</v>
      </c>
      <c r="J21" s="2180"/>
    </row>
    <row r="22" spans="2:11" s="2165" customFormat="1" ht="14.45" customHeight="1">
      <c r="B22" s="440" t="s">
        <v>2031</v>
      </c>
      <c r="C22" s="444"/>
      <c r="D22" s="431"/>
      <c r="E22" s="441" t="s">
        <v>70</v>
      </c>
      <c r="F22" s="2172"/>
      <c r="G22" s="2171">
        <v>8.67</v>
      </c>
      <c r="H22" s="2170">
        <v>8.19</v>
      </c>
      <c r="I22" s="2170">
        <v>8.27</v>
      </c>
      <c r="J22" s="2180"/>
    </row>
    <row r="23" spans="2:11" s="2165" customFormat="1" ht="14.45" customHeight="1">
      <c r="B23" s="440" t="s">
        <v>78</v>
      </c>
      <c r="C23" s="444"/>
      <c r="D23" s="431"/>
      <c r="E23" s="441" t="s">
        <v>70</v>
      </c>
      <c r="F23" s="2172"/>
      <c r="G23" s="2171">
        <v>4.53</v>
      </c>
      <c r="H23" s="2170">
        <v>4.18</v>
      </c>
      <c r="I23" s="2170">
        <v>4.3099999999999996</v>
      </c>
      <c r="J23" s="2180"/>
    </row>
    <row r="24" spans="2:11" s="2165" customFormat="1" ht="14.45" customHeight="1">
      <c r="B24" s="440" t="s">
        <v>1146</v>
      </c>
      <c r="C24" s="444"/>
      <c r="D24" s="431"/>
      <c r="E24" s="441" t="s">
        <v>70</v>
      </c>
      <c r="F24" s="2172"/>
      <c r="G24" s="2170" t="s">
        <v>204</v>
      </c>
      <c r="H24" s="2170" t="s">
        <v>204</v>
      </c>
      <c r="I24" s="2170">
        <v>5.86</v>
      </c>
      <c r="J24" s="2180"/>
    </row>
    <row r="25" spans="2:11" s="2165" customFormat="1" ht="14.45" customHeight="1">
      <c r="B25" s="440" t="s">
        <v>79</v>
      </c>
      <c r="C25" s="444"/>
      <c r="D25" s="431"/>
      <c r="E25" s="441" t="s">
        <v>70</v>
      </c>
      <c r="F25" s="2172"/>
      <c r="G25" s="2171">
        <v>5.46</v>
      </c>
      <c r="H25" s="2170">
        <v>6.62</v>
      </c>
      <c r="I25" s="2170">
        <v>5.67</v>
      </c>
      <c r="J25" s="2180"/>
    </row>
    <row r="26" spans="2:11" s="2165" customFormat="1" ht="14.45" customHeight="1">
      <c r="B26" s="440" t="s">
        <v>80</v>
      </c>
      <c r="C26" s="444"/>
      <c r="D26" s="431"/>
      <c r="E26" s="441" t="s">
        <v>70</v>
      </c>
      <c r="F26" s="2172"/>
      <c r="G26" s="2171">
        <v>8.7200000000000006</v>
      </c>
      <c r="H26" s="2170">
        <v>8.3699999999999992</v>
      </c>
      <c r="I26" s="2170">
        <v>8.51</v>
      </c>
      <c r="J26" s="2180"/>
    </row>
    <row r="27" spans="2:11" s="2165" customFormat="1" ht="14.45" customHeight="1">
      <c r="B27" s="440" t="s">
        <v>81</v>
      </c>
      <c r="C27" s="444"/>
      <c r="D27" s="431"/>
      <c r="E27" s="441" t="s">
        <v>70</v>
      </c>
      <c r="F27" s="2172"/>
      <c r="G27" s="2171">
        <v>4.1900000000000004</v>
      </c>
      <c r="H27" s="2170">
        <v>4.25</v>
      </c>
      <c r="I27" s="2170">
        <v>4.42</v>
      </c>
      <c r="J27" s="2180"/>
    </row>
    <row r="28" spans="2:11" s="2165" customFormat="1" ht="6.95" customHeight="1">
      <c r="B28" s="445"/>
      <c r="C28" s="444"/>
      <c r="D28" s="444"/>
      <c r="E28" s="446"/>
      <c r="F28" s="2179"/>
      <c r="G28" s="2171"/>
      <c r="H28" s="2170"/>
      <c r="I28" s="2170"/>
      <c r="J28" s="2177"/>
    </row>
    <row r="29" spans="2:11" s="2165" customFormat="1" ht="13.7" customHeight="1">
      <c r="B29" s="438" t="s">
        <v>82</v>
      </c>
      <c r="C29" s="444"/>
      <c r="D29" s="444"/>
      <c r="E29" s="446"/>
      <c r="F29" s="2179"/>
      <c r="G29" s="2171"/>
      <c r="H29" s="2170"/>
      <c r="I29" s="2170"/>
      <c r="J29" s="2177"/>
    </row>
    <row r="30" spans="2:11" s="2165" customFormat="1" ht="13.7" customHeight="1">
      <c r="B30" s="439" t="s">
        <v>83</v>
      </c>
      <c r="C30" s="444"/>
      <c r="D30" s="444"/>
      <c r="E30" s="446"/>
      <c r="F30" s="2179"/>
      <c r="G30" s="2171"/>
      <c r="H30" s="2170"/>
      <c r="I30" s="2170"/>
      <c r="J30" s="2177"/>
    </row>
    <row r="31" spans="2:11" s="2165" customFormat="1" ht="6.95" customHeight="1">
      <c r="B31" s="438"/>
      <c r="C31" s="444"/>
      <c r="D31" s="444"/>
      <c r="E31" s="446"/>
      <c r="F31" s="2179"/>
      <c r="G31" s="2171"/>
      <c r="H31" s="2170"/>
      <c r="I31" s="2170"/>
      <c r="J31" s="2177"/>
    </row>
    <row r="32" spans="2:11" s="2165" customFormat="1" ht="14.45" customHeight="1">
      <c r="B32" s="440" t="s">
        <v>84</v>
      </c>
      <c r="C32" s="448"/>
      <c r="D32" s="444"/>
      <c r="E32" s="441" t="s">
        <v>85</v>
      </c>
      <c r="F32" s="2172"/>
      <c r="G32" s="2171">
        <v>2.25</v>
      </c>
      <c r="H32" s="2170">
        <v>2.42</v>
      </c>
      <c r="I32" s="2170">
        <v>2.62</v>
      </c>
      <c r="J32" s="2178"/>
      <c r="K32" s="2177"/>
    </row>
    <row r="33" spans="1:13" s="2165" customFormat="1" ht="14.45" customHeight="1">
      <c r="B33" s="440" t="s">
        <v>2049</v>
      </c>
      <c r="C33" s="448"/>
      <c r="D33" s="444"/>
      <c r="E33" s="441" t="s">
        <v>85</v>
      </c>
      <c r="F33" s="2172"/>
      <c r="G33" s="2171">
        <v>1.1000000000000001</v>
      </c>
      <c r="H33" s="2170">
        <v>1.23</v>
      </c>
      <c r="I33" s="2170">
        <v>1.29</v>
      </c>
      <c r="J33" s="2178"/>
      <c r="K33" s="2177"/>
    </row>
    <row r="34" spans="1:13" s="2165" customFormat="1" ht="14.45" customHeight="1">
      <c r="B34" s="440" t="s">
        <v>2050</v>
      </c>
      <c r="C34" s="448"/>
      <c r="D34" s="444"/>
      <c r="E34" s="441" t="s">
        <v>85</v>
      </c>
      <c r="F34" s="2172"/>
      <c r="G34" s="2171">
        <v>1.22</v>
      </c>
      <c r="H34" s="2170">
        <v>1.23</v>
      </c>
      <c r="I34" s="2170">
        <v>1.27</v>
      </c>
      <c r="J34" s="2178"/>
      <c r="K34" s="2177"/>
    </row>
    <row r="35" spans="1:13" s="2165" customFormat="1" ht="14.45" customHeight="1">
      <c r="B35" s="440" t="s">
        <v>86</v>
      </c>
      <c r="C35" s="448"/>
      <c r="D35" s="444"/>
      <c r="E35" s="441" t="s">
        <v>70</v>
      </c>
      <c r="F35" s="2172"/>
      <c r="G35" s="2171">
        <v>4.22</v>
      </c>
      <c r="H35" s="2170">
        <v>5</v>
      </c>
      <c r="I35" s="2170">
        <v>5.01</v>
      </c>
      <c r="J35" s="2178"/>
      <c r="K35" s="2177"/>
    </row>
    <row r="36" spans="1:13" s="2165" customFormat="1" ht="14.45" customHeight="1">
      <c r="A36" s="2174"/>
      <c r="B36" s="440" t="s">
        <v>2032</v>
      </c>
      <c r="C36" s="448"/>
      <c r="D36" s="443"/>
      <c r="E36" s="441" t="s">
        <v>70</v>
      </c>
      <c r="F36" s="2172"/>
      <c r="G36" s="2171">
        <v>3.89</v>
      </c>
      <c r="H36" s="2170">
        <v>4.29</v>
      </c>
      <c r="I36" s="2170">
        <v>4.5</v>
      </c>
      <c r="J36" s="2174"/>
      <c r="K36" s="2174"/>
    </row>
    <row r="37" spans="1:13" s="2165" customFormat="1" ht="14.45" customHeight="1">
      <c r="B37" s="440" t="s">
        <v>87</v>
      </c>
      <c r="C37" s="448"/>
      <c r="D37" s="423"/>
      <c r="E37" s="441" t="s">
        <v>70</v>
      </c>
      <c r="F37" s="2172"/>
      <c r="G37" s="2170">
        <v>4.92</v>
      </c>
      <c r="H37" s="2170">
        <v>5.52</v>
      </c>
      <c r="I37" s="2170">
        <v>5.78</v>
      </c>
      <c r="K37" s="2174"/>
    </row>
    <row r="38" spans="1:13" s="2165" customFormat="1" ht="14.45" customHeight="1">
      <c r="B38" s="440" t="s">
        <v>1147</v>
      </c>
      <c r="C38" s="448"/>
      <c r="D38" s="423"/>
      <c r="E38" s="441" t="s">
        <v>70</v>
      </c>
      <c r="F38" s="2172"/>
      <c r="G38" s="2170" t="s">
        <v>204</v>
      </c>
      <c r="H38" s="2170" t="s">
        <v>204</v>
      </c>
      <c r="I38" s="2170">
        <v>5.81</v>
      </c>
      <c r="K38" s="2174"/>
    </row>
    <row r="39" spans="1:13" s="2165" customFormat="1" ht="14.45" customHeight="1">
      <c r="B39" s="440" t="s">
        <v>88</v>
      </c>
      <c r="C39" s="448"/>
      <c r="D39" s="423"/>
      <c r="E39" s="441" t="s">
        <v>70</v>
      </c>
      <c r="F39" s="2172"/>
      <c r="G39" s="2171">
        <v>5.0199999999999996</v>
      </c>
      <c r="H39" s="2170">
        <v>5.87</v>
      </c>
      <c r="I39" s="2170">
        <v>6.1</v>
      </c>
      <c r="J39" s="2176"/>
      <c r="K39" s="2174"/>
    </row>
    <row r="40" spans="1:13" s="2165" customFormat="1" ht="14.45" customHeight="1">
      <c r="B40" s="440" t="s">
        <v>89</v>
      </c>
      <c r="C40" s="448"/>
      <c r="D40" s="423"/>
      <c r="E40" s="441" t="s">
        <v>70</v>
      </c>
      <c r="F40" s="2172"/>
      <c r="G40" s="2171">
        <v>3.54</v>
      </c>
      <c r="H40" s="2170">
        <v>3.82</v>
      </c>
      <c r="I40" s="2170">
        <v>3.57</v>
      </c>
      <c r="J40" s="2176"/>
      <c r="K40" s="2174"/>
    </row>
    <row r="41" spans="1:13" s="2165" customFormat="1" ht="6.95" customHeight="1">
      <c r="B41" s="451"/>
      <c r="C41" s="448"/>
      <c r="D41" s="423"/>
      <c r="E41" s="424"/>
      <c r="F41" s="2173"/>
      <c r="G41" s="2171"/>
      <c r="H41" s="2170"/>
      <c r="I41" s="2170"/>
      <c r="J41" s="2174"/>
    </row>
    <row r="42" spans="1:13" s="2165" customFormat="1" ht="13.7" customHeight="1">
      <c r="B42" s="452" t="s">
        <v>90</v>
      </c>
      <c r="C42" s="448"/>
      <c r="D42" s="423"/>
      <c r="E42" s="424"/>
      <c r="F42" s="2173"/>
      <c r="G42" s="2171"/>
      <c r="H42" s="2170"/>
      <c r="I42" s="2170"/>
      <c r="J42" s="2174"/>
    </row>
    <row r="43" spans="1:13" s="2165" customFormat="1" ht="13.7" customHeight="1">
      <c r="B43" s="453" t="s">
        <v>91</v>
      </c>
      <c r="C43" s="448"/>
      <c r="D43" s="423"/>
      <c r="E43" s="424"/>
      <c r="F43" s="2173"/>
      <c r="G43" s="2171"/>
      <c r="H43" s="2170"/>
      <c r="I43" s="2170"/>
      <c r="J43" s="2174"/>
    </row>
    <row r="44" spans="1:13" s="2165" customFormat="1" ht="6.95" customHeight="1">
      <c r="B44" s="453"/>
      <c r="C44" s="448"/>
      <c r="D44" s="423"/>
      <c r="E44" s="424"/>
      <c r="F44" s="2173"/>
      <c r="G44" s="2171"/>
      <c r="H44" s="2170"/>
      <c r="I44" s="2170"/>
      <c r="J44" s="2174"/>
    </row>
    <row r="45" spans="1:13" s="2165" customFormat="1" ht="14.45" customHeight="1">
      <c r="B45" s="440" t="s">
        <v>92</v>
      </c>
      <c r="C45" s="448"/>
      <c r="D45" s="423"/>
      <c r="E45" s="441" t="s">
        <v>70</v>
      </c>
      <c r="F45" s="2172"/>
      <c r="G45" s="2171">
        <v>8.49</v>
      </c>
      <c r="H45" s="2170">
        <v>8.68</v>
      </c>
      <c r="I45" s="2170">
        <v>8.85</v>
      </c>
      <c r="J45" s="2174"/>
    </row>
    <row r="46" spans="1:13" s="2165" customFormat="1" ht="14.45" customHeight="1">
      <c r="B46" s="440" t="s">
        <v>93</v>
      </c>
      <c r="C46" s="448"/>
      <c r="D46" s="454"/>
      <c r="E46" s="441" t="s">
        <v>70</v>
      </c>
      <c r="F46" s="2172"/>
      <c r="G46" s="2171">
        <v>11.05</v>
      </c>
      <c r="H46" s="2170">
        <v>11.33</v>
      </c>
      <c r="I46" s="2170">
        <v>11.59</v>
      </c>
      <c r="J46" s="2174"/>
    </row>
    <row r="47" spans="1:13" s="2165" customFormat="1" ht="14.45" customHeight="1">
      <c r="A47" s="2174"/>
      <c r="B47" s="440" t="s">
        <v>2033</v>
      </c>
      <c r="C47" s="448"/>
      <c r="D47" s="454"/>
      <c r="E47" s="441" t="s">
        <v>94</v>
      </c>
      <c r="F47" s="2172"/>
      <c r="G47" s="2171">
        <v>4.4400000000000004</v>
      </c>
      <c r="H47" s="2170">
        <v>4.5599999999999996</v>
      </c>
      <c r="I47" s="2170">
        <v>4.5</v>
      </c>
      <c r="J47" s="2175"/>
      <c r="K47" s="2175"/>
      <c r="L47" s="2176"/>
      <c r="M47" s="2174"/>
    </row>
    <row r="48" spans="1:13" s="2165" customFormat="1" ht="14.45" customHeight="1">
      <c r="A48" s="2174"/>
      <c r="B48" s="440" t="s">
        <v>2034</v>
      </c>
      <c r="C48" s="448"/>
      <c r="D48" s="456"/>
      <c r="E48" s="441" t="s">
        <v>94</v>
      </c>
      <c r="F48" s="2172"/>
      <c r="G48" s="2171">
        <v>4.21</v>
      </c>
      <c r="H48" s="2170">
        <v>4.37</v>
      </c>
      <c r="I48" s="2170">
        <v>4.16</v>
      </c>
      <c r="J48" s="2175"/>
      <c r="K48" s="2175"/>
      <c r="L48" s="2174"/>
      <c r="M48" s="2174"/>
    </row>
    <row r="49" spans="2:9" s="2165" customFormat="1" ht="14.45" customHeight="1">
      <c r="B49" s="440" t="s">
        <v>2051</v>
      </c>
      <c r="C49" s="448"/>
      <c r="D49" s="456"/>
      <c r="E49" s="441" t="s">
        <v>94</v>
      </c>
      <c r="F49" s="2172"/>
      <c r="G49" s="2171">
        <v>4.03</v>
      </c>
      <c r="H49" s="2170">
        <v>4.21</v>
      </c>
      <c r="I49" s="2170">
        <v>4.13</v>
      </c>
    </row>
    <row r="50" spans="2:9" s="2165" customFormat="1" ht="6.95" customHeight="1">
      <c r="B50" s="457"/>
      <c r="C50" s="448"/>
      <c r="D50" s="423"/>
      <c r="E50" s="424"/>
      <c r="F50" s="2173"/>
      <c r="G50" s="2171"/>
      <c r="H50" s="2170"/>
      <c r="I50" s="2170"/>
    </row>
    <row r="51" spans="2:9" s="2165" customFormat="1" ht="13.7" customHeight="1">
      <c r="B51" s="452" t="s">
        <v>95</v>
      </c>
      <c r="C51" s="448"/>
      <c r="D51" s="423"/>
      <c r="E51" s="424"/>
      <c r="F51" s="2173"/>
      <c r="G51" s="2171"/>
      <c r="H51" s="2170"/>
      <c r="I51" s="2170"/>
    </row>
    <row r="52" spans="2:9" s="2165" customFormat="1" ht="13.7" customHeight="1">
      <c r="B52" s="453" t="s">
        <v>96</v>
      </c>
      <c r="C52" s="448"/>
      <c r="D52" s="423"/>
      <c r="E52" s="424"/>
      <c r="F52" s="2173"/>
      <c r="G52" s="2171"/>
      <c r="H52" s="2170"/>
      <c r="I52" s="2170"/>
    </row>
    <row r="53" spans="2:9" s="2165" customFormat="1" ht="6.95" customHeight="1">
      <c r="B53" s="452"/>
      <c r="C53" s="448"/>
      <c r="D53" s="423"/>
      <c r="E53" s="424"/>
      <c r="F53" s="2173"/>
      <c r="G53" s="2171"/>
      <c r="H53" s="2170"/>
      <c r="I53" s="2170"/>
    </row>
    <row r="54" spans="2:9" s="2165" customFormat="1" ht="14.45" customHeight="1">
      <c r="B54" s="440" t="s">
        <v>97</v>
      </c>
      <c r="C54" s="448"/>
      <c r="D54" s="423"/>
      <c r="E54" s="441" t="s">
        <v>70</v>
      </c>
      <c r="F54" s="2172"/>
      <c r="G54" s="2171">
        <v>29.65</v>
      </c>
      <c r="H54" s="2170">
        <v>30.82</v>
      </c>
      <c r="I54" s="2170">
        <v>26.74</v>
      </c>
    </row>
    <row r="55" spans="2:9" s="2165" customFormat="1" ht="14.45" customHeight="1">
      <c r="B55" s="440" t="s">
        <v>98</v>
      </c>
      <c r="C55" s="448"/>
      <c r="D55" s="423"/>
      <c r="E55" s="441" t="s">
        <v>70</v>
      </c>
      <c r="F55" s="2172"/>
      <c r="G55" s="2171">
        <v>10.88</v>
      </c>
      <c r="H55" s="2170">
        <v>11.41</v>
      </c>
      <c r="I55" s="2170">
        <v>10.49</v>
      </c>
    </row>
    <row r="56" spans="2:9" s="2165" customFormat="1" ht="14.45" customHeight="1">
      <c r="B56" s="440" t="s">
        <v>1068</v>
      </c>
      <c r="C56" s="448"/>
      <c r="D56" s="423"/>
      <c r="E56" s="441" t="s">
        <v>70</v>
      </c>
      <c r="F56" s="2172"/>
      <c r="G56" s="2171">
        <v>16.71</v>
      </c>
      <c r="H56" s="2170">
        <v>17.809999999999999</v>
      </c>
      <c r="I56" s="2170">
        <v>16.29</v>
      </c>
    </row>
    <row r="57" spans="2:9" s="2165" customFormat="1" ht="14.45" customHeight="1">
      <c r="B57" s="440" t="s">
        <v>99</v>
      </c>
      <c r="C57" s="448"/>
      <c r="D57" s="423"/>
      <c r="E57" s="441" t="s">
        <v>70</v>
      </c>
      <c r="F57" s="2172"/>
      <c r="G57" s="2171">
        <v>15.51</v>
      </c>
      <c r="H57" s="2170">
        <v>15.95</v>
      </c>
      <c r="I57" s="2170">
        <v>15.24</v>
      </c>
    </row>
    <row r="58" spans="2:9" s="2165" customFormat="1" ht="14.45" customHeight="1">
      <c r="B58" s="440" t="s">
        <v>100</v>
      </c>
      <c r="C58" s="448"/>
      <c r="D58" s="423"/>
      <c r="E58" s="441" t="s">
        <v>70</v>
      </c>
      <c r="F58" s="2172"/>
      <c r="G58" s="2171">
        <v>39.75</v>
      </c>
      <c r="H58" s="2170">
        <v>42.1</v>
      </c>
      <c r="I58" s="2170">
        <v>38.18</v>
      </c>
    </row>
    <row r="59" spans="2:9" s="2165" customFormat="1" ht="14.45" customHeight="1">
      <c r="B59" s="440" t="s">
        <v>101</v>
      </c>
      <c r="C59" s="448"/>
      <c r="D59" s="423"/>
      <c r="E59" s="441" t="s">
        <v>70</v>
      </c>
      <c r="F59" s="2172"/>
      <c r="G59" s="2171">
        <v>35.19</v>
      </c>
      <c r="H59" s="2170">
        <v>35.729999999999997</v>
      </c>
      <c r="I59" s="2170">
        <v>34.200000000000003</v>
      </c>
    </row>
    <row r="60" spans="2:9" s="2165" customFormat="1" ht="14.45" customHeight="1">
      <c r="B60" s="440" t="s">
        <v>102</v>
      </c>
      <c r="C60" s="448"/>
      <c r="D60" s="423"/>
      <c r="E60" s="441" t="s">
        <v>70</v>
      </c>
      <c r="F60" s="2172"/>
      <c r="G60" s="2171">
        <v>14.42</v>
      </c>
      <c r="H60" s="2170">
        <v>14.92</v>
      </c>
      <c r="I60" s="2170">
        <v>14.41</v>
      </c>
    </row>
    <row r="61" spans="2:9" s="2165" customFormat="1" ht="14.45" customHeight="1">
      <c r="B61" s="440" t="s">
        <v>1316</v>
      </c>
      <c r="C61" s="448"/>
      <c r="D61" s="423"/>
      <c r="E61" s="441" t="s">
        <v>70</v>
      </c>
      <c r="F61" s="2172"/>
      <c r="G61" s="2171">
        <v>11.76</v>
      </c>
      <c r="H61" s="2170">
        <v>12.16</v>
      </c>
      <c r="I61" s="2170">
        <v>10.82</v>
      </c>
    </row>
    <row r="62" spans="2:9" s="2165" customFormat="1" ht="14.45" customHeight="1">
      <c r="B62" s="440" t="s">
        <v>1317</v>
      </c>
      <c r="C62" s="448"/>
      <c r="D62" s="423"/>
      <c r="E62" s="441" t="s">
        <v>70</v>
      </c>
      <c r="F62" s="2172"/>
      <c r="G62" s="2171">
        <v>19.489999999999998</v>
      </c>
      <c r="H62" s="2170">
        <v>19.09</v>
      </c>
      <c r="I62" s="2170">
        <v>17.48</v>
      </c>
    </row>
    <row r="63" spans="2:9" s="2165" customFormat="1" ht="14.45" customHeight="1">
      <c r="B63" s="440" t="s">
        <v>103</v>
      </c>
      <c r="C63" s="448"/>
      <c r="D63" s="423"/>
      <c r="E63" s="441" t="s">
        <v>70</v>
      </c>
      <c r="F63" s="2172"/>
      <c r="G63" s="2171">
        <v>9.27</v>
      </c>
      <c r="H63" s="2170">
        <v>9.66</v>
      </c>
      <c r="I63" s="2170">
        <v>9.58</v>
      </c>
    </row>
    <row r="64" spans="2:9" s="2165" customFormat="1" ht="14.45" customHeight="1">
      <c r="B64" s="440" t="s">
        <v>1318</v>
      </c>
      <c r="C64" s="448"/>
      <c r="D64" s="423"/>
      <c r="E64" s="441" t="s">
        <v>70</v>
      </c>
      <c r="F64" s="2172"/>
      <c r="G64" s="2171">
        <v>35.799999999999997</v>
      </c>
      <c r="H64" s="2170">
        <v>36.950000000000003</v>
      </c>
      <c r="I64" s="2170">
        <v>35.96</v>
      </c>
    </row>
    <row r="65" spans="2:9" s="2165" customFormat="1" ht="6.95" customHeight="1">
      <c r="B65" s="457"/>
      <c r="C65" s="448"/>
      <c r="D65" s="423"/>
      <c r="E65" s="424"/>
      <c r="F65" s="2173"/>
      <c r="G65" s="2171"/>
      <c r="H65" s="2170"/>
      <c r="I65" s="2170"/>
    </row>
    <row r="66" spans="2:9" s="2165" customFormat="1" ht="13.7" customHeight="1">
      <c r="B66" s="452" t="s">
        <v>104</v>
      </c>
      <c r="C66" s="448"/>
      <c r="D66" s="423"/>
      <c r="E66" s="424"/>
      <c r="F66" s="2173"/>
      <c r="G66" s="2171"/>
      <c r="H66" s="2170"/>
      <c r="I66" s="2170"/>
    </row>
    <row r="67" spans="2:9" s="2165" customFormat="1" ht="13.7" customHeight="1">
      <c r="B67" s="453" t="s">
        <v>105</v>
      </c>
      <c r="C67" s="448"/>
      <c r="D67" s="423"/>
      <c r="E67" s="424"/>
      <c r="F67" s="2173"/>
      <c r="G67" s="2171"/>
      <c r="H67" s="2170"/>
      <c r="I67" s="2170"/>
    </row>
    <row r="68" spans="2:9" s="2165" customFormat="1" ht="6.95" customHeight="1">
      <c r="B68" s="453"/>
      <c r="C68" s="448"/>
      <c r="D68" s="423"/>
      <c r="E68" s="424"/>
      <c r="F68" s="2173"/>
      <c r="G68" s="2171"/>
      <c r="H68" s="2170"/>
      <c r="I68" s="2170"/>
    </row>
    <row r="69" spans="2:9" s="2165" customFormat="1" ht="14.45" customHeight="1">
      <c r="B69" s="440" t="s">
        <v>106</v>
      </c>
      <c r="C69" s="448"/>
      <c r="D69" s="423"/>
      <c r="E69" s="441" t="s">
        <v>70</v>
      </c>
      <c r="F69" s="2172"/>
      <c r="G69" s="2171">
        <v>31.9</v>
      </c>
      <c r="H69" s="2170">
        <v>32.56</v>
      </c>
      <c r="I69" s="2170">
        <v>30.78</v>
      </c>
    </row>
    <row r="70" spans="2:9" s="2165" customFormat="1" ht="14.45" customHeight="1">
      <c r="B70" s="440" t="s">
        <v>107</v>
      </c>
      <c r="C70" s="448"/>
      <c r="D70" s="423"/>
      <c r="E70" s="441" t="s">
        <v>70</v>
      </c>
      <c r="F70" s="2172"/>
      <c r="G70" s="2171">
        <v>32.03</v>
      </c>
      <c r="H70" s="2170">
        <v>32.17</v>
      </c>
      <c r="I70" s="2170">
        <v>31.36</v>
      </c>
    </row>
    <row r="71" spans="2:9" s="2165" customFormat="1" ht="14.45" customHeight="1">
      <c r="B71" s="440" t="s">
        <v>2036</v>
      </c>
      <c r="C71" s="448"/>
      <c r="D71" s="423"/>
      <c r="E71" s="441" t="s">
        <v>70</v>
      </c>
      <c r="F71" s="2172"/>
      <c r="G71" s="2171">
        <v>32.25</v>
      </c>
      <c r="H71" s="2170">
        <v>34.08</v>
      </c>
      <c r="I71" s="2170">
        <v>33.979999999999997</v>
      </c>
    </row>
    <row r="72" spans="2:9" s="2165" customFormat="1" ht="6.95" customHeight="1">
      <c r="B72" s="457"/>
      <c r="C72" s="448"/>
      <c r="D72" s="423"/>
      <c r="E72" s="424"/>
      <c r="F72" s="2173"/>
      <c r="G72" s="2171"/>
      <c r="H72" s="2170"/>
      <c r="I72" s="2170"/>
    </row>
    <row r="73" spans="2:9" s="2165" customFormat="1" ht="13.7" customHeight="1">
      <c r="B73" s="452" t="s">
        <v>108</v>
      </c>
      <c r="C73" s="448"/>
      <c r="D73" s="423"/>
      <c r="E73" s="424"/>
      <c r="F73" s="2173"/>
      <c r="G73" s="2171"/>
      <c r="H73" s="2170"/>
      <c r="I73" s="2170"/>
    </row>
    <row r="74" spans="2:9" s="2165" customFormat="1" ht="13.7" customHeight="1">
      <c r="B74" s="453" t="s">
        <v>48</v>
      </c>
      <c r="C74" s="448"/>
      <c r="D74" s="423"/>
      <c r="E74" s="424"/>
      <c r="F74" s="2173"/>
      <c r="G74" s="2171"/>
      <c r="H74" s="2170"/>
      <c r="I74" s="2170"/>
    </row>
    <row r="75" spans="2:9" s="2165" customFormat="1" ht="6.95" customHeight="1">
      <c r="B75" s="453"/>
      <c r="C75" s="448"/>
      <c r="D75" s="423"/>
      <c r="E75" s="424"/>
      <c r="F75" s="2173"/>
      <c r="G75" s="2171"/>
      <c r="H75" s="2170"/>
      <c r="I75" s="2170"/>
    </row>
    <row r="76" spans="2:9" s="2165" customFormat="1" ht="14.45" customHeight="1">
      <c r="B76" s="445" t="s">
        <v>1185</v>
      </c>
      <c r="C76" s="448"/>
      <c r="D76" s="423"/>
      <c r="E76" s="441" t="s">
        <v>109</v>
      </c>
      <c r="F76" s="2172"/>
      <c r="G76" s="2171">
        <v>2.86</v>
      </c>
      <c r="H76" s="2170">
        <v>3.12</v>
      </c>
      <c r="I76" s="2170">
        <v>3.41</v>
      </c>
    </row>
    <row r="77" spans="2:9" s="2165" customFormat="1" ht="14.45" customHeight="1">
      <c r="B77" s="440" t="s">
        <v>110</v>
      </c>
      <c r="C77" s="448"/>
      <c r="D77" s="423"/>
      <c r="E77" s="441" t="s">
        <v>111</v>
      </c>
      <c r="F77" s="2172"/>
      <c r="G77" s="2171">
        <v>1.54</v>
      </c>
      <c r="H77" s="2170">
        <v>1.68</v>
      </c>
      <c r="I77" s="2170">
        <v>1.82</v>
      </c>
    </row>
    <row r="78" spans="2:9" s="2165" customFormat="1" ht="14.45" customHeight="1">
      <c r="B78" s="440" t="s">
        <v>112</v>
      </c>
      <c r="C78" s="448"/>
      <c r="D78" s="423"/>
      <c r="E78" s="441" t="s">
        <v>111</v>
      </c>
      <c r="F78" s="2172"/>
      <c r="G78" s="2171">
        <v>5.12</v>
      </c>
      <c r="H78" s="2170">
        <v>5.6</v>
      </c>
      <c r="I78" s="2170">
        <v>5.9</v>
      </c>
    </row>
    <row r="79" spans="2:9" s="2165" customFormat="1" ht="14.45" customHeight="1">
      <c r="B79" s="440" t="s">
        <v>113</v>
      </c>
      <c r="C79" s="448"/>
      <c r="D79" s="423"/>
      <c r="E79" s="441" t="s">
        <v>111</v>
      </c>
      <c r="F79" s="2172"/>
      <c r="G79" s="2171">
        <v>5.07</v>
      </c>
      <c r="H79" s="2170">
        <v>5.51</v>
      </c>
      <c r="I79" s="2170">
        <v>5.73</v>
      </c>
    </row>
    <row r="80" spans="2:9" s="2165" customFormat="1" ht="14.45" customHeight="1">
      <c r="B80" s="440" t="s">
        <v>114</v>
      </c>
      <c r="C80" s="448"/>
      <c r="D80" s="423"/>
      <c r="E80" s="441" t="s">
        <v>111</v>
      </c>
      <c r="F80" s="2172"/>
      <c r="G80" s="2171">
        <v>5.04</v>
      </c>
      <c r="H80" s="2170">
        <v>5.62</v>
      </c>
      <c r="I80" s="2170">
        <v>5.86</v>
      </c>
    </row>
    <row r="81" spans="1:9" s="2165" customFormat="1" ht="14.45" customHeight="1">
      <c r="B81" s="440" t="s">
        <v>115</v>
      </c>
      <c r="C81" s="448"/>
      <c r="D81" s="423"/>
      <c r="E81" s="441" t="s">
        <v>111</v>
      </c>
      <c r="F81" s="2172"/>
      <c r="G81" s="2171">
        <v>8.39</v>
      </c>
      <c r="H81" s="2170">
        <v>9.0399999999999991</v>
      </c>
      <c r="I81" s="2170">
        <v>9.18</v>
      </c>
    </row>
    <row r="82" spans="1:9" s="2165" customFormat="1" ht="14.45" customHeight="1">
      <c r="B82" s="445" t="s">
        <v>1186</v>
      </c>
      <c r="C82" s="448"/>
      <c r="D82" s="423"/>
      <c r="E82" s="441" t="s">
        <v>116</v>
      </c>
      <c r="F82" s="2172"/>
      <c r="G82" s="2171">
        <v>1.28</v>
      </c>
      <c r="H82" s="2170">
        <v>1.42</v>
      </c>
      <c r="I82" s="2170">
        <v>1.46</v>
      </c>
    </row>
    <row r="83" spans="1:9" s="2165" customFormat="1" ht="14.45" customHeight="1">
      <c r="B83" s="440" t="s">
        <v>1148</v>
      </c>
      <c r="C83" s="448"/>
      <c r="D83" s="423"/>
      <c r="E83" s="441" t="s">
        <v>2047</v>
      </c>
      <c r="F83" s="2172"/>
      <c r="G83" s="2170" t="s">
        <v>204</v>
      </c>
      <c r="H83" s="2170" t="s">
        <v>204</v>
      </c>
      <c r="I83" s="2170">
        <v>1.45</v>
      </c>
    </row>
    <row r="84" spans="1:9" s="2165" customFormat="1" ht="14.45" customHeight="1">
      <c r="B84" s="440" t="s">
        <v>117</v>
      </c>
      <c r="C84" s="448"/>
      <c r="D84" s="423"/>
      <c r="E84" s="441" t="s">
        <v>118</v>
      </c>
      <c r="F84" s="2172"/>
      <c r="G84" s="2171">
        <v>0.83</v>
      </c>
      <c r="H84" s="2170">
        <v>0.9</v>
      </c>
      <c r="I84" s="2170">
        <v>0.93</v>
      </c>
    </row>
    <row r="85" spans="1:9" s="2165" customFormat="1" ht="14.45" customHeight="1">
      <c r="B85" s="440" t="s">
        <v>119</v>
      </c>
      <c r="C85" s="448"/>
      <c r="D85" s="423"/>
      <c r="E85" s="441" t="s">
        <v>111</v>
      </c>
      <c r="F85" s="2172"/>
      <c r="G85" s="2171">
        <v>5.24</v>
      </c>
      <c r="H85" s="2170">
        <v>5.86</v>
      </c>
      <c r="I85" s="2170">
        <v>6.21</v>
      </c>
    </row>
    <row r="86" spans="1:9" s="2165" customFormat="1" ht="14.45" customHeight="1">
      <c r="B86" s="445" t="s">
        <v>1187</v>
      </c>
      <c r="C86" s="448"/>
      <c r="D86" s="423"/>
      <c r="E86" s="441" t="s">
        <v>2052</v>
      </c>
      <c r="F86" s="2172"/>
      <c r="G86" s="2171">
        <v>1.55</v>
      </c>
      <c r="H86" s="2170">
        <v>1.63</v>
      </c>
      <c r="I86" s="2170">
        <v>1.88</v>
      </c>
    </row>
    <row r="87" spans="1:9" s="2165" customFormat="1" ht="14.45" customHeight="1">
      <c r="B87" s="445" t="s">
        <v>1188</v>
      </c>
      <c r="C87" s="448"/>
      <c r="D87" s="423"/>
      <c r="E87" s="441" t="s">
        <v>2052</v>
      </c>
      <c r="F87" s="2172"/>
      <c r="G87" s="2171">
        <v>1.3</v>
      </c>
      <c r="H87" s="2170">
        <v>1.38</v>
      </c>
      <c r="I87" s="2170">
        <v>1.59</v>
      </c>
    </row>
    <row r="88" spans="1:9" s="2165" customFormat="1" ht="14.45" customHeight="1">
      <c r="B88" s="445" t="s">
        <v>1189</v>
      </c>
      <c r="C88" s="448"/>
      <c r="D88" s="423"/>
      <c r="E88" s="441" t="s">
        <v>2052</v>
      </c>
      <c r="F88" s="2172"/>
      <c r="G88" s="2171">
        <v>1.3</v>
      </c>
      <c r="H88" s="2170">
        <v>1.36</v>
      </c>
      <c r="I88" s="2170">
        <v>1.53</v>
      </c>
    </row>
    <row r="89" spans="1:9" s="2165" customFormat="1" ht="14.45" customHeight="1">
      <c r="B89" s="445" t="s">
        <v>1190</v>
      </c>
      <c r="C89" s="448"/>
      <c r="D89" s="423"/>
      <c r="E89" s="441" t="s">
        <v>2052</v>
      </c>
      <c r="F89" s="2172"/>
      <c r="G89" s="2171">
        <v>2.12</v>
      </c>
      <c r="H89" s="2170">
        <v>2.27</v>
      </c>
      <c r="I89" s="2170">
        <v>2.57</v>
      </c>
    </row>
    <row r="90" spans="1:9" s="2165" customFormat="1" ht="8.1" customHeight="1" thickBot="1">
      <c r="A90" s="2169"/>
      <c r="B90" s="458"/>
      <c r="C90" s="458"/>
      <c r="D90" s="458"/>
      <c r="E90" s="458"/>
      <c r="F90" s="2168"/>
      <c r="G90" s="2167"/>
      <c r="H90" s="2167"/>
      <c r="I90" s="2166"/>
    </row>
    <row r="91" spans="1:9" ht="14.1" customHeight="1">
      <c r="B91" s="412"/>
      <c r="C91" s="412"/>
      <c r="D91" s="412"/>
      <c r="E91" s="412"/>
      <c r="G91" s="126"/>
      <c r="H91" s="126"/>
      <c r="I91" s="148" t="s">
        <v>0</v>
      </c>
    </row>
    <row r="92" spans="1:9" ht="13.5" customHeight="1">
      <c r="B92" s="412"/>
      <c r="C92" s="412"/>
      <c r="D92" s="412"/>
      <c r="E92" s="412"/>
      <c r="G92" s="126"/>
      <c r="H92" s="126"/>
      <c r="I92" s="1821" t="s">
        <v>1</v>
      </c>
    </row>
    <row r="93" spans="1:9" ht="12" customHeight="1">
      <c r="B93" s="384" t="s">
        <v>2</v>
      </c>
    </row>
    <row r="94" spans="1:9" ht="12" customHeight="1">
      <c r="B94" s="25" t="s">
        <v>1149</v>
      </c>
    </row>
    <row r="95" spans="1:9" s="85" customFormat="1" ht="12" customHeight="1">
      <c r="B95" s="1715" t="s">
        <v>1150</v>
      </c>
      <c r="I95" s="772"/>
    </row>
    <row r="96" spans="1:9" ht="12" customHeight="1">
      <c r="B96" s="25" t="s">
        <v>1151</v>
      </c>
    </row>
    <row r="97" spans="2:9" s="85" customFormat="1" ht="14.25" customHeight="1">
      <c r="B97" s="1715" t="s">
        <v>1152</v>
      </c>
      <c r="I97" s="772"/>
    </row>
  </sheetData>
  <mergeCells count="3">
    <mergeCell ref="C1:H1"/>
    <mergeCell ref="C2:H2"/>
    <mergeCell ref="B5:C7"/>
  </mergeCells>
  <conditionalFormatting sqref="C14:C31">
    <cfRule type="cellIs" dxfId="26" priority="2" stopIfTrue="1" operator="lessThan">
      <formula>0</formula>
    </cfRule>
  </conditionalFormatting>
  <conditionalFormatting sqref="D32:F35">
    <cfRule type="cellIs" dxfId="25" priority="1" stopIfTrue="1" operator="lessThan">
      <formula>0</formula>
    </cfRule>
  </conditionalFormatting>
  <pageMargins left="0.7" right="0.7" top="0.75" bottom="0.75" header="0.3" footer="0.3"/>
  <pageSetup paperSize="9" scale="60" orientation="portrait"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EA97F-540D-4A21-BD93-5A4914130992}">
  <sheetPr>
    <tabColor theme="4" tint="0.39997558519241921"/>
  </sheetPr>
  <dimension ref="A1:L91"/>
  <sheetViews>
    <sheetView view="pageBreakPreview" zoomScaleNormal="100" zoomScaleSheetLayoutView="100" workbookViewId="0">
      <selection activeCell="C78" sqref="C78"/>
    </sheetView>
  </sheetViews>
  <sheetFormatPr defaultColWidth="9.140625" defaultRowHeight="16.5"/>
  <cols>
    <col min="1" max="1" width="3.85546875" style="66" customWidth="1"/>
    <col min="2" max="2" width="9.140625" style="66"/>
    <col min="3" max="3" width="55.140625" style="66" customWidth="1"/>
    <col min="4" max="4" width="4.140625" style="66" customWidth="1"/>
    <col min="5" max="5" width="14" style="66" customWidth="1"/>
    <col min="6" max="6" width="4.7109375" style="66" customWidth="1"/>
    <col min="7" max="7" width="2.5703125" style="66" customWidth="1"/>
    <col min="8" max="8" width="13.7109375" style="66" customWidth="1"/>
    <col min="9" max="10" width="10.7109375" style="66" customWidth="1"/>
    <col min="11" max="11" width="10.7109375" style="68" customWidth="1"/>
    <col min="12" max="16384" width="9.140625" style="66"/>
  </cols>
  <sheetData>
    <row r="1" spans="1:12" s="2195" customFormat="1" ht="17.25" customHeight="1">
      <c r="A1" s="2203"/>
      <c r="B1" s="2202" t="s">
        <v>1834</v>
      </c>
      <c r="C1" s="2644" t="s">
        <v>1836</v>
      </c>
      <c r="D1" s="2644"/>
      <c r="E1" s="2644"/>
      <c r="F1" s="2644"/>
      <c r="G1" s="2644"/>
      <c r="H1" s="2644"/>
      <c r="I1" s="2644"/>
      <c r="J1" s="2644"/>
      <c r="K1" s="2200"/>
    </row>
    <row r="2" spans="1:12" s="2195" customFormat="1" ht="3.4" customHeight="1">
      <c r="A2" s="2203"/>
      <c r="B2" s="2215"/>
      <c r="C2" s="2644"/>
      <c r="D2" s="2644"/>
      <c r="E2" s="2644"/>
      <c r="F2" s="2644"/>
      <c r="G2" s="2644"/>
      <c r="H2" s="2644"/>
      <c r="I2" s="2644"/>
      <c r="J2" s="2644"/>
      <c r="K2" s="2200"/>
    </row>
    <row r="3" spans="1:12" s="2195" customFormat="1" ht="17.25" customHeight="1">
      <c r="B3" s="2201" t="s">
        <v>1832</v>
      </c>
      <c r="C3" s="2645" t="s">
        <v>1835</v>
      </c>
      <c r="D3" s="2645"/>
      <c r="E3" s="2645"/>
      <c r="F3" s="2645"/>
      <c r="G3" s="2645"/>
      <c r="H3" s="2645"/>
      <c r="I3" s="2645"/>
      <c r="J3" s="2645"/>
      <c r="K3" s="2200"/>
    </row>
    <row r="4" spans="1:12" s="2195" customFormat="1" ht="6.75" customHeight="1">
      <c r="B4" s="2201"/>
      <c r="C4" s="2645"/>
      <c r="D4" s="2645"/>
      <c r="E4" s="2645"/>
      <c r="F4" s="2645"/>
      <c r="G4" s="2645"/>
      <c r="H4" s="2645"/>
      <c r="I4" s="2645"/>
      <c r="J4" s="2645"/>
      <c r="K4" s="2200"/>
    </row>
    <row r="5" spans="1:12" s="2195" customFormat="1" ht="4.5" customHeight="1" thickBot="1">
      <c r="A5" s="2199"/>
      <c r="B5" s="2199"/>
      <c r="C5" s="2199"/>
      <c r="D5" s="2199"/>
      <c r="E5" s="2199"/>
      <c r="F5" s="2198"/>
      <c r="G5" s="2199"/>
      <c r="H5" s="2199"/>
      <c r="I5" s="2197"/>
      <c r="J5" s="2197"/>
      <c r="K5" s="2196"/>
    </row>
    <row r="6" spans="1:12" s="2165" customFormat="1" ht="5.25" customHeight="1">
      <c r="F6" s="2173"/>
      <c r="I6" s="2194"/>
      <c r="J6" s="2194"/>
      <c r="K6" s="2182"/>
    </row>
    <row r="7" spans="1:12" s="2165" customFormat="1" ht="22.5" customHeight="1">
      <c r="A7" s="2192"/>
      <c r="B7" s="2646" t="s">
        <v>67</v>
      </c>
      <c r="C7" s="2646"/>
      <c r="D7" s="2191"/>
      <c r="E7" s="2191"/>
      <c r="F7" s="2191"/>
      <c r="G7" s="2191"/>
      <c r="H7" s="2190"/>
      <c r="I7" s="2190">
        <v>2023</v>
      </c>
      <c r="J7" s="2190">
        <v>2024</v>
      </c>
      <c r="K7" s="2193">
        <v>2025</v>
      </c>
      <c r="L7" s="2181"/>
    </row>
    <row r="8" spans="1:12" s="2165" customFormat="1" ht="5.25" customHeight="1">
      <c r="A8" s="2192"/>
      <c r="B8" s="2646"/>
      <c r="C8" s="2646"/>
      <c r="D8" s="2191"/>
      <c r="E8" s="2191"/>
      <c r="F8" s="2191"/>
      <c r="G8" s="2191"/>
      <c r="H8" s="2191"/>
      <c r="I8" s="2190"/>
      <c r="J8" s="2190"/>
      <c r="K8" s="2189"/>
      <c r="L8" s="2181"/>
    </row>
    <row r="9" spans="1:12" s="2165" customFormat="1" ht="10.5" customHeight="1" thickBot="1">
      <c r="A9" s="2188"/>
      <c r="B9" s="2647"/>
      <c r="C9" s="2647"/>
      <c r="D9" s="2186"/>
      <c r="E9" s="2186"/>
      <c r="F9" s="2187"/>
      <c r="G9" s="2186"/>
      <c r="H9" s="2186"/>
      <c r="I9" s="2186"/>
      <c r="J9" s="2186"/>
      <c r="K9" s="2185"/>
      <c r="L9" s="2181"/>
    </row>
    <row r="10" spans="1:12" s="2165" customFormat="1" ht="9.75" customHeight="1">
      <c r="B10" s="2184"/>
      <c r="C10" s="2181"/>
      <c r="D10" s="2181"/>
      <c r="E10" s="2181"/>
      <c r="F10" s="2181"/>
      <c r="G10" s="2192"/>
      <c r="H10" s="2183"/>
      <c r="I10" s="2183"/>
      <c r="J10" s="2183"/>
      <c r="K10" s="2182"/>
      <c r="L10" s="2181"/>
    </row>
    <row r="11" spans="1:12" s="2165" customFormat="1" ht="15.4" customHeight="1">
      <c r="B11" s="452" t="s">
        <v>120</v>
      </c>
      <c r="C11" s="448"/>
      <c r="D11" s="423"/>
      <c r="E11" s="424"/>
      <c r="F11" s="2173"/>
      <c r="H11" s="2211"/>
      <c r="I11" s="2214"/>
      <c r="J11" s="2214"/>
      <c r="K11" s="2182"/>
    </row>
    <row r="12" spans="1:12" s="2165" customFormat="1" ht="15.4" customHeight="1">
      <c r="B12" s="453" t="s">
        <v>121</v>
      </c>
      <c r="C12" s="448"/>
      <c r="D12" s="423"/>
      <c r="E12" s="424"/>
      <c r="F12" s="2173"/>
      <c r="H12" s="2211"/>
      <c r="I12" s="2214"/>
      <c r="J12" s="2214"/>
      <c r="K12" s="2182"/>
    </row>
    <row r="13" spans="1:12" s="2165" customFormat="1" ht="8.25" customHeight="1">
      <c r="B13" s="466"/>
      <c r="C13" s="448"/>
      <c r="D13" s="423"/>
      <c r="E13" s="424"/>
      <c r="F13" s="2173"/>
      <c r="H13" s="2211"/>
      <c r="I13" s="2214"/>
      <c r="J13" s="2214"/>
      <c r="K13" s="2182"/>
    </row>
    <row r="14" spans="1:12" s="2165" customFormat="1" ht="14.25" customHeight="1">
      <c r="B14" s="440" t="s">
        <v>122</v>
      </c>
      <c r="C14" s="448"/>
      <c r="D14" s="423"/>
      <c r="E14" s="441" t="s">
        <v>124</v>
      </c>
      <c r="F14" s="2172"/>
      <c r="G14" s="2184"/>
      <c r="H14" s="2211"/>
      <c r="I14" s="2171">
        <v>127.11</v>
      </c>
      <c r="J14" s="2170">
        <v>140.94999999999999</v>
      </c>
      <c r="K14" s="2170">
        <v>141.30000000000001</v>
      </c>
    </row>
    <row r="15" spans="1:12" s="2165" customFormat="1" ht="28.5" customHeight="1">
      <c r="B15" s="2648" t="s">
        <v>123</v>
      </c>
      <c r="C15" s="2648"/>
      <c r="D15" s="423"/>
      <c r="E15" s="441" t="s">
        <v>124</v>
      </c>
      <c r="F15" s="2172"/>
      <c r="G15" s="2184"/>
      <c r="H15" s="2211"/>
      <c r="I15" s="2171">
        <v>1432.19</v>
      </c>
      <c r="J15" s="2170">
        <v>1461.76</v>
      </c>
      <c r="K15" s="2170">
        <v>1455.45</v>
      </c>
    </row>
    <row r="16" spans="1:12" s="2165" customFormat="1" ht="14.25" customHeight="1">
      <c r="B16" s="440" t="s">
        <v>1153</v>
      </c>
      <c r="C16" s="448"/>
      <c r="D16" s="423"/>
      <c r="E16" s="441" t="s">
        <v>124</v>
      </c>
      <c r="F16" s="2172"/>
      <c r="G16" s="2184"/>
      <c r="H16" s="2211"/>
      <c r="I16" s="2171" t="s">
        <v>204</v>
      </c>
      <c r="J16" s="2171" t="s">
        <v>204</v>
      </c>
      <c r="K16" s="2170">
        <v>1182.49</v>
      </c>
    </row>
    <row r="17" spans="2:11" s="2165" customFormat="1" ht="9.75" customHeight="1">
      <c r="B17" s="457"/>
      <c r="C17" s="448"/>
      <c r="D17" s="423"/>
      <c r="E17" s="424"/>
      <c r="F17" s="2173"/>
      <c r="H17" s="2211"/>
      <c r="I17" s="2171"/>
      <c r="J17" s="2170"/>
      <c r="K17" s="2170"/>
    </row>
    <row r="18" spans="2:11" s="2165" customFormat="1" ht="15.4" customHeight="1">
      <c r="B18" s="438" t="s">
        <v>125</v>
      </c>
      <c r="C18" s="448"/>
      <c r="D18" s="423"/>
      <c r="E18" s="424"/>
      <c r="F18" s="2173"/>
      <c r="H18" s="2211"/>
      <c r="I18" s="2171"/>
      <c r="J18" s="2170"/>
      <c r="K18" s="2170"/>
    </row>
    <row r="19" spans="2:11" s="2165" customFormat="1" ht="15.4" customHeight="1">
      <c r="B19" s="439" t="s">
        <v>126</v>
      </c>
      <c r="C19" s="448"/>
      <c r="D19" s="423"/>
      <c r="E19" s="424"/>
      <c r="F19" s="2173"/>
      <c r="H19" s="2211"/>
      <c r="I19" s="2171"/>
      <c r="J19" s="2170"/>
      <c r="K19" s="2170"/>
    </row>
    <row r="20" spans="2:11" s="2165" customFormat="1" ht="8.25" customHeight="1">
      <c r="B20" s="439"/>
      <c r="C20" s="448"/>
      <c r="D20" s="423"/>
      <c r="E20" s="424"/>
      <c r="F20" s="2173"/>
      <c r="H20" s="2211"/>
      <c r="I20" s="2171"/>
      <c r="J20" s="2170"/>
      <c r="K20" s="2170"/>
    </row>
    <row r="21" spans="2:11" s="2165" customFormat="1" ht="14.25" customHeight="1">
      <c r="B21" s="440" t="s">
        <v>127</v>
      </c>
      <c r="C21" s="448"/>
      <c r="D21" s="423"/>
      <c r="E21" s="441" t="s">
        <v>128</v>
      </c>
      <c r="F21" s="2172"/>
      <c r="G21" s="2184"/>
      <c r="H21" s="2211"/>
      <c r="I21" s="2171">
        <v>32.200000000000003</v>
      </c>
      <c r="J21" s="2170">
        <v>33.354999999999997</v>
      </c>
      <c r="K21" s="2170">
        <v>33.049999999999997</v>
      </c>
    </row>
    <row r="22" spans="2:11" s="2165" customFormat="1" ht="14.25" customHeight="1">
      <c r="B22" s="440" t="s">
        <v>2038</v>
      </c>
      <c r="C22" s="448"/>
      <c r="D22" s="423"/>
      <c r="E22" s="441" t="s">
        <v>129</v>
      </c>
      <c r="F22" s="2172"/>
      <c r="G22" s="2184"/>
      <c r="H22" s="2211"/>
      <c r="I22" s="2170" t="s">
        <v>204</v>
      </c>
      <c r="J22" s="2170" t="s">
        <v>204</v>
      </c>
      <c r="K22" s="2170">
        <v>11.05</v>
      </c>
    </row>
    <row r="23" spans="2:11" s="2165" customFormat="1" ht="9.75" customHeight="1">
      <c r="B23" s="457"/>
      <c r="C23" s="448"/>
      <c r="D23" s="423"/>
      <c r="E23" s="424"/>
      <c r="F23" s="2173"/>
      <c r="H23" s="2211"/>
      <c r="I23" s="2171"/>
      <c r="J23" s="2170"/>
      <c r="K23" s="2170"/>
    </row>
    <row r="24" spans="2:11" s="2165" customFormat="1" ht="15.4" customHeight="1">
      <c r="B24" s="438" t="s">
        <v>130</v>
      </c>
      <c r="C24" s="448"/>
      <c r="D24" s="423"/>
      <c r="E24" s="424"/>
      <c r="F24" s="2173"/>
      <c r="H24" s="2211"/>
      <c r="I24" s="2171"/>
      <c r="J24" s="2170"/>
      <c r="K24" s="2170"/>
    </row>
    <row r="25" spans="2:11" s="2165" customFormat="1" ht="15.4" customHeight="1">
      <c r="B25" s="439" t="s">
        <v>131</v>
      </c>
      <c r="C25" s="448"/>
      <c r="D25" s="423"/>
      <c r="E25" s="424"/>
      <c r="F25" s="2173"/>
      <c r="H25" s="2211"/>
      <c r="I25" s="2171"/>
      <c r="J25" s="2170"/>
      <c r="K25" s="2170"/>
    </row>
    <row r="26" spans="2:11" s="2165" customFormat="1" ht="8.25" customHeight="1">
      <c r="B26" s="438"/>
      <c r="C26" s="448"/>
      <c r="D26" s="423"/>
      <c r="E26" s="424"/>
      <c r="F26" s="2173"/>
      <c r="H26" s="2211"/>
      <c r="I26" s="2171"/>
      <c r="J26" s="2170"/>
      <c r="K26" s="2170"/>
    </row>
    <row r="27" spans="2:11" s="2165" customFormat="1" ht="14.25" customHeight="1">
      <c r="B27" s="440" t="s">
        <v>132</v>
      </c>
      <c r="C27" s="448"/>
      <c r="D27" s="423"/>
      <c r="E27" s="441" t="s">
        <v>133</v>
      </c>
      <c r="F27" s="2172"/>
      <c r="H27" s="2211"/>
      <c r="I27" s="2171">
        <v>7.31</v>
      </c>
      <c r="J27" s="2170">
        <v>7.51</v>
      </c>
      <c r="K27" s="2170">
        <v>7.79</v>
      </c>
    </row>
    <row r="28" spans="2:11" s="2165" customFormat="1" ht="14.25" customHeight="1">
      <c r="B28" s="440" t="s">
        <v>134</v>
      </c>
      <c r="C28" s="448"/>
      <c r="D28" s="423"/>
      <c r="E28" s="441" t="s">
        <v>135</v>
      </c>
      <c r="F28" s="2172"/>
      <c r="H28" s="2211"/>
      <c r="I28" s="2171">
        <v>3.41</v>
      </c>
      <c r="J28" s="2170">
        <v>3.895</v>
      </c>
      <c r="K28" s="2170">
        <v>3.85</v>
      </c>
    </row>
    <row r="29" spans="2:11" s="2165" customFormat="1" ht="14.25" customHeight="1">
      <c r="B29" s="440" t="s">
        <v>1976</v>
      </c>
      <c r="C29" s="448"/>
      <c r="D29" s="423"/>
      <c r="E29" s="441" t="s">
        <v>136</v>
      </c>
      <c r="F29" s="2172"/>
      <c r="H29" s="2211"/>
      <c r="I29" s="2171">
        <v>25.73</v>
      </c>
      <c r="J29" s="2170">
        <v>27.41</v>
      </c>
      <c r="K29" s="2170">
        <v>28.63</v>
      </c>
    </row>
    <row r="30" spans="2:11" s="2165" customFormat="1" ht="27" customHeight="1">
      <c r="B30" s="440" t="s">
        <v>1973</v>
      </c>
      <c r="C30" s="448"/>
      <c r="D30" s="423"/>
      <c r="E30" s="464" t="s">
        <v>1974</v>
      </c>
      <c r="F30" s="2172"/>
      <c r="H30" s="2211"/>
      <c r="I30" s="2171">
        <v>11.17</v>
      </c>
      <c r="J30" s="2170">
        <v>11.62</v>
      </c>
      <c r="K30" s="2170">
        <v>11.77</v>
      </c>
    </row>
    <row r="31" spans="2:11" s="2165" customFormat="1" ht="9.75" customHeight="1">
      <c r="B31" s="457"/>
      <c r="C31" s="448"/>
      <c r="D31" s="423"/>
      <c r="E31" s="424"/>
      <c r="F31" s="2173"/>
      <c r="H31" s="2211"/>
      <c r="I31" s="2171"/>
      <c r="J31" s="2170"/>
      <c r="K31" s="2170"/>
    </row>
    <row r="32" spans="2:11" s="2165" customFormat="1" ht="15.4" customHeight="1">
      <c r="B32" s="438" t="s">
        <v>137</v>
      </c>
      <c r="C32" s="448"/>
      <c r="D32" s="423"/>
      <c r="E32" s="424"/>
      <c r="F32" s="2173"/>
      <c r="H32" s="2211"/>
      <c r="I32" s="2171"/>
      <c r="J32" s="2170"/>
      <c r="K32" s="2170"/>
    </row>
    <row r="33" spans="2:11" s="2165" customFormat="1" ht="15.4" customHeight="1">
      <c r="B33" s="439" t="s">
        <v>138</v>
      </c>
      <c r="C33" s="448"/>
      <c r="D33" s="423"/>
      <c r="E33" s="424"/>
      <c r="F33" s="2173"/>
      <c r="H33" s="2211"/>
      <c r="I33" s="2171"/>
      <c r="J33" s="2170"/>
      <c r="K33" s="2170"/>
    </row>
    <row r="34" spans="2:11" s="2165" customFormat="1" ht="8.25" customHeight="1">
      <c r="B34" s="439"/>
      <c r="C34" s="448"/>
      <c r="D34" s="423"/>
      <c r="E34" s="424"/>
      <c r="F34" s="2173"/>
      <c r="H34" s="2211"/>
      <c r="I34" s="2171"/>
      <c r="J34" s="2170"/>
      <c r="K34" s="2170"/>
    </row>
    <row r="35" spans="2:11" s="2165" customFormat="1" ht="14.25" customHeight="1">
      <c r="B35" s="440" t="s">
        <v>139</v>
      </c>
      <c r="C35" s="448"/>
      <c r="D35" s="423"/>
      <c r="E35" s="441" t="s">
        <v>140</v>
      </c>
      <c r="F35" s="2172"/>
      <c r="G35" s="2184"/>
      <c r="H35" s="2211"/>
      <c r="I35" s="2171">
        <v>6.54</v>
      </c>
      <c r="J35" s="2170">
        <v>6.69</v>
      </c>
      <c r="K35" s="2170">
        <v>7.24</v>
      </c>
    </row>
    <row r="36" spans="2:11" s="2165" customFormat="1" ht="14.25" customHeight="1">
      <c r="B36" s="445" t="s">
        <v>141</v>
      </c>
      <c r="C36" s="448"/>
      <c r="D36" s="423"/>
      <c r="E36" s="441" t="s">
        <v>142</v>
      </c>
      <c r="F36" s="2172"/>
      <c r="G36" s="2184"/>
      <c r="H36" s="2211"/>
      <c r="I36" s="2171">
        <v>4.71</v>
      </c>
      <c r="J36" s="2170">
        <v>4.6399999999999997</v>
      </c>
      <c r="K36" s="2170">
        <v>4.6500000000000004</v>
      </c>
    </row>
    <row r="37" spans="2:11" s="2165" customFormat="1" ht="9.75" customHeight="1">
      <c r="B37" s="457"/>
      <c r="C37" s="448"/>
      <c r="D37" s="423"/>
      <c r="E37" s="424"/>
      <c r="F37" s="2173"/>
      <c r="H37" s="2211"/>
      <c r="I37" s="2171"/>
      <c r="J37" s="2170"/>
      <c r="K37" s="2170"/>
    </row>
    <row r="38" spans="2:11" s="2165" customFormat="1" ht="15.4" customHeight="1">
      <c r="B38" s="438" t="s">
        <v>143</v>
      </c>
      <c r="C38" s="448"/>
      <c r="D38" s="423"/>
      <c r="E38" s="424"/>
      <c r="F38" s="2173"/>
      <c r="H38" s="2211"/>
      <c r="I38" s="2171"/>
      <c r="J38" s="2170"/>
      <c r="K38" s="2170"/>
    </row>
    <row r="39" spans="2:11" s="2165" customFormat="1" ht="15.4" customHeight="1">
      <c r="B39" s="439" t="s">
        <v>144</v>
      </c>
      <c r="C39" s="448"/>
      <c r="D39" s="423"/>
      <c r="E39" s="424"/>
      <c r="F39" s="2173"/>
      <c r="H39" s="2211"/>
      <c r="I39" s="2171"/>
      <c r="J39" s="2170"/>
      <c r="K39" s="2170"/>
    </row>
    <row r="40" spans="2:11" s="2165" customFormat="1" ht="8.25" customHeight="1">
      <c r="B40" s="438"/>
      <c r="C40" s="448"/>
      <c r="D40" s="423"/>
      <c r="E40" s="424"/>
      <c r="F40" s="2173"/>
      <c r="H40" s="2211"/>
      <c r="I40" s="2171"/>
      <c r="J40" s="2170"/>
      <c r="K40" s="2170"/>
    </row>
    <row r="41" spans="2:11" s="2165" customFormat="1" ht="14.25" customHeight="1">
      <c r="B41" s="440" t="s">
        <v>145</v>
      </c>
      <c r="C41" s="448"/>
      <c r="D41" s="423"/>
      <c r="E41" s="441" t="s">
        <v>146</v>
      </c>
      <c r="F41" s="2172"/>
      <c r="H41" s="2211"/>
      <c r="I41" s="2171">
        <v>8.42</v>
      </c>
      <c r="J41" s="2170">
        <v>9.1850000000000005</v>
      </c>
      <c r="K41" s="2170">
        <v>9.44</v>
      </c>
    </row>
    <row r="42" spans="2:11" s="2165" customFormat="1" ht="14.25" customHeight="1">
      <c r="B42" s="440" t="s">
        <v>147</v>
      </c>
      <c r="C42" s="448"/>
      <c r="D42" s="423"/>
      <c r="E42" s="441" t="s">
        <v>148</v>
      </c>
      <c r="F42" s="2172"/>
      <c r="H42" s="2211"/>
      <c r="I42" s="2171">
        <v>26.27</v>
      </c>
      <c r="J42" s="2170">
        <v>23.94</v>
      </c>
      <c r="K42" s="2170">
        <v>21.8</v>
      </c>
    </row>
    <row r="43" spans="2:11" s="2165" customFormat="1" ht="14.25" customHeight="1">
      <c r="B43" s="440" t="s">
        <v>149</v>
      </c>
      <c r="C43" s="448"/>
      <c r="D43" s="423"/>
      <c r="E43" s="441" t="s">
        <v>150</v>
      </c>
      <c r="F43" s="2172"/>
      <c r="H43" s="2211"/>
      <c r="I43" s="2171">
        <v>30.79</v>
      </c>
      <c r="J43" s="2170">
        <v>30.17</v>
      </c>
      <c r="K43" s="2170">
        <v>29.42</v>
      </c>
    </row>
    <row r="44" spans="2:11" s="2165" customFormat="1" ht="14.25" customHeight="1">
      <c r="B44" s="440" t="s">
        <v>147</v>
      </c>
      <c r="C44" s="448"/>
      <c r="D44" s="423"/>
      <c r="E44" s="441" t="s">
        <v>151</v>
      </c>
      <c r="F44" s="2172"/>
      <c r="H44" s="2211"/>
      <c r="I44" s="2171">
        <v>6.95</v>
      </c>
      <c r="J44" s="2170">
        <v>6.85</v>
      </c>
      <c r="K44" s="2170">
        <v>7.23</v>
      </c>
    </row>
    <row r="45" spans="2:11" s="2165" customFormat="1" ht="9.75" customHeight="1">
      <c r="B45" s="457"/>
      <c r="C45" s="448"/>
      <c r="D45" s="423"/>
      <c r="E45" s="424"/>
      <c r="F45" s="2173"/>
      <c r="H45" s="2211"/>
      <c r="I45" s="2171"/>
      <c r="J45" s="2170"/>
      <c r="K45" s="2170"/>
    </row>
    <row r="46" spans="2:11" s="2165" customFormat="1" ht="15.4" customHeight="1">
      <c r="B46" s="438" t="s">
        <v>152</v>
      </c>
      <c r="C46" s="448"/>
      <c r="D46" s="423"/>
      <c r="E46" s="424"/>
      <c r="F46" s="2173"/>
      <c r="H46" s="2211"/>
      <c r="I46" s="2171"/>
      <c r="J46" s="2170"/>
      <c r="K46" s="2170"/>
    </row>
    <row r="47" spans="2:11" s="2165" customFormat="1" ht="15.4" customHeight="1">
      <c r="B47" s="439" t="s">
        <v>153</v>
      </c>
      <c r="C47" s="448"/>
      <c r="D47" s="423"/>
      <c r="E47" s="424"/>
      <c r="F47" s="2173"/>
      <c r="H47" s="2211"/>
      <c r="I47" s="2171"/>
      <c r="J47" s="2170"/>
      <c r="K47" s="2170"/>
    </row>
    <row r="48" spans="2:11" s="2165" customFormat="1" ht="8.25" customHeight="1">
      <c r="B48" s="439"/>
      <c r="C48" s="448"/>
      <c r="D48" s="423"/>
      <c r="E48" s="424"/>
      <c r="F48" s="2173"/>
      <c r="H48" s="2211"/>
      <c r="I48" s="2171"/>
      <c r="J48" s="2170"/>
      <c r="K48" s="2170"/>
    </row>
    <row r="49" spans="2:11" s="2165" customFormat="1" ht="14.25" customHeight="1">
      <c r="B49" s="440" t="s">
        <v>154</v>
      </c>
      <c r="C49" s="448"/>
      <c r="D49" s="423"/>
      <c r="E49" s="441" t="s">
        <v>155</v>
      </c>
      <c r="F49" s="2172"/>
      <c r="H49" s="2211"/>
      <c r="I49" s="2171">
        <v>26.21</v>
      </c>
      <c r="J49" s="2170">
        <v>29.136666666666699</v>
      </c>
      <c r="K49" s="2170">
        <v>38.19</v>
      </c>
    </row>
    <row r="50" spans="2:11" s="2165" customFormat="1" ht="14.25" customHeight="1">
      <c r="B50" s="440" t="s">
        <v>1975</v>
      </c>
      <c r="C50" s="448"/>
      <c r="D50" s="423"/>
      <c r="E50" s="441" t="s">
        <v>73</v>
      </c>
      <c r="F50" s="2172"/>
      <c r="H50" s="2211"/>
      <c r="I50" s="2171">
        <v>4.6399999999999997</v>
      </c>
      <c r="J50" s="2170">
        <v>5.08</v>
      </c>
      <c r="K50" s="2170">
        <v>5.15</v>
      </c>
    </row>
    <row r="51" spans="2:11" s="2165" customFormat="1" ht="14.25" customHeight="1">
      <c r="B51" s="440" t="s">
        <v>156</v>
      </c>
      <c r="C51" s="448"/>
      <c r="D51" s="423"/>
      <c r="E51" s="441" t="s">
        <v>157</v>
      </c>
      <c r="F51" s="2172"/>
      <c r="H51" s="2211"/>
      <c r="I51" s="2171">
        <v>3.55</v>
      </c>
      <c r="J51" s="2170">
        <v>3.69</v>
      </c>
      <c r="K51" s="2170">
        <v>3.72</v>
      </c>
    </row>
    <row r="52" spans="2:11" s="2165" customFormat="1" ht="9.75" customHeight="1">
      <c r="B52" s="457"/>
      <c r="C52" s="448"/>
      <c r="D52" s="423"/>
      <c r="E52" s="424"/>
      <c r="F52" s="2173"/>
      <c r="H52" s="2211"/>
      <c r="I52" s="2171"/>
      <c r="J52" s="2170"/>
      <c r="K52" s="2170"/>
    </row>
    <row r="53" spans="2:11" s="2165" customFormat="1" ht="15.4" customHeight="1">
      <c r="B53" s="468" t="s">
        <v>158</v>
      </c>
      <c r="C53" s="448"/>
      <c r="D53" s="423"/>
      <c r="E53" s="424"/>
      <c r="F53" s="2173"/>
      <c r="H53" s="2211"/>
      <c r="I53" s="2213"/>
      <c r="J53" s="2212"/>
      <c r="K53" s="2170"/>
    </row>
    <row r="54" spans="2:11" s="2165" customFormat="1" ht="15.4" customHeight="1">
      <c r="B54" s="470" t="s">
        <v>1154</v>
      </c>
      <c r="C54" s="448"/>
      <c r="D54" s="423"/>
      <c r="E54" s="424"/>
      <c r="F54" s="2173"/>
      <c r="H54" s="2211"/>
      <c r="I54" s="2213"/>
      <c r="J54" s="2212"/>
      <c r="K54" s="2170"/>
    </row>
    <row r="55" spans="2:11" s="2165" customFormat="1" ht="8.25" customHeight="1">
      <c r="B55" s="471"/>
      <c r="C55" s="448"/>
      <c r="D55" s="423"/>
      <c r="E55" s="424"/>
      <c r="F55" s="2173"/>
      <c r="H55" s="2211"/>
      <c r="I55" s="2213"/>
      <c r="J55" s="2212"/>
      <c r="K55" s="2170"/>
    </row>
    <row r="56" spans="2:11" s="2165" customFormat="1" ht="14.25" customHeight="1">
      <c r="B56" s="440" t="s">
        <v>2039</v>
      </c>
      <c r="C56" s="448"/>
      <c r="D56" s="423"/>
      <c r="E56" s="441" t="s">
        <v>135</v>
      </c>
      <c r="F56" s="2172"/>
      <c r="G56" s="2184"/>
      <c r="H56" s="2211"/>
      <c r="I56" s="2171">
        <v>4.3899999999999997</v>
      </c>
      <c r="J56" s="2170">
        <v>5.26</v>
      </c>
      <c r="K56" s="2170">
        <v>5.57</v>
      </c>
    </row>
    <row r="57" spans="2:11" s="2165" customFormat="1" ht="14.25" customHeight="1">
      <c r="B57" s="440" t="s">
        <v>2039</v>
      </c>
      <c r="C57" s="448"/>
      <c r="D57" s="423"/>
      <c r="E57" s="441" t="s">
        <v>159</v>
      </c>
      <c r="F57" s="2172"/>
      <c r="G57" s="2184"/>
      <c r="H57" s="2211"/>
      <c r="I57" s="2171">
        <v>4.5999999999999996</v>
      </c>
      <c r="J57" s="2170">
        <v>5.0999999999999996</v>
      </c>
      <c r="K57" s="2170">
        <v>5.09</v>
      </c>
    </row>
    <row r="58" spans="2:11" s="2165" customFormat="1" ht="14.25" customHeight="1">
      <c r="B58" s="440" t="s">
        <v>1155</v>
      </c>
      <c r="C58" s="448"/>
      <c r="D58" s="423"/>
      <c r="E58" s="441" t="s">
        <v>160</v>
      </c>
      <c r="F58" s="2172"/>
      <c r="G58" s="2184"/>
      <c r="H58" s="2211"/>
      <c r="I58" s="2171">
        <v>5.43</v>
      </c>
      <c r="J58" s="2170">
        <v>5.62</v>
      </c>
      <c r="K58" s="2170">
        <v>5.89</v>
      </c>
    </row>
    <row r="59" spans="2:11" s="2165" customFormat="1" ht="14.25" customHeight="1">
      <c r="B59" s="440" t="s">
        <v>161</v>
      </c>
      <c r="C59" s="448"/>
      <c r="D59" s="423"/>
      <c r="E59" s="441" t="s">
        <v>162</v>
      </c>
      <c r="F59" s="2172"/>
      <c r="G59" s="2184"/>
      <c r="H59" s="2211"/>
      <c r="I59" s="2171">
        <v>4.16</v>
      </c>
      <c r="J59" s="2170">
        <v>4.3499999999999996</v>
      </c>
      <c r="K59" s="2170">
        <v>4.83</v>
      </c>
    </row>
    <row r="60" spans="2:11" s="2165" customFormat="1" ht="14.25" customHeight="1">
      <c r="B60" s="440" t="s">
        <v>163</v>
      </c>
      <c r="C60" s="448"/>
      <c r="D60" s="423"/>
      <c r="E60" s="441" t="s">
        <v>164</v>
      </c>
      <c r="F60" s="2172"/>
      <c r="G60" s="2184"/>
      <c r="H60" s="2211"/>
      <c r="I60" s="2171">
        <v>3.62</v>
      </c>
      <c r="J60" s="2170">
        <v>3.91</v>
      </c>
      <c r="K60" s="2170">
        <v>4.16</v>
      </c>
    </row>
    <row r="61" spans="2:11" s="2165" customFormat="1" ht="14.25" customHeight="1">
      <c r="B61" s="440" t="s">
        <v>1156</v>
      </c>
      <c r="C61" s="448"/>
      <c r="D61" s="423"/>
      <c r="E61" s="441" t="s">
        <v>1118</v>
      </c>
      <c r="F61" s="2172"/>
      <c r="G61" s="2184"/>
      <c r="H61" s="2211"/>
      <c r="I61" s="2170" t="s">
        <v>204</v>
      </c>
      <c r="J61" s="2170" t="s">
        <v>204</v>
      </c>
      <c r="K61" s="2170">
        <v>7.71</v>
      </c>
    </row>
    <row r="62" spans="2:11" s="2165" customFormat="1" ht="14.25" customHeight="1">
      <c r="B62" s="440" t="s">
        <v>165</v>
      </c>
      <c r="C62" s="448"/>
      <c r="D62" s="423"/>
      <c r="E62" s="441" t="s">
        <v>166</v>
      </c>
      <c r="F62" s="2172"/>
      <c r="G62" s="2184"/>
      <c r="H62" s="2211"/>
      <c r="I62" s="2171">
        <v>7.04</v>
      </c>
      <c r="J62" s="2170">
        <v>7.2350000000000003</v>
      </c>
      <c r="K62" s="2170">
        <v>7.29</v>
      </c>
    </row>
    <row r="63" spans="2:11" s="2165" customFormat="1" ht="14.25" customHeight="1">
      <c r="B63" s="440" t="s">
        <v>167</v>
      </c>
      <c r="C63" s="448"/>
      <c r="D63" s="423"/>
      <c r="E63" s="441" t="s">
        <v>168</v>
      </c>
      <c r="F63" s="2172"/>
      <c r="G63" s="2184"/>
      <c r="H63" s="2211"/>
      <c r="I63" s="2171">
        <v>1.87</v>
      </c>
      <c r="J63" s="2170">
        <v>2.04</v>
      </c>
      <c r="K63" s="2170">
        <v>2.27</v>
      </c>
    </row>
    <row r="64" spans="2:11" s="2165" customFormat="1" ht="14.25" customHeight="1">
      <c r="B64" s="440" t="s">
        <v>169</v>
      </c>
      <c r="C64" s="448"/>
      <c r="D64" s="423"/>
      <c r="E64" s="441" t="s">
        <v>170</v>
      </c>
      <c r="F64" s="2172"/>
      <c r="G64" s="2184"/>
      <c r="H64" s="2211"/>
      <c r="I64" s="2171">
        <v>4.99</v>
      </c>
      <c r="J64" s="2170">
        <v>5.17</v>
      </c>
      <c r="K64" s="2170">
        <v>5.28</v>
      </c>
    </row>
    <row r="65" spans="2:11" s="2165" customFormat="1" ht="14.25" customHeight="1">
      <c r="B65" s="440" t="s">
        <v>167</v>
      </c>
      <c r="C65" s="448"/>
      <c r="D65" s="423"/>
      <c r="E65" s="441" t="s">
        <v>171</v>
      </c>
      <c r="F65" s="2172"/>
      <c r="G65" s="2184"/>
      <c r="H65" s="2211"/>
      <c r="I65" s="2171">
        <v>9.91</v>
      </c>
      <c r="J65" s="2170">
        <v>10.47</v>
      </c>
      <c r="K65" s="2170">
        <v>10.39</v>
      </c>
    </row>
    <row r="66" spans="2:11" s="2165" customFormat="1" ht="9.75" customHeight="1">
      <c r="B66" s="457"/>
      <c r="C66" s="448"/>
      <c r="D66" s="423"/>
      <c r="E66" s="424"/>
      <c r="F66" s="2173"/>
      <c r="H66" s="2211"/>
      <c r="I66" s="2171"/>
      <c r="J66" s="2170"/>
      <c r="K66" s="2170"/>
    </row>
    <row r="67" spans="2:11" s="2165" customFormat="1" ht="15.4" customHeight="1">
      <c r="B67" s="438" t="s">
        <v>172</v>
      </c>
      <c r="C67" s="448"/>
      <c r="D67" s="423"/>
      <c r="E67" s="424"/>
      <c r="F67" s="2173"/>
      <c r="H67" s="2211"/>
      <c r="I67" s="2171"/>
      <c r="J67" s="2170"/>
      <c r="K67" s="2170"/>
    </row>
    <row r="68" spans="2:11" s="2165" customFormat="1" ht="15.4" customHeight="1">
      <c r="B68" s="439" t="s">
        <v>173</v>
      </c>
      <c r="C68" s="448"/>
      <c r="D68" s="423"/>
      <c r="E68" s="424"/>
      <c r="F68" s="2173"/>
      <c r="H68" s="2211"/>
      <c r="I68" s="2171"/>
      <c r="J68" s="2170"/>
      <c r="K68" s="2170"/>
    </row>
    <row r="69" spans="2:11" s="2165" customFormat="1" ht="8.25" customHeight="1">
      <c r="B69" s="439"/>
      <c r="C69" s="448"/>
      <c r="D69" s="423"/>
      <c r="E69" s="424"/>
      <c r="F69" s="2173"/>
      <c r="H69" s="2211"/>
      <c r="I69" s="2171"/>
      <c r="J69" s="2170"/>
      <c r="K69" s="2170"/>
    </row>
    <row r="70" spans="2:11" s="2165" customFormat="1" ht="14.25" customHeight="1">
      <c r="B70" s="440" t="s">
        <v>174</v>
      </c>
      <c r="C70" s="448"/>
      <c r="D70" s="423"/>
      <c r="E70" s="441" t="s">
        <v>175</v>
      </c>
      <c r="F70" s="2172"/>
      <c r="G70" s="2184"/>
      <c r="H70" s="2211"/>
      <c r="I70" s="2213">
        <v>6.87</v>
      </c>
      <c r="J70" s="2212">
        <v>6.81</v>
      </c>
      <c r="K70" s="2170">
        <v>7.73</v>
      </c>
    </row>
    <row r="71" spans="2:11" s="2165" customFormat="1" ht="14.25" customHeight="1">
      <c r="B71" s="440" t="s">
        <v>1157</v>
      </c>
      <c r="C71" s="448"/>
      <c r="D71" s="423"/>
      <c r="E71" s="441" t="s">
        <v>1119</v>
      </c>
      <c r="F71" s="2172"/>
      <c r="G71" s="2184"/>
      <c r="H71" s="2211"/>
      <c r="I71" s="2170" t="s">
        <v>204</v>
      </c>
      <c r="J71" s="2170" t="s">
        <v>204</v>
      </c>
      <c r="K71" s="2170">
        <v>14.06</v>
      </c>
    </row>
    <row r="72" spans="2:11" s="2165" customFormat="1" ht="14.25" customHeight="1">
      <c r="B72" s="445" t="s">
        <v>176</v>
      </c>
      <c r="C72" s="448"/>
      <c r="D72" s="423"/>
      <c r="E72" s="441" t="s">
        <v>1158</v>
      </c>
      <c r="F72" s="2172"/>
      <c r="G72" s="2184"/>
      <c r="H72" s="2211"/>
      <c r="I72" s="2171">
        <v>1.28</v>
      </c>
      <c r="J72" s="2170">
        <v>1.36</v>
      </c>
      <c r="K72" s="2170">
        <v>1.43</v>
      </c>
    </row>
    <row r="73" spans="2:11" s="2165" customFormat="1" ht="14.25" customHeight="1">
      <c r="B73" s="440" t="s">
        <v>2040</v>
      </c>
      <c r="C73" s="448"/>
      <c r="D73" s="423"/>
      <c r="E73" s="441" t="s">
        <v>177</v>
      </c>
      <c r="F73" s="2172"/>
      <c r="G73" s="2184"/>
      <c r="H73" s="2211"/>
      <c r="I73" s="2171">
        <v>14.5</v>
      </c>
      <c r="J73" s="2170">
        <v>15.49</v>
      </c>
      <c r="K73" s="2170">
        <v>15.04</v>
      </c>
    </row>
    <row r="74" spans="2:11" s="2165" customFormat="1" ht="14.25" customHeight="1">
      <c r="B74" s="440" t="s">
        <v>178</v>
      </c>
      <c r="C74" s="448"/>
      <c r="D74" s="423"/>
      <c r="E74" s="441" t="s">
        <v>179</v>
      </c>
      <c r="F74" s="2172"/>
      <c r="G74" s="2184"/>
      <c r="H74" s="2211"/>
      <c r="I74" s="2171">
        <v>15.1</v>
      </c>
      <c r="J74" s="2170">
        <v>16.09</v>
      </c>
      <c r="K74" s="2170">
        <v>16.5</v>
      </c>
    </row>
    <row r="75" spans="2:11" s="2165" customFormat="1" ht="14.25" customHeight="1">
      <c r="B75" s="440" t="s">
        <v>180</v>
      </c>
      <c r="C75" s="448"/>
      <c r="D75" s="423"/>
      <c r="E75" s="441" t="s">
        <v>124</v>
      </c>
      <c r="F75" s="2172"/>
      <c r="G75" s="2184"/>
      <c r="H75" s="2211"/>
      <c r="I75" s="2171">
        <v>1.5</v>
      </c>
      <c r="J75" s="2170">
        <v>1.48</v>
      </c>
      <c r="K75" s="2170">
        <v>1.48</v>
      </c>
    </row>
    <row r="76" spans="2:11" s="2165" customFormat="1" ht="14.25" customHeight="1">
      <c r="B76" s="440" t="s">
        <v>2044</v>
      </c>
      <c r="C76" s="448"/>
      <c r="D76" s="423"/>
      <c r="E76" s="441" t="s">
        <v>2043</v>
      </c>
      <c r="F76" s="2172"/>
      <c r="G76" s="2184"/>
      <c r="H76" s="2211"/>
      <c r="I76" s="2171">
        <v>11.58</v>
      </c>
      <c r="J76" s="2170">
        <v>12.13</v>
      </c>
      <c r="K76" s="2170">
        <v>12.71</v>
      </c>
    </row>
    <row r="77" spans="2:11" s="2165" customFormat="1" ht="14.25" customHeight="1">
      <c r="B77" s="440" t="s">
        <v>181</v>
      </c>
      <c r="C77" s="448"/>
      <c r="D77" s="423"/>
      <c r="E77" s="441" t="s">
        <v>2045</v>
      </c>
      <c r="F77" s="2172"/>
      <c r="G77" s="2184"/>
      <c r="H77" s="2211"/>
      <c r="I77" s="2171">
        <v>3.39</v>
      </c>
      <c r="J77" s="2170">
        <v>3.4950000000000001</v>
      </c>
      <c r="K77" s="2170">
        <v>3.71</v>
      </c>
    </row>
    <row r="78" spans="2:11" s="2165" customFormat="1" ht="14.25" customHeight="1">
      <c r="B78" s="440" t="s">
        <v>182</v>
      </c>
      <c r="C78" s="448"/>
      <c r="D78" s="423"/>
      <c r="E78" s="441" t="s">
        <v>183</v>
      </c>
      <c r="F78" s="2172"/>
      <c r="G78" s="2184"/>
      <c r="H78" s="2211"/>
      <c r="I78" s="2171">
        <v>9.5500000000000007</v>
      </c>
      <c r="J78" s="2170">
        <v>10.130000000000001</v>
      </c>
      <c r="K78" s="2170">
        <v>10.17</v>
      </c>
    </row>
    <row r="79" spans="2:11" s="2165" customFormat="1" ht="14.25" customHeight="1">
      <c r="B79" s="440" t="s">
        <v>1159</v>
      </c>
      <c r="C79" s="448"/>
      <c r="D79" s="423"/>
      <c r="E79" s="441" t="s">
        <v>1120</v>
      </c>
      <c r="F79" s="2172"/>
      <c r="G79" s="2184"/>
      <c r="H79" s="2211"/>
      <c r="I79" s="2170" t="s">
        <v>204</v>
      </c>
      <c r="J79" s="2170" t="s">
        <v>204</v>
      </c>
      <c r="K79" s="2170">
        <v>12.58</v>
      </c>
    </row>
    <row r="80" spans="2:11" s="2165" customFormat="1" ht="14.25" customHeight="1">
      <c r="B80" s="445" t="s">
        <v>2053</v>
      </c>
      <c r="C80" s="448"/>
      <c r="D80" s="423"/>
      <c r="E80" s="441" t="s">
        <v>1121</v>
      </c>
      <c r="F80" s="2172"/>
      <c r="G80" s="2184"/>
      <c r="H80" s="2211"/>
      <c r="I80" s="2170" t="s">
        <v>204</v>
      </c>
      <c r="J80" s="2170" t="s">
        <v>204</v>
      </c>
      <c r="K80" s="2170">
        <v>4.93</v>
      </c>
    </row>
    <row r="81" spans="1:11" s="2165" customFormat="1" ht="14.25" customHeight="1">
      <c r="B81" s="440" t="s">
        <v>1160</v>
      </c>
      <c r="C81" s="448"/>
      <c r="D81" s="423"/>
      <c r="E81" s="441" t="s">
        <v>1122</v>
      </c>
      <c r="F81" s="2172"/>
      <c r="G81" s="2184"/>
      <c r="H81" s="2211"/>
      <c r="I81" s="2170" t="s">
        <v>204</v>
      </c>
      <c r="J81" s="2170" t="s">
        <v>204</v>
      </c>
      <c r="K81" s="2170">
        <v>8.4</v>
      </c>
    </row>
    <row r="82" spans="1:11" s="2165" customFormat="1" ht="6.75" customHeight="1">
      <c r="B82" s="440"/>
      <c r="C82" s="448"/>
      <c r="D82" s="423"/>
      <c r="E82" s="441"/>
      <c r="F82" s="2172"/>
      <c r="G82" s="2184"/>
      <c r="H82" s="2211"/>
      <c r="I82" s="2211"/>
      <c r="J82" s="2211"/>
      <c r="K82" s="2182"/>
    </row>
    <row r="83" spans="1:11" s="2165" customFormat="1" ht="7.5" customHeight="1" thickBot="1">
      <c r="A83" s="2169"/>
      <c r="B83" s="473"/>
      <c r="C83" s="474"/>
      <c r="D83" s="472"/>
      <c r="E83" s="1446"/>
      <c r="F83" s="2210"/>
      <c r="G83" s="2209"/>
      <c r="H83" s="2169"/>
      <c r="I83" s="2208"/>
      <c r="J83" s="2169"/>
      <c r="K83" s="2207"/>
    </row>
    <row r="84" spans="1:11" s="2195" customFormat="1" ht="14.1" customHeight="1">
      <c r="B84" s="412"/>
      <c r="C84" s="412"/>
      <c r="D84" s="412"/>
      <c r="E84" s="412"/>
      <c r="F84" s="2205"/>
      <c r="H84" s="2165"/>
      <c r="I84" s="2194"/>
      <c r="J84" s="2194"/>
      <c r="K84" s="2206" t="s">
        <v>0</v>
      </c>
    </row>
    <row r="85" spans="1:11" s="2195" customFormat="1" ht="14.1" customHeight="1">
      <c r="B85" s="412"/>
      <c r="C85" s="412"/>
      <c r="D85" s="412"/>
      <c r="E85" s="412"/>
      <c r="F85" s="2205"/>
      <c r="H85" s="2165"/>
      <c r="I85" s="2194"/>
      <c r="J85" s="2194"/>
      <c r="K85" s="2204" t="s">
        <v>1</v>
      </c>
    </row>
    <row r="86" spans="1:11">
      <c r="B86" s="412"/>
      <c r="C86" s="412"/>
      <c r="D86" s="412"/>
      <c r="E86" s="412"/>
    </row>
    <row r="87" spans="1:11">
      <c r="B87" s="384" t="s">
        <v>2</v>
      </c>
      <c r="C87" s="412"/>
      <c r="D87" s="412"/>
      <c r="E87" s="412"/>
    </row>
    <row r="88" spans="1:11">
      <c r="B88" s="25" t="s">
        <v>1149</v>
      </c>
      <c r="C88" s="412"/>
      <c r="D88" s="412"/>
      <c r="E88" s="412"/>
    </row>
    <row r="89" spans="1:11">
      <c r="B89" s="298" t="s">
        <v>1150</v>
      </c>
      <c r="C89" s="412"/>
      <c r="D89" s="412"/>
      <c r="E89" s="412"/>
    </row>
    <row r="90" spans="1:11">
      <c r="B90" s="25" t="s">
        <v>1151</v>
      </c>
      <c r="C90" s="412"/>
      <c r="D90" s="412"/>
      <c r="E90" s="412"/>
    </row>
    <row r="91" spans="1:11">
      <c r="B91" s="298" t="s">
        <v>1152</v>
      </c>
      <c r="C91" s="412"/>
      <c r="D91" s="412"/>
      <c r="E91" s="412"/>
    </row>
  </sheetData>
  <mergeCells count="4">
    <mergeCell ref="C1:J2"/>
    <mergeCell ref="C3:J4"/>
    <mergeCell ref="B7:C9"/>
    <mergeCell ref="B15:C15"/>
  </mergeCells>
  <conditionalFormatting sqref="E14:F14">
    <cfRule type="cellIs" dxfId="24" priority="1"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64" fitToWidth="0" fitToHeight="0" orientation="portrait"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89DB1-48F1-4B9E-8129-AE28B7339395}">
  <sheetPr>
    <tabColor theme="4" tint="0.39997558519241921"/>
    <pageSetUpPr fitToPage="1"/>
  </sheetPr>
  <dimension ref="A1:K66"/>
  <sheetViews>
    <sheetView view="pageBreakPreview" zoomScaleNormal="100" zoomScaleSheetLayoutView="100" workbookViewId="0">
      <selection activeCell="C37" sqref="C37"/>
    </sheetView>
  </sheetViews>
  <sheetFormatPr defaultRowHeight="15"/>
  <cols>
    <col min="1" max="1" width="2.7109375" customWidth="1"/>
    <col min="2" max="2" width="12.42578125" customWidth="1"/>
    <col min="3" max="3" width="64.28515625" customWidth="1"/>
    <col min="4" max="4" width="3.7109375" customWidth="1"/>
    <col min="5" max="5" width="13.5703125" customWidth="1"/>
    <col min="6" max="6" width="15" style="84" customWidth="1"/>
    <col min="7" max="7" width="15.28515625" customWidth="1"/>
  </cols>
  <sheetData>
    <row r="1" spans="1:11" s="149" customFormat="1" ht="17.25" customHeight="1">
      <c r="B1" s="2248" t="s">
        <v>1845</v>
      </c>
      <c r="C1" s="150" t="s">
        <v>1844</v>
      </c>
      <c r="F1" s="2246"/>
    </row>
    <row r="2" spans="1:11" s="149" customFormat="1" ht="17.25" customHeight="1">
      <c r="B2" s="2247" t="s">
        <v>1843</v>
      </c>
      <c r="C2" s="151" t="s">
        <v>1842</v>
      </c>
      <c r="D2" s="152"/>
      <c r="E2" s="152"/>
      <c r="F2" s="2246"/>
    </row>
    <row r="3" spans="1:11" s="149" customFormat="1" ht="13.35" customHeight="1" thickBot="1">
      <c r="A3" s="153"/>
      <c r="B3" s="153"/>
      <c r="C3" s="153"/>
      <c r="D3" s="152"/>
      <c r="E3" s="152"/>
      <c r="F3" s="2245"/>
    </row>
    <row r="4" spans="1:11" s="154" customFormat="1" ht="42.95" customHeight="1" thickBot="1">
      <c r="A4" s="7"/>
      <c r="B4" s="2651" t="s">
        <v>1841</v>
      </c>
      <c r="C4" s="2651"/>
      <c r="D4" s="31"/>
      <c r="E4" s="31">
        <v>2022</v>
      </c>
      <c r="F4" s="31">
        <v>2023</v>
      </c>
      <c r="G4" s="2244">
        <v>2024</v>
      </c>
    </row>
    <row r="5" spans="1:11" s="154" customFormat="1" ht="16.350000000000001" customHeight="1">
      <c r="B5" s="155"/>
      <c r="C5" s="156"/>
      <c r="D5" s="157"/>
      <c r="E5" s="157"/>
      <c r="F5" s="157"/>
      <c r="G5" s="2243"/>
    </row>
    <row r="6" spans="1:11" s="158" customFormat="1" ht="15.2" customHeight="1">
      <c r="B6" s="76" t="s">
        <v>1123</v>
      </c>
      <c r="D6" s="159"/>
      <c r="E6" s="159"/>
      <c r="F6" s="2242"/>
      <c r="G6" s="160"/>
    </row>
    <row r="7" spans="1:11" s="161" customFormat="1" ht="15.2" customHeight="1">
      <c r="B7" s="74" t="s">
        <v>1840</v>
      </c>
      <c r="D7" s="162"/>
      <c r="E7" s="162"/>
      <c r="F7" s="2241"/>
      <c r="G7" s="163"/>
      <c r="K7" s="163"/>
    </row>
    <row r="8" spans="1:11" s="158" customFormat="1" ht="8.1" customHeight="1">
      <c r="B8" s="164"/>
      <c r="D8" s="165"/>
      <c r="E8" s="165"/>
      <c r="F8" s="165"/>
      <c r="G8" s="165"/>
      <c r="H8" s="165"/>
      <c r="I8" s="165"/>
      <c r="J8" s="2233"/>
    </row>
    <row r="9" spans="1:11" s="158" customFormat="1" ht="15.2" customHeight="1">
      <c r="B9" s="166" t="s">
        <v>184</v>
      </c>
      <c r="C9" s="167"/>
      <c r="E9" s="2237">
        <v>7033</v>
      </c>
      <c r="F9" s="2237">
        <v>7033</v>
      </c>
      <c r="G9" s="2236">
        <v>4195</v>
      </c>
      <c r="H9" s="165"/>
      <c r="I9" s="165"/>
      <c r="J9" s="2233"/>
    </row>
    <row r="10" spans="1:11" s="158" customFormat="1" ht="8.1" customHeight="1">
      <c r="B10" s="164"/>
      <c r="D10" s="168"/>
      <c r="E10" s="2232"/>
      <c r="F10" s="2232"/>
      <c r="G10" s="168"/>
    </row>
    <row r="11" spans="1:11" s="158" customFormat="1" ht="15.2" customHeight="1">
      <c r="B11" s="169" t="s">
        <v>185</v>
      </c>
      <c r="C11" s="167"/>
      <c r="D11" s="168"/>
      <c r="E11" s="2232"/>
      <c r="F11" s="2232"/>
      <c r="G11" s="168"/>
    </row>
    <row r="12" spans="1:11" s="158" customFormat="1" ht="15.2" customHeight="1">
      <c r="B12" s="170" t="s">
        <v>186</v>
      </c>
      <c r="C12" s="167"/>
      <c r="D12" s="2224"/>
      <c r="E12" s="2223">
        <v>5955</v>
      </c>
      <c r="F12" s="2223">
        <v>5955</v>
      </c>
      <c r="G12" s="1555">
        <v>3296</v>
      </c>
    </row>
    <row r="13" spans="1:11" s="158" customFormat="1" ht="15.2" customHeight="1">
      <c r="B13" s="170" t="s">
        <v>187</v>
      </c>
      <c r="C13" s="167"/>
      <c r="D13" s="2224"/>
      <c r="E13" s="2223">
        <v>1078</v>
      </c>
      <c r="F13" s="2223">
        <v>1078</v>
      </c>
      <c r="G13" s="1555">
        <v>899</v>
      </c>
      <c r="H13" s="2229"/>
      <c r="I13" s="2229"/>
    </row>
    <row r="14" spans="1:11" s="158" customFormat="1" ht="7.5" customHeight="1">
      <c r="B14" s="171"/>
      <c r="C14" s="172"/>
      <c r="D14" s="168"/>
      <c r="E14" s="2223"/>
      <c r="F14" s="2223"/>
      <c r="G14" s="168"/>
    </row>
    <row r="15" spans="1:11" s="158" customFormat="1" ht="15.2" customHeight="1">
      <c r="B15" s="169" t="s">
        <v>1839</v>
      </c>
      <c r="C15" s="167"/>
      <c r="D15" s="2224"/>
      <c r="E15" s="2223"/>
      <c r="F15" s="2223"/>
      <c r="G15" s="168"/>
    </row>
    <row r="16" spans="1:11" s="158" customFormat="1" ht="15.2" customHeight="1">
      <c r="B16" s="170" t="s">
        <v>188</v>
      </c>
      <c r="C16" s="167"/>
      <c r="D16" s="2224"/>
      <c r="E16" s="2223">
        <v>5909</v>
      </c>
      <c r="F16" s="2223">
        <v>5909</v>
      </c>
      <c r="G16" s="1555">
        <v>3669</v>
      </c>
    </row>
    <row r="17" spans="2:9" s="158" customFormat="1" ht="15.2" customHeight="1">
      <c r="B17" s="170" t="s">
        <v>189</v>
      </c>
      <c r="C17" s="167"/>
      <c r="D17" s="2224"/>
      <c r="E17" s="2223">
        <v>1124</v>
      </c>
      <c r="F17" s="2223">
        <v>1124</v>
      </c>
      <c r="G17" s="1555">
        <v>526</v>
      </c>
      <c r="H17" s="2229"/>
      <c r="I17" s="2229"/>
    </row>
    <row r="18" spans="2:9" s="158" customFormat="1" ht="7.5" customHeight="1">
      <c r="B18" s="171"/>
      <c r="C18" s="172"/>
      <c r="D18" s="168"/>
      <c r="E18" s="2223"/>
      <c r="F18" s="2223"/>
      <c r="G18" s="168"/>
    </row>
    <row r="19" spans="2:9" s="158" customFormat="1" ht="15.2" customHeight="1">
      <c r="B19" s="169" t="s">
        <v>190</v>
      </c>
      <c r="C19" s="172"/>
      <c r="D19" s="168"/>
      <c r="E19" s="2223"/>
      <c r="F19" s="2223"/>
      <c r="G19" s="168"/>
    </row>
    <row r="20" spans="2:9" s="158" customFormat="1" ht="15.2" customHeight="1">
      <c r="B20" s="173" t="s">
        <v>1319</v>
      </c>
      <c r="C20" s="172"/>
      <c r="D20" s="168"/>
      <c r="E20" s="2223"/>
      <c r="F20" s="2223"/>
      <c r="G20" s="168"/>
    </row>
    <row r="21" spans="2:9" s="158" customFormat="1" ht="15.2" customHeight="1">
      <c r="B21" s="2225" t="s">
        <v>191</v>
      </c>
      <c r="C21" s="167"/>
      <c r="D21" s="2224"/>
      <c r="E21" s="2223">
        <v>104</v>
      </c>
      <c r="F21" s="2223">
        <v>104</v>
      </c>
      <c r="G21" s="1555">
        <v>75</v>
      </c>
      <c r="H21" s="2229"/>
      <c r="I21" s="2229"/>
    </row>
    <row r="22" spans="2:9" s="158" customFormat="1" ht="15.2" customHeight="1">
      <c r="B22" s="2228" t="s">
        <v>192</v>
      </c>
      <c r="C22" s="167"/>
      <c r="D22" s="2224"/>
      <c r="E22" s="2223">
        <v>6</v>
      </c>
      <c r="F22" s="2223">
        <v>6</v>
      </c>
      <c r="G22" s="1555">
        <v>2</v>
      </c>
    </row>
    <row r="23" spans="2:9" s="158" customFormat="1" ht="15.2" customHeight="1">
      <c r="B23" s="2225" t="s">
        <v>193</v>
      </c>
      <c r="C23" s="167"/>
      <c r="D23" s="2224"/>
      <c r="E23" s="2223">
        <v>2047</v>
      </c>
      <c r="F23" s="2223">
        <v>2047</v>
      </c>
      <c r="G23" s="1555">
        <v>1501</v>
      </c>
    </row>
    <row r="24" spans="2:9" s="158" customFormat="1" ht="15.2" customHeight="1">
      <c r="B24" s="2225" t="s">
        <v>194</v>
      </c>
      <c r="C24" s="167"/>
      <c r="D24" s="2224"/>
      <c r="E24" s="2223">
        <v>1005</v>
      </c>
      <c r="F24" s="2223">
        <v>1005</v>
      </c>
      <c r="G24" s="1555">
        <v>577</v>
      </c>
    </row>
    <row r="25" spans="2:9" s="158" customFormat="1" ht="15.2" customHeight="1">
      <c r="B25" s="2225" t="s">
        <v>195</v>
      </c>
      <c r="C25" s="167"/>
      <c r="D25" s="2224"/>
      <c r="E25" s="2223">
        <v>82</v>
      </c>
      <c r="F25" s="2223">
        <v>82</v>
      </c>
      <c r="G25" s="1555">
        <v>47</v>
      </c>
    </row>
    <row r="26" spans="2:9" s="158" customFormat="1" ht="15.2" customHeight="1">
      <c r="B26" s="2225" t="s">
        <v>196</v>
      </c>
      <c r="C26" s="172"/>
      <c r="D26" s="2224"/>
      <c r="E26" s="2223">
        <v>716</v>
      </c>
      <c r="F26" s="2223">
        <v>716</v>
      </c>
      <c r="G26" s="1555">
        <v>359</v>
      </c>
    </row>
    <row r="27" spans="2:9" s="158" customFormat="1" ht="15.2" customHeight="1">
      <c r="B27" s="2225" t="s">
        <v>197</v>
      </c>
      <c r="C27" s="172"/>
      <c r="D27" s="2224"/>
      <c r="E27" s="2223">
        <v>431</v>
      </c>
      <c r="F27" s="2223">
        <v>431</v>
      </c>
      <c r="G27" s="1555">
        <v>358</v>
      </c>
    </row>
    <row r="28" spans="2:9" s="158" customFormat="1" ht="15.2" customHeight="1">
      <c r="B28" s="2227" t="s">
        <v>198</v>
      </c>
      <c r="C28" s="172"/>
      <c r="D28" s="168"/>
      <c r="E28" s="2223"/>
      <c r="F28" s="2223"/>
      <c r="G28" s="168"/>
    </row>
    <row r="29" spans="2:9" s="158" customFormat="1" ht="15.2" customHeight="1">
      <c r="B29" s="2225" t="s">
        <v>199</v>
      </c>
      <c r="C29" s="172"/>
      <c r="D29" s="2224"/>
      <c r="E29" s="2223">
        <v>76</v>
      </c>
      <c r="F29" s="2223">
        <v>76</v>
      </c>
      <c r="G29" s="1555">
        <v>32</v>
      </c>
    </row>
    <row r="30" spans="2:9" s="158" customFormat="1" ht="15.2" customHeight="1">
      <c r="B30" s="2225" t="s">
        <v>200</v>
      </c>
      <c r="C30" s="172"/>
      <c r="D30" s="2224"/>
      <c r="E30" s="2223">
        <v>517</v>
      </c>
      <c r="F30" s="2223">
        <v>517</v>
      </c>
      <c r="G30" s="1555">
        <v>308</v>
      </c>
    </row>
    <row r="31" spans="2:9" s="158" customFormat="1" ht="15.2" customHeight="1">
      <c r="B31" s="2227" t="s">
        <v>201</v>
      </c>
      <c r="C31" s="172"/>
      <c r="D31" s="168"/>
      <c r="E31" s="2223"/>
      <c r="F31" s="2223"/>
      <c r="G31" s="168"/>
    </row>
    <row r="32" spans="2:9" s="158" customFormat="1" ht="15.2" customHeight="1">
      <c r="B32" s="2225" t="s">
        <v>202</v>
      </c>
      <c r="C32" s="172"/>
      <c r="D32" s="2224"/>
      <c r="E32" s="2223">
        <v>2049</v>
      </c>
      <c r="F32" s="2223">
        <v>2049</v>
      </c>
      <c r="G32" s="1555">
        <v>936</v>
      </c>
    </row>
    <row r="33" spans="2:11" s="158" customFormat="1" ht="15.2" customHeight="1">
      <c r="B33" s="2222"/>
      <c r="C33" s="172"/>
      <c r="D33" s="168"/>
      <c r="E33" s="2230"/>
      <c r="F33" s="2230"/>
      <c r="G33" s="168"/>
    </row>
    <row r="34" spans="2:11" s="176" customFormat="1" ht="8.1" customHeight="1" thickBot="1">
      <c r="B34" s="174"/>
      <c r="C34" s="174"/>
      <c r="D34" s="175"/>
      <c r="E34" s="2240"/>
      <c r="F34" s="2240"/>
      <c r="G34" s="2239"/>
      <c r="H34" s="158"/>
      <c r="I34" s="158"/>
    </row>
    <row r="35" spans="2:11" s="176" customFormat="1" ht="8.1" customHeight="1">
      <c r="B35" s="161"/>
      <c r="C35" s="177"/>
      <c r="D35" s="178"/>
      <c r="E35" s="2230"/>
      <c r="F35" s="2230"/>
      <c r="G35" s="168"/>
      <c r="H35" s="158"/>
      <c r="I35" s="158"/>
    </row>
    <row r="36" spans="2:11" s="158" customFormat="1" ht="15.2" customHeight="1">
      <c r="B36" s="76" t="s">
        <v>2027</v>
      </c>
      <c r="D36" s="159"/>
      <c r="E36" s="2235"/>
      <c r="F36" s="2235"/>
      <c r="G36" s="168"/>
    </row>
    <row r="37" spans="2:11" s="161" customFormat="1" ht="15.2" customHeight="1">
      <c r="B37" s="74" t="s">
        <v>203</v>
      </c>
      <c r="D37" s="179"/>
      <c r="E37" s="2238"/>
      <c r="F37" s="2238"/>
      <c r="G37" s="179"/>
      <c r="K37" s="163"/>
    </row>
    <row r="38" spans="2:11" s="158" customFormat="1" ht="8.1" customHeight="1">
      <c r="B38" s="164"/>
      <c r="D38" s="168"/>
      <c r="E38" s="2230"/>
      <c r="F38" s="2230"/>
      <c r="G38" s="168"/>
      <c r="H38" s="165"/>
      <c r="I38" s="165"/>
      <c r="J38" s="2233"/>
    </row>
    <row r="39" spans="2:11" s="158" customFormat="1" ht="15.2" customHeight="1">
      <c r="B39" s="166" t="s">
        <v>184</v>
      </c>
      <c r="C39" s="167"/>
      <c r="D39" s="2224"/>
      <c r="E39" s="2237">
        <v>57</v>
      </c>
      <c r="F39" s="2237">
        <v>57</v>
      </c>
      <c r="G39" s="2236">
        <v>54</v>
      </c>
      <c r="H39" s="165"/>
      <c r="I39" s="165"/>
      <c r="J39" s="2233"/>
    </row>
    <row r="40" spans="2:11" s="158" customFormat="1" ht="8.1" customHeight="1">
      <c r="B40" s="164"/>
      <c r="D40" s="157"/>
      <c r="E40" s="2235"/>
      <c r="F40" s="2235"/>
      <c r="G40" s="159"/>
    </row>
    <row r="41" spans="2:11" s="158" customFormat="1" ht="15.2" customHeight="1">
      <c r="B41" s="169" t="s">
        <v>185</v>
      </c>
      <c r="C41" s="167"/>
      <c r="D41" s="165"/>
      <c r="E41" s="2232"/>
      <c r="F41" s="2232"/>
      <c r="G41" s="168"/>
    </row>
    <row r="42" spans="2:11" s="158" customFormat="1" ht="15.2" customHeight="1">
      <c r="B42" s="170" t="s">
        <v>186</v>
      </c>
      <c r="C42" s="167"/>
      <c r="D42" s="2224"/>
      <c r="E42" s="2223">
        <v>29</v>
      </c>
      <c r="F42" s="2223">
        <v>29</v>
      </c>
      <c r="G42" s="1555">
        <v>37</v>
      </c>
    </row>
    <row r="43" spans="2:11" s="158" customFormat="1" ht="15.2" customHeight="1">
      <c r="B43" s="170" t="s">
        <v>187</v>
      </c>
      <c r="C43" s="167"/>
      <c r="D43" s="2224"/>
      <c r="E43" s="2223">
        <v>28</v>
      </c>
      <c r="F43" s="2223">
        <v>28</v>
      </c>
      <c r="G43" s="1555">
        <v>17</v>
      </c>
      <c r="H43" s="2229"/>
      <c r="I43" s="2229"/>
    </row>
    <row r="44" spans="2:11" s="158" customFormat="1" ht="7.5" customHeight="1">
      <c r="B44" s="171"/>
      <c r="C44" s="172"/>
      <c r="D44" s="2234"/>
      <c r="E44" s="2223"/>
      <c r="F44" s="2223"/>
      <c r="G44" s="2231"/>
    </row>
    <row r="45" spans="2:11" s="158" customFormat="1" ht="15.2" customHeight="1">
      <c r="B45" s="169" t="s">
        <v>1839</v>
      </c>
      <c r="C45" s="167"/>
      <c r="D45" s="2233"/>
      <c r="E45" s="2223"/>
      <c r="F45" s="2223"/>
      <c r="G45" s="2231"/>
    </row>
    <row r="46" spans="2:11" s="158" customFormat="1" ht="15.2" customHeight="1">
      <c r="B46" s="170" t="s">
        <v>188</v>
      </c>
      <c r="C46" s="167"/>
      <c r="D46" s="2224"/>
      <c r="E46" s="2223">
        <v>56</v>
      </c>
      <c r="F46" s="2223">
        <v>56</v>
      </c>
      <c r="G46" s="1555">
        <v>53</v>
      </c>
    </row>
    <row r="47" spans="2:11" s="158" customFormat="1" ht="15.2" customHeight="1">
      <c r="B47" s="170" t="s">
        <v>189</v>
      </c>
      <c r="C47" s="167"/>
      <c r="D47" s="2224"/>
      <c r="E47" s="2223">
        <v>1</v>
      </c>
      <c r="F47" s="2223">
        <v>1</v>
      </c>
      <c r="G47" s="1555">
        <v>1</v>
      </c>
      <c r="H47" s="2229"/>
      <c r="I47" s="2229"/>
    </row>
    <row r="48" spans="2:11" s="158" customFormat="1" ht="7.5" customHeight="1">
      <c r="B48" s="171"/>
      <c r="C48" s="172"/>
      <c r="D48" s="2233"/>
      <c r="E48" s="2232"/>
      <c r="F48" s="2232"/>
      <c r="G48" s="2231"/>
    </row>
    <row r="49" spans="1:9" s="158" customFormat="1" ht="15.2" customHeight="1">
      <c r="B49" s="169" t="s">
        <v>190</v>
      </c>
      <c r="C49" s="172"/>
      <c r="D49" s="165"/>
      <c r="E49" s="2230"/>
      <c r="F49" s="2230"/>
      <c r="G49" s="168"/>
    </row>
    <row r="50" spans="1:9" s="158" customFormat="1" ht="15.2" customHeight="1">
      <c r="B50" s="173" t="s">
        <v>1319</v>
      </c>
      <c r="C50" s="172"/>
      <c r="D50" s="165"/>
      <c r="E50" s="2230"/>
      <c r="F50" s="2230"/>
      <c r="G50" s="168"/>
    </row>
    <row r="51" spans="1:9" s="158" customFormat="1" ht="15.2" customHeight="1">
      <c r="B51" s="2225" t="s">
        <v>191</v>
      </c>
      <c r="C51" s="167"/>
      <c r="D51" s="2224"/>
      <c r="E51" s="2223">
        <v>4</v>
      </c>
      <c r="F51" s="2223">
        <v>4</v>
      </c>
      <c r="G51" s="1555">
        <v>1</v>
      </c>
      <c r="H51" s="2229"/>
      <c r="I51" s="2229"/>
    </row>
    <row r="52" spans="1:9" s="158" customFormat="1" ht="15.2" customHeight="1">
      <c r="B52" s="2228" t="s">
        <v>192</v>
      </c>
      <c r="C52" s="167"/>
      <c r="D52" s="2224"/>
      <c r="E52" s="2223" t="s">
        <v>204</v>
      </c>
      <c r="F52" s="2223" t="s">
        <v>204</v>
      </c>
      <c r="G52" s="1555">
        <v>1</v>
      </c>
    </row>
    <row r="53" spans="1:9" s="158" customFormat="1" ht="15.2" customHeight="1">
      <c r="B53" s="2225" t="s">
        <v>193</v>
      </c>
      <c r="C53" s="167"/>
      <c r="D53" s="2224"/>
      <c r="E53" s="2223">
        <v>12</v>
      </c>
      <c r="F53" s="2223">
        <v>12</v>
      </c>
      <c r="G53" s="1555">
        <v>10</v>
      </c>
    </row>
    <row r="54" spans="1:9" s="158" customFormat="1" ht="15.2" customHeight="1">
      <c r="B54" s="2225" t="s">
        <v>194</v>
      </c>
      <c r="C54" s="167"/>
      <c r="D54" s="2224"/>
      <c r="E54" s="2223">
        <v>24</v>
      </c>
      <c r="F54" s="2223">
        <v>24</v>
      </c>
      <c r="G54" s="1555">
        <v>14</v>
      </c>
    </row>
    <row r="55" spans="1:9" s="158" customFormat="1" ht="15.2" customHeight="1">
      <c r="B55" s="2225" t="s">
        <v>195</v>
      </c>
      <c r="C55" s="167"/>
      <c r="D55" s="2224"/>
      <c r="E55" s="2223" t="s">
        <v>204</v>
      </c>
      <c r="F55" s="2223" t="s">
        <v>204</v>
      </c>
      <c r="G55" s="1555">
        <v>0</v>
      </c>
    </row>
    <row r="56" spans="1:9" s="158" customFormat="1" ht="15.2" customHeight="1">
      <c r="B56" s="2225" t="s">
        <v>196</v>
      </c>
      <c r="C56" s="172"/>
      <c r="D56" s="2224"/>
      <c r="E56" s="2223">
        <v>2</v>
      </c>
      <c r="F56" s="2223">
        <v>2</v>
      </c>
      <c r="G56" s="1555">
        <v>2</v>
      </c>
    </row>
    <row r="57" spans="1:9" s="158" customFormat="1" ht="15.2" customHeight="1">
      <c r="B57" s="2225" t="s">
        <v>197</v>
      </c>
      <c r="C57" s="172"/>
      <c r="D57" s="2224"/>
      <c r="E57" s="2223">
        <v>2</v>
      </c>
      <c r="F57" s="2223">
        <v>2</v>
      </c>
      <c r="G57" s="1555">
        <v>10</v>
      </c>
    </row>
    <row r="58" spans="1:9" s="158" customFormat="1" ht="15.2" customHeight="1">
      <c r="B58" s="2227" t="s">
        <v>198</v>
      </c>
      <c r="C58" s="172"/>
      <c r="D58" s="168"/>
      <c r="E58" s="2226"/>
      <c r="F58" s="2226"/>
      <c r="G58" s="168"/>
    </row>
    <row r="59" spans="1:9" s="158" customFormat="1" ht="15.2" customHeight="1">
      <c r="B59" s="2225" t="s">
        <v>199</v>
      </c>
      <c r="C59" s="172"/>
      <c r="D59" s="2224"/>
      <c r="E59" s="2223">
        <v>1</v>
      </c>
      <c r="F59" s="2223">
        <v>1</v>
      </c>
      <c r="G59" s="1555">
        <v>0</v>
      </c>
    </row>
    <row r="60" spans="1:9" s="158" customFormat="1" ht="15.2" customHeight="1">
      <c r="B60" s="2225" t="s">
        <v>200</v>
      </c>
      <c r="C60" s="172"/>
      <c r="D60" s="2224"/>
      <c r="E60" s="2223" t="s">
        <v>204</v>
      </c>
      <c r="F60" s="2223" t="s">
        <v>204</v>
      </c>
      <c r="G60" s="1555">
        <v>4</v>
      </c>
    </row>
    <row r="61" spans="1:9" s="158" customFormat="1" ht="15.2" customHeight="1">
      <c r="B61" s="2227" t="s">
        <v>201</v>
      </c>
      <c r="C61" s="172"/>
      <c r="D61" s="168"/>
      <c r="E61" s="2226"/>
      <c r="F61" s="2226"/>
      <c r="G61" s="168"/>
    </row>
    <row r="62" spans="1:9" s="158" customFormat="1" ht="15.2" customHeight="1">
      <c r="B62" s="2225" t="s">
        <v>202</v>
      </c>
      <c r="C62" s="172"/>
      <c r="D62" s="2224"/>
      <c r="E62" s="2223">
        <v>12</v>
      </c>
      <c r="F62" s="2223">
        <v>12</v>
      </c>
      <c r="G62" s="1555">
        <v>12</v>
      </c>
    </row>
    <row r="63" spans="1:9" s="158" customFormat="1" ht="15.2" customHeight="1">
      <c r="B63" s="2222"/>
      <c r="C63" s="172"/>
      <c r="D63" s="165"/>
      <c r="E63" s="165"/>
      <c r="F63" s="168"/>
      <c r="G63" s="168"/>
    </row>
    <row r="64" spans="1:9" s="176" customFormat="1" ht="8.1" customHeight="1" thickBot="1">
      <c r="A64" s="174"/>
      <c r="B64" s="174"/>
      <c r="C64" s="174"/>
      <c r="D64" s="174"/>
      <c r="E64" s="174"/>
      <c r="F64" s="2221"/>
      <c r="G64" s="174"/>
      <c r="H64" s="158"/>
      <c r="I64" s="158"/>
    </row>
    <row r="65" spans="2:9" s="176" customFormat="1" ht="15.2" customHeight="1">
      <c r="D65" s="2220"/>
      <c r="E65" s="2220"/>
      <c r="F65" s="2217"/>
      <c r="G65" s="2219" t="s">
        <v>1838</v>
      </c>
      <c r="H65" s="158"/>
      <c r="I65" s="158"/>
    </row>
    <row r="66" spans="2:9" s="176" customFormat="1" ht="15.2" customHeight="1">
      <c r="B66" s="83"/>
      <c r="C66" s="82"/>
      <c r="D66" s="2218"/>
      <c r="E66" s="2218"/>
      <c r="F66" s="2217"/>
      <c r="G66" s="2216" t="s">
        <v>1837</v>
      </c>
      <c r="I66" s="158"/>
    </row>
  </sheetData>
  <mergeCells count="1">
    <mergeCell ref="B4:C4"/>
  </mergeCells>
  <conditionalFormatting sqref="C9">
    <cfRule type="cellIs" dxfId="23" priority="2" stopIfTrue="1" operator="lessThan">
      <formula>0</formula>
    </cfRule>
  </conditionalFormatting>
  <conditionalFormatting sqref="C11:C13">
    <cfRule type="cellIs" dxfId="22" priority="8" stopIfTrue="1" operator="lessThan">
      <formula>0</formula>
    </cfRule>
  </conditionalFormatting>
  <conditionalFormatting sqref="C15:C17">
    <cfRule type="cellIs" dxfId="21" priority="6" stopIfTrue="1" operator="lessThan">
      <formula>0</formula>
    </cfRule>
  </conditionalFormatting>
  <conditionalFormatting sqref="C21:C25">
    <cfRule type="cellIs" dxfId="20" priority="7" stopIfTrue="1" operator="lessThan">
      <formula>0</formula>
    </cfRule>
  </conditionalFormatting>
  <conditionalFormatting sqref="C35">
    <cfRule type="cellIs" dxfId="19" priority="9" stopIfTrue="1" operator="lessThan">
      <formula>0</formula>
    </cfRule>
  </conditionalFormatting>
  <conditionalFormatting sqref="C39">
    <cfRule type="cellIs" dxfId="18" priority="1" stopIfTrue="1" operator="lessThan">
      <formula>0</formula>
    </cfRule>
  </conditionalFormatting>
  <conditionalFormatting sqref="C41:C43">
    <cfRule type="cellIs" dxfId="17" priority="5" stopIfTrue="1" operator="lessThan">
      <formula>0</formula>
    </cfRule>
  </conditionalFormatting>
  <conditionalFormatting sqref="C45:C47">
    <cfRule type="cellIs" dxfId="16" priority="3" stopIfTrue="1" operator="lessThan">
      <formula>0</formula>
    </cfRule>
  </conditionalFormatting>
  <conditionalFormatting sqref="C51:C55">
    <cfRule type="cellIs" dxfId="15" priority="4"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71" orientation="portrait"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875A2-A5EB-4378-A5D6-367825F250A7}">
  <sheetPr>
    <tabColor theme="4" tint="0.39997558519241921"/>
    <pageSetUpPr fitToPage="1"/>
  </sheetPr>
  <dimension ref="A1:M66"/>
  <sheetViews>
    <sheetView view="pageBreakPreview" topLeftCell="A22" zoomScaleNormal="100" zoomScaleSheetLayoutView="100" workbookViewId="0">
      <selection activeCell="F40" sqref="F40"/>
    </sheetView>
  </sheetViews>
  <sheetFormatPr defaultRowHeight="15"/>
  <cols>
    <col min="1" max="1" width="2.7109375" customWidth="1"/>
    <col min="2" max="2" width="12.42578125" customWidth="1"/>
    <col min="3" max="3" width="17.140625" customWidth="1"/>
    <col min="4" max="4" width="46.140625" customWidth="1"/>
    <col min="5" max="5" width="5" customWidth="1"/>
    <col min="6" max="6" width="13.85546875" customWidth="1"/>
    <col min="7" max="7" width="15.28515625" style="84" customWidth="1"/>
    <col min="8" max="8" width="15.28515625" customWidth="1"/>
  </cols>
  <sheetData>
    <row r="1" spans="1:13" s="149" customFormat="1" ht="17.25" customHeight="1">
      <c r="B1" s="2248" t="s">
        <v>1845</v>
      </c>
      <c r="C1" s="180" t="s">
        <v>1847</v>
      </c>
      <c r="E1" s="2246"/>
      <c r="F1" s="2246"/>
      <c r="G1" s="2246"/>
      <c r="M1" s="180"/>
    </row>
    <row r="2" spans="1:13" s="149" customFormat="1" ht="17.25" customHeight="1">
      <c r="B2" s="2247" t="s">
        <v>1843</v>
      </c>
      <c r="C2" s="181" t="s">
        <v>1846</v>
      </c>
      <c r="D2" s="152"/>
      <c r="E2" s="2246"/>
      <c r="F2" s="2246"/>
      <c r="G2" s="2246"/>
      <c r="M2" s="181"/>
    </row>
    <row r="3" spans="1:13" s="149" customFormat="1" ht="13.35" customHeight="1" thickBot="1">
      <c r="A3" s="153"/>
      <c r="B3" s="153"/>
      <c r="C3" s="153"/>
      <c r="D3" s="152"/>
      <c r="E3" s="2245"/>
      <c r="F3" s="2245"/>
      <c r="G3" s="2245"/>
    </row>
    <row r="4" spans="1:13" s="154" customFormat="1" ht="42.95" customHeight="1" thickBot="1">
      <c r="A4" s="7"/>
      <c r="B4" s="2651" t="s">
        <v>1841</v>
      </c>
      <c r="C4" s="2651"/>
      <c r="D4" s="2262"/>
      <c r="E4" s="31"/>
      <c r="F4" s="31">
        <v>2022</v>
      </c>
      <c r="G4" s="31">
        <v>2023</v>
      </c>
      <c r="H4" s="2244">
        <v>2024</v>
      </c>
    </row>
    <row r="5" spans="1:13" s="154" customFormat="1" ht="16.350000000000001" customHeight="1">
      <c r="B5" s="155"/>
      <c r="C5" s="156"/>
      <c r="D5" s="157"/>
      <c r="E5" s="157"/>
      <c r="F5" s="157"/>
      <c r="G5" s="157"/>
      <c r="H5" s="2243"/>
    </row>
    <row r="6" spans="1:13" s="158" customFormat="1" ht="15.2" customHeight="1">
      <c r="B6" s="76" t="s">
        <v>1124</v>
      </c>
      <c r="D6" s="159"/>
      <c r="E6" s="2242"/>
      <c r="F6" s="2242"/>
      <c r="G6" s="2242"/>
      <c r="H6" s="160"/>
    </row>
    <row r="7" spans="1:13" s="161" customFormat="1" ht="15.2" customHeight="1">
      <c r="B7" s="74" t="s">
        <v>1125</v>
      </c>
      <c r="D7" s="162"/>
      <c r="E7" s="2241"/>
      <c r="F7" s="2241"/>
      <c r="G7" s="2241"/>
      <c r="H7" s="163"/>
      <c r="L7" s="163"/>
    </row>
    <row r="8" spans="1:13" s="158" customFormat="1" ht="8.1" customHeight="1">
      <c r="B8" s="164"/>
      <c r="D8" s="165"/>
      <c r="E8" s="165"/>
      <c r="F8" s="165"/>
      <c r="G8" s="165"/>
      <c r="H8" s="165"/>
      <c r="I8" s="165"/>
      <c r="J8" s="165"/>
      <c r="K8" s="2233"/>
    </row>
    <row r="9" spans="1:13" s="158" customFormat="1" ht="15.2" customHeight="1">
      <c r="B9" s="166" t="s">
        <v>184</v>
      </c>
      <c r="C9" s="167"/>
      <c r="D9" s="182"/>
      <c r="E9" s="2224"/>
      <c r="F9" s="2256">
        <v>2.0406209197736835</v>
      </c>
      <c r="G9" s="2256">
        <v>2.0406209197736835</v>
      </c>
      <c r="H9" s="2255">
        <v>1.19</v>
      </c>
      <c r="I9" s="165"/>
      <c r="J9" s="165"/>
      <c r="K9" s="2233"/>
    </row>
    <row r="10" spans="1:13" s="158" customFormat="1" ht="8.1" customHeight="1">
      <c r="B10" s="164"/>
      <c r="D10" s="165"/>
      <c r="E10" s="168"/>
      <c r="F10" s="2251"/>
      <c r="G10" s="2251"/>
      <c r="H10" s="183"/>
    </row>
    <row r="11" spans="1:13" s="158" customFormat="1" ht="15.2" customHeight="1">
      <c r="B11" s="169" t="s">
        <v>185</v>
      </c>
      <c r="C11" s="167"/>
      <c r="D11" s="165"/>
      <c r="E11" s="168"/>
      <c r="F11" s="2251"/>
      <c r="G11" s="2251"/>
      <c r="H11" s="183"/>
    </row>
    <row r="12" spans="1:13" s="158" customFormat="1" ht="15.2" customHeight="1">
      <c r="B12" s="170" t="s">
        <v>186</v>
      </c>
      <c r="C12" s="167"/>
      <c r="D12" s="168"/>
      <c r="E12" s="2224"/>
      <c r="F12" s="2251" t="s">
        <v>205</v>
      </c>
      <c r="G12" s="2251" t="s">
        <v>205</v>
      </c>
      <c r="H12" s="2250" t="s">
        <v>205</v>
      </c>
    </row>
    <row r="13" spans="1:13" s="158" customFormat="1" ht="15.2" customHeight="1">
      <c r="B13" s="170" t="s">
        <v>187</v>
      </c>
      <c r="C13" s="167"/>
      <c r="D13" s="168"/>
      <c r="E13" s="2224"/>
      <c r="F13" s="2251" t="s">
        <v>205</v>
      </c>
      <c r="G13" s="2251" t="s">
        <v>205</v>
      </c>
      <c r="H13" s="2250" t="s">
        <v>205</v>
      </c>
    </row>
    <row r="14" spans="1:13" s="158" customFormat="1" ht="7.5" customHeight="1">
      <c r="B14" s="171"/>
      <c r="C14" s="172"/>
      <c r="D14" s="168"/>
      <c r="E14" s="168"/>
      <c r="F14" s="2251"/>
      <c r="G14" s="2251"/>
      <c r="H14" s="183"/>
    </row>
    <row r="15" spans="1:13" s="158" customFormat="1" ht="15.2" customHeight="1">
      <c r="B15" s="169" t="s">
        <v>1839</v>
      </c>
      <c r="C15" s="167"/>
      <c r="D15" s="165"/>
      <c r="E15" s="168"/>
      <c r="F15" s="2251"/>
      <c r="G15" s="2251"/>
      <c r="H15" s="183"/>
    </row>
    <row r="16" spans="1:13" s="158" customFormat="1" ht="15.2" customHeight="1">
      <c r="B16" s="170" t="s">
        <v>188</v>
      </c>
      <c r="C16" s="167"/>
      <c r="D16" s="168"/>
      <c r="E16" s="2224"/>
      <c r="F16" s="2251">
        <v>3.09</v>
      </c>
      <c r="G16" s="2251">
        <v>3.09</v>
      </c>
      <c r="H16" s="2250">
        <v>1.87</v>
      </c>
    </row>
    <row r="17" spans="2:8" s="158" customFormat="1" ht="15.2" customHeight="1">
      <c r="B17" s="170" t="s">
        <v>189</v>
      </c>
      <c r="C17" s="167"/>
      <c r="D17" s="168"/>
      <c r="E17" s="2224"/>
      <c r="F17" s="2251">
        <v>0.73</v>
      </c>
      <c r="G17" s="2251">
        <v>0.73</v>
      </c>
      <c r="H17" s="2250">
        <v>0.34</v>
      </c>
    </row>
    <row r="18" spans="2:8" s="158" customFormat="1" ht="7.5" customHeight="1">
      <c r="B18" s="171"/>
      <c r="C18" s="172"/>
      <c r="D18" s="165"/>
      <c r="E18" s="168"/>
      <c r="F18" s="2251"/>
      <c r="G18" s="2251"/>
      <c r="H18" s="183"/>
    </row>
    <row r="19" spans="2:8" s="158" customFormat="1" ht="15.2" customHeight="1">
      <c r="B19" s="169" t="s">
        <v>190</v>
      </c>
      <c r="C19" s="172"/>
      <c r="D19" s="165"/>
      <c r="E19" s="168"/>
      <c r="F19" s="2251"/>
      <c r="G19" s="2251"/>
      <c r="H19" s="183"/>
    </row>
    <row r="20" spans="2:8" s="158" customFormat="1" ht="15.2" customHeight="1">
      <c r="B20" s="173" t="s">
        <v>1319</v>
      </c>
      <c r="C20" s="172"/>
      <c r="D20" s="165"/>
      <c r="E20" s="168"/>
      <c r="F20" s="2251"/>
      <c r="G20" s="2251"/>
      <c r="H20" s="183"/>
    </row>
    <row r="21" spans="2:8" s="158" customFormat="1" ht="15.2" customHeight="1">
      <c r="B21" s="2228" t="s">
        <v>191</v>
      </c>
      <c r="C21" s="167"/>
      <c r="D21" s="2253"/>
      <c r="E21" s="2224"/>
      <c r="F21" s="2251">
        <v>1.2871287128712872</v>
      </c>
      <c r="G21" s="2251">
        <v>1.2871287128712872</v>
      </c>
      <c r="H21" s="2250">
        <v>0.39919097296146477</v>
      </c>
    </row>
    <row r="22" spans="2:8" s="158" customFormat="1" ht="15.2" customHeight="1">
      <c r="B22" s="2228" t="s">
        <v>192</v>
      </c>
      <c r="C22" s="167"/>
      <c r="D22" s="2253"/>
      <c r="E22" s="2224"/>
      <c r="F22" s="2251">
        <v>0.27027027027027029</v>
      </c>
      <c r="G22" s="2251">
        <v>0.27027027027027029</v>
      </c>
      <c r="H22" s="2250">
        <v>0.13333333333333333</v>
      </c>
    </row>
    <row r="23" spans="2:8" s="158" customFormat="1" ht="15.2" customHeight="1">
      <c r="B23" s="2228" t="s">
        <v>193</v>
      </c>
      <c r="C23" s="167"/>
      <c r="D23" s="2253"/>
      <c r="E23" s="2224"/>
      <c r="F23" s="2251">
        <v>3.4362934362934361</v>
      </c>
      <c r="G23" s="2251">
        <v>3.4362934362934361</v>
      </c>
      <c r="H23" s="2250">
        <v>2.613707599080588</v>
      </c>
    </row>
    <row r="24" spans="2:8" s="158" customFormat="1" ht="15.2" customHeight="1">
      <c r="B24" s="2228" t="s">
        <v>194</v>
      </c>
      <c r="C24" s="167"/>
      <c r="D24" s="2253"/>
      <c r="E24" s="2224"/>
      <c r="F24" s="2251">
        <v>3.6255411255411256</v>
      </c>
      <c r="G24" s="2251">
        <v>3.6255411255411256</v>
      </c>
      <c r="H24" s="2250">
        <v>2.4017649017649019</v>
      </c>
    </row>
    <row r="25" spans="2:8" s="158" customFormat="1" ht="15.2" customHeight="1">
      <c r="B25" s="2228" t="s">
        <v>195</v>
      </c>
      <c r="C25" s="167"/>
      <c r="D25" s="2253"/>
      <c r="E25" s="2224"/>
      <c r="F25" s="2251">
        <v>2.1079691516709511</v>
      </c>
      <c r="G25" s="2251">
        <v>2.1079691516709511</v>
      </c>
      <c r="H25" s="2250">
        <v>1.1659637806995782</v>
      </c>
    </row>
    <row r="26" spans="2:8" s="158" customFormat="1" ht="15.2" customHeight="1">
      <c r="B26" s="2228" t="s">
        <v>196</v>
      </c>
      <c r="C26" s="172"/>
      <c r="D26" s="165"/>
      <c r="E26" s="2224"/>
      <c r="F26" s="2251">
        <v>1.1280920119741611</v>
      </c>
      <c r="G26" s="2251">
        <v>1.1280920119741611</v>
      </c>
      <c r="H26" s="2250">
        <v>0.49444268458964008</v>
      </c>
    </row>
    <row r="27" spans="2:8" s="158" customFormat="1" ht="15.2" customHeight="1">
      <c r="B27" s="2228" t="s">
        <v>197</v>
      </c>
      <c r="C27" s="172"/>
      <c r="D27" s="165"/>
      <c r="E27" s="2224"/>
      <c r="F27" s="2251">
        <v>1.2717615815874888</v>
      </c>
      <c r="G27" s="2251">
        <v>1.2717615815874888</v>
      </c>
      <c r="H27" s="2250">
        <v>1.0708303421871261</v>
      </c>
    </row>
    <row r="28" spans="2:8" s="158" customFormat="1" ht="15.2" customHeight="1">
      <c r="B28" s="2252" t="s">
        <v>198</v>
      </c>
      <c r="C28" s="172"/>
      <c r="D28" s="165"/>
      <c r="E28" s="168"/>
      <c r="F28" s="2251"/>
      <c r="G28" s="2251"/>
      <c r="H28" s="183"/>
    </row>
    <row r="29" spans="2:8" s="158" customFormat="1" ht="15.2" customHeight="1">
      <c r="B29" s="2228" t="s">
        <v>199</v>
      </c>
      <c r="C29" s="172"/>
      <c r="D29" s="165"/>
      <c r="E29" s="2224"/>
      <c r="F29" s="2251">
        <v>0.19984222981856428</v>
      </c>
      <c r="G29" s="2251">
        <v>0.19984222981856428</v>
      </c>
      <c r="H29" s="2250">
        <v>7.3451774319423402E-2</v>
      </c>
    </row>
    <row r="30" spans="2:8" s="158" customFormat="1" ht="15.2" customHeight="1">
      <c r="B30" s="2228" t="s">
        <v>200</v>
      </c>
      <c r="C30" s="172"/>
      <c r="D30" s="165"/>
      <c r="E30" s="2224"/>
      <c r="F30" s="2251">
        <v>1.6141117702154231</v>
      </c>
      <c r="G30" s="2251">
        <v>1.6141117702154231</v>
      </c>
      <c r="H30" s="2250">
        <v>1.2809848610880055</v>
      </c>
    </row>
    <row r="31" spans="2:8" s="158" customFormat="1" ht="15.2" customHeight="1">
      <c r="B31" s="2252" t="s">
        <v>201</v>
      </c>
      <c r="C31" s="172"/>
      <c r="D31" s="165"/>
      <c r="E31" s="168"/>
      <c r="F31" s="2251"/>
      <c r="G31" s="2251"/>
      <c r="H31" s="183"/>
    </row>
    <row r="32" spans="2:8" s="158" customFormat="1" ht="15.2" customHeight="1">
      <c r="B32" s="2228" t="s">
        <v>202</v>
      </c>
      <c r="C32" s="172"/>
      <c r="D32" s="165"/>
      <c r="E32" s="2224"/>
      <c r="F32" s="2251">
        <v>2.705307631370478</v>
      </c>
      <c r="G32" s="2251">
        <v>2.705307631370478</v>
      </c>
      <c r="H32" s="2250">
        <v>1.2923357311499855</v>
      </c>
    </row>
    <row r="33" spans="2:12" s="158" customFormat="1" ht="15.2" customHeight="1">
      <c r="B33" s="2249"/>
      <c r="C33" s="172"/>
      <c r="D33" s="165"/>
      <c r="E33" s="168"/>
      <c r="F33" s="2251"/>
      <c r="G33" s="2251"/>
      <c r="H33" s="183"/>
    </row>
    <row r="34" spans="2:12" s="176" customFormat="1" ht="9.1999999999999993" customHeight="1" thickBot="1">
      <c r="B34" s="174"/>
      <c r="C34" s="174"/>
      <c r="D34" s="174"/>
      <c r="E34" s="2261"/>
      <c r="F34" s="2260"/>
      <c r="G34" s="2260"/>
      <c r="H34" s="2259"/>
      <c r="I34" s="158"/>
      <c r="J34" s="158"/>
    </row>
    <row r="35" spans="2:12" s="176" customFormat="1" ht="8.1" customHeight="1">
      <c r="B35" s="161"/>
      <c r="C35" s="177"/>
      <c r="D35" s="184"/>
      <c r="E35" s="168"/>
      <c r="F35" s="2251"/>
      <c r="G35" s="2251"/>
      <c r="H35" s="183"/>
      <c r="I35" s="158"/>
      <c r="J35" s="158"/>
    </row>
    <row r="36" spans="2:12" s="158" customFormat="1" ht="15.2" customHeight="1">
      <c r="B36" s="76" t="s">
        <v>2028</v>
      </c>
      <c r="D36" s="159"/>
      <c r="E36" s="159"/>
      <c r="F36" s="2258"/>
      <c r="G36" s="2258"/>
      <c r="H36" s="182"/>
    </row>
    <row r="37" spans="2:12" s="161" customFormat="1" ht="15.2" customHeight="1">
      <c r="B37" s="74" t="s">
        <v>206</v>
      </c>
      <c r="D37" s="185"/>
      <c r="E37" s="179"/>
      <c r="F37" s="2257"/>
      <c r="G37" s="2257"/>
      <c r="H37" s="1582"/>
      <c r="L37" s="163"/>
    </row>
    <row r="38" spans="2:12" s="158" customFormat="1" ht="8.1" customHeight="1">
      <c r="B38" s="164"/>
      <c r="D38" s="157"/>
      <c r="E38" s="168"/>
      <c r="F38" s="2251"/>
      <c r="G38" s="2251"/>
      <c r="H38" s="183"/>
      <c r="I38" s="165"/>
      <c r="J38" s="165"/>
      <c r="K38" s="2233"/>
    </row>
    <row r="39" spans="2:12" s="158" customFormat="1" ht="15.2" customHeight="1">
      <c r="B39" s="166" t="s">
        <v>184</v>
      </c>
      <c r="C39" s="167"/>
      <c r="D39" s="182"/>
      <c r="E39" s="2224"/>
      <c r="F39" s="2256">
        <v>1.653851733642826</v>
      </c>
      <c r="G39" s="2256">
        <v>1.653851733642826</v>
      </c>
      <c r="H39" s="2255">
        <v>1.53</v>
      </c>
      <c r="I39" s="165"/>
      <c r="J39" s="165"/>
      <c r="K39" s="2233"/>
    </row>
    <row r="40" spans="2:12" s="158" customFormat="1" ht="8.1" customHeight="1">
      <c r="B40" s="164"/>
      <c r="D40" s="165"/>
      <c r="E40" s="157"/>
      <c r="F40" s="2251"/>
      <c r="G40" s="2251"/>
      <c r="H40" s="182"/>
    </row>
    <row r="41" spans="2:12" s="158" customFormat="1" ht="15.2" customHeight="1">
      <c r="B41" s="169" t="s">
        <v>185</v>
      </c>
      <c r="C41" s="167"/>
      <c r="D41" s="165"/>
      <c r="E41" s="165"/>
      <c r="F41" s="2251"/>
      <c r="G41" s="2251"/>
      <c r="H41" s="183"/>
    </row>
    <row r="42" spans="2:12" s="158" customFormat="1" ht="15.2" customHeight="1">
      <c r="B42" s="170" t="s">
        <v>186</v>
      </c>
      <c r="C42" s="167"/>
      <c r="D42" s="168"/>
      <c r="E42" s="2224"/>
      <c r="F42" s="2251" t="s">
        <v>205</v>
      </c>
      <c r="G42" s="2251" t="s">
        <v>205</v>
      </c>
      <c r="H42" s="2250" t="s">
        <v>205</v>
      </c>
    </row>
    <row r="43" spans="2:12" s="158" customFormat="1" ht="15.2" customHeight="1">
      <c r="B43" s="170" t="s">
        <v>187</v>
      </c>
      <c r="C43" s="167"/>
      <c r="D43" s="168"/>
      <c r="E43" s="2224"/>
      <c r="F43" s="2251" t="s">
        <v>205</v>
      </c>
      <c r="G43" s="2251" t="s">
        <v>205</v>
      </c>
      <c r="H43" s="2250" t="s">
        <v>205</v>
      </c>
    </row>
    <row r="44" spans="2:12" s="158" customFormat="1" ht="7.5" customHeight="1">
      <c r="B44" s="171"/>
      <c r="C44" s="172"/>
      <c r="D44" s="168"/>
      <c r="E44" s="2234"/>
      <c r="F44" s="2251"/>
      <c r="G44" s="2251"/>
      <c r="H44" s="2254"/>
    </row>
    <row r="45" spans="2:12" s="158" customFormat="1" ht="15.2" customHeight="1">
      <c r="B45" s="169" t="s">
        <v>1839</v>
      </c>
      <c r="C45" s="167"/>
      <c r="D45" s="165"/>
      <c r="E45" s="2233"/>
      <c r="F45" s="2251"/>
      <c r="G45" s="2251"/>
      <c r="H45" s="2254"/>
    </row>
    <row r="46" spans="2:12" s="158" customFormat="1" ht="15.2" customHeight="1">
      <c r="B46" s="170" t="s">
        <v>188</v>
      </c>
      <c r="C46" s="167"/>
      <c r="D46" s="168"/>
      <c r="E46" s="2224"/>
      <c r="F46" s="2251">
        <v>2.93</v>
      </c>
      <c r="G46" s="2251">
        <v>2.93</v>
      </c>
      <c r="H46" s="2250">
        <v>2.7</v>
      </c>
    </row>
    <row r="47" spans="2:12" s="158" customFormat="1" ht="15.2" customHeight="1">
      <c r="B47" s="170" t="s">
        <v>189</v>
      </c>
      <c r="C47" s="167"/>
      <c r="D47" s="168"/>
      <c r="E47" s="2224"/>
      <c r="F47" s="2251">
        <v>7.0000000000000007E-2</v>
      </c>
      <c r="G47" s="2251">
        <v>7.0000000000000007E-2</v>
      </c>
      <c r="H47" s="2250">
        <v>0.06</v>
      </c>
    </row>
    <row r="48" spans="2:12" s="158" customFormat="1" ht="7.5" customHeight="1">
      <c r="B48" s="171"/>
      <c r="C48" s="172"/>
      <c r="D48" s="165"/>
      <c r="E48" s="2233"/>
      <c r="F48" s="2251"/>
      <c r="G48" s="2251"/>
      <c r="H48" s="2254"/>
    </row>
    <row r="49" spans="1:10" s="158" customFormat="1" ht="15.2" customHeight="1">
      <c r="B49" s="169" t="s">
        <v>190</v>
      </c>
      <c r="C49" s="172"/>
      <c r="D49" s="165"/>
      <c r="E49" s="165"/>
      <c r="F49" s="2251"/>
      <c r="G49" s="2251"/>
      <c r="H49" s="183"/>
    </row>
    <row r="50" spans="1:10" s="158" customFormat="1" ht="15.2" customHeight="1">
      <c r="B50" s="173" t="s">
        <v>1319</v>
      </c>
      <c r="C50" s="172"/>
      <c r="D50" s="165"/>
      <c r="E50" s="165"/>
      <c r="F50" s="2251"/>
      <c r="G50" s="2251"/>
      <c r="H50" s="183"/>
    </row>
    <row r="51" spans="1:10" s="158" customFormat="1" ht="15.2" customHeight="1">
      <c r="B51" s="2228" t="s">
        <v>191</v>
      </c>
      <c r="C51" s="167"/>
      <c r="D51" s="2253"/>
      <c r="E51" s="2224"/>
      <c r="F51" s="2251">
        <v>4.9504950495049505</v>
      </c>
      <c r="G51" s="2251">
        <v>4.9504950495049505</v>
      </c>
      <c r="H51" s="2250">
        <v>0.53225463061528633</v>
      </c>
    </row>
    <row r="52" spans="1:10" s="158" customFormat="1" ht="15.2" customHeight="1">
      <c r="B52" s="2228" t="s">
        <v>192</v>
      </c>
      <c r="C52" s="167"/>
      <c r="D52" s="2253"/>
      <c r="E52" s="2224"/>
      <c r="F52" s="2251" t="s">
        <v>204</v>
      </c>
      <c r="G52" s="2251" t="s">
        <v>204</v>
      </c>
      <c r="H52" s="2250">
        <v>6.666666666666667</v>
      </c>
    </row>
    <row r="53" spans="1:10" s="158" customFormat="1" ht="15.2" customHeight="1">
      <c r="B53" s="2228" t="s">
        <v>193</v>
      </c>
      <c r="C53" s="167"/>
      <c r="D53" s="2253"/>
      <c r="E53" s="2224"/>
      <c r="F53" s="2251">
        <v>2.0144367970454926</v>
      </c>
      <c r="G53" s="2251">
        <v>2.0144367970454926</v>
      </c>
      <c r="H53" s="2250">
        <v>1.7413108588145156</v>
      </c>
    </row>
    <row r="54" spans="1:10" s="158" customFormat="1" ht="15.2" customHeight="1">
      <c r="B54" s="2228" t="s">
        <v>194</v>
      </c>
      <c r="C54" s="167"/>
      <c r="D54" s="2253"/>
      <c r="E54" s="2224"/>
      <c r="F54" s="2251">
        <v>8.6580086580086579</v>
      </c>
      <c r="G54" s="2251">
        <v>8.6580086580086579</v>
      </c>
      <c r="H54" s="2250">
        <v>5.8275058275058278</v>
      </c>
    </row>
    <row r="55" spans="1:10" s="158" customFormat="1" ht="15.2" customHeight="1">
      <c r="B55" s="2228" t="s">
        <v>195</v>
      </c>
      <c r="C55" s="167"/>
      <c r="D55" s="2253"/>
      <c r="E55" s="2224"/>
      <c r="F55" s="2251" t="s">
        <v>204</v>
      </c>
      <c r="G55" s="2251" t="s">
        <v>204</v>
      </c>
      <c r="H55" s="2250">
        <v>0</v>
      </c>
    </row>
    <row r="56" spans="1:10" s="158" customFormat="1" ht="15.2" customHeight="1">
      <c r="B56" s="2228" t="s">
        <v>196</v>
      </c>
      <c r="C56" s="172"/>
      <c r="D56" s="165"/>
      <c r="E56" s="2224"/>
      <c r="F56" s="2251">
        <v>0.31510950055144166</v>
      </c>
      <c r="G56" s="2251">
        <v>0.31510950055144166</v>
      </c>
      <c r="H56" s="2250">
        <v>0.27545553459032879</v>
      </c>
    </row>
    <row r="57" spans="1:10" s="158" customFormat="1" ht="15.2" customHeight="1">
      <c r="B57" s="2228" t="s">
        <v>197</v>
      </c>
      <c r="C57" s="172"/>
      <c r="D57" s="165"/>
      <c r="E57" s="2224"/>
      <c r="F57" s="2251">
        <v>0.59014458542342874</v>
      </c>
      <c r="G57" s="2251">
        <v>0.59014458542342874</v>
      </c>
      <c r="H57" s="2250">
        <v>2.9911462072266093</v>
      </c>
    </row>
    <row r="58" spans="1:10" s="158" customFormat="1" ht="15.2" customHeight="1">
      <c r="B58" s="2252" t="s">
        <v>198</v>
      </c>
      <c r="C58" s="172"/>
      <c r="D58" s="165"/>
      <c r="E58" s="168"/>
      <c r="F58" s="2251"/>
      <c r="G58" s="2251"/>
      <c r="H58" s="183"/>
    </row>
    <row r="59" spans="1:10" s="158" customFormat="1" ht="15.2" customHeight="1">
      <c r="B59" s="2228" t="s">
        <v>199</v>
      </c>
      <c r="C59" s="172"/>
      <c r="D59" s="165"/>
      <c r="E59" s="2224"/>
      <c r="F59" s="2251">
        <v>0.26295030239284772</v>
      </c>
      <c r="G59" s="2251">
        <v>0.26295030239284772</v>
      </c>
      <c r="H59" s="2250">
        <v>0</v>
      </c>
    </row>
    <row r="60" spans="1:10" s="158" customFormat="1" ht="15.2" customHeight="1">
      <c r="B60" s="2228" t="s">
        <v>200</v>
      </c>
      <c r="C60" s="172"/>
      <c r="D60" s="165"/>
      <c r="E60" s="2224"/>
      <c r="F60" s="2251" t="s">
        <v>204</v>
      </c>
      <c r="G60" s="2251" t="s">
        <v>204</v>
      </c>
      <c r="H60" s="2250">
        <v>1.6636167027116953</v>
      </c>
    </row>
    <row r="61" spans="1:10" s="158" customFormat="1" ht="15.2" customHeight="1">
      <c r="B61" s="2252" t="s">
        <v>201</v>
      </c>
      <c r="C61" s="172"/>
      <c r="D61" s="165"/>
      <c r="E61" s="168"/>
      <c r="F61" s="2251"/>
      <c r="G61" s="2251"/>
      <c r="H61" s="183"/>
    </row>
    <row r="62" spans="1:10" s="158" customFormat="1" ht="15.2" customHeight="1">
      <c r="B62" s="2228" t="s">
        <v>202</v>
      </c>
      <c r="C62" s="172"/>
      <c r="D62" s="165"/>
      <c r="E62" s="2224"/>
      <c r="F62" s="2251">
        <v>1.5843675732770002</v>
      </c>
      <c r="G62" s="2251">
        <v>1.5843675732770002</v>
      </c>
      <c r="H62" s="2250">
        <v>1.6568406809615197</v>
      </c>
    </row>
    <row r="63" spans="1:10" s="158" customFormat="1" ht="15.2" customHeight="1">
      <c r="B63" s="2249"/>
      <c r="C63" s="172"/>
      <c r="D63" s="165"/>
      <c r="E63" s="183"/>
      <c r="F63" s="183"/>
      <c r="G63" s="183"/>
    </row>
    <row r="64" spans="1:10" s="176" customFormat="1" ht="8.1" customHeight="1" thickBot="1">
      <c r="A64" s="174"/>
      <c r="B64" s="174"/>
      <c r="C64" s="174"/>
      <c r="D64" s="174"/>
      <c r="E64" s="2221"/>
      <c r="F64" s="2221"/>
      <c r="G64" s="2221"/>
      <c r="H64" s="174"/>
      <c r="I64" s="158"/>
      <c r="J64" s="158"/>
    </row>
    <row r="65" spans="2:10" s="176" customFormat="1" ht="15.2" customHeight="1">
      <c r="D65" s="2220"/>
      <c r="E65" s="2217"/>
      <c r="F65" s="2217"/>
      <c r="G65" s="2217"/>
      <c r="H65" s="2219" t="s">
        <v>1838</v>
      </c>
      <c r="I65" s="158"/>
      <c r="J65" s="158"/>
    </row>
    <row r="66" spans="2:10" s="176" customFormat="1" ht="15.2" customHeight="1">
      <c r="B66" s="83"/>
      <c r="C66" s="82"/>
      <c r="D66" s="2218"/>
      <c r="E66" s="2217"/>
      <c r="F66" s="2217"/>
      <c r="G66" s="2217"/>
      <c r="H66" s="2216" t="s">
        <v>1837</v>
      </c>
      <c r="J66" s="158"/>
    </row>
  </sheetData>
  <mergeCells count="1">
    <mergeCell ref="B4:C4"/>
  </mergeCells>
  <conditionalFormatting sqref="C9">
    <cfRule type="cellIs" dxfId="14" priority="2" stopIfTrue="1" operator="lessThan">
      <formula>0</formula>
    </cfRule>
  </conditionalFormatting>
  <conditionalFormatting sqref="C11:C13">
    <cfRule type="cellIs" dxfId="13" priority="8" stopIfTrue="1" operator="lessThan">
      <formula>0</formula>
    </cfRule>
  </conditionalFormatting>
  <conditionalFormatting sqref="C15:C17">
    <cfRule type="cellIs" dxfId="12" priority="6" stopIfTrue="1" operator="lessThan">
      <formula>0</formula>
    </cfRule>
  </conditionalFormatting>
  <conditionalFormatting sqref="C21:C25">
    <cfRule type="cellIs" dxfId="11" priority="7" stopIfTrue="1" operator="lessThan">
      <formula>0</formula>
    </cfRule>
  </conditionalFormatting>
  <conditionalFormatting sqref="C35">
    <cfRule type="cellIs" dxfId="10" priority="9" stopIfTrue="1" operator="lessThan">
      <formula>0</formula>
    </cfRule>
  </conditionalFormatting>
  <conditionalFormatting sqref="C39">
    <cfRule type="cellIs" dxfId="9" priority="1" stopIfTrue="1" operator="lessThan">
      <formula>0</formula>
    </cfRule>
  </conditionalFormatting>
  <conditionalFormatting sqref="C41:C43">
    <cfRule type="cellIs" dxfId="8" priority="5" stopIfTrue="1" operator="lessThan">
      <formula>0</formula>
    </cfRule>
  </conditionalFormatting>
  <conditionalFormatting sqref="C45:C47">
    <cfRule type="cellIs" dxfId="7" priority="3" stopIfTrue="1" operator="lessThan">
      <formula>0</formula>
    </cfRule>
  </conditionalFormatting>
  <conditionalFormatting sqref="C51:C55">
    <cfRule type="cellIs" dxfId="6" priority="4"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71" orientation="portrait"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588A2-1BD5-41F8-87F2-D2DB8C398A82}">
  <sheetPr>
    <tabColor theme="4" tint="0.39997558519241921"/>
    <pageSetUpPr fitToPage="1"/>
  </sheetPr>
  <dimension ref="A1:AO55"/>
  <sheetViews>
    <sheetView view="pageBreakPreview" topLeftCell="A40" zoomScale="90" zoomScaleNormal="100" zoomScaleSheetLayoutView="90" workbookViewId="0">
      <selection activeCell="K55" sqref="K55"/>
    </sheetView>
  </sheetViews>
  <sheetFormatPr defaultRowHeight="15"/>
  <cols>
    <col min="1" max="2" width="1.5703125" customWidth="1"/>
    <col min="3" max="3" width="11.28515625" customWidth="1"/>
    <col min="4" max="4" width="84.140625" customWidth="1"/>
    <col min="5" max="5" width="3.28515625" customWidth="1"/>
    <col min="6" max="6" width="16.140625" customWidth="1"/>
    <col min="7" max="7" width="16.5703125" customWidth="1"/>
  </cols>
  <sheetData>
    <row r="1" spans="1:41" s="186" customFormat="1" ht="7.5" customHeight="1">
      <c r="D1" s="187"/>
    </row>
    <row r="2" spans="1:41" s="190" customFormat="1" ht="17.25" customHeight="1">
      <c r="A2" s="186"/>
      <c r="B2" s="186"/>
      <c r="C2" s="188" t="s">
        <v>1860</v>
      </c>
      <c r="D2" s="1453" t="s">
        <v>1859</v>
      </c>
      <c r="E2" s="189"/>
      <c r="F2" s="189"/>
      <c r="G2" s="2263"/>
    </row>
    <row r="3" spans="1:41" s="191" customFormat="1" ht="17.25" customHeight="1">
      <c r="B3" s="192" t="s">
        <v>207</v>
      </c>
      <c r="C3" s="1452" t="s">
        <v>1858</v>
      </c>
      <c r="D3" s="192" t="s">
        <v>1857</v>
      </c>
      <c r="E3" s="192"/>
      <c r="F3" s="192"/>
      <c r="G3" s="1452"/>
    </row>
    <row r="4" spans="1:41" s="193" customFormat="1" ht="18" customHeight="1" thickBot="1">
      <c r="B4" s="194"/>
      <c r="C4" s="2768"/>
      <c r="D4" s="2768"/>
      <c r="E4" s="195"/>
      <c r="F4" s="196"/>
    </row>
    <row r="5" spans="1:41" s="201" customFormat="1" ht="4.9000000000000004" customHeight="1">
      <c r="A5" s="194"/>
      <c r="B5" s="197"/>
      <c r="C5" s="2769"/>
      <c r="D5" s="2769"/>
      <c r="E5" s="198"/>
      <c r="F5" s="199"/>
      <c r="G5" s="200"/>
      <c r="H5" s="194"/>
      <c r="I5" s="194"/>
      <c r="J5" s="194"/>
      <c r="K5" s="194"/>
      <c r="L5" s="194"/>
      <c r="M5" s="194"/>
      <c r="N5" s="194"/>
      <c r="O5" s="194"/>
      <c r="P5" s="194"/>
      <c r="Q5" s="194"/>
      <c r="R5" s="194"/>
      <c r="S5" s="194"/>
      <c r="T5" s="194"/>
      <c r="U5" s="194"/>
      <c r="V5" s="194"/>
      <c r="W5" s="194"/>
      <c r="X5" s="194"/>
      <c r="Y5" s="194"/>
      <c r="Z5" s="194"/>
      <c r="AA5" s="194"/>
      <c r="AB5" s="194"/>
      <c r="AC5" s="194"/>
      <c r="AD5" s="194"/>
      <c r="AE5" s="194"/>
      <c r="AF5" s="194"/>
      <c r="AG5" s="194"/>
      <c r="AH5" s="194"/>
      <c r="AI5" s="194"/>
      <c r="AJ5" s="194"/>
      <c r="AK5" s="194"/>
      <c r="AL5" s="194"/>
      <c r="AM5" s="194"/>
      <c r="AN5" s="194"/>
      <c r="AO5" s="194"/>
    </row>
    <row r="6" spans="1:41" s="205" customFormat="1" ht="34.9" customHeight="1" thickBot="1">
      <c r="A6" s="193"/>
      <c r="B6" s="202"/>
      <c r="C6" s="2888" t="s">
        <v>988</v>
      </c>
      <c r="D6" s="2888"/>
      <c r="E6" s="203"/>
      <c r="F6" s="204">
        <v>2024</v>
      </c>
      <c r="G6" s="204">
        <v>2025</v>
      </c>
      <c r="H6" s="193"/>
      <c r="I6" s="193"/>
      <c r="J6" s="193"/>
      <c r="K6" s="193"/>
      <c r="L6" s="193"/>
      <c r="M6" s="193"/>
      <c r="N6" s="193"/>
      <c r="O6" s="193"/>
      <c r="P6" s="193"/>
      <c r="Q6" s="193"/>
      <c r="R6" s="193"/>
      <c r="S6" s="193"/>
      <c r="T6" s="193"/>
      <c r="U6" s="193"/>
      <c r="V6" s="193"/>
      <c r="W6" s="193"/>
      <c r="X6" s="193"/>
      <c r="Y6" s="193"/>
      <c r="Z6" s="193"/>
      <c r="AA6" s="193"/>
      <c r="AB6" s="193"/>
      <c r="AC6" s="193"/>
      <c r="AD6" s="193"/>
      <c r="AE6" s="193"/>
      <c r="AF6" s="193"/>
      <c r="AG6" s="193"/>
      <c r="AH6" s="193"/>
      <c r="AI6" s="193"/>
      <c r="AJ6" s="193"/>
      <c r="AK6" s="193"/>
      <c r="AL6" s="193"/>
      <c r="AM6" s="193"/>
      <c r="AN6" s="193"/>
      <c r="AO6" s="193"/>
    </row>
    <row r="7" spans="1:41" s="206" customFormat="1" ht="8.25" customHeight="1">
      <c r="C7" s="2771"/>
      <c r="D7" s="2771"/>
      <c r="E7" s="207"/>
      <c r="F7" s="208"/>
      <c r="G7" s="208"/>
    </row>
    <row r="8" spans="1:41" s="191" customFormat="1" ht="15.75" customHeight="1">
      <c r="C8" s="2772" t="s">
        <v>1095</v>
      </c>
      <c r="D8" s="2772"/>
      <c r="E8" s="206"/>
      <c r="F8" s="209"/>
      <c r="G8" s="209"/>
    </row>
    <row r="9" spans="1:41" s="186" customFormat="1" ht="18.75" customHeight="1">
      <c r="C9" s="2773" t="s">
        <v>1856</v>
      </c>
      <c r="D9" s="2773"/>
      <c r="F9" s="209"/>
      <c r="G9" s="209"/>
    </row>
    <row r="10" spans="1:41" s="191" customFormat="1" ht="15.75" customHeight="1">
      <c r="C10" s="2754" t="s">
        <v>208</v>
      </c>
      <c r="D10" s="2754"/>
      <c r="E10" s="206"/>
      <c r="F10" s="1590">
        <v>207943</v>
      </c>
      <c r="G10" s="1590">
        <v>207943</v>
      </c>
    </row>
    <row r="11" spans="1:41" s="186" customFormat="1" ht="15.75" customHeight="1">
      <c r="C11" s="2774" t="s">
        <v>209</v>
      </c>
      <c r="D11" s="2774"/>
      <c r="E11" s="191"/>
      <c r="F11" s="1591"/>
      <c r="G11" s="1591"/>
    </row>
    <row r="12" spans="1:41" s="186" customFormat="1" ht="18.75" customHeight="1">
      <c r="C12" s="2767"/>
      <c r="D12" s="2767"/>
      <c r="F12" s="1590"/>
      <c r="G12" s="1590"/>
    </row>
    <row r="13" spans="1:41" s="191" customFormat="1" ht="15.75" customHeight="1">
      <c r="C13" s="2775" t="s">
        <v>210</v>
      </c>
      <c r="D13" s="2775"/>
      <c r="E13" s="186"/>
      <c r="F13" s="1590">
        <v>2766234</v>
      </c>
      <c r="G13" s="1590">
        <v>2766234</v>
      </c>
      <c r="N13" s="210"/>
    </row>
    <row r="14" spans="1:41" s="186" customFormat="1" ht="15.75" customHeight="1">
      <c r="C14" s="2774" t="s">
        <v>211</v>
      </c>
      <c r="D14" s="2774"/>
      <c r="E14" s="191"/>
      <c r="F14" s="1591"/>
      <c r="G14" s="1591"/>
    </row>
    <row r="15" spans="1:41" s="186" customFormat="1" ht="18.75" customHeight="1">
      <c r="C15" s="2767"/>
      <c r="D15" s="2767"/>
      <c r="F15" s="1590"/>
      <c r="G15" s="1590"/>
    </row>
    <row r="16" spans="1:41" s="191" customFormat="1" ht="15.75" customHeight="1">
      <c r="C16" s="2775" t="s">
        <v>212</v>
      </c>
      <c r="D16" s="2775"/>
      <c r="E16" s="186"/>
      <c r="F16" s="1592">
        <v>1959787</v>
      </c>
      <c r="G16" s="1592">
        <v>1959787</v>
      </c>
    </row>
    <row r="17" spans="3:7" s="186" customFormat="1" ht="15.75" customHeight="1">
      <c r="C17" s="2774" t="s">
        <v>213</v>
      </c>
      <c r="D17" s="2774"/>
      <c r="E17" s="191"/>
      <c r="F17" s="1593"/>
      <c r="G17" s="1593"/>
    </row>
    <row r="18" spans="3:7" s="186" customFormat="1" ht="18.75" customHeight="1">
      <c r="C18" s="2767"/>
      <c r="D18" s="2767"/>
      <c r="F18" s="1592"/>
      <c r="G18" s="1592"/>
    </row>
    <row r="19" spans="3:7" s="191" customFormat="1" ht="15.75" customHeight="1">
      <c r="C19" s="2775" t="s">
        <v>214</v>
      </c>
      <c r="D19" s="2775"/>
      <c r="E19" s="186"/>
      <c r="F19" s="1590">
        <v>64904</v>
      </c>
      <c r="G19" s="1590">
        <v>64904</v>
      </c>
    </row>
    <row r="20" spans="3:7" s="186" customFormat="1" ht="15.75" customHeight="1">
      <c r="C20" s="2774" t="s">
        <v>215</v>
      </c>
      <c r="D20" s="2774"/>
      <c r="E20" s="191"/>
      <c r="F20" s="1591"/>
      <c r="G20" s="1591"/>
    </row>
    <row r="21" spans="3:7" s="186" customFormat="1" ht="18.75" customHeight="1">
      <c r="C21" s="2767"/>
      <c r="D21" s="2767"/>
      <c r="F21" s="1590"/>
      <c r="G21" s="1590"/>
    </row>
    <row r="22" spans="3:7" s="191" customFormat="1" ht="15.75" customHeight="1">
      <c r="C22" s="2775" t="s">
        <v>1855</v>
      </c>
      <c r="D22" s="2775"/>
      <c r="E22" s="186"/>
      <c r="F22" s="1590">
        <v>1610</v>
      </c>
      <c r="G22" s="1590">
        <v>1610</v>
      </c>
    </row>
    <row r="23" spans="3:7" s="186" customFormat="1" ht="15.75" customHeight="1">
      <c r="C23" s="2774" t="s">
        <v>1854</v>
      </c>
      <c r="D23" s="2774"/>
      <c r="E23" s="191"/>
      <c r="F23" s="1591"/>
      <c r="G23" s="1591"/>
    </row>
    <row r="24" spans="3:7" s="186" customFormat="1" ht="18.75" customHeight="1">
      <c r="C24" s="2767"/>
      <c r="D24" s="2767"/>
      <c r="F24" s="1590"/>
      <c r="G24" s="1590"/>
    </row>
    <row r="25" spans="3:7" s="191" customFormat="1" ht="15.75" customHeight="1">
      <c r="C25" s="2775" t="s">
        <v>1853</v>
      </c>
      <c r="D25" s="2775"/>
      <c r="E25" s="186"/>
      <c r="F25" s="1592">
        <v>1065</v>
      </c>
      <c r="G25" s="1592">
        <v>1065</v>
      </c>
    </row>
    <row r="26" spans="3:7" s="186" customFormat="1" ht="15.75" customHeight="1">
      <c r="C26" s="2774" t="s">
        <v>1852</v>
      </c>
      <c r="D26" s="2774"/>
      <c r="E26" s="191"/>
      <c r="F26" s="1593"/>
      <c r="G26" s="1593"/>
    </row>
    <row r="27" spans="3:7" s="186" customFormat="1" ht="18.75" customHeight="1">
      <c r="C27" s="2776"/>
      <c r="D27" s="2776"/>
      <c r="F27" s="1592"/>
      <c r="G27" s="1592"/>
    </row>
    <row r="28" spans="3:7" s="212" customFormat="1" ht="15.75" customHeight="1">
      <c r="C28" s="2777" t="s">
        <v>1096</v>
      </c>
      <c r="D28" s="2777"/>
      <c r="E28" s="211"/>
      <c r="F28" s="1594"/>
      <c r="G28" s="1594"/>
    </row>
    <row r="29" spans="3:7" s="211" customFormat="1" ht="18.75" customHeight="1">
      <c r="C29" s="2773" t="s">
        <v>1851</v>
      </c>
      <c r="D29" s="2773"/>
      <c r="F29" s="1594"/>
      <c r="G29" s="1594"/>
    </row>
    <row r="30" spans="3:7" s="191" customFormat="1" ht="15.75" customHeight="1">
      <c r="C30" s="2775" t="s">
        <v>220</v>
      </c>
      <c r="D30" s="2775"/>
      <c r="E30" s="186"/>
      <c r="F30" s="1590">
        <v>297271</v>
      </c>
      <c r="G30" s="1590">
        <v>297271</v>
      </c>
    </row>
    <row r="31" spans="3:7" s="186" customFormat="1" ht="15.75" customHeight="1">
      <c r="C31" s="2774" t="s">
        <v>221</v>
      </c>
      <c r="D31" s="2774"/>
      <c r="E31" s="191"/>
      <c r="F31" s="1591"/>
      <c r="G31" s="1591"/>
    </row>
    <row r="32" spans="3:7" s="186" customFormat="1" ht="18.75" customHeight="1">
      <c r="C32" s="2767"/>
      <c r="D32" s="2767"/>
      <c r="F32" s="1590"/>
      <c r="G32" s="1590"/>
    </row>
    <row r="33" spans="1:9" s="191" customFormat="1" ht="15.75" customHeight="1">
      <c r="C33" s="2775" t="s">
        <v>222</v>
      </c>
      <c r="D33" s="2775"/>
      <c r="E33" s="186"/>
      <c r="F33" s="1590">
        <v>36974</v>
      </c>
      <c r="G33" s="1590">
        <v>36974</v>
      </c>
    </row>
    <row r="34" spans="1:9" s="186" customFormat="1" ht="15.75" customHeight="1">
      <c r="C34" s="2774" t="s">
        <v>211</v>
      </c>
      <c r="D34" s="2774"/>
      <c r="E34" s="191"/>
      <c r="F34" s="1591"/>
      <c r="G34" s="1591"/>
    </row>
    <row r="35" spans="1:9" s="186" customFormat="1" ht="18.75" customHeight="1">
      <c r="C35" s="2767"/>
      <c r="D35" s="2767"/>
      <c r="F35" s="1590"/>
      <c r="G35" s="1590"/>
    </row>
    <row r="36" spans="1:9" s="191" customFormat="1" ht="15.75" customHeight="1">
      <c r="C36" s="2775" t="s">
        <v>223</v>
      </c>
      <c r="D36" s="2775"/>
      <c r="E36" s="186"/>
      <c r="F36" s="1590">
        <v>98641</v>
      </c>
      <c r="G36" s="1590">
        <v>98641</v>
      </c>
    </row>
    <row r="37" spans="1:9" s="186" customFormat="1" ht="15.75" customHeight="1">
      <c r="C37" s="2774" t="s">
        <v>224</v>
      </c>
      <c r="D37" s="2774"/>
      <c r="E37" s="191"/>
      <c r="F37" s="1591"/>
      <c r="G37" s="1591"/>
    </row>
    <row r="38" spans="1:9" s="186" customFormat="1" ht="18.75" customHeight="1">
      <c r="C38" s="2767"/>
      <c r="D38" s="2767"/>
      <c r="F38" s="1590"/>
      <c r="G38" s="1590"/>
    </row>
    <row r="39" spans="1:9" s="191" customFormat="1" ht="15.75" customHeight="1">
      <c r="C39" s="2775" t="s">
        <v>225</v>
      </c>
      <c r="D39" s="2775"/>
      <c r="E39" s="186"/>
      <c r="F39" s="1592">
        <v>586</v>
      </c>
      <c r="G39" s="1592">
        <v>586</v>
      </c>
    </row>
    <row r="40" spans="1:9" s="186" customFormat="1" ht="15.75" customHeight="1">
      <c r="C40" s="2774" t="s">
        <v>226</v>
      </c>
      <c r="D40" s="2774"/>
      <c r="E40" s="191"/>
      <c r="F40" s="1593"/>
      <c r="G40" s="1593"/>
    </row>
    <row r="41" spans="1:9" s="186" customFormat="1" ht="18.75" customHeight="1">
      <c r="C41" s="2767"/>
      <c r="D41" s="2767"/>
      <c r="F41" s="1592"/>
      <c r="G41" s="1592"/>
    </row>
    <row r="42" spans="1:9" s="191" customFormat="1" ht="15.75" customHeight="1">
      <c r="C42" s="2775" t="s">
        <v>227</v>
      </c>
      <c r="D42" s="2775"/>
      <c r="E42" s="186"/>
      <c r="F42" s="1592">
        <v>69745</v>
      </c>
      <c r="G42" s="1592">
        <v>69745</v>
      </c>
    </row>
    <row r="43" spans="1:9" s="186" customFormat="1" ht="15.75" customHeight="1">
      <c r="C43" s="2774" t="s">
        <v>228</v>
      </c>
      <c r="D43" s="2774"/>
      <c r="E43" s="191"/>
      <c r="F43" s="1593"/>
      <c r="G43" s="1593"/>
    </row>
    <row r="44" spans="1:9" s="186" customFormat="1" ht="18.75" customHeight="1">
      <c r="C44" s="2767"/>
      <c r="D44" s="2767"/>
      <c r="F44" s="1592"/>
      <c r="G44" s="1592"/>
    </row>
    <row r="45" spans="1:9" s="191" customFormat="1" ht="15.75" customHeight="1">
      <c r="C45" s="2775" t="s">
        <v>229</v>
      </c>
      <c r="D45" s="2775"/>
      <c r="E45" s="186"/>
      <c r="F45" s="1592">
        <v>2319</v>
      </c>
      <c r="G45" s="1592">
        <v>2319</v>
      </c>
    </row>
    <row r="46" spans="1:9" s="193" customFormat="1" ht="15.75" customHeight="1">
      <c r="A46" s="186"/>
      <c r="C46" s="2774" t="s">
        <v>230</v>
      </c>
      <c r="D46" s="2774"/>
      <c r="E46" s="191"/>
      <c r="F46" s="191"/>
      <c r="G46" s="1595"/>
      <c r="I46" s="213"/>
    </row>
    <row r="47" spans="1:9" s="214" customFormat="1" ht="15.75" customHeight="1" thickBot="1">
      <c r="C47" s="2779"/>
      <c r="D47" s="2779"/>
      <c r="E47" s="215"/>
      <c r="F47" s="215"/>
      <c r="G47" s="216"/>
    </row>
    <row r="48" spans="1:9" s="214" customFormat="1" ht="15.2" customHeight="1">
      <c r="C48" s="2781" t="s">
        <v>1850</v>
      </c>
      <c r="D48" s="2781"/>
      <c r="E48" s="2781"/>
      <c r="F48" s="2781"/>
      <c r="G48" s="2781"/>
    </row>
    <row r="49" spans="1:7" s="214" customFormat="1" ht="15.2" customHeight="1">
      <c r="C49" s="2781" t="s">
        <v>231</v>
      </c>
      <c r="D49" s="2781"/>
      <c r="E49" s="2781"/>
      <c r="F49" s="2781"/>
      <c r="G49" s="2781"/>
    </row>
    <row r="50" spans="1:7" s="214" customFormat="1" ht="15.2" customHeight="1">
      <c r="A50" s="217"/>
      <c r="C50" s="2778" t="s">
        <v>232</v>
      </c>
      <c r="D50" s="2778"/>
      <c r="E50" s="2778"/>
      <c r="F50" s="2778"/>
      <c r="G50" s="2778"/>
    </row>
    <row r="51" spans="1:7" s="214" customFormat="1" ht="15.2" customHeight="1">
      <c r="G51" s="218" t="s">
        <v>233</v>
      </c>
    </row>
    <row r="52" spans="1:7" s="214" customFormat="1" ht="14.25">
      <c r="B52" s="219"/>
      <c r="C52" s="50" t="s">
        <v>234</v>
      </c>
      <c r="D52" s="220"/>
    </row>
    <row r="53" spans="1:7" s="214" customFormat="1" ht="15.75">
      <c r="C53" s="219" t="s">
        <v>1849</v>
      </c>
      <c r="D53" s="220"/>
    </row>
    <row r="54" spans="1:7" s="186" customFormat="1" ht="15.75">
      <c r="C54" s="221" t="s">
        <v>1848</v>
      </c>
      <c r="D54" s="220"/>
      <c r="E54" s="214"/>
      <c r="F54" s="214"/>
      <c r="G54" s="214"/>
    </row>
    <row r="55" spans="1:7" s="84" customFormat="1"/>
  </sheetData>
  <mergeCells count="47">
    <mergeCell ref="C49:G49"/>
    <mergeCell ref="C50:G50"/>
    <mergeCell ref="C45:D45"/>
    <mergeCell ref="C38:D38"/>
    <mergeCell ref="C39:D39"/>
    <mergeCell ref="C46:D46"/>
    <mergeCell ref="C47:D47"/>
    <mergeCell ref="C48:G48"/>
    <mergeCell ref="C40:D40"/>
    <mergeCell ref="C41:D41"/>
    <mergeCell ref="C42:D42"/>
    <mergeCell ref="C43:D43"/>
    <mergeCell ref="C44:D44"/>
    <mergeCell ref="C33:D33"/>
    <mergeCell ref="C34:D34"/>
    <mergeCell ref="C35:D35"/>
    <mergeCell ref="C36:D36"/>
    <mergeCell ref="C37:D37"/>
    <mergeCell ref="C31:D31"/>
    <mergeCell ref="C32:D32"/>
    <mergeCell ref="C21:D21"/>
    <mergeCell ref="C22:D22"/>
    <mergeCell ref="C23:D23"/>
    <mergeCell ref="C24:D24"/>
    <mergeCell ref="C25:D25"/>
    <mergeCell ref="C26:D26"/>
    <mergeCell ref="C27:D27"/>
    <mergeCell ref="C14:D14"/>
    <mergeCell ref="C15:D15"/>
    <mergeCell ref="C28:D28"/>
    <mergeCell ref="C29:D29"/>
    <mergeCell ref="C30:D30"/>
    <mergeCell ref="C16:D16"/>
    <mergeCell ref="C17:D17"/>
    <mergeCell ref="C18:D18"/>
    <mergeCell ref="C19:D19"/>
    <mergeCell ref="C20:D20"/>
    <mergeCell ref="C4:D4"/>
    <mergeCell ref="C5:D5"/>
    <mergeCell ref="C6:D6"/>
    <mergeCell ref="C7:D7"/>
    <mergeCell ref="C8:D8"/>
    <mergeCell ref="C9:D9"/>
    <mergeCell ref="C10:D10"/>
    <mergeCell ref="C11:D11"/>
    <mergeCell ref="C12:D12"/>
    <mergeCell ref="C13:D13"/>
  </mergeCells>
  <printOptions horizontalCentered="1"/>
  <pageMargins left="0.55118110236220474" right="0.55118110236220474" top="0.55118110236220474" bottom="0.55118110236220474" header="0.31496062992125984" footer="0.31496062992125984"/>
  <pageSetup paperSize="9" scale="67" orientation="portrait"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53505-5448-4E80-8904-8D446ECCFB7B}">
  <sheetPr>
    <tabColor theme="4" tint="0.39997558519241921"/>
  </sheetPr>
  <dimension ref="A1:N117"/>
  <sheetViews>
    <sheetView view="pageBreakPreview" topLeftCell="A103" zoomScale="94" zoomScaleNormal="100" zoomScaleSheetLayoutView="94" workbookViewId="0">
      <selection activeCell="I64" sqref="I64"/>
    </sheetView>
  </sheetViews>
  <sheetFormatPr defaultColWidth="8.85546875" defaultRowHeight="15"/>
  <cols>
    <col min="1" max="1" width="3.5703125" style="2148" customWidth="1"/>
    <col min="2" max="2" width="11.7109375" style="2148" customWidth="1"/>
    <col min="3" max="3" width="47.7109375" style="2148" bestFit="1" customWidth="1"/>
    <col min="4" max="4" width="15.28515625" style="2148" customWidth="1"/>
    <col min="5" max="5" width="15" style="2148" customWidth="1"/>
    <col min="6" max="6" width="15.42578125" style="2148" customWidth="1"/>
    <col min="7" max="7" width="15.7109375" style="2148" customWidth="1"/>
    <col min="8" max="16384" width="8.85546875" style="2148"/>
  </cols>
  <sheetData>
    <row r="1" spans="1:7" s="1995" customFormat="1" ht="13.5">
      <c r="B1" s="1996"/>
      <c r="C1" s="1996"/>
      <c r="D1" s="2288"/>
      <c r="E1" s="2296"/>
      <c r="F1" s="2295"/>
    </row>
    <row r="2" spans="1:7" s="2300" customFormat="1" ht="17.25" customHeight="1">
      <c r="B2" s="2311" t="s">
        <v>1870</v>
      </c>
      <c r="C2" s="2309" t="s">
        <v>2014</v>
      </c>
      <c r="D2" s="2310"/>
      <c r="F2" s="2309"/>
      <c r="G2" s="2309"/>
    </row>
    <row r="3" spans="1:7" s="2306" customFormat="1" ht="17.25" customHeight="1">
      <c r="B3" s="2317" t="s">
        <v>1869</v>
      </c>
      <c r="C3" s="2306" t="s">
        <v>2015</v>
      </c>
      <c r="D3" s="2307"/>
      <c r="E3" s="2307"/>
      <c r="F3" s="2307"/>
    </row>
    <row r="4" spans="1:7" s="2300" customFormat="1" ht="8.1" customHeight="1" thickBot="1">
      <c r="A4" s="2301"/>
      <c r="B4" s="2305"/>
      <c r="C4" s="2305"/>
      <c r="D4" s="2304"/>
      <c r="E4" s="2303"/>
      <c r="F4" s="2302"/>
      <c r="G4" s="2301"/>
    </row>
    <row r="5" spans="1:7" s="2295" customFormat="1" ht="30" customHeight="1" thickBot="1">
      <c r="A5" s="2299"/>
      <c r="B5" s="2889" t="s">
        <v>1868</v>
      </c>
      <c r="C5" s="2889"/>
      <c r="D5" s="2298"/>
      <c r="E5" s="2298">
        <v>2023</v>
      </c>
      <c r="F5" s="2298">
        <v>2024</v>
      </c>
      <c r="G5" s="2298">
        <v>2025</v>
      </c>
    </row>
    <row r="6" spans="1:7" s="1995" customFormat="1" ht="6" customHeight="1">
      <c r="B6" s="2002"/>
      <c r="C6" s="2002"/>
      <c r="D6" s="2297"/>
      <c r="E6" s="2296"/>
      <c r="F6" s="2295"/>
    </row>
    <row r="7" spans="1:7" s="1995" customFormat="1" ht="8.65" customHeight="1">
      <c r="B7" s="2002"/>
      <c r="C7" s="2002"/>
      <c r="D7" s="2297"/>
      <c r="E7" s="2296"/>
      <c r="F7" s="2295"/>
    </row>
    <row r="8" spans="1:7" s="1995" customFormat="1" ht="12.95" customHeight="1">
      <c r="B8" s="2002" t="s">
        <v>1875</v>
      </c>
      <c r="C8" s="2316"/>
      <c r="D8" s="2003"/>
      <c r="E8" s="2003"/>
      <c r="F8" s="2003"/>
    </row>
    <row r="9" spans="1:7" s="1995" customFormat="1" ht="12.95" customHeight="1">
      <c r="B9" s="2315" t="s">
        <v>1874</v>
      </c>
      <c r="C9" s="2004"/>
      <c r="D9" s="2297"/>
      <c r="E9" s="2297"/>
      <c r="F9" s="2297"/>
    </row>
    <row r="10" spans="1:7" s="1995" customFormat="1" ht="12.95" customHeight="1">
      <c r="B10" s="2315"/>
      <c r="C10" s="2004"/>
      <c r="D10" s="2289"/>
      <c r="E10" s="2314"/>
      <c r="F10" s="2297"/>
    </row>
    <row r="11" spans="1:7" s="2002" customFormat="1" ht="12.95" customHeight="1">
      <c r="B11" s="2004" t="s">
        <v>235</v>
      </c>
      <c r="C11" s="2004"/>
      <c r="D11" s="2294"/>
      <c r="E11" s="2313">
        <v>370</v>
      </c>
      <c r="F11" s="2003">
        <v>2609</v>
      </c>
      <c r="G11" s="2003">
        <v>4933</v>
      </c>
    </row>
    <row r="12" spans="1:7" s="2002" customFormat="1" ht="12" customHeight="1">
      <c r="B12" s="2004"/>
      <c r="C12" s="2004"/>
      <c r="D12" s="2294"/>
      <c r="E12" s="2313"/>
      <c r="F12" s="2003"/>
      <c r="G12" s="2003"/>
    </row>
    <row r="13" spans="1:7" s="1995" customFormat="1" ht="12.95" customHeight="1">
      <c r="B13" s="2291" t="s">
        <v>1873</v>
      </c>
      <c r="C13" s="1996"/>
      <c r="D13" s="2294"/>
      <c r="E13" s="2290">
        <v>401</v>
      </c>
      <c r="F13" s="2290">
        <v>3441</v>
      </c>
      <c r="G13" s="2290">
        <v>5326</v>
      </c>
    </row>
    <row r="14" spans="1:7" s="1995" customFormat="1" ht="12.95" customHeight="1">
      <c r="B14" s="2292"/>
      <c r="C14" s="1996"/>
      <c r="D14" s="222"/>
      <c r="E14" s="1605"/>
      <c r="F14" s="1991"/>
      <c r="G14" s="1605"/>
    </row>
    <row r="15" spans="1:7" s="1995" customFormat="1" ht="12.95" customHeight="1">
      <c r="B15" s="2291" t="s">
        <v>1719</v>
      </c>
      <c r="C15" s="1996"/>
      <c r="D15" s="222"/>
      <c r="E15" s="2290">
        <v>401</v>
      </c>
      <c r="F15" s="2290">
        <v>3441</v>
      </c>
      <c r="G15" s="2290">
        <v>5326</v>
      </c>
    </row>
    <row r="16" spans="1:7" s="1995" customFormat="1" ht="12.95" customHeight="1">
      <c r="B16" s="2292"/>
      <c r="C16" s="1996"/>
      <c r="D16" s="222"/>
      <c r="E16" s="2293"/>
      <c r="F16" s="1991"/>
      <c r="G16" s="1605"/>
    </row>
    <row r="17" spans="2:7" s="1995" customFormat="1" ht="12.95" customHeight="1">
      <c r="B17" s="2291" t="s">
        <v>1718</v>
      </c>
      <c r="C17" s="1996"/>
      <c r="D17" s="222"/>
      <c r="E17" s="2290">
        <v>401</v>
      </c>
      <c r="F17" s="2290">
        <v>3441</v>
      </c>
      <c r="G17" s="2290">
        <v>5326</v>
      </c>
    </row>
    <row r="18" spans="2:7" s="1995" customFormat="1" ht="12.95" customHeight="1">
      <c r="B18" s="2292"/>
      <c r="C18" s="1996"/>
      <c r="D18" s="2001"/>
      <c r="E18" s="1605"/>
      <c r="F18" s="1991"/>
      <c r="G18" s="1605"/>
    </row>
    <row r="19" spans="2:7" s="1995" customFormat="1" ht="12.95" customHeight="1">
      <c r="B19" s="2291" t="s">
        <v>1717</v>
      </c>
      <c r="C19" s="1996"/>
      <c r="D19" s="1998"/>
      <c r="E19" s="2290">
        <v>401</v>
      </c>
      <c r="F19" s="2290">
        <v>3441</v>
      </c>
      <c r="G19" s="2290">
        <v>5326</v>
      </c>
    </row>
    <row r="20" spans="2:7" s="1995" customFormat="1" ht="12.95" customHeight="1">
      <c r="B20" s="2292"/>
      <c r="C20" s="1996"/>
      <c r="D20" s="1998"/>
      <c r="E20" s="1605"/>
      <c r="F20" s="1991"/>
      <c r="G20" s="1605"/>
    </row>
    <row r="21" spans="2:7" s="1995" customFormat="1" ht="12.95" customHeight="1">
      <c r="B21" s="2291" t="s">
        <v>1716</v>
      </c>
      <c r="C21" s="1996"/>
      <c r="D21" s="1998"/>
      <c r="E21" s="2290">
        <v>401</v>
      </c>
      <c r="F21" s="2290">
        <v>3441</v>
      </c>
      <c r="G21" s="2290">
        <v>5326</v>
      </c>
    </row>
    <row r="22" spans="2:7" s="1995" customFormat="1" ht="12.95" customHeight="1">
      <c r="B22" s="2292"/>
      <c r="C22" s="1996"/>
      <c r="D22" s="2001"/>
      <c r="E22" s="1605"/>
      <c r="F22" s="1991"/>
      <c r="G22" s="1605"/>
    </row>
    <row r="23" spans="2:7" s="1995" customFormat="1" ht="12.95" customHeight="1">
      <c r="B23" s="2291" t="s">
        <v>1589</v>
      </c>
      <c r="C23" s="1996"/>
      <c r="D23" s="2001"/>
      <c r="E23" s="2290">
        <v>401</v>
      </c>
      <c r="F23" s="2290">
        <v>3441</v>
      </c>
      <c r="G23" s="2290">
        <v>5326</v>
      </c>
    </row>
    <row r="24" spans="2:7" s="1995" customFormat="1" ht="12.95" customHeight="1">
      <c r="B24" s="2292"/>
      <c r="C24" s="1996"/>
      <c r="D24" s="2001"/>
      <c r="E24" s="2293"/>
      <c r="F24" s="1991"/>
      <c r="G24" s="1605"/>
    </row>
    <row r="25" spans="2:7" s="1995" customFormat="1" ht="12.95" customHeight="1">
      <c r="B25" s="2291" t="s">
        <v>1715</v>
      </c>
      <c r="C25" s="1996"/>
      <c r="D25" s="2001"/>
      <c r="E25" s="2290">
        <v>401</v>
      </c>
      <c r="F25" s="2290">
        <v>3441</v>
      </c>
      <c r="G25" s="2290">
        <v>5326</v>
      </c>
    </row>
    <row r="26" spans="2:7" s="1995" customFormat="1" ht="12.95" customHeight="1">
      <c r="B26" s="2292"/>
      <c r="C26" s="1996"/>
      <c r="D26" s="2294"/>
      <c r="E26" s="1605"/>
      <c r="F26" s="1991"/>
      <c r="G26" s="1605"/>
    </row>
    <row r="27" spans="2:7" s="1995" customFormat="1" ht="12.95" customHeight="1">
      <c r="B27" s="2291" t="s">
        <v>1714</v>
      </c>
      <c r="C27" s="1996"/>
      <c r="D27" s="2289"/>
      <c r="E27" s="2290">
        <v>401</v>
      </c>
      <c r="F27" s="2290">
        <v>3441</v>
      </c>
      <c r="G27" s="2290">
        <v>5326</v>
      </c>
    </row>
    <row r="28" spans="2:7" s="1995" customFormat="1" ht="12.95" customHeight="1">
      <c r="B28" s="2292"/>
      <c r="C28" s="1996"/>
      <c r="D28" s="2289"/>
      <c r="E28" s="1992"/>
      <c r="F28" s="1991"/>
      <c r="G28" s="1605"/>
    </row>
    <row r="29" spans="2:7" s="1995" customFormat="1" ht="12.95" customHeight="1">
      <c r="B29" s="2291" t="s">
        <v>1713</v>
      </c>
      <c r="C29" s="1996"/>
      <c r="D29" s="2289"/>
      <c r="E29" s="2290">
        <v>401</v>
      </c>
      <c r="F29" s="2290">
        <v>3441</v>
      </c>
      <c r="G29" s="2290">
        <v>5326</v>
      </c>
    </row>
    <row r="30" spans="2:7" s="1995" customFormat="1" ht="12.95" customHeight="1">
      <c r="B30" s="2292"/>
      <c r="C30" s="1996"/>
      <c r="D30" s="2289"/>
      <c r="E30" s="1605"/>
      <c r="F30" s="1991"/>
      <c r="G30" s="1605"/>
    </row>
    <row r="31" spans="2:7" s="1995" customFormat="1" ht="12.95" customHeight="1">
      <c r="B31" s="2291" t="s">
        <v>1711</v>
      </c>
      <c r="C31" s="1996"/>
      <c r="D31" s="222"/>
      <c r="E31" s="2290">
        <v>401</v>
      </c>
      <c r="F31" s="2290">
        <v>3441</v>
      </c>
      <c r="G31" s="2290">
        <v>5326</v>
      </c>
    </row>
    <row r="32" spans="2:7" s="1995" customFormat="1" ht="12.95" customHeight="1">
      <c r="B32" s="2292"/>
      <c r="C32" s="1996"/>
      <c r="D32" s="222"/>
      <c r="E32" s="2293"/>
      <c r="F32" s="1991"/>
      <c r="G32" s="1605"/>
    </row>
    <row r="33" spans="2:7" s="1995" customFormat="1" ht="12.95" customHeight="1">
      <c r="B33" s="2291" t="s">
        <v>1710</v>
      </c>
      <c r="C33" s="1996"/>
      <c r="D33" s="222"/>
      <c r="E33" s="2290">
        <v>401</v>
      </c>
      <c r="F33" s="2290">
        <v>3441</v>
      </c>
      <c r="G33" s="2290">
        <v>5326</v>
      </c>
    </row>
    <row r="34" spans="2:7" s="1995" customFormat="1" ht="12.95" customHeight="1">
      <c r="B34" s="2292"/>
      <c r="C34" s="1996"/>
      <c r="D34" s="2001"/>
      <c r="E34" s="1605"/>
      <c r="F34" s="1991"/>
      <c r="G34" s="1605"/>
    </row>
    <row r="35" spans="2:7" s="1995" customFormat="1" ht="12.95" customHeight="1">
      <c r="B35" s="2291" t="s">
        <v>1709</v>
      </c>
      <c r="C35" s="1996"/>
      <c r="D35" s="1998"/>
      <c r="E35" s="2290">
        <v>401</v>
      </c>
      <c r="F35" s="2290">
        <v>3441</v>
      </c>
      <c r="G35" s="2290">
        <v>5326</v>
      </c>
    </row>
    <row r="36" spans="2:7" s="1995" customFormat="1" ht="12.95" customHeight="1">
      <c r="B36" s="2292"/>
      <c r="C36" s="1996"/>
      <c r="D36" s="1998"/>
      <c r="E36" s="2293"/>
      <c r="F36" s="2293"/>
      <c r="G36" s="1605"/>
    </row>
    <row r="37" spans="2:7" s="1995" customFormat="1" ht="12.95" customHeight="1">
      <c r="B37" s="2291" t="s">
        <v>1587</v>
      </c>
      <c r="C37" s="1996"/>
      <c r="D37" s="222"/>
      <c r="E37" s="2290">
        <v>401</v>
      </c>
      <c r="F37" s="2290">
        <v>3441</v>
      </c>
      <c r="G37" s="2290">
        <v>5326</v>
      </c>
    </row>
    <row r="38" spans="2:7" s="1995" customFormat="1" ht="12.95" customHeight="1">
      <c r="B38" s="2292"/>
      <c r="C38" s="1996"/>
      <c r="D38" s="2001"/>
      <c r="E38" s="1605"/>
      <c r="F38" s="1991"/>
      <c r="G38" s="1605"/>
    </row>
    <row r="39" spans="2:7" s="1995" customFormat="1" ht="12.95" customHeight="1">
      <c r="B39" s="2291" t="s">
        <v>1585</v>
      </c>
      <c r="C39" s="1996"/>
      <c r="D39" s="1998"/>
      <c r="E39" s="2290">
        <v>401</v>
      </c>
      <c r="F39" s="2290">
        <v>3441</v>
      </c>
      <c r="G39" s="2290">
        <v>5326</v>
      </c>
    </row>
    <row r="40" spans="2:7" s="1995" customFormat="1" ht="12.95" customHeight="1">
      <c r="B40" s="2292"/>
      <c r="C40" s="1996"/>
      <c r="D40" s="1998"/>
      <c r="E40" s="2293"/>
      <c r="F40" s="1991"/>
      <c r="G40" s="1605"/>
    </row>
    <row r="41" spans="2:7" s="1995" customFormat="1" ht="12.95" customHeight="1">
      <c r="B41" s="2291" t="s">
        <v>1708</v>
      </c>
      <c r="C41" s="1996"/>
      <c r="D41" s="222"/>
      <c r="E41" s="2290">
        <v>401</v>
      </c>
      <c r="F41" s="2290">
        <v>3441</v>
      </c>
      <c r="G41" s="2290">
        <v>5326</v>
      </c>
    </row>
    <row r="42" spans="2:7" s="1995" customFormat="1" ht="12.95" customHeight="1">
      <c r="B42" s="2292"/>
      <c r="C42" s="1996"/>
      <c r="D42" s="2001"/>
      <c r="E42" s="1605"/>
      <c r="F42" s="1991"/>
      <c r="G42" s="1605"/>
    </row>
    <row r="43" spans="2:7" s="1995" customFormat="1" ht="12.95" customHeight="1">
      <c r="B43" s="2291" t="s">
        <v>1583</v>
      </c>
      <c r="C43" s="1996"/>
      <c r="D43" s="1998"/>
      <c r="E43" s="2290">
        <v>401</v>
      </c>
      <c r="F43" s="2290">
        <v>3441</v>
      </c>
      <c r="G43" s="2290">
        <v>5326</v>
      </c>
    </row>
    <row r="44" spans="2:7" s="1995" customFormat="1" ht="12.95" customHeight="1">
      <c r="B44" s="2292"/>
      <c r="C44" s="1996"/>
      <c r="D44" s="1998"/>
      <c r="E44" s="1992"/>
      <c r="F44" s="1992"/>
      <c r="G44" s="1605"/>
    </row>
    <row r="45" spans="2:7" s="1995" customFormat="1" ht="12.95" customHeight="1">
      <c r="B45" s="2291" t="s">
        <v>1707</v>
      </c>
      <c r="C45" s="1996"/>
      <c r="D45" s="1998"/>
      <c r="E45" s="2290">
        <v>401</v>
      </c>
      <c r="F45" s="2290">
        <v>3441</v>
      </c>
      <c r="G45" s="2290">
        <v>5326</v>
      </c>
    </row>
    <row r="46" spans="2:7" s="1995" customFormat="1" ht="12.95" customHeight="1">
      <c r="B46" s="2292"/>
      <c r="C46" s="1996"/>
      <c r="D46" s="2001"/>
      <c r="E46" s="1605"/>
      <c r="F46" s="1991"/>
      <c r="G46" s="1605"/>
    </row>
    <row r="47" spans="2:7" s="1995" customFormat="1" ht="12.95" customHeight="1">
      <c r="B47" s="2291" t="s">
        <v>1706</v>
      </c>
      <c r="C47" s="1996"/>
      <c r="D47" s="1998"/>
      <c r="E47" s="2290">
        <v>401</v>
      </c>
      <c r="F47" s="2290">
        <v>3441</v>
      </c>
      <c r="G47" s="2290">
        <v>5326</v>
      </c>
    </row>
    <row r="48" spans="2:7" s="1995" customFormat="1" ht="12.95" customHeight="1">
      <c r="B48" s="2292"/>
      <c r="C48" s="1996"/>
      <c r="D48" s="1998"/>
      <c r="E48" s="2293"/>
      <c r="F48" s="1991"/>
      <c r="G48" s="1605"/>
    </row>
    <row r="49" spans="1:14" s="1995" customFormat="1" ht="12.95" customHeight="1">
      <c r="B49" s="2291" t="s">
        <v>1705</v>
      </c>
      <c r="C49" s="1996"/>
      <c r="D49" s="1998"/>
      <c r="E49" s="2290">
        <v>401</v>
      </c>
      <c r="F49" s="2290">
        <v>3441</v>
      </c>
      <c r="G49" s="2290">
        <v>5326</v>
      </c>
    </row>
    <row r="50" spans="1:14" s="1995" customFormat="1" ht="12.95" customHeight="1">
      <c r="B50" s="2292"/>
      <c r="C50" s="1996"/>
      <c r="D50" s="2001"/>
      <c r="E50" s="1605"/>
      <c r="F50" s="1991"/>
      <c r="G50" s="1605"/>
    </row>
    <row r="51" spans="1:14" s="1995" customFormat="1" ht="12.95" customHeight="1">
      <c r="B51" s="2291" t="s">
        <v>1712</v>
      </c>
      <c r="C51" s="1996"/>
      <c r="D51" s="1998"/>
      <c r="E51" s="2290">
        <v>401</v>
      </c>
      <c r="F51" s="2290">
        <v>3441</v>
      </c>
      <c r="G51" s="2290">
        <v>5326</v>
      </c>
    </row>
    <row r="52" spans="1:14" s="1995" customFormat="1" ht="12.95" customHeight="1">
      <c r="B52" s="2001"/>
      <c r="C52" s="1996"/>
      <c r="D52" s="1998"/>
      <c r="E52" s="2289"/>
      <c r="F52" s="2288"/>
    </row>
    <row r="53" spans="1:14" s="1995" customFormat="1" ht="6" customHeight="1" thickBot="1">
      <c r="A53" s="2283"/>
      <c r="B53" s="2287"/>
      <c r="C53" s="2286"/>
      <c r="D53" s="2285"/>
      <c r="E53" s="2284"/>
      <c r="F53" s="2284"/>
      <c r="G53" s="2283"/>
    </row>
    <row r="54" spans="1:14" s="2276" customFormat="1" ht="15.2" customHeight="1">
      <c r="C54" s="2780" t="s">
        <v>236</v>
      </c>
      <c r="D54" s="2780"/>
      <c r="E54" s="2780"/>
      <c r="F54" s="2780"/>
      <c r="G54" s="2780"/>
    </row>
    <row r="55" spans="1:14" s="2276" customFormat="1" ht="15.2" customHeight="1">
      <c r="A55" s="2282"/>
      <c r="C55" s="2890" t="s">
        <v>1872</v>
      </c>
      <c r="D55" s="2890"/>
      <c r="E55" s="2890"/>
      <c r="F55" s="2890"/>
      <c r="G55" s="2890"/>
    </row>
    <row r="56" spans="1:14" s="2276" customFormat="1" ht="14.25">
      <c r="B56" s="2279" t="s">
        <v>1863</v>
      </c>
      <c r="C56" s="2279"/>
      <c r="D56" s="2278"/>
      <c r="G56" s="2281"/>
    </row>
    <row r="57" spans="1:14" s="2276" customFormat="1" ht="8.1" customHeight="1">
      <c r="B57" s="2279"/>
      <c r="C57" s="2279"/>
      <c r="D57" s="2278"/>
      <c r="G57" s="2281"/>
    </row>
    <row r="58" spans="1:14" s="2276" customFormat="1" ht="14.25">
      <c r="A58" s="2280" t="s">
        <v>3</v>
      </c>
      <c r="B58" s="2279" t="s">
        <v>237</v>
      </c>
      <c r="C58" s="2279"/>
      <c r="D58" s="2278"/>
      <c r="G58" s="2277"/>
    </row>
    <row r="59" spans="1:14" s="2264" customFormat="1" ht="14.25">
      <c r="A59" s="2271"/>
      <c r="B59" s="2275" t="s">
        <v>238</v>
      </c>
      <c r="C59" s="2275"/>
      <c r="D59" s="2272"/>
      <c r="E59" s="2271"/>
      <c r="H59" s="2270"/>
      <c r="I59" s="2269"/>
    </row>
    <row r="60" spans="1:14" s="2264" customFormat="1" ht="14.25">
      <c r="A60" s="2274" t="s">
        <v>4</v>
      </c>
      <c r="B60" s="2273" t="s">
        <v>1862</v>
      </c>
      <c r="C60" s="2273"/>
      <c r="D60" s="2272"/>
      <c r="E60" s="2271"/>
      <c r="H60" s="2270"/>
      <c r="I60" s="2269"/>
    </row>
    <row r="61" spans="1:14" s="2264" customFormat="1" ht="14.25">
      <c r="B61" s="2268" t="s">
        <v>1871</v>
      </c>
      <c r="C61" s="2268"/>
      <c r="D61" s="2267"/>
      <c r="E61" s="2266"/>
      <c r="F61" s="2265"/>
      <c r="G61" s="2265"/>
      <c r="H61" s="2265"/>
      <c r="I61" s="2265"/>
      <c r="J61" s="2265"/>
      <c r="K61" s="2265"/>
      <c r="L61" s="2265"/>
      <c r="M61" s="2265"/>
      <c r="N61" s="2265"/>
    </row>
    <row r="62" spans="1:14" s="2265" customFormat="1" ht="14.25">
      <c r="B62" s="2268"/>
      <c r="C62" s="2312"/>
      <c r="D62" s="2267"/>
      <c r="E62" s="2266"/>
    </row>
    <row r="63" spans="1:14" s="2300" customFormat="1" ht="17.25" customHeight="1">
      <c r="B63" s="2311" t="s">
        <v>1870</v>
      </c>
      <c r="C63" s="2309" t="s">
        <v>2016</v>
      </c>
      <c r="D63" s="2310"/>
      <c r="F63" s="2309"/>
      <c r="G63" s="2309"/>
    </row>
    <row r="64" spans="1:14" s="2306" customFormat="1" ht="17.25" customHeight="1">
      <c r="B64" s="2308" t="s">
        <v>1869</v>
      </c>
      <c r="C64" s="2306" t="s">
        <v>2017</v>
      </c>
      <c r="D64" s="2307"/>
      <c r="E64" s="2307"/>
      <c r="F64" s="2307"/>
    </row>
    <row r="65" spans="1:7" s="2300" customFormat="1" ht="8.1" customHeight="1" thickBot="1">
      <c r="A65" s="2301"/>
      <c r="B65" s="2305"/>
      <c r="C65" s="2305"/>
      <c r="D65" s="2304"/>
      <c r="E65" s="2303"/>
      <c r="F65" s="2302"/>
      <c r="G65" s="2301"/>
    </row>
    <row r="66" spans="1:7" s="2295" customFormat="1" ht="30" customHeight="1" thickBot="1">
      <c r="A66" s="2299"/>
      <c r="B66" s="2889" t="s">
        <v>1868</v>
      </c>
      <c r="C66" s="2889"/>
      <c r="D66" s="2298"/>
      <c r="E66" s="2298">
        <v>2023</v>
      </c>
      <c r="F66" s="2298">
        <v>2024</v>
      </c>
      <c r="G66" s="2298">
        <v>2025</v>
      </c>
    </row>
    <row r="67" spans="1:7" s="1995" customFormat="1" ht="6" customHeight="1">
      <c r="B67" s="2002"/>
      <c r="C67" s="2002"/>
      <c r="D67" s="2297"/>
      <c r="E67" s="2296"/>
      <c r="F67" s="2295"/>
    </row>
    <row r="68" spans="1:7" s="1995" customFormat="1" ht="8.65" customHeight="1">
      <c r="B68" s="2002"/>
      <c r="C68" s="2002"/>
      <c r="D68" s="2297"/>
      <c r="E68" s="2296"/>
      <c r="F68" s="2295"/>
    </row>
    <row r="69" spans="1:7" s="1995" customFormat="1" ht="12.95" customHeight="1">
      <c r="B69" s="2291" t="s">
        <v>1694</v>
      </c>
      <c r="C69" s="1996"/>
      <c r="D69" s="2294"/>
      <c r="E69" s="2290">
        <v>401</v>
      </c>
      <c r="F69" s="2290">
        <v>3441</v>
      </c>
      <c r="G69" s="2290">
        <v>5326</v>
      </c>
    </row>
    <row r="70" spans="1:7" s="1995" customFormat="1" ht="12.95" customHeight="1">
      <c r="B70" s="2292"/>
      <c r="C70" s="1996"/>
      <c r="D70" s="222"/>
      <c r="E70" s="1605"/>
      <c r="F70" s="1991"/>
      <c r="G70" s="1605"/>
    </row>
    <row r="71" spans="1:7" s="1995" customFormat="1" ht="12.95" customHeight="1">
      <c r="B71" s="2291" t="s">
        <v>1580</v>
      </c>
      <c r="C71" s="1996"/>
      <c r="D71" s="222"/>
      <c r="E71" s="2290">
        <v>401</v>
      </c>
      <c r="F71" s="2290">
        <v>3441</v>
      </c>
      <c r="G71" s="2290">
        <v>5326</v>
      </c>
    </row>
    <row r="72" spans="1:7" s="1995" customFormat="1" ht="12.95" customHeight="1">
      <c r="B72" s="2292"/>
      <c r="C72" s="1996"/>
      <c r="D72" s="222"/>
      <c r="E72" s="2293"/>
      <c r="F72" s="1991"/>
      <c r="G72" s="1605"/>
    </row>
    <row r="73" spans="1:7" s="1995" customFormat="1" ht="12.95" customHeight="1">
      <c r="B73" s="2291" t="s">
        <v>1693</v>
      </c>
      <c r="C73" s="1996"/>
      <c r="D73" s="222"/>
      <c r="E73" s="2290">
        <v>401</v>
      </c>
      <c r="F73" s="2290">
        <v>3441</v>
      </c>
      <c r="G73" s="2290">
        <v>5326</v>
      </c>
    </row>
    <row r="74" spans="1:7" s="1995" customFormat="1" ht="12.95" customHeight="1">
      <c r="B74" s="2292"/>
      <c r="C74" s="1996"/>
      <c r="D74" s="2001"/>
      <c r="E74" s="1605"/>
      <c r="F74" s="1991"/>
      <c r="G74" s="1605"/>
    </row>
    <row r="75" spans="1:7" s="1995" customFormat="1" ht="12.95" customHeight="1">
      <c r="B75" s="2291" t="s">
        <v>1692</v>
      </c>
      <c r="C75" s="1996"/>
      <c r="D75" s="1998"/>
      <c r="E75" s="2290">
        <v>401</v>
      </c>
      <c r="F75" s="2290">
        <v>3441</v>
      </c>
      <c r="G75" s="2290">
        <v>5326</v>
      </c>
    </row>
    <row r="76" spans="1:7" s="1995" customFormat="1" ht="12.95" customHeight="1">
      <c r="B76" s="2292"/>
      <c r="C76" s="1996"/>
      <c r="D76" s="1998"/>
      <c r="E76" s="1605"/>
      <c r="F76" s="1991"/>
      <c r="G76" s="1605"/>
    </row>
    <row r="77" spans="1:7" s="1995" customFormat="1" ht="12.95" customHeight="1">
      <c r="B77" s="2291" t="s">
        <v>1691</v>
      </c>
      <c r="C77" s="1996"/>
      <c r="D77" s="1998"/>
      <c r="E77" s="2290">
        <v>401</v>
      </c>
      <c r="F77" s="2290">
        <v>3441</v>
      </c>
      <c r="G77" s="2290">
        <v>5326</v>
      </c>
    </row>
    <row r="78" spans="1:7" s="1995" customFormat="1" ht="12.95" customHeight="1">
      <c r="B78" s="2292"/>
      <c r="C78" s="1996"/>
      <c r="D78" s="2001"/>
      <c r="E78" s="1605"/>
      <c r="F78" s="1991"/>
      <c r="G78" s="1605"/>
    </row>
    <row r="79" spans="1:7" s="1995" customFormat="1" ht="12.95" customHeight="1">
      <c r="B79" s="2291" t="s">
        <v>1690</v>
      </c>
      <c r="C79" s="1996"/>
      <c r="D79" s="2001"/>
      <c r="E79" s="2290">
        <v>401</v>
      </c>
      <c r="F79" s="2290">
        <v>3441</v>
      </c>
      <c r="G79" s="2290">
        <v>5326</v>
      </c>
    </row>
    <row r="80" spans="1:7" s="1995" customFormat="1" ht="12.95" customHeight="1">
      <c r="B80" s="2292"/>
      <c r="C80" s="1996"/>
      <c r="D80" s="2001"/>
      <c r="E80" s="2293"/>
      <c r="F80" s="1991"/>
      <c r="G80" s="1605"/>
    </row>
    <row r="81" spans="2:7" s="1995" customFormat="1" ht="12.95" customHeight="1">
      <c r="B81" s="2291" t="s">
        <v>1689</v>
      </c>
      <c r="C81" s="1996"/>
      <c r="D81" s="2001"/>
      <c r="E81" s="2290">
        <v>401</v>
      </c>
      <c r="F81" s="2290">
        <v>3441</v>
      </c>
      <c r="G81" s="2290">
        <v>5326</v>
      </c>
    </row>
    <row r="82" spans="2:7" s="1995" customFormat="1" ht="12.95" customHeight="1">
      <c r="B82" s="2292"/>
      <c r="C82" s="1996"/>
      <c r="D82" s="2294"/>
      <c r="E82" s="1605"/>
      <c r="F82" s="1991"/>
      <c r="G82" s="1605"/>
    </row>
    <row r="83" spans="2:7" s="1995" customFormat="1" ht="12.95" customHeight="1">
      <c r="B83" s="2291" t="s">
        <v>1688</v>
      </c>
      <c r="C83" s="1996"/>
      <c r="D83" s="2289"/>
      <c r="E83" s="2290">
        <v>401</v>
      </c>
      <c r="F83" s="2290">
        <v>3441</v>
      </c>
      <c r="G83" s="2290">
        <v>5326</v>
      </c>
    </row>
    <row r="84" spans="2:7" s="1995" customFormat="1" ht="12.95" customHeight="1">
      <c r="B84" s="2292"/>
      <c r="C84" s="1996"/>
      <c r="D84" s="2289"/>
      <c r="E84" s="1992"/>
      <c r="F84" s="1991"/>
      <c r="G84" s="1605"/>
    </row>
    <row r="85" spans="2:7" s="1995" customFormat="1" ht="12.95" customHeight="1">
      <c r="B85" s="2291" t="s">
        <v>1687</v>
      </c>
      <c r="C85" s="1996"/>
      <c r="D85" s="2289"/>
      <c r="E85" s="2290">
        <v>401</v>
      </c>
      <c r="F85" s="2290">
        <v>3441</v>
      </c>
      <c r="G85" s="2290">
        <v>5326</v>
      </c>
    </row>
    <row r="86" spans="2:7" s="1995" customFormat="1" ht="12.95" customHeight="1">
      <c r="B86" s="2292"/>
      <c r="C86" s="1996"/>
      <c r="D86" s="2289"/>
      <c r="E86" s="1605"/>
      <c r="F86" s="1991"/>
      <c r="G86" s="1605"/>
    </row>
    <row r="87" spans="2:7" s="1995" customFormat="1" ht="12.95" customHeight="1">
      <c r="B87" s="2291" t="s">
        <v>1686</v>
      </c>
      <c r="C87" s="1996"/>
      <c r="D87" s="2289"/>
      <c r="E87" s="2290">
        <v>401</v>
      </c>
      <c r="F87" s="2290">
        <v>3441</v>
      </c>
      <c r="G87" s="2290">
        <v>5326</v>
      </c>
    </row>
    <row r="88" spans="2:7" s="1995" customFormat="1" ht="12.95" customHeight="1">
      <c r="B88" s="2292"/>
      <c r="C88" s="1996"/>
      <c r="D88" s="2289"/>
      <c r="E88" s="2293"/>
      <c r="F88" s="1991"/>
      <c r="G88" s="1605"/>
    </row>
    <row r="89" spans="2:7" s="1995" customFormat="1" ht="12.95" customHeight="1">
      <c r="B89" s="2291" t="s">
        <v>1867</v>
      </c>
      <c r="C89" s="1996"/>
      <c r="D89" s="222"/>
      <c r="E89" s="2290">
        <v>401</v>
      </c>
      <c r="F89" s="2290">
        <v>3441</v>
      </c>
      <c r="G89" s="2290">
        <v>5326</v>
      </c>
    </row>
    <row r="90" spans="2:7" s="1995" customFormat="1" ht="12.95" customHeight="1">
      <c r="B90" s="2292"/>
      <c r="C90" s="1996"/>
      <c r="D90" s="222"/>
      <c r="E90" s="1605"/>
      <c r="F90" s="1991"/>
      <c r="G90" s="1605"/>
    </row>
    <row r="91" spans="2:7" s="1995" customFormat="1" ht="12.95" customHeight="1">
      <c r="B91" s="2291" t="s">
        <v>1578</v>
      </c>
      <c r="C91" s="1996"/>
      <c r="D91" s="222"/>
      <c r="E91" s="2290">
        <v>401</v>
      </c>
      <c r="F91" s="2290">
        <v>3441</v>
      </c>
      <c r="G91" s="2290">
        <v>5326</v>
      </c>
    </row>
    <row r="92" spans="2:7" s="1995" customFormat="1" ht="12.95" customHeight="1">
      <c r="B92" s="2292"/>
      <c r="C92" s="1996"/>
      <c r="D92" s="2001"/>
      <c r="E92" s="2293"/>
      <c r="F92" s="2293"/>
      <c r="G92" s="1605"/>
    </row>
    <row r="93" spans="2:7" s="1995" customFormat="1" ht="12.95" customHeight="1">
      <c r="B93" s="2291" t="s">
        <v>1866</v>
      </c>
      <c r="C93" s="1996"/>
      <c r="D93" s="1998"/>
      <c r="E93" s="2290">
        <v>401</v>
      </c>
      <c r="F93" s="2290">
        <v>3441</v>
      </c>
      <c r="G93" s="2290">
        <v>5326</v>
      </c>
    </row>
    <row r="94" spans="2:7" s="1995" customFormat="1" ht="12.95" customHeight="1">
      <c r="B94" s="2292"/>
      <c r="C94" s="1996"/>
      <c r="D94" s="1998"/>
      <c r="E94" s="1605"/>
      <c r="F94" s="1991"/>
      <c r="G94" s="1605"/>
    </row>
    <row r="95" spans="2:7" s="1995" customFormat="1" ht="12.95" customHeight="1">
      <c r="B95" s="2291" t="s">
        <v>1865</v>
      </c>
      <c r="C95" s="1996"/>
      <c r="D95" s="222"/>
      <c r="E95" s="2290">
        <v>401</v>
      </c>
      <c r="F95" s="2290">
        <v>3441</v>
      </c>
      <c r="G95" s="2290">
        <v>5326</v>
      </c>
    </row>
    <row r="96" spans="2:7" s="1995" customFormat="1" ht="12.95" customHeight="1">
      <c r="B96" s="2292"/>
      <c r="C96" s="1996"/>
      <c r="D96" s="2001"/>
      <c r="E96" s="2293"/>
      <c r="F96" s="1991"/>
      <c r="G96" s="1605"/>
    </row>
    <row r="97" spans="1:7" s="1995" customFormat="1" ht="12.95" customHeight="1">
      <c r="B97" s="2291" t="s">
        <v>1576</v>
      </c>
      <c r="C97" s="1996"/>
      <c r="D97" s="1998"/>
      <c r="E97" s="2290">
        <v>401</v>
      </c>
      <c r="F97" s="2290">
        <v>3441</v>
      </c>
      <c r="G97" s="2290">
        <v>5326</v>
      </c>
    </row>
    <row r="98" spans="1:7" s="1995" customFormat="1" ht="12.95" customHeight="1">
      <c r="B98" s="2292"/>
      <c r="C98" s="1996"/>
      <c r="D98" s="1998"/>
      <c r="E98" s="1605"/>
      <c r="F98" s="1991"/>
      <c r="G98" s="1605"/>
    </row>
    <row r="99" spans="1:7" s="1995" customFormat="1" ht="12.95" customHeight="1">
      <c r="B99" s="2291" t="s">
        <v>1864</v>
      </c>
      <c r="C99" s="1996"/>
      <c r="D99" s="222"/>
      <c r="E99" s="2290">
        <v>401</v>
      </c>
      <c r="F99" s="2290">
        <v>3441</v>
      </c>
      <c r="G99" s="2290">
        <v>5326</v>
      </c>
    </row>
    <row r="100" spans="1:7" s="1995" customFormat="1" ht="12.95" customHeight="1">
      <c r="B100" s="2292"/>
      <c r="C100" s="1996"/>
      <c r="D100" s="2001"/>
      <c r="E100" s="1992"/>
      <c r="F100" s="1992"/>
      <c r="G100" s="1605"/>
    </row>
    <row r="101" spans="1:7" s="1995" customFormat="1" ht="12.95" customHeight="1">
      <c r="B101" s="2291" t="s">
        <v>1682</v>
      </c>
      <c r="C101" s="1996"/>
      <c r="D101" s="1998"/>
      <c r="E101" s="2290">
        <v>401</v>
      </c>
      <c r="F101" s="2290">
        <v>3441</v>
      </c>
      <c r="G101" s="2290">
        <v>5326</v>
      </c>
    </row>
    <row r="102" spans="1:7" s="1995" customFormat="1" ht="12.95" customHeight="1">
      <c r="B102" s="2292"/>
      <c r="C102" s="1996"/>
      <c r="D102" s="1998"/>
      <c r="E102" s="1605"/>
      <c r="F102" s="1991"/>
      <c r="G102" s="1605"/>
    </row>
    <row r="103" spans="1:7" s="1995" customFormat="1" ht="12.95" customHeight="1">
      <c r="B103" s="2291" t="s">
        <v>1685</v>
      </c>
      <c r="C103" s="1996"/>
      <c r="D103" s="1998"/>
      <c r="E103" s="2290">
        <v>401</v>
      </c>
      <c r="F103" s="2290">
        <v>3441</v>
      </c>
      <c r="G103" s="2290">
        <v>5326</v>
      </c>
    </row>
    <row r="104" spans="1:7" s="1995" customFormat="1" ht="12.95" customHeight="1">
      <c r="B104" s="2292"/>
      <c r="C104" s="1996"/>
      <c r="D104" s="2001"/>
      <c r="E104" s="2293"/>
      <c r="F104" s="1991"/>
      <c r="G104" s="1605"/>
    </row>
    <row r="105" spans="1:7" s="1995" customFormat="1" ht="12.95" customHeight="1">
      <c r="B105" s="2291" t="s">
        <v>1684</v>
      </c>
      <c r="C105" s="1996"/>
      <c r="D105" s="1998"/>
      <c r="E105" s="2290">
        <v>401</v>
      </c>
      <c r="F105" s="2290">
        <v>3441</v>
      </c>
      <c r="G105" s="2290">
        <v>5326</v>
      </c>
    </row>
    <row r="106" spans="1:7" s="1995" customFormat="1" ht="12.95" customHeight="1">
      <c r="B106" s="2292"/>
      <c r="C106" s="1996"/>
      <c r="D106" s="1998"/>
      <c r="E106" s="1605"/>
      <c r="F106" s="1991"/>
      <c r="G106" s="1605"/>
    </row>
    <row r="107" spans="1:7" s="1995" customFormat="1" ht="12.95" customHeight="1">
      <c r="B107" s="2291" t="s">
        <v>1683</v>
      </c>
      <c r="C107" s="1996"/>
      <c r="D107" s="1998"/>
      <c r="E107" s="2290">
        <v>401</v>
      </c>
      <c r="F107" s="2290">
        <v>3441</v>
      </c>
      <c r="G107" s="2290">
        <v>5326</v>
      </c>
    </row>
    <row r="108" spans="1:7" s="1995" customFormat="1" ht="12.95" customHeight="1">
      <c r="B108" s="2001"/>
      <c r="C108" s="1996"/>
      <c r="D108" s="1998"/>
      <c r="E108" s="2289"/>
      <c r="F108" s="2288"/>
    </row>
    <row r="109" spans="1:7" s="1995" customFormat="1" ht="6" customHeight="1" thickBot="1">
      <c r="A109" s="2283"/>
      <c r="B109" s="2287"/>
      <c r="C109" s="2286"/>
      <c r="D109" s="2285"/>
      <c r="E109" s="2284"/>
      <c r="F109" s="2284"/>
      <c r="G109" s="2283"/>
    </row>
    <row r="110" spans="1:7" s="2276" customFormat="1" ht="15.2" customHeight="1">
      <c r="C110" s="2780" t="s">
        <v>236</v>
      </c>
      <c r="D110" s="2780"/>
      <c r="E110" s="2780"/>
      <c r="F110" s="2780"/>
      <c r="G110" s="2780"/>
    </row>
    <row r="111" spans="1:7" s="2276" customFormat="1" ht="15.2" customHeight="1">
      <c r="A111" s="2282"/>
      <c r="C111" s="2890" t="s">
        <v>232</v>
      </c>
      <c r="D111" s="2890"/>
      <c r="E111" s="2890"/>
      <c r="F111" s="2890"/>
      <c r="G111" s="2890"/>
    </row>
    <row r="112" spans="1:7" s="2276" customFormat="1" ht="14.25">
      <c r="B112" s="2279" t="s">
        <v>1863</v>
      </c>
      <c r="C112" s="2279"/>
      <c r="D112" s="2278"/>
      <c r="G112" s="2281"/>
    </row>
    <row r="113" spans="1:14" s="2276" customFormat="1" ht="8.1" customHeight="1">
      <c r="B113" s="2279"/>
      <c r="C113" s="2279"/>
      <c r="D113" s="2278"/>
      <c r="G113" s="2281"/>
    </row>
    <row r="114" spans="1:14" s="2276" customFormat="1" ht="14.25">
      <c r="A114" s="2280" t="s">
        <v>3</v>
      </c>
      <c r="B114" s="2279" t="s">
        <v>237</v>
      </c>
      <c r="C114" s="2279"/>
      <c r="D114" s="2278"/>
      <c r="G114" s="2277"/>
    </row>
    <row r="115" spans="1:14" s="2264" customFormat="1" ht="14.25">
      <c r="A115" s="2271"/>
      <c r="B115" s="2275" t="s">
        <v>238</v>
      </c>
      <c r="C115" s="2275"/>
      <c r="D115" s="2272"/>
      <c r="E115" s="2271"/>
      <c r="H115" s="2270"/>
      <c r="I115" s="2269"/>
    </row>
    <row r="116" spans="1:14" s="2264" customFormat="1" ht="14.25">
      <c r="A116" s="2274" t="s">
        <v>4</v>
      </c>
      <c r="B116" s="2273" t="s">
        <v>1862</v>
      </c>
      <c r="C116" s="2273"/>
      <c r="D116" s="2272"/>
      <c r="E116" s="2271"/>
      <c r="H116" s="2270"/>
      <c r="I116" s="2269"/>
    </row>
    <row r="117" spans="1:14" s="2264" customFormat="1" ht="14.25">
      <c r="B117" s="2268" t="s">
        <v>1861</v>
      </c>
      <c r="C117" s="2268"/>
      <c r="D117" s="2267"/>
      <c r="E117" s="2266"/>
      <c r="F117" s="2265"/>
      <c r="G117" s="2265"/>
      <c r="H117" s="2265"/>
      <c r="I117" s="2265"/>
      <c r="J117" s="2265"/>
      <c r="K117" s="2265"/>
      <c r="L117" s="2265"/>
      <c r="M117" s="2265"/>
      <c r="N117" s="2265"/>
    </row>
  </sheetData>
  <mergeCells count="6">
    <mergeCell ref="B5:C5"/>
    <mergeCell ref="C54:G54"/>
    <mergeCell ref="C55:G55"/>
    <mergeCell ref="C110:G110"/>
    <mergeCell ref="C111:G111"/>
    <mergeCell ref="B66:C66"/>
  </mergeCells>
  <conditionalFormatting sqref="C14:C51">
    <cfRule type="cellIs" dxfId="5" priority="2" stopIfTrue="1" operator="lessThan">
      <formula>0</formula>
    </cfRule>
  </conditionalFormatting>
  <conditionalFormatting sqref="C70:C107">
    <cfRule type="cellIs" dxfId="4" priority="1"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73" fitToWidth="0" fitToHeight="0" orientation="portrait" r:id="rId1"/>
  <rowBreaks count="1" manualBreakCount="1">
    <brk id="61" max="16383" man="1"/>
  </rowBreaks>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3D00C-C78F-4C06-B088-990AE6A24A69}">
  <sheetPr>
    <tabColor theme="4" tint="0.39997558519241921"/>
  </sheetPr>
  <dimension ref="A1:N116"/>
  <sheetViews>
    <sheetView view="pageBreakPreview" topLeftCell="A103" zoomScaleNormal="100" zoomScaleSheetLayoutView="100" workbookViewId="0">
      <selection activeCell="J66" sqref="J66"/>
    </sheetView>
  </sheetViews>
  <sheetFormatPr defaultColWidth="8.85546875" defaultRowHeight="15"/>
  <cols>
    <col min="1" max="1" width="2.85546875" style="2148" customWidth="1"/>
    <col min="2" max="2" width="12.42578125" style="2148" customWidth="1"/>
    <col min="3" max="3" width="61.28515625" style="2148" customWidth="1"/>
    <col min="4" max="4" width="11.7109375" style="2148" customWidth="1"/>
    <col min="5" max="5" width="11.85546875" style="2148" customWidth="1"/>
    <col min="6" max="6" width="11.42578125" style="2148" customWidth="1"/>
    <col min="7" max="7" width="12.5703125" style="2148" customWidth="1"/>
    <col min="8" max="16384" width="8.85546875" style="2148"/>
  </cols>
  <sheetData>
    <row r="1" spans="1:7" s="1995" customFormat="1" ht="13.5">
      <c r="B1" s="1996"/>
      <c r="C1" s="1996"/>
      <c r="D1" s="2288"/>
      <c r="E1" s="2296"/>
      <c r="F1" s="2295"/>
    </row>
    <row r="2" spans="1:7" s="2300" customFormat="1" ht="17.25" customHeight="1">
      <c r="B2" s="2311" t="s">
        <v>1870</v>
      </c>
      <c r="C2" s="2309" t="s">
        <v>2016</v>
      </c>
      <c r="D2" s="2310"/>
      <c r="F2" s="2309"/>
      <c r="G2" s="2309"/>
    </row>
    <row r="3" spans="1:7" s="2306" customFormat="1" ht="17.25" customHeight="1">
      <c r="B3" s="2318" t="s">
        <v>1869</v>
      </c>
      <c r="C3" s="2306" t="s">
        <v>2017</v>
      </c>
      <c r="D3" s="2307"/>
      <c r="E3" s="2307"/>
      <c r="F3" s="2307"/>
    </row>
    <row r="4" spans="1:7" s="2300" customFormat="1" ht="8.1" customHeight="1" thickBot="1">
      <c r="A4" s="2301"/>
      <c r="B4" s="2305"/>
      <c r="C4" s="2305"/>
      <c r="D4" s="2304"/>
      <c r="E4" s="2303"/>
      <c r="F4" s="2302"/>
      <c r="G4" s="2301"/>
    </row>
    <row r="5" spans="1:7" s="2295" customFormat="1" ht="30" customHeight="1" thickBot="1">
      <c r="A5" s="2299"/>
      <c r="B5" s="2889" t="s">
        <v>1868</v>
      </c>
      <c r="C5" s="2889"/>
      <c r="D5" s="2298"/>
      <c r="E5" s="2298">
        <v>2023</v>
      </c>
      <c r="F5" s="2298">
        <v>2024</v>
      </c>
      <c r="G5" s="2298">
        <v>2025</v>
      </c>
    </row>
    <row r="6" spans="1:7" s="1995" customFormat="1" ht="6" customHeight="1">
      <c r="B6" s="2002"/>
      <c r="C6" s="2002"/>
      <c r="D6" s="2297"/>
      <c r="E6" s="2296"/>
      <c r="F6" s="2295"/>
    </row>
    <row r="7" spans="1:7" s="1995" customFormat="1" ht="5.45" customHeight="1">
      <c r="B7" s="2002"/>
      <c r="C7" s="2002"/>
      <c r="D7" s="2297"/>
      <c r="E7" s="2296"/>
      <c r="F7" s="2295"/>
    </row>
    <row r="8" spans="1:7" s="1995" customFormat="1" ht="12.95" customHeight="1">
      <c r="B8" s="2002" t="s">
        <v>1880</v>
      </c>
      <c r="C8" s="2316"/>
      <c r="D8" s="2003"/>
      <c r="E8" s="2003"/>
      <c r="F8" s="2003"/>
    </row>
    <row r="9" spans="1:7" s="1995" customFormat="1" ht="13.9" customHeight="1">
      <c r="B9" s="2315" t="s">
        <v>1879</v>
      </c>
      <c r="C9" s="2004"/>
      <c r="D9" s="2297"/>
      <c r="E9" s="2297"/>
      <c r="F9" s="2297"/>
    </row>
    <row r="10" spans="1:7" s="1995" customFormat="1" ht="12.95" customHeight="1">
      <c r="B10" s="2315"/>
      <c r="C10" s="2004"/>
      <c r="D10" s="2289"/>
      <c r="E10" s="2297"/>
      <c r="F10" s="2297"/>
    </row>
    <row r="11" spans="1:7" s="2002" customFormat="1" ht="12.95" customHeight="1">
      <c r="B11" s="2004" t="s">
        <v>235</v>
      </c>
      <c r="C11" s="2004"/>
      <c r="D11" s="2294"/>
      <c r="E11" s="2313">
        <v>370</v>
      </c>
      <c r="F11" s="2003">
        <v>2609</v>
      </c>
      <c r="G11" s="2003">
        <v>4933</v>
      </c>
    </row>
    <row r="12" spans="1:7" s="2002" customFormat="1" ht="12" customHeight="1">
      <c r="B12" s="2004"/>
      <c r="C12" s="2004"/>
      <c r="D12" s="2294"/>
      <c r="E12" s="2313"/>
      <c r="F12" s="2003"/>
      <c r="G12" s="2003"/>
    </row>
    <row r="13" spans="1:7" s="1995" customFormat="1" ht="12.95" customHeight="1">
      <c r="B13" s="2291" t="s">
        <v>1873</v>
      </c>
      <c r="C13" s="1996"/>
      <c r="D13" s="2294"/>
      <c r="E13" s="2290">
        <v>401</v>
      </c>
      <c r="F13" s="2290">
        <v>3441</v>
      </c>
      <c r="G13" s="2290">
        <v>5326</v>
      </c>
    </row>
    <row r="14" spans="1:7" s="1995" customFormat="1" ht="12.95" customHeight="1">
      <c r="B14" s="2292"/>
      <c r="C14" s="1996"/>
      <c r="D14" s="222"/>
      <c r="E14" s="1605"/>
      <c r="F14" s="1991"/>
      <c r="G14" s="1605"/>
    </row>
    <row r="15" spans="1:7" s="1995" customFormat="1" ht="12.95" customHeight="1">
      <c r="B15" s="2291" t="s">
        <v>1719</v>
      </c>
      <c r="C15" s="1996"/>
      <c r="D15" s="222"/>
      <c r="E15" s="2290">
        <v>401</v>
      </c>
      <c r="F15" s="2290">
        <v>3441</v>
      </c>
      <c r="G15" s="2290">
        <v>5326</v>
      </c>
    </row>
    <row r="16" spans="1:7" s="1995" customFormat="1" ht="12.95" customHeight="1">
      <c r="B16" s="2292"/>
      <c r="C16" s="1996"/>
      <c r="D16" s="222"/>
      <c r="E16" s="2293"/>
      <c r="F16" s="1991"/>
      <c r="G16" s="1605"/>
    </row>
    <row r="17" spans="2:7" s="1995" customFormat="1" ht="12.95" customHeight="1">
      <c r="B17" s="2291" t="s">
        <v>1718</v>
      </c>
      <c r="C17" s="1996"/>
      <c r="D17" s="222"/>
      <c r="E17" s="2290">
        <v>401</v>
      </c>
      <c r="F17" s="2290">
        <v>3441</v>
      </c>
      <c r="G17" s="2290">
        <v>5326</v>
      </c>
    </row>
    <row r="18" spans="2:7" s="1995" customFormat="1" ht="12.95" customHeight="1">
      <c r="B18" s="2292"/>
      <c r="C18" s="1996"/>
      <c r="D18" s="2001"/>
      <c r="E18" s="1605"/>
      <c r="F18" s="1991"/>
      <c r="G18" s="1605"/>
    </row>
    <row r="19" spans="2:7" s="1995" customFormat="1" ht="12.95" customHeight="1">
      <c r="B19" s="2291" t="s">
        <v>1717</v>
      </c>
      <c r="C19" s="1996"/>
      <c r="D19" s="1998"/>
      <c r="E19" s="2290">
        <v>401</v>
      </c>
      <c r="F19" s="2290">
        <v>3441</v>
      </c>
      <c r="G19" s="2290">
        <v>5326</v>
      </c>
    </row>
    <row r="20" spans="2:7" s="1995" customFormat="1" ht="12.95" customHeight="1">
      <c r="B20" s="2292"/>
      <c r="C20" s="1996"/>
      <c r="D20" s="1998"/>
      <c r="E20" s="1605"/>
      <c r="F20" s="1991"/>
      <c r="G20" s="1605"/>
    </row>
    <row r="21" spans="2:7" s="1995" customFormat="1" ht="12.95" customHeight="1">
      <c r="B21" s="2291" t="s">
        <v>1716</v>
      </c>
      <c r="C21" s="1996"/>
      <c r="D21" s="1998"/>
      <c r="E21" s="2290">
        <v>401</v>
      </c>
      <c r="F21" s="2290">
        <v>3441</v>
      </c>
      <c r="G21" s="2290">
        <v>5326</v>
      </c>
    </row>
    <row r="22" spans="2:7" s="1995" customFormat="1" ht="12.95" customHeight="1">
      <c r="B22" s="2292"/>
      <c r="C22" s="1996"/>
      <c r="D22" s="2001"/>
      <c r="E22" s="1605"/>
      <c r="F22" s="1991"/>
      <c r="G22" s="1605"/>
    </row>
    <row r="23" spans="2:7" s="1995" customFormat="1" ht="12.95" customHeight="1">
      <c r="B23" s="2291" t="s">
        <v>1589</v>
      </c>
      <c r="C23" s="1996"/>
      <c r="D23" s="2001"/>
      <c r="E23" s="2290">
        <v>401</v>
      </c>
      <c r="F23" s="2290">
        <v>3441</v>
      </c>
      <c r="G23" s="2290">
        <v>5326</v>
      </c>
    </row>
    <row r="24" spans="2:7" s="1995" customFormat="1" ht="12.95" customHeight="1">
      <c r="B24" s="2292"/>
      <c r="C24" s="1996"/>
      <c r="D24" s="2001"/>
      <c r="E24" s="2293"/>
      <c r="F24" s="1991"/>
      <c r="G24" s="1605"/>
    </row>
    <row r="25" spans="2:7" s="1995" customFormat="1" ht="12.95" customHeight="1">
      <c r="B25" s="2291" t="s">
        <v>1715</v>
      </c>
      <c r="C25" s="1996"/>
      <c r="D25" s="2001"/>
      <c r="E25" s="2290">
        <v>401</v>
      </c>
      <c r="F25" s="2290">
        <v>3441</v>
      </c>
      <c r="G25" s="2290">
        <v>5326</v>
      </c>
    </row>
    <row r="26" spans="2:7" s="1995" customFormat="1" ht="12.95" customHeight="1">
      <c r="B26" s="2292"/>
      <c r="C26" s="1996"/>
      <c r="D26" s="2294"/>
      <c r="E26" s="1605"/>
      <c r="F26" s="1991"/>
      <c r="G26" s="1605"/>
    </row>
    <row r="27" spans="2:7" s="1995" customFormat="1" ht="12.95" customHeight="1">
      <c r="B27" s="2291" t="s">
        <v>1714</v>
      </c>
      <c r="C27" s="1996"/>
      <c r="D27" s="2289"/>
      <c r="E27" s="2290">
        <v>401</v>
      </c>
      <c r="F27" s="2290">
        <v>3441</v>
      </c>
      <c r="G27" s="2290">
        <v>5326</v>
      </c>
    </row>
    <row r="28" spans="2:7" s="1995" customFormat="1" ht="12.95" customHeight="1">
      <c r="B28" s="2292"/>
      <c r="C28" s="1996"/>
      <c r="D28" s="2289"/>
      <c r="E28" s="1992"/>
      <c r="F28" s="1991"/>
      <c r="G28" s="1605"/>
    </row>
    <row r="29" spans="2:7" s="1995" customFormat="1" ht="12.95" customHeight="1">
      <c r="B29" s="2291" t="s">
        <v>1713</v>
      </c>
      <c r="C29" s="1996"/>
      <c r="D29" s="2289"/>
      <c r="E29" s="2290">
        <v>401</v>
      </c>
      <c r="F29" s="2290">
        <v>3441</v>
      </c>
      <c r="G29" s="2290">
        <v>5326</v>
      </c>
    </row>
    <row r="30" spans="2:7" s="1995" customFormat="1" ht="12.95" customHeight="1">
      <c r="B30" s="2292"/>
      <c r="C30" s="1996"/>
      <c r="D30" s="2289"/>
      <c r="E30" s="1605"/>
      <c r="F30" s="1991"/>
      <c r="G30" s="1605"/>
    </row>
    <row r="31" spans="2:7" s="1995" customFormat="1" ht="12.95" customHeight="1">
      <c r="B31" s="2291" t="s">
        <v>1711</v>
      </c>
      <c r="C31" s="1996"/>
      <c r="D31" s="222"/>
      <c r="E31" s="2290">
        <v>401</v>
      </c>
      <c r="F31" s="2290">
        <v>3441</v>
      </c>
      <c r="G31" s="2290">
        <v>5326</v>
      </c>
    </row>
    <row r="32" spans="2:7" s="1995" customFormat="1" ht="12.95" customHeight="1">
      <c r="B32" s="2292"/>
      <c r="C32" s="1996"/>
      <c r="D32" s="222"/>
      <c r="E32" s="2293"/>
      <c r="F32" s="1991"/>
      <c r="G32" s="1605"/>
    </row>
    <row r="33" spans="2:7" s="1995" customFormat="1" ht="12.95" customHeight="1">
      <c r="B33" s="2291" t="s">
        <v>1710</v>
      </c>
      <c r="C33" s="1996"/>
      <c r="D33" s="222"/>
      <c r="E33" s="2290">
        <v>401</v>
      </c>
      <c r="F33" s="2290">
        <v>3441</v>
      </c>
      <c r="G33" s="2290">
        <v>5326</v>
      </c>
    </row>
    <row r="34" spans="2:7" s="1995" customFormat="1" ht="12.95" customHeight="1">
      <c r="B34" s="2292"/>
      <c r="C34" s="1996"/>
      <c r="D34" s="2001"/>
      <c r="E34" s="1605"/>
      <c r="F34" s="1991"/>
      <c r="G34" s="1605"/>
    </row>
    <row r="35" spans="2:7" s="1995" customFormat="1" ht="12.95" customHeight="1">
      <c r="B35" s="2291" t="s">
        <v>1709</v>
      </c>
      <c r="C35" s="1996"/>
      <c r="D35" s="1998"/>
      <c r="E35" s="2290">
        <v>401</v>
      </c>
      <c r="F35" s="2290">
        <v>3441</v>
      </c>
      <c r="G35" s="2290">
        <v>5326</v>
      </c>
    </row>
    <row r="36" spans="2:7" s="1995" customFormat="1" ht="12.95" customHeight="1">
      <c r="B36" s="2292"/>
      <c r="C36" s="1996"/>
      <c r="D36" s="1998"/>
      <c r="E36" s="2293"/>
      <c r="F36" s="2293"/>
      <c r="G36" s="1605"/>
    </row>
    <row r="37" spans="2:7" s="1995" customFormat="1" ht="12.95" customHeight="1">
      <c r="B37" s="2291" t="s">
        <v>1587</v>
      </c>
      <c r="C37" s="1996"/>
      <c r="D37" s="222"/>
      <c r="E37" s="2290">
        <v>401</v>
      </c>
      <c r="F37" s="2290">
        <v>3441</v>
      </c>
      <c r="G37" s="2290">
        <v>5326</v>
      </c>
    </row>
    <row r="38" spans="2:7" s="1995" customFormat="1" ht="12.95" customHeight="1">
      <c r="B38" s="2292"/>
      <c r="C38" s="1996"/>
      <c r="D38" s="2001"/>
      <c r="E38" s="1605"/>
      <c r="F38" s="1991"/>
      <c r="G38" s="1605"/>
    </row>
    <row r="39" spans="2:7" s="1995" customFormat="1" ht="12.95" customHeight="1">
      <c r="B39" s="2291" t="s">
        <v>1585</v>
      </c>
      <c r="C39" s="1996"/>
      <c r="D39" s="1998"/>
      <c r="E39" s="2290">
        <v>401</v>
      </c>
      <c r="F39" s="2290">
        <v>3441</v>
      </c>
      <c r="G39" s="2290">
        <v>5326</v>
      </c>
    </row>
    <row r="40" spans="2:7" s="1995" customFormat="1" ht="12.95" customHeight="1">
      <c r="B40" s="2292"/>
      <c r="C40" s="1996"/>
      <c r="D40" s="1998"/>
      <c r="E40" s="2293"/>
      <c r="F40" s="1991"/>
      <c r="G40" s="1605"/>
    </row>
    <row r="41" spans="2:7" s="1995" customFormat="1" ht="12.95" customHeight="1">
      <c r="B41" s="2291" t="s">
        <v>1708</v>
      </c>
      <c r="C41" s="1996"/>
      <c r="D41" s="222"/>
      <c r="E41" s="2290">
        <v>401</v>
      </c>
      <c r="F41" s="2290">
        <v>3441</v>
      </c>
      <c r="G41" s="2290">
        <v>5326</v>
      </c>
    </row>
    <row r="42" spans="2:7" s="1995" customFormat="1" ht="12.95" customHeight="1">
      <c r="B42" s="2292"/>
      <c r="C42" s="1996"/>
      <c r="D42" s="2001"/>
      <c r="E42" s="1605"/>
      <c r="F42" s="1991"/>
      <c r="G42" s="1605"/>
    </row>
    <row r="43" spans="2:7" s="1995" customFormat="1" ht="12.95" customHeight="1">
      <c r="B43" s="2291" t="s">
        <v>1583</v>
      </c>
      <c r="C43" s="1996"/>
      <c r="D43" s="1998"/>
      <c r="E43" s="2290">
        <v>401</v>
      </c>
      <c r="F43" s="2290">
        <v>3441</v>
      </c>
      <c r="G43" s="2290">
        <v>5326</v>
      </c>
    </row>
    <row r="44" spans="2:7" s="1995" customFormat="1" ht="12.95" customHeight="1">
      <c r="B44" s="2292"/>
      <c r="C44" s="1996"/>
      <c r="D44" s="1998"/>
      <c r="E44" s="1992"/>
      <c r="F44" s="1992"/>
      <c r="G44" s="1605"/>
    </row>
    <row r="45" spans="2:7" s="1995" customFormat="1" ht="12.95" customHeight="1">
      <c r="B45" s="2291" t="s">
        <v>1707</v>
      </c>
      <c r="C45" s="1996"/>
      <c r="D45" s="1998"/>
      <c r="E45" s="2290">
        <v>401</v>
      </c>
      <c r="F45" s="2290">
        <v>3441</v>
      </c>
      <c r="G45" s="2290">
        <v>5326</v>
      </c>
    </row>
    <row r="46" spans="2:7" s="1995" customFormat="1" ht="12.95" customHeight="1">
      <c r="B46" s="2292"/>
      <c r="C46" s="1996"/>
      <c r="D46" s="2001"/>
      <c r="E46" s="1605"/>
      <c r="F46" s="1991"/>
      <c r="G46" s="1605"/>
    </row>
    <row r="47" spans="2:7" s="1995" customFormat="1" ht="12.95" customHeight="1">
      <c r="B47" s="2291" t="s">
        <v>1706</v>
      </c>
      <c r="C47" s="1996"/>
      <c r="D47" s="1998"/>
      <c r="E47" s="2290">
        <v>401</v>
      </c>
      <c r="F47" s="2290">
        <v>3441</v>
      </c>
      <c r="G47" s="2290">
        <v>5326</v>
      </c>
    </row>
    <row r="48" spans="2:7" s="1995" customFormat="1" ht="12.95" customHeight="1">
      <c r="B48" s="2292"/>
      <c r="C48" s="1996"/>
      <c r="D48" s="1998"/>
      <c r="E48" s="2293"/>
      <c r="F48" s="1991"/>
      <c r="G48" s="1605"/>
    </row>
    <row r="49" spans="1:14" s="1995" customFormat="1" ht="12.95" customHeight="1">
      <c r="B49" s="2291" t="s">
        <v>1705</v>
      </c>
      <c r="C49" s="1996"/>
      <c r="D49" s="1998"/>
      <c r="E49" s="2290">
        <v>401</v>
      </c>
      <c r="F49" s="2290">
        <v>3441</v>
      </c>
      <c r="G49" s="2290">
        <v>5326</v>
      </c>
    </row>
    <row r="50" spans="1:14" s="1995" customFormat="1" ht="12.95" customHeight="1">
      <c r="B50" s="2292"/>
      <c r="C50" s="1996"/>
      <c r="D50" s="2001"/>
      <c r="E50" s="1605"/>
      <c r="F50" s="1991"/>
      <c r="G50" s="1605"/>
    </row>
    <row r="51" spans="1:14" s="1995" customFormat="1" ht="12.95" customHeight="1">
      <c r="B51" s="2291" t="s">
        <v>1712</v>
      </c>
      <c r="C51" s="1996"/>
      <c r="D51" s="1998"/>
      <c r="E51" s="2290">
        <v>401</v>
      </c>
      <c r="F51" s="2290">
        <v>3441</v>
      </c>
      <c r="G51" s="2290">
        <v>5326</v>
      </c>
    </row>
    <row r="52" spans="1:14" s="1995" customFormat="1" ht="12.95" customHeight="1">
      <c r="B52" s="2048"/>
      <c r="C52" s="1996"/>
      <c r="D52" s="2001"/>
      <c r="E52" s="2289"/>
      <c r="F52" s="2288"/>
    </row>
    <row r="53" spans="1:14" s="1995" customFormat="1" ht="6" customHeight="1" thickBot="1">
      <c r="A53" s="2283"/>
      <c r="B53" s="2287"/>
      <c r="C53" s="2286"/>
      <c r="D53" s="2285"/>
      <c r="E53" s="2284"/>
      <c r="F53" s="2284"/>
      <c r="G53" s="2283"/>
    </row>
    <row r="54" spans="1:14" s="2276" customFormat="1" ht="15.2" customHeight="1">
      <c r="C54" s="2780" t="s">
        <v>236</v>
      </c>
      <c r="D54" s="2780"/>
      <c r="E54" s="2780"/>
      <c r="F54" s="2780"/>
      <c r="G54" s="2780"/>
    </row>
    <row r="55" spans="1:14" s="2276" customFormat="1" ht="15.2" customHeight="1">
      <c r="A55" s="2282"/>
      <c r="C55" s="2890" t="s">
        <v>1872</v>
      </c>
      <c r="D55" s="2890"/>
      <c r="E55" s="2890"/>
      <c r="F55" s="2890"/>
      <c r="G55" s="2890"/>
    </row>
    <row r="56" spans="1:14" s="2276" customFormat="1" ht="14.25">
      <c r="B56" s="2279" t="s">
        <v>1863</v>
      </c>
      <c r="C56" s="2279"/>
      <c r="D56" s="2278"/>
      <c r="G56" s="2281"/>
    </row>
    <row r="57" spans="1:14" s="2276" customFormat="1" ht="8.1" customHeight="1">
      <c r="B57" s="2279"/>
      <c r="C57" s="2279"/>
      <c r="D57" s="2278"/>
      <c r="G57" s="2281"/>
    </row>
    <row r="58" spans="1:14" s="2276" customFormat="1" ht="14.25">
      <c r="A58" s="2280" t="s">
        <v>3</v>
      </c>
      <c r="B58" s="2279" t="s">
        <v>237</v>
      </c>
      <c r="C58" s="2279"/>
      <c r="D58" s="2278"/>
      <c r="G58" s="2277"/>
    </row>
    <row r="59" spans="1:14" s="2264" customFormat="1" ht="14.25">
      <c r="A59" s="2271"/>
      <c r="B59" s="2275" t="s">
        <v>238</v>
      </c>
      <c r="C59" s="2275"/>
      <c r="D59" s="2272"/>
      <c r="E59" s="2271"/>
      <c r="H59" s="2270"/>
      <c r="I59" s="2269"/>
    </row>
    <row r="60" spans="1:14" s="2264" customFormat="1" ht="14.25">
      <c r="A60" s="2274" t="s">
        <v>4</v>
      </c>
      <c r="B60" s="2273" t="s">
        <v>1862</v>
      </c>
      <c r="C60" s="2273"/>
      <c r="D60" s="2272"/>
      <c r="E60" s="2271"/>
      <c r="H60" s="2270"/>
      <c r="I60" s="2269"/>
    </row>
    <row r="61" spans="1:14" s="2264" customFormat="1" ht="14.25">
      <c r="B61" s="2268" t="s">
        <v>1871</v>
      </c>
      <c r="C61" s="2268"/>
      <c r="D61" s="2267"/>
      <c r="E61" s="2266"/>
      <c r="F61" s="2265"/>
      <c r="G61" s="2265"/>
      <c r="H61" s="2265"/>
      <c r="I61" s="2265"/>
      <c r="J61" s="2265"/>
      <c r="K61" s="2265"/>
      <c r="L61" s="2265"/>
      <c r="M61" s="2265"/>
      <c r="N61" s="2265"/>
    </row>
    <row r="62" spans="1:14" s="2300" customFormat="1" ht="17.25" customHeight="1">
      <c r="B62" s="2311" t="s">
        <v>1870</v>
      </c>
      <c r="C62" s="2309" t="s">
        <v>2016</v>
      </c>
      <c r="D62" s="2310"/>
      <c r="F62" s="2309"/>
      <c r="G62" s="2309"/>
    </row>
    <row r="63" spans="1:14" s="2306" customFormat="1" ht="17.25" customHeight="1">
      <c r="B63" s="2318" t="s">
        <v>1869</v>
      </c>
      <c r="C63" s="2306" t="s">
        <v>2017</v>
      </c>
      <c r="D63" s="2307"/>
      <c r="E63" s="2307"/>
      <c r="F63" s="2307"/>
    </row>
    <row r="64" spans="1:14" s="2300" customFormat="1" ht="8.1" customHeight="1" thickBot="1">
      <c r="A64" s="2301"/>
      <c r="B64" s="2305"/>
      <c r="C64" s="2305"/>
      <c r="D64" s="2304"/>
      <c r="E64" s="2303"/>
      <c r="F64" s="2302"/>
      <c r="G64" s="2301"/>
    </row>
    <row r="65" spans="1:7" s="2295" customFormat="1" ht="30" customHeight="1" thickBot="1">
      <c r="A65" s="2299"/>
      <c r="B65" s="2889" t="s">
        <v>1868</v>
      </c>
      <c r="C65" s="2889"/>
      <c r="D65" s="2298"/>
      <c r="E65" s="2298">
        <v>2023</v>
      </c>
      <c r="F65" s="2298">
        <v>2024</v>
      </c>
      <c r="G65" s="2298">
        <v>2025</v>
      </c>
    </row>
    <row r="66" spans="1:7" s="1995" customFormat="1" ht="6" customHeight="1">
      <c r="B66" s="2002"/>
      <c r="C66" s="2002"/>
      <c r="D66" s="2297"/>
      <c r="E66" s="2296"/>
      <c r="F66" s="2295"/>
    </row>
    <row r="67" spans="1:7" s="1995" customFormat="1" ht="5.45" customHeight="1">
      <c r="B67" s="2002"/>
      <c r="C67" s="2002"/>
      <c r="D67" s="2297"/>
      <c r="E67" s="2296"/>
      <c r="F67" s="2295"/>
    </row>
    <row r="68" spans="1:7" s="1995" customFormat="1" ht="12.95" customHeight="1">
      <c r="B68" s="2291" t="s">
        <v>1694</v>
      </c>
      <c r="C68" s="1996"/>
      <c r="D68" s="2294"/>
      <c r="E68" s="2290">
        <v>401</v>
      </c>
      <c r="F68" s="2290">
        <v>3441</v>
      </c>
      <c r="G68" s="2290">
        <v>5326</v>
      </c>
    </row>
    <row r="69" spans="1:7" s="1995" customFormat="1" ht="12.95" customHeight="1">
      <c r="B69" s="2292"/>
      <c r="C69" s="1996"/>
      <c r="D69" s="222"/>
      <c r="E69" s="1605"/>
      <c r="F69" s="1991"/>
      <c r="G69" s="1605"/>
    </row>
    <row r="70" spans="1:7" s="1995" customFormat="1" ht="12.95" customHeight="1">
      <c r="B70" s="2291" t="s">
        <v>1580</v>
      </c>
      <c r="C70" s="1996"/>
      <c r="D70" s="222"/>
      <c r="E70" s="2290">
        <v>401</v>
      </c>
      <c r="F70" s="2290">
        <v>3441</v>
      </c>
      <c r="G70" s="2290">
        <v>5326</v>
      </c>
    </row>
    <row r="71" spans="1:7" s="1995" customFormat="1" ht="12.95" customHeight="1">
      <c r="B71" s="2292"/>
      <c r="C71" s="1996"/>
      <c r="D71" s="222"/>
      <c r="E71" s="2293"/>
      <c r="F71" s="1991"/>
      <c r="G71" s="1605"/>
    </row>
    <row r="72" spans="1:7" s="1995" customFormat="1" ht="12.95" customHeight="1">
      <c r="B72" s="2291" t="s">
        <v>1693</v>
      </c>
      <c r="C72" s="1996"/>
      <c r="D72" s="222"/>
      <c r="E72" s="2290">
        <v>401</v>
      </c>
      <c r="F72" s="2290">
        <v>3441</v>
      </c>
      <c r="G72" s="2290">
        <v>5326</v>
      </c>
    </row>
    <row r="73" spans="1:7" s="1995" customFormat="1" ht="12.95" customHeight="1">
      <c r="B73" s="2292"/>
      <c r="C73" s="1996"/>
      <c r="D73" s="2001"/>
      <c r="E73" s="1605"/>
      <c r="F73" s="1991"/>
      <c r="G73" s="1605"/>
    </row>
    <row r="74" spans="1:7" s="1995" customFormat="1" ht="12.95" customHeight="1">
      <c r="B74" s="2291" t="s">
        <v>1692</v>
      </c>
      <c r="C74" s="1996"/>
      <c r="D74" s="1998"/>
      <c r="E74" s="2290">
        <v>401</v>
      </c>
      <c r="F74" s="2290">
        <v>3441</v>
      </c>
      <c r="G74" s="2290">
        <v>5326</v>
      </c>
    </row>
    <row r="75" spans="1:7" s="1995" customFormat="1" ht="12.95" customHeight="1">
      <c r="B75" s="2292"/>
      <c r="C75" s="1996"/>
      <c r="D75" s="1998"/>
      <c r="E75" s="1605"/>
      <c r="F75" s="1991"/>
      <c r="G75" s="1605"/>
    </row>
    <row r="76" spans="1:7" s="1995" customFormat="1" ht="12.95" customHeight="1">
      <c r="B76" s="2291" t="s">
        <v>1691</v>
      </c>
      <c r="C76" s="1996"/>
      <c r="D76" s="1998"/>
      <c r="E76" s="2290">
        <v>401</v>
      </c>
      <c r="F76" s="2290">
        <v>3441</v>
      </c>
      <c r="G76" s="2290">
        <v>5326</v>
      </c>
    </row>
    <row r="77" spans="1:7" s="1995" customFormat="1" ht="12.95" customHeight="1">
      <c r="B77" s="2292"/>
      <c r="C77" s="1996"/>
      <c r="D77" s="2001"/>
      <c r="E77" s="1605"/>
      <c r="F77" s="1991"/>
      <c r="G77" s="1605"/>
    </row>
    <row r="78" spans="1:7" s="1995" customFormat="1" ht="12.95" customHeight="1">
      <c r="B78" s="2291" t="s">
        <v>1690</v>
      </c>
      <c r="C78" s="1996"/>
      <c r="D78" s="2001"/>
      <c r="E78" s="2290">
        <v>401</v>
      </c>
      <c r="F78" s="2290">
        <v>3441</v>
      </c>
      <c r="G78" s="2290">
        <v>5326</v>
      </c>
    </row>
    <row r="79" spans="1:7" s="1995" customFormat="1" ht="12.95" customHeight="1">
      <c r="B79" s="2292"/>
      <c r="C79" s="1996"/>
      <c r="D79" s="2001"/>
      <c r="E79" s="2293"/>
      <c r="F79" s="1991"/>
      <c r="G79" s="1605"/>
    </row>
    <row r="80" spans="1:7" s="1995" customFormat="1" ht="12.95" customHeight="1">
      <c r="B80" s="2291" t="s">
        <v>1689</v>
      </c>
      <c r="C80" s="1996"/>
      <c r="D80" s="2001"/>
      <c r="E80" s="2290">
        <v>401</v>
      </c>
      <c r="F80" s="2290">
        <v>3441</v>
      </c>
      <c r="G80" s="2290">
        <v>5326</v>
      </c>
    </row>
    <row r="81" spans="2:7" s="1995" customFormat="1" ht="12.95" customHeight="1">
      <c r="B81" s="2292"/>
      <c r="C81" s="1996"/>
      <c r="D81" s="2294"/>
      <c r="E81" s="1605"/>
      <c r="F81" s="1991"/>
      <c r="G81" s="1605"/>
    </row>
    <row r="82" spans="2:7" s="1995" customFormat="1" ht="12.95" customHeight="1">
      <c r="B82" s="2291" t="s">
        <v>1688</v>
      </c>
      <c r="C82" s="1996"/>
      <c r="D82" s="2289"/>
      <c r="E82" s="2290">
        <v>401</v>
      </c>
      <c r="F82" s="2290">
        <v>3441</v>
      </c>
      <c r="G82" s="2290">
        <v>5326</v>
      </c>
    </row>
    <row r="83" spans="2:7" s="1995" customFormat="1" ht="12.95" customHeight="1">
      <c r="B83" s="2292"/>
      <c r="C83" s="1996"/>
      <c r="D83" s="2289"/>
      <c r="E83" s="1992"/>
      <c r="F83" s="1991"/>
      <c r="G83" s="1605"/>
    </row>
    <row r="84" spans="2:7" s="1995" customFormat="1" ht="12.95" customHeight="1">
      <c r="B84" s="2291" t="s">
        <v>1687</v>
      </c>
      <c r="C84" s="1996"/>
      <c r="D84" s="2289"/>
      <c r="E84" s="2290">
        <v>401</v>
      </c>
      <c r="F84" s="2290">
        <v>3441</v>
      </c>
      <c r="G84" s="2290">
        <v>5326</v>
      </c>
    </row>
    <row r="85" spans="2:7" s="1995" customFormat="1" ht="12.95" customHeight="1">
      <c r="B85" s="2292"/>
      <c r="C85" s="1996"/>
      <c r="D85" s="2289"/>
      <c r="E85" s="1605"/>
      <c r="F85" s="1991"/>
      <c r="G85" s="1605"/>
    </row>
    <row r="86" spans="2:7" s="1995" customFormat="1" ht="12.95" customHeight="1">
      <c r="B86" s="2291" t="s">
        <v>1686</v>
      </c>
      <c r="C86" s="1996"/>
      <c r="D86" s="2289"/>
      <c r="E86" s="2290">
        <v>401</v>
      </c>
      <c r="F86" s="2290">
        <v>3441</v>
      </c>
      <c r="G86" s="2290">
        <v>5326</v>
      </c>
    </row>
    <row r="87" spans="2:7" s="1995" customFormat="1" ht="12.95" customHeight="1">
      <c r="B87" s="2292"/>
      <c r="C87" s="1996"/>
      <c r="D87" s="2289"/>
      <c r="E87" s="2293"/>
      <c r="F87" s="1991"/>
      <c r="G87" s="1605"/>
    </row>
    <row r="88" spans="2:7" s="1995" customFormat="1" ht="12.95" customHeight="1">
      <c r="B88" s="2291" t="s">
        <v>1867</v>
      </c>
      <c r="C88" s="1996"/>
      <c r="D88" s="222"/>
      <c r="E88" s="2290">
        <v>401</v>
      </c>
      <c r="F88" s="2290">
        <v>3441</v>
      </c>
      <c r="G88" s="2290">
        <v>5326</v>
      </c>
    </row>
    <row r="89" spans="2:7" s="1995" customFormat="1" ht="12.95" customHeight="1">
      <c r="B89" s="2292"/>
      <c r="C89" s="1996"/>
      <c r="D89" s="222"/>
      <c r="E89" s="1605"/>
      <c r="F89" s="1991"/>
      <c r="G89" s="1605"/>
    </row>
    <row r="90" spans="2:7" s="1995" customFormat="1" ht="12.95" customHeight="1">
      <c r="B90" s="2291" t="s">
        <v>1578</v>
      </c>
      <c r="C90" s="1996"/>
      <c r="D90" s="222"/>
      <c r="E90" s="2290">
        <v>401</v>
      </c>
      <c r="F90" s="2290">
        <v>3441</v>
      </c>
      <c r="G90" s="2290">
        <v>5326</v>
      </c>
    </row>
    <row r="91" spans="2:7" s="1995" customFormat="1" ht="12.95" customHeight="1">
      <c r="B91" s="2292"/>
      <c r="C91" s="1996"/>
      <c r="D91" s="2001"/>
      <c r="E91" s="2293"/>
      <c r="F91" s="2293"/>
      <c r="G91" s="1605"/>
    </row>
    <row r="92" spans="2:7" s="1995" customFormat="1" ht="12.95" customHeight="1">
      <c r="B92" s="2291" t="s">
        <v>1866</v>
      </c>
      <c r="C92" s="1996"/>
      <c r="D92" s="1998"/>
      <c r="E92" s="2290">
        <v>401</v>
      </c>
      <c r="F92" s="2290">
        <v>3441</v>
      </c>
      <c r="G92" s="2290">
        <v>5326</v>
      </c>
    </row>
    <row r="93" spans="2:7" s="1995" customFormat="1" ht="12.95" customHeight="1">
      <c r="B93" s="2292"/>
      <c r="C93" s="1996"/>
      <c r="D93" s="1998"/>
      <c r="E93" s="1605"/>
      <c r="F93" s="1991"/>
      <c r="G93" s="1605"/>
    </row>
    <row r="94" spans="2:7" s="1995" customFormat="1" ht="12.95" customHeight="1">
      <c r="B94" s="2291" t="s">
        <v>1865</v>
      </c>
      <c r="C94" s="1996"/>
      <c r="D94" s="222"/>
      <c r="E94" s="2290">
        <v>401</v>
      </c>
      <c r="F94" s="2290">
        <v>3441</v>
      </c>
      <c r="G94" s="2290">
        <v>5326</v>
      </c>
    </row>
    <row r="95" spans="2:7" s="1995" customFormat="1" ht="12.95" customHeight="1">
      <c r="B95" s="2292"/>
      <c r="C95" s="1996"/>
      <c r="D95" s="2001"/>
      <c r="E95" s="2293"/>
      <c r="F95" s="1991"/>
      <c r="G95" s="1605"/>
    </row>
    <row r="96" spans="2:7" s="1995" customFormat="1" ht="12.95" customHeight="1">
      <c r="B96" s="2291" t="s">
        <v>1576</v>
      </c>
      <c r="C96" s="1996"/>
      <c r="D96" s="1998"/>
      <c r="E96" s="2290">
        <v>401</v>
      </c>
      <c r="F96" s="2290">
        <v>3441</v>
      </c>
      <c r="G96" s="2290">
        <v>5326</v>
      </c>
    </row>
    <row r="97" spans="1:7" s="1995" customFormat="1" ht="12.95" customHeight="1">
      <c r="B97" s="2292"/>
      <c r="C97" s="1996"/>
      <c r="D97" s="1998"/>
      <c r="E97" s="1605"/>
      <c r="F97" s="1991"/>
      <c r="G97" s="1605"/>
    </row>
    <row r="98" spans="1:7" s="1995" customFormat="1" ht="12.95" customHeight="1">
      <c r="B98" s="2291" t="s">
        <v>1864</v>
      </c>
      <c r="C98" s="1996"/>
      <c r="D98" s="222"/>
      <c r="E98" s="2290">
        <v>401</v>
      </c>
      <c r="F98" s="2290">
        <v>3441</v>
      </c>
      <c r="G98" s="2290">
        <v>5326</v>
      </c>
    </row>
    <row r="99" spans="1:7" s="1995" customFormat="1" ht="12.95" customHeight="1">
      <c r="B99" s="2292"/>
      <c r="C99" s="1996"/>
      <c r="D99" s="2001"/>
      <c r="E99" s="1992"/>
      <c r="F99" s="1992"/>
      <c r="G99" s="1605"/>
    </row>
    <row r="100" spans="1:7" s="1995" customFormat="1" ht="12.95" customHeight="1">
      <c r="B100" s="2291" t="s">
        <v>1682</v>
      </c>
      <c r="C100" s="1996"/>
      <c r="D100" s="1998"/>
      <c r="E100" s="2290">
        <v>401</v>
      </c>
      <c r="F100" s="2290">
        <v>3441</v>
      </c>
      <c r="G100" s="2290">
        <v>5326</v>
      </c>
    </row>
    <row r="101" spans="1:7" s="1995" customFormat="1" ht="12.95" customHeight="1">
      <c r="B101" s="2292"/>
      <c r="C101" s="1996"/>
      <c r="D101" s="1998"/>
      <c r="E101" s="1605"/>
      <c r="F101" s="1991"/>
      <c r="G101" s="1605"/>
    </row>
    <row r="102" spans="1:7" s="1995" customFormat="1" ht="12.95" customHeight="1">
      <c r="B102" s="2291" t="s">
        <v>1685</v>
      </c>
      <c r="C102" s="1996"/>
      <c r="D102" s="1998"/>
      <c r="E102" s="2290">
        <v>401</v>
      </c>
      <c r="F102" s="2290">
        <v>3441</v>
      </c>
      <c r="G102" s="2290">
        <v>5326</v>
      </c>
    </row>
    <row r="103" spans="1:7" s="1995" customFormat="1" ht="12.95" customHeight="1">
      <c r="B103" s="2292"/>
      <c r="C103" s="1996"/>
      <c r="D103" s="2001"/>
      <c r="E103" s="2293"/>
      <c r="F103" s="1991"/>
      <c r="G103" s="1605"/>
    </row>
    <row r="104" spans="1:7" s="1995" customFormat="1" ht="12.95" customHeight="1">
      <c r="B104" s="2291" t="s">
        <v>1684</v>
      </c>
      <c r="C104" s="1996"/>
      <c r="D104" s="1998"/>
      <c r="E104" s="2290">
        <v>401</v>
      </c>
      <c r="F104" s="2290">
        <v>3441</v>
      </c>
      <c r="G104" s="2290">
        <v>5326</v>
      </c>
    </row>
    <row r="105" spans="1:7" s="1995" customFormat="1" ht="12.95" customHeight="1">
      <c r="B105" s="2292"/>
      <c r="C105" s="1996"/>
      <c r="D105" s="1998"/>
      <c r="E105" s="1605"/>
      <c r="F105" s="1991"/>
      <c r="G105" s="1605"/>
    </row>
    <row r="106" spans="1:7" s="1995" customFormat="1" ht="12.95" customHeight="1">
      <c r="B106" s="2291" t="s">
        <v>1683</v>
      </c>
      <c r="C106" s="1996"/>
      <c r="D106" s="1998"/>
      <c r="E106" s="2290">
        <v>401</v>
      </c>
      <c r="F106" s="2290">
        <v>3441</v>
      </c>
      <c r="G106" s="2290">
        <v>5326</v>
      </c>
    </row>
    <row r="107" spans="1:7" s="1995" customFormat="1" ht="12.95" customHeight="1">
      <c r="B107" s="2048"/>
      <c r="C107" s="1996"/>
      <c r="D107" s="2001"/>
      <c r="E107" s="2289"/>
      <c r="F107" s="2288"/>
    </row>
    <row r="108" spans="1:7" s="1995" customFormat="1" ht="6" customHeight="1" thickBot="1">
      <c r="A108" s="2283"/>
      <c r="B108" s="2287"/>
      <c r="C108" s="2286"/>
      <c r="D108" s="2285"/>
      <c r="E108" s="2284"/>
      <c r="F108" s="2284"/>
      <c r="G108" s="2283"/>
    </row>
    <row r="109" spans="1:7" s="2276" customFormat="1" ht="15.2" customHeight="1">
      <c r="C109" s="2780" t="s">
        <v>236</v>
      </c>
      <c r="D109" s="2780"/>
      <c r="E109" s="2780"/>
      <c r="F109" s="2780"/>
      <c r="G109" s="2780"/>
    </row>
    <row r="110" spans="1:7" s="2276" customFormat="1" ht="15.2" customHeight="1">
      <c r="A110" s="2282"/>
      <c r="C110" s="2890" t="s">
        <v>232</v>
      </c>
      <c r="D110" s="2890"/>
      <c r="E110" s="2890"/>
      <c r="F110" s="2890"/>
      <c r="G110" s="2890"/>
    </row>
    <row r="111" spans="1:7" s="2276" customFormat="1" ht="14.25">
      <c r="B111" s="2279" t="s">
        <v>1863</v>
      </c>
      <c r="C111" s="2279"/>
      <c r="D111" s="2278"/>
      <c r="G111" s="2281"/>
    </row>
    <row r="112" spans="1:7" s="2276" customFormat="1" ht="8.1" customHeight="1">
      <c r="B112" s="2279"/>
      <c r="C112" s="2279"/>
      <c r="D112" s="2278"/>
      <c r="G112" s="2281"/>
    </row>
    <row r="113" spans="1:14" s="2276" customFormat="1" ht="15.75">
      <c r="A113" s="2280" t="s">
        <v>3</v>
      </c>
      <c r="B113" s="2279" t="s">
        <v>1878</v>
      </c>
      <c r="C113" s="2279"/>
      <c r="D113" s="2278"/>
      <c r="G113" s="2277"/>
    </row>
    <row r="114" spans="1:14" s="2264" customFormat="1" ht="15.75">
      <c r="A114" s="2271"/>
      <c r="B114" s="2275" t="s">
        <v>1877</v>
      </c>
      <c r="C114" s="2275"/>
      <c r="D114" s="2272"/>
      <c r="E114" s="2271"/>
      <c r="H114" s="2270"/>
      <c r="I114" s="2269"/>
    </row>
    <row r="115" spans="1:14" s="2264" customFormat="1" ht="14.25">
      <c r="A115" s="2274" t="s">
        <v>4</v>
      </c>
      <c r="B115" s="2273" t="s">
        <v>1862</v>
      </c>
      <c r="C115" s="2273"/>
      <c r="D115" s="2272"/>
      <c r="E115" s="2271"/>
      <c r="H115" s="2270"/>
      <c r="I115" s="2269"/>
    </row>
    <row r="116" spans="1:14" s="2264" customFormat="1" ht="14.25">
      <c r="B116" s="2268" t="s">
        <v>1876</v>
      </c>
      <c r="C116" s="2268"/>
      <c r="D116" s="2267"/>
      <c r="E116" s="2266"/>
      <c r="F116" s="2265"/>
      <c r="G116" s="2265"/>
      <c r="H116" s="2265"/>
      <c r="I116" s="2265"/>
      <c r="J116" s="2265"/>
      <c r="K116" s="2265"/>
      <c r="L116" s="2265"/>
      <c r="M116" s="2265"/>
      <c r="N116" s="2265"/>
    </row>
  </sheetData>
  <mergeCells count="6">
    <mergeCell ref="B5:C5"/>
    <mergeCell ref="C54:G54"/>
    <mergeCell ref="C55:G55"/>
    <mergeCell ref="C109:G109"/>
    <mergeCell ref="C110:G110"/>
    <mergeCell ref="B65:C65"/>
  </mergeCells>
  <conditionalFormatting sqref="C14:C51">
    <cfRule type="cellIs" dxfId="3" priority="2" stopIfTrue="1" operator="lessThan">
      <formula>0</formula>
    </cfRule>
  </conditionalFormatting>
  <conditionalFormatting sqref="C69:C106">
    <cfRule type="cellIs" dxfId="2" priority="1"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73" fitToWidth="0" fitToHeight="0" orientation="portrait" r:id="rId1"/>
  <rowBreaks count="1" manualBreakCount="1">
    <brk id="61" max="6" man="1"/>
  </rowBreaks>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4E3DD-9062-40B8-87F2-B3EDCFB26876}">
  <sheetPr>
    <tabColor theme="4" tint="0.39997558519241921"/>
  </sheetPr>
  <dimension ref="A1:T209"/>
  <sheetViews>
    <sheetView view="pageBreakPreview" zoomScaleNormal="100" zoomScaleSheetLayoutView="100" workbookViewId="0">
      <selection activeCell="G198" sqref="G198"/>
    </sheetView>
  </sheetViews>
  <sheetFormatPr defaultColWidth="8.85546875" defaultRowHeight="15"/>
  <cols>
    <col min="1" max="1" width="3" style="2148" customWidth="1"/>
    <col min="2" max="2" width="12.7109375" style="2148" customWidth="1"/>
    <col min="3" max="3" width="17.42578125" style="2148" customWidth="1"/>
    <col min="4" max="4" width="16" style="2148" customWidth="1"/>
    <col min="5" max="5" width="8.85546875" style="2148" customWidth="1"/>
    <col min="6" max="6" width="17.140625" style="2148" customWidth="1"/>
    <col min="7" max="7" width="14.28515625" style="2148" customWidth="1"/>
    <col min="8" max="8" width="14.7109375" style="2148" customWidth="1"/>
    <col min="9" max="9" width="19" style="2148" customWidth="1"/>
    <col min="10" max="10" width="3.28515625" style="2148" customWidth="1"/>
    <col min="11" max="16384" width="8.85546875" style="2148"/>
  </cols>
  <sheetData>
    <row r="1" spans="1:13" s="2331" customFormat="1" ht="8.1" customHeight="1">
      <c r="B1" s="2353"/>
      <c r="C1" s="2353"/>
      <c r="D1" s="2338"/>
      <c r="E1" s="2363"/>
      <c r="F1" s="2362"/>
      <c r="G1" s="2362"/>
      <c r="H1" s="2362"/>
      <c r="I1" s="2361"/>
    </row>
    <row r="2" spans="1:13" s="2331" customFormat="1" ht="8.1" customHeight="1">
      <c r="B2" s="2353"/>
      <c r="C2" s="2353"/>
      <c r="D2" s="2338"/>
      <c r="E2" s="2363"/>
      <c r="F2" s="2362"/>
      <c r="G2" s="2362"/>
      <c r="H2" s="2362"/>
      <c r="I2" s="2361"/>
    </row>
    <row r="3" spans="1:13" s="2381" customFormat="1" ht="17.25" customHeight="1">
      <c r="B3" s="2393" t="s">
        <v>1890</v>
      </c>
      <c r="C3" s="2392" t="s">
        <v>1996</v>
      </c>
      <c r="D3" s="2383"/>
      <c r="E3" s="2382"/>
      <c r="F3" s="2382"/>
      <c r="G3" s="2382"/>
      <c r="H3" s="2382"/>
      <c r="I3" s="2382"/>
      <c r="J3" s="2382"/>
    </row>
    <row r="4" spans="1:13" s="2378" customFormat="1" ht="17.25" customHeight="1">
      <c r="B4" s="2380" t="s">
        <v>1889</v>
      </c>
      <c r="C4" s="2891" t="s">
        <v>1997</v>
      </c>
      <c r="D4" s="2891"/>
      <c r="E4" s="2891"/>
      <c r="F4" s="2891"/>
      <c r="G4" s="2891"/>
      <c r="H4" s="2891"/>
      <c r="I4" s="2891"/>
      <c r="J4" s="2379"/>
    </row>
    <row r="5" spans="1:13" s="2331" customFormat="1" ht="8.1" customHeight="1" thickBot="1">
      <c r="B5" s="2377"/>
      <c r="C5" s="2376"/>
      <c r="D5" s="2334"/>
      <c r="E5" s="2375"/>
      <c r="F5" s="2374"/>
      <c r="G5" s="2374"/>
      <c r="H5" s="2374"/>
      <c r="I5" s="2373"/>
      <c r="J5" s="2332"/>
    </row>
    <row r="6" spans="1:13" s="2331" customFormat="1" ht="9.9499999999999993" customHeight="1">
      <c r="B6" s="2372"/>
      <c r="C6" s="2372"/>
      <c r="D6" s="2338"/>
      <c r="E6" s="2363"/>
      <c r="F6" s="2362"/>
      <c r="G6" s="2362"/>
      <c r="H6" s="2362"/>
      <c r="I6" s="2361"/>
    </row>
    <row r="7" spans="1:13" s="2331" customFormat="1" ht="29.45" customHeight="1">
      <c r="B7" s="2892" t="s">
        <v>1888</v>
      </c>
      <c r="C7" s="2892"/>
      <c r="D7" s="2894" t="s">
        <v>239</v>
      </c>
      <c r="E7" s="2896" t="s">
        <v>240</v>
      </c>
      <c r="F7" s="2898" t="s">
        <v>1887</v>
      </c>
      <c r="G7" s="2898" t="s">
        <v>1886</v>
      </c>
      <c r="H7" s="2898" t="s">
        <v>1885</v>
      </c>
      <c r="I7" s="2368" t="s">
        <v>1884</v>
      </c>
      <c r="J7" s="2367"/>
    </row>
    <row r="8" spans="1:13" s="2331" customFormat="1" ht="36" customHeight="1" thickBot="1">
      <c r="B8" s="2893"/>
      <c r="C8" s="2893"/>
      <c r="D8" s="2895"/>
      <c r="E8" s="2897"/>
      <c r="F8" s="2899"/>
      <c r="G8" s="2899"/>
      <c r="H8" s="2899"/>
      <c r="I8" s="2365"/>
      <c r="J8" s="2365"/>
    </row>
    <row r="9" spans="1:13" s="2331" customFormat="1" ht="8.1" customHeight="1">
      <c r="B9" s="2353"/>
      <c r="C9" s="2353"/>
      <c r="D9" s="2364"/>
      <c r="E9" s="2363"/>
      <c r="F9" s="2362"/>
      <c r="G9" s="2362"/>
      <c r="H9" s="2362"/>
      <c r="I9" s="2361"/>
    </row>
    <row r="10" spans="1:13" s="2331" customFormat="1" ht="15.2" customHeight="1">
      <c r="B10" s="2389" t="s">
        <v>235</v>
      </c>
      <c r="C10" s="2388"/>
      <c r="D10" s="2387">
        <v>2022</v>
      </c>
      <c r="E10" s="2391">
        <v>139</v>
      </c>
      <c r="F10" s="2391">
        <v>3</v>
      </c>
      <c r="G10" s="2391">
        <v>29</v>
      </c>
      <c r="H10" s="2391">
        <v>66</v>
      </c>
      <c r="I10" s="2391">
        <v>41</v>
      </c>
      <c r="K10" s="2148"/>
    </row>
    <row r="11" spans="1:13" s="2331" customFormat="1" ht="15.2" customHeight="1">
      <c r="B11" s="2389"/>
      <c r="C11" s="2388"/>
      <c r="D11" s="2364">
        <v>2023</v>
      </c>
      <c r="E11" s="2391">
        <v>127</v>
      </c>
      <c r="F11" s="2391">
        <v>3</v>
      </c>
      <c r="G11" s="2391">
        <v>16</v>
      </c>
      <c r="H11" s="2391">
        <v>65</v>
      </c>
      <c r="I11" s="2391">
        <v>43</v>
      </c>
      <c r="J11" s="2390"/>
    </row>
    <row r="12" spans="1:13" s="2331" customFormat="1" ht="15.2" customHeight="1">
      <c r="B12" s="2389"/>
      <c r="C12" s="2388"/>
      <c r="D12" s="2364">
        <v>2024</v>
      </c>
      <c r="E12" s="2391">
        <v>127</v>
      </c>
      <c r="F12" s="2391">
        <v>3</v>
      </c>
      <c r="G12" s="2391">
        <v>16</v>
      </c>
      <c r="H12" s="2391">
        <v>65</v>
      </c>
      <c r="I12" s="2391">
        <v>43</v>
      </c>
      <c r="J12" s="2390"/>
    </row>
    <row r="13" spans="1:13" s="2331" customFormat="1" ht="8.1" customHeight="1">
      <c r="B13" s="2389"/>
      <c r="C13" s="2388"/>
      <c r="D13" s="2387"/>
      <c r="E13" s="2386"/>
      <c r="F13" s="2386"/>
      <c r="G13" s="2386"/>
      <c r="H13" s="2386"/>
      <c r="I13" s="2386"/>
    </row>
    <row r="14" spans="1:13" s="2331" customFormat="1" ht="15.2" customHeight="1">
      <c r="A14" s="2359"/>
      <c r="B14" s="2352" t="s">
        <v>1720</v>
      </c>
      <c r="C14" s="222"/>
      <c r="D14" s="2344">
        <v>2022</v>
      </c>
      <c r="E14" s="2290">
        <v>139</v>
      </c>
      <c r="F14" s="2290">
        <v>3</v>
      </c>
      <c r="G14" s="2290">
        <v>29</v>
      </c>
      <c r="H14" s="2290">
        <v>66</v>
      </c>
      <c r="I14" s="2290">
        <v>41</v>
      </c>
      <c r="J14" s="2356"/>
      <c r="K14" s="2356"/>
      <c r="L14" s="2356"/>
      <c r="M14" s="2360"/>
    </row>
    <row r="15" spans="1:13" s="2331" customFormat="1" ht="15.2" customHeight="1">
      <c r="A15" s="2359"/>
      <c r="B15" s="2357"/>
      <c r="C15" s="222"/>
      <c r="D15" s="2344">
        <v>2023</v>
      </c>
      <c r="E15" s="2290">
        <v>127</v>
      </c>
      <c r="F15" s="2290">
        <v>3</v>
      </c>
      <c r="G15" s="2290">
        <v>16</v>
      </c>
      <c r="H15" s="2290">
        <v>65</v>
      </c>
      <c r="I15" s="2290">
        <v>43</v>
      </c>
      <c r="J15" s="2356"/>
      <c r="K15" s="2356"/>
      <c r="L15" s="2356"/>
      <c r="M15" s="2360"/>
    </row>
    <row r="16" spans="1:13" s="2331" customFormat="1" ht="15.2" customHeight="1">
      <c r="A16" s="2359"/>
      <c r="B16" s="2357"/>
      <c r="C16" s="222"/>
      <c r="D16" s="2344">
        <v>2024</v>
      </c>
      <c r="E16" s="2290">
        <v>127</v>
      </c>
      <c r="F16" s="2290">
        <v>3</v>
      </c>
      <c r="G16" s="2290">
        <v>16</v>
      </c>
      <c r="H16" s="2290">
        <v>65</v>
      </c>
      <c r="I16" s="2290">
        <v>43</v>
      </c>
      <c r="J16" s="2351"/>
      <c r="K16" s="2350"/>
      <c r="L16" s="2350"/>
      <c r="M16" s="2360"/>
    </row>
    <row r="17" spans="1:13" s="2331" customFormat="1" ht="15.2" customHeight="1">
      <c r="A17" s="2359"/>
      <c r="B17" s="2357"/>
      <c r="C17" s="222"/>
      <c r="D17" s="2385"/>
      <c r="E17" s="1605"/>
      <c r="F17" s="2348"/>
      <c r="G17" s="1605"/>
      <c r="H17" s="2348"/>
      <c r="I17" s="1605"/>
      <c r="J17" s="2356"/>
      <c r="K17" s="2356"/>
      <c r="L17" s="2356"/>
      <c r="M17" s="2360"/>
    </row>
    <row r="18" spans="1:13" s="2331" customFormat="1" ht="15.2" customHeight="1">
      <c r="A18" s="2359"/>
      <c r="B18" s="2291" t="s">
        <v>1719</v>
      </c>
      <c r="C18" s="222"/>
      <c r="D18" s="2344">
        <v>2022</v>
      </c>
      <c r="E18" s="2290">
        <v>139</v>
      </c>
      <c r="F18" s="2290">
        <v>3</v>
      </c>
      <c r="G18" s="2290">
        <v>29</v>
      </c>
      <c r="H18" s="2290">
        <v>66</v>
      </c>
      <c r="I18" s="2290">
        <v>41</v>
      </c>
      <c r="J18" s="2356"/>
      <c r="K18" s="2356"/>
      <c r="L18" s="2356"/>
      <c r="M18" s="2360"/>
    </row>
    <row r="19" spans="1:13" s="2331" customFormat="1" ht="15.2" customHeight="1">
      <c r="A19" s="2359"/>
      <c r="B19" s="2291"/>
      <c r="C19" s="222"/>
      <c r="D19" s="2344">
        <v>2023</v>
      </c>
      <c r="E19" s="2290">
        <v>127</v>
      </c>
      <c r="F19" s="2290">
        <v>3</v>
      </c>
      <c r="G19" s="2290">
        <v>16</v>
      </c>
      <c r="H19" s="2290">
        <v>65</v>
      </c>
      <c r="I19" s="2290">
        <v>43</v>
      </c>
      <c r="J19" s="2342"/>
      <c r="K19" s="2343"/>
      <c r="L19" s="2343"/>
      <c r="M19" s="2360"/>
    </row>
    <row r="20" spans="1:13" s="2331" customFormat="1" ht="15.2" customHeight="1">
      <c r="A20" s="2359"/>
      <c r="B20" s="2291"/>
      <c r="C20" s="222"/>
      <c r="D20" s="2344">
        <v>2024</v>
      </c>
      <c r="E20" s="2290">
        <v>127</v>
      </c>
      <c r="F20" s="2290">
        <v>3</v>
      </c>
      <c r="G20" s="2290">
        <v>16</v>
      </c>
      <c r="H20" s="2290">
        <v>65</v>
      </c>
      <c r="I20" s="2290">
        <v>43</v>
      </c>
      <c r="J20" s="2351"/>
      <c r="K20" s="2350"/>
      <c r="L20" s="2350"/>
      <c r="M20" s="2360"/>
    </row>
    <row r="21" spans="1:13" s="2331" customFormat="1" ht="15.2" customHeight="1">
      <c r="A21" s="2359"/>
      <c r="B21" s="2291"/>
      <c r="C21" s="222"/>
      <c r="D21" s="2344"/>
      <c r="E21" s="1997"/>
      <c r="F21" s="2348"/>
      <c r="G21" s="1605"/>
      <c r="H21" s="2348"/>
      <c r="I21" s="1605"/>
      <c r="J21" s="2342"/>
      <c r="K21" s="2343"/>
      <c r="L21" s="2343"/>
      <c r="M21" s="2360"/>
    </row>
    <row r="22" spans="1:13" s="2331" customFormat="1" ht="15.2" customHeight="1">
      <c r="A22" s="2359"/>
      <c r="B22" s="2346" t="s">
        <v>1706</v>
      </c>
      <c r="C22" s="2345"/>
      <c r="D22" s="2344">
        <v>2022</v>
      </c>
      <c r="E22" s="2290">
        <v>139</v>
      </c>
      <c r="F22" s="2290">
        <v>3</v>
      </c>
      <c r="G22" s="2290">
        <v>29</v>
      </c>
      <c r="H22" s="2290">
        <v>66</v>
      </c>
      <c r="I22" s="2290">
        <v>41</v>
      </c>
      <c r="J22" s="2356"/>
      <c r="K22" s="2356"/>
      <c r="L22" s="2356"/>
      <c r="M22" s="2360"/>
    </row>
    <row r="23" spans="1:13" s="2331" customFormat="1" ht="15.2" customHeight="1">
      <c r="A23" s="2359"/>
      <c r="B23" s="2345"/>
      <c r="C23" s="2345"/>
      <c r="D23" s="2344">
        <v>2023</v>
      </c>
      <c r="E23" s="2290">
        <v>127</v>
      </c>
      <c r="F23" s="2290">
        <v>3</v>
      </c>
      <c r="G23" s="2290">
        <v>16</v>
      </c>
      <c r="H23" s="2290">
        <v>65</v>
      </c>
      <c r="I23" s="2290">
        <v>43</v>
      </c>
      <c r="J23" s="2351"/>
      <c r="K23" s="2351"/>
      <c r="L23" s="2351"/>
      <c r="M23" s="2360"/>
    </row>
    <row r="24" spans="1:13" s="2331" customFormat="1" ht="15.2" customHeight="1">
      <c r="A24" s="2359"/>
      <c r="B24" s="2345"/>
      <c r="C24" s="2345"/>
      <c r="D24" s="2344">
        <v>2024</v>
      </c>
      <c r="E24" s="2290">
        <v>127</v>
      </c>
      <c r="F24" s="2290">
        <v>3</v>
      </c>
      <c r="G24" s="2290">
        <v>16</v>
      </c>
      <c r="H24" s="2290">
        <v>65</v>
      </c>
      <c r="I24" s="2290">
        <v>43</v>
      </c>
      <c r="J24" s="2351"/>
      <c r="K24" s="2350"/>
      <c r="L24" s="2350"/>
      <c r="M24" s="2360"/>
    </row>
    <row r="25" spans="1:13" s="2331" customFormat="1" ht="15.2" customHeight="1">
      <c r="A25" s="2359"/>
      <c r="B25" s="2345"/>
      <c r="C25" s="2345"/>
      <c r="D25" s="2344"/>
      <c r="E25" s="1997"/>
      <c r="F25" s="2347"/>
      <c r="G25" s="1605"/>
      <c r="H25" s="2349"/>
      <c r="I25" s="1605"/>
      <c r="J25" s="2342"/>
      <c r="K25" s="2343"/>
      <c r="L25" s="2343"/>
      <c r="M25" s="2360"/>
    </row>
    <row r="26" spans="1:13" s="2331" customFormat="1" ht="15.2" customHeight="1">
      <c r="A26" s="2359"/>
      <c r="B26" s="2346" t="s">
        <v>1690</v>
      </c>
      <c r="C26" s="2346"/>
      <c r="D26" s="2344">
        <v>2022</v>
      </c>
      <c r="E26" s="2290">
        <v>139</v>
      </c>
      <c r="F26" s="2290">
        <v>3</v>
      </c>
      <c r="G26" s="2290">
        <v>29</v>
      </c>
      <c r="H26" s="2290">
        <v>66</v>
      </c>
      <c r="I26" s="2290">
        <v>41</v>
      </c>
      <c r="J26" s="2351"/>
      <c r="K26" s="2350"/>
      <c r="L26" s="2350"/>
      <c r="M26" s="2360"/>
    </row>
    <row r="27" spans="1:13" s="2324" customFormat="1" ht="15.2" customHeight="1">
      <c r="A27" s="2359"/>
      <c r="B27" s="2346"/>
      <c r="C27" s="2346"/>
      <c r="D27" s="2344">
        <v>2023</v>
      </c>
      <c r="E27" s="2290">
        <v>127</v>
      </c>
      <c r="F27" s="2290">
        <v>3</v>
      </c>
      <c r="G27" s="2290">
        <v>16</v>
      </c>
      <c r="H27" s="2290">
        <v>65</v>
      </c>
      <c r="I27" s="2290">
        <v>43</v>
      </c>
      <c r="J27" s="2351"/>
      <c r="K27" s="2350"/>
      <c r="L27" s="2350"/>
      <c r="M27" s="2360"/>
    </row>
    <row r="28" spans="1:13" s="2324" customFormat="1" ht="15.2" customHeight="1">
      <c r="A28" s="2359"/>
      <c r="B28" s="2346"/>
      <c r="C28" s="2346"/>
      <c r="D28" s="2344">
        <v>2024</v>
      </c>
      <c r="E28" s="2290">
        <v>127</v>
      </c>
      <c r="F28" s="2290">
        <v>3</v>
      </c>
      <c r="G28" s="2290">
        <v>16</v>
      </c>
      <c r="H28" s="2290">
        <v>65</v>
      </c>
      <c r="I28" s="2290">
        <v>43</v>
      </c>
      <c r="J28" s="2351"/>
      <c r="K28" s="2350"/>
      <c r="L28" s="2350"/>
      <c r="M28" s="2360"/>
    </row>
    <row r="29" spans="1:13" s="2324" customFormat="1" ht="15.2" customHeight="1">
      <c r="A29" s="2359"/>
      <c r="B29" s="2346"/>
      <c r="C29" s="2346"/>
      <c r="D29" s="2385"/>
      <c r="E29" s="1605"/>
      <c r="F29" s="2348"/>
      <c r="G29" s="1605"/>
      <c r="H29" s="2348"/>
      <c r="I29" s="1605"/>
      <c r="J29" s="2351"/>
      <c r="K29" s="2351"/>
      <c r="L29" s="2351"/>
      <c r="M29" s="2358"/>
    </row>
    <row r="30" spans="1:13" s="2324" customFormat="1" ht="15.2" customHeight="1">
      <c r="B30" s="2357" t="s">
        <v>1867</v>
      </c>
      <c r="C30" s="2353"/>
      <c r="D30" s="2344">
        <v>2022</v>
      </c>
      <c r="E30" s="2290">
        <v>139</v>
      </c>
      <c r="F30" s="2290">
        <v>3</v>
      </c>
      <c r="G30" s="2290">
        <v>29</v>
      </c>
      <c r="H30" s="2290">
        <v>66</v>
      </c>
      <c r="I30" s="2290">
        <v>41</v>
      </c>
      <c r="J30" s="2356"/>
      <c r="K30" s="2356"/>
      <c r="L30" s="2356"/>
      <c r="M30" s="2355"/>
    </row>
    <row r="31" spans="1:13" s="2155" customFormat="1" ht="15.2" customHeight="1">
      <c r="A31" s="2324"/>
      <c r="B31" s="2352"/>
      <c r="C31" s="2353"/>
      <c r="D31" s="2344">
        <v>2023</v>
      </c>
      <c r="E31" s="2290">
        <v>127</v>
      </c>
      <c r="F31" s="2290">
        <v>3</v>
      </c>
      <c r="G31" s="2290">
        <v>16</v>
      </c>
      <c r="H31" s="2290">
        <v>65</v>
      </c>
      <c r="I31" s="2290">
        <v>43</v>
      </c>
      <c r="J31" s="2342"/>
      <c r="K31" s="2343"/>
      <c r="L31" s="2343"/>
      <c r="M31" s="2354"/>
    </row>
    <row r="32" spans="1:13" s="2155" customFormat="1" ht="15.2" customHeight="1">
      <c r="A32" s="2324"/>
      <c r="B32" s="2352"/>
      <c r="C32" s="2353"/>
      <c r="D32" s="2344">
        <v>2024</v>
      </c>
      <c r="E32" s="2290">
        <v>127</v>
      </c>
      <c r="F32" s="2290">
        <v>3</v>
      </c>
      <c r="G32" s="2290">
        <v>16</v>
      </c>
      <c r="H32" s="2290">
        <v>65</v>
      </c>
      <c r="I32" s="2290">
        <v>43</v>
      </c>
      <c r="J32" s="2342"/>
      <c r="K32" s="2343"/>
      <c r="L32" s="2343"/>
      <c r="M32" s="2341"/>
    </row>
    <row r="33" spans="2:14" s="2155" customFormat="1" ht="15.2" customHeight="1">
      <c r="B33" s="2352"/>
      <c r="C33" s="2353"/>
      <c r="D33" s="2344"/>
      <c r="E33" s="1997"/>
      <c r="F33" s="2348"/>
      <c r="G33" s="1605"/>
      <c r="H33" s="2348"/>
      <c r="I33" s="1605"/>
      <c r="J33" s="2351"/>
      <c r="K33" s="2351"/>
      <c r="L33" s="2351"/>
      <c r="M33" s="2341"/>
    </row>
    <row r="34" spans="2:14" s="2331" customFormat="1" ht="15.2" customHeight="1">
      <c r="B34" s="2352" t="s">
        <v>1866</v>
      </c>
      <c r="C34" s="222"/>
      <c r="D34" s="2344">
        <v>2022</v>
      </c>
      <c r="E34" s="2290">
        <v>139</v>
      </c>
      <c r="F34" s="2290">
        <v>3</v>
      </c>
      <c r="G34" s="2290">
        <v>29</v>
      </c>
      <c r="H34" s="2290">
        <v>66</v>
      </c>
      <c r="I34" s="2290">
        <v>41</v>
      </c>
      <c r="J34" s="2342"/>
      <c r="K34" s="2343"/>
      <c r="L34" s="2343"/>
      <c r="M34" s="2341"/>
      <c r="N34" s="222"/>
    </row>
    <row r="35" spans="2:14" s="2331" customFormat="1" ht="15.2" customHeight="1">
      <c r="B35" s="2291"/>
      <c r="C35" s="222"/>
      <c r="D35" s="2344">
        <v>2023</v>
      </c>
      <c r="E35" s="2290">
        <v>127</v>
      </c>
      <c r="F35" s="2290">
        <v>3</v>
      </c>
      <c r="G35" s="2290">
        <v>16</v>
      </c>
      <c r="H35" s="2290">
        <v>65</v>
      </c>
      <c r="I35" s="2290">
        <v>43</v>
      </c>
      <c r="J35" s="2342"/>
      <c r="K35" s="2343"/>
      <c r="L35" s="2343"/>
      <c r="M35" s="2341"/>
      <c r="N35" s="222"/>
    </row>
    <row r="36" spans="2:14" s="2331" customFormat="1" ht="15.2" customHeight="1">
      <c r="B36" s="2291"/>
      <c r="C36" s="222"/>
      <c r="D36" s="2344">
        <v>2024</v>
      </c>
      <c r="E36" s="2290">
        <v>127</v>
      </c>
      <c r="F36" s="2290">
        <v>3</v>
      </c>
      <c r="G36" s="2290">
        <v>16</v>
      </c>
      <c r="H36" s="2290">
        <v>65</v>
      </c>
      <c r="I36" s="2290">
        <v>43</v>
      </c>
      <c r="J36" s="2351"/>
      <c r="K36" s="2350"/>
      <c r="L36" s="2350"/>
      <c r="M36" s="2341"/>
      <c r="N36" s="222"/>
    </row>
    <row r="37" spans="2:14" s="2331" customFormat="1" ht="15.2" customHeight="1">
      <c r="B37" s="2291"/>
      <c r="C37" s="222"/>
      <c r="D37" s="2344"/>
      <c r="E37" s="1997"/>
      <c r="F37" s="2347"/>
      <c r="G37" s="1605"/>
      <c r="H37" s="2349"/>
      <c r="I37" s="1605"/>
      <c r="J37" s="2342"/>
      <c r="K37" s="2343"/>
      <c r="L37" s="2343"/>
      <c r="M37" s="2341"/>
      <c r="N37" s="222"/>
    </row>
    <row r="38" spans="2:14" s="2331" customFormat="1" ht="15.2" customHeight="1">
      <c r="B38" s="2346" t="s">
        <v>1576</v>
      </c>
      <c r="C38" s="2345"/>
      <c r="D38" s="2344">
        <v>2022</v>
      </c>
      <c r="E38" s="2290">
        <v>139</v>
      </c>
      <c r="F38" s="2290">
        <v>3</v>
      </c>
      <c r="G38" s="2290">
        <v>29</v>
      </c>
      <c r="H38" s="2290">
        <v>66</v>
      </c>
      <c r="I38" s="2290">
        <v>41</v>
      </c>
      <c r="J38" s="2342"/>
      <c r="K38" s="2343"/>
      <c r="L38" s="2343"/>
      <c r="M38" s="2341"/>
      <c r="N38" s="222"/>
    </row>
    <row r="39" spans="2:14" s="2331" customFormat="1" ht="15.2" customHeight="1">
      <c r="B39" s="2345"/>
      <c r="C39" s="2345"/>
      <c r="D39" s="2344">
        <v>2023</v>
      </c>
      <c r="E39" s="2290">
        <v>127</v>
      </c>
      <c r="F39" s="2290">
        <v>3</v>
      </c>
      <c r="G39" s="2290">
        <v>16</v>
      </c>
      <c r="H39" s="2290">
        <v>65</v>
      </c>
      <c r="I39" s="2290">
        <v>43</v>
      </c>
      <c r="J39" s="2342"/>
      <c r="K39" s="2343"/>
      <c r="L39" s="2343"/>
      <c r="M39" s="2341"/>
      <c r="N39" s="222"/>
    </row>
    <row r="40" spans="2:14" s="2331" customFormat="1" ht="15.2" customHeight="1">
      <c r="B40" s="2345"/>
      <c r="C40" s="2345"/>
      <c r="D40" s="2344">
        <v>2024</v>
      </c>
      <c r="E40" s="2290">
        <v>127</v>
      </c>
      <c r="F40" s="2290">
        <v>3</v>
      </c>
      <c r="G40" s="2290">
        <v>16</v>
      </c>
      <c r="H40" s="2290">
        <v>65</v>
      </c>
      <c r="I40" s="2290">
        <v>43</v>
      </c>
      <c r="J40" s="2342"/>
      <c r="K40" s="2343"/>
      <c r="L40" s="2343"/>
      <c r="M40" s="2341"/>
      <c r="N40" s="222"/>
    </row>
    <row r="41" spans="2:14" s="2331" customFormat="1" ht="15.2" customHeight="1">
      <c r="B41" s="2291"/>
      <c r="C41" s="222"/>
      <c r="D41" s="2385"/>
      <c r="E41" s="1605"/>
      <c r="F41" s="2348"/>
      <c r="G41" s="1605"/>
      <c r="H41" s="2348"/>
      <c r="I41" s="1605"/>
      <c r="J41" s="2342"/>
      <c r="K41" s="2343"/>
      <c r="L41" s="2343"/>
      <c r="M41" s="2341"/>
      <c r="N41" s="222"/>
    </row>
    <row r="42" spans="2:14" s="2331" customFormat="1" ht="15.2" customHeight="1">
      <c r="B42" s="2346" t="s">
        <v>1707</v>
      </c>
      <c r="C42" s="2345"/>
      <c r="D42" s="2344">
        <v>2022</v>
      </c>
      <c r="E42" s="2290">
        <v>139</v>
      </c>
      <c r="F42" s="2290">
        <v>3</v>
      </c>
      <c r="G42" s="2290">
        <v>29</v>
      </c>
      <c r="H42" s="2290">
        <v>66</v>
      </c>
      <c r="I42" s="2290">
        <v>41</v>
      </c>
      <c r="J42" s="2342"/>
      <c r="K42" s="2343"/>
      <c r="L42" s="2343"/>
      <c r="M42" s="2341"/>
      <c r="N42" s="222"/>
    </row>
    <row r="43" spans="2:14" s="2331" customFormat="1" ht="15.2" customHeight="1">
      <c r="B43" s="2345"/>
      <c r="C43" s="2345"/>
      <c r="D43" s="2344">
        <v>2023</v>
      </c>
      <c r="E43" s="2290">
        <v>127</v>
      </c>
      <c r="F43" s="2290">
        <v>3</v>
      </c>
      <c r="G43" s="2290">
        <v>16</v>
      </c>
      <c r="H43" s="2290">
        <v>65</v>
      </c>
      <c r="I43" s="2290">
        <v>43</v>
      </c>
      <c r="J43" s="2342"/>
      <c r="K43" s="2343"/>
      <c r="L43" s="2343"/>
      <c r="M43" s="2341"/>
      <c r="N43" s="222"/>
    </row>
    <row r="44" spans="2:14" s="2331" customFormat="1" ht="15.2" customHeight="1">
      <c r="B44" s="2345"/>
      <c r="C44" s="2345"/>
      <c r="D44" s="2344">
        <v>2024</v>
      </c>
      <c r="E44" s="2290">
        <v>127</v>
      </c>
      <c r="F44" s="2290">
        <v>3</v>
      </c>
      <c r="G44" s="2290">
        <v>16</v>
      </c>
      <c r="H44" s="2290">
        <v>65</v>
      </c>
      <c r="I44" s="2290">
        <v>43</v>
      </c>
      <c r="J44" s="2342"/>
      <c r="K44" s="2343"/>
      <c r="L44" s="2343"/>
      <c r="M44" s="2341"/>
      <c r="N44" s="222"/>
    </row>
    <row r="45" spans="2:14" s="2331" customFormat="1" ht="15.2" customHeight="1">
      <c r="B45" s="2291"/>
      <c r="C45" s="222"/>
      <c r="D45" s="2344"/>
      <c r="E45" s="1997"/>
      <c r="F45" s="2348"/>
      <c r="G45" s="1605"/>
      <c r="H45" s="2348"/>
      <c r="I45" s="1605"/>
      <c r="J45" s="2342"/>
      <c r="K45" s="2343"/>
      <c r="L45" s="2343"/>
      <c r="M45" s="2341"/>
      <c r="N45" s="222"/>
    </row>
    <row r="46" spans="2:14" s="2331" customFormat="1" ht="15.2" customHeight="1">
      <c r="B46" s="2346" t="s">
        <v>1716</v>
      </c>
      <c r="C46" s="2345"/>
      <c r="D46" s="2344">
        <v>2022</v>
      </c>
      <c r="E46" s="2290">
        <v>139</v>
      </c>
      <c r="F46" s="2290">
        <v>3</v>
      </c>
      <c r="G46" s="2290">
        <v>29</v>
      </c>
      <c r="H46" s="2290">
        <v>66</v>
      </c>
      <c r="I46" s="2290">
        <v>41</v>
      </c>
      <c r="J46" s="2342"/>
      <c r="K46" s="2343"/>
      <c r="L46" s="2343"/>
      <c r="M46" s="2341"/>
      <c r="N46" s="222"/>
    </row>
    <row r="47" spans="2:14" s="2331" customFormat="1" ht="15.2" customHeight="1">
      <c r="B47" s="2345"/>
      <c r="C47" s="2345"/>
      <c r="D47" s="2344">
        <v>2023</v>
      </c>
      <c r="E47" s="2290">
        <v>127</v>
      </c>
      <c r="F47" s="2290">
        <v>3</v>
      </c>
      <c r="G47" s="2290">
        <v>16</v>
      </c>
      <c r="H47" s="2290">
        <v>65</v>
      </c>
      <c r="I47" s="2290">
        <v>43</v>
      </c>
      <c r="J47" s="2342"/>
      <c r="K47" s="2343"/>
      <c r="L47" s="2343"/>
      <c r="M47" s="2341"/>
      <c r="N47" s="222"/>
    </row>
    <row r="48" spans="2:14" s="2331" customFormat="1" ht="15.2" customHeight="1">
      <c r="B48" s="2345"/>
      <c r="C48" s="2345"/>
      <c r="D48" s="2344">
        <v>2024</v>
      </c>
      <c r="E48" s="2290">
        <v>127</v>
      </c>
      <c r="F48" s="2290">
        <v>3</v>
      </c>
      <c r="G48" s="2290">
        <v>16</v>
      </c>
      <c r="H48" s="2290">
        <v>65</v>
      </c>
      <c r="I48" s="2290">
        <v>43</v>
      </c>
      <c r="J48" s="2342"/>
      <c r="K48" s="2343"/>
      <c r="L48" s="2343"/>
      <c r="M48" s="2341"/>
      <c r="N48" s="222"/>
    </row>
    <row r="49" spans="2:14" s="2331" customFormat="1" ht="15.2" customHeight="1">
      <c r="B49" s="2345"/>
      <c r="C49" s="2345"/>
      <c r="D49" s="2344"/>
      <c r="E49" s="1997"/>
      <c r="F49" s="2347"/>
      <c r="G49" s="1605"/>
      <c r="H49" s="2349"/>
      <c r="I49" s="1605"/>
      <c r="J49" s="2342"/>
      <c r="K49" s="2343"/>
      <c r="L49" s="2343"/>
      <c r="M49" s="2341"/>
      <c r="N49" s="222"/>
    </row>
    <row r="50" spans="2:14" s="2331" customFormat="1" ht="15.2" customHeight="1">
      <c r="B50" s="2346" t="s">
        <v>1689</v>
      </c>
      <c r="C50" s="2345"/>
      <c r="D50" s="2344">
        <v>2022</v>
      </c>
      <c r="E50" s="2290">
        <v>139</v>
      </c>
      <c r="F50" s="2290">
        <v>3</v>
      </c>
      <c r="G50" s="2290">
        <v>29</v>
      </c>
      <c r="H50" s="2290">
        <v>66</v>
      </c>
      <c r="I50" s="2290">
        <v>41</v>
      </c>
      <c r="J50" s="2342"/>
      <c r="K50" s="2343"/>
      <c r="L50" s="2343"/>
      <c r="M50" s="2341"/>
      <c r="N50" s="222"/>
    </row>
    <row r="51" spans="2:14" s="2331" customFormat="1" ht="15.2" customHeight="1">
      <c r="B51" s="2345"/>
      <c r="C51" s="2345"/>
      <c r="D51" s="2344">
        <v>2023</v>
      </c>
      <c r="E51" s="2290">
        <v>127</v>
      </c>
      <c r="F51" s="2290">
        <v>3</v>
      </c>
      <c r="G51" s="2290">
        <v>16</v>
      </c>
      <c r="H51" s="2290">
        <v>65</v>
      </c>
      <c r="I51" s="2290">
        <v>43</v>
      </c>
      <c r="J51" s="2342"/>
      <c r="K51" s="2343"/>
      <c r="L51" s="2343"/>
      <c r="M51" s="2341"/>
      <c r="N51" s="222"/>
    </row>
    <row r="52" spans="2:14" s="2331" customFormat="1" ht="15.2" customHeight="1">
      <c r="B52" s="2345"/>
      <c r="C52" s="2345"/>
      <c r="D52" s="2344">
        <v>2024</v>
      </c>
      <c r="E52" s="2290">
        <v>127</v>
      </c>
      <c r="F52" s="2290">
        <v>3</v>
      </c>
      <c r="G52" s="2290">
        <v>16</v>
      </c>
      <c r="H52" s="2290">
        <v>65</v>
      </c>
      <c r="I52" s="2290">
        <v>43</v>
      </c>
      <c r="J52" s="2342"/>
      <c r="K52" s="2343"/>
      <c r="L52" s="2343"/>
      <c r="M52" s="2341"/>
      <c r="N52" s="222"/>
    </row>
    <row r="53" spans="2:14" s="2331" customFormat="1" ht="15.2" customHeight="1">
      <c r="B53" s="2345"/>
      <c r="C53" s="2345"/>
      <c r="D53" s="2385"/>
      <c r="E53" s="1605"/>
      <c r="F53" s="2348"/>
      <c r="G53" s="1605"/>
      <c r="H53" s="2348"/>
      <c r="I53" s="1605"/>
      <c r="J53" s="2342"/>
      <c r="K53" s="2343"/>
      <c r="L53" s="2343"/>
      <c r="M53" s="2341"/>
      <c r="N53" s="222"/>
    </row>
    <row r="54" spans="2:14" s="2331" customFormat="1" ht="15.2" customHeight="1">
      <c r="B54" s="2346" t="s">
        <v>1688</v>
      </c>
      <c r="C54" s="2345"/>
      <c r="D54" s="2344">
        <v>2022</v>
      </c>
      <c r="E54" s="2290">
        <v>139</v>
      </c>
      <c r="F54" s="2290">
        <v>3</v>
      </c>
      <c r="G54" s="2290">
        <v>29</v>
      </c>
      <c r="H54" s="2290">
        <v>66</v>
      </c>
      <c r="I54" s="2290">
        <v>41</v>
      </c>
      <c r="J54" s="2342"/>
      <c r="K54" s="2343"/>
      <c r="L54" s="2343"/>
      <c r="M54" s="2341"/>
      <c r="N54" s="222"/>
    </row>
    <row r="55" spans="2:14" s="2331" customFormat="1" ht="15.2" customHeight="1">
      <c r="B55" s="2345"/>
      <c r="C55" s="2345"/>
      <c r="D55" s="2344">
        <v>2023</v>
      </c>
      <c r="E55" s="2290">
        <v>127</v>
      </c>
      <c r="F55" s="2290">
        <v>3</v>
      </c>
      <c r="G55" s="2290">
        <v>16</v>
      </c>
      <c r="H55" s="2290">
        <v>65</v>
      </c>
      <c r="I55" s="2290">
        <v>43</v>
      </c>
      <c r="J55" s="2342"/>
      <c r="K55" s="2343"/>
      <c r="L55" s="2343"/>
      <c r="M55" s="2341"/>
      <c r="N55" s="222"/>
    </row>
    <row r="56" spans="2:14" s="2331" customFormat="1" ht="15.2" customHeight="1">
      <c r="B56" s="2345"/>
      <c r="C56" s="2345"/>
      <c r="D56" s="2344">
        <v>2024</v>
      </c>
      <c r="E56" s="2290">
        <v>127</v>
      </c>
      <c r="F56" s="2290">
        <v>3</v>
      </c>
      <c r="G56" s="2290">
        <v>16</v>
      </c>
      <c r="H56" s="2290">
        <v>65</v>
      </c>
      <c r="I56" s="2290">
        <v>43</v>
      </c>
      <c r="J56" s="2342"/>
      <c r="K56" s="2343"/>
      <c r="L56" s="2343"/>
      <c r="M56" s="2341"/>
      <c r="N56" s="222"/>
    </row>
    <row r="57" spans="2:14" s="2331" customFormat="1" ht="15.2" customHeight="1">
      <c r="B57" s="2345"/>
      <c r="C57" s="2345"/>
      <c r="D57" s="2344"/>
      <c r="E57" s="1997"/>
      <c r="F57" s="2348"/>
      <c r="G57" s="1605"/>
      <c r="H57" s="2348"/>
      <c r="I57" s="1605"/>
      <c r="J57" s="2342"/>
      <c r="K57" s="2343"/>
      <c r="L57" s="2343"/>
      <c r="M57" s="2341"/>
      <c r="N57" s="222"/>
    </row>
    <row r="58" spans="2:14" s="2331" customFormat="1" ht="15.2" customHeight="1">
      <c r="B58" s="2346" t="s">
        <v>1705</v>
      </c>
      <c r="C58" s="2345"/>
      <c r="D58" s="2344">
        <v>2022</v>
      </c>
      <c r="E58" s="2290">
        <v>139</v>
      </c>
      <c r="F58" s="2290">
        <v>3</v>
      </c>
      <c r="G58" s="2290">
        <v>29</v>
      </c>
      <c r="H58" s="2290">
        <v>66</v>
      </c>
      <c r="I58" s="2290">
        <v>41</v>
      </c>
      <c r="J58" s="2343"/>
      <c r="K58" s="2343"/>
      <c r="L58" s="2343"/>
      <c r="M58" s="2341"/>
      <c r="N58" s="222"/>
    </row>
    <row r="59" spans="2:14" s="2331" customFormat="1" ht="15.2" customHeight="1">
      <c r="B59" s="2345"/>
      <c r="C59" s="2345"/>
      <c r="D59" s="2344">
        <v>2023</v>
      </c>
      <c r="E59" s="2290">
        <v>127</v>
      </c>
      <c r="F59" s="2290">
        <v>3</v>
      </c>
      <c r="G59" s="2290">
        <v>16</v>
      </c>
      <c r="H59" s="2290">
        <v>65</v>
      </c>
      <c r="I59" s="2290">
        <v>43</v>
      </c>
      <c r="J59" s="2343"/>
      <c r="K59" s="2343"/>
      <c r="L59" s="2343"/>
      <c r="M59" s="2341"/>
      <c r="N59" s="222"/>
    </row>
    <row r="60" spans="2:14" s="2331" customFormat="1" ht="15.2" customHeight="1">
      <c r="B60" s="2345"/>
      <c r="C60" s="2345"/>
      <c r="D60" s="2344">
        <v>2024</v>
      </c>
      <c r="E60" s="2290">
        <v>127</v>
      </c>
      <c r="F60" s="2290">
        <v>3</v>
      </c>
      <c r="G60" s="2290">
        <v>16</v>
      </c>
      <c r="H60" s="2290">
        <v>65</v>
      </c>
      <c r="I60" s="2290">
        <v>43</v>
      </c>
      <c r="J60" s="2343"/>
      <c r="K60" s="2343"/>
      <c r="L60" s="2343"/>
      <c r="M60" s="2341"/>
      <c r="N60" s="222"/>
    </row>
    <row r="61" spans="2:14" s="2331" customFormat="1" ht="15.2" customHeight="1">
      <c r="B61" s="2345"/>
      <c r="C61" s="2345"/>
      <c r="D61" s="2344"/>
      <c r="E61" s="1997"/>
      <c r="F61" s="2347"/>
      <c r="G61" s="2313"/>
      <c r="H61" s="2347"/>
      <c r="I61" s="1605"/>
      <c r="J61" s="2343"/>
      <c r="K61" s="2343"/>
      <c r="L61" s="2343"/>
      <c r="M61" s="2341"/>
      <c r="N61" s="222"/>
    </row>
    <row r="62" spans="2:14" s="2331" customFormat="1" ht="15.2" customHeight="1">
      <c r="B62" s="2346" t="s">
        <v>1682</v>
      </c>
      <c r="C62" s="2345"/>
      <c r="D62" s="2344">
        <v>2022</v>
      </c>
      <c r="E62" s="2290">
        <v>139</v>
      </c>
      <c r="F62" s="2290">
        <v>3</v>
      </c>
      <c r="G62" s="2290">
        <v>29</v>
      </c>
      <c r="H62" s="2290">
        <v>66</v>
      </c>
      <c r="I62" s="2290">
        <v>41</v>
      </c>
      <c r="J62" s="2343"/>
      <c r="K62" s="2343"/>
      <c r="L62" s="2343"/>
      <c r="M62" s="2341"/>
      <c r="N62" s="222"/>
    </row>
    <row r="63" spans="2:14" s="2331" customFormat="1" ht="15.2" customHeight="1">
      <c r="B63" s="2345"/>
      <c r="C63" s="2345"/>
      <c r="D63" s="2344">
        <v>2023</v>
      </c>
      <c r="E63" s="2290">
        <v>127</v>
      </c>
      <c r="F63" s="2290">
        <v>3</v>
      </c>
      <c r="G63" s="2290">
        <v>16</v>
      </c>
      <c r="H63" s="2290">
        <v>65</v>
      </c>
      <c r="I63" s="2290">
        <v>43</v>
      </c>
      <c r="J63" s="2343"/>
      <c r="K63" s="2343"/>
      <c r="L63" s="2343"/>
      <c r="M63" s="2341"/>
      <c r="N63" s="222"/>
    </row>
    <row r="64" spans="2:14" s="2331" customFormat="1" ht="15.2" customHeight="1">
      <c r="B64" s="2345"/>
      <c r="C64" s="2345"/>
      <c r="D64" s="2344">
        <v>2024</v>
      </c>
      <c r="E64" s="2290">
        <v>127</v>
      </c>
      <c r="F64" s="2290">
        <v>3</v>
      </c>
      <c r="G64" s="2290">
        <v>16</v>
      </c>
      <c r="H64" s="2290">
        <v>65</v>
      </c>
      <c r="I64" s="2290">
        <v>43</v>
      </c>
      <c r="J64" s="2343"/>
      <c r="K64" s="2343"/>
      <c r="L64" s="2343"/>
      <c r="M64" s="2341"/>
      <c r="N64" s="222"/>
    </row>
    <row r="65" spans="1:20" s="2331" customFormat="1" ht="15.2" customHeight="1">
      <c r="B65" s="2340"/>
      <c r="C65" s="2339"/>
      <c r="D65" s="2338"/>
      <c r="E65" s="2337"/>
      <c r="F65" s="2337"/>
      <c r="G65" s="2337"/>
      <c r="H65" s="2337"/>
      <c r="I65" s="2337"/>
      <c r="K65" s="222"/>
      <c r="L65" s="222"/>
      <c r="M65" s="222"/>
      <c r="N65" s="222"/>
      <c r="O65" s="222"/>
      <c r="P65" s="222"/>
      <c r="Q65" s="222"/>
      <c r="R65" s="222"/>
      <c r="S65" s="222"/>
      <c r="T65" s="222"/>
    </row>
    <row r="66" spans="1:20" s="2331" customFormat="1" ht="8.1" customHeight="1" thickBot="1">
      <c r="A66" s="2332"/>
      <c r="B66" s="2336"/>
      <c r="C66" s="2335"/>
      <c r="D66" s="2334"/>
      <c r="E66" s="2333"/>
      <c r="F66" s="2333"/>
      <c r="G66" s="2333"/>
      <c r="H66" s="2333"/>
      <c r="I66" s="2333"/>
      <c r="J66" s="2332"/>
      <c r="K66" s="222"/>
      <c r="L66" s="222"/>
      <c r="M66" s="222"/>
      <c r="N66" s="222"/>
      <c r="O66" s="222"/>
      <c r="P66" s="222"/>
      <c r="Q66" s="222"/>
      <c r="R66" s="222"/>
      <c r="S66" s="222"/>
      <c r="T66" s="222"/>
    </row>
    <row r="67" spans="1:20" s="2324" customFormat="1" ht="14.25">
      <c r="C67" s="2330"/>
      <c r="D67" s="2329"/>
      <c r="E67" s="2328"/>
      <c r="F67" s="2327"/>
      <c r="G67" s="2327"/>
      <c r="H67" s="2327"/>
      <c r="I67" s="2326"/>
      <c r="J67" s="2328" t="s">
        <v>241</v>
      </c>
    </row>
    <row r="68" spans="1:20" s="2324" customFormat="1" ht="14.25">
      <c r="B68" s="2321" t="s">
        <v>1883</v>
      </c>
      <c r="C68" s="2330"/>
      <c r="D68" s="2329"/>
      <c r="E68" s="2328"/>
      <c r="F68" s="2327"/>
      <c r="G68" s="2327"/>
      <c r="H68" s="2327"/>
      <c r="I68" s="2326"/>
      <c r="J68" s="2325" t="s">
        <v>242</v>
      </c>
    </row>
    <row r="69" spans="1:20" s="2155" customFormat="1" ht="16.5">
      <c r="B69" s="2900" t="s">
        <v>1882</v>
      </c>
      <c r="C69" s="2900"/>
      <c r="D69" s="2900"/>
      <c r="E69" s="2900"/>
      <c r="F69" s="2900"/>
      <c r="G69" s="2900"/>
      <c r="H69" s="2900"/>
      <c r="I69" s="2900"/>
      <c r="J69" s="2900"/>
    </row>
    <row r="70" spans="1:20" s="2155" customFormat="1" ht="14.25">
      <c r="B70" s="2901" t="s">
        <v>1881</v>
      </c>
      <c r="C70" s="2901"/>
      <c r="D70" s="2901"/>
      <c r="E70" s="2901"/>
      <c r="F70" s="2901"/>
      <c r="G70" s="2901"/>
      <c r="H70" s="2901"/>
      <c r="I70" s="2901"/>
    </row>
    <row r="71" spans="1:20" s="2155" customFormat="1" ht="14.25"/>
    <row r="72" spans="1:20" s="2331" customFormat="1" ht="8.1" customHeight="1">
      <c r="B72" s="2353"/>
      <c r="C72" s="2353"/>
      <c r="D72" s="2338"/>
      <c r="E72" s="2363"/>
      <c r="F72" s="2362"/>
      <c r="G72" s="2362"/>
      <c r="H72" s="2362"/>
      <c r="I72" s="2361"/>
    </row>
    <row r="73" spans="1:20" s="2331" customFormat="1" ht="8.1" customHeight="1">
      <c r="B73" s="2353"/>
      <c r="C73" s="2353"/>
      <c r="D73" s="2338"/>
      <c r="E73" s="2363"/>
      <c r="F73" s="2362"/>
      <c r="G73" s="2362"/>
      <c r="H73" s="2362"/>
      <c r="I73" s="2361"/>
    </row>
    <row r="74" spans="1:20" s="2381" customFormat="1" ht="17.25" customHeight="1">
      <c r="B74" s="2384" t="s">
        <v>1890</v>
      </c>
      <c r="C74" s="2382" t="s">
        <v>1998</v>
      </c>
      <c r="D74" s="2383"/>
      <c r="E74" s="2382"/>
      <c r="F74" s="2382"/>
      <c r="G74" s="2382"/>
      <c r="H74" s="2382"/>
      <c r="I74" s="2382"/>
      <c r="J74" s="2382"/>
    </row>
    <row r="75" spans="1:20" s="2378" customFormat="1" ht="17.25" customHeight="1">
      <c r="B75" s="2380" t="s">
        <v>1889</v>
      </c>
      <c r="C75" s="2891" t="s">
        <v>1999</v>
      </c>
      <c r="D75" s="2891"/>
      <c r="E75" s="2891"/>
      <c r="F75" s="2891"/>
      <c r="G75" s="2891"/>
      <c r="H75" s="2891"/>
      <c r="I75" s="2891"/>
      <c r="J75" s="2379"/>
    </row>
    <row r="76" spans="1:20" s="2331" customFormat="1" ht="8.1" customHeight="1" thickBot="1">
      <c r="B76" s="2377"/>
      <c r="C76" s="2376"/>
      <c r="D76" s="2334"/>
      <c r="E76" s="2375"/>
      <c r="F76" s="2374"/>
      <c r="G76" s="2374"/>
      <c r="H76" s="2374"/>
      <c r="I76" s="2373"/>
      <c r="J76" s="2332"/>
    </row>
    <row r="77" spans="1:20" s="2331" customFormat="1" ht="9.9499999999999993" customHeight="1">
      <c r="B77" s="2372"/>
      <c r="C77" s="2372"/>
      <c r="D77" s="2338"/>
      <c r="E77" s="2363"/>
      <c r="F77" s="2362"/>
      <c r="G77" s="2362"/>
      <c r="H77" s="2362"/>
      <c r="I77" s="2361"/>
    </row>
    <row r="78" spans="1:20" s="2331" customFormat="1" ht="29.45" customHeight="1">
      <c r="B78" s="2892" t="s">
        <v>1888</v>
      </c>
      <c r="C78" s="2892"/>
      <c r="D78" s="2894" t="s">
        <v>239</v>
      </c>
      <c r="E78" s="2896" t="s">
        <v>240</v>
      </c>
      <c r="F78" s="2898" t="s">
        <v>1887</v>
      </c>
      <c r="G78" s="2898" t="s">
        <v>1886</v>
      </c>
      <c r="H78" s="2898" t="s">
        <v>1885</v>
      </c>
      <c r="I78" s="2368" t="s">
        <v>1884</v>
      </c>
      <c r="J78" s="2367"/>
    </row>
    <row r="79" spans="1:20" s="2331" customFormat="1" ht="36" customHeight="1" thickBot="1">
      <c r="B79" s="2893"/>
      <c r="C79" s="2893"/>
      <c r="D79" s="2895"/>
      <c r="E79" s="2897"/>
      <c r="F79" s="2899"/>
      <c r="G79" s="2899"/>
      <c r="H79" s="2899"/>
      <c r="I79" s="2365"/>
      <c r="J79" s="2365"/>
    </row>
    <row r="80" spans="1:20" s="2331" customFormat="1" ht="8.1" customHeight="1">
      <c r="B80" s="2353"/>
      <c r="C80" s="2353"/>
      <c r="D80" s="2364"/>
      <c r="E80" s="2363"/>
      <c r="F80" s="2362"/>
      <c r="G80" s="2362"/>
      <c r="H80" s="2362"/>
      <c r="I80" s="2361"/>
    </row>
    <row r="81" spans="1:14" s="2331" customFormat="1" ht="15.2" customHeight="1">
      <c r="A81" s="2359"/>
      <c r="B81" s="2352" t="s">
        <v>1713</v>
      </c>
      <c r="C81" s="222"/>
      <c r="D81" s="2344">
        <v>2022</v>
      </c>
      <c r="E81" s="2290">
        <v>139</v>
      </c>
      <c r="F81" s="2290">
        <v>3</v>
      </c>
      <c r="G81" s="2290">
        <v>29</v>
      </c>
      <c r="H81" s="2290">
        <v>66</v>
      </c>
      <c r="I81" s="2290">
        <v>41</v>
      </c>
      <c r="J81" s="2314"/>
      <c r="K81" s="2356"/>
      <c r="L81" s="2356"/>
      <c r="M81" s="2356"/>
      <c r="N81" s="2360"/>
    </row>
    <row r="82" spans="1:14" s="2331" customFormat="1" ht="15.2" customHeight="1">
      <c r="A82" s="2359"/>
      <c r="B82" s="2357"/>
      <c r="C82" s="222"/>
      <c r="D82" s="2344">
        <v>2023</v>
      </c>
      <c r="E82" s="2290">
        <v>127</v>
      </c>
      <c r="F82" s="2290">
        <v>3</v>
      </c>
      <c r="G82" s="2290">
        <v>16</v>
      </c>
      <c r="H82" s="2290">
        <v>65</v>
      </c>
      <c r="I82" s="2290">
        <v>43</v>
      </c>
      <c r="J82" s="2314"/>
      <c r="K82" s="2356"/>
      <c r="L82" s="2356"/>
      <c r="M82" s="2356"/>
      <c r="N82" s="2360"/>
    </row>
    <row r="83" spans="1:14" s="2331" customFormat="1" ht="15.2" customHeight="1">
      <c r="A83" s="2359"/>
      <c r="B83" s="2357"/>
      <c r="C83" s="222"/>
      <c r="D83" s="2344">
        <v>2024</v>
      </c>
      <c r="E83" s="2290">
        <v>127</v>
      </c>
      <c r="F83" s="2290">
        <v>3</v>
      </c>
      <c r="G83" s="2290">
        <v>16</v>
      </c>
      <c r="H83" s="2290">
        <v>65</v>
      </c>
      <c r="I83" s="2290">
        <v>43</v>
      </c>
      <c r="J83" s="2314"/>
      <c r="K83" s="2351"/>
      <c r="L83" s="2350"/>
      <c r="M83" s="2350"/>
      <c r="N83" s="2360"/>
    </row>
    <row r="84" spans="1:14" s="2331" customFormat="1" ht="15.2" customHeight="1">
      <c r="A84" s="2359"/>
      <c r="B84" s="2357"/>
      <c r="C84" s="222"/>
      <c r="D84" s="2385"/>
      <c r="E84" s="1605"/>
      <c r="F84" s="2348"/>
      <c r="G84" s="1605"/>
      <c r="H84" s="2348"/>
      <c r="I84" s="1605"/>
      <c r="J84" s="2314"/>
      <c r="K84" s="2356"/>
      <c r="L84" s="2356"/>
      <c r="M84" s="2356"/>
      <c r="N84" s="2360"/>
    </row>
    <row r="85" spans="1:14" s="2331" customFormat="1" ht="15.2" customHeight="1">
      <c r="A85" s="2359"/>
      <c r="B85" s="2291" t="s">
        <v>1711</v>
      </c>
      <c r="C85" s="222"/>
      <c r="D85" s="2344">
        <v>2022</v>
      </c>
      <c r="E85" s="2290">
        <v>139</v>
      </c>
      <c r="F85" s="2290">
        <v>3</v>
      </c>
      <c r="G85" s="2290">
        <v>29</v>
      </c>
      <c r="H85" s="2290">
        <v>66</v>
      </c>
      <c r="I85" s="2290">
        <v>41</v>
      </c>
      <c r="J85" s="2314"/>
      <c r="K85" s="2356"/>
      <c r="L85" s="2356"/>
      <c r="M85" s="2356"/>
      <c r="N85" s="2360"/>
    </row>
    <row r="86" spans="1:14" s="2331" customFormat="1" ht="15.2" customHeight="1">
      <c r="A86" s="2359"/>
      <c r="B86" s="2291"/>
      <c r="C86" s="222"/>
      <c r="D86" s="2344">
        <v>2023</v>
      </c>
      <c r="E86" s="2290">
        <v>127</v>
      </c>
      <c r="F86" s="2290">
        <v>3</v>
      </c>
      <c r="G86" s="2290">
        <v>16</v>
      </c>
      <c r="H86" s="2290">
        <v>65</v>
      </c>
      <c r="I86" s="2290">
        <v>43</v>
      </c>
      <c r="J86" s="2314"/>
      <c r="K86" s="2342"/>
      <c r="L86" s="2343"/>
      <c r="M86" s="2343"/>
      <c r="N86" s="2360"/>
    </row>
    <row r="87" spans="1:14" s="2331" customFormat="1" ht="15.2" customHeight="1">
      <c r="A87" s="2359"/>
      <c r="B87" s="2291"/>
      <c r="C87" s="222"/>
      <c r="D87" s="2344">
        <v>2024</v>
      </c>
      <c r="E87" s="2290">
        <v>127</v>
      </c>
      <c r="F87" s="2290">
        <v>3</v>
      </c>
      <c r="G87" s="2290">
        <v>16</v>
      </c>
      <c r="H87" s="2290">
        <v>65</v>
      </c>
      <c r="I87" s="2290">
        <v>43</v>
      </c>
      <c r="J87" s="2314"/>
      <c r="K87" s="2351"/>
      <c r="L87" s="2350"/>
      <c r="M87" s="2350"/>
      <c r="N87" s="2360"/>
    </row>
    <row r="88" spans="1:14" s="2331" customFormat="1" ht="15.2" customHeight="1">
      <c r="A88" s="2359"/>
      <c r="B88" s="2291"/>
      <c r="C88" s="222"/>
      <c r="D88" s="2344"/>
      <c r="E88" s="1997"/>
      <c r="F88" s="2348"/>
      <c r="G88" s="1605"/>
      <c r="H88" s="2348"/>
      <c r="I88" s="1605"/>
      <c r="J88" s="2314"/>
      <c r="K88" s="2342"/>
      <c r="L88" s="2343"/>
      <c r="M88" s="2343"/>
      <c r="N88" s="2360"/>
    </row>
    <row r="89" spans="1:14" s="2331" customFormat="1" ht="15.2" customHeight="1">
      <c r="A89" s="2359"/>
      <c r="B89" s="2346" t="s">
        <v>1578</v>
      </c>
      <c r="C89" s="2345"/>
      <c r="D89" s="2344">
        <v>2022</v>
      </c>
      <c r="E89" s="2290">
        <v>139</v>
      </c>
      <c r="F89" s="2290">
        <v>3</v>
      </c>
      <c r="G89" s="2290">
        <v>29</v>
      </c>
      <c r="H89" s="2290">
        <v>66</v>
      </c>
      <c r="I89" s="2290">
        <v>41</v>
      </c>
      <c r="J89" s="2314"/>
      <c r="K89" s="2356"/>
      <c r="L89" s="2356"/>
      <c r="M89" s="2356"/>
      <c r="N89" s="2360"/>
    </row>
    <row r="90" spans="1:14" s="2331" customFormat="1" ht="15.2" customHeight="1">
      <c r="A90" s="2359"/>
      <c r="B90" s="2345"/>
      <c r="C90" s="2345"/>
      <c r="D90" s="2344">
        <v>2023</v>
      </c>
      <c r="E90" s="2290">
        <v>127</v>
      </c>
      <c r="F90" s="2290">
        <v>3</v>
      </c>
      <c r="G90" s="2290">
        <v>16</v>
      </c>
      <c r="H90" s="2290">
        <v>65</v>
      </c>
      <c r="I90" s="2290">
        <v>43</v>
      </c>
      <c r="J90" s="2314"/>
      <c r="K90" s="2351"/>
      <c r="L90" s="2351"/>
      <c r="M90" s="2351"/>
      <c r="N90" s="2360"/>
    </row>
    <row r="91" spans="1:14" s="2331" customFormat="1" ht="15.2" customHeight="1">
      <c r="A91" s="2359"/>
      <c r="B91" s="2345"/>
      <c r="C91" s="2345"/>
      <c r="D91" s="2344">
        <v>2024</v>
      </c>
      <c r="E91" s="2290">
        <v>127</v>
      </c>
      <c r="F91" s="2290">
        <v>3</v>
      </c>
      <c r="G91" s="2290">
        <v>16</v>
      </c>
      <c r="H91" s="2290">
        <v>65</v>
      </c>
      <c r="I91" s="2290">
        <v>43</v>
      </c>
      <c r="J91" s="2314"/>
      <c r="K91" s="2351"/>
      <c r="L91" s="2350"/>
      <c r="M91" s="2350"/>
      <c r="N91" s="2360"/>
    </row>
    <row r="92" spans="1:14" s="2331" customFormat="1" ht="15.2" customHeight="1">
      <c r="A92" s="2359"/>
      <c r="B92" s="2345"/>
      <c r="C92" s="2345"/>
      <c r="D92" s="2344"/>
      <c r="E92" s="1997"/>
      <c r="F92" s="2347"/>
      <c r="G92" s="1605"/>
      <c r="H92" s="2349"/>
      <c r="I92" s="1605"/>
      <c r="J92" s="2314"/>
      <c r="K92" s="2342"/>
      <c r="L92" s="2343"/>
      <c r="M92" s="2343"/>
      <c r="N92" s="2360"/>
    </row>
    <row r="93" spans="1:14" s="2331" customFormat="1" ht="15.2" customHeight="1">
      <c r="A93" s="2359"/>
      <c r="B93" s="2346" t="s">
        <v>1714</v>
      </c>
      <c r="C93" s="2346"/>
      <c r="D93" s="2344">
        <v>2022</v>
      </c>
      <c r="E93" s="2290">
        <v>139</v>
      </c>
      <c r="F93" s="2290">
        <v>3</v>
      </c>
      <c r="G93" s="2290">
        <v>29</v>
      </c>
      <c r="H93" s="2290">
        <v>66</v>
      </c>
      <c r="I93" s="2290">
        <v>41</v>
      </c>
      <c r="J93" s="2314"/>
      <c r="K93" s="2351"/>
      <c r="L93" s="2350"/>
      <c r="M93" s="2350"/>
      <c r="N93" s="2360"/>
    </row>
    <row r="94" spans="1:14" s="2324" customFormat="1" ht="15.2" customHeight="1">
      <c r="A94" s="2359"/>
      <c r="B94" s="2346"/>
      <c r="C94" s="2346"/>
      <c r="D94" s="2344">
        <v>2023</v>
      </c>
      <c r="E94" s="2290">
        <v>127</v>
      </c>
      <c r="F94" s="2290">
        <v>3</v>
      </c>
      <c r="G94" s="2290">
        <v>16</v>
      </c>
      <c r="H94" s="2290">
        <v>65</v>
      </c>
      <c r="I94" s="2290">
        <v>43</v>
      </c>
      <c r="J94" s="2314"/>
      <c r="K94" s="2351"/>
      <c r="L94" s="2350"/>
      <c r="M94" s="2350"/>
      <c r="N94" s="2360"/>
    </row>
    <row r="95" spans="1:14" s="2324" customFormat="1" ht="15.2" customHeight="1">
      <c r="A95" s="2359"/>
      <c r="B95" s="2346"/>
      <c r="C95" s="2346"/>
      <c r="D95" s="2344">
        <v>2024</v>
      </c>
      <c r="E95" s="2290">
        <v>127</v>
      </c>
      <c r="F95" s="2290">
        <v>3</v>
      </c>
      <c r="G95" s="2290">
        <v>16</v>
      </c>
      <c r="H95" s="2290">
        <v>65</v>
      </c>
      <c r="I95" s="2290">
        <v>43</v>
      </c>
      <c r="J95" s="2314"/>
      <c r="K95" s="2351"/>
      <c r="L95" s="2350"/>
      <c r="M95" s="2350"/>
      <c r="N95" s="2360"/>
    </row>
    <row r="96" spans="1:14" s="2324" customFormat="1" ht="15.2" customHeight="1">
      <c r="A96" s="2359"/>
      <c r="B96" s="2346"/>
      <c r="C96" s="2346"/>
      <c r="D96" s="2344"/>
      <c r="E96" s="1605"/>
      <c r="F96" s="2348"/>
      <c r="G96" s="1605"/>
      <c r="H96" s="2348"/>
      <c r="I96" s="1605"/>
      <c r="J96" s="2314"/>
      <c r="K96" s="2351"/>
      <c r="L96" s="2351"/>
      <c r="M96" s="2351"/>
      <c r="N96" s="2358"/>
    </row>
    <row r="97" spans="1:15" s="2324" customFormat="1" ht="15.2" customHeight="1">
      <c r="B97" s="2357" t="s">
        <v>1693</v>
      </c>
      <c r="C97" s="2353"/>
      <c r="D97" s="2344">
        <v>2022</v>
      </c>
      <c r="E97" s="2290">
        <v>139</v>
      </c>
      <c r="F97" s="2290">
        <v>3</v>
      </c>
      <c r="G97" s="2290">
        <v>29</v>
      </c>
      <c r="H97" s="2290">
        <v>66</v>
      </c>
      <c r="I97" s="2290">
        <v>41</v>
      </c>
      <c r="J97" s="2314"/>
      <c r="K97" s="2356"/>
      <c r="L97" s="2356"/>
      <c r="M97" s="2356"/>
      <c r="N97" s="2355"/>
    </row>
    <row r="98" spans="1:15" s="2155" customFormat="1" ht="15.2" customHeight="1">
      <c r="A98" s="2324"/>
      <c r="B98" s="2352"/>
      <c r="C98" s="2353"/>
      <c r="D98" s="2344">
        <v>2023</v>
      </c>
      <c r="E98" s="2290">
        <v>127</v>
      </c>
      <c r="F98" s="2290">
        <v>3</v>
      </c>
      <c r="G98" s="2290">
        <v>16</v>
      </c>
      <c r="H98" s="2290">
        <v>65</v>
      </c>
      <c r="I98" s="2290">
        <v>43</v>
      </c>
      <c r="J98" s="2314"/>
      <c r="K98" s="2342"/>
      <c r="L98" s="2343"/>
      <c r="M98" s="2343"/>
      <c r="N98" s="2354"/>
    </row>
    <row r="99" spans="1:15" s="2155" customFormat="1" ht="15.2" customHeight="1">
      <c r="A99" s="2324"/>
      <c r="B99" s="2352"/>
      <c r="C99" s="2353"/>
      <c r="D99" s="2344">
        <v>2024</v>
      </c>
      <c r="E99" s="2290">
        <v>127</v>
      </c>
      <c r="F99" s="2290">
        <v>3</v>
      </c>
      <c r="G99" s="2290">
        <v>16</v>
      </c>
      <c r="H99" s="2290">
        <v>65</v>
      </c>
      <c r="I99" s="2290">
        <v>43</v>
      </c>
      <c r="J99" s="2314"/>
      <c r="K99" s="2342"/>
      <c r="L99" s="2343"/>
      <c r="M99" s="2343"/>
      <c r="N99" s="2341"/>
    </row>
    <row r="100" spans="1:15" s="2155" customFormat="1" ht="15.2" customHeight="1">
      <c r="B100" s="2352"/>
      <c r="C100" s="2353"/>
      <c r="D100" s="2385"/>
      <c r="E100" s="1997"/>
      <c r="F100" s="2348"/>
      <c r="G100" s="1605"/>
      <c r="H100" s="2348"/>
      <c r="I100" s="1605"/>
      <c r="J100" s="2314"/>
      <c r="K100" s="2351"/>
      <c r="L100" s="2351"/>
      <c r="M100" s="2351"/>
      <c r="N100" s="2341"/>
    </row>
    <row r="101" spans="1:15" s="2331" customFormat="1" ht="15.2" customHeight="1">
      <c r="B101" s="2352" t="s">
        <v>1709</v>
      </c>
      <c r="C101" s="222"/>
      <c r="D101" s="2344">
        <v>2022</v>
      </c>
      <c r="E101" s="2290">
        <v>139</v>
      </c>
      <c r="F101" s="2290">
        <v>3</v>
      </c>
      <c r="G101" s="2290">
        <v>29</v>
      </c>
      <c r="H101" s="2290">
        <v>66</v>
      </c>
      <c r="I101" s="2290">
        <v>41</v>
      </c>
      <c r="J101" s="2314"/>
      <c r="K101" s="2342"/>
      <c r="L101" s="2343"/>
      <c r="M101" s="2343"/>
      <c r="N101" s="2341"/>
      <c r="O101" s="222"/>
    </row>
    <row r="102" spans="1:15" s="2331" customFormat="1" ht="15.2" customHeight="1">
      <c r="B102" s="2291"/>
      <c r="C102" s="222"/>
      <c r="D102" s="2344">
        <v>2023</v>
      </c>
      <c r="E102" s="2290">
        <v>127</v>
      </c>
      <c r="F102" s="2290">
        <v>3</v>
      </c>
      <c r="G102" s="2290">
        <v>16</v>
      </c>
      <c r="H102" s="2290">
        <v>65</v>
      </c>
      <c r="I102" s="2290">
        <v>43</v>
      </c>
      <c r="J102" s="2314"/>
      <c r="K102" s="2342"/>
      <c r="L102" s="2343"/>
      <c r="M102" s="2343"/>
      <c r="N102" s="2341"/>
      <c r="O102" s="222"/>
    </row>
    <row r="103" spans="1:15" s="2331" customFormat="1" ht="15.2" customHeight="1">
      <c r="B103" s="2291"/>
      <c r="C103" s="222"/>
      <c r="D103" s="2344">
        <v>2024</v>
      </c>
      <c r="E103" s="2290">
        <v>127</v>
      </c>
      <c r="F103" s="2290">
        <v>3</v>
      </c>
      <c r="G103" s="2290">
        <v>16</v>
      </c>
      <c r="H103" s="2290">
        <v>65</v>
      </c>
      <c r="I103" s="2290">
        <v>43</v>
      </c>
      <c r="J103" s="2314"/>
      <c r="K103" s="2351"/>
      <c r="L103" s="2350"/>
      <c r="M103" s="2350"/>
      <c r="N103" s="2341"/>
      <c r="O103" s="222"/>
    </row>
    <row r="104" spans="1:15" s="2331" customFormat="1" ht="15.2" customHeight="1">
      <c r="B104" s="2291"/>
      <c r="C104" s="222"/>
      <c r="D104" s="2344"/>
      <c r="E104" s="1997"/>
      <c r="F104" s="2347"/>
      <c r="G104" s="1605"/>
      <c r="H104" s="2349"/>
      <c r="I104" s="1605"/>
      <c r="J104" s="2314"/>
      <c r="K104" s="2342"/>
      <c r="L104" s="2343"/>
      <c r="M104" s="2343"/>
      <c r="N104" s="2341"/>
      <c r="O104" s="222"/>
    </row>
    <row r="105" spans="1:15" s="2331" customFormat="1" ht="15.2" customHeight="1">
      <c r="B105" s="2346" t="s">
        <v>1687</v>
      </c>
      <c r="C105" s="2345"/>
      <c r="D105" s="2344">
        <v>2022</v>
      </c>
      <c r="E105" s="2290">
        <v>139</v>
      </c>
      <c r="F105" s="2290">
        <v>3</v>
      </c>
      <c r="G105" s="2290">
        <v>29</v>
      </c>
      <c r="H105" s="2290">
        <v>66</v>
      </c>
      <c r="I105" s="2290">
        <v>41</v>
      </c>
      <c r="J105" s="2314"/>
      <c r="K105" s="2342"/>
      <c r="L105" s="2343"/>
      <c r="M105" s="2343"/>
      <c r="N105" s="2341"/>
      <c r="O105" s="222"/>
    </row>
    <row r="106" spans="1:15" s="2331" customFormat="1" ht="15.2" customHeight="1">
      <c r="B106" s="2345"/>
      <c r="C106" s="2345"/>
      <c r="D106" s="2344">
        <v>2023</v>
      </c>
      <c r="E106" s="2290">
        <v>127</v>
      </c>
      <c r="F106" s="2290">
        <v>3</v>
      </c>
      <c r="G106" s="2290">
        <v>16</v>
      </c>
      <c r="H106" s="2290">
        <v>65</v>
      </c>
      <c r="I106" s="2290">
        <v>43</v>
      </c>
      <c r="J106" s="2314"/>
      <c r="K106" s="2342"/>
      <c r="L106" s="2343"/>
      <c r="M106" s="2343"/>
      <c r="N106" s="2341"/>
      <c r="O106" s="222"/>
    </row>
    <row r="107" spans="1:15" s="2331" customFormat="1" ht="15.2" customHeight="1">
      <c r="B107" s="2345"/>
      <c r="C107" s="2345"/>
      <c r="D107" s="2344">
        <v>2024</v>
      </c>
      <c r="E107" s="2290">
        <v>127</v>
      </c>
      <c r="F107" s="2290">
        <v>3</v>
      </c>
      <c r="G107" s="2290">
        <v>16</v>
      </c>
      <c r="H107" s="2290">
        <v>65</v>
      </c>
      <c r="I107" s="2290">
        <v>43</v>
      </c>
      <c r="J107" s="2314"/>
      <c r="K107" s="2342"/>
      <c r="L107" s="2343"/>
      <c r="M107" s="2343"/>
      <c r="N107" s="2341"/>
      <c r="O107" s="222"/>
    </row>
    <row r="108" spans="1:15" s="2331" customFormat="1" ht="15.2" customHeight="1">
      <c r="B108" s="2291"/>
      <c r="C108" s="222"/>
      <c r="D108" s="2344"/>
      <c r="E108" s="1605"/>
      <c r="F108" s="2348"/>
      <c r="G108" s="1605"/>
      <c r="H108" s="2348"/>
      <c r="I108" s="1605"/>
      <c r="J108" s="2314"/>
      <c r="K108" s="2342"/>
      <c r="L108" s="2343"/>
      <c r="M108" s="2343"/>
      <c r="N108" s="2341"/>
      <c r="O108" s="222"/>
    </row>
    <row r="109" spans="1:15" s="2331" customFormat="1" ht="15.2" customHeight="1">
      <c r="B109" s="2346" t="s">
        <v>1685</v>
      </c>
      <c r="C109" s="2345"/>
      <c r="D109" s="2344">
        <v>2022</v>
      </c>
      <c r="E109" s="2290">
        <v>139</v>
      </c>
      <c r="F109" s="2290">
        <v>3</v>
      </c>
      <c r="G109" s="2290">
        <v>29</v>
      </c>
      <c r="H109" s="2290">
        <v>66</v>
      </c>
      <c r="I109" s="2290">
        <v>41</v>
      </c>
      <c r="J109" s="2314"/>
      <c r="K109" s="2342"/>
      <c r="L109" s="2343"/>
      <c r="M109" s="2343"/>
      <c r="N109" s="2341"/>
      <c r="O109" s="222"/>
    </row>
    <row r="110" spans="1:15" s="2331" customFormat="1" ht="15.2" customHeight="1">
      <c r="B110" s="2345"/>
      <c r="C110" s="2345"/>
      <c r="D110" s="2344">
        <v>2023</v>
      </c>
      <c r="E110" s="2290">
        <v>127</v>
      </c>
      <c r="F110" s="2290">
        <v>3</v>
      </c>
      <c r="G110" s="2290">
        <v>16</v>
      </c>
      <c r="H110" s="2290">
        <v>65</v>
      </c>
      <c r="I110" s="2290">
        <v>43</v>
      </c>
      <c r="J110" s="2314"/>
      <c r="K110" s="2342"/>
      <c r="L110" s="2343"/>
      <c r="M110" s="2343"/>
      <c r="N110" s="2341"/>
      <c r="O110" s="222"/>
    </row>
    <row r="111" spans="1:15" s="2331" customFormat="1" ht="15.2" customHeight="1">
      <c r="B111" s="2345"/>
      <c r="C111" s="2345"/>
      <c r="D111" s="2344">
        <v>2024</v>
      </c>
      <c r="E111" s="2290">
        <v>127</v>
      </c>
      <c r="F111" s="2290">
        <v>3</v>
      </c>
      <c r="G111" s="2290">
        <v>16</v>
      </c>
      <c r="H111" s="2290">
        <v>65</v>
      </c>
      <c r="I111" s="2290">
        <v>43</v>
      </c>
      <c r="J111" s="2342"/>
      <c r="K111" s="2342"/>
      <c r="L111" s="2343"/>
      <c r="M111" s="2343"/>
      <c r="N111" s="2341"/>
      <c r="O111" s="222"/>
    </row>
    <row r="112" spans="1:15" s="2331" customFormat="1" ht="15.2" customHeight="1">
      <c r="B112" s="2291"/>
      <c r="C112" s="222"/>
      <c r="D112" s="2344"/>
      <c r="E112" s="1997"/>
      <c r="F112" s="2348"/>
      <c r="G112" s="1605"/>
      <c r="H112" s="2348"/>
      <c r="I112" s="1605"/>
      <c r="J112" s="2342"/>
      <c r="K112" s="2342"/>
      <c r="L112" s="2343"/>
      <c r="M112" s="2343"/>
      <c r="N112" s="2341"/>
      <c r="O112" s="222"/>
    </row>
    <row r="113" spans="2:15" s="2331" customFormat="1" ht="15.2" customHeight="1">
      <c r="B113" s="2346" t="s">
        <v>1715</v>
      </c>
      <c r="C113" s="2345"/>
      <c r="D113" s="2344">
        <v>2022</v>
      </c>
      <c r="E113" s="2290">
        <v>139</v>
      </c>
      <c r="F113" s="2290">
        <v>3</v>
      </c>
      <c r="G113" s="2290">
        <v>29</v>
      </c>
      <c r="H113" s="2290">
        <v>66</v>
      </c>
      <c r="I113" s="2290">
        <v>41</v>
      </c>
      <c r="J113" s="2342"/>
      <c r="K113" s="2342"/>
      <c r="L113" s="2343"/>
      <c r="M113" s="2343"/>
      <c r="N113" s="2341"/>
      <c r="O113" s="222"/>
    </row>
    <row r="114" spans="2:15" s="2331" customFormat="1" ht="15.2" customHeight="1">
      <c r="B114" s="2345"/>
      <c r="C114" s="2345"/>
      <c r="D114" s="2344">
        <v>2023</v>
      </c>
      <c r="E114" s="2290">
        <v>127</v>
      </c>
      <c r="F114" s="2290">
        <v>3</v>
      </c>
      <c r="G114" s="2290">
        <v>16</v>
      </c>
      <c r="H114" s="2290">
        <v>65</v>
      </c>
      <c r="I114" s="2290">
        <v>43</v>
      </c>
      <c r="J114" s="2342"/>
      <c r="K114" s="2342"/>
      <c r="L114" s="2343"/>
      <c r="M114" s="2343"/>
      <c r="N114" s="2341"/>
      <c r="O114" s="222"/>
    </row>
    <row r="115" spans="2:15" s="2331" customFormat="1" ht="15.2" customHeight="1">
      <c r="B115" s="2345"/>
      <c r="C115" s="2345"/>
      <c r="D115" s="2344">
        <v>2024</v>
      </c>
      <c r="E115" s="2290">
        <v>127</v>
      </c>
      <c r="F115" s="2290">
        <v>3</v>
      </c>
      <c r="G115" s="2290">
        <v>16</v>
      </c>
      <c r="H115" s="2290">
        <v>65</v>
      </c>
      <c r="I115" s="2290">
        <v>43</v>
      </c>
      <c r="J115" s="2342"/>
      <c r="K115" s="2342"/>
      <c r="L115" s="2343"/>
      <c r="M115" s="2343"/>
      <c r="N115" s="2341"/>
      <c r="O115" s="222"/>
    </row>
    <row r="116" spans="2:15" s="2331" customFormat="1" ht="15.2" customHeight="1">
      <c r="B116" s="2345"/>
      <c r="C116" s="2345"/>
      <c r="D116" s="2385"/>
      <c r="E116" s="1997"/>
      <c r="F116" s="2347"/>
      <c r="G116" s="1605"/>
      <c r="H116" s="2349"/>
      <c r="I116" s="1605"/>
      <c r="J116" s="2342"/>
      <c r="K116" s="2342"/>
      <c r="L116" s="2343"/>
      <c r="M116" s="2343"/>
      <c r="N116" s="2341"/>
      <c r="O116" s="222"/>
    </row>
    <row r="117" spans="2:15" s="2331" customFormat="1" ht="15.2" customHeight="1">
      <c r="B117" s="2346" t="s">
        <v>1865</v>
      </c>
      <c r="C117" s="2345"/>
      <c r="D117" s="2344">
        <v>2022</v>
      </c>
      <c r="E117" s="2290">
        <v>139</v>
      </c>
      <c r="F117" s="2290">
        <v>3</v>
      </c>
      <c r="G117" s="2290">
        <v>29</v>
      </c>
      <c r="H117" s="2290">
        <v>66</v>
      </c>
      <c r="I117" s="2290">
        <v>41</v>
      </c>
      <c r="J117" s="2342"/>
      <c r="K117" s="2342"/>
      <c r="L117" s="2343"/>
      <c r="M117" s="2343"/>
      <c r="N117" s="2341"/>
      <c r="O117" s="222"/>
    </row>
    <row r="118" spans="2:15" s="2331" customFormat="1" ht="15.2" customHeight="1">
      <c r="B118" s="2345"/>
      <c r="C118" s="2345"/>
      <c r="D118" s="2344">
        <v>2023</v>
      </c>
      <c r="E118" s="2290">
        <v>127</v>
      </c>
      <c r="F118" s="2290">
        <v>3</v>
      </c>
      <c r="G118" s="2290">
        <v>16</v>
      </c>
      <c r="H118" s="2290">
        <v>65</v>
      </c>
      <c r="I118" s="2290">
        <v>43</v>
      </c>
      <c r="J118" s="2342"/>
      <c r="K118" s="2342"/>
      <c r="L118" s="2343"/>
      <c r="M118" s="2343"/>
      <c r="N118" s="2341"/>
      <c r="O118" s="222"/>
    </row>
    <row r="119" spans="2:15" s="2331" customFormat="1" ht="15.2" customHeight="1">
      <c r="B119" s="2345"/>
      <c r="C119" s="2345"/>
      <c r="D119" s="2344">
        <v>2024</v>
      </c>
      <c r="E119" s="2290">
        <v>127</v>
      </c>
      <c r="F119" s="2290">
        <v>3</v>
      </c>
      <c r="G119" s="2290">
        <v>16</v>
      </c>
      <c r="H119" s="2290">
        <v>65</v>
      </c>
      <c r="I119" s="2290">
        <v>43</v>
      </c>
      <c r="J119" s="2342"/>
      <c r="K119" s="2342"/>
      <c r="L119" s="2343"/>
      <c r="M119" s="2343"/>
      <c r="N119" s="2341"/>
      <c r="O119" s="222"/>
    </row>
    <row r="120" spans="2:15" s="2331" customFormat="1" ht="15.2" customHeight="1">
      <c r="B120" s="2345"/>
      <c r="C120" s="2345"/>
      <c r="D120" s="2344"/>
      <c r="E120" s="1605"/>
      <c r="F120" s="2348"/>
      <c r="G120" s="1605"/>
      <c r="H120" s="2348"/>
      <c r="I120" s="1605"/>
      <c r="J120" s="2342"/>
      <c r="K120" s="2342"/>
      <c r="L120" s="2343"/>
      <c r="M120" s="2343"/>
      <c r="N120" s="2341"/>
      <c r="O120" s="222"/>
    </row>
    <row r="121" spans="2:15" s="2331" customFormat="1" ht="15.2" customHeight="1">
      <c r="B121" s="2346" t="s">
        <v>1718</v>
      </c>
      <c r="C121" s="2345"/>
      <c r="D121" s="2344">
        <v>2022</v>
      </c>
      <c r="E121" s="2290">
        <v>139</v>
      </c>
      <c r="F121" s="2290">
        <v>3</v>
      </c>
      <c r="G121" s="2290">
        <v>29</v>
      </c>
      <c r="H121" s="2290">
        <v>66</v>
      </c>
      <c r="I121" s="2290">
        <v>41</v>
      </c>
      <c r="J121" s="2342"/>
      <c r="K121" s="2342"/>
      <c r="L121" s="2343"/>
      <c r="M121" s="2343"/>
      <c r="N121" s="2341"/>
      <c r="O121" s="222"/>
    </row>
    <row r="122" spans="2:15" s="2331" customFormat="1" ht="15.2" customHeight="1">
      <c r="B122" s="2345"/>
      <c r="C122" s="2345"/>
      <c r="D122" s="2344">
        <v>2023</v>
      </c>
      <c r="E122" s="2290">
        <v>127</v>
      </c>
      <c r="F122" s="2290">
        <v>3</v>
      </c>
      <c r="G122" s="2290">
        <v>16</v>
      </c>
      <c r="H122" s="2290">
        <v>65</v>
      </c>
      <c r="I122" s="2290">
        <v>43</v>
      </c>
      <c r="J122" s="2342"/>
      <c r="K122" s="2342"/>
      <c r="L122" s="2343"/>
      <c r="M122" s="2343"/>
      <c r="N122" s="2341"/>
      <c r="O122" s="222"/>
    </row>
    <row r="123" spans="2:15" s="2331" customFormat="1" ht="15.2" customHeight="1">
      <c r="B123" s="2345"/>
      <c r="C123" s="2345"/>
      <c r="D123" s="2344">
        <v>2024</v>
      </c>
      <c r="E123" s="2290">
        <v>127</v>
      </c>
      <c r="F123" s="2290">
        <v>3</v>
      </c>
      <c r="G123" s="2290">
        <v>16</v>
      </c>
      <c r="H123" s="2290">
        <v>65</v>
      </c>
      <c r="I123" s="2290">
        <v>43</v>
      </c>
      <c r="J123" s="2342"/>
      <c r="K123" s="2342"/>
      <c r="L123" s="2343"/>
      <c r="M123" s="2343"/>
      <c r="N123" s="2341"/>
      <c r="O123" s="222"/>
    </row>
    <row r="124" spans="2:15" s="2331" customFormat="1" ht="15.2" customHeight="1">
      <c r="B124" s="2345"/>
      <c r="C124" s="2345"/>
      <c r="D124" s="2344"/>
      <c r="E124" s="1997"/>
      <c r="F124" s="2348"/>
      <c r="G124" s="1605"/>
      <c r="H124" s="2348"/>
      <c r="I124" s="1605"/>
      <c r="J124" s="2342"/>
      <c r="K124" s="2342"/>
      <c r="L124" s="2343"/>
      <c r="M124" s="2343"/>
      <c r="N124" s="2341"/>
      <c r="O124" s="222"/>
    </row>
    <row r="125" spans="2:15" s="2331" customFormat="1" ht="15.2" customHeight="1">
      <c r="B125" s="2346" t="s">
        <v>1864</v>
      </c>
      <c r="C125" s="2345"/>
      <c r="D125" s="2344">
        <v>2022</v>
      </c>
      <c r="E125" s="2290">
        <v>139</v>
      </c>
      <c r="F125" s="2290">
        <v>3</v>
      </c>
      <c r="G125" s="2290">
        <v>29</v>
      </c>
      <c r="H125" s="2290">
        <v>66</v>
      </c>
      <c r="I125" s="2290">
        <v>41</v>
      </c>
      <c r="J125" s="2343"/>
      <c r="K125" s="2343"/>
      <c r="L125" s="2343"/>
      <c r="M125" s="2343"/>
      <c r="N125" s="2341"/>
      <c r="O125" s="222"/>
    </row>
    <row r="126" spans="2:15" s="2331" customFormat="1" ht="15.2" customHeight="1">
      <c r="B126" s="2345"/>
      <c r="C126" s="2345"/>
      <c r="D126" s="2344">
        <v>2023</v>
      </c>
      <c r="E126" s="2290">
        <v>127</v>
      </c>
      <c r="F126" s="2290">
        <v>3</v>
      </c>
      <c r="G126" s="2290">
        <v>16</v>
      </c>
      <c r="H126" s="2290">
        <v>65</v>
      </c>
      <c r="I126" s="2290">
        <v>43</v>
      </c>
      <c r="J126" s="2343"/>
      <c r="K126" s="2343"/>
      <c r="L126" s="2343"/>
      <c r="M126" s="2343"/>
      <c r="N126" s="2341"/>
      <c r="O126" s="222"/>
    </row>
    <row r="127" spans="2:15" s="2331" customFormat="1" ht="15.2" customHeight="1">
      <c r="B127" s="2345"/>
      <c r="C127" s="2345"/>
      <c r="D127" s="2344">
        <v>2024</v>
      </c>
      <c r="E127" s="2290">
        <v>127</v>
      </c>
      <c r="F127" s="2290">
        <v>3</v>
      </c>
      <c r="G127" s="2290">
        <v>16</v>
      </c>
      <c r="H127" s="2290">
        <v>65</v>
      </c>
      <c r="I127" s="2290">
        <v>43</v>
      </c>
      <c r="J127" s="2343"/>
      <c r="K127" s="2343"/>
      <c r="L127" s="2343"/>
      <c r="M127" s="2343"/>
      <c r="N127" s="2341"/>
      <c r="O127" s="222"/>
    </row>
    <row r="128" spans="2:15" s="2331" customFormat="1" ht="15.2" customHeight="1">
      <c r="B128" s="2345"/>
      <c r="C128" s="2345"/>
      <c r="D128" s="2344"/>
      <c r="E128" s="1997"/>
      <c r="F128" s="2347"/>
      <c r="G128" s="2313"/>
      <c r="H128" s="2347"/>
      <c r="I128" s="1605"/>
      <c r="J128" s="2343"/>
      <c r="K128" s="2343"/>
      <c r="L128" s="2343"/>
      <c r="M128" s="2343"/>
      <c r="N128" s="2341"/>
      <c r="O128" s="222"/>
    </row>
    <row r="129" spans="1:20" s="2331" customFormat="1" ht="15.2" customHeight="1">
      <c r="B129" s="2346" t="s">
        <v>1587</v>
      </c>
      <c r="C129" s="2345"/>
      <c r="D129" s="2344">
        <v>2022</v>
      </c>
      <c r="E129" s="2290">
        <v>139</v>
      </c>
      <c r="F129" s="2290">
        <v>3</v>
      </c>
      <c r="G129" s="2290">
        <v>29</v>
      </c>
      <c r="H129" s="2290">
        <v>66</v>
      </c>
      <c r="I129" s="2290">
        <v>41</v>
      </c>
      <c r="J129" s="2343"/>
      <c r="K129" s="2343"/>
      <c r="L129" s="2343"/>
      <c r="M129" s="2343"/>
      <c r="N129" s="2341"/>
      <c r="O129" s="222"/>
    </row>
    <row r="130" spans="1:20" s="2331" customFormat="1" ht="15.2" customHeight="1">
      <c r="B130" s="2345"/>
      <c r="C130" s="2345"/>
      <c r="D130" s="2344">
        <v>2023</v>
      </c>
      <c r="E130" s="2290">
        <v>127</v>
      </c>
      <c r="F130" s="2290">
        <v>3</v>
      </c>
      <c r="G130" s="2290">
        <v>16</v>
      </c>
      <c r="H130" s="2290">
        <v>65</v>
      </c>
      <c r="I130" s="2290">
        <v>43</v>
      </c>
      <c r="J130" s="2343"/>
      <c r="K130" s="2343"/>
      <c r="L130" s="2343"/>
      <c r="M130" s="2343"/>
      <c r="N130" s="2341"/>
      <c r="O130" s="222"/>
    </row>
    <row r="131" spans="1:20" s="2331" customFormat="1" ht="15.2" customHeight="1">
      <c r="B131" s="2345"/>
      <c r="C131" s="2345"/>
      <c r="D131" s="2344">
        <v>2024</v>
      </c>
      <c r="E131" s="2290">
        <v>127</v>
      </c>
      <c r="F131" s="2290">
        <v>3</v>
      </c>
      <c r="G131" s="2290">
        <v>16</v>
      </c>
      <c r="H131" s="2290">
        <v>65</v>
      </c>
      <c r="I131" s="2290">
        <v>43</v>
      </c>
      <c r="J131" s="2343"/>
      <c r="K131" s="2343"/>
      <c r="L131" s="2343"/>
      <c r="M131" s="2343"/>
      <c r="N131" s="2341"/>
      <c r="O131" s="222"/>
    </row>
    <row r="132" spans="1:20" s="2331" customFormat="1" ht="15.2" customHeight="1">
      <c r="B132" s="2340"/>
      <c r="C132" s="2339"/>
      <c r="D132" s="2338"/>
      <c r="E132" s="2337"/>
      <c r="F132" s="2337"/>
      <c r="G132" s="2337"/>
      <c r="H132" s="2337"/>
      <c r="I132" s="2337"/>
      <c r="K132" s="222"/>
      <c r="L132" s="222"/>
      <c r="M132" s="222"/>
      <c r="N132" s="222"/>
      <c r="O132" s="222"/>
      <c r="P132" s="222"/>
      <c r="Q132" s="222"/>
      <c r="R132" s="222"/>
      <c r="S132" s="222"/>
      <c r="T132" s="222"/>
    </row>
    <row r="133" spans="1:20" s="2331" customFormat="1" ht="8.1" customHeight="1" thickBot="1">
      <c r="A133" s="2332"/>
      <c r="B133" s="2336"/>
      <c r="C133" s="2335"/>
      <c r="D133" s="2334"/>
      <c r="E133" s="2333"/>
      <c r="F133" s="2333"/>
      <c r="G133" s="2333"/>
      <c r="H133" s="2333"/>
      <c r="I133" s="2333"/>
      <c r="J133" s="2332"/>
      <c r="K133" s="222"/>
      <c r="L133" s="222"/>
      <c r="M133" s="222"/>
      <c r="N133" s="222"/>
      <c r="O133" s="222"/>
      <c r="P133" s="222"/>
      <c r="Q133" s="222"/>
      <c r="R133" s="222"/>
      <c r="S133" s="222"/>
      <c r="T133" s="222"/>
    </row>
    <row r="134" spans="1:20" s="2324" customFormat="1" ht="14.25">
      <c r="C134" s="2330"/>
      <c r="D134" s="2329"/>
      <c r="E134" s="2328"/>
      <c r="F134" s="2327"/>
      <c r="G134" s="2327"/>
      <c r="H134" s="2327"/>
      <c r="I134" s="2326"/>
      <c r="J134" s="2328" t="s">
        <v>241</v>
      </c>
    </row>
    <row r="135" spans="1:20" s="2324" customFormat="1" ht="14.25">
      <c r="B135" s="2321" t="s">
        <v>1883</v>
      </c>
      <c r="C135" s="2330"/>
      <c r="D135" s="2329"/>
      <c r="E135" s="2328"/>
      <c r="F135" s="2327"/>
      <c r="G135" s="2327"/>
      <c r="H135" s="2327"/>
      <c r="I135" s="2326"/>
      <c r="J135" s="2325" t="s">
        <v>242</v>
      </c>
    </row>
    <row r="136" spans="1:20" s="2155" customFormat="1" ht="16.5">
      <c r="B136" s="2900" t="s">
        <v>1882</v>
      </c>
      <c r="C136" s="2900"/>
      <c r="D136" s="2900"/>
      <c r="E136" s="2900"/>
      <c r="F136" s="2900"/>
      <c r="G136" s="2900"/>
      <c r="H136" s="2900"/>
      <c r="I136" s="2900"/>
      <c r="J136" s="2900"/>
    </row>
    <row r="137" spans="1:20" s="2155" customFormat="1" ht="14.25">
      <c r="B137" s="2901" t="s">
        <v>1881</v>
      </c>
      <c r="C137" s="2901"/>
      <c r="D137" s="2901"/>
      <c r="E137" s="2901"/>
      <c r="F137" s="2901"/>
      <c r="G137" s="2901"/>
      <c r="H137" s="2901"/>
      <c r="I137" s="2901"/>
    </row>
    <row r="138" spans="1:20" s="2155" customFormat="1" ht="14.25">
      <c r="B138" s="2323"/>
      <c r="C138" s="2153"/>
      <c r="D138" s="2322"/>
      <c r="E138" s="2321"/>
      <c r="H138" s="2320"/>
      <c r="I138" s="2319"/>
    </row>
    <row r="139" spans="1:20" s="2331" customFormat="1" ht="8.1" customHeight="1">
      <c r="B139" s="2353"/>
      <c r="C139" s="2353"/>
      <c r="D139" s="2338"/>
      <c r="E139" s="2363"/>
      <c r="F139" s="2362"/>
      <c r="G139" s="2362"/>
      <c r="H139" s="2362"/>
      <c r="I139" s="2361"/>
    </row>
    <row r="140" spans="1:20" s="2331" customFormat="1" ht="8.1" customHeight="1">
      <c r="B140" s="2353"/>
      <c r="C140" s="2353"/>
      <c r="D140" s="2338"/>
      <c r="E140" s="2363"/>
      <c r="F140" s="2362"/>
      <c r="G140" s="2362"/>
      <c r="H140" s="2362"/>
      <c r="I140" s="2361"/>
    </row>
    <row r="141" spans="1:20" s="2381" customFormat="1" ht="17.25" customHeight="1">
      <c r="B141" s="2384" t="s">
        <v>1890</v>
      </c>
      <c r="C141" s="2382" t="s">
        <v>1998</v>
      </c>
      <c r="D141" s="2383"/>
      <c r="E141" s="2382"/>
      <c r="F141" s="2382"/>
      <c r="G141" s="2382"/>
      <c r="H141" s="2382"/>
      <c r="I141" s="2382"/>
      <c r="J141" s="2382"/>
    </row>
    <row r="142" spans="1:20" s="2378" customFormat="1" ht="17.25" customHeight="1">
      <c r="B142" s="2380" t="s">
        <v>1889</v>
      </c>
      <c r="C142" s="2891" t="s">
        <v>1999</v>
      </c>
      <c r="D142" s="2891"/>
      <c r="E142" s="2891"/>
      <c r="F142" s="2891"/>
      <c r="G142" s="2891"/>
      <c r="H142" s="2891"/>
      <c r="I142" s="2891"/>
      <c r="J142" s="2379"/>
    </row>
    <row r="143" spans="1:20" s="2331" customFormat="1" ht="8.1" customHeight="1" thickBot="1">
      <c r="B143" s="2377"/>
      <c r="C143" s="2376"/>
      <c r="D143" s="2334"/>
      <c r="E143" s="2375"/>
      <c r="F143" s="2374"/>
      <c r="G143" s="2374"/>
      <c r="H143" s="2374"/>
      <c r="I143" s="2373"/>
      <c r="J143" s="2332"/>
    </row>
    <row r="144" spans="1:20" s="2331" customFormat="1" ht="9.9499999999999993" customHeight="1">
      <c r="B144" s="2372"/>
      <c r="C144" s="2372"/>
      <c r="D144" s="2338"/>
      <c r="E144" s="2363"/>
      <c r="F144" s="2362"/>
      <c r="G144" s="2362"/>
      <c r="H144" s="2362"/>
      <c r="I144" s="2361"/>
    </row>
    <row r="145" spans="1:14" s="2331" customFormat="1" ht="29.45" customHeight="1">
      <c r="B145" s="2892" t="s">
        <v>1888</v>
      </c>
      <c r="C145" s="2892"/>
      <c r="D145" s="2894" t="s">
        <v>239</v>
      </c>
      <c r="E145" s="2896" t="s">
        <v>240</v>
      </c>
      <c r="F145" s="2898" t="s">
        <v>1887</v>
      </c>
      <c r="G145" s="2898" t="s">
        <v>1886</v>
      </c>
      <c r="H145" s="2898" t="s">
        <v>1885</v>
      </c>
      <c r="I145" s="2368" t="s">
        <v>1884</v>
      </c>
      <c r="J145" s="2367"/>
    </row>
    <row r="146" spans="1:14" s="2331" customFormat="1" ht="36" customHeight="1" thickBot="1">
      <c r="B146" s="2893"/>
      <c r="C146" s="2893"/>
      <c r="D146" s="2895"/>
      <c r="E146" s="2897"/>
      <c r="F146" s="2899"/>
      <c r="G146" s="2899"/>
      <c r="H146" s="2899"/>
      <c r="I146" s="2365"/>
      <c r="J146" s="2365"/>
    </row>
    <row r="147" spans="1:14" s="2331" customFormat="1" ht="8.1" customHeight="1">
      <c r="B147" s="2353"/>
      <c r="C147" s="2353"/>
      <c r="D147" s="2364"/>
      <c r="E147" s="2363"/>
      <c r="F147" s="2362"/>
      <c r="G147" s="2362"/>
      <c r="H147" s="2362"/>
      <c r="I147" s="2361"/>
    </row>
    <row r="148" spans="1:14" s="2331" customFormat="1" ht="15.2" customHeight="1">
      <c r="A148" s="2359"/>
      <c r="B148" s="2352" t="s">
        <v>1583</v>
      </c>
      <c r="C148" s="222"/>
      <c r="D148" s="2344">
        <v>2022</v>
      </c>
      <c r="E148" s="2290">
        <v>139</v>
      </c>
      <c r="F148" s="2290">
        <v>3</v>
      </c>
      <c r="G148" s="2290">
        <v>29</v>
      </c>
      <c r="H148" s="2290">
        <v>66</v>
      </c>
      <c r="I148" s="2290">
        <v>41</v>
      </c>
      <c r="J148" s="2314"/>
      <c r="K148" s="2356"/>
      <c r="L148" s="2356"/>
      <c r="M148" s="2356"/>
      <c r="N148" s="2360"/>
    </row>
    <row r="149" spans="1:14" s="2331" customFormat="1" ht="15.2" customHeight="1">
      <c r="A149" s="2359"/>
      <c r="B149" s="2357"/>
      <c r="C149" s="222"/>
      <c r="D149" s="2344">
        <v>2023</v>
      </c>
      <c r="E149" s="2290">
        <v>127</v>
      </c>
      <c r="F149" s="2290">
        <v>3</v>
      </c>
      <c r="G149" s="2290">
        <v>16</v>
      </c>
      <c r="H149" s="2290">
        <v>65</v>
      </c>
      <c r="I149" s="2290">
        <v>43</v>
      </c>
      <c r="J149" s="2314"/>
      <c r="K149" s="2356"/>
      <c r="L149" s="2356"/>
      <c r="M149" s="2356"/>
      <c r="N149" s="2360"/>
    </row>
    <row r="150" spans="1:14" s="2331" customFormat="1" ht="15.2" customHeight="1">
      <c r="A150" s="2359"/>
      <c r="B150" s="2357"/>
      <c r="C150" s="222"/>
      <c r="D150" s="2344">
        <v>2024</v>
      </c>
      <c r="E150" s="2290">
        <v>127</v>
      </c>
      <c r="F150" s="2290">
        <v>3</v>
      </c>
      <c r="G150" s="2290">
        <v>16</v>
      </c>
      <c r="H150" s="2290">
        <v>65</v>
      </c>
      <c r="I150" s="2290">
        <v>43</v>
      </c>
      <c r="J150" s="2314"/>
      <c r="K150" s="2351"/>
      <c r="L150" s="2351"/>
      <c r="M150" s="2350"/>
      <c r="N150" s="2360"/>
    </row>
    <row r="151" spans="1:14" s="2331" customFormat="1" ht="15.2" customHeight="1">
      <c r="A151" s="2359"/>
      <c r="B151" s="2357"/>
      <c r="C151" s="222"/>
      <c r="D151" s="2344"/>
      <c r="E151" s="1605"/>
      <c r="F151" s="2348"/>
      <c r="G151" s="1605"/>
      <c r="H151" s="2348"/>
      <c r="I151" s="1605"/>
      <c r="J151" s="2314"/>
      <c r="K151" s="2356"/>
      <c r="L151" s="2356"/>
      <c r="M151" s="2356"/>
      <c r="N151" s="2360"/>
    </row>
    <row r="152" spans="1:14" s="2331" customFormat="1" ht="15.2" customHeight="1">
      <c r="A152" s="2359"/>
      <c r="B152" s="2291" t="s">
        <v>1708</v>
      </c>
      <c r="C152" s="222"/>
      <c r="D152" s="2344">
        <v>2022</v>
      </c>
      <c r="E152" s="2290">
        <v>139</v>
      </c>
      <c r="F152" s="2290">
        <v>3</v>
      </c>
      <c r="G152" s="2290">
        <v>29</v>
      </c>
      <c r="H152" s="2290">
        <v>66</v>
      </c>
      <c r="I152" s="2290">
        <v>41</v>
      </c>
      <c r="J152" s="2314"/>
      <c r="K152" s="2356"/>
      <c r="L152" s="2356"/>
      <c r="M152" s="2356"/>
      <c r="N152" s="2360"/>
    </row>
    <row r="153" spans="1:14" s="2331" customFormat="1" ht="15.2" customHeight="1">
      <c r="A153" s="2359"/>
      <c r="B153" s="2291"/>
      <c r="C153" s="222"/>
      <c r="D153" s="2344">
        <v>2023</v>
      </c>
      <c r="E153" s="2290">
        <v>127</v>
      </c>
      <c r="F153" s="2290">
        <v>3</v>
      </c>
      <c r="G153" s="2290">
        <v>16</v>
      </c>
      <c r="H153" s="2290">
        <v>65</v>
      </c>
      <c r="I153" s="2290">
        <v>43</v>
      </c>
      <c r="J153" s="2314"/>
      <c r="K153" s="2342"/>
      <c r="L153" s="2342"/>
      <c r="M153" s="2343"/>
      <c r="N153" s="2360"/>
    </row>
    <row r="154" spans="1:14" s="2331" customFormat="1" ht="15.2" customHeight="1">
      <c r="A154" s="2359"/>
      <c r="B154" s="2291"/>
      <c r="C154" s="222"/>
      <c r="D154" s="2344">
        <v>2024</v>
      </c>
      <c r="E154" s="2290">
        <v>127</v>
      </c>
      <c r="F154" s="2290">
        <v>3</v>
      </c>
      <c r="G154" s="2290">
        <v>16</v>
      </c>
      <c r="H154" s="2290">
        <v>65</v>
      </c>
      <c r="I154" s="2290">
        <v>43</v>
      </c>
      <c r="J154" s="2314"/>
      <c r="K154" s="2351"/>
      <c r="L154" s="2351"/>
      <c r="M154" s="2350"/>
      <c r="N154" s="2360"/>
    </row>
    <row r="155" spans="1:14" s="2331" customFormat="1" ht="15.2" customHeight="1">
      <c r="A155" s="2359"/>
      <c r="B155" s="2291"/>
      <c r="C155" s="222"/>
      <c r="D155" s="2344"/>
      <c r="E155" s="1997"/>
      <c r="F155" s="2348"/>
      <c r="G155" s="1605"/>
      <c r="H155" s="2348"/>
      <c r="I155" s="1605"/>
      <c r="J155" s="2314"/>
      <c r="K155" s="2342"/>
      <c r="L155" s="2342"/>
      <c r="M155" s="2343"/>
      <c r="N155" s="2360"/>
    </row>
    <row r="156" spans="1:14" s="2331" customFormat="1" ht="15.2" customHeight="1">
      <c r="A156" s="2359"/>
      <c r="B156" s="2346" t="s">
        <v>1694</v>
      </c>
      <c r="C156" s="2345"/>
      <c r="D156" s="2344">
        <v>2022</v>
      </c>
      <c r="E156" s="2290">
        <v>139</v>
      </c>
      <c r="F156" s="2290">
        <v>3</v>
      </c>
      <c r="G156" s="2290">
        <v>29</v>
      </c>
      <c r="H156" s="2290">
        <v>66</v>
      </c>
      <c r="I156" s="2290">
        <v>41</v>
      </c>
      <c r="J156" s="2314"/>
      <c r="K156" s="2356"/>
      <c r="L156" s="2356"/>
      <c r="M156" s="2356"/>
      <c r="N156" s="2360"/>
    </row>
    <row r="157" spans="1:14" s="2331" customFormat="1" ht="15.2" customHeight="1">
      <c r="A157" s="2359"/>
      <c r="B157" s="2345"/>
      <c r="C157" s="2345"/>
      <c r="D157" s="2344">
        <v>2023</v>
      </c>
      <c r="E157" s="2290">
        <v>127</v>
      </c>
      <c r="F157" s="2290">
        <v>3</v>
      </c>
      <c r="G157" s="2290">
        <v>16</v>
      </c>
      <c r="H157" s="2290">
        <v>65</v>
      </c>
      <c r="I157" s="2290">
        <v>43</v>
      </c>
      <c r="J157" s="2314"/>
      <c r="K157" s="2351"/>
      <c r="L157" s="2351"/>
      <c r="M157" s="2351"/>
      <c r="N157" s="2360"/>
    </row>
    <row r="158" spans="1:14" s="2331" customFormat="1" ht="15.2" customHeight="1">
      <c r="A158" s="2359"/>
      <c r="B158" s="2345"/>
      <c r="C158" s="2345"/>
      <c r="D158" s="2344">
        <v>2024</v>
      </c>
      <c r="E158" s="2290">
        <v>127</v>
      </c>
      <c r="F158" s="2290">
        <v>3</v>
      </c>
      <c r="G158" s="2290">
        <v>16</v>
      </c>
      <c r="H158" s="2290">
        <v>65</v>
      </c>
      <c r="I158" s="2290">
        <v>43</v>
      </c>
      <c r="J158" s="2314"/>
      <c r="K158" s="2351"/>
      <c r="L158" s="2351"/>
      <c r="M158" s="2350"/>
      <c r="N158" s="2360"/>
    </row>
    <row r="159" spans="1:14" s="2331" customFormat="1" ht="15.2" customHeight="1">
      <c r="A159" s="2359"/>
      <c r="B159" s="2345"/>
      <c r="C159" s="2345"/>
      <c r="D159" s="2344"/>
      <c r="E159" s="1997"/>
      <c r="F159" s="2347"/>
      <c r="G159" s="1605"/>
      <c r="H159" s="2349"/>
      <c r="I159" s="1605"/>
      <c r="J159" s="2314"/>
      <c r="K159" s="2342"/>
      <c r="L159" s="2342"/>
      <c r="M159" s="2343"/>
      <c r="N159" s="2360"/>
    </row>
    <row r="160" spans="1:14" s="2331" customFormat="1" ht="15.2" customHeight="1">
      <c r="A160" s="2359"/>
      <c r="B160" s="2346" t="s">
        <v>1873</v>
      </c>
      <c r="C160" s="2346"/>
      <c r="D160" s="2344">
        <v>2022</v>
      </c>
      <c r="E160" s="2290">
        <v>139</v>
      </c>
      <c r="F160" s="2290">
        <v>3</v>
      </c>
      <c r="G160" s="2290">
        <v>29</v>
      </c>
      <c r="H160" s="2290">
        <v>66</v>
      </c>
      <c r="I160" s="2290">
        <v>41</v>
      </c>
      <c r="J160" s="2314"/>
      <c r="K160" s="2351"/>
      <c r="L160" s="2351"/>
      <c r="M160" s="2350"/>
      <c r="N160" s="2360"/>
    </row>
    <row r="161" spans="1:15" s="2324" customFormat="1" ht="15.2" customHeight="1">
      <c r="A161" s="2359"/>
      <c r="B161" s="2346"/>
      <c r="C161" s="2346"/>
      <c r="D161" s="2344">
        <v>2023</v>
      </c>
      <c r="E161" s="2290">
        <v>127</v>
      </c>
      <c r="F161" s="2290">
        <v>3</v>
      </c>
      <c r="G161" s="2290">
        <v>16</v>
      </c>
      <c r="H161" s="2290">
        <v>65</v>
      </c>
      <c r="I161" s="2290">
        <v>43</v>
      </c>
      <c r="J161" s="2314"/>
      <c r="K161" s="2351"/>
      <c r="L161" s="2351"/>
      <c r="M161" s="2350"/>
      <c r="N161" s="2360"/>
    </row>
    <row r="162" spans="1:15" s="2324" customFormat="1" ht="15.2" customHeight="1">
      <c r="A162" s="2359"/>
      <c r="B162" s="2346"/>
      <c r="C162" s="2346"/>
      <c r="D162" s="2344">
        <v>2024</v>
      </c>
      <c r="E162" s="2290">
        <v>127</v>
      </c>
      <c r="F162" s="2290">
        <v>3</v>
      </c>
      <c r="G162" s="2290">
        <v>16</v>
      </c>
      <c r="H162" s="2290">
        <v>65</v>
      </c>
      <c r="I162" s="2290">
        <v>43</v>
      </c>
      <c r="J162" s="2314"/>
      <c r="K162" s="2351"/>
      <c r="L162" s="2351"/>
      <c r="M162" s="2350"/>
      <c r="N162" s="2360"/>
    </row>
    <row r="163" spans="1:15" s="2324" customFormat="1" ht="15.2" customHeight="1">
      <c r="A163" s="2359"/>
      <c r="B163" s="2346"/>
      <c r="C163" s="2346"/>
      <c r="D163" s="2344"/>
      <c r="E163" s="1605"/>
      <c r="F163" s="2348"/>
      <c r="G163" s="1605"/>
      <c r="H163" s="2348"/>
      <c r="I163" s="1605"/>
      <c r="J163" s="2314"/>
      <c r="K163" s="2351"/>
      <c r="L163" s="2351"/>
      <c r="M163" s="2351"/>
      <c r="N163" s="2358"/>
    </row>
    <row r="164" spans="1:15" s="2324" customFormat="1" ht="15.2" customHeight="1">
      <c r="B164" s="2357" t="s">
        <v>1692</v>
      </c>
      <c r="C164" s="2353"/>
      <c r="D164" s="2344">
        <v>2022</v>
      </c>
      <c r="E164" s="2290">
        <v>139</v>
      </c>
      <c r="F164" s="2290">
        <v>3</v>
      </c>
      <c r="G164" s="2290">
        <v>29</v>
      </c>
      <c r="H164" s="2290">
        <v>66</v>
      </c>
      <c r="I164" s="2290">
        <v>41</v>
      </c>
      <c r="J164" s="2314"/>
      <c r="K164" s="2356"/>
      <c r="L164" s="2356"/>
      <c r="M164" s="2356"/>
      <c r="N164" s="2355"/>
    </row>
    <row r="165" spans="1:15" s="2155" customFormat="1" ht="15.2" customHeight="1">
      <c r="A165" s="2324"/>
      <c r="B165" s="2352"/>
      <c r="C165" s="2353"/>
      <c r="D165" s="2344">
        <v>2023</v>
      </c>
      <c r="E165" s="2290">
        <v>127</v>
      </c>
      <c r="F165" s="2290">
        <v>3</v>
      </c>
      <c r="G165" s="2290">
        <v>16</v>
      </c>
      <c r="H165" s="2290">
        <v>65</v>
      </c>
      <c r="I165" s="2290">
        <v>43</v>
      </c>
      <c r="J165" s="2314"/>
      <c r="K165" s="2342"/>
      <c r="L165" s="2342"/>
      <c r="M165" s="2343"/>
      <c r="N165" s="2354"/>
    </row>
    <row r="166" spans="1:15" s="2155" customFormat="1" ht="15.2" customHeight="1">
      <c r="A166" s="2324"/>
      <c r="B166" s="2352"/>
      <c r="C166" s="2353"/>
      <c r="D166" s="2344">
        <v>2024</v>
      </c>
      <c r="E166" s="2290">
        <v>127</v>
      </c>
      <c r="F166" s="2290">
        <v>3</v>
      </c>
      <c r="G166" s="2290">
        <v>16</v>
      </c>
      <c r="H166" s="2290">
        <v>65</v>
      </c>
      <c r="I166" s="2290">
        <v>43</v>
      </c>
      <c r="J166" s="2314"/>
      <c r="K166" s="2342"/>
      <c r="L166" s="2342"/>
      <c r="M166" s="2343"/>
      <c r="N166" s="2341"/>
    </row>
    <row r="167" spans="1:15" s="2155" customFormat="1" ht="15.2" customHeight="1">
      <c r="B167" s="2352"/>
      <c r="C167" s="2353"/>
      <c r="D167" s="2344"/>
      <c r="E167" s="1997"/>
      <c r="F167" s="2348"/>
      <c r="G167" s="1605"/>
      <c r="H167" s="2348"/>
      <c r="I167" s="1605"/>
      <c r="J167" s="2314"/>
      <c r="K167" s="2351"/>
      <c r="L167" s="2351"/>
      <c r="M167" s="2351"/>
      <c r="N167" s="2341"/>
    </row>
    <row r="168" spans="1:15" s="2331" customFormat="1" ht="15.2" customHeight="1">
      <c r="B168" s="2352" t="s">
        <v>1686</v>
      </c>
      <c r="C168" s="222"/>
      <c r="D168" s="2344">
        <v>2022</v>
      </c>
      <c r="E168" s="2290">
        <v>139</v>
      </c>
      <c r="F168" s="2290">
        <v>3</v>
      </c>
      <c r="G168" s="2290">
        <v>29</v>
      </c>
      <c r="H168" s="2290">
        <v>66</v>
      </c>
      <c r="I168" s="2290">
        <v>41</v>
      </c>
      <c r="J168" s="2314"/>
      <c r="K168" s="2342"/>
      <c r="L168" s="2342"/>
      <c r="M168" s="2343"/>
      <c r="N168" s="2341"/>
      <c r="O168" s="222"/>
    </row>
    <row r="169" spans="1:15" s="2331" customFormat="1" ht="15.2" customHeight="1">
      <c r="B169" s="2291"/>
      <c r="C169" s="222"/>
      <c r="D169" s="2344">
        <v>2023</v>
      </c>
      <c r="E169" s="2290">
        <v>127</v>
      </c>
      <c r="F169" s="2290">
        <v>3</v>
      </c>
      <c r="G169" s="2290">
        <v>16</v>
      </c>
      <c r="H169" s="2290">
        <v>65</v>
      </c>
      <c r="I169" s="2290">
        <v>43</v>
      </c>
      <c r="J169" s="2314"/>
      <c r="K169" s="2342"/>
      <c r="L169" s="2342"/>
      <c r="M169" s="2343"/>
      <c r="N169" s="2341"/>
      <c r="O169" s="222"/>
    </row>
    <row r="170" spans="1:15" s="2331" customFormat="1" ht="15.2" customHeight="1">
      <c r="B170" s="2291"/>
      <c r="C170" s="222"/>
      <c r="D170" s="2344">
        <v>2024</v>
      </c>
      <c r="E170" s="2290">
        <v>127</v>
      </c>
      <c r="F170" s="2290">
        <v>3</v>
      </c>
      <c r="G170" s="2290">
        <v>16</v>
      </c>
      <c r="H170" s="2290">
        <v>65</v>
      </c>
      <c r="I170" s="2290">
        <v>43</v>
      </c>
      <c r="J170" s="2314"/>
      <c r="K170" s="2351"/>
      <c r="L170" s="2351"/>
      <c r="M170" s="2350"/>
      <c r="N170" s="2341"/>
      <c r="O170" s="222"/>
    </row>
    <row r="171" spans="1:15" s="2331" customFormat="1" ht="15.2" customHeight="1">
      <c r="B171" s="2291"/>
      <c r="C171" s="222"/>
      <c r="D171" s="2344"/>
      <c r="E171" s="1997"/>
      <c r="F171" s="2347"/>
      <c r="G171" s="1605"/>
      <c r="H171" s="2349"/>
      <c r="I171" s="1605"/>
      <c r="J171" s="2314"/>
      <c r="K171" s="2342"/>
      <c r="L171" s="2342"/>
      <c r="M171" s="2343"/>
      <c r="N171" s="2341"/>
      <c r="O171" s="222"/>
    </row>
    <row r="172" spans="1:15" s="2331" customFormat="1" ht="15.2" customHeight="1">
      <c r="B172" s="2346" t="s">
        <v>1710</v>
      </c>
      <c r="C172" s="2345"/>
      <c r="D172" s="2344">
        <v>2022</v>
      </c>
      <c r="E172" s="2290">
        <v>139</v>
      </c>
      <c r="F172" s="2290">
        <v>3</v>
      </c>
      <c r="G172" s="2290">
        <v>29</v>
      </c>
      <c r="H172" s="2290">
        <v>66</v>
      </c>
      <c r="I172" s="2290">
        <v>41</v>
      </c>
      <c r="J172" s="2314"/>
      <c r="K172" s="2342"/>
      <c r="L172" s="2342"/>
      <c r="M172" s="2343"/>
      <c r="N172" s="2341"/>
      <c r="O172" s="222"/>
    </row>
    <row r="173" spans="1:15" s="2331" customFormat="1" ht="15.2" customHeight="1">
      <c r="B173" s="2345"/>
      <c r="C173" s="2345"/>
      <c r="D173" s="2344">
        <v>2023</v>
      </c>
      <c r="E173" s="2290">
        <v>127</v>
      </c>
      <c r="F173" s="2290">
        <v>3</v>
      </c>
      <c r="G173" s="2290">
        <v>16</v>
      </c>
      <c r="H173" s="2290">
        <v>65</v>
      </c>
      <c r="I173" s="2290">
        <v>43</v>
      </c>
      <c r="J173" s="2314"/>
      <c r="K173" s="2342"/>
      <c r="L173" s="2342"/>
      <c r="M173" s="2343"/>
      <c r="N173" s="2341"/>
      <c r="O173" s="222"/>
    </row>
    <row r="174" spans="1:15" s="2331" customFormat="1" ht="15.2" customHeight="1">
      <c r="B174" s="2345"/>
      <c r="C174" s="2345"/>
      <c r="D174" s="2344">
        <v>2024</v>
      </c>
      <c r="E174" s="2290">
        <v>127</v>
      </c>
      <c r="F174" s="2290">
        <v>3</v>
      </c>
      <c r="G174" s="2290">
        <v>16</v>
      </c>
      <c r="H174" s="2290">
        <v>65</v>
      </c>
      <c r="I174" s="2290">
        <v>43</v>
      </c>
      <c r="J174" s="2314"/>
      <c r="K174" s="2342"/>
      <c r="L174" s="2342"/>
      <c r="M174" s="2343"/>
      <c r="N174" s="2341"/>
      <c r="O174" s="222"/>
    </row>
    <row r="175" spans="1:15" s="2331" customFormat="1" ht="15.2" customHeight="1">
      <c r="B175" s="2291"/>
      <c r="C175" s="222"/>
      <c r="D175" s="2344"/>
      <c r="E175" s="1605"/>
      <c r="F175" s="2348"/>
      <c r="G175" s="1605"/>
      <c r="H175" s="2348"/>
      <c r="I175" s="1605"/>
      <c r="J175" s="2314"/>
      <c r="K175" s="2342"/>
      <c r="L175" s="2342"/>
      <c r="M175" s="2343"/>
      <c r="N175" s="2341"/>
      <c r="O175" s="222"/>
    </row>
    <row r="176" spans="1:15" s="2331" customFormat="1" ht="15.2" customHeight="1">
      <c r="B176" s="2346" t="s">
        <v>1580</v>
      </c>
      <c r="C176" s="2345"/>
      <c r="D176" s="2344">
        <v>2022</v>
      </c>
      <c r="E176" s="2290">
        <v>139</v>
      </c>
      <c r="F176" s="2290">
        <v>3</v>
      </c>
      <c r="G176" s="2290">
        <v>29</v>
      </c>
      <c r="H176" s="2290">
        <v>66</v>
      </c>
      <c r="I176" s="2290">
        <v>41</v>
      </c>
      <c r="J176" s="2314"/>
      <c r="K176" s="2342"/>
      <c r="L176" s="2342"/>
      <c r="M176" s="2343"/>
      <c r="N176" s="2341"/>
      <c r="O176" s="222"/>
    </row>
    <row r="177" spans="2:15" s="2331" customFormat="1" ht="15.2" customHeight="1">
      <c r="B177" s="2345"/>
      <c r="C177" s="2345"/>
      <c r="D177" s="2344">
        <v>2023</v>
      </c>
      <c r="E177" s="2290">
        <v>127</v>
      </c>
      <c r="F177" s="2290">
        <v>3</v>
      </c>
      <c r="G177" s="2290">
        <v>16</v>
      </c>
      <c r="H177" s="2290">
        <v>65</v>
      </c>
      <c r="I177" s="2290">
        <v>43</v>
      </c>
      <c r="J177" s="2314"/>
      <c r="K177" s="2342"/>
      <c r="L177" s="2342"/>
      <c r="M177" s="2343"/>
      <c r="N177" s="2341"/>
      <c r="O177" s="222"/>
    </row>
    <row r="178" spans="2:15" s="2331" customFormat="1" ht="15.2" customHeight="1">
      <c r="B178" s="2345"/>
      <c r="C178" s="2345"/>
      <c r="D178" s="2344">
        <v>2024</v>
      </c>
      <c r="E178" s="2290">
        <v>127</v>
      </c>
      <c r="F178" s="2290">
        <v>3</v>
      </c>
      <c r="G178" s="2290">
        <v>16</v>
      </c>
      <c r="H178" s="2290">
        <v>65</v>
      </c>
      <c r="I178" s="2290">
        <v>43</v>
      </c>
      <c r="J178" s="2342"/>
      <c r="K178" s="2342"/>
      <c r="L178" s="2342"/>
      <c r="M178" s="2343"/>
      <c r="N178" s="2341"/>
      <c r="O178" s="222"/>
    </row>
    <row r="179" spans="2:15" s="2331" customFormat="1" ht="15.2" customHeight="1">
      <c r="B179" s="2291"/>
      <c r="C179" s="222"/>
      <c r="D179" s="2344"/>
      <c r="E179" s="1997"/>
      <c r="F179" s="2348"/>
      <c r="G179" s="1605"/>
      <c r="H179" s="2348"/>
      <c r="I179" s="1605"/>
      <c r="J179" s="2342"/>
      <c r="K179" s="2342"/>
      <c r="L179" s="2342"/>
      <c r="M179" s="2343"/>
      <c r="N179" s="2341"/>
      <c r="O179" s="222"/>
    </row>
    <row r="180" spans="2:15" s="2331" customFormat="1" ht="15.2" customHeight="1">
      <c r="B180" s="2346" t="s">
        <v>1683</v>
      </c>
      <c r="C180" s="2345"/>
      <c r="D180" s="2344">
        <v>2022</v>
      </c>
      <c r="E180" s="2290">
        <v>139</v>
      </c>
      <c r="F180" s="2290">
        <v>3</v>
      </c>
      <c r="G180" s="2290">
        <v>29</v>
      </c>
      <c r="H180" s="2290">
        <v>66</v>
      </c>
      <c r="I180" s="2290">
        <v>41</v>
      </c>
      <c r="J180" s="2342"/>
      <c r="K180" s="2342"/>
      <c r="L180" s="2342"/>
      <c r="M180" s="2343"/>
      <c r="N180" s="2341"/>
      <c r="O180" s="222"/>
    </row>
    <row r="181" spans="2:15" s="2331" customFormat="1" ht="15.2" customHeight="1">
      <c r="B181" s="2345"/>
      <c r="C181" s="2345"/>
      <c r="D181" s="2344">
        <v>2023</v>
      </c>
      <c r="E181" s="2290">
        <v>127</v>
      </c>
      <c r="F181" s="2290">
        <v>3</v>
      </c>
      <c r="G181" s="2290">
        <v>16</v>
      </c>
      <c r="H181" s="2290">
        <v>65</v>
      </c>
      <c r="I181" s="2290">
        <v>43</v>
      </c>
      <c r="J181" s="2342"/>
      <c r="K181" s="2342"/>
      <c r="L181" s="2342"/>
      <c r="M181" s="2343"/>
      <c r="N181" s="2341"/>
      <c r="O181" s="222"/>
    </row>
    <row r="182" spans="2:15" s="2331" customFormat="1" ht="15.2" customHeight="1">
      <c r="B182" s="2345"/>
      <c r="C182" s="2345"/>
      <c r="D182" s="2344">
        <v>2024</v>
      </c>
      <c r="E182" s="2290">
        <v>127</v>
      </c>
      <c r="F182" s="2290">
        <v>3</v>
      </c>
      <c r="G182" s="2290">
        <v>16</v>
      </c>
      <c r="H182" s="2290">
        <v>65</v>
      </c>
      <c r="I182" s="2290">
        <v>43</v>
      </c>
      <c r="J182" s="2342"/>
      <c r="K182" s="2342"/>
      <c r="L182" s="2342"/>
      <c r="M182" s="2343"/>
      <c r="N182" s="2341"/>
      <c r="O182" s="222"/>
    </row>
    <row r="183" spans="2:15" s="2331" customFormat="1" ht="15.2" customHeight="1">
      <c r="B183" s="2345"/>
      <c r="C183" s="2345"/>
      <c r="D183" s="2344"/>
      <c r="E183" s="1997"/>
      <c r="F183" s="2347"/>
      <c r="G183" s="1605"/>
      <c r="H183" s="2349"/>
      <c r="I183" s="1605"/>
      <c r="J183" s="2342"/>
      <c r="K183" s="2342"/>
      <c r="L183" s="2342"/>
      <c r="M183" s="2343"/>
      <c r="N183" s="2341"/>
      <c r="O183" s="222"/>
    </row>
    <row r="184" spans="2:15" s="2331" customFormat="1" ht="15.2" customHeight="1">
      <c r="B184" s="2346" t="s">
        <v>1717</v>
      </c>
      <c r="C184" s="2345"/>
      <c r="D184" s="2344">
        <v>2022</v>
      </c>
      <c r="E184" s="2290">
        <v>139</v>
      </c>
      <c r="F184" s="2290">
        <v>3</v>
      </c>
      <c r="G184" s="2290">
        <v>29</v>
      </c>
      <c r="H184" s="2290">
        <v>66</v>
      </c>
      <c r="I184" s="2290">
        <v>41</v>
      </c>
      <c r="J184" s="2342"/>
      <c r="K184" s="2342"/>
      <c r="L184" s="2342"/>
      <c r="M184" s="2343"/>
      <c r="N184" s="2341"/>
      <c r="O184" s="222"/>
    </row>
    <row r="185" spans="2:15" s="2331" customFormat="1" ht="15.2" customHeight="1">
      <c r="B185" s="2345"/>
      <c r="C185" s="2345"/>
      <c r="D185" s="2344">
        <v>2023</v>
      </c>
      <c r="E185" s="2290">
        <v>127</v>
      </c>
      <c r="F185" s="2290">
        <v>3</v>
      </c>
      <c r="G185" s="2290">
        <v>16</v>
      </c>
      <c r="H185" s="2290">
        <v>65</v>
      </c>
      <c r="I185" s="2290">
        <v>43</v>
      </c>
      <c r="J185" s="2342"/>
      <c r="K185" s="2342"/>
      <c r="L185" s="2342"/>
      <c r="M185" s="2343"/>
      <c r="N185" s="2341"/>
      <c r="O185" s="222"/>
    </row>
    <row r="186" spans="2:15" s="2331" customFormat="1" ht="15.2" customHeight="1">
      <c r="B186" s="2345"/>
      <c r="C186" s="2345"/>
      <c r="D186" s="2344">
        <v>2024</v>
      </c>
      <c r="E186" s="2290">
        <v>127</v>
      </c>
      <c r="F186" s="2290">
        <v>3</v>
      </c>
      <c r="G186" s="2290">
        <v>16</v>
      </c>
      <c r="H186" s="2290">
        <v>65</v>
      </c>
      <c r="I186" s="2290">
        <v>43</v>
      </c>
      <c r="J186" s="2342"/>
      <c r="K186" s="2342"/>
      <c r="L186" s="2342"/>
      <c r="M186" s="2343"/>
      <c r="N186" s="2341"/>
      <c r="O186" s="222"/>
    </row>
    <row r="187" spans="2:15" s="2331" customFormat="1" ht="15.2" customHeight="1">
      <c r="B187" s="2345"/>
      <c r="C187" s="2345"/>
      <c r="D187" s="2344"/>
      <c r="E187" s="1605"/>
      <c r="F187" s="2348"/>
      <c r="G187" s="1605"/>
      <c r="H187" s="2348"/>
      <c r="I187" s="1605"/>
      <c r="J187" s="2342"/>
      <c r="K187" s="2342"/>
      <c r="L187" s="2342"/>
      <c r="M187" s="2343"/>
      <c r="N187" s="2341"/>
      <c r="O187" s="222"/>
    </row>
    <row r="188" spans="2:15" s="2331" customFormat="1" ht="15.2" customHeight="1">
      <c r="B188" s="2346" t="s">
        <v>1712</v>
      </c>
      <c r="C188" s="2345"/>
      <c r="D188" s="2344">
        <v>2022</v>
      </c>
      <c r="E188" s="2290">
        <v>139</v>
      </c>
      <c r="F188" s="2290">
        <v>3</v>
      </c>
      <c r="G188" s="2290">
        <v>29</v>
      </c>
      <c r="H188" s="2290">
        <v>66</v>
      </c>
      <c r="I188" s="2290">
        <v>41</v>
      </c>
      <c r="J188" s="2342"/>
      <c r="K188" s="2342"/>
      <c r="L188" s="2342"/>
      <c r="M188" s="2343"/>
      <c r="N188" s="2341"/>
      <c r="O188" s="222"/>
    </row>
    <row r="189" spans="2:15" s="2331" customFormat="1" ht="15.2" customHeight="1">
      <c r="B189" s="2345"/>
      <c r="C189" s="2345"/>
      <c r="D189" s="2344">
        <v>2023</v>
      </c>
      <c r="E189" s="2290">
        <v>127</v>
      </c>
      <c r="F189" s="2290">
        <v>3</v>
      </c>
      <c r="G189" s="2290">
        <v>16</v>
      </c>
      <c r="H189" s="2290">
        <v>65</v>
      </c>
      <c r="I189" s="2290">
        <v>43</v>
      </c>
      <c r="J189" s="2342"/>
      <c r="K189" s="2342"/>
      <c r="L189" s="2342"/>
      <c r="M189" s="2343"/>
      <c r="N189" s="2341"/>
      <c r="O189" s="222"/>
    </row>
    <row r="190" spans="2:15" s="2331" customFormat="1" ht="15.2" customHeight="1">
      <c r="B190" s="2345"/>
      <c r="C190" s="2345"/>
      <c r="D190" s="2344">
        <v>2024</v>
      </c>
      <c r="E190" s="2290">
        <v>127</v>
      </c>
      <c r="F190" s="2290">
        <v>3</v>
      </c>
      <c r="G190" s="2290">
        <v>16</v>
      </c>
      <c r="H190" s="2290">
        <v>65</v>
      </c>
      <c r="I190" s="2290">
        <v>43</v>
      </c>
      <c r="J190" s="2343"/>
      <c r="K190" s="2343"/>
      <c r="L190" s="2343"/>
      <c r="M190" s="2343"/>
      <c r="N190" s="2341"/>
      <c r="O190" s="222"/>
    </row>
    <row r="191" spans="2:15" s="2331" customFormat="1" ht="15.2" customHeight="1">
      <c r="B191" s="2345"/>
      <c r="C191" s="2345"/>
      <c r="D191" s="2344"/>
      <c r="E191" s="1997"/>
      <c r="F191" s="2348"/>
      <c r="G191" s="1605"/>
      <c r="H191" s="2348"/>
      <c r="I191" s="1605"/>
      <c r="J191" s="2343"/>
      <c r="K191" s="2343"/>
      <c r="L191" s="2343"/>
      <c r="M191" s="2343"/>
      <c r="N191" s="2341"/>
      <c r="O191" s="222"/>
    </row>
    <row r="192" spans="2:15" s="2331" customFormat="1" ht="15.2" customHeight="1">
      <c r="B192" s="2346" t="s">
        <v>1684</v>
      </c>
      <c r="C192" s="2345"/>
      <c r="D192" s="2344">
        <v>2022</v>
      </c>
      <c r="E192" s="2290">
        <v>139</v>
      </c>
      <c r="F192" s="2290">
        <v>3</v>
      </c>
      <c r="G192" s="2290">
        <v>29</v>
      </c>
      <c r="H192" s="2290">
        <v>66</v>
      </c>
      <c r="I192" s="2290">
        <v>41</v>
      </c>
      <c r="J192" s="2343"/>
      <c r="K192" s="2343"/>
      <c r="L192" s="2343"/>
      <c r="M192" s="2343"/>
      <c r="N192" s="2341"/>
      <c r="O192" s="222"/>
    </row>
    <row r="193" spans="1:20" s="2331" customFormat="1" ht="15.2" customHeight="1">
      <c r="B193" s="2345"/>
      <c r="C193" s="2345"/>
      <c r="D193" s="2344">
        <v>2023</v>
      </c>
      <c r="E193" s="2290">
        <v>127</v>
      </c>
      <c r="F193" s="2290">
        <v>3</v>
      </c>
      <c r="G193" s="2290">
        <v>16</v>
      </c>
      <c r="H193" s="2290">
        <v>65</v>
      </c>
      <c r="I193" s="2290">
        <v>43</v>
      </c>
      <c r="J193" s="2343"/>
      <c r="K193" s="2343"/>
      <c r="L193" s="2343"/>
      <c r="M193" s="2343"/>
      <c r="N193" s="2341"/>
      <c r="O193" s="222"/>
    </row>
    <row r="194" spans="1:20" s="2331" customFormat="1" ht="15.2" customHeight="1">
      <c r="B194" s="2345"/>
      <c r="C194" s="2345"/>
      <c r="D194" s="2344">
        <v>2024</v>
      </c>
      <c r="E194" s="2290">
        <v>127</v>
      </c>
      <c r="F194" s="2290">
        <v>3</v>
      </c>
      <c r="G194" s="2290">
        <v>16</v>
      </c>
      <c r="H194" s="2290">
        <v>65</v>
      </c>
      <c r="I194" s="2290">
        <v>43</v>
      </c>
      <c r="J194" s="2343"/>
      <c r="K194" s="2343"/>
      <c r="L194" s="2343"/>
      <c r="M194" s="2343"/>
      <c r="N194" s="2341"/>
      <c r="O194" s="222"/>
    </row>
    <row r="195" spans="1:20" s="2331" customFormat="1" ht="15.2" customHeight="1">
      <c r="B195" s="2345"/>
      <c r="C195" s="2345"/>
      <c r="D195" s="2344"/>
      <c r="E195" s="1997"/>
      <c r="F195" s="2347"/>
      <c r="G195" s="2313"/>
      <c r="H195" s="2347"/>
      <c r="I195" s="1605"/>
      <c r="J195" s="2343"/>
      <c r="K195" s="2343"/>
      <c r="L195" s="2343"/>
      <c r="M195" s="2343"/>
      <c r="N195" s="2341"/>
      <c r="O195" s="222"/>
    </row>
    <row r="196" spans="1:20" s="2331" customFormat="1" ht="15.2" customHeight="1">
      <c r="B196" s="2346" t="s">
        <v>1589</v>
      </c>
      <c r="C196" s="2345"/>
      <c r="D196" s="2344">
        <v>2022</v>
      </c>
      <c r="E196" s="2290">
        <v>139</v>
      </c>
      <c r="F196" s="2290">
        <v>3</v>
      </c>
      <c r="G196" s="2290">
        <v>29</v>
      </c>
      <c r="H196" s="2290">
        <v>66</v>
      </c>
      <c r="I196" s="2290">
        <v>41</v>
      </c>
      <c r="J196" s="2343"/>
      <c r="K196" s="2343"/>
      <c r="L196" s="2343"/>
      <c r="M196" s="2343"/>
      <c r="N196" s="2341"/>
      <c r="O196" s="222"/>
    </row>
    <row r="197" spans="1:20" s="2331" customFormat="1" ht="15.2" customHeight="1">
      <c r="B197" s="2345"/>
      <c r="C197" s="2345"/>
      <c r="D197" s="2344">
        <v>2023</v>
      </c>
      <c r="E197" s="2290">
        <v>127</v>
      </c>
      <c r="F197" s="2290">
        <v>3</v>
      </c>
      <c r="G197" s="2290">
        <v>16</v>
      </c>
      <c r="H197" s="2290">
        <v>65</v>
      </c>
      <c r="I197" s="2290">
        <v>43</v>
      </c>
      <c r="J197" s="2343"/>
      <c r="K197" s="2343"/>
      <c r="L197" s="2343"/>
      <c r="M197" s="2342"/>
      <c r="N197" s="2341"/>
      <c r="O197" s="222"/>
    </row>
    <row r="198" spans="1:20" s="2331" customFormat="1" ht="15.2" customHeight="1">
      <c r="B198" s="2345"/>
      <c r="C198" s="2345"/>
      <c r="D198" s="2344">
        <v>2024</v>
      </c>
      <c r="E198" s="2290">
        <v>127</v>
      </c>
      <c r="F198" s="2290">
        <v>3</v>
      </c>
      <c r="G198" s="2290">
        <v>16</v>
      </c>
      <c r="H198" s="2290">
        <v>65</v>
      </c>
      <c r="I198" s="2290">
        <v>43</v>
      </c>
      <c r="J198" s="2343"/>
      <c r="K198" s="2343"/>
      <c r="L198" s="2343"/>
      <c r="M198" s="2342"/>
      <c r="N198" s="2341"/>
      <c r="O198" s="222"/>
    </row>
    <row r="199" spans="1:20" s="2331" customFormat="1" ht="15.2" customHeight="1">
      <c r="B199" s="2345"/>
      <c r="C199" s="2345"/>
      <c r="D199" s="2344"/>
      <c r="E199" s="1997"/>
      <c r="F199" s="1997"/>
      <c r="G199" s="2347"/>
      <c r="H199" s="2313"/>
      <c r="I199" s="2347"/>
      <c r="J199" s="2343"/>
      <c r="K199" s="2343"/>
      <c r="L199" s="2343"/>
      <c r="M199" s="2342"/>
      <c r="N199" s="2341"/>
      <c r="O199" s="222"/>
    </row>
    <row r="200" spans="1:20" s="2331" customFormat="1" ht="15.2" customHeight="1">
      <c r="B200" s="2346" t="s">
        <v>1691</v>
      </c>
      <c r="C200" s="2345"/>
      <c r="D200" s="2344">
        <v>2022</v>
      </c>
      <c r="E200" s="2290">
        <v>139</v>
      </c>
      <c r="F200" s="2290">
        <v>3</v>
      </c>
      <c r="G200" s="2290">
        <v>29</v>
      </c>
      <c r="H200" s="2290">
        <v>66</v>
      </c>
      <c r="I200" s="2290">
        <v>41</v>
      </c>
      <c r="J200" s="2343"/>
      <c r="K200" s="2343"/>
      <c r="L200" s="2343"/>
      <c r="M200" s="2342"/>
      <c r="N200" s="2341"/>
      <c r="O200" s="222"/>
    </row>
    <row r="201" spans="1:20" s="2331" customFormat="1" ht="15.2" customHeight="1">
      <c r="B201" s="2345"/>
      <c r="C201" s="2345"/>
      <c r="D201" s="2344">
        <v>2023</v>
      </c>
      <c r="E201" s="2290">
        <v>127</v>
      </c>
      <c r="F201" s="2290">
        <v>3</v>
      </c>
      <c r="G201" s="2290">
        <v>16</v>
      </c>
      <c r="H201" s="2290">
        <v>65</v>
      </c>
      <c r="I201" s="2290">
        <v>43</v>
      </c>
      <c r="J201" s="2343"/>
      <c r="K201" s="2343"/>
      <c r="L201" s="2343"/>
      <c r="M201" s="2342"/>
      <c r="N201" s="2341"/>
      <c r="O201" s="222"/>
    </row>
    <row r="202" spans="1:20" s="2331" customFormat="1" ht="15.2" customHeight="1">
      <c r="B202" s="2345"/>
      <c r="C202" s="2345"/>
      <c r="D202" s="2344">
        <v>2024</v>
      </c>
      <c r="E202" s="2290">
        <v>127</v>
      </c>
      <c r="F202" s="2290">
        <v>3</v>
      </c>
      <c r="G202" s="2290">
        <v>16</v>
      </c>
      <c r="H202" s="2290">
        <v>65</v>
      </c>
      <c r="I202" s="2290">
        <v>43</v>
      </c>
      <c r="J202" s="2343"/>
      <c r="K202" s="2343"/>
      <c r="L202" s="2343"/>
      <c r="M202" s="2342"/>
      <c r="N202" s="2341"/>
      <c r="O202" s="222"/>
    </row>
    <row r="203" spans="1:20" s="2331" customFormat="1" ht="15.2" customHeight="1">
      <c r="B203" s="2340"/>
      <c r="C203" s="2339"/>
      <c r="D203" s="2338"/>
      <c r="E203" s="2337"/>
      <c r="F203" s="2337"/>
      <c r="G203" s="2337"/>
      <c r="H203" s="2337"/>
      <c r="I203" s="2337"/>
      <c r="K203" s="222"/>
      <c r="L203" s="222"/>
      <c r="M203" s="222"/>
      <c r="N203" s="222"/>
      <c r="O203" s="222"/>
      <c r="P203" s="222"/>
      <c r="Q203" s="222"/>
      <c r="R203" s="222"/>
      <c r="S203" s="222"/>
      <c r="T203" s="222"/>
    </row>
    <row r="204" spans="1:20" s="2331" customFormat="1" ht="8.1" customHeight="1" thickBot="1">
      <c r="A204" s="2332"/>
      <c r="B204" s="2336"/>
      <c r="C204" s="2335"/>
      <c r="D204" s="2334"/>
      <c r="E204" s="2333"/>
      <c r="F204" s="2333"/>
      <c r="G204" s="2333"/>
      <c r="H204" s="2333"/>
      <c r="I204" s="2333"/>
      <c r="J204" s="2332"/>
      <c r="K204" s="222"/>
      <c r="L204" s="222"/>
      <c r="M204" s="222"/>
      <c r="N204" s="222"/>
      <c r="O204" s="222"/>
      <c r="P204" s="222"/>
      <c r="Q204" s="222"/>
      <c r="R204" s="222"/>
      <c r="S204" s="222"/>
      <c r="T204" s="222"/>
    </row>
    <row r="205" spans="1:20" s="2324" customFormat="1" ht="14.25">
      <c r="C205" s="2330"/>
      <c r="D205" s="2329"/>
      <c r="E205" s="2328"/>
      <c r="F205" s="2327"/>
      <c r="G205" s="2327"/>
      <c r="H205" s="2327"/>
      <c r="I205" s="2326"/>
      <c r="J205" s="2328" t="s">
        <v>241</v>
      </c>
    </row>
    <row r="206" spans="1:20" s="2324" customFormat="1" ht="14.25">
      <c r="B206" s="2321" t="s">
        <v>1883</v>
      </c>
      <c r="C206" s="2330"/>
      <c r="D206" s="2329"/>
      <c r="E206" s="2328"/>
      <c r="F206" s="2327"/>
      <c r="G206" s="2327"/>
      <c r="H206" s="2327"/>
      <c r="I206" s="2326"/>
      <c r="J206" s="2325" t="s">
        <v>242</v>
      </c>
    </row>
    <row r="207" spans="1:20" s="2155" customFormat="1" ht="16.5">
      <c r="B207" s="2900" t="s">
        <v>1882</v>
      </c>
      <c r="C207" s="2900"/>
      <c r="D207" s="2900"/>
      <c r="E207" s="2900"/>
      <c r="F207" s="2900"/>
      <c r="G207" s="2900"/>
      <c r="H207" s="2900"/>
      <c r="I207" s="2900"/>
      <c r="J207" s="2900"/>
    </row>
    <row r="208" spans="1:20" s="2155" customFormat="1" ht="14.25">
      <c r="B208" s="2901" t="s">
        <v>1881</v>
      </c>
      <c r="C208" s="2901"/>
      <c r="D208" s="2901"/>
      <c r="E208" s="2901"/>
      <c r="F208" s="2901"/>
      <c r="G208" s="2901"/>
      <c r="H208" s="2901"/>
      <c r="I208" s="2901"/>
      <c r="J208" s="2901"/>
    </row>
    <row r="209" spans="2:9" s="2155" customFormat="1" ht="14.25">
      <c r="B209" s="2323"/>
      <c r="C209" s="2153"/>
      <c r="D209" s="2322"/>
      <c r="E209" s="2321"/>
      <c r="H209" s="2320"/>
      <c r="I209" s="2319"/>
    </row>
  </sheetData>
  <mergeCells count="27">
    <mergeCell ref="B207:J207"/>
    <mergeCell ref="B208:J208"/>
    <mergeCell ref="B136:J136"/>
    <mergeCell ref="B137:I137"/>
    <mergeCell ref="C142:I142"/>
    <mergeCell ref="B145:C146"/>
    <mergeCell ref="D145:D146"/>
    <mergeCell ref="E145:E146"/>
    <mergeCell ref="F145:F146"/>
    <mergeCell ref="G145:G146"/>
    <mergeCell ref="H145:H146"/>
    <mergeCell ref="B69:J69"/>
    <mergeCell ref="B70:I70"/>
    <mergeCell ref="C75:I75"/>
    <mergeCell ref="B78:C79"/>
    <mergeCell ref="D78:D79"/>
    <mergeCell ref="E78:E79"/>
    <mergeCell ref="F78:F79"/>
    <mergeCell ref="G78:G79"/>
    <mergeCell ref="H78:H79"/>
    <mergeCell ref="C4:I4"/>
    <mergeCell ref="B7:C8"/>
    <mergeCell ref="D7:D8"/>
    <mergeCell ref="E7:E8"/>
    <mergeCell ref="F7:F8"/>
    <mergeCell ref="G7:G8"/>
    <mergeCell ref="H7:H8"/>
  </mergeCells>
  <pageMargins left="0.55118110236220474" right="0.55118110236220474" top="0.55118110236220474" bottom="0.55118110236220474" header="0.31496062992125984" footer="0.31496062992125984"/>
  <pageSetup paperSize="9" scale="71" fitToWidth="0" fitToHeight="0" orientation="portrait" r:id="rId1"/>
  <rowBreaks count="2" manualBreakCount="2">
    <brk id="71" max="16383" man="1"/>
    <brk id="138" max="16383" man="1"/>
  </rowBreaks>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C577B-F2F4-4CFC-BB0F-FB3FB43042F8}">
  <sheetPr>
    <tabColor theme="4" tint="0.39997558519241921"/>
  </sheetPr>
  <dimension ref="A1:N199"/>
  <sheetViews>
    <sheetView view="pageBreakPreview" zoomScale="90" zoomScaleNormal="100" zoomScaleSheetLayoutView="90" workbookViewId="0">
      <selection activeCell="O197" sqref="O197"/>
    </sheetView>
  </sheetViews>
  <sheetFormatPr defaultColWidth="8.85546875" defaultRowHeight="15"/>
  <cols>
    <col min="1" max="1" width="3.28515625" style="2148" customWidth="1"/>
    <col min="2" max="2" width="8.85546875" style="2148"/>
    <col min="3" max="3" width="29.42578125" style="2148" customWidth="1"/>
    <col min="4" max="4" width="11.140625" style="2148" customWidth="1"/>
    <col min="5" max="5" width="8.85546875" style="2148"/>
    <col min="6" max="6" width="16.5703125" style="2148" customWidth="1"/>
    <col min="7" max="7" width="11.28515625" style="2148" customWidth="1"/>
    <col min="8" max="8" width="14.140625" style="2148" customWidth="1"/>
    <col min="9" max="9" width="14.28515625" style="2148" customWidth="1"/>
    <col min="10" max="10" width="10.28515625" style="2148" customWidth="1"/>
    <col min="11" max="11" width="1.5703125" style="2148" customWidth="1"/>
    <col min="12" max="16384" width="8.85546875" style="2148"/>
  </cols>
  <sheetData>
    <row r="1" spans="1:12" s="2331" customFormat="1" ht="13.5">
      <c r="B1" s="2353"/>
      <c r="C1" s="2353"/>
      <c r="D1" s="2338"/>
      <c r="E1" s="2406"/>
      <c r="F1" s="2361"/>
      <c r="G1" s="2361"/>
      <c r="H1" s="2405"/>
      <c r="I1" s="2361"/>
    </row>
    <row r="2" spans="1:12" s="2381" customFormat="1" ht="17.25" customHeight="1">
      <c r="B2" s="2413" t="s">
        <v>1898</v>
      </c>
      <c r="C2" s="2382" t="s">
        <v>2000</v>
      </c>
      <c r="D2" s="2383"/>
      <c r="E2" s="2413"/>
      <c r="F2" s="2382"/>
      <c r="G2" s="2382"/>
      <c r="H2" s="2382"/>
      <c r="I2" s="2382"/>
      <c r="J2" s="2382"/>
      <c r="K2" s="2412"/>
    </row>
    <row r="3" spans="1:12" s="2409" customFormat="1" ht="17.25" customHeight="1">
      <c r="B3" s="2380" t="s">
        <v>1897</v>
      </c>
      <c r="C3" s="2379" t="s">
        <v>2001</v>
      </c>
      <c r="D3" s="2411"/>
      <c r="E3" s="2384"/>
      <c r="F3" s="2379"/>
      <c r="G3" s="2379"/>
      <c r="H3" s="2379"/>
      <c r="I3" s="2379"/>
      <c r="J3" s="2379"/>
      <c r="K3" s="2410"/>
    </row>
    <row r="4" spans="1:12" s="2331" customFormat="1" ht="14.25" thickBot="1">
      <c r="A4" s="2332"/>
      <c r="B4" s="2377"/>
      <c r="C4" s="2377"/>
      <c r="D4" s="2334"/>
      <c r="E4" s="2408"/>
      <c r="F4" s="2373"/>
      <c r="G4" s="2373"/>
      <c r="H4" s="2407"/>
      <c r="I4" s="2373"/>
      <c r="J4" s="2332"/>
      <c r="K4" s="2332"/>
    </row>
    <row r="5" spans="1:12" s="2331" customFormat="1" ht="13.5">
      <c r="B5" s="2353"/>
      <c r="C5" s="2353"/>
      <c r="D5" s="2338"/>
      <c r="E5" s="2406"/>
      <c r="F5" s="2361"/>
      <c r="G5" s="2361"/>
      <c r="H5" s="2405"/>
      <c r="I5" s="2361"/>
    </row>
    <row r="6" spans="1:12" s="2331" customFormat="1" ht="26.25" thickBot="1">
      <c r="B6" s="2892" t="s">
        <v>1888</v>
      </c>
      <c r="C6" s="2892"/>
      <c r="D6" s="2370" t="s">
        <v>239</v>
      </c>
      <c r="E6" s="2896" t="s">
        <v>240</v>
      </c>
      <c r="F6" s="2896" t="s">
        <v>1896</v>
      </c>
      <c r="G6" s="2902" t="s">
        <v>1895</v>
      </c>
      <c r="H6" s="2902"/>
      <c r="I6" s="2902"/>
      <c r="J6" s="2896" t="s">
        <v>1894</v>
      </c>
    </row>
    <row r="7" spans="1:12" s="2390" customFormat="1" ht="64.5" thickBot="1">
      <c r="A7" s="2403"/>
      <c r="B7" s="2893"/>
      <c r="C7" s="2893"/>
      <c r="D7" s="2404"/>
      <c r="E7" s="2897"/>
      <c r="F7" s="2897"/>
      <c r="G7" s="2366" t="s">
        <v>1893</v>
      </c>
      <c r="H7" s="2366" t="s">
        <v>1892</v>
      </c>
      <c r="I7" s="2366" t="s">
        <v>1891</v>
      </c>
      <c r="J7" s="2897"/>
      <c r="K7" s="2403"/>
    </row>
    <row r="8" spans="1:12" s="2390" customFormat="1" ht="13.5">
      <c r="B8" s="2402"/>
      <c r="C8" s="2402"/>
      <c r="D8" s="2401"/>
      <c r="E8" s="2369"/>
      <c r="F8" s="2400"/>
      <c r="G8" s="2369"/>
      <c r="H8" s="2369"/>
      <c r="I8" s="2369"/>
      <c r="J8" s="2369"/>
    </row>
    <row r="9" spans="1:12" s="2390" customFormat="1" ht="12.75">
      <c r="B9" s="2389" t="s">
        <v>1721</v>
      </c>
      <c r="C9" s="2416"/>
      <c r="D9" s="2387">
        <v>2022</v>
      </c>
      <c r="E9" s="2391">
        <v>139</v>
      </c>
      <c r="F9" s="2391">
        <v>139</v>
      </c>
      <c r="G9" s="2391">
        <v>3</v>
      </c>
      <c r="H9" s="2391">
        <v>29</v>
      </c>
      <c r="I9" s="2391">
        <v>66</v>
      </c>
      <c r="J9" s="2391">
        <v>41</v>
      </c>
    </row>
    <row r="10" spans="1:12" s="2390" customFormat="1" ht="12.75">
      <c r="B10" s="2389"/>
      <c r="C10" s="2416"/>
      <c r="D10" s="2364">
        <v>2023</v>
      </c>
      <c r="E10" s="2391">
        <v>127</v>
      </c>
      <c r="F10" s="2391">
        <v>127</v>
      </c>
      <c r="G10" s="2391">
        <v>3</v>
      </c>
      <c r="H10" s="2391">
        <v>16</v>
      </c>
      <c r="I10" s="2391">
        <v>65</v>
      </c>
      <c r="J10" s="2391">
        <v>43</v>
      </c>
    </row>
    <row r="11" spans="1:12" s="2390" customFormat="1" ht="12.75">
      <c r="B11" s="2389"/>
      <c r="C11" s="2416"/>
      <c r="D11" s="2364">
        <v>2024</v>
      </c>
      <c r="E11" s="2391">
        <v>127</v>
      </c>
      <c r="F11" s="2391">
        <v>127</v>
      </c>
      <c r="G11" s="2391">
        <v>3</v>
      </c>
      <c r="H11" s="2391">
        <v>16</v>
      </c>
      <c r="I11" s="2391">
        <v>65</v>
      </c>
      <c r="J11" s="2391">
        <v>43</v>
      </c>
    </row>
    <row r="12" spans="1:12" s="2331" customFormat="1" ht="13.5">
      <c r="B12" s="2389"/>
      <c r="C12" s="2416"/>
      <c r="D12" s="2387"/>
      <c r="E12" s="2386"/>
      <c r="F12" s="2386"/>
      <c r="G12" s="2386"/>
      <c r="H12" s="2386"/>
      <c r="I12" s="2386"/>
      <c r="J12" s="2386"/>
    </row>
    <row r="13" spans="1:12" s="2331" customFormat="1" ht="15.2" customHeight="1">
      <c r="A13" s="2359"/>
      <c r="B13" s="2352" t="s">
        <v>1585</v>
      </c>
      <c r="C13" s="222"/>
      <c r="D13" s="2344">
        <v>2022</v>
      </c>
      <c r="E13" s="2290">
        <v>139</v>
      </c>
      <c r="F13" s="2290">
        <v>139</v>
      </c>
      <c r="G13" s="2290">
        <v>3</v>
      </c>
      <c r="H13" s="2290">
        <v>29</v>
      </c>
      <c r="I13" s="2290">
        <v>66</v>
      </c>
      <c r="J13" s="2290">
        <v>41</v>
      </c>
      <c r="K13" s="2356"/>
      <c r="L13" s="2360"/>
    </row>
    <row r="14" spans="1:12" s="2331" customFormat="1" ht="15.2" customHeight="1">
      <c r="A14" s="2359"/>
      <c r="B14" s="2357"/>
      <c r="C14" s="222"/>
      <c r="D14" s="2344">
        <v>2023</v>
      </c>
      <c r="E14" s="2290">
        <v>127</v>
      </c>
      <c r="F14" s="2290">
        <v>127</v>
      </c>
      <c r="G14" s="2290">
        <v>3</v>
      </c>
      <c r="H14" s="2290">
        <v>16</v>
      </c>
      <c r="I14" s="2290">
        <v>65</v>
      </c>
      <c r="J14" s="2290">
        <v>43</v>
      </c>
      <c r="K14" s="2356"/>
      <c r="L14" s="2360"/>
    </row>
    <row r="15" spans="1:12" s="2331" customFormat="1" ht="15.2" customHeight="1">
      <c r="A15" s="2359"/>
      <c r="B15" s="2357"/>
      <c r="C15" s="222"/>
      <c r="D15" s="2344">
        <v>2024</v>
      </c>
      <c r="E15" s="2290">
        <v>127</v>
      </c>
      <c r="F15" s="2290">
        <v>127</v>
      </c>
      <c r="G15" s="2290">
        <v>3</v>
      </c>
      <c r="H15" s="2290">
        <v>16</v>
      </c>
      <c r="I15" s="2290">
        <v>65</v>
      </c>
      <c r="J15" s="2290">
        <v>43</v>
      </c>
      <c r="K15" s="2350"/>
      <c r="L15" s="2360"/>
    </row>
    <row r="16" spans="1:12" s="2331" customFormat="1" ht="15.2" customHeight="1">
      <c r="A16" s="2359"/>
      <c r="B16" s="2357"/>
      <c r="C16" s="222"/>
      <c r="D16" s="2385"/>
      <c r="E16" s="1605"/>
      <c r="F16" s="2348"/>
      <c r="G16" s="1605"/>
      <c r="H16" s="2348"/>
      <c r="I16" s="1605"/>
      <c r="J16" s="2348"/>
      <c r="K16" s="2356"/>
      <c r="L16" s="2360"/>
    </row>
    <row r="17" spans="1:12" s="2331" customFormat="1" ht="15.2" customHeight="1">
      <c r="A17" s="2359"/>
      <c r="B17" s="2291" t="s">
        <v>1719</v>
      </c>
      <c r="C17" s="222"/>
      <c r="D17" s="2344">
        <v>2022</v>
      </c>
      <c r="E17" s="2290">
        <v>139</v>
      </c>
      <c r="F17" s="2290">
        <v>139</v>
      </c>
      <c r="G17" s="2290">
        <v>3</v>
      </c>
      <c r="H17" s="2290">
        <v>29</v>
      </c>
      <c r="I17" s="2290">
        <v>66</v>
      </c>
      <c r="J17" s="2290">
        <v>41</v>
      </c>
      <c r="K17" s="2356"/>
      <c r="L17" s="2360"/>
    </row>
    <row r="18" spans="1:12" s="2331" customFormat="1" ht="15.2" customHeight="1">
      <c r="A18" s="2359"/>
      <c r="B18" s="2291"/>
      <c r="C18" s="222"/>
      <c r="D18" s="2344">
        <v>2023</v>
      </c>
      <c r="E18" s="2290">
        <v>127</v>
      </c>
      <c r="F18" s="2290">
        <v>127</v>
      </c>
      <c r="G18" s="2290">
        <v>3</v>
      </c>
      <c r="H18" s="2290">
        <v>16</v>
      </c>
      <c r="I18" s="2290">
        <v>65</v>
      </c>
      <c r="J18" s="2290">
        <v>43</v>
      </c>
      <c r="K18" s="2343"/>
      <c r="L18" s="2360"/>
    </row>
    <row r="19" spans="1:12" s="2331" customFormat="1" ht="15.2" customHeight="1">
      <c r="A19" s="2359"/>
      <c r="B19" s="2291"/>
      <c r="C19" s="222"/>
      <c r="D19" s="2344">
        <v>2024</v>
      </c>
      <c r="E19" s="2290">
        <v>127</v>
      </c>
      <c r="F19" s="2290">
        <v>127</v>
      </c>
      <c r="G19" s="2290">
        <v>3</v>
      </c>
      <c r="H19" s="2290">
        <v>16</v>
      </c>
      <c r="I19" s="2290">
        <v>65</v>
      </c>
      <c r="J19" s="2290">
        <v>43</v>
      </c>
      <c r="K19" s="2350"/>
      <c r="L19" s="2360"/>
    </row>
    <row r="20" spans="1:12" s="2331" customFormat="1" ht="15.2" customHeight="1">
      <c r="A20" s="2359"/>
      <c r="B20" s="2291"/>
      <c r="C20" s="222"/>
      <c r="D20" s="2344"/>
      <c r="E20" s="1997"/>
      <c r="F20" s="2348"/>
      <c r="G20" s="1605"/>
      <c r="H20" s="2348"/>
      <c r="I20" s="1605"/>
      <c r="J20" s="2347"/>
      <c r="K20" s="2343"/>
      <c r="L20" s="2360"/>
    </row>
    <row r="21" spans="1:12" s="2331" customFormat="1" ht="15.2" customHeight="1">
      <c r="A21" s="2359"/>
      <c r="B21" s="2346" t="s">
        <v>1706</v>
      </c>
      <c r="C21" s="2345"/>
      <c r="D21" s="2344">
        <v>2022</v>
      </c>
      <c r="E21" s="2290">
        <v>139</v>
      </c>
      <c r="F21" s="2290">
        <v>139</v>
      </c>
      <c r="G21" s="2290">
        <v>3</v>
      </c>
      <c r="H21" s="2290">
        <v>29</v>
      </c>
      <c r="I21" s="2290">
        <v>66</v>
      </c>
      <c r="J21" s="2290">
        <v>41</v>
      </c>
      <c r="K21" s="2356"/>
      <c r="L21" s="2360"/>
    </row>
    <row r="22" spans="1:12" s="2331" customFormat="1" ht="15.2" customHeight="1">
      <c r="A22" s="2359"/>
      <c r="B22" s="2345"/>
      <c r="C22" s="2345"/>
      <c r="D22" s="2344">
        <v>2023</v>
      </c>
      <c r="E22" s="2290">
        <v>127</v>
      </c>
      <c r="F22" s="2290">
        <v>127</v>
      </c>
      <c r="G22" s="2290">
        <v>3</v>
      </c>
      <c r="H22" s="2290">
        <v>16</v>
      </c>
      <c r="I22" s="2290">
        <v>65</v>
      </c>
      <c r="J22" s="2290">
        <v>43</v>
      </c>
      <c r="K22" s="2351"/>
      <c r="L22" s="2360"/>
    </row>
    <row r="23" spans="1:12" s="2331" customFormat="1" ht="15.2" customHeight="1">
      <c r="A23" s="2359"/>
      <c r="B23" s="2345"/>
      <c r="C23" s="2345"/>
      <c r="D23" s="2344">
        <v>2024</v>
      </c>
      <c r="E23" s="2290">
        <v>127</v>
      </c>
      <c r="F23" s="2290">
        <v>127</v>
      </c>
      <c r="G23" s="2290">
        <v>3</v>
      </c>
      <c r="H23" s="2290">
        <v>16</v>
      </c>
      <c r="I23" s="2290">
        <v>65</v>
      </c>
      <c r="J23" s="2290">
        <v>43</v>
      </c>
      <c r="K23" s="2350"/>
      <c r="L23" s="2360"/>
    </row>
    <row r="24" spans="1:12" s="2331" customFormat="1" ht="15.2" customHeight="1">
      <c r="A24" s="2359"/>
      <c r="B24" s="2345"/>
      <c r="C24" s="2345"/>
      <c r="D24" s="2344"/>
      <c r="E24" s="1997"/>
      <c r="F24" s="2347"/>
      <c r="G24" s="1605"/>
      <c r="H24" s="2349"/>
      <c r="I24" s="1605"/>
      <c r="J24" s="2347"/>
      <c r="K24" s="2343"/>
      <c r="L24" s="2360"/>
    </row>
    <row r="25" spans="1:12" s="2331" customFormat="1" ht="15.2" customHeight="1">
      <c r="A25" s="2359"/>
      <c r="B25" s="2346" t="s">
        <v>1690</v>
      </c>
      <c r="C25" s="2346"/>
      <c r="D25" s="2344">
        <v>2022</v>
      </c>
      <c r="E25" s="2290">
        <v>139</v>
      </c>
      <c r="F25" s="2290">
        <v>139</v>
      </c>
      <c r="G25" s="2290">
        <v>3</v>
      </c>
      <c r="H25" s="2290">
        <v>29</v>
      </c>
      <c r="I25" s="2290">
        <v>66</v>
      </c>
      <c r="J25" s="2290">
        <v>41</v>
      </c>
      <c r="K25" s="2350"/>
      <c r="L25" s="2360"/>
    </row>
    <row r="26" spans="1:12" s="2324" customFormat="1" ht="15.2" customHeight="1">
      <c r="A26" s="2359"/>
      <c r="B26" s="2346"/>
      <c r="C26" s="2346"/>
      <c r="D26" s="2344">
        <v>2023</v>
      </c>
      <c r="E26" s="2290">
        <v>127</v>
      </c>
      <c r="F26" s="2290">
        <v>127</v>
      </c>
      <c r="G26" s="2290">
        <v>3</v>
      </c>
      <c r="H26" s="2290">
        <v>16</v>
      </c>
      <c r="I26" s="2290">
        <v>65</v>
      </c>
      <c r="J26" s="2290">
        <v>43</v>
      </c>
      <c r="K26" s="2350"/>
      <c r="L26" s="2360"/>
    </row>
    <row r="27" spans="1:12" s="2324" customFormat="1" ht="15.2" customHeight="1">
      <c r="A27" s="2359"/>
      <c r="B27" s="2346"/>
      <c r="C27" s="2346"/>
      <c r="D27" s="2344">
        <v>2024</v>
      </c>
      <c r="E27" s="2290">
        <v>127</v>
      </c>
      <c r="F27" s="2290">
        <v>127</v>
      </c>
      <c r="G27" s="2290">
        <v>3</v>
      </c>
      <c r="H27" s="2290">
        <v>16</v>
      </c>
      <c r="I27" s="2290">
        <v>65</v>
      </c>
      <c r="J27" s="2290">
        <v>43</v>
      </c>
      <c r="K27" s="2350"/>
      <c r="L27" s="2360"/>
    </row>
    <row r="28" spans="1:12" s="2324" customFormat="1" ht="15.2" customHeight="1">
      <c r="A28" s="2359"/>
      <c r="B28" s="2346"/>
      <c r="C28" s="2346"/>
      <c r="D28" s="2385"/>
      <c r="E28" s="1605"/>
      <c r="F28" s="2348"/>
      <c r="G28" s="1605"/>
      <c r="H28" s="2348"/>
      <c r="I28" s="1605"/>
      <c r="J28" s="2348"/>
      <c r="K28" s="2351"/>
      <c r="L28" s="2358"/>
    </row>
    <row r="29" spans="1:12" s="2324" customFormat="1" ht="15.2" customHeight="1">
      <c r="B29" s="2357" t="s">
        <v>1867</v>
      </c>
      <c r="C29" s="2353"/>
      <c r="D29" s="2344">
        <v>2022</v>
      </c>
      <c r="E29" s="2290">
        <v>139</v>
      </c>
      <c r="F29" s="2290">
        <v>139</v>
      </c>
      <c r="G29" s="2290">
        <v>3</v>
      </c>
      <c r="H29" s="2290">
        <v>29</v>
      </c>
      <c r="I29" s="2290">
        <v>66</v>
      </c>
      <c r="J29" s="2290">
        <v>41</v>
      </c>
      <c r="K29" s="2356"/>
      <c r="L29" s="2355"/>
    </row>
    <row r="30" spans="1:12" s="2155" customFormat="1" ht="15.2" customHeight="1">
      <c r="A30" s="2324"/>
      <c r="B30" s="2352"/>
      <c r="C30" s="2353"/>
      <c r="D30" s="2344">
        <v>2023</v>
      </c>
      <c r="E30" s="2290">
        <v>127</v>
      </c>
      <c r="F30" s="2290">
        <v>127</v>
      </c>
      <c r="G30" s="2290">
        <v>3</v>
      </c>
      <c r="H30" s="2290">
        <v>16</v>
      </c>
      <c r="I30" s="2290">
        <v>65</v>
      </c>
      <c r="J30" s="2290">
        <v>43</v>
      </c>
      <c r="K30" s="2343"/>
      <c r="L30" s="2354"/>
    </row>
    <row r="31" spans="1:12" s="2155" customFormat="1" ht="15.2" customHeight="1">
      <c r="A31" s="2324"/>
      <c r="B31" s="2352"/>
      <c r="C31" s="2353"/>
      <c r="D31" s="2344">
        <v>2024</v>
      </c>
      <c r="E31" s="2290">
        <v>127</v>
      </c>
      <c r="F31" s="2290">
        <v>127</v>
      </c>
      <c r="G31" s="2290">
        <v>3</v>
      </c>
      <c r="H31" s="2290">
        <v>16</v>
      </c>
      <c r="I31" s="2290">
        <v>65</v>
      </c>
      <c r="J31" s="2290">
        <v>43</v>
      </c>
      <c r="K31" s="2343"/>
      <c r="L31" s="2341"/>
    </row>
    <row r="32" spans="1:12" s="2155" customFormat="1" ht="15.2" customHeight="1">
      <c r="B32" s="2352"/>
      <c r="C32" s="2353"/>
      <c r="D32" s="2385"/>
      <c r="E32" s="1997"/>
      <c r="F32" s="2348"/>
      <c r="G32" s="1605"/>
      <c r="H32" s="2348"/>
      <c r="I32" s="1605"/>
      <c r="J32" s="2347"/>
      <c r="K32" s="2351"/>
      <c r="L32" s="2341"/>
    </row>
    <row r="33" spans="2:13" s="2331" customFormat="1" ht="15.2" customHeight="1">
      <c r="B33" s="2352" t="s">
        <v>1866</v>
      </c>
      <c r="C33" s="222"/>
      <c r="D33" s="2344">
        <v>2022</v>
      </c>
      <c r="E33" s="2290">
        <v>139</v>
      </c>
      <c r="F33" s="2290">
        <v>139</v>
      </c>
      <c r="G33" s="2290">
        <v>3</v>
      </c>
      <c r="H33" s="2290">
        <v>29</v>
      </c>
      <c r="I33" s="2290">
        <v>66</v>
      </c>
      <c r="J33" s="2290">
        <v>41</v>
      </c>
      <c r="K33" s="2343"/>
      <c r="L33" s="2341"/>
      <c r="M33" s="222"/>
    </row>
    <row r="34" spans="2:13" s="2331" customFormat="1" ht="15.2" customHeight="1">
      <c r="B34" s="2291"/>
      <c r="C34" s="222"/>
      <c r="D34" s="2344">
        <v>2023</v>
      </c>
      <c r="E34" s="2290">
        <v>127</v>
      </c>
      <c r="F34" s="2290">
        <v>127</v>
      </c>
      <c r="G34" s="2290">
        <v>3</v>
      </c>
      <c r="H34" s="2290">
        <v>16</v>
      </c>
      <c r="I34" s="2290">
        <v>65</v>
      </c>
      <c r="J34" s="2290">
        <v>43</v>
      </c>
      <c r="K34" s="2343"/>
      <c r="L34" s="2341"/>
      <c r="M34" s="222"/>
    </row>
    <row r="35" spans="2:13" s="2331" customFormat="1" ht="15.2" customHeight="1">
      <c r="B35" s="2291"/>
      <c r="C35" s="222"/>
      <c r="D35" s="2344">
        <v>2024</v>
      </c>
      <c r="E35" s="2290">
        <v>127</v>
      </c>
      <c r="F35" s="2290">
        <v>127</v>
      </c>
      <c r="G35" s="2290">
        <v>3</v>
      </c>
      <c r="H35" s="2290">
        <v>16</v>
      </c>
      <c r="I35" s="2290">
        <v>65</v>
      </c>
      <c r="J35" s="2290">
        <v>43</v>
      </c>
      <c r="K35" s="2350"/>
      <c r="L35" s="2341"/>
      <c r="M35" s="222"/>
    </row>
    <row r="36" spans="2:13" s="2331" customFormat="1" ht="15.2" customHeight="1">
      <c r="B36" s="2291"/>
      <c r="C36" s="222"/>
      <c r="D36" s="2344"/>
      <c r="E36" s="1997"/>
      <c r="F36" s="2347"/>
      <c r="G36" s="1605"/>
      <c r="H36" s="2349"/>
      <c r="I36" s="1605"/>
      <c r="J36" s="2347"/>
      <c r="K36" s="2343"/>
      <c r="L36" s="2341"/>
      <c r="M36" s="222"/>
    </row>
    <row r="37" spans="2:13" s="2331" customFormat="1" ht="15.2" customHeight="1">
      <c r="B37" s="2346" t="s">
        <v>1576</v>
      </c>
      <c r="C37" s="2345"/>
      <c r="D37" s="2344">
        <v>2022</v>
      </c>
      <c r="E37" s="2290">
        <v>139</v>
      </c>
      <c r="F37" s="2290">
        <v>139</v>
      </c>
      <c r="G37" s="2290">
        <v>3</v>
      </c>
      <c r="H37" s="2290">
        <v>29</v>
      </c>
      <c r="I37" s="2290">
        <v>66</v>
      </c>
      <c r="J37" s="2290">
        <v>41</v>
      </c>
      <c r="K37" s="2343"/>
      <c r="L37" s="2341"/>
      <c r="M37" s="222"/>
    </row>
    <row r="38" spans="2:13" s="2331" customFormat="1" ht="15.2" customHeight="1">
      <c r="B38" s="2345"/>
      <c r="C38" s="2345"/>
      <c r="D38" s="2344">
        <v>2023</v>
      </c>
      <c r="E38" s="2290">
        <v>127</v>
      </c>
      <c r="F38" s="2290">
        <v>127</v>
      </c>
      <c r="G38" s="2290">
        <v>3</v>
      </c>
      <c r="H38" s="2290">
        <v>16</v>
      </c>
      <c r="I38" s="2290">
        <v>65</v>
      </c>
      <c r="J38" s="2290">
        <v>43</v>
      </c>
      <c r="K38" s="2343"/>
      <c r="L38" s="2341"/>
      <c r="M38" s="222"/>
    </row>
    <row r="39" spans="2:13" s="2331" customFormat="1" ht="15.2" customHeight="1">
      <c r="B39" s="2345"/>
      <c r="C39" s="2345"/>
      <c r="D39" s="2344">
        <v>2024</v>
      </c>
      <c r="E39" s="2290">
        <v>127</v>
      </c>
      <c r="F39" s="2290">
        <v>127</v>
      </c>
      <c r="G39" s="2290">
        <v>3</v>
      </c>
      <c r="H39" s="2290">
        <v>16</v>
      </c>
      <c r="I39" s="2290">
        <v>65</v>
      </c>
      <c r="J39" s="2290">
        <v>43</v>
      </c>
      <c r="K39" s="2343"/>
      <c r="L39" s="2341"/>
      <c r="M39" s="222"/>
    </row>
    <row r="40" spans="2:13" s="2331" customFormat="1" ht="15.2" customHeight="1">
      <c r="B40" s="2291"/>
      <c r="C40" s="222"/>
      <c r="D40" s="2344"/>
      <c r="E40" s="1605"/>
      <c r="F40" s="2348"/>
      <c r="G40" s="1605"/>
      <c r="H40" s="2348"/>
      <c r="I40" s="1605"/>
      <c r="J40" s="2348"/>
      <c r="K40" s="2343"/>
      <c r="L40" s="2341"/>
      <c r="M40" s="222"/>
    </row>
    <row r="41" spans="2:13" s="2331" customFormat="1" ht="15.2" customHeight="1">
      <c r="B41" s="2346" t="s">
        <v>1707</v>
      </c>
      <c r="C41" s="2345"/>
      <c r="D41" s="2344">
        <v>2022</v>
      </c>
      <c r="E41" s="2290">
        <v>139</v>
      </c>
      <c r="F41" s="2290">
        <v>139</v>
      </c>
      <c r="G41" s="2290">
        <v>3</v>
      </c>
      <c r="H41" s="2290">
        <v>29</v>
      </c>
      <c r="I41" s="2290">
        <v>66</v>
      </c>
      <c r="J41" s="2290">
        <v>41</v>
      </c>
      <c r="K41" s="2343"/>
      <c r="L41" s="2341"/>
      <c r="M41" s="222"/>
    </row>
    <row r="42" spans="2:13" s="2331" customFormat="1" ht="15.2" customHeight="1">
      <c r="B42" s="2345"/>
      <c r="C42" s="2345"/>
      <c r="D42" s="2344">
        <v>2023</v>
      </c>
      <c r="E42" s="2290">
        <v>127</v>
      </c>
      <c r="F42" s="2290">
        <v>127</v>
      </c>
      <c r="G42" s="2290">
        <v>3</v>
      </c>
      <c r="H42" s="2290">
        <v>16</v>
      </c>
      <c r="I42" s="2290">
        <v>65</v>
      </c>
      <c r="J42" s="2290">
        <v>43</v>
      </c>
      <c r="K42" s="2343"/>
      <c r="L42" s="2341"/>
      <c r="M42" s="222"/>
    </row>
    <row r="43" spans="2:13" s="2331" customFormat="1" ht="15.2" customHeight="1">
      <c r="B43" s="2345"/>
      <c r="C43" s="2345"/>
      <c r="D43" s="2344">
        <v>2024</v>
      </c>
      <c r="E43" s="2290">
        <v>127</v>
      </c>
      <c r="F43" s="2290">
        <v>127</v>
      </c>
      <c r="G43" s="2290">
        <v>3</v>
      </c>
      <c r="H43" s="2290">
        <v>16</v>
      </c>
      <c r="I43" s="2290">
        <v>65</v>
      </c>
      <c r="J43" s="2290">
        <v>43</v>
      </c>
      <c r="K43" s="2343"/>
      <c r="L43" s="2341"/>
      <c r="M43" s="222"/>
    </row>
    <row r="44" spans="2:13" s="2331" customFormat="1" ht="15.2" customHeight="1">
      <c r="B44" s="2291"/>
      <c r="C44" s="222"/>
      <c r="D44" s="2344"/>
      <c r="E44" s="1997"/>
      <c r="F44" s="2348"/>
      <c r="G44" s="1605"/>
      <c r="H44" s="2348"/>
      <c r="I44" s="1605"/>
      <c r="J44" s="2347"/>
      <c r="K44" s="2343"/>
      <c r="L44" s="2341"/>
      <c r="M44" s="222"/>
    </row>
    <row r="45" spans="2:13" s="2331" customFormat="1" ht="15.2" customHeight="1">
      <c r="B45" s="2346" t="s">
        <v>1716</v>
      </c>
      <c r="C45" s="2345"/>
      <c r="D45" s="2344">
        <v>2022</v>
      </c>
      <c r="E45" s="2290">
        <v>139</v>
      </c>
      <c r="F45" s="2290">
        <v>139</v>
      </c>
      <c r="G45" s="2290">
        <v>3</v>
      </c>
      <c r="H45" s="2290">
        <v>29</v>
      </c>
      <c r="I45" s="2290">
        <v>66</v>
      </c>
      <c r="J45" s="2290">
        <v>41</v>
      </c>
      <c r="K45" s="2343"/>
      <c r="L45" s="2341"/>
      <c r="M45" s="222"/>
    </row>
    <row r="46" spans="2:13" s="2331" customFormat="1" ht="15.2" customHeight="1">
      <c r="B46" s="2345"/>
      <c r="C46" s="2345"/>
      <c r="D46" s="2344">
        <v>2023</v>
      </c>
      <c r="E46" s="2290">
        <v>127</v>
      </c>
      <c r="F46" s="2290">
        <v>127</v>
      </c>
      <c r="G46" s="2290">
        <v>3</v>
      </c>
      <c r="H46" s="2290">
        <v>16</v>
      </c>
      <c r="I46" s="2290">
        <v>65</v>
      </c>
      <c r="J46" s="2290">
        <v>43</v>
      </c>
      <c r="K46" s="2343"/>
      <c r="L46" s="2341"/>
      <c r="M46" s="222"/>
    </row>
    <row r="47" spans="2:13" s="2331" customFormat="1" ht="15.2" customHeight="1">
      <c r="B47" s="2345"/>
      <c r="C47" s="2345"/>
      <c r="D47" s="2344">
        <v>2024</v>
      </c>
      <c r="E47" s="2290">
        <v>127</v>
      </c>
      <c r="F47" s="2290">
        <v>127</v>
      </c>
      <c r="G47" s="2290">
        <v>3</v>
      </c>
      <c r="H47" s="2290">
        <v>16</v>
      </c>
      <c r="I47" s="2290">
        <v>65</v>
      </c>
      <c r="J47" s="2290">
        <v>43</v>
      </c>
      <c r="K47" s="2343"/>
      <c r="L47" s="2341"/>
      <c r="M47" s="222"/>
    </row>
    <row r="48" spans="2:13" s="2331" customFormat="1" ht="15.2" customHeight="1">
      <c r="B48" s="2345"/>
      <c r="C48" s="2345"/>
      <c r="D48" s="2385"/>
      <c r="E48" s="1997"/>
      <c r="F48" s="2347"/>
      <c r="G48" s="1605"/>
      <c r="H48" s="2349"/>
      <c r="I48" s="1605"/>
      <c r="J48" s="2347"/>
      <c r="K48" s="2343"/>
      <c r="L48" s="2341"/>
      <c r="M48" s="222"/>
    </row>
    <row r="49" spans="2:13" s="2331" customFormat="1" ht="15.2" customHeight="1">
      <c r="B49" s="2346" t="s">
        <v>1689</v>
      </c>
      <c r="C49" s="2345"/>
      <c r="D49" s="2344">
        <v>2022</v>
      </c>
      <c r="E49" s="2290">
        <v>139</v>
      </c>
      <c r="F49" s="2290">
        <v>139</v>
      </c>
      <c r="G49" s="2290">
        <v>3</v>
      </c>
      <c r="H49" s="2290">
        <v>29</v>
      </c>
      <c r="I49" s="2290">
        <v>66</v>
      </c>
      <c r="J49" s="2290">
        <v>41</v>
      </c>
      <c r="K49" s="2343"/>
      <c r="L49" s="2341"/>
      <c r="M49" s="222"/>
    </row>
    <row r="50" spans="2:13" s="2331" customFormat="1" ht="15.2" customHeight="1">
      <c r="B50" s="2345"/>
      <c r="C50" s="2345"/>
      <c r="D50" s="2344">
        <v>2023</v>
      </c>
      <c r="E50" s="2290">
        <v>127</v>
      </c>
      <c r="F50" s="2290">
        <v>127</v>
      </c>
      <c r="G50" s="2290">
        <v>3</v>
      </c>
      <c r="H50" s="2290">
        <v>16</v>
      </c>
      <c r="I50" s="2290">
        <v>65</v>
      </c>
      <c r="J50" s="2290">
        <v>43</v>
      </c>
      <c r="K50" s="2343"/>
      <c r="L50" s="2341"/>
      <c r="M50" s="222"/>
    </row>
    <row r="51" spans="2:13" s="2331" customFormat="1" ht="15.2" customHeight="1">
      <c r="B51" s="2345"/>
      <c r="C51" s="2345"/>
      <c r="D51" s="2344">
        <v>2024</v>
      </c>
      <c r="E51" s="2290">
        <v>127</v>
      </c>
      <c r="F51" s="2290">
        <v>127</v>
      </c>
      <c r="G51" s="2290">
        <v>3</v>
      </c>
      <c r="H51" s="2290">
        <v>16</v>
      </c>
      <c r="I51" s="2290">
        <v>65</v>
      </c>
      <c r="J51" s="2290">
        <v>43</v>
      </c>
      <c r="K51" s="2343"/>
      <c r="L51" s="2341"/>
      <c r="M51" s="222"/>
    </row>
    <row r="52" spans="2:13" s="2331" customFormat="1" ht="15.2" customHeight="1">
      <c r="B52" s="2345"/>
      <c r="C52" s="2345"/>
      <c r="D52" s="2344"/>
      <c r="E52" s="1605"/>
      <c r="F52" s="2348"/>
      <c r="G52" s="1605"/>
      <c r="H52" s="2348"/>
      <c r="I52" s="1605"/>
      <c r="J52" s="2348"/>
      <c r="K52" s="2343"/>
      <c r="L52" s="2341"/>
      <c r="M52" s="222"/>
    </row>
    <row r="53" spans="2:13" s="2331" customFormat="1" ht="15.2" customHeight="1">
      <c r="B53" s="2346" t="s">
        <v>1688</v>
      </c>
      <c r="C53" s="2345"/>
      <c r="D53" s="2344">
        <v>2022</v>
      </c>
      <c r="E53" s="2290">
        <v>139</v>
      </c>
      <c r="F53" s="2290">
        <v>139</v>
      </c>
      <c r="G53" s="2290">
        <v>3</v>
      </c>
      <c r="H53" s="2290">
        <v>29</v>
      </c>
      <c r="I53" s="2290">
        <v>66</v>
      </c>
      <c r="J53" s="2290">
        <v>41</v>
      </c>
      <c r="K53" s="2343"/>
      <c r="L53" s="2341"/>
      <c r="M53" s="222"/>
    </row>
    <row r="54" spans="2:13" s="2331" customFormat="1" ht="15.2" customHeight="1">
      <c r="B54" s="2345"/>
      <c r="C54" s="2345"/>
      <c r="D54" s="2344">
        <v>2023</v>
      </c>
      <c r="E54" s="2290">
        <v>127</v>
      </c>
      <c r="F54" s="2290">
        <v>127</v>
      </c>
      <c r="G54" s="2290">
        <v>3</v>
      </c>
      <c r="H54" s="2290">
        <v>16</v>
      </c>
      <c r="I54" s="2290">
        <v>65</v>
      </c>
      <c r="J54" s="2290">
        <v>43</v>
      </c>
      <c r="K54" s="2343"/>
      <c r="L54" s="2341"/>
      <c r="M54" s="222"/>
    </row>
    <row r="55" spans="2:13" s="2331" customFormat="1" ht="15.2" customHeight="1">
      <c r="B55" s="2345"/>
      <c r="C55" s="2345"/>
      <c r="D55" s="2344">
        <v>2024</v>
      </c>
      <c r="E55" s="2290">
        <v>127</v>
      </c>
      <c r="F55" s="2290">
        <v>127</v>
      </c>
      <c r="G55" s="2290">
        <v>3</v>
      </c>
      <c r="H55" s="2290">
        <v>16</v>
      </c>
      <c r="I55" s="2290">
        <v>65</v>
      </c>
      <c r="J55" s="2290">
        <v>43</v>
      </c>
      <c r="K55" s="2343"/>
      <c r="L55" s="2341"/>
      <c r="M55" s="222"/>
    </row>
    <row r="56" spans="2:13" s="2331" customFormat="1" ht="15.2" customHeight="1">
      <c r="B56" s="2345"/>
      <c r="C56" s="2345"/>
      <c r="D56" s="2344"/>
      <c r="E56" s="1997"/>
      <c r="F56" s="2348"/>
      <c r="G56" s="1605"/>
      <c r="H56" s="2348"/>
      <c r="I56" s="1605"/>
      <c r="J56" s="2347"/>
      <c r="K56" s="2343"/>
      <c r="L56" s="2341"/>
      <c r="M56" s="222"/>
    </row>
    <row r="57" spans="2:13" s="2331" customFormat="1" ht="15.2" customHeight="1">
      <c r="B57" s="2346" t="s">
        <v>1705</v>
      </c>
      <c r="C57" s="2345"/>
      <c r="D57" s="2344">
        <v>2022</v>
      </c>
      <c r="E57" s="2290">
        <v>139</v>
      </c>
      <c r="F57" s="2290">
        <v>139</v>
      </c>
      <c r="G57" s="2290">
        <v>3</v>
      </c>
      <c r="H57" s="2290">
        <v>29</v>
      </c>
      <c r="I57" s="2290">
        <v>66</v>
      </c>
      <c r="J57" s="2290">
        <v>41</v>
      </c>
      <c r="K57" s="2343"/>
      <c r="L57" s="2341"/>
      <c r="M57" s="222"/>
    </row>
    <row r="58" spans="2:13" s="2331" customFormat="1" ht="15.2" customHeight="1">
      <c r="B58" s="2345"/>
      <c r="C58" s="2345"/>
      <c r="D58" s="2344">
        <v>2023</v>
      </c>
      <c r="E58" s="2290">
        <v>127</v>
      </c>
      <c r="F58" s="2290">
        <v>127</v>
      </c>
      <c r="G58" s="2290">
        <v>3</v>
      </c>
      <c r="H58" s="2290">
        <v>16</v>
      </c>
      <c r="I58" s="2290">
        <v>65</v>
      </c>
      <c r="J58" s="2290">
        <v>43</v>
      </c>
      <c r="K58" s="2343"/>
      <c r="L58" s="2341"/>
      <c r="M58" s="222"/>
    </row>
    <row r="59" spans="2:13" s="2331" customFormat="1" ht="15.2" customHeight="1">
      <c r="B59" s="2345"/>
      <c r="C59" s="2345"/>
      <c r="D59" s="2344">
        <v>2024</v>
      </c>
      <c r="E59" s="2290">
        <v>127</v>
      </c>
      <c r="F59" s="2290">
        <v>127</v>
      </c>
      <c r="G59" s="2290">
        <v>3</v>
      </c>
      <c r="H59" s="2290">
        <v>16</v>
      </c>
      <c r="I59" s="2290">
        <v>65</v>
      </c>
      <c r="J59" s="2290">
        <v>43</v>
      </c>
      <c r="K59" s="2343"/>
      <c r="L59" s="2341"/>
      <c r="M59" s="222"/>
    </row>
    <row r="60" spans="2:13" s="2331" customFormat="1" ht="15.2" customHeight="1">
      <c r="B60" s="2345"/>
      <c r="C60" s="2345"/>
      <c r="D60" s="2344"/>
      <c r="E60" s="1997"/>
      <c r="F60" s="2347"/>
      <c r="G60" s="2313"/>
      <c r="H60" s="2347"/>
      <c r="I60" s="1605"/>
      <c r="J60" s="2347"/>
      <c r="K60" s="2343"/>
      <c r="L60" s="2341"/>
      <c r="M60" s="222"/>
    </row>
    <row r="61" spans="2:13" s="2331" customFormat="1" ht="15.2" customHeight="1">
      <c r="B61" s="2346" t="s">
        <v>1682</v>
      </c>
      <c r="C61" s="2345"/>
      <c r="D61" s="2344">
        <v>2022</v>
      </c>
      <c r="E61" s="2290">
        <v>139</v>
      </c>
      <c r="F61" s="2290">
        <v>139</v>
      </c>
      <c r="G61" s="2290">
        <v>3</v>
      </c>
      <c r="H61" s="2290">
        <v>29</v>
      </c>
      <c r="I61" s="2290">
        <v>66</v>
      </c>
      <c r="J61" s="2290">
        <v>41</v>
      </c>
      <c r="K61" s="2343"/>
      <c r="L61" s="2341"/>
      <c r="M61" s="222"/>
    </row>
    <row r="62" spans="2:13" s="2331" customFormat="1" ht="15.2" customHeight="1">
      <c r="B62" s="2345"/>
      <c r="C62" s="2345"/>
      <c r="D62" s="2344">
        <v>2023</v>
      </c>
      <c r="E62" s="2290">
        <v>127</v>
      </c>
      <c r="F62" s="2290">
        <v>127</v>
      </c>
      <c r="G62" s="2290">
        <v>3</v>
      </c>
      <c r="H62" s="2290">
        <v>16</v>
      </c>
      <c r="I62" s="2290">
        <v>65</v>
      </c>
      <c r="J62" s="2290">
        <v>43</v>
      </c>
      <c r="K62" s="2343"/>
      <c r="L62" s="2341"/>
      <c r="M62" s="222"/>
    </row>
    <row r="63" spans="2:13" s="2331" customFormat="1" ht="15.2" customHeight="1">
      <c r="B63" s="2345"/>
      <c r="C63" s="2345"/>
      <c r="D63" s="2344">
        <v>2024</v>
      </c>
      <c r="E63" s="2290">
        <v>127</v>
      </c>
      <c r="F63" s="2290">
        <v>127</v>
      </c>
      <c r="G63" s="2290">
        <v>3</v>
      </c>
      <c r="H63" s="2290">
        <v>16</v>
      </c>
      <c r="I63" s="2290">
        <v>65</v>
      </c>
      <c r="J63" s="2290">
        <v>43</v>
      </c>
      <c r="K63" s="2343"/>
      <c r="L63" s="2341"/>
      <c r="M63" s="222"/>
    </row>
    <row r="64" spans="2:13" s="2331" customFormat="1" ht="13.5">
      <c r="B64" s="2340"/>
      <c r="C64" s="2399"/>
      <c r="D64" s="2338"/>
      <c r="E64" s="2415"/>
      <c r="F64" s="2337"/>
      <c r="G64" s="2337"/>
      <c r="H64" s="2337"/>
      <c r="I64" s="2414"/>
      <c r="J64" s="2337"/>
    </row>
    <row r="65" spans="1:13" s="2331" customFormat="1" ht="14.25" thickBot="1">
      <c r="A65" s="2332"/>
      <c r="B65" s="2398"/>
      <c r="C65" s="2398"/>
      <c r="D65" s="2397"/>
      <c r="E65" s="2396"/>
      <c r="F65" s="2396"/>
      <c r="G65" s="2396"/>
      <c r="H65" s="2396"/>
      <c r="I65" s="2396"/>
      <c r="J65" s="2396"/>
      <c r="K65" s="2332"/>
    </row>
    <row r="66" spans="1:13" s="2324" customFormat="1" ht="14.25">
      <c r="B66" s="2330"/>
      <c r="C66" s="2330"/>
      <c r="D66" s="2329"/>
      <c r="E66" s="2395"/>
      <c r="F66" s="2326"/>
      <c r="G66" s="2326"/>
      <c r="H66" s="2394"/>
      <c r="I66" s="2326"/>
      <c r="K66" s="2328" t="s">
        <v>241</v>
      </c>
    </row>
    <row r="67" spans="1:13" s="2324" customFormat="1" ht="14.25">
      <c r="B67" s="2330"/>
      <c r="C67" s="2330"/>
      <c r="D67" s="2329"/>
      <c r="E67" s="2395"/>
      <c r="F67" s="2326"/>
      <c r="G67" s="2326"/>
      <c r="H67" s="2394"/>
      <c r="I67" s="2326"/>
      <c r="K67" s="2325" t="s">
        <v>242</v>
      </c>
    </row>
    <row r="68" spans="1:13" s="2331" customFormat="1" ht="13.5">
      <c r="B68" s="2353"/>
      <c r="C68" s="2353"/>
      <c r="D68" s="2338"/>
      <c r="E68" s="2406"/>
      <c r="F68" s="2361"/>
      <c r="G68" s="2361"/>
      <c r="H68" s="2405"/>
      <c r="I68" s="2361"/>
    </row>
    <row r="69" spans="1:13" s="2381" customFormat="1" ht="16.5" customHeight="1">
      <c r="B69" s="2413"/>
      <c r="C69" s="2382"/>
      <c r="D69" s="2383"/>
      <c r="E69" s="2413"/>
      <c r="F69" s="2382"/>
      <c r="G69" s="2382"/>
      <c r="H69" s="2382"/>
      <c r="I69" s="2382"/>
      <c r="J69" s="2382"/>
      <c r="K69" s="2412"/>
    </row>
    <row r="70" spans="1:13" s="2381" customFormat="1" ht="17.25" customHeight="1">
      <c r="B70" s="2413" t="s">
        <v>1898</v>
      </c>
      <c r="C70" s="2382" t="s">
        <v>2002</v>
      </c>
      <c r="D70" s="2383"/>
      <c r="E70" s="2413"/>
      <c r="F70" s="2382"/>
      <c r="G70" s="2382"/>
      <c r="H70" s="2382"/>
      <c r="I70" s="2382"/>
      <c r="J70" s="2382"/>
      <c r="K70" s="2412"/>
    </row>
    <row r="71" spans="1:13" s="2409" customFormat="1" ht="17.25" customHeight="1">
      <c r="B71" s="2380" t="s">
        <v>1897</v>
      </c>
      <c r="C71" s="2379" t="s">
        <v>2003</v>
      </c>
      <c r="D71" s="2411"/>
      <c r="E71" s="2384"/>
      <c r="F71" s="2379"/>
      <c r="G71" s="2379"/>
      <c r="H71" s="2379"/>
      <c r="I71" s="2379"/>
      <c r="J71" s="2379"/>
      <c r="K71" s="2410"/>
    </row>
    <row r="72" spans="1:13" s="2331" customFormat="1" ht="14.25" thickBot="1">
      <c r="A72" s="2332"/>
      <c r="B72" s="2377"/>
      <c r="C72" s="2377"/>
      <c r="D72" s="2334"/>
      <c r="E72" s="2408"/>
      <c r="F72" s="2373"/>
      <c r="G72" s="2373"/>
      <c r="H72" s="2407"/>
      <c r="I72" s="2373"/>
      <c r="J72" s="2332"/>
      <c r="K72" s="2332"/>
    </row>
    <row r="73" spans="1:13" s="2331" customFormat="1" ht="13.5">
      <c r="B73" s="2353"/>
      <c r="C73" s="2353"/>
      <c r="D73" s="2338"/>
      <c r="E73" s="2406"/>
      <c r="F73" s="2361"/>
      <c r="G73" s="2361"/>
      <c r="H73" s="2405"/>
      <c r="I73" s="2361"/>
    </row>
    <row r="74" spans="1:13" s="2331" customFormat="1" ht="26.25" thickBot="1">
      <c r="B74" s="2892" t="s">
        <v>1888</v>
      </c>
      <c r="C74" s="2892"/>
      <c r="D74" s="2370" t="s">
        <v>239</v>
      </c>
      <c r="E74" s="2896" t="s">
        <v>240</v>
      </c>
      <c r="F74" s="2896" t="s">
        <v>1899</v>
      </c>
      <c r="G74" s="2902" t="s">
        <v>1895</v>
      </c>
      <c r="H74" s="2902"/>
      <c r="I74" s="2902"/>
      <c r="J74" s="2896" t="s">
        <v>1894</v>
      </c>
    </row>
    <row r="75" spans="1:13" s="2390" customFormat="1" ht="64.5" thickBot="1">
      <c r="A75" s="2403"/>
      <c r="B75" s="2893"/>
      <c r="C75" s="2893"/>
      <c r="D75" s="2404"/>
      <c r="E75" s="2897"/>
      <c r="F75" s="2897"/>
      <c r="G75" s="2366" t="s">
        <v>1893</v>
      </c>
      <c r="H75" s="2366" t="s">
        <v>1892</v>
      </c>
      <c r="I75" s="2366" t="s">
        <v>1891</v>
      </c>
      <c r="J75" s="2897"/>
      <c r="K75" s="2403"/>
    </row>
    <row r="76" spans="1:13" s="2390" customFormat="1" ht="13.5">
      <c r="B76" s="2402"/>
      <c r="C76" s="2402"/>
      <c r="D76" s="2401"/>
      <c r="E76" s="2369"/>
      <c r="F76" s="2400"/>
      <c r="G76" s="2369"/>
      <c r="H76" s="2369"/>
      <c r="I76" s="2369"/>
      <c r="J76" s="2369"/>
    </row>
    <row r="77" spans="1:13" s="2331" customFormat="1" ht="15.2" customHeight="1">
      <c r="A77" s="2359"/>
      <c r="B77" s="2352" t="s">
        <v>1713</v>
      </c>
      <c r="C77" s="222"/>
      <c r="D77" s="2344">
        <v>2022</v>
      </c>
      <c r="E77" s="2290">
        <v>139</v>
      </c>
      <c r="F77" s="2290">
        <v>139</v>
      </c>
      <c r="G77" s="2290">
        <v>3</v>
      </c>
      <c r="H77" s="2290">
        <v>29</v>
      </c>
      <c r="I77" s="2290">
        <v>66</v>
      </c>
      <c r="J77" s="2290">
        <v>41</v>
      </c>
      <c r="K77" s="2356"/>
      <c r="L77" s="2356"/>
      <c r="M77" s="2360"/>
    </row>
    <row r="78" spans="1:13" s="2331" customFormat="1" ht="15.2" customHeight="1">
      <c r="A78" s="2359"/>
      <c r="B78" s="2357"/>
      <c r="C78" s="222"/>
      <c r="D78" s="2344">
        <v>2023</v>
      </c>
      <c r="E78" s="2290">
        <v>127</v>
      </c>
      <c r="F78" s="2290">
        <v>127</v>
      </c>
      <c r="G78" s="2290">
        <v>3</v>
      </c>
      <c r="H78" s="2290">
        <v>16</v>
      </c>
      <c r="I78" s="2290">
        <v>65</v>
      </c>
      <c r="J78" s="2290">
        <v>43</v>
      </c>
      <c r="K78" s="2356"/>
      <c r="L78" s="2356"/>
      <c r="M78" s="2360"/>
    </row>
    <row r="79" spans="1:13" s="2331" customFormat="1" ht="15.2" customHeight="1">
      <c r="A79" s="2359"/>
      <c r="B79" s="2357"/>
      <c r="C79" s="222"/>
      <c r="D79" s="2344">
        <v>2024</v>
      </c>
      <c r="E79" s="2290">
        <v>127</v>
      </c>
      <c r="F79" s="2290">
        <v>127</v>
      </c>
      <c r="G79" s="2290">
        <v>3</v>
      </c>
      <c r="H79" s="2290">
        <v>16</v>
      </c>
      <c r="I79" s="2290">
        <v>65</v>
      </c>
      <c r="J79" s="2290">
        <v>43</v>
      </c>
      <c r="K79" s="2350"/>
      <c r="L79" s="2350"/>
      <c r="M79" s="2360"/>
    </row>
    <row r="80" spans="1:13" s="2331" customFormat="1" ht="15.2" customHeight="1">
      <c r="A80" s="2359"/>
      <c r="B80" s="2357"/>
      <c r="C80" s="222"/>
      <c r="D80" s="2344"/>
      <c r="E80" s="1605"/>
      <c r="F80" s="2348"/>
      <c r="G80" s="1605"/>
      <c r="H80" s="2348"/>
      <c r="I80" s="1605"/>
      <c r="J80" s="2348"/>
      <c r="K80" s="2356"/>
      <c r="L80" s="2356"/>
      <c r="M80" s="2360"/>
    </row>
    <row r="81" spans="1:13" s="2331" customFormat="1" ht="15.2" customHeight="1">
      <c r="A81" s="2359"/>
      <c r="B81" s="2291" t="s">
        <v>1711</v>
      </c>
      <c r="C81" s="222"/>
      <c r="D81" s="2344">
        <v>2022</v>
      </c>
      <c r="E81" s="2290">
        <v>139</v>
      </c>
      <c r="F81" s="2290">
        <v>139</v>
      </c>
      <c r="G81" s="2290">
        <v>3</v>
      </c>
      <c r="H81" s="2290">
        <v>29</v>
      </c>
      <c r="I81" s="2290">
        <v>66</v>
      </c>
      <c r="J81" s="2290">
        <v>41</v>
      </c>
      <c r="K81" s="2356"/>
      <c r="L81" s="2356"/>
      <c r="M81" s="2360"/>
    </row>
    <row r="82" spans="1:13" s="2331" customFormat="1" ht="15.2" customHeight="1">
      <c r="A82" s="2359"/>
      <c r="B82" s="2291"/>
      <c r="C82" s="222"/>
      <c r="D82" s="2344">
        <v>2023</v>
      </c>
      <c r="E82" s="2290">
        <v>127</v>
      </c>
      <c r="F82" s="2290">
        <v>127</v>
      </c>
      <c r="G82" s="2290">
        <v>3</v>
      </c>
      <c r="H82" s="2290">
        <v>16</v>
      </c>
      <c r="I82" s="2290">
        <v>65</v>
      </c>
      <c r="J82" s="2290">
        <v>43</v>
      </c>
      <c r="K82" s="2343"/>
      <c r="L82" s="2343"/>
      <c r="M82" s="2360"/>
    </row>
    <row r="83" spans="1:13" s="2331" customFormat="1" ht="15.2" customHeight="1">
      <c r="A83" s="2359"/>
      <c r="B83" s="2291"/>
      <c r="C83" s="222"/>
      <c r="D83" s="2344">
        <v>2024</v>
      </c>
      <c r="E83" s="2290">
        <v>127</v>
      </c>
      <c r="F83" s="2290">
        <v>127</v>
      </c>
      <c r="G83" s="2290">
        <v>3</v>
      </c>
      <c r="H83" s="2290">
        <v>16</v>
      </c>
      <c r="I83" s="2290">
        <v>65</v>
      </c>
      <c r="J83" s="2290">
        <v>43</v>
      </c>
      <c r="K83" s="2350"/>
      <c r="L83" s="2350"/>
      <c r="M83" s="2360"/>
    </row>
    <row r="84" spans="1:13" s="2331" customFormat="1" ht="15.2" customHeight="1">
      <c r="A84" s="2359"/>
      <c r="B84" s="2291"/>
      <c r="C84" s="222"/>
      <c r="D84" s="2344"/>
      <c r="E84" s="1997"/>
      <c r="F84" s="2348"/>
      <c r="G84" s="1605"/>
      <c r="H84" s="2348"/>
      <c r="I84" s="1605"/>
      <c r="J84" s="2347"/>
      <c r="K84" s="2343"/>
      <c r="L84" s="2343"/>
      <c r="M84" s="2360"/>
    </row>
    <row r="85" spans="1:13" s="2331" customFormat="1" ht="15.2" customHeight="1">
      <c r="A85" s="2359"/>
      <c r="B85" s="2346" t="s">
        <v>1578</v>
      </c>
      <c r="C85" s="2345"/>
      <c r="D85" s="2344">
        <v>2022</v>
      </c>
      <c r="E85" s="2290">
        <v>139</v>
      </c>
      <c r="F85" s="2290">
        <v>139</v>
      </c>
      <c r="G85" s="2290">
        <v>3</v>
      </c>
      <c r="H85" s="2290">
        <v>29</v>
      </c>
      <c r="I85" s="2290">
        <v>66</v>
      </c>
      <c r="J85" s="2290">
        <v>41</v>
      </c>
      <c r="K85" s="2356"/>
      <c r="L85" s="2356"/>
      <c r="M85" s="2360"/>
    </row>
    <row r="86" spans="1:13" s="2331" customFormat="1" ht="15.2" customHeight="1">
      <c r="A86" s="2359"/>
      <c r="B86" s="2345"/>
      <c r="C86" s="2345"/>
      <c r="D86" s="2344">
        <v>2023</v>
      </c>
      <c r="E86" s="2290">
        <v>127</v>
      </c>
      <c r="F86" s="2290">
        <v>127</v>
      </c>
      <c r="G86" s="2290">
        <v>3</v>
      </c>
      <c r="H86" s="2290">
        <v>16</v>
      </c>
      <c r="I86" s="2290">
        <v>65</v>
      </c>
      <c r="J86" s="2290">
        <v>43</v>
      </c>
      <c r="K86" s="2351"/>
      <c r="L86" s="2351"/>
      <c r="M86" s="2360"/>
    </row>
    <row r="87" spans="1:13" s="2331" customFormat="1" ht="15.2" customHeight="1">
      <c r="A87" s="2359"/>
      <c r="B87" s="2345"/>
      <c r="C87" s="2345"/>
      <c r="D87" s="2344">
        <v>2024</v>
      </c>
      <c r="E87" s="2290">
        <v>127</v>
      </c>
      <c r="F87" s="2290">
        <v>127</v>
      </c>
      <c r="G87" s="2290">
        <v>3</v>
      </c>
      <c r="H87" s="2290">
        <v>16</v>
      </c>
      <c r="I87" s="2290">
        <v>65</v>
      </c>
      <c r="J87" s="2290">
        <v>43</v>
      </c>
      <c r="K87" s="2350"/>
      <c r="L87" s="2350"/>
      <c r="M87" s="2360"/>
    </row>
    <row r="88" spans="1:13" s="2331" customFormat="1" ht="15.2" customHeight="1">
      <c r="A88" s="2359"/>
      <c r="B88" s="2345"/>
      <c r="C88" s="2345"/>
      <c r="D88" s="2344"/>
      <c r="E88" s="1997"/>
      <c r="F88" s="2347"/>
      <c r="G88" s="1605"/>
      <c r="H88" s="2349"/>
      <c r="I88" s="1605"/>
      <c r="J88" s="2347"/>
      <c r="K88" s="2343"/>
      <c r="L88" s="2343"/>
      <c r="M88" s="2360"/>
    </row>
    <row r="89" spans="1:13" s="2331" customFormat="1" ht="15.2" customHeight="1">
      <c r="A89" s="2359"/>
      <c r="B89" s="2346" t="s">
        <v>1714</v>
      </c>
      <c r="C89" s="2346"/>
      <c r="D89" s="2344">
        <v>2022</v>
      </c>
      <c r="E89" s="2290">
        <v>139</v>
      </c>
      <c r="F89" s="2290">
        <v>139</v>
      </c>
      <c r="G89" s="2290">
        <v>3</v>
      </c>
      <c r="H89" s="2290">
        <v>29</v>
      </c>
      <c r="I89" s="2290">
        <v>66</v>
      </c>
      <c r="J89" s="2290">
        <v>41</v>
      </c>
      <c r="K89" s="2350"/>
      <c r="L89" s="2350"/>
      <c r="M89" s="2360"/>
    </row>
    <row r="90" spans="1:13" s="2324" customFormat="1" ht="15.2" customHeight="1">
      <c r="A90" s="2359"/>
      <c r="B90" s="2346"/>
      <c r="C90" s="2346"/>
      <c r="D90" s="2344">
        <v>2023</v>
      </c>
      <c r="E90" s="2290">
        <v>127</v>
      </c>
      <c r="F90" s="2290">
        <v>127</v>
      </c>
      <c r="G90" s="2290">
        <v>3</v>
      </c>
      <c r="H90" s="2290">
        <v>16</v>
      </c>
      <c r="I90" s="2290">
        <v>65</v>
      </c>
      <c r="J90" s="2290">
        <v>43</v>
      </c>
      <c r="K90" s="2350"/>
      <c r="L90" s="2350"/>
      <c r="M90" s="2360"/>
    </row>
    <row r="91" spans="1:13" s="2324" customFormat="1" ht="15.2" customHeight="1">
      <c r="A91" s="2359"/>
      <c r="B91" s="2346"/>
      <c r="C91" s="2346"/>
      <c r="D91" s="2344">
        <v>2024</v>
      </c>
      <c r="E91" s="2290">
        <v>127</v>
      </c>
      <c r="F91" s="2290">
        <v>127</v>
      </c>
      <c r="G91" s="2290">
        <v>3</v>
      </c>
      <c r="H91" s="2290">
        <v>16</v>
      </c>
      <c r="I91" s="2290">
        <v>65</v>
      </c>
      <c r="J91" s="2290">
        <v>43</v>
      </c>
      <c r="K91" s="2350"/>
      <c r="L91" s="2350"/>
      <c r="M91" s="2360"/>
    </row>
    <row r="92" spans="1:13" s="2324" customFormat="1" ht="15.2" customHeight="1">
      <c r="A92" s="2359"/>
      <c r="B92" s="2346"/>
      <c r="C92" s="2346"/>
      <c r="D92" s="2344"/>
      <c r="E92" s="1605"/>
      <c r="F92" s="2348"/>
      <c r="G92" s="1605"/>
      <c r="H92" s="2348"/>
      <c r="I92" s="1605"/>
      <c r="J92" s="2348"/>
      <c r="K92" s="2351"/>
      <c r="L92" s="2351"/>
      <c r="M92" s="2358"/>
    </row>
    <row r="93" spans="1:13" s="2324" customFormat="1" ht="15.2" customHeight="1">
      <c r="B93" s="2357" t="s">
        <v>1693</v>
      </c>
      <c r="C93" s="2353"/>
      <c r="D93" s="2344">
        <v>2022</v>
      </c>
      <c r="E93" s="2290">
        <v>139</v>
      </c>
      <c r="F93" s="2290">
        <v>139</v>
      </c>
      <c r="G93" s="2290">
        <v>3</v>
      </c>
      <c r="H93" s="2290">
        <v>29</v>
      </c>
      <c r="I93" s="2290">
        <v>66</v>
      </c>
      <c r="J93" s="2290">
        <v>41</v>
      </c>
      <c r="K93" s="2356"/>
      <c r="L93" s="2356"/>
      <c r="M93" s="2355"/>
    </row>
    <row r="94" spans="1:13" s="2155" customFormat="1" ht="15.2" customHeight="1">
      <c r="A94" s="2324"/>
      <c r="B94" s="2352"/>
      <c r="C94" s="2353"/>
      <c r="D94" s="2344">
        <v>2023</v>
      </c>
      <c r="E94" s="2290">
        <v>127</v>
      </c>
      <c r="F94" s="2290">
        <v>127</v>
      </c>
      <c r="G94" s="2290">
        <v>3</v>
      </c>
      <c r="H94" s="2290">
        <v>16</v>
      </c>
      <c r="I94" s="2290">
        <v>65</v>
      </c>
      <c r="J94" s="2290">
        <v>43</v>
      </c>
      <c r="K94" s="2343"/>
      <c r="L94" s="2343"/>
      <c r="M94" s="2354"/>
    </row>
    <row r="95" spans="1:13" s="2155" customFormat="1" ht="15.2" customHeight="1">
      <c r="A95" s="2324"/>
      <c r="B95" s="2352"/>
      <c r="C95" s="2353"/>
      <c r="D95" s="2344">
        <v>2024</v>
      </c>
      <c r="E95" s="2290">
        <v>127</v>
      </c>
      <c r="F95" s="2290">
        <v>127</v>
      </c>
      <c r="G95" s="2290">
        <v>3</v>
      </c>
      <c r="H95" s="2290">
        <v>16</v>
      </c>
      <c r="I95" s="2290">
        <v>65</v>
      </c>
      <c r="J95" s="2290">
        <v>43</v>
      </c>
      <c r="K95" s="2343"/>
      <c r="L95" s="2343"/>
      <c r="M95" s="2341"/>
    </row>
    <row r="96" spans="1:13" s="2155" customFormat="1" ht="15.2" customHeight="1">
      <c r="B96" s="2352"/>
      <c r="C96" s="2353"/>
      <c r="D96" s="2344"/>
      <c r="E96" s="1997"/>
      <c r="F96" s="2348"/>
      <c r="G96" s="1605"/>
      <c r="H96" s="2348"/>
      <c r="I96" s="1605"/>
      <c r="J96" s="2347"/>
      <c r="K96" s="2351"/>
      <c r="L96" s="2351"/>
      <c r="M96" s="2341"/>
    </row>
    <row r="97" spans="2:14" s="2331" customFormat="1" ht="15.2" customHeight="1">
      <c r="B97" s="2352" t="s">
        <v>1709</v>
      </c>
      <c r="C97" s="222"/>
      <c r="D97" s="2344">
        <v>2022</v>
      </c>
      <c r="E97" s="2290">
        <v>139</v>
      </c>
      <c r="F97" s="2290">
        <v>139</v>
      </c>
      <c r="G97" s="2290">
        <v>3</v>
      </c>
      <c r="H97" s="2290">
        <v>29</v>
      </c>
      <c r="I97" s="2290">
        <v>66</v>
      </c>
      <c r="J97" s="2290">
        <v>41</v>
      </c>
      <c r="K97" s="2343"/>
      <c r="L97" s="2343"/>
      <c r="M97" s="2341"/>
      <c r="N97" s="222"/>
    </row>
    <row r="98" spans="2:14" s="2331" customFormat="1" ht="15.2" customHeight="1">
      <c r="B98" s="2291"/>
      <c r="C98" s="222"/>
      <c r="D98" s="2344">
        <v>2023</v>
      </c>
      <c r="E98" s="2290">
        <v>127</v>
      </c>
      <c r="F98" s="2290">
        <v>127</v>
      </c>
      <c r="G98" s="2290">
        <v>3</v>
      </c>
      <c r="H98" s="2290">
        <v>16</v>
      </c>
      <c r="I98" s="2290">
        <v>65</v>
      </c>
      <c r="J98" s="2290">
        <v>43</v>
      </c>
      <c r="K98" s="2343"/>
      <c r="L98" s="2343"/>
      <c r="M98" s="2341"/>
      <c r="N98" s="222"/>
    </row>
    <row r="99" spans="2:14" s="2331" customFormat="1" ht="15.2" customHeight="1">
      <c r="B99" s="2291"/>
      <c r="C99" s="222"/>
      <c r="D99" s="2344">
        <v>2024</v>
      </c>
      <c r="E99" s="2290">
        <v>127</v>
      </c>
      <c r="F99" s="2290">
        <v>127</v>
      </c>
      <c r="G99" s="2290">
        <v>3</v>
      </c>
      <c r="H99" s="2290">
        <v>16</v>
      </c>
      <c r="I99" s="2290">
        <v>65</v>
      </c>
      <c r="J99" s="2290">
        <v>43</v>
      </c>
      <c r="K99" s="2350"/>
      <c r="L99" s="2350"/>
      <c r="M99" s="2341"/>
      <c r="N99" s="222"/>
    </row>
    <row r="100" spans="2:14" s="2331" customFormat="1" ht="15.2" customHeight="1">
      <c r="B100" s="2291"/>
      <c r="C100" s="222"/>
      <c r="D100" s="2344"/>
      <c r="E100" s="1997"/>
      <c r="F100" s="2347"/>
      <c r="G100" s="1605"/>
      <c r="H100" s="2349"/>
      <c r="I100" s="1605"/>
      <c r="J100" s="2347"/>
      <c r="K100" s="2343"/>
      <c r="L100" s="2343"/>
      <c r="M100" s="2341"/>
      <c r="N100" s="222"/>
    </row>
    <row r="101" spans="2:14" s="2331" customFormat="1" ht="15.2" customHeight="1">
      <c r="B101" s="2346" t="s">
        <v>1687</v>
      </c>
      <c r="C101" s="2345"/>
      <c r="D101" s="2344">
        <v>2022</v>
      </c>
      <c r="E101" s="2290">
        <v>139</v>
      </c>
      <c r="F101" s="2290">
        <v>139</v>
      </c>
      <c r="G101" s="2290">
        <v>3</v>
      </c>
      <c r="H101" s="2290">
        <v>29</v>
      </c>
      <c r="I101" s="2290">
        <v>66</v>
      </c>
      <c r="J101" s="2290">
        <v>41</v>
      </c>
      <c r="K101" s="2343"/>
      <c r="L101" s="2343"/>
      <c r="M101" s="2341"/>
      <c r="N101" s="222"/>
    </row>
    <row r="102" spans="2:14" s="2331" customFormat="1" ht="15.2" customHeight="1">
      <c r="B102" s="2345"/>
      <c r="C102" s="2345"/>
      <c r="D102" s="2344">
        <v>2023</v>
      </c>
      <c r="E102" s="2290">
        <v>127</v>
      </c>
      <c r="F102" s="2290">
        <v>127</v>
      </c>
      <c r="G102" s="2290">
        <v>3</v>
      </c>
      <c r="H102" s="2290">
        <v>16</v>
      </c>
      <c r="I102" s="2290">
        <v>65</v>
      </c>
      <c r="J102" s="2290">
        <v>43</v>
      </c>
      <c r="K102" s="2343"/>
      <c r="L102" s="2343"/>
      <c r="M102" s="2341"/>
      <c r="N102" s="222"/>
    </row>
    <row r="103" spans="2:14" s="2331" customFormat="1" ht="15.2" customHeight="1">
      <c r="B103" s="2345"/>
      <c r="C103" s="2345"/>
      <c r="D103" s="2344">
        <v>2024</v>
      </c>
      <c r="E103" s="2290">
        <v>127</v>
      </c>
      <c r="F103" s="2290">
        <v>127</v>
      </c>
      <c r="G103" s="2290">
        <v>3</v>
      </c>
      <c r="H103" s="2290">
        <v>16</v>
      </c>
      <c r="I103" s="2290">
        <v>65</v>
      </c>
      <c r="J103" s="2290">
        <v>43</v>
      </c>
      <c r="K103" s="2343"/>
      <c r="L103" s="2343"/>
      <c r="M103" s="2341"/>
      <c r="N103" s="222"/>
    </row>
    <row r="104" spans="2:14" s="2331" customFormat="1" ht="15.2" customHeight="1">
      <c r="B104" s="2291"/>
      <c r="C104" s="222"/>
      <c r="D104" s="2344"/>
      <c r="E104" s="1605"/>
      <c r="F104" s="2348"/>
      <c r="G104" s="1605"/>
      <c r="H104" s="2348"/>
      <c r="I104" s="1605"/>
      <c r="J104" s="2348"/>
      <c r="K104" s="2343"/>
      <c r="L104" s="2343"/>
      <c r="M104" s="2341"/>
      <c r="N104" s="222"/>
    </row>
    <row r="105" spans="2:14" s="2331" customFormat="1" ht="15.2" customHeight="1">
      <c r="B105" s="2346" t="s">
        <v>1685</v>
      </c>
      <c r="C105" s="2345"/>
      <c r="D105" s="2344">
        <v>2022</v>
      </c>
      <c r="E105" s="2290">
        <v>139</v>
      </c>
      <c r="F105" s="2290">
        <v>139</v>
      </c>
      <c r="G105" s="2290">
        <v>3</v>
      </c>
      <c r="H105" s="2290">
        <v>29</v>
      </c>
      <c r="I105" s="2290">
        <v>66</v>
      </c>
      <c r="J105" s="2290">
        <v>41</v>
      </c>
      <c r="K105" s="2343"/>
      <c r="L105" s="2343"/>
      <c r="M105" s="2341"/>
      <c r="N105" s="222"/>
    </row>
    <row r="106" spans="2:14" s="2331" customFormat="1" ht="15.2" customHeight="1">
      <c r="B106" s="2345"/>
      <c r="C106" s="2345"/>
      <c r="D106" s="2344">
        <v>2023</v>
      </c>
      <c r="E106" s="2290">
        <v>127</v>
      </c>
      <c r="F106" s="2290">
        <v>127</v>
      </c>
      <c r="G106" s="2290">
        <v>3</v>
      </c>
      <c r="H106" s="2290">
        <v>16</v>
      </c>
      <c r="I106" s="2290">
        <v>65</v>
      </c>
      <c r="J106" s="2290">
        <v>43</v>
      </c>
      <c r="K106" s="2343"/>
      <c r="L106" s="2343"/>
      <c r="M106" s="2341"/>
      <c r="N106" s="222"/>
    </row>
    <row r="107" spans="2:14" s="2331" customFormat="1" ht="15.2" customHeight="1">
      <c r="B107" s="2345"/>
      <c r="C107" s="2345"/>
      <c r="D107" s="2344">
        <v>2024</v>
      </c>
      <c r="E107" s="2290">
        <v>127</v>
      </c>
      <c r="F107" s="2290">
        <v>127</v>
      </c>
      <c r="G107" s="2290">
        <v>3</v>
      </c>
      <c r="H107" s="2290">
        <v>16</v>
      </c>
      <c r="I107" s="2290">
        <v>65</v>
      </c>
      <c r="J107" s="2290">
        <v>43</v>
      </c>
      <c r="K107" s="2343"/>
      <c r="L107" s="2343"/>
      <c r="M107" s="2341"/>
      <c r="N107" s="222"/>
    </row>
    <row r="108" spans="2:14" s="2331" customFormat="1" ht="15.2" customHeight="1">
      <c r="B108" s="2291"/>
      <c r="C108" s="222"/>
      <c r="D108" s="2344"/>
      <c r="E108" s="1997"/>
      <c r="F108" s="2348"/>
      <c r="G108" s="1605"/>
      <c r="H108" s="2348"/>
      <c r="I108" s="1605"/>
      <c r="J108" s="2347"/>
      <c r="K108" s="2343"/>
      <c r="L108" s="2343"/>
      <c r="M108" s="2341"/>
      <c r="N108" s="222"/>
    </row>
    <row r="109" spans="2:14" s="2331" customFormat="1" ht="15.2" customHeight="1">
      <c r="B109" s="2346" t="s">
        <v>1715</v>
      </c>
      <c r="C109" s="2345"/>
      <c r="D109" s="2344">
        <v>2022</v>
      </c>
      <c r="E109" s="2290">
        <v>139</v>
      </c>
      <c r="F109" s="2290">
        <v>139</v>
      </c>
      <c r="G109" s="2290">
        <v>3</v>
      </c>
      <c r="H109" s="2290">
        <v>29</v>
      </c>
      <c r="I109" s="2290">
        <v>66</v>
      </c>
      <c r="J109" s="2290">
        <v>41</v>
      </c>
      <c r="K109" s="2343"/>
      <c r="L109" s="2343"/>
      <c r="M109" s="2341"/>
      <c r="N109" s="222"/>
    </row>
    <row r="110" spans="2:14" s="2331" customFormat="1" ht="15.2" customHeight="1">
      <c r="B110" s="2345"/>
      <c r="C110" s="2345"/>
      <c r="D110" s="2344">
        <v>2023</v>
      </c>
      <c r="E110" s="2290">
        <v>127</v>
      </c>
      <c r="F110" s="2290">
        <v>127</v>
      </c>
      <c r="G110" s="2290">
        <v>3</v>
      </c>
      <c r="H110" s="2290">
        <v>16</v>
      </c>
      <c r="I110" s="2290">
        <v>65</v>
      </c>
      <c r="J110" s="2290">
        <v>43</v>
      </c>
      <c r="K110" s="2343"/>
      <c r="L110" s="2343"/>
      <c r="M110" s="2341"/>
      <c r="N110" s="222"/>
    </row>
    <row r="111" spans="2:14" s="2331" customFormat="1" ht="15.2" customHeight="1">
      <c r="B111" s="2345"/>
      <c r="C111" s="2345"/>
      <c r="D111" s="2344">
        <v>2024</v>
      </c>
      <c r="E111" s="2290">
        <v>127</v>
      </c>
      <c r="F111" s="2290">
        <v>127</v>
      </c>
      <c r="G111" s="2290">
        <v>3</v>
      </c>
      <c r="H111" s="2290">
        <v>16</v>
      </c>
      <c r="I111" s="2290">
        <v>65</v>
      </c>
      <c r="J111" s="2290">
        <v>43</v>
      </c>
      <c r="K111" s="2343"/>
      <c r="L111" s="2343"/>
      <c r="M111" s="2341"/>
      <c r="N111" s="222"/>
    </row>
    <row r="112" spans="2:14" s="2331" customFormat="1" ht="15.2" customHeight="1">
      <c r="B112" s="2345"/>
      <c r="C112" s="2345"/>
      <c r="D112" s="2344"/>
      <c r="E112" s="1997"/>
      <c r="F112" s="2347"/>
      <c r="G112" s="1605"/>
      <c r="H112" s="2349"/>
      <c r="I112" s="1605"/>
      <c r="J112" s="2347"/>
      <c r="K112" s="2343"/>
      <c r="L112" s="2343"/>
      <c r="M112" s="2341"/>
      <c r="N112" s="222"/>
    </row>
    <row r="113" spans="2:14" s="2331" customFormat="1" ht="15.2" customHeight="1">
      <c r="B113" s="2346" t="s">
        <v>1865</v>
      </c>
      <c r="C113" s="2345"/>
      <c r="D113" s="2344">
        <v>2022</v>
      </c>
      <c r="E113" s="2290">
        <v>139</v>
      </c>
      <c r="F113" s="2290">
        <v>139</v>
      </c>
      <c r="G113" s="2290">
        <v>3</v>
      </c>
      <c r="H113" s="2290">
        <v>29</v>
      </c>
      <c r="I113" s="2290">
        <v>66</v>
      </c>
      <c r="J113" s="2290">
        <v>41</v>
      </c>
      <c r="K113" s="2343"/>
      <c r="L113" s="2343"/>
      <c r="M113" s="2341"/>
      <c r="N113" s="222"/>
    </row>
    <row r="114" spans="2:14" s="2331" customFormat="1" ht="15.2" customHeight="1">
      <c r="B114" s="2345"/>
      <c r="C114" s="2345"/>
      <c r="D114" s="2344">
        <v>2023</v>
      </c>
      <c r="E114" s="2290">
        <v>127</v>
      </c>
      <c r="F114" s="2290">
        <v>127</v>
      </c>
      <c r="G114" s="2290">
        <v>3</v>
      </c>
      <c r="H114" s="2290">
        <v>16</v>
      </c>
      <c r="I114" s="2290">
        <v>65</v>
      </c>
      <c r="J114" s="2290">
        <v>43</v>
      </c>
      <c r="K114" s="2343"/>
      <c r="L114" s="2343"/>
      <c r="M114" s="2341"/>
      <c r="N114" s="222"/>
    </row>
    <row r="115" spans="2:14" s="2331" customFormat="1" ht="15.2" customHeight="1">
      <c r="B115" s="2345"/>
      <c r="C115" s="2345"/>
      <c r="D115" s="2344">
        <v>2024</v>
      </c>
      <c r="E115" s="2290">
        <v>127</v>
      </c>
      <c r="F115" s="2290">
        <v>127</v>
      </c>
      <c r="G115" s="2290">
        <v>3</v>
      </c>
      <c r="H115" s="2290">
        <v>16</v>
      </c>
      <c r="I115" s="2290">
        <v>65</v>
      </c>
      <c r="J115" s="2290">
        <v>43</v>
      </c>
      <c r="K115" s="2343"/>
      <c r="L115" s="2343"/>
      <c r="M115" s="2341"/>
      <c r="N115" s="222"/>
    </row>
    <row r="116" spans="2:14" s="2331" customFormat="1" ht="15.2" customHeight="1">
      <c r="B116" s="2345"/>
      <c r="C116" s="2345"/>
      <c r="D116" s="2344"/>
      <c r="E116" s="1605"/>
      <c r="F116" s="2348"/>
      <c r="G116" s="1605"/>
      <c r="H116" s="2348"/>
      <c r="I116" s="1605"/>
      <c r="J116" s="2348"/>
      <c r="K116" s="2343"/>
      <c r="L116" s="2343"/>
      <c r="M116" s="2341"/>
      <c r="N116" s="222"/>
    </row>
    <row r="117" spans="2:14" s="2331" customFormat="1" ht="15.2" customHeight="1">
      <c r="B117" s="2346" t="s">
        <v>1718</v>
      </c>
      <c r="C117" s="2345"/>
      <c r="D117" s="2344">
        <v>2022</v>
      </c>
      <c r="E117" s="2290">
        <v>139</v>
      </c>
      <c r="F117" s="2290">
        <v>139</v>
      </c>
      <c r="G117" s="2290">
        <v>3</v>
      </c>
      <c r="H117" s="2290">
        <v>29</v>
      </c>
      <c r="I117" s="2290">
        <v>66</v>
      </c>
      <c r="J117" s="2290">
        <v>41</v>
      </c>
      <c r="K117" s="2343"/>
      <c r="L117" s="2343"/>
      <c r="M117" s="2341"/>
      <c r="N117" s="222"/>
    </row>
    <row r="118" spans="2:14" s="2331" customFormat="1" ht="15.2" customHeight="1">
      <c r="B118" s="2345"/>
      <c r="C118" s="2345"/>
      <c r="D118" s="2344">
        <v>2023</v>
      </c>
      <c r="E118" s="2290">
        <v>127</v>
      </c>
      <c r="F118" s="2290">
        <v>127</v>
      </c>
      <c r="G118" s="2290">
        <v>3</v>
      </c>
      <c r="H118" s="2290">
        <v>16</v>
      </c>
      <c r="I118" s="2290">
        <v>65</v>
      </c>
      <c r="J118" s="2290">
        <v>43</v>
      </c>
      <c r="K118" s="2343"/>
      <c r="L118" s="2343"/>
      <c r="M118" s="2341"/>
      <c r="N118" s="222"/>
    </row>
    <row r="119" spans="2:14" s="2331" customFormat="1" ht="15.2" customHeight="1">
      <c r="B119" s="2345"/>
      <c r="C119" s="2345"/>
      <c r="D119" s="2344">
        <v>2024</v>
      </c>
      <c r="E119" s="2290">
        <v>127</v>
      </c>
      <c r="F119" s="2290">
        <v>127</v>
      </c>
      <c r="G119" s="2290">
        <v>3</v>
      </c>
      <c r="H119" s="2290">
        <v>16</v>
      </c>
      <c r="I119" s="2290">
        <v>65</v>
      </c>
      <c r="J119" s="2290">
        <v>43</v>
      </c>
      <c r="K119" s="2343"/>
      <c r="L119" s="2343"/>
      <c r="M119" s="2341"/>
      <c r="N119" s="222"/>
    </row>
    <row r="120" spans="2:14" s="2331" customFormat="1" ht="15.2" customHeight="1">
      <c r="B120" s="2345"/>
      <c r="C120" s="2345"/>
      <c r="D120" s="2344"/>
      <c r="E120" s="1997"/>
      <c r="F120" s="2348"/>
      <c r="G120" s="1605"/>
      <c r="H120" s="2348"/>
      <c r="I120" s="1605"/>
      <c r="J120" s="2347"/>
      <c r="K120" s="2343"/>
      <c r="L120" s="2343"/>
      <c r="M120" s="2341"/>
      <c r="N120" s="222"/>
    </row>
    <row r="121" spans="2:14" s="2331" customFormat="1" ht="15.2" customHeight="1">
      <c r="B121" s="2346" t="s">
        <v>1864</v>
      </c>
      <c r="C121" s="2345"/>
      <c r="D121" s="2344">
        <v>2022</v>
      </c>
      <c r="E121" s="2290">
        <v>139</v>
      </c>
      <c r="F121" s="2290">
        <v>139</v>
      </c>
      <c r="G121" s="2290">
        <v>3</v>
      </c>
      <c r="H121" s="2290">
        <v>29</v>
      </c>
      <c r="I121" s="2290">
        <v>66</v>
      </c>
      <c r="J121" s="2290">
        <v>41</v>
      </c>
      <c r="K121" s="2343"/>
      <c r="L121" s="2343"/>
      <c r="M121" s="2341"/>
      <c r="N121" s="222"/>
    </row>
    <row r="122" spans="2:14" s="2331" customFormat="1" ht="15.2" customHeight="1">
      <c r="B122" s="2345"/>
      <c r="C122" s="2345"/>
      <c r="D122" s="2344">
        <v>2023</v>
      </c>
      <c r="E122" s="2290">
        <v>127</v>
      </c>
      <c r="F122" s="2290">
        <v>127</v>
      </c>
      <c r="G122" s="2290">
        <v>3</v>
      </c>
      <c r="H122" s="2290">
        <v>16</v>
      </c>
      <c r="I122" s="2290">
        <v>65</v>
      </c>
      <c r="J122" s="2290">
        <v>43</v>
      </c>
      <c r="K122" s="2343"/>
      <c r="L122" s="2343"/>
      <c r="M122" s="2341"/>
      <c r="N122" s="222"/>
    </row>
    <row r="123" spans="2:14" s="2331" customFormat="1" ht="15.2" customHeight="1">
      <c r="B123" s="2345"/>
      <c r="C123" s="2345"/>
      <c r="D123" s="2344">
        <v>2024</v>
      </c>
      <c r="E123" s="2290">
        <v>127</v>
      </c>
      <c r="F123" s="2290">
        <v>127</v>
      </c>
      <c r="G123" s="2290">
        <v>3</v>
      </c>
      <c r="H123" s="2290">
        <v>16</v>
      </c>
      <c r="I123" s="2290">
        <v>65</v>
      </c>
      <c r="J123" s="2290">
        <v>43</v>
      </c>
      <c r="K123" s="2343"/>
      <c r="L123" s="2343"/>
      <c r="M123" s="2341"/>
      <c r="N123" s="222"/>
    </row>
    <row r="124" spans="2:14" s="2331" customFormat="1" ht="15.2" customHeight="1">
      <c r="B124" s="2345"/>
      <c r="C124" s="2345"/>
      <c r="D124" s="2344"/>
      <c r="E124" s="1997"/>
      <c r="F124" s="2347"/>
      <c r="G124" s="2313"/>
      <c r="H124" s="2347"/>
      <c r="I124" s="1605"/>
      <c r="J124" s="2347"/>
      <c r="K124" s="2343"/>
      <c r="L124" s="2343"/>
      <c r="M124" s="2341"/>
      <c r="N124" s="222"/>
    </row>
    <row r="125" spans="2:14" s="2331" customFormat="1" ht="15.2" customHeight="1">
      <c r="B125" s="2346" t="s">
        <v>1587</v>
      </c>
      <c r="C125" s="2345"/>
      <c r="D125" s="2344">
        <v>2022</v>
      </c>
      <c r="E125" s="2290">
        <v>139</v>
      </c>
      <c r="F125" s="2290">
        <v>139</v>
      </c>
      <c r="G125" s="2290">
        <v>3</v>
      </c>
      <c r="H125" s="2290">
        <v>29</v>
      </c>
      <c r="I125" s="2290">
        <v>66</v>
      </c>
      <c r="J125" s="2290">
        <v>41</v>
      </c>
      <c r="K125" s="2343"/>
      <c r="L125" s="2343"/>
      <c r="M125" s="2341"/>
      <c r="N125" s="222"/>
    </row>
    <row r="126" spans="2:14" s="2331" customFormat="1" ht="15.2" customHeight="1">
      <c r="B126" s="2345"/>
      <c r="C126" s="2345"/>
      <c r="D126" s="2344">
        <v>2023</v>
      </c>
      <c r="E126" s="2290">
        <v>127</v>
      </c>
      <c r="F126" s="2290">
        <v>127</v>
      </c>
      <c r="G126" s="2290">
        <v>3</v>
      </c>
      <c r="H126" s="2290">
        <v>16</v>
      </c>
      <c r="I126" s="2290">
        <v>65</v>
      </c>
      <c r="J126" s="2290">
        <v>43</v>
      </c>
      <c r="K126" s="2343"/>
      <c r="L126" s="2343"/>
      <c r="M126" s="2341"/>
      <c r="N126" s="222"/>
    </row>
    <row r="127" spans="2:14" s="2331" customFormat="1" ht="15.2" customHeight="1">
      <c r="B127" s="2345"/>
      <c r="C127" s="2345"/>
      <c r="D127" s="2344">
        <v>2024</v>
      </c>
      <c r="E127" s="2290">
        <v>127</v>
      </c>
      <c r="F127" s="2290">
        <v>127</v>
      </c>
      <c r="G127" s="2290">
        <v>3</v>
      </c>
      <c r="H127" s="2290">
        <v>16</v>
      </c>
      <c r="I127" s="2290">
        <v>65</v>
      </c>
      <c r="J127" s="2290">
        <v>43</v>
      </c>
      <c r="K127" s="2343"/>
      <c r="L127" s="2343"/>
      <c r="M127" s="2341"/>
      <c r="N127" s="222"/>
    </row>
    <row r="128" spans="2:14" s="2331" customFormat="1" ht="13.5">
      <c r="B128" s="2340"/>
      <c r="C128" s="2399"/>
      <c r="D128" s="2338"/>
      <c r="E128" s="2293"/>
      <c r="F128" s="2293"/>
      <c r="G128" s="2293"/>
      <c r="H128" s="2293"/>
      <c r="I128" s="2293"/>
      <c r="J128" s="2293"/>
    </row>
    <row r="129" spans="1:13" s="2331" customFormat="1" ht="14.25" thickBot="1">
      <c r="A129" s="2332"/>
      <c r="B129" s="2398"/>
      <c r="C129" s="2398"/>
      <c r="D129" s="2397"/>
      <c r="E129" s="2396"/>
      <c r="F129" s="2396"/>
      <c r="G129" s="2396"/>
      <c r="H129" s="2396"/>
      <c r="I129" s="2396"/>
      <c r="J129" s="2396"/>
      <c r="K129" s="2332"/>
    </row>
    <row r="130" spans="1:13" s="2324" customFormat="1" ht="14.25">
      <c r="B130" s="2330"/>
      <c r="C130" s="2330"/>
      <c r="D130" s="2329"/>
      <c r="E130" s="2395"/>
      <c r="F130" s="2326"/>
      <c r="G130" s="2326"/>
      <c r="H130" s="2394"/>
      <c r="I130" s="2326"/>
      <c r="K130" s="2328" t="s">
        <v>241</v>
      </c>
    </row>
    <row r="131" spans="1:13" s="2324" customFormat="1" ht="14.25">
      <c r="B131" s="2330"/>
      <c r="C131" s="2330"/>
      <c r="D131" s="2329"/>
      <c r="E131" s="2395"/>
      <c r="F131" s="2326"/>
      <c r="G131" s="2326"/>
      <c r="H131" s="2394"/>
      <c r="I131" s="2326"/>
      <c r="K131" s="2325" t="s">
        <v>242</v>
      </c>
    </row>
    <row r="132" spans="1:13" s="2331" customFormat="1" ht="13.5">
      <c r="B132" s="2353"/>
      <c r="C132" s="2353"/>
      <c r="D132" s="2338"/>
      <c r="E132" s="2406"/>
      <c r="F132" s="2361"/>
      <c r="G132" s="2361"/>
      <c r="H132" s="2405"/>
      <c r="I132" s="2361"/>
    </row>
    <row r="133" spans="1:13" s="2331" customFormat="1" ht="13.5">
      <c r="B133" s="2353"/>
      <c r="C133" s="2353"/>
      <c r="D133" s="2338"/>
      <c r="E133" s="2406"/>
      <c r="F133" s="2361"/>
      <c r="G133" s="2361"/>
      <c r="H133" s="2405"/>
      <c r="I133" s="2361"/>
    </row>
    <row r="134" spans="1:13" s="2381" customFormat="1" ht="17.25" customHeight="1">
      <c r="B134" s="2413" t="s">
        <v>1898</v>
      </c>
      <c r="C134" s="2382" t="s">
        <v>2002</v>
      </c>
      <c r="D134" s="2383"/>
      <c r="E134" s="2413"/>
      <c r="F134" s="2382"/>
      <c r="G134" s="2382"/>
      <c r="H134" s="2382"/>
      <c r="I134" s="2382"/>
      <c r="J134" s="2382"/>
      <c r="K134" s="2412"/>
    </row>
    <row r="135" spans="1:13" s="2409" customFormat="1" ht="17.25" customHeight="1">
      <c r="B135" s="2380" t="s">
        <v>1897</v>
      </c>
      <c r="C135" s="2379" t="s">
        <v>2003</v>
      </c>
      <c r="D135" s="2411"/>
      <c r="E135" s="2384"/>
      <c r="F135" s="2379"/>
      <c r="G135" s="2379"/>
      <c r="H135" s="2379"/>
      <c r="I135" s="2379"/>
      <c r="J135" s="2379"/>
      <c r="K135" s="2410"/>
    </row>
    <row r="136" spans="1:13" s="2331" customFormat="1" ht="14.25" thickBot="1">
      <c r="A136" s="2332"/>
      <c r="B136" s="2377"/>
      <c r="C136" s="2377"/>
      <c r="D136" s="2334"/>
      <c r="E136" s="2408"/>
      <c r="F136" s="2373"/>
      <c r="G136" s="2373"/>
      <c r="H136" s="2407"/>
      <c r="I136" s="2373"/>
      <c r="J136" s="2332"/>
      <c r="K136" s="2332"/>
    </row>
    <row r="137" spans="1:13" s="2331" customFormat="1" ht="13.5">
      <c r="B137" s="2353"/>
      <c r="C137" s="2353"/>
      <c r="D137" s="2338"/>
      <c r="E137" s="2406"/>
      <c r="F137" s="2361"/>
      <c r="G137" s="2361"/>
      <c r="H137" s="2405"/>
      <c r="I137" s="2361"/>
    </row>
    <row r="138" spans="1:13" s="2331" customFormat="1" ht="26.25" thickBot="1">
      <c r="B138" s="2892" t="s">
        <v>1888</v>
      </c>
      <c r="C138" s="2892"/>
      <c r="D138" s="2370" t="s">
        <v>239</v>
      </c>
      <c r="E138" s="2896" t="s">
        <v>240</v>
      </c>
      <c r="F138" s="2896" t="s">
        <v>1896</v>
      </c>
      <c r="G138" s="2902" t="s">
        <v>1895</v>
      </c>
      <c r="H138" s="2902"/>
      <c r="I138" s="2902"/>
      <c r="J138" s="2896" t="s">
        <v>1894</v>
      </c>
    </row>
    <row r="139" spans="1:13" s="2390" customFormat="1" ht="64.5" thickBot="1">
      <c r="A139" s="2403"/>
      <c r="B139" s="2893"/>
      <c r="C139" s="2893"/>
      <c r="D139" s="2404"/>
      <c r="E139" s="2897"/>
      <c r="F139" s="2897"/>
      <c r="G139" s="2366" t="s">
        <v>1893</v>
      </c>
      <c r="H139" s="2366" t="s">
        <v>1892</v>
      </c>
      <c r="I139" s="2366" t="s">
        <v>1891</v>
      </c>
      <c r="J139" s="2897"/>
      <c r="K139" s="2403"/>
    </row>
    <row r="140" spans="1:13" s="2390" customFormat="1" ht="13.5">
      <c r="B140" s="2402"/>
      <c r="C140" s="2402"/>
      <c r="D140" s="2401"/>
      <c r="E140" s="2369"/>
      <c r="F140" s="2400"/>
      <c r="G140" s="2369"/>
      <c r="H140" s="2369"/>
      <c r="I140" s="2369"/>
      <c r="J140" s="2369"/>
    </row>
    <row r="141" spans="1:13" s="2331" customFormat="1" ht="15.2" customHeight="1">
      <c r="A141" s="2359"/>
      <c r="B141" s="2352" t="s">
        <v>1583</v>
      </c>
      <c r="C141" s="222"/>
      <c r="D141" s="2344">
        <v>2022</v>
      </c>
      <c r="E141" s="2290">
        <v>139</v>
      </c>
      <c r="F141" s="2290">
        <v>139</v>
      </c>
      <c r="G141" s="2290">
        <v>3</v>
      </c>
      <c r="H141" s="2290">
        <v>29</v>
      </c>
      <c r="I141" s="2290">
        <v>66</v>
      </c>
      <c r="J141" s="2290">
        <v>41</v>
      </c>
      <c r="K141" s="2356"/>
      <c r="L141" s="2356"/>
      <c r="M141" s="2360"/>
    </row>
    <row r="142" spans="1:13" s="2331" customFormat="1" ht="15.2" customHeight="1">
      <c r="A142" s="2359"/>
      <c r="B142" s="2357"/>
      <c r="C142" s="222"/>
      <c r="D142" s="2344">
        <v>2023</v>
      </c>
      <c r="E142" s="2290">
        <v>127</v>
      </c>
      <c r="F142" s="2290">
        <v>127</v>
      </c>
      <c r="G142" s="2290">
        <v>3</v>
      </c>
      <c r="H142" s="2290">
        <v>16</v>
      </c>
      <c r="I142" s="2290">
        <v>65</v>
      </c>
      <c r="J142" s="2290">
        <v>43</v>
      </c>
      <c r="K142" s="2356"/>
      <c r="L142" s="2356"/>
      <c r="M142" s="2360"/>
    </row>
    <row r="143" spans="1:13" s="2331" customFormat="1" ht="15.2" customHeight="1">
      <c r="A143" s="2359"/>
      <c r="B143" s="2357"/>
      <c r="C143" s="222"/>
      <c r="D143" s="2344">
        <v>2024</v>
      </c>
      <c r="E143" s="2290">
        <v>127</v>
      </c>
      <c r="F143" s="2290">
        <v>127</v>
      </c>
      <c r="G143" s="2290">
        <v>3</v>
      </c>
      <c r="H143" s="2290">
        <v>16</v>
      </c>
      <c r="I143" s="2290">
        <v>65</v>
      </c>
      <c r="J143" s="2290">
        <v>43</v>
      </c>
      <c r="K143" s="2351"/>
      <c r="L143" s="2350"/>
      <c r="M143" s="2360"/>
    </row>
    <row r="144" spans="1:13" s="2331" customFormat="1" ht="15.2" customHeight="1">
      <c r="A144" s="2359"/>
      <c r="B144" s="2357"/>
      <c r="C144" s="222"/>
      <c r="D144" s="2344"/>
      <c r="E144" s="1605"/>
      <c r="F144" s="2348"/>
      <c r="G144" s="1605"/>
      <c r="H144" s="2348"/>
      <c r="I144" s="1605"/>
      <c r="J144" s="2348"/>
      <c r="K144" s="2356"/>
      <c r="L144" s="2356"/>
      <c r="M144" s="2360"/>
    </row>
    <row r="145" spans="1:13" s="2331" customFormat="1" ht="15.2" customHeight="1">
      <c r="A145" s="2359"/>
      <c r="B145" s="2291" t="s">
        <v>1708</v>
      </c>
      <c r="C145" s="222"/>
      <c r="D145" s="2344">
        <v>2022</v>
      </c>
      <c r="E145" s="2290">
        <v>139</v>
      </c>
      <c r="F145" s="2290">
        <v>139</v>
      </c>
      <c r="G145" s="2290">
        <v>3</v>
      </c>
      <c r="H145" s="2290">
        <v>29</v>
      </c>
      <c r="I145" s="2290">
        <v>66</v>
      </c>
      <c r="J145" s="2290">
        <v>41</v>
      </c>
      <c r="K145" s="2356"/>
      <c r="L145" s="2356"/>
      <c r="M145" s="2360"/>
    </row>
    <row r="146" spans="1:13" s="2331" customFormat="1" ht="15.2" customHeight="1">
      <c r="A146" s="2359"/>
      <c r="B146" s="2291"/>
      <c r="C146" s="222"/>
      <c r="D146" s="2344">
        <v>2023</v>
      </c>
      <c r="E146" s="2290">
        <v>127</v>
      </c>
      <c r="F146" s="2290">
        <v>127</v>
      </c>
      <c r="G146" s="2290">
        <v>3</v>
      </c>
      <c r="H146" s="2290">
        <v>16</v>
      </c>
      <c r="I146" s="2290">
        <v>65</v>
      </c>
      <c r="J146" s="2290">
        <v>43</v>
      </c>
      <c r="K146" s="2342"/>
      <c r="L146" s="2343"/>
      <c r="M146" s="2360"/>
    </row>
    <row r="147" spans="1:13" s="2331" customFormat="1" ht="15.2" customHeight="1">
      <c r="A147" s="2359"/>
      <c r="B147" s="2291"/>
      <c r="C147" s="222"/>
      <c r="D147" s="2344">
        <v>2024</v>
      </c>
      <c r="E147" s="2290">
        <v>127</v>
      </c>
      <c r="F147" s="2290">
        <v>127</v>
      </c>
      <c r="G147" s="2290">
        <v>3</v>
      </c>
      <c r="H147" s="2290">
        <v>16</v>
      </c>
      <c r="I147" s="2290">
        <v>65</v>
      </c>
      <c r="J147" s="2290">
        <v>43</v>
      </c>
      <c r="K147" s="2351"/>
      <c r="L147" s="2350"/>
      <c r="M147" s="2360"/>
    </row>
    <row r="148" spans="1:13" s="2331" customFormat="1" ht="15.2" customHeight="1">
      <c r="A148" s="2359"/>
      <c r="B148" s="2291"/>
      <c r="C148" s="222"/>
      <c r="D148" s="2344"/>
      <c r="E148" s="1997"/>
      <c r="F148" s="2348"/>
      <c r="G148" s="1605"/>
      <c r="H148" s="2348"/>
      <c r="I148" s="1605"/>
      <c r="J148" s="2347"/>
      <c r="K148" s="2342"/>
      <c r="L148" s="2343"/>
      <c r="M148" s="2360"/>
    </row>
    <row r="149" spans="1:13" s="2331" customFormat="1" ht="15.2" customHeight="1">
      <c r="A149" s="2359"/>
      <c r="B149" s="2346" t="s">
        <v>1694</v>
      </c>
      <c r="C149" s="2345"/>
      <c r="D149" s="2344">
        <v>2022</v>
      </c>
      <c r="E149" s="2290">
        <v>139</v>
      </c>
      <c r="F149" s="2290">
        <v>139</v>
      </c>
      <c r="G149" s="2290">
        <v>3</v>
      </c>
      <c r="H149" s="2290">
        <v>29</v>
      </c>
      <c r="I149" s="2290">
        <v>66</v>
      </c>
      <c r="J149" s="2290">
        <v>41</v>
      </c>
      <c r="K149" s="2356"/>
      <c r="L149" s="2356"/>
      <c r="M149" s="2360"/>
    </row>
    <row r="150" spans="1:13" s="2331" customFormat="1" ht="15.2" customHeight="1">
      <c r="A150" s="2359"/>
      <c r="B150" s="2345"/>
      <c r="C150" s="2345"/>
      <c r="D150" s="2344">
        <v>2023</v>
      </c>
      <c r="E150" s="2290">
        <v>127</v>
      </c>
      <c r="F150" s="2290">
        <v>127</v>
      </c>
      <c r="G150" s="2290">
        <v>3</v>
      </c>
      <c r="H150" s="2290">
        <v>16</v>
      </c>
      <c r="I150" s="2290">
        <v>65</v>
      </c>
      <c r="J150" s="2290">
        <v>43</v>
      </c>
      <c r="K150" s="2351"/>
      <c r="L150" s="2351"/>
      <c r="M150" s="2360"/>
    </row>
    <row r="151" spans="1:13" s="2331" customFormat="1" ht="15.2" customHeight="1">
      <c r="A151" s="2359"/>
      <c r="B151" s="2345"/>
      <c r="C151" s="2345"/>
      <c r="D151" s="2344">
        <v>2024</v>
      </c>
      <c r="E151" s="2290">
        <v>127</v>
      </c>
      <c r="F151" s="2290">
        <v>127</v>
      </c>
      <c r="G151" s="2290">
        <v>3</v>
      </c>
      <c r="H151" s="2290">
        <v>16</v>
      </c>
      <c r="I151" s="2290">
        <v>65</v>
      </c>
      <c r="J151" s="2290">
        <v>43</v>
      </c>
      <c r="K151" s="2351"/>
      <c r="L151" s="2350"/>
      <c r="M151" s="2360"/>
    </row>
    <row r="152" spans="1:13" s="2331" customFormat="1" ht="15.2" customHeight="1">
      <c r="A152" s="2359"/>
      <c r="B152" s="2345"/>
      <c r="C152" s="2345"/>
      <c r="D152" s="2344"/>
      <c r="E152" s="1997"/>
      <c r="F152" s="2347"/>
      <c r="G152" s="1605"/>
      <c r="H152" s="2349"/>
      <c r="I152" s="1605"/>
      <c r="J152" s="2347"/>
      <c r="K152" s="2342"/>
      <c r="L152" s="2343"/>
      <c r="M152" s="2360"/>
    </row>
    <row r="153" spans="1:13" s="2331" customFormat="1" ht="15.2" customHeight="1">
      <c r="A153" s="2359"/>
      <c r="B153" s="2346" t="s">
        <v>1873</v>
      </c>
      <c r="C153" s="2346"/>
      <c r="D153" s="2344">
        <v>2022</v>
      </c>
      <c r="E153" s="2290">
        <v>139</v>
      </c>
      <c r="F153" s="2290">
        <v>139</v>
      </c>
      <c r="G153" s="2290">
        <v>3</v>
      </c>
      <c r="H153" s="2290">
        <v>29</v>
      </c>
      <c r="I153" s="2290">
        <v>66</v>
      </c>
      <c r="J153" s="2290">
        <v>41</v>
      </c>
      <c r="K153" s="2351"/>
      <c r="L153" s="2350"/>
      <c r="M153" s="2360"/>
    </row>
    <row r="154" spans="1:13" s="2324" customFormat="1" ht="15.2" customHeight="1">
      <c r="A154" s="2359"/>
      <c r="B154" s="2346"/>
      <c r="C154" s="2346"/>
      <c r="D154" s="2344">
        <v>2023</v>
      </c>
      <c r="E154" s="2290">
        <v>127</v>
      </c>
      <c r="F154" s="2290">
        <v>127</v>
      </c>
      <c r="G154" s="2290">
        <v>3</v>
      </c>
      <c r="H154" s="2290">
        <v>16</v>
      </c>
      <c r="I154" s="2290">
        <v>65</v>
      </c>
      <c r="J154" s="2290">
        <v>43</v>
      </c>
      <c r="K154" s="2351"/>
      <c r="L154" s="2350"/>
      <c r="M154" s="2360"/>
    </row>
    <row r="155" spans="1:13" s="2324" customFormat="1" ht="15.2" customHeight="1">
      <c r="A155" s="2359"/>
      <c r="B155" s="2346"/>
      <c r="C155" s="2346"/>
      <c r="D155" s="2344">
        <v>2024</v>
      </c>
      <c r="E155" s="2290">
        <v>127</v>
      </c>
      <c r="F155" s="2290">
        <v>127</v>
      </c>
      <c r="G155" s="2290">
        <v>3</v>
      </c>
      <c r="H155" s="2290">
        <v>16</v>
      </c>
      <c r="I155" s="2290">
        <v>65</v>
      </c>
      <c r="J155" s="2290">
        <v>43</v>
      </c>
      <c r="K155" s="2351"/>
      <c r="L155" s="2350"/>
      <c r="M155" s="2360"/>
    </row>
    <row r="156" spans="1:13" s="2324" customFormat="1" ht="15.2" customHeight="1">
      <c r="A156" s="2359"/>
      <c r="B156" s="2346"/>
      <c r="C156" s="2346"/>
      <c r="D156" s="2344"/>
      <c r="E156" s="1605"/>
      <c r="F156" s="2348"/>
      <c r="G156" s="1605"/>
      <c r="H156" s="2348"/>
      <c r="I156" s="1605"/>
      <c r="J156" s="2348"/>
      <c r="K156" s="2351"/>
      <c r="L156" s="2351"/>
      <c r="M156" s="2358"/>
    </row>
    <row r="157" spans="1:13" s="2324" customFormat="1" ht="15.2" customHeight="1">
      <c r="B157" s="2357" t="s">
        <v>1692</v>
      </c>
      <c r="C157" s="2353"/>
      <c r="D157" s="2344">
        <v>2022</v>
      </c>
      <c r="E157" s="2290">
        <v>139</v>
      </c>
      <c r="F157" s="2290">
        <v>139</v>
      </c>
      <c r="G157" s="2290">
        <v>3</v>
      </c>
      <c r="H157" s="2290">
        <v>29</v>
      </c>
      <c r="I157" s="2290">
        <v>66</v>
      </c>
      <c r="J157" s="2290">
        <v>41</v>
      </c>
      <c r="K157" s="2356"/>
      <c r="L157" s="2356"/>
      <c r="M157" s="2355"/>
    </row>
    <row r="158" spans="1:13" s="2155" customFormat="1" ht="15.2" customHeight="1">
      <c r="A158" s="2324"/>
      <c r="B158" s="2352"/>
      <c r="C158" s="2353"/>
      <c r="D158" s="2344">
        <v>2023</v>
      </c>
      <c r="E158" s="2290">
        <v>127</v>
      </c>
      <c r="F158" s="2290">
        <v>127</v>
      </c>
      <c r="G158" s="2290">
        <v>3</v>
      </c>
      <c r="H158" s="2290">
        <v>16</v>
      </c>
      <c r="I158" s="2290">
        <v>65</v>
      </c>
      <c r="J158" s="2290">
        <v>43</v>
      </c>
      <c r="K158" s="2342"/>
      <c r="L158" s="2343"/>
      <c r="M158" s="2354"/>
    </row>
    <row r="159" spans="1:13" s="2155" customFormat="1" ht="15.2" customHeight="1">
      <c r="A159" s="2324"/>
      <c r="B159" s="2352"/>
      <c r="C159" s="2353"/>
      <c r="D159" s="2344">
        <v>2024</v>
      </c>
      <c r="E159" s="2290">
        <v>127</v>
      </c>
      <c r="F159" s="2290">
        <v>127</v>
      </c>
      <c r="G159" s="2290">
        <v>3</v>
      </c>
      <c r="H159" s="2290">
        <v>16</v>
      </c>
      <c r="I159" s="2290">
        <v>65</v>
      </c>
      <c r="J159" s="2290">
        <v>43</v>
      </c>
      <c r="K159" s="2342"/>
      <c r="L159" s="2343"/>
      <c r="M159" s="2341"/>
    </row>
    <row r="160" spans="1:13" s="2155" customFormat="1" ht="15.2" customHeight="1">
      <c r="B160" s="2352"/>
      <c r="C160" s="2353"/>
      <c r="D160" s="2344"/>
      <c r="E160" s="1997"/>
      <c r="F160" s="2348"/>
      <c r="G160" s="1605"/>
      <c r="H160" s="2348"/>
      <c r="I160" s="1605"/>
      <c r="J160" s="2347"/>
      <c r="K160" s="2351"/>
      <c r="L160" s="2351"/>
      <c r="M160" s="2341"/>
    </row>
    <row r="161" spans="2:14" s="2331" customFormat="1" ht="15.2" customHeight="1">
      <c r="B161" s="2352" t="s">
        <v>1686</v>
      </c>
      <c r="C161" s="222"/>
      <c r="D161" s="2344">
        <v>2022</v>
      </c>
      <c r="E161" s="2290">
        <v>139</v>
      </c>
      <c r="F161" s="2290">
        <v>139</v>
      </c>
      <c r="G161" s="2290">
        <v>3</v>
      </c>
      <c r="H161" s="2290">
        <v>29</v>
      </c>
      <c r="I161" s="2290">
        <v>66</v>
      </c>
      <c r="J161" s="2290">
        <v>41</v>
      </c>
      <c r="K161" s="2342"/>
      <c r="L161" s="2343"/>
      <c r="M161" s="2341"/>
      <c r="N161" s="222"/>
    </row>
    <row r="162" spans="2:14" s="2331" customFormat="1" ht="15.2" customHeight="1">
      <c r="B162" s="2291"/>
      <c r="C162" s="222"/>
      <c r="D162" s="2344">
        <v>2023</v>
      </c>
      <c r="E162" s="2290">
        <v>127</v>
      </c>
      <c r="F162" s="2290">
        <v>127</v>
      </c>
      <c r="G162" s="2290">
        <v>3</v>
      </c>
      <c r="H162" s="2290">
        <v>16</v>
      </c>
      <c r="I162" s="2290">
        <v>65</v>
      </c>
      <c r="J162" s="2290">
        <v>43</v>
      </c>
      <c r="K162" s="2342"/>
      <c r="L162" s="2343"/>
      <c r="M162" s="2341"/>
      <c r="N162" s="222"/>
    </row>
    <row r="163" spans="2:14" s="2331" customFormat="1" ht="15.2" customHeight="1">
      <c r="B163" s="2291"/>
      <c r="C163" s="222"/>
      <c r="D163" s="2344">
        <v>2024</v>
      </c>
      <c r="E163" s="2290">
        <v>127</v>
      </c>
      <c r="F163" s="2290">
        <v>127</v>
      </c>
      <c r="G163" s="2290">
        <v>3</v>
      </c>
      <c r="H163" s="2290">
        <v>16</v>
      </c>
      <c r="I163" s="2290">
        <v>65</v>
      </c>
      <c r="J163" s="2290">
        <v>43</v>
      </c>
      <c r="K163" s="2351"/>
      <c r="L163" s="2350"/>
      <c r="M163" s="2341"/>
      <c r="N163" s="222"/>
    </row>
    <row r="164" spans="2:14" s="2331" customFormat="1" ht="15.2" customHeight="1">
      <c r="B164" s="2291"/>
      <c r="C164" s="222"/>
      <c r="D164" s="2344"/>
      <c r="E164" s="1997"/>
      <c r="F164" s="2347"/>
      <c r="G164" s="1605"/>
      <c r="H164" s="2349"/>
      <c r="I164" s="1605"/>
      <c r="J164" s="2347"/>
      <c r="K164" s="2342"/>
      <c r="L164" s="2343"/>
      <c r="M164" s="2341"/>
      <c r="N164" s="222"/>
    </row>
    <row r="165" spans="2:14" s="2331" customFormat="1" ht="15.2" customHeight="1">
      <c r="B165" s="2346" t="s">
        <v>1710</v>
      </c>
      <c r="C165" s="2345"/>
      <c r="D165" s="2344">
        <v>2022</v>
      </c>
      <c r="E165" s="2290">
        <v>139</v>
      </c>
      <c r="F165" s="2290">
        <v>139</v>
      </c>
      <c r="G165" s="2290">
        <v>3</v>
      </c>
      <c r="H165" s="2290">
        <v>29</v>
      </c>
      <c r="I165" s="2290">
        <v>66</v>
      </c>
      <c r="J165" s="2290">
        <v>41</v>
      </c>
      <c r="K165" s="2342"/>
      <c r="L165" s="2343"/>
      <c r="M165" s="2341"/>
      <c r="N165" s="222"/>
    </row>
    <row r="166" spans="2:14" s="2331" customFormat="1" ht="15.2" customHeight="1">
      <c r="B166" s="2345"/>
      <c r="C166" s="2345"/>
      <c r="D166" s="2344">
        <v>2023</v>
      </c>
      <c r="E166" s="2290">
        <v>127</v>
      </c>
      <c r="F166" s="2290">
        <v>127</v>
      </c>
      <c r="G166" s="2290">
        <v>3</v>
      </c>
      <c r="H166" s="2290">
        <v>16</v>
      </c>
      <c r="I166" s="2290">
        <v>65</v>
      </c>
      <c r="J166" s="2290">
        <v>43</v>
      </c>
      <c r="K166" s="2342"/>
      <c r="L166" s="2343"/>
      <c r="M166" s="2341"/>
      <c r="N166" s="222"/>
    </row>
    <row r="167" spans="2:14" s="2331" customFormat="1" ht="15.2" customHeight="1">
      <c r="B167" s="2345"/>
      <c r="C167" s="2345"/>
      <c r="D167" s="2344">
        <v>2024</v>
      </c>
      <c r="E167" s="2290">
        <v>127</v>
      </c>
      <c r="F167" s="2290">
        <v>127</v>
      </c>
      <c r="G167" s="2290">
        <v>3</v>
      </c>
      <c r="H167" s="2290">
        <v>16</v>
      </c>
      <c r="I167" s="2290">
        <v>65</v>
      </c>
      <c r="J167" s="2290">
        <v>43</v>
      </c>
      <c r="K167" s="2342"/>
      <c r="L167" s="2343"/>
      <c r="M167" s="2341"/>
      <c r="N167" s="222"/>
    </row>
    <row r="168" spans="2:14" s="2331" customFormat="1" ht="15.2" customHeight="1">
      <c r="B168" s="2291"/>
      <c r="C168" s="222"/>
      <c r="D168" s="2344"/>
      <c r="E168" s="1605"/>
      <c r="F168" s="2348"/>
      <c r="G168" s="1605"/>
      <c r="H168" s="2348"/>
      <c r="I168" s="1605"/>
      <c r="J168" s="2348"/>
      <c r="K168" s="2342"/>
      <c r="L168" s="2343"/>
      <c r="M168" s="2341"/>
      <c r="N168" s="222"/>
    </row>
    <row r="169" spans="2:14" s="2331" customFormat="1" ht="15.2" customHeight="1">
      <c r="B169" s="2346" t="s">
        <v>1580</v>
      </c>
      <c r="C169" s="2345"/>
      <c r="D169" s="2344">
        <v>2022</v>
      </c>
      <c r="E169" s="2290">
        <v>139</v>
      </c>
      <c r="F169" s="2290">
        <v>139</v>
      </c>
      <c r="G169" s="2290">
        <v>3</v>
      </c>
      <c r="H169" s="2290">
        <v>29</v>
      </c>
      <c r="I169" s="2290">
        <v>66</v>
      </c>
      <c r="J169" s="2290">
        <v>41</v>
      </c>
      <c r="K169" s="2342"/>
      <c r="L169" s="2343"/>
      <c r="M169" s="2341"/>
      <c r="N169" s="222"/>
    </row>
    <row r="170" spans="2:14" s="2331" customFormat="1" ht="15.2" customHeight="1">
      <c r="B170" s="2345"/>
      <c r="C170" s="2345"/>
      <c r="D170" s="2344">
        <v>2023</v>
      </c>
      <c r="E170" s="2290">
        <v>127</v>
      </c>
      <c r="F170" s="2290">
        <v>127</v>
      </c>
      <c r="G170" s="2290">
        <v>3</v>
      </c>
      <c r="H170" s="2290">
        <v>16</v>
      </c>
      <c r="I170" s="2290">
        <v>65</v>
      </c>
      <c r="J170" s="2290">
        <v>43</v>
      </c>
      <c r="K170" s="2342"/>
      <c r="L170" s="2343"/>
      <c r="M170" s="2341"/>
      <c r="N170" s="222"/>
    </row>
    <row r="171" spans="2:14" s="2331" customFormat="1" ht="15.2" customHeight="1">
      <c r="B171" s="2345"/>
      <c r="C171" s="2345"/>
      <c r="D171" s="2344">
        <v>2024</v>
      </c>
      <c r="E171" s="2290">
        <v>127</v>
      </c>
      <c r="F171" s="2290">
        <v>127</v>
      </c>
      <c r="G171" s="2290">
        <v>3</v>
      </c>
      <c r="H171" s="2290">
        <v>16</v>
      </c>
      <c r="I171" s="2290">
        <v>65</v>
      </c>
      <c r="J171" s="2290">
        <v>43</v>
      </c>
      <c r="K171" s="2342"/>
      <c r="L171" s="2343"/>
      <c r="M171" s="2341"/>
      <c r="N171" s="222"/>
    </row>
    <row r="172" spans="2:14" s="2331" customFormat="1" ht="15.2" customHeight="1">
      <c r="B172" s="2291"/>
      <c r="C172" s="222"/>
      <c r="D172" s="2344"/>
      <c r="E172" s="1997"/>
      <c r="F172" s="2348"/>
      <c r="G172" s="1605"/>
      <c r="H172" s="2348"/>
      <c r="I172" s="1605"/>
      <c r="J172" s="2347"/>
      <c r="K172" s="2342"/>
      <c r="L172" s="2343"/>
      <c r="M172" s="2341"/>
      <c r="N172" s="222"/>
    </row>
    <row r="173" spans="2:14" s="2331" customFormat="1" ht="15.2" customHeight="1">
      <c r="B173" s="2346" t="s">
        <v>1683</v>
      </c>
      <c r="C173" s="2345"/>
      <c r="D173" s="2344">
        <v>2022</v>
      </c>
      <c r="E173" s="2290">
        <v>139</v>
      </c>
      <c r="F173" s="2290">
        <v>139</v>
      </c>
      <c r="G173" s="2290">
        <v>3</v>
      </c>
      <c r="H173" s="2290">
        <v>29</v>
      </c>
      <c r="I173" s="2290">
        <v>66</v>
      </c>
      <c r="J173" s="2290">
        <v>41</v>
      </c>
      <c r="K173" s="2342"/>
      <c r="L173" s="2343"/>
      <c r="M173" s="2341"/>
      <c r="N173" s="222"/>
    </row>
    <row r="174" spans="2:14" s="2331" customFormat="1" ht="15.2" customHeight="1">
      <c r="B174" s="2345"/>
      <c r="C174" s="2345"/>
      <c r="D174" s="2344">
        <v>2023</v>
      </c>
      <c r="E174" s="2290">
        <v>127</v>
      </c>
      <c r="F174" s="2290">
        <v>127</v>
      </c>
      <c r="G174" s="2290">
        <v>3</v>
      </c>
      <c r="H174" s="2290">
        <v>16</v>
      </c>
      <c r="I174" s="2290">
        <v>65</v>
      </c>
      <c r="J174" s="2290">
        <v>43</v>
      </c>
      <c r="K174" s="2342"/>
      <c r="L174" s="2343"/>
      <c r="M174" s="2341"/>
      <c r="N174" s="222"/>
    </row>
    <row r="175" spans="2:14" s="2331" customFormat="1" ht="15.2" customHeight="1">
      <c r="B175" s="2345"/>
      <c r="C175" s="2345"/>
      <c r="D175" s="2344">
        <v>2024</v>
      </c>
      <c r="E175" s="2290">
        <v>127</v>
      </c>
      <c r="F175" s="2290">
        <v>127</v>
      </c>
      <c r="G175" s="2290">
        <v>3</v>
      </c>
      <c r="H175" s="2290">
        <v>16</v>
      </c>
      <c r="I175" s="2290">
        <v>65</v>
      </c>
      <c r="J175" s="2290">
        <v>43</v>
      </c>
      <c r="K175" s="2342"/>
      <c r="L175" s="2343"/>
      <c r="M175" s="2341"/>
      <c r="N175" s="222"/>
    </row>
    <row r="176" spans="2:14" s="2331" customFormat="1" ht="15.2" customHeight="1">
      <c r="B176" s="2345"/>
      <c r="C176" s="2345"/>
      <c r="D176" s="2344"/>
      <c r="E176" s="1997"/>
      <c r="F176" s="2347"/>
      <c r="G176" s="1605"/>
      <c r="H176" s="2349"/>
      <c r="I176" s="1605"/>
      <c r="J176" s="2347"/>
      <c r="K176" s="2342"/>
      <c r="L176" s="2343"/>
      <c r="M176" s="2341"/>
      <c r="N176" s="222"/>
    </row>
    <row r="177" spans="2:14" s="2331" customFormat="1" ht="15.2" customHeight="1">
      <c r="B177" s="2346" t="s">
        <v>1717</v>
      </c>
      <c r="C177" s="2345"/>
      <c r="D177" s="2344">
        <v>2022</v>
      </c>
      <c r="E177" s="2290">
        <v>139</v>
      </c>
      <c r="F177" s="2290">
        <v>139</v>
      </c>
      <c r="G177" s="2290">
        <v>3</v>
      </c>
      <c r="H177" s="2290">
        <v>29</v>
      </c>
      <c r="I177" s="2290">
        <v>66</v>
      </c>
      <c r="J177" s="2290">
        <v>41</v>
      </c>
      <c r="K177" s="2342"/>
      <c r="L177" s="2343"/>
      <c r="M177" s="2341"/>
      <c r="N177" s="222"/>
    </row>
    <row r="178" spans="2:14" s="2331" customFormat="1" ht="15.2" customHeight="1">
      <c r="B178" s="2345"/>
      <c r="C178" s="2345"/>
      <c r="D178" s="2344">
        <v>2023</v>
      </c>
      <c r="E178" s="2290">
        <v>127</v>
      </c>
      <c r="F178" s="2290">
        <v>127</v>
      </c>
      <c r="G178" s="2290">
        <v>3</v>
      </c>
      <c r="H178" s="2290">
        <v>16</v>
      </c>
      <c r="I178" s="2290">
        <v>65</v>
      </c>
      <c r="J178" s="2290">
        <v>43</v>
      </c>
      <c r="K178" s="2342"/>
      <c r="L178" s="2343"/>
      <c r="M178" s="2341"/>
      <c r="N178" s="222"/>
    </row>
    <row r="179" spans="2:14" s="2331" customFormat="1" ht="15.2" customHeight="1">
      <c r="B179" s="2345"/>
      <c r="C179" s="2345"/>
      <c r="D179" s="2344">
        <v>2024</v>
      </c>
      <c r="E179" s="2290">
        <v>127</v>
      </c>
      <c r="F179" s="2290">
        <v>127</v>
      </c>
      <c r="G179" s="2290">
        <v>3</v>
      </c>
      <c r="H179" s="2290">
        <v>16</v>
      </c>
      <c r="I179" s="2290">
        <v>65</v>
      </c>
      <c r="J179" s="2290">
        <v>43</v>
      </c>
      <c r="K179" s="2342"/>
      <c r="L179" s="2343"/>
      <c r="M179" s="2341"/>
      <c r="N179" s="222"/>
    </row>
    <row r="180" spans="2:14" s="2331" customFormat="1" ht="15.2" customHeight="1">
      <c r="B180" s="2345"/>
      <c r="C180" s="2345"/>
      <c r="D180" s="2344"/>
      <c r="E180" s="1605"/>
      <c r="F180" s="2348"/>
      <c r="G180" s="1605"/>
      <c r="H180" s="2348"/>
      <c r="I180" s="1605"/>
      <c r="J180" s="2348"/>
      <c r="K180" s="2342"/>
      <c r="L180" s="2343"/>
      <c r="M180" s="2341"/>
      <c r="N180" s="222"/>
    </row>
    <row r="181" spans="2:14" s="2331" customFormat="1" ht="15.2" customHeight="1">
      <c r="B181" s="2346" t="s">
        <v>1712</v>
      </c>
      <c r="C181" s="2345"/>
      <c r="D181" s="2344">
        <v>2022</v>
      </c>
      <c r="E181" s="2290">
        <v>139</v>
      </c>
      <c r="F181" s="2290">
        <v>139</v>
      </c>
      <c r="G181" s="2290">
        <v>3</v>
      </c>
      <c r="H181" s="2290">
        <v>29</v>
      </c>
      <c r="I181" s="2290">
        <v>66</v>
      </c>
      <c r="J181" s="2290">
        <v>41</v>
      </c>
      <c r="K181" s="2342"/>
      <c r="L181" s="2343"/>
      <c r="M181" s="2341"/>
      <c r="N181" s="222"/>
    </row>
    <row r="182" spans="2:14" s="2331" customFormat="1" ht="15.2" customHeight="1">
      <c r="B182" s="2345"/>
      <c r="C182" s="2345"/>
      <c r="D182" s="2344">
        <v>2023</v>
      </c>
      <c r="E182" s="2290">
        <v>127</v>
      </c>
      <c r="F182" s="2290">
        <v>127</v>
      </c>
      <c r="G182" s="2290">
        <v>3</v>
      </c>
      <c r="H182" s="2290">
        <v>16</v>
      </c>
      <c r="I182" s="2290">
        <v>65</v>
      </c>
      <c r="J182" s="2290">
        <v>43</v>
      </c>
      <c r="K182" s="2342"/>
      <c r="L182" s="2343"/>
      <c r="M182" s="2341"/>
      <c r="N182" s="222"/>
    </row>
    <row r="183" spans="2:14" s="2331" customFormat="1" ht="15.2" customHeight="1">
      <c r="B183" s="2345"/>
      <c r="C183" s="2345"/>
      <c r="D183" s="2344">
        <v>2024</v>
      </c>
      <c r="E183" s="2290">
        <v>127</v>
      </c>
      <c r="F183" s="2290">
        <v>127</v>
      </c>
      <c r="G183" s="2290">
        <v>3</v>
      </c>
      <c r="H183" s="2290">
        <v>16</v>
      </c>
      <c r="I183" s="2290">
        <v>65</v>
      </c>
      <c r="J183" s="2290">
        <v>43</v>
      </c>
      <c r="K183" s="2343"/>
      <c r="L183" s="2343"/>
      <c r="M183" s="2341"/>
      <c r="N183" s="222"/>
    </row>
    <row r="184" spans="2:14" s="2331" customFormat="1" ht="15.2" customHeight="1">
      <c r="B184" s="2345"/>
      <c r="C184" s="2345"/>
      <c r="D184" s="2344"/>
      <c r="E184" s="1997"/>
      <c r="F184" s="2348"/>
      <c r="G184" s="1605"/>
      <c r="H184" s="2348"/>
      <c r="I184" s="1605"/>
      <c r="J184" s="2347"/>
      <c r="K184" s="2343"/>
      <c r="L184" s="2343"/>
      <c r="M184" s="2341"/>
      <c r="N184" s="222"/>
    </row>
    <row r="185" spans="2:14" s="2331" customFormat="1" ht="15.2" customHeight="1">
      <c r="B185" s="2346" t="s">
        <v>1684</v>
      </c>
      <c r="C185" s="2345"/>
      <c r="D185" s="2344">
        <v>2022</v>
      </c>
      <c r="E185" s="2290">
        <v>139</v>
      </c>
      <c r="F185" s="2290">
        <v>139</v>
      </c>
      <c r="G185" s="2290">
        <v>3</v>
      </c>
      <c r="H185" s="2290">
        <v>29</v>
      </c>
      <c r="I185" s="2290">
        <v>66</v>
      </c>
      <c r="J185" s="2290">
        <v>41</v>
      </c>
      <c r="K185" s="2343"/>
      <c r="L185" s="2343"/>
      <c r="M185" s="2341"/>
      <c r="N185" s="222"/>
    </row>
    <row r="186" spans="2:14" s="2331" customFormat="1" ht="15.2" customHeight="1">
      <c r="B186" s="2345"/>
      <c r="C186" s="2345"/>
      <c r="D186" s="2344">
        <v>2023</v>
      </c>
      <c r="E186" s="2290">
        <v>127</v>
      </c>
      <c r="F186" s="2290">
        <v>127</v>
      </c>
      <c r="G186" s="2290">
        <v>3</v>
      </c>
      <c r="H186" s="2290">
        <v>16</v>
      </c>
      <c r="I186" s="2290">
        <v>65</v>
      </c>
      <c r="J186" s="2290">
        <v>43</v>
      </c>
      <c r="K186" s="2343"/>
      <c r="L186" s="2343"/>
      <c r="M186" s="2341"/>
      <c r="N186" s="222"/>
    </row>
    <row r="187" spans="2:14" s="2331" customFormat="1" ht="15.2" customHeight="1">
      <c r="B187" s="2345"/>
      <c r="C187" s="2345"/>
      <c r="D187" s="2344">
        <v>2024</v>
      </c>
      <c r="E187" s="2290">
        <v>127</v>
      </c>
      <c r="F187" s="2290">
        <v>127</v>
      </c>
      <c r="G187" s="2290">
        <v>3</v>
      </c>
      <c r="H187" s="2290">
        <v>16</v>
      </c>
      <c r="I187" s="2290">
        <v>65</v>
      </c>
      <c r="J187" s="2290">
        <v>43</v>
      </c>
      <c r="K187" s="2343"/>
      <c r="L187" s="2343"/>
      <c r="M187" s="2341"/>
      <c r="N187" s="222"/>
    </row>
    <row r="188" spans="2:14" s="2331" customFormat="1" ht="15.2" customHeight="1">
      <c r="B188" s="2345"/>
      <c r="C188" s="2345"/>
      <c r="D188" s="2344"/>
      <c r="E188" s="1997"/>
      <c r="F188" s="2347"/>
      <c r="G188" s="2313"/>
      <c r="H188" s="2347"/>
      <c r="I188" s="1605"/>
      <c r="J188" s="2347"/>
      <c r="K188" s="2343"/>
      <c r="L188" s="2343"/>
      <c r="M188" s="2341"/>
      <c r="N188" s="222"/>
    </row>
    <row r="189" spans="2:14" s="2331" customFormat="1" ht="15.2" customHeight="1">
      <c r="B189" s="2346" t="s">
        <v>1589</v>
      </c>
      <c r="C189" s="2345"/>
      <c r="D189" s="2344">
        <v>2022</v>
      </c>
      <c r="E189" s="2290">
        <v>139</v>
      </c>
      <c r="F189" s="2290">
        <v>139</v>
      </c>
      <c r="G189" s="2290">
        <v>3</v>
      </c>
      <c r="H189" s="2290">
        <v>29</v>
      </c>
      <c r="I189" s="2290">
        <v>66</v>
      </c>
      <c r="J189" s="2290">
        <v>41</v>
      </c>
      <c r="K189" s="2343"/>
      <c r="L189" s="2343"/>
      <c r="M189" s="2341"/>
      <c r="N189" s="222"/>
    </row>
    <row r="190" spans="2:14" s="2331" customFormat="1" ht="15.2" customHeight="1">
      <c r="B190" s="2345"/>
      <c r="C190" s="2345"/>
      <c r="D190" s="2344">
        <v>2023</v>
      </c>
      <c r="E190" s="2290">
        <v>127</v>
      </c>
      <c r="F190" s="2290">
        <v>127</v>
      </c>
      <c r="G190" s="2290">
        <v>3</v>
      </c>
      <c r="H190" s="2290">
        <v>16</v>
      </c>
      <c r="I190" s="2290">
        <v>65</v>
      </c>
      <c r="J190" s="2290">
        <v>43</v>
      </c>
      <c r="K190" s="2343"/>
      <c r="L190" s="2342"/>
      <c r="M190" s="2341"/>
      <c r="N190" s="222"/>
    </row>
    <row r="191" spans="2:14" s="2331" customFormat="1" ht="15.2" customHeight="1">
      <c r="B191" s="2345"/>
      <c r="C191" s="2345"/>
      <c r="D191" s="2344">
        <v>2024</v>
      </c>
      <c r="E191" s="2290">
        <v>127</v>
      </c>
      <c r="F191" s="2290">
        <v>127</v>
      </c>
      <c r="G191" s="2290">
        <v>3</v>
      </c>
      <c r="H191" s="2290">
        <v>16</v>
      </c>
      <c r="I191" s="2290">
        <v>65</v>
      </c>
      <c r="J191" s="2290">
        <v>43</v>
      </c>
      <c r="K191" s="2343"/>
      <c r="L191" s="2342"/>
      <c r="M191" s="2341"/>
      <c r="N191" s="222"/>
    </row>
    <row r="192" spans="2:14" s="2331" customFormat="1" ht="15.2" customHeight="1">
      <c r="B192" s="2345"/>
      <c r="C192" s="2345"/>
      <c r="D192" s="2344"/>
      <c r="E192" s="1997"/>
      <c r="F192" s="1997"/>
      <c r="G192" s="2347"/>
      <c r="H192" s="2313"/>
      <c r="I192" s="2347"/>
      <c r="J192" s="2347"/>
      <c r="K192" s="2343"/>
      <c r="L192" s="2342"/>
      <c r="M192" s="2341"/>
      <c r="N192" s="222"/>
    </row>
    <row r="193" spans="1:14" s="2331" customFormat="1" ht="15.2" customHeight="1">
      <c r="B193" s="2346" t="s">
        <v>1691</v>
      </c>
      <c r="C193" s="2345"/>
      <c r="D193" s="2344">
        <v>2022</v>
      </c>
      <c r="E193" s="2290">
        <v>139</v>
      </c>
      <c r="F193" s="2290">
        <v>139</v>
      </c>
      <c r="G193" s="2290">
        <v>3</v>
      </c>
      <c r="H193" s="2290">
        <v>29</v>
      </c>
      <c r="I193" s="2290">
        <v>66</v>
      </c>
      <c r="J193" s="2290">
        <v>41</v>
      </c>
      <c r="K193" s="2343"/>
      <c r="L193" s="2342"/>
      <c r="M193" s="2341"/>
      <c r="N193" s="222"/>
    </row>
    <row r="194" spans="1:14" s="2331" customFormat="1" ht="15.2" customHeight="1">
      <c r="B194" s="2345"/>
      <c r="C194" s="2345"/>
      <c r="D194" s="2344">
        <v>2023</v>
      </c>
      <c r="E194" s="2290">
        <v>127</v>
      </c>
      <c r="F194" s="2290">
        <v>127</v>
      </c>
      <c r="G194" s="2290">
        <v>3</v>
      </c>
      <c r="H194" s="2290">
        <v>16</v>
      </c>
      <c r="I194" s="2290">
        <v>65</v>
      </c>
      <c r="J194" s="2290">
        <v>43</v>
      </c>
      <c r="K194" s="2343"/>
      <c r="L194" s="2342"/>
      <c r="M194" s="2341"/>
      <c r="N194" s="222"/>
    </row>
    <row r="195" spans="1:14" s="2331" customFormat="1" ht="15.2" customHeight="1">
      <c r="B195" s="2345"/>
      <c r="C195" s="2345"/>
      <c r="D195" s="2344">
        <v>2024</v>
      </c>
      <c r="E195" s="2290">
        <v>127</v>
      </c>
      <c r="F195" s="2290">
        <v>127</v>
      </c>
      <c r="G195" s="2290">
        <v>3</v>
      </c>
      <c r="H195" s="2290">
        <v>16</v>
      </c>
      <c r="I195" s="2290">
        <v>65</v>
      </c>
      <c r="J195" s="2290">
        <v>43</v>
      </c>
      <c r="K195" s="2343"/>
      <c r="L195" s="2342"/>
      <c r="M195" s="2341"/>
      <c r="N195" s="222"/>
    </row>
    <row r="196" spans="1:14" s="2331" customFormat="1" ht="13.5">
      <c r="B196" s="2399"/>
      <c r="C196" s="2399"/>
      <c r="D196" s="2338"/>
      <c r="E196" s="2293"/>
      <c r="F196" s="2293"/>
      <c r="G196" s="2293"/>
      <c r="H196" s="2293"/>
      <c r="I196" s="2293"/>
      <c r="J196" s="2293"/>
    </row>
    <row r="197" spans="1:14" s="2331" customFormat="1" ht="14.25" thickBot="1">
      <c r="A197" s="2332"/>
      <c r="B197" s="2398"/>
      <c r="C197" s="2398"/>
      <c r="D197" s="2397"/>
      <c r="E197" s="2396"/>
      <c r="F197" s="2396"/>
      <c r="G197" s="2396"/>
      <c r="H197" s="2396"/>
      <c r="I197" s="2396"/>
      <c r="J197" s="2396"/>
      <c r="K197" s="2332"/>
    </row>
    <row r="198" spans="1:14" s="2324" customFormat="1" ht="14.25">
      <c r="B198" s="2330"/>
      <c r="C198" s="2330"/>
      <c r="D198" s="2329"/>
      <c r="E198" s="2395"/>
      <c r="F198" s="2326"/>
      <c r="G198" s="2326"/>
      <c r="H198" s="2394"/>
      <c r="I198" s="2326"/>
      <c r="K198" s="2328" t="s">
        <v>241</v>
      </c>
    </row>
    <row r="199" spans="1:14" s="2324" customFormat="1" ht="14.25">
      <c r="B199" s="2330"/>
      <c r="C199" s="2330"/>
      <c r="D199" s="2329"/>
      <c r="E199" s="2395"/>
      <c r="F199" s="2326"/>
      <c r="G199" s="2326"/>
      <c r="H199" s="2394"/>
      <c r="I199" s="2326"/>
      <c r="K199" s="2325" t="s">
        <v>242</v>
      </c>
    </row>
  </sheetData>
  <mergeCells count="15">
    <mergeCell ref="J138:J139"/>
    <mergeCell ref="B74:C75"/>
    <mergeCell ref="E74:E75"/>
    <mergeCell ref="F74:F75"/>
    <mergeCell ref="G74:I74"/>
    <mergeCell ref="J74:J75"/>
    <mergeCell ref="B138:C139"/>
    <mergeCell ref="E138:E139"/>
    <mergeCell ref="F138:F139"/>
    <mergeCell ref="G138:I138"/>
    <mergeCell ref="J6:J7"/>
    <mergeCell ref="B6:C7"/>
    <mergeCell ref="E6:E7"/>
    <mergeCell ref="F6:F7"/>
    <mergeCell ref="G6:I6"/>
  </mergeCells>
  <pageMargins left="0.55118110236220474" right="0.55118110236220474" top="0.55118110236220474" bottom="0.55118110236220474" header="0.31496062992125984" footer="0.31496062992125984"/>
  <pageSetup paperSize="9" scale="70" fitToWidth="0" fitToHeight="0" orientation="portrait" r:id="rId1"/>
  <rowBreaks count="2" manualBreakCount="2">
    <brk id="68" max="16383" man="1"/>
    <brk id="132" max="16383" man="1"/>
  </rowBreaks>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9CE85-550D-4E87-AC94-1DF7BD619A4E}">
  <sheetPr>
    <tabColor theme="4" tint="0.39997558519241921"/>
  </sheetPr>
  <dimension ref="A1:R216"/>
  <sheetViews>
    <sheetView view="pageBreakPreview" zoomScale="90" zoomScaleNormal="100" zoomScaleSheetLayoutView="90" workbookViewId="0">
      <selection activeCell="L142" sqref="L142"/>
    </sheetView>
  </sheetViews>
  <sheetFormatPr defaultColWidth="8.85546875" defaultRowHeight="15"/>
  <cols>
    <col min="1" max="1" width="2.85546875" style="2417" customWidth="1"/>
    <col min="2" max="2" width="12.7109375" style="2417" customWidth="1"/>
    <col min="3" max="3" width="25.7109375" style="2417" customWidth="1"/>
    <col min="4" max="4" width="12" style="2417" customWidth="1"/>
    <col min="5" max="5" width="22" style="2417" customWidth="1"/>
    <col min="6" max="6" width="12" style="2417" customWidth="1"/>
    <col min="7" max="7" width="10.85546875" style="2417" customWidth="1"/>
    <col min="8" max="8" width="15.7109375" style="2417" customWidth="1"/>
    <col min="9" max="9" width="13.28515625" style="2417" customWidth="1"/>
    <col min="10" max="10" width="8.85546875" style="2417"/>
    <col min="11" max="16384" width="8.85546875" style="2148"/>
  </cols>
  <sheetData>
    <row r="1" spans="1:18" s="2331" customFormat="1" ht="8.1" customHeight="1">
      <c r="B1" s="2353"/>
      <c r="C1" s="2353"/>
      <c r="D1" s="2338"/>
      <c r="E1" s="2381"/>
      <c r="F1" s="2381"/>
      <c r="G1" s="2446"/>
      <c r="H1" s="2446"/>
      <c r="I1" s="2446"/>
    </row>
    <row r="2" spans="1:18" s="2443" customFormat="1" ht="17.25" customHeight="1">
      <c r="B2" s="2413" t="s">
        <v>1906</v>
      </c>
      <c r="C2" s="2904" t="s">
        <v>1905</v>
      </c>
      <c r="D2" s="2904"/>
      <c r="E2" s="2904"/>
      <c r="F2" s="2904"/>
      <c r="G2" s="2904"/>
      <c r="H2" s="2904"/>
      <c r="I2" s="2904"/>
      <c r="J2" s="2392"/>
    </row>
    <row r="3" spans="1:18" s="2443" customFormat="1" ht="17.25" customHeight="1">
      <c r="B3" s="2413"/>
      <c r="C3" s="2445" t="s">
        <v>2006</v>
      </c>
      <c r="D3" s="2444"/>
      <c r="E3" s="2392"/>
      <c r="F3" s="2392"/>
      <c r="G3" s="2393"/>
      <c r="H3" s="2393"/>
      <c r="I3" s="2393"/>
      <c r="J3" s="2392"/>
    </row>
    <row r="4" spans="1:18" s="2440" customFormat="1" ht="17.25" customHeight="1">
      <c r="B4" s="2455" t="s">
        <v>1904</v>
      </c>
      <c r="C4" s="2454" t="s">
        <v>2007</v>
      </c>
      <c r="D4" s="2441"/>
    </row>
    <row r="5" spans="1:18" s="2331" customFormat="1" ht="15.2" customHeight="1" thickBot="1">
      <c r="A5" s="2332"/>
      <c r="B5" s="2377"/>
      <c r="C5" s="2377"/>
      <c r="D5" s="2334"/>
      <c r="E5" s="2439"/>
      <c r="F5" s="2439"/>
      <c r="G5" s="2438"/>
      <c r="H5" s="2438"/>
      <c r="I5" s="2438"/>
    </row>
    <row r="6" spans="1:18" s="2340" customFormat="1" ht="8.1" customHeight="1">
      <c r="D6" s="2428"/>
      <c r="E6" s="2432"/>
      <c r="F6" s="2432"/>
      <c r="G6" s="2433"/>
      <c r="H6" s="2433"/>
      <c r="I6" s="2433"/>
    </row>
    <row r="7" spans="1:18" s="2340" customFormat="1" ht="15.2" customHeight="1">
      <c r="B7" s="2437" t="s">
        <v>1903</v>
      </c>
      <c r="C7" s="2389"/>
      <c r="D7" s="2387" t="s">
        <v>39</v>
      </c>
      <c r="E7" s="2434" t="s">
        <v>243</v>
      </c>
      <c r="F7" s="2434"/>
      <c r="G7" s="2905" t="s">
        <v>1902</v>
      </c>
      <c r="H7" s="2905"/>
      <c r="I7" s="2905"/>
      <c r="J7" s="2389"/>
    </row>
    <row r="8" spans="1:18" s="2340" customFormat="1" ht="15.2" customHeight="1" thickBot="1">
      <c r="B8" s="2436" t="s">
        <v>1901</v>
      </c>
      <c r="C8" s="2389"/>
      <c r="D8" s="2435" t="s">
        <v>40</v>
      </c>
      <c r="E8" s="2434" t="s">
        <v>244</v>
      </c>
      <c r="F8" s="2434"/>
      <c r="G8" s="2906" t="s">
        <v>1900</v>
      </c>
      <c r="H8" s="2906"/>
      <c r="I8" s="2906"/>
      <c r="J8" s="2432"/>
    </row>
    <row r="9" spans="1:18" s="2340" customFormat="1" ht="15.2" customHeight="1">
      <c r="B9" s="2432"/>
      <c r="C9" s="2389"/>
      <c r="D9" s="2428"/>
      <c r="E9" s="2433" t="s">
        <v>245</v>
      </c>
      <c r="F9" s="2433"/>
      <c r="G9" s="2434" t="s">
        <v>45</v>
      </c>
      <c r="H9" s="2434" t="s">
        <v>246</v>
      </c>
      <c r="I9" s="2434" t="s">
        <v>247</v>
      </c>
      <c r="J9" s="2432"/>
    </row>
    <row r="10" spans="1:18" s="2340" customFormat="1" ht="15.2" customHeight="1">
      <c r="B10" s="2388"/>
      <c r="C10" s="2388"/>
      <c r="D10" s="2428"/>
      <c r="E10" s="2433"/>
      <c r="F10" s="2433"/>
      <c r="G10" s="2433" t="s">
        <v>46</v>
      </c>
      <c r="H10" s="2433" t="s">
        <v>248</v>
      </c>
      <c r="I10" s="2433" t="s">
        <v>249</v>
      </c>
      <c r="J10" s="2432"/>
    </row>
    <row r="11" spans="1:18" s="2340" customFormat="1" ht="15.2" customHeight="1" thickBot="1">
      <c r="A11" s="2336"/>
      <c r="B11" s="2431"/>
      <c r="C11" s="2431"/>
      <c r="D11" s="2397"/>
      <c r="E11" s="2430"/>
      <c r="F11" s="2430"/>
      <c r="G11" s="2429"/>
      <c r="H11" s="2429"/>
      <c r="I11" s="2429"/>
      <c r="M11" s="2339"/>
    </row>
    <row r="12" spans="1:18" s="2331" customFormat="1" ht="15.2" customHeight="1">
      <c r="B12" s="2371"/>
      <c r="C12" s="2371"/>
      <c r="D12" s="2370"/>
      <c r="E12" s="2386"/>
      <c r="F12" s="2386"/>
      <c r="G12" s="2386"/>
      <c r="H12" s="2386"/>
      <c r="I12" s="2386"/>
    </row>
    <row r="13" spans="1:18" s="2331" customFormat="1" ht="15.2" customHeight="1">
      <c r="A13" s="2359"/>
      <c r="B13" s="2452" t="s">
        <v>1721</v>
      </c>
      <c r="C13" s="2451"/>
      <c r="D13" s="2387">
        <v>2022</v>
      </c>
      <c r="E13" s="2391">
        <v>29</v>
      </c>
      <c r="F13" s="2453"/>
      <c r="G13" s="2391">
        <v>66</v>
      </c>
      <c r="H13" s="2391">
        <v>41</v>
      </c>
      <c r="I13" s="2391">
        <v>41</v>
      </c>
      <c r="J13" s="2358"/>
    </row>
    <row r="14" spans="1:18" s="2331" customFormat="1" ht="15.2" customHeight="1">
      <c r="A14" s="2359"/>
      <c r="B14" s="2452"/>
      <c r="C14" s="2451"/>
      <c r="D14" s="2364">
        <v>2023</v>
      </c>
      <c r="E14" s="2391">
        <v>29</v>
      </c>
      <c r="F14" s="2453"/>
      <c r="G14" s="2391">
        <v>66</v>
      </c>
      <c r="H14" s="2391">
        <v>41</v>
      </c>
      <c r="I14" s="2391">
        <v>41</v>
      </c>
      <c r="J14" s="2358"/>
      <c r="K14" s="2448"/>
      <c r="L14" s="2447"/>
      <c r="M14" s="2447"/>
      <c r="N14" s="2447"/>
      <c r="O14" s="2447"/>
      <c r="P14" s="2447"/>
      <c r="Q14" s="2447"/>
      <c r="R14" s="2447"/>
    </row>
    <row r="15" spans="1:18" s="2331" customFormat="1" ht="15.2" customHeight="1">
      <c r="A15" s="2359"/>
      <c r="B15" s="2452"/>
      <c r="C15" s="2451"/>
      <c r="D15" s="2364">
        <v>2024</v>
      </c>
      <c r="E15" s="2391">
        <v>29</v>
      </c>
      <c r="F15" s="2453"/>
      <c r="G15" s="2391">
        <v>66</v>
      </c>
      <c r="H15" s="2391">
        <v>41</v>
      </c>
      <c r="I15" s="2391">
        <v>41</v>
      </c>
      <c r="J15" s="2358"/>
      <c r="K15" s="2448"/>
      <c r="L15" s="2447"/>
      <c r="M15" s="2447"/>
      <c r="N15" s="2447"/>
      <c r="O15" s="2447"/>
      <c r="P15" s="2447"/>
      <c r="Q15" s="2447"/>
      <c r="R15" s="2447"/>
    </row>
    <row r="16" spans="1:18" s="2331" customFormat="1" ht="15.2" customHeight="1">
      <c r="A16" s="2359"/>
      <c r="B16" s="2452"/>
      <c r="C16" s="2451"/>
      <c r="D16" s="2450"/>
      <c r="E16" s="2449"/>
      <c r="F16" s="2449"/>
      <c r="G16" s="2449"/>
      <c r="H16" s="2449"/>
      <c r="I16" s="2449"/>
      <c r="J16" s="2358"/>
      <c r="K16" s="2448"/>
      <c r="L16" s="2447"/>
      <c r="M16" s="2447"/>
      <c r="N16" s="2447"/>
      <c r="O16" s="2447"/>
      <c r="P16" s="2447"/>
      <c r="Q16" s="2447"/>
      <c r="R16" s="2447"/>
    </row>
    <row r="17" spans="1:13" s="2331" customFormat="1" ht="15.2" customHeight="1">
      <c r="A17" s="2359"/>
      <c r="B17" s="2352" t="s">
        <v>1585</v>
      </c>
      <c r="C17" s="222"/>
      <c r="D17" s="2428">
        <v>2022</v>
      </c>
      <c r="E17" s="2290">
        <v>29</v>
      </c>
      <c r="F17" s="2348"/>
      <c r="G17" s="2290">
        <v>66</v>
      </c>
      <c r="H17" s="2290">
        <v>41</v>
      </c>
      <c r="I17" s="2290">
        <v>41</v>
      </c>
      <c r="J17" s="2356"/>
      <c r="K17" s="2356"/>
      <c r="L17" s="2356"/>
      <c r="M17" s="2360"/>
    </row>
    <row r="18" spans="1:13" s="2331" customFormat="1" ht="15.2" customHeight="1">
      <c r="A18" s="2359"/>
      <c r="B18" s="2357"/>
      <c r="C18" s="222"/>
      <c r="D18" s="2338">
        <v>2023</v>
      </c>
      <c r="E18" s="2290">
        <v>29</v>
      </c>
      <c r="F18" s="2348"/>
      <c r="G18" s="2290">
        <v>66</v>
      </c>
      <c r="H18" s="2290">
        <v>41</v>
      </c>
      <c r="I18" s="2290">
        <v>41</v>
      </c>
      <c r="J18" s="2356"/>
      <c r="K18" s="2356"/>
      <c r="L18" s="2356"/>
      <c r="M18" s="2360"/>
    </row>
    <row r="19" spans="1:13" s="2331" customFormat="1" ht="15.2" customHeight="1">
      <c r="A19" s="2359"/>
      <c r="B19" s="2357"/>
      <c r="C19" s="222"/>
      <c r="D19" s="2338">
        <v>2024</v>
      </c>
      <c r="E19" s="2290">
        <v>29</v>
      </c>
      <c r="F19" s="2348"/>
      <c r="G19" s="2290">
        <v>66</v>
      </c>
      <c r="H19" s="2290">
        <v>41</v>
      </c>
      <c r="I19" s="2290">
        <v>41</v>
      </c>
      <c r="J19" s="2351"/>
      <c r="K19" s="2350"/>
      <c r="L19" s="2350"/>
      <c r="M19" s="2360"/>
    </row>
    <row r="20" spans="1:13" s="2331" customFormat="1" ht="15.2" customHeight="1">
      <c r="A20" s="2359"/>
      <c r="B20" s="2357"/>
      <c r="C20" s="222"/>
      <c r="D20" s="2385"/>
      <c r="E20" s="1605"/>
      <c r="F20" s="2348"/>
      <c r="G20" s="1605"/>
      <c r="H20" s="2348"/>
      <c r="I20" s="1605"/>
      <c r="J20" s="2356"/>
      <c r="K20" s="2356"/>
      <c r="L20" s="2356"/>
      <c r="M20" s="2360"/>
    </row>
    <row r="21" spans="1:13" s="2331" customFormat="1" ht="15.2" customHeight="1">
      <c r="A21" s="2359"/>
      <c r="B21" s="2291" t="s">
        <v>1719</v>
      </c>
      <c r="C21" s="222"/>
      <c r="D21" s="2428">
        <v>2022</v>
      </c>
      <c r="E21" s="2290">
        <v>29</v>
      </c>
      <c r="F21" s="2348"/>
      <c r="G21" s="2290">
        <v>66</v>
      </c>
      <c r="H21" s="2290">
        <v>41</v>
      </c>
      <c r="I21" s="2290">
        <v>41</v>
      </c>
      <c r="J21" s="2356"/>
      <c r="K21" s="2356"/>
      <c r="L21" s="2356"/>
      <c r="M21" s="2360"/>
    </row>
    <row r="22" spans="1:13" s="2331" customFormat="1" ht="15.2" customHeight="1">
      <c r="A22" s="2359"/>
      <c r="B22" s="2291"/>
      <c r="C22" s="222"/>
      <c r="D22" s="2338">
        <v>2023</v>
      </c>
      <c r="E22" s="2290">
        <v>29</v>
      </c>
      <c r="F22" s="2348"/>
      <c r="G22" s="2290">
        <v>66</v>
      </c>
      <c r="H22" s="2290">
        <v>41</v>
      </c>
      <c r="I22" s="2290">
        <v>41</v>
      </c>
      <c r="J22" s="2342"/>
      <c r="K22" s="2343"/>
      <c r="L22" s="2343"/>
      <c r="M22" s="2360"/>
    </row>
    <row r="23" spans="1:13" s="2331" customFormat="1" ht="15.2" customHeight="1">
      <c r="A23" s="2359"/>
      <c r="B23" s="2291"/>
      <c r="C23" s="222"/>
      <c r="D23" s="2338">
        <v>2024</v>
      </c>
      <c r="E23" s="2290">
        <v>29</v>
      </c>
      <c r="F23" s="2348"/>
      <c r="G23" s="2290">
        <v>66</v>
      </c>
      <c r="H23" s="2290">
        <v>41</v>
      </c>
      <c r="I23" s="2290">
        <v>41</v>
      </c>
      <c r="J23" s="2351"/>
      <c r="K23" s="2350"/>
      <c r="L23" s="2350"/>
      <c r="M23" s="2360"/>
    </row>
    <row r="24" spans="1:13" s="2331" customFormat="1" ht="15.2" customHeight="1">
      <c r="A24" s="2359"/>
      <c r="B24" s="2291"/>
      <c r="C24" s="222"/>
      <c r="D24" s="2344"/>
      <c r="E24" s="1997"/>
      <c r="F24" s="2348"/>
      <c r="G24" s="1605"/>
      <c r="H24" s="2348"/>
      <c r="I24" s="1605"/>
      <c r="J24" s="2342"/>
      <c r="K24" s="2343"/>
      <c r="L24" s="2343"/>
      <c r="M24" s="2360"/>
    </row>
    <row r="25" spans="1:13" s="2331" customFormat="1" ht="15.2" customHeight="1">
      <c r="A25" s="2359"/>
      <c r="B25" s="2346" t="s">
        <v>1706</v>
      </c>
      <c r="C25" s="2345"/>
      <c r="D25" s="2428">
        <v>2022</v>
      </c>
      <c r="E25" s="2290">
        <v>29</v>
      </c>
      <c r="F25" s="2348"/>
      <c r="G25" s="2290">
        <v>66</v>
      </c>
      <c r="H25" s="2290">
        <v>41</v>
      </c>
      <c r="I25" s="2290">
        <v>41</v>
      </c>
      <c r="J25" s="2356"/>
      <c r="K25" s="2356"/>
      <c r="L25" s="2356"/>
      <c r="M25" s="2360"/>
    </row>
    <row r="26" spans="1:13" s="2331" customFormat="1" ht="15.2" customHeight="1">
      <c r="A26" s="2359"/>
      <c r="B26" s="2345"/>
      <c r="C26" s="2345"/>
      <c r="D26" s="2338">
        <v>2023</v>
      </c>
      <c r="E26" s="2290">
        <v>29</v>
      </c>
      <c r="F26" s="2348"/>
      <c r="G26" s="2290">
        <v>66</v>
      </c>
      <c r="H26" s="2290">
        <v>41</v>
      </c>
      <c r="I26" s="2290">
        <v>41</v>
      </c>
      <c r="J26" s="2351"/>
      <c r="K26" s="2351"/>
      <c r="L26" s="2351"/>
      <c r="M26" s="2360"/>
    </row>
    <row r="27" spans="1:13" s="2331" customFormat="1" ht="15.2" customHeight="1">
      <c r="A27" s="2359"/>
      <c r="B27" s="2345"/>
      <c r="C27" s="2345"/>
      <c r="D27" s="2338">
        <v>2024</v>
      </c>
      <c r="E27" s="2290">
        <v>29</v>
      </c>
      <c r="F27" s="2348"/>
      <c r="G27" s="2290">
        <v>66</v>
      </c>
      <c r="H27" s="2290">
        <v>41</v>
      </c>
      <c r="I27" s="2290">
        <v>41</v>
      </c>
      <c r="J27" s="2351"/>
      <c r="K27" s="2350"/>
      <c r="L27" s="2350"/>
      <c r="M27" s="2360"/>
    </row>
    <row r="28" spans="1:13" s="2331" customFormat="1" ht="15.2" customHeight="1">
      <c r="A28" s="2359"/>
      <c r="B28" s="2345"/>
      <c r="C28" s="2345"/>
      <c r="D28" s="2344"/>
      <c r="E28" s="1997"/>
      <c r="F28" s="2347"/>
      <c r="G28" s="1605"/>
      <c r="H28" s="2349"/>
      <c r="I28" s="1605"/>
      <c r="J28" s="2342"/>
      <c r="K28" s="2343"/>
      <c r="L28" s="2343"/>
      <c r="M28" s="2360"/>
    </row>
    <row r="29" spans="1:13" s="2331" customFormat="1" ht="15.2" customHeight="1">
      <c r="A29" s="2359"/>
      <c r="B29" s="2346" t="s">
        <v>1690</v>
      </c>
      <c r="C29" s="2346"/>
      <c r="D29" s="2428">
        <v>2022</v>
      </c>
      <c r="E29" s="2290">
        <v>29</v>
      </c>
      <c r="F29" s="2348"/>
      <c r="G29" s="2290">
        <v>66</v>
      </c>
      <c r="H29" s="2290">
        <v>41</v>
      </c>
      <c r="I29" s="2290">
        <v>41</v>
      </c>
      <c r="J29" s="2351"/>
      <c r="K29" s="2350"/>
      <c r="L29" s="2350"/>
      <c r="M29" s="2360"/>
    </row>
    <row r="30" spans="1:13" s="2324" customFormat="1" ht="15.2" customHeight="1">
      <c r="A30" s="2359"/>
      <c r="B30" s="2346"/>
      <c r="C30" s="2346"/>
      <c r="D30" s="2338">
        <v>2023</v>
      </c>
      <c r="E30" s="2290">
        <v>29</v>
      </c>
      <c r="F30" s="2348"/>
      <c r="G30" s="2290">
        <v>66</v>
      </c>
      <c r="H30" s="2290">
        <v>41</v>
      </c>
      <c r="I30" s="2290">
        <v>41</v>
      </c>
      <c r="J30" s="2351"/>
      <c r="K30" s="2350"/>
      <c r="L30" s="2350"/>
      <c r="M30" s="2360"/>
    </row>
    <row r="31" spans="1:13" s="2324" customFormat="1" ht="15.2" customHeight="1">
      <c r="A31" s="2359"/>
      <c r="B31" s="2346"/>
      <c r="C31" s="2346"/>
      <c r="D31" s="2338">
        <v>2024</v>
      </c>
      <c r="E31" s="2290">
        <v>29</v>
      </c>
      <c r="F31" s="2348"/>
      <c r="G31" s="2290">
        <v>66</v>
      </c>
      <c r="H31" s="2290">
        <v>41</v>
      </c>
      <c r="I31" s="2290">
        <v>41</v>
      </c>
      <c r="J31" s="2351"/>
      <c r="K31" s="2350"/>
      <c r="L31" s="2350"/>
      <c r="M31" s="2360"/>
    </row>
    <row r="32" spans="1:13" s="2324" customFormat="1" ht="15.2" customHeight="1">
      <c r="A32" s="2359"/>
      <c r="B32" s="2346"/>
      <c r="C32" s="2346"/>
      <c r="D32" s="2385"/>
      <c r="E32" s="1605"/>
      <c r="F32" s="2348"/>
      <c r="G32" s="1605"/>
      <c r="H32" s="2348"/>
      <c r="I32" s="1605"/>
      <c r="J32" s="2351"/>
      <c r="K32" s="2351"/>
      <c r="L32" s="2351"/>
      <c r="M32" s="2358"/>
    </row>
    <row r="33" spans="1:14" s="2324" customFormat="1" ht="15.2" customHeight="1">
      <c r="B33" s="2357" t="s">
        <v>1867</v>
      </c>
      <c r="C33" s="2353"/>
      <c r="D33" s="2428">
        <v>2022</v>
      </c>
      <c r="E33" s="2290">
        <v>29</v>
      </c>
      <c r="F33" s="2348"/>
      <c r="G33" s="2290">
        <v>66</v>
      </c>
      <c r="H33" s="2290">
        <v>41</v>
      </c>
      <c r="I33" s="2290">
        <v>41</v>
      </c>
      <c r="J33" s="2356"/>
      <c r="K33" s="2356"/>
      <c r="L33" s="2356"/>
      <c r="M33" s="2355"/>
    </row>
    <row r="34" spans="1:14" s="2155" customFormat="1" ht="15.2" customHeight="1">
      <c r="A34" s="2324"/>
      <c r="B34" s="2352"/>
      <c r="C34" s="2353"/>
      <c r="D34" s="2338">
        <v>2023</v>
      </c>
      <c r="E34" s="2290">
        <v>29</v>
      </c>
      <c r="F34" s="2348"/>
      <c r="G34" s="2290">
        <v>66</v>
      </c>
      <c r="H34" s="2290">
        <v>41</v>
      </c>
      <c r="I34" s="2290">
        <v>41</v>
      </c>
      <c r="J34" s="2342"/>
      <c r="K34" s="2343"/>
      <c r="L34" s="2343"/>
      <c r="M34" s="2354"/>
    </row>
    <row r="35" spans="1:14" s="2155" customFormat="1" ht="15.2" customHeight="1">
      <c r="A35" s="2324"/>
      <c r="B35" s="2352"/>
      <c r="C35" s="2353"/>
      <c r="D35" s="2338">
        <v>2024</v>
      </c>
      <c r="E35" s="2290">
        <v>29</v>
      </c>
      <c r="F35" s="2348"/>
      <c r="G35" s="2290">
        <v>66</v>
      </c>
      <c r="H35" s="2290">
        <v>41</v>
      </c>
      <c r="I35" s="2290">
        <v>41</v>
      </c>
      <c r="J35" s="2342"/>
      <c r="K35" s="2343"/>
      <c r="L35" s="2343"/>
      <c r="M35" s="2341"/>
    </row>
    <row r="36" spans="1:14" s="2155" customFormat="1" ht="15.2" customHeight="1">
      <c r="B36" s="2352"/>
      <c r="C36" s="2353"/>
      <c r="D36" s="2344"/>
      <c r="E36" s="1997"/>
      <c r="F36" s="2348"/>
      <c r="G36" s="1605"/>
      <c r="H36" s="2348"/>
      <c r="I36" s="1605"/>
      <c r="J36" s="2351"/>
      <c r="K36" s="2351"/>
      <c r="L36" s="2351"/>
      <c r="M36" s="2341"/>
    </row>
    <row r="37" spans="1:14" s="2331" customFormat="1" ht="15.2" customHeight="1">
      <c r="B37" s="2352" t="s">
        <v>1866</v>
      </c>
      <c r="C37" s="222"/>
      <c r="D37" s="2428">
        <v>2022</v>
      </c>
      <c r="E37" s="2290">
        <v>29</v>
      </c>
      <c r="F37" s="2348"/>
      <c r="G37" s="2290">
        <v>66</v>
      </c>
      <c r="H37" s="2290">
        <v>41</v>
      </c>
      <c r="I37" s="2290">
        <v>41</v>
      </c>
      <c r="J37" s="2342"/>
      <c r="K37" s="2343"/>
      <c r="L37" s="2343"/>
      <c r="M37" s="2341"/>
      <c r="N37" s="222"/>
    </row>
    <row r="38" spans="1:14" s="2331" customFormat="1" ht="15.2" customHeight="1">
      <c r="B38" s="2291"/>
      <c r="C38" s="222"/>
      <c r="D38" s="2338">
        <v>2023</v>
      </c>
      <c r="E38" s="2290">
        <v>29</v>
      </c>
      <c r="F38" s="2348"/>
      <c r="G38" s="2290">
        <v>66</v>
      </c>
      <c r="H38" s="2290">
        <v>41</v>
      </c>
      <c r="I38" s="2290">
        <v>41</v>
      </c>
      <c r="J38" s="2342"/>
      <c r="K38" s="2343"/>
      <c r="L38" s="2343"/>
      <c r="M38" s="2341"/>
      <c r="N38" s="222"/>
    </row>
    <row r="39" spans="1:14" s="2331" customFormat="1" ht="15.2" customHeight="1">
      <c r="B39" s="2291"/>
      <c r="C39" s="222"/>
      <c r="D39" s="2338">
        <v>2024</v>
      </c>
      <c r="E39" s="2290">
        <v>29</v>
      </c>
      <c r="F39" s="2348"/>
      <c r="G39" s="2290">
        <v>66</v>
      </c>
      <c r="H39" s="2290">
        <v>41</v>
      </c>
      <c r="I39" s="2290">
        <v>41</v>
      </c>
      <c r="J39" s="2351"/>
      <c r="K39" s="2350"/>
      <c r="L39" s="2350"/>
      <c r="M39" s="2341"/>
      <c r="N39" s="222"/>
    </row>
    <row r="40" spans="1:14" s="2331" customFormat="1" ht="15.2" customHeight="1">
      <c r="B40" s="2291"/>
      <c r="C40" s="222"/>
      <c r="D40" s="2344"/>
      <c r="E40" s="1997"/>
      <c r="F40" s="2347"/>
      <c r="G40" s="1605"/>
      <c r="H40" s="2349"/>
      <c r="I40" s="1605"/>
      <c r="J40" s="2342"/>
      <c r="K40" s="2343"/>
      <c r="L40" s="2343"/>
      <c r="M40" s="2341"/>
      <c r="N40" s="222"/>
    </row>
    <row r="41" spans="1:14" s="2331" customFormat="1" ht="15.2" customHeight="1">
      <c r="B41" s="2346" t="s">
        <v>1576</v>
      </c>
      <c r="C41" s="2345"/>
      <c r="D41" s="2428">
        <v>2022</v>
      </c>
      <c r="E41" s="2290">
        <v>29</v>
      </c>
      <c r="F41" s="2348"/>
      <c r="G41" s="2290">
        <v>66</v>
      </c>
      <c r="H41" s="2290">
        <v>41</v>
      </c>
      <c r="I41" s="2290">
        <v>41</v>
      </c>
      <c r="J41" s="2342"/>
      <c r="K41" s="2343"/>
      <c r="L41" s="2343"/>
      <c r="M41" s="2341"/>
      <c r="N41" s="222"/>
    </row>
    <row r="42" spans="1:14" s="2331" customFormat="1" ht="15.2" customHeight="1">
      <c r="B42" s="2345"/>
      <c r="C42" s="2345"/>
      <c r="D42" s="2338">
        <v>2023</v>
      </c>
      <c r="E42" s="2290">
        <v>29</v>
      </c>
      <c r="F42" s="2348"/>
      <c r="G42" s="2290">
        <v>66</v>
      </c>
      <c r="H42" s="2290">
        <v>41</v>
      </c>
      <c r="I42" s="2290">
        <v>41</v>
      </c>
      <c r="J42" s="2342"/>
      <c r="K42" s="2343"/>
      <c r="L42" s="2343"/>
      <c r="M42" s="2341"/>
      <c r="N42" s="222"/>
    </row>
    <row r="43" spans="1:14" s="2331" customFormat="1" ht="15.2" customHeight="1">
      <c r="B43" s="2345"/>
      <c r="C43" s="2345"/>
      <c r="D43" s="2338">
        <v>2024</v>
      </c>
      <c r="E43" s="2290">
        <v>29</v>
      </c>
      <c r="F43" s="2348"/>
      <c r="G43" s="2290">
        <v>66</v>
      </c>
      <c r="H43" s="2290">
        <v>41</v>
      </c>
      <c r="I43" s="2290">
        <v>41</v>
      </c>
      <c r="J43" s="2342"/>
      <c r="K43" s="2343"/>
      <c r="L43" s="2343"/>
      <c r="M43" s="2341"/>
      <c r="N43" s="222"/>
    </row>
    <row r="44" spans="1:14" s="2331" customFormat="1" ht="15.2" customHeight="1">
      <c r="B44" s="2291"/>
      <c r="C44" s="222"/>
      <c r="D44" s="2385"/>
      <c r="E44" s="1605"/>
      <c r="F44" s="2348"/>
      <c r="G44" s="1605"/>
      <c r="H44" s="2348"/>
      <c r="I44" s="1605"/>
      <c r="J44" s="2342"/>
      <c r="K44" s="2343"/>
      <c r="L44" s="2343"/>
      <c r="M44" s="2341"/>
      <c r="N44" s="222"/>
    </row>
    <row r="45" spans="1:14" s="2331" customFormat="1" ht="15.2" customHeight="1">
      <c r="B45" s="2346" t="s">
        <v>1707</v>
      </c>
      <c r="C45" s="2345"/>
      <c r="D45" s="2428">
        <v>2022</v>
      </c>
      <c r="E45" s="2290">
        <v>29</v>
      </c>
      <c r="F45" s="2348"/>
      <c r="G45" s="2290">
        <v>66</v>
      </c>
      <c r="H45" s="2290">
        <v>41</v>
      </c>
      <c r="I45" s="2290">
        <v>41</v>
      </c>
      <c r="J45" s="2342"/>
      <c r="K45" s="2343"/>
      <c r="L45" s="2343"/>
      <c r="M45" s="2341"/>
      <c r="N45" s="222"/>
    </row>
    <row r="46" spans="1:14" s="2331" customFormat="1" ht="15.2" customHeight="1">
      <c r="B46" s="2345"/>
      <c r="C46" s="2345"/>
      <c r="D46" s="2338">
        <v>2023</v>
      </c>
      <c r="E46" s="2290">
        <v>29</v>
      </c>
      <c r="F46" s="2348"/>
      <c r="G46" s="2290">
        <v>66</v>
      </c>
      <c r="H46" s="2290">
        <v>41</v>
      </c>
      <c r="I46" s="2290">
        <v>41</v>
      </c>
      <c r="J46" s="2342"/>
      <c r="K46" s="2343"/>
      <c r="L46" s="2343"/>
      <c r="M46" s="2341"/>
      <c r="N46" s="222"/>
    </row>
    <row r="47" spans="1:14" s="2331" customFormat="1" ht="15.2" customHeight="1">
      <c r="B47" s="2345"/>
      <c r="C47" s="2345"/>
      <c r="D47" s="2338">
        <v>2024</v>
      </c>
      <c r="E47" s="2290">
        <v>29</v>
      </c>
      <c r="F47" s="2348"/>
      <c r="G47" s="2290">
        <v>66</v>
      </c>
      <c r="H47" s="2290">
        <v>41</v>
      </c>
      <c r="I47" s="2290">
        <v>41</v>
      </c>
      <c r="J47" s="2342"/>
      <c r="K47" s="2343"/>
      <c r="L47" s="2343"/>
      <c r="M47" s="2341"/>
      <c r="N47" s="222"/>
    </row>
    <row r="48" spans="1:14" s="2331" customFormat="1" ht="15.2" customHeight="1">
      <c r="B48" s="2291"/>
      <c r="C48" s="222"/>
      <c r="D48" s="2344"/>
      <c r="E48" s="1997"/>
      <c r="F48" s="2348"/>
      <c r="G48" s="1605"/>
      <c r="H48" s="2348"/>
      <c r="I48" s="1605"/>
      <c r="J48" s="2342"/>
      <c r="K48" s="2343"/>
      <c r="L48" s="2343"/>
      <c r="M48" s="2341"/>
      <c r="N48" s="222"/>
    </row>
    <row r="49" spans="2:14" s="2331" customFormat="1" ht="15.2" customHeight="1">
      <c r="B49" s="2346" t="s">
        <v>1716</v>
      </c>
      <c r="C49" s="2345"/>
      <c r="D49" s="2428">
        <v>2022</v>
      </c>
      <c r="E49" s="2290">
        <v>29</v>
      </c>
      <c r="F49" s="2348"/>
      <c r="G49" s="2290">
        <v>66</v>
      </c>
      <c r="H49" s="2290">
        <v>41</v>
      </c>
      <c r="I49" s="2290">
        <v>41</v>
      </c>
      <c r="J49" s="2342"/>
      <c r="K49" s="2343"/>
      <c r="L49" s="2343"/>
      <c r="M49" s="2341"/>
      <c r="N49" s="222"/>
    </row>
    <row r="50" spans="2:14" s="2331" customFormat="1" ht="15.2" customHeight="1">
      <c r="B50" s="2345"/>
      <c r="C50" s="2345"/>
      <c r="D50" s="2338">
        <v>2023</v>
      </c>
      <c r="E50" s="2290">
        <v>29</v>
      </c>
      <c r="F50" s="2348"/>
      <c r="G50" s="2290">
        <v>66</v>
      </c>
      <c r="H50" s="2290">
        <v>41</v>
      </c>
      <c r="I50" s="2290">
        <v>41</v>
      </c>
      <c r="J50" s="2342"/>
      <c r="K50" s="2343"/>
      <c r="L50" s="2343"/>
      <c r="M50" s="2341"/>
      <c r="N50" s="222"/>
    </row>
    <row r="51" spans="2:14" s="2331" customFormat="1" ht="15.2" customHeight="1">
      <c r="B51" s="2345"/>
      <c r="C51" s="2345"/>
      <c r="D51" s="2338">
        <v>2024</v>
      </c>
      <c r="E51" s="2290">
        <v>29</v>
      </c>
      <c r="F51" s="2348"/>
      <c r="G51" s="2290">
        <v>66</v>
      </c>
      <c r="H51" s="2290">
        <v>41</v>
      </c>
      <c r="I51" s="2290">
        <v>41</v>
      </c>
      <c r="J51" s="2342"/>
      <c r="K51" s="2343"/>
      <c r="L51" s="2343"/>
      <c r="M51" s="2341"/>
      <c r="N51" s="222"/>
    </row>
    <row r="52" spans="2:14" s="2331" customFormat="1" ht="15.2" customHeight="1">
      <c r="B52" s="2345"/>
      <c r="C52" s="2345"/>
      <c r="D52" s="2344"/>
      <c r="E52" s="1997"/>
      <c r="F52" s="2347"/>
      <c r="G52" s="1605"/>
      <c r="H52" s="2349"/>
      <c r="I52" s="1605"/>
      <c r="J52" s="2342"/>
      <c r="K52" s="2343"/>
      <c r="L52" s="2343"/>
      <c r="M52" s="2341"/>
      <c r="N52" s="222"/>
    </row>
    <row r="53" spans="2:14" s="2331" customFormat="1" ht="15.2" customHeight="1">
      <c r="B53" s="2346" t="s">
        <v>1689</v>
      </c>
      <c r="C53" s="2345"/>
      <c r="D53" s="2428">
        <v>2022</v>
      </c>
      <c r="E53" s="2290">
        <v>29</v>
      </c>
      <c r="F53" s="2348"/>
      <c r="G53" s="2290">
        <v>66</v>
      </c>
      <c r="H53" s="2290">
        <v>41</v>
      </c>
      <c r="I53" s="2290">
        <v>41</v>
      </c>
      <c r="J53" s="2342"/>
      <c r="K53" s="2343"/>
      <c r="L53" s="2343"/>
      <c r="M53" s="2341"/>
      <c r="N53" s="222"/>
    </row>
    <row r="54" spans="2:14" s="2331" customFormat="1" ht="15.2" customHeight="1">
      <c r="B54" s="2345"/>
      <c r="C54" s="2345"/>
      <c r="D54" s="2338">
        <v>2023</v>
      </c>
      <c r="E54" s="2290">
        <v>29</v>
      </c>
      <c r="F54" s="2348"/>
      <c r="G54" s="2290">
        <v>66</v>
      </c>
      <c r="H54" s="2290">
        <v>41</v>
      </c>
      <c r="I54" s="2290">
        <v>41</v>
      </c>
      <c r="J54" s="2342"/>
      <c r="K54" s="2343"/>
      <c r="L54" s="2343"/>
      <c r="M54" s="2341"/>
      <c r="N54" s="222"/>
    </row>
    <row r="55" spans="2:14" s="2331" customFormat="1" ht="15.2" customHeight="1">
      <c r="B55" s="2345"/>
      <c r="C55" s="2345"/>
      <c r="D55" s="2338">
        <v>2024</v>
      </c>
      <c r="E55" s="2290">
        <v>29</v>
      </c>
      <c r="F55" s="2348"/>
      <c r="G55" s="2290">
        <v>66</v>
      </c>
      <c r="H55" s="2290">
        <v>41</v>
      </c>
      <c r="I55" s="2290">
        <v>41</v>
      </c>
      <c r="J55" s="2342"/>
      <c r="K55" s="2343"/>
      <c r="L55" s="2343"/>
      <c r="M55" s="2341"/>
      <c r="N55" s="222"/>
    </row>
    <row r="56" spans="2:14" s="2331" customFormat="1" ht="15.2" customHeight="1">
      <c r="B56" s="2345"/>
      <c r="C56" s="2345"/>
      <c r="D56" s="2385"/>
      <c r="E56" s="1605"/>
      <c r="F56" s="2348"/>
      <c r="G56" s="1605"/>
      <c r="H56" s="2348"/>
      <c r="I56" s="1605"/>
      <c r="J56" s="2342"/>
      <c r="K56" s="2343"/>
      <c r="L56" s="2343"/>
      <c r="M56" s="2341"/>
      <c r="N56" s="222"/>
    </row>
    <row r="57" spans="2:14" s="2331" customFormat="1" ht="15.2" customHeight="1">
      <c r="B57" s="2346" t="s">
        <v>1688</v>
      </c>
      <c r="C57" s="2345"/>
      <c r="D57" s="2428">
        <v>2022</v>
      </c>
      <c r="E57" s="2290">
        <v>29</v>
      </c>
      <c r="F57" s="2348"/>
      <c r="G57" s="2290">
        <v>66</v>
      </c>
      <c r="H57" s="2290">
        <v>41</v>
      </c>
      <c r="I57" s="2290">
        <v>41</v>
      </c>
      <c r="J57" s="2342"/>
      <c r="K57" s="2343"/>
      <c r="L57" s="2343"/>
      <c r="M57" s="2341"/>
      <c r="N57" s="222"/>
    </row>
    <row r="58" spans="2:14" s="2331" customFormat="1" ht="15.2" customHeight="1">
      <c r="B58" s="2345"/>
      <c r="C58" s="2345"/>
      <c r="D58" s="2338">
        <v>2023</v>
      </c>
      <c r="E58" s="2290">
        <v>29</v>
      </c>
      <c r="F58" s="2348"/>
      <c r="G58" s="2290">
        <v>66</v>
      </c>
      <c r="H58" s="2290">
        <v>41</v>
      </c>
      <c r="I58" s="2290">
        <v>41</v>
      </c>
      <c r="J58" s="2342"/>
      <c r="K58" s="2343"/>
      <c r="L58" s="2343"/>
      <c r="M58" s="2341"/>
      <c r="N58" s="222"/>
    </row>
    <row r="59" spans="2:14" s="2331" customFormat="1" ht="15.2" customHeight="1">
      <c r="B59" s="2345"/>
      <c r="C59" s="2345"/>
      <c r="D59" s="2338">
        <v>2024</v>
      </c>
      <c r="E59" s="2290">
        <v>29</v>
      </c>
      <c r="F59" s="2348"/>
      <c r="G59" s="2290">
        <v>66</v>
      </c>
      <c r="H59" s="2290">
        <v>41</v>
      </c>
      <c r="I59" s="2290">
        <v>41</v>
      </c>
      <c r="J59" s="2342"/>
      <c r="K59" s="2343"/>
      <c r="L59" s="2343"/>
      <c r="M59" s="2341"/>
      <c r="N59" s="222"/>
    </row>
    <row r="60" spans="2:14" s="2331" customFormat="1" ht="15.2" customHeight="1">
      <c r="B60" s="2345"/>
      <c r="C60" s="2345"/>
      <c r="D60" s="2344"/>
      <c r="E60" s="1997"/>
      <c r="F60" s="2348"/>
      <c r="G60" s="1605"/>
      <c r="H60" s="2348"/>
      <c r="I60" s="1605"/>
      <c r="J60" s="2342"/>
      <c r="K60" s="2343"/>
      <c r="L60" s="2343"/>
      <c r="M60" s="2341"/>
      <c r="N60" s="222"/>
    </row>
    <row r="61" spans="2:14" s="2331" customFormat="1" ht="15.2" customHeight="1">
      <c r="B61" s="2346" t="s">
        <v>1705</v>
      </c>
      <c r="C61" s="2345"/>
      <c r="D61" s="2428">
        <v>2022</v>
      </c>
      <c r="E61" s="2290">
        <v>29</v>
      </c>
      <c r="F61" s="2348"/>
      <c r="G61" s="2290">
        <v>66</v>
      </c>
      <c r="H61" s="2290">
        <v>41</v>
      </c>
      <c r="I61" s="2290">
        <v>41</v>
      </c>
      <c r="J61" s="2343"/>
      <c r="K61" s="2343"/>
      <c r="L61" s="2343"/>
      <c r="M61" s="2341"/>
      <c r="N61" s="222"/>
    </row>
    <row r="62" spans="2:14" s="2331" customFormat="1" ht="15.2" customHeight="1">
      <c r="B62" s="2345"/>
      <c r="C62" s="2345"/>
      <c r="D62" s="2338">
        <v>2023</v>
      </c>
      <c r="E62" s="2290">
        <v>29</v>
      </c>
      <c r="F62" s="2348"/>
      <c r="G62" s="2290">
        <v>66</v>
      </c>
      <c r="H62" s="2290">
        <v>41</v>
      </c>
      <c r="I62" s="2290">
        <v>41</v>
      </c>
      <c r="J62" s="2343"/>
      <c r="K62" s="2343"/>
      <c r="L62" s="2343"/>
      <c r="M62" s="2341"/>
      <c r="N62" s="222"/>
    </row>
    <row r="63" spans="2:14" s="2331" customFormat="1" ht="15.2" customHeight="1">
      <c r="B63" s="2345"/>
      <c r="C63" s="2345"/>
      <c r="D63" s="2338">
        <v>2024</v>
      </c>
      <c r="E63" s="2290">
        <v>29</v>
      </c>
      <c r="F63" s="2348"/>
      <c r="G63" s="2290">
        <v>66</v>
      </c>
      <c r="H63" s="2290">
        <v>41</v>
      </c>
      <c r="I63" s="2290">
        <v>41</v>
      </c>
      <c r="J63" s="2343"/>
      <c r="K63" s="2343"/>
      <c r="L63" s="2343"/>
      <c r="M63" s="2341"/>
      <c r="N63" s="222"/>
    </row>
    <row r="64" spans="2:14" s="2331" customFormat="1" ht="15.2" customHeight="1">
      <c r="B64" s="2345"/>
      <c r="C64" s="2345"/>
      <c r="D64" s="2344"/>
      <c r="E64" s="1997"/>
      <c r="F64" s="2347"/>
      <c r="G64" s="2313"/>
      <c r="H64" s="2347"/>
      <c r="I64" s="1605"/>
      <c r="J64" s="2343"/>
      <c r="K64" s="2343"/>
      <c r="L64" s="2343"/>
      <c r="M64" s="2341"/>
      <c r="N64" s="222"/>
    </row>
    <row r="65" spans="1:14" s="2331" customFormat="1" ht="15.2" customHeight="1">
      <c r="B65" s="2346" t="s">
        <v>1682</v>
      </c>
      <c r="C65" s="2345"/>
      <c r="D65" s="2428">
        <v>2022</v>
      </c>
      <c r="E65" s="2290">
        <v>29</v>
      </c>
      <c r="F65" s="2348"/>
      <c r="G65" s="2290">
        <v>66</v>
      </c>
      <c r="H65" s="2290">
        <v>41</v>
      </c>
      <c r="I65" s="2290">
        <v>41</v>
      </c>
      <c r="J65" s="2343"/>
      <c r="K65" s="2343"/>
      <c r="L65" s="2343"/>
      <c r="M65" s="2341"/>
      <c r="N65" s="222"/>
    </row>
    <row r="66" spans="1:14" s="2331" customFormat="1" ht="15.2" customHeight="1">
      <c r="B66" s="1998"/>
      <c r="C66" s="2345"/>
      <c r="D66" s="2338">
        <v>2023</v>
      </c>
      <c r="E66" s="2290">
        <v>29</v>
      </c>
      <c r="F66" s="2348"/>
      <c r="G66" s="2290">
        <v>66</v>
      </c>
      <c r="H66" s="2290">
        <v>41</v>
      </c>
      <c r="I66" s="2290">
        <v>41</v>
      </c>
      <c r="J66" s="2343"/>
      <c r="K66" s="2343"/>
      <c r="L66" s="2343"/>
      <c r="M66" s="2341"/>
      <c r="N66" s="222"/>
    </row>
    <row r="67" spans="1:14" s="2331" customFormat="1" ht="15.2" customHeight="1">
      <c r="B67" s="1998"/>
      <c r="C67" s="2345"/>
      <c r="D67" s="2338">
        <v>2024</v>
      </c>
      <c r="E67" s="2290">
        <v>29</v>
      </c>
      <c r="F67" s="2348"/>
      <c r="G67" s="2290">
        <v>66</v>
      </c>
      <c r="H67" s="2290">
        <v>41</v>
      </c>
      <c r="I67" s="2290">
        <v>41</v>
      </c>
      <c r="J67" s="2343"/>
      <c r="K67" s="2343"/>
      <c r="L67" s="2343"/>
      <c r="M67" s="2341"/>
      <c r="N67" s="222"/>
    </row>
    <row r="68" spans="1:14" s="2331" customFormat="1" ht="15.2" customHeight="1">
      <c r="A68" s="2359"/>
      <c r="B68" s="2289"/>
      <c r="C68" s="2353"/>
      <c r="D68" s="2424"/>
      <c r="E68" s="2356"/>
      <c r="F68" s="2356"/>
      <c r="G68" s="2356"/>
      <c r="H68" s="2356"/>
      <c r="I68" s="2356"/>
      <c r="J68" s="2360"/>
    </row>
    <row r="69" spans="1:14" s="2324" customFormat="1" ht="7.5" customHeight="1" thickBot="1">
      <c r="A69" s="2423"/>
      <c r="B69" s="2335"/>
      <c r="C69" s="2335"/>
      <c r="D69" s="2332"/>
      <c r="E69" s="2421"/>
      <c r="F69" s="2422"/>
      <c r="G69" s="2421"/>
      <c r="H69" s="2374"/>
      <c r="I69" s="2374"/>
    </row>
    <row r="70" spans="1:14" s="2324" customFormat="1" ht="16.5" customHeight="1">
      <c r="B70" s="2330"/>
      <c r="C70" s="2330"/>
      <c r="D70" s="2329"/>
      <c r="E70" s="2293"/>
      <c r="F70" s="2907" t="s">
        <v>241</v>
      </c>
      <c r="G70" s="2907"/>
      <c r="H70" s="2907"/>
      <c r="I70" s="2907"/>
      <c r="J70" s="2419"/>
    </row>
    <row r="71" spans="1:14" s="2155" customFormat="1" ht="15.75" customHeight="1">
      <c r="A71" s="2324"/>
      <c r="B71" s="2330"/>
      <c r="C71" s="2330"/>
      <c r="D71" s="2329"/>
      <c r="E71" s="2293"/>
      <c r="F71" s="2908" t="s">
        <v>242</v>
      </c>
      <c r="G71" s="2908"/>
      <c r="H71" s="2908"/>
      <c r="I71" s="2908"/>
      <c r="J71" s="2418"/>
    </row>
    <row r="72" spans="1:14" s="2331" customFormat="1" ht="8.1" customHeight="1">
      <c r="B72" s="2353"/>
      <c r="C72" s="2353"/>
      <c r="D72" s="2338"/>
      <c r="E72" s="2381"/>
      <c r="F72" s="2381"/>
      <c r="G72" s="2446"/>
      <c r="H72" s="2446"/>
      <c r="I72" s="2446"/>
      <c r="J72" s="2362"/>
    </row>
    <row r="73" spans="1:14" s="2331" customFormat="1" ht="8.1" customHeight="1">
      <c r="B73" s="2353"/>
      <c r="C73" s="2353"/>
      <c r="D73" s="2338"/>
      <c r="E73" s="2381"/>
      <c r="F73" s="2381"/>
      <c r="G73" s="2446"/>
      <c r="H73" s="2446"/>
      <c r="I73" s="2446"/>
      <c r="J73" s="2362"/>
    </row>
    <row r="74" spans="1:14" s="2443" customFormat="1" ht="17.25" customHeight="1">
      <c r="B74" s="2384" t="s">
        <v>1906</v>
      </c>
      <c r="C74" s="2903" t="s">
        <v>1905</v>
      </c>
      <c r="D74" s="2903"/>
      <c r="E74" s="2903"/>
      <c r="F74" s="2903"/>
      <c r="G74" s="2903"/>
      <c r="H74" s="2903"/>
      <c r="I74" s="2903"/>
      <c r="J74" s="2392"/>
    </row>
    <row r="75" spans="1:14" s="2443" customFormat="1" ht="17.25" customHeight="1">
      <c r="B75" s="2384"/>
      <c r="C75" s="2445" t="s">
        <v>2008</v>
      </c>
      <c r="D75" s="2444"/>
      <c r="E75" s="2392"/>
      <c r="F75" s="2392"/>
      <c r="G75" s="2393"/>
      <c r="H75" s="2393"/>
      <c r="I75" s="2393"/>
      <c r="J75" s="2392"/>
    </row>
    <row r="76" spans="1:14" s="2440" customFormat="1" ht="17.25" customHeight="1">
      <c r="B76" s="2380" t="s">
        <v>1904</v>
      </c>
      <c r="C76" s="2442" t="s">
        <v>2009</v>
      </c>
      <c r="D76" s="2441"/>
    </row>
    <row r="77" spans="1:14" s="2331" customFormat="1" ht="8.1" customHeight="1" thickBot="1">
      <c r="A77" s="2332"/>
      <c r="B77" s="2377"/>
      <c r="C77" s="2377"/>
      <c r="D77" s="2334"/>
      <c r="E77" s="2439"/>
      <c r="F77" s="2439"/>
      <c r="G77" s="2438"/>
      <c r="H77" s="2438"/>
      <c r="I77" s="2438"/>
    </row>
    <row r="78" spans="1:14" s="2340" customFormat="1" ht="8.1" customHeight="1">
      <c r="D78" s="2428"/>
      <c r="E78" s="2432"/>
      <c r="F78" s="2432"/>
      <c r="G78" s="2433"/>
      <c r="H78" s="2433"/>
      <c r="I78" s="2433"/>
    </row>
    <row r="79" spans="1:14" s="2340" customFormat="1" ht="15.2" customHeight="1">
      <c r="B79" s="2437" t="s">
        <v>1903</v>
      </c>
      <c r="C79" s="2389"/>
      <c r="D79" s="2387" t="s">
        <v>39</v>
      </c>
      <c r="E79" s="2434" t="s">
        <v>243</v>
      </c>
      <c r="F79" s="2434"/>
      <c r="G79" s="2905" t="s">
        <v>1902</v>
      </c>
      <c r="H79" s="2905"/>
      <c r="I79" s="2905"/>
      <c r="J79" s="2389"/>
    </row>
    <row r="80" spans="1:14" s="2340" customFormat="1" ht="15.2" customHeight="1" thickBot="1">
      <c r="B80" s="2436" t="s">
        <v>1901</v>
      </c>
      <c r="C80" s="2389"/>
      <c r="D80" s="2435" t="s">
        <v>40</v>
      </c>
      <c r="E80" s="2434" t="s">
        <v>244</v>
      </c>
      <c r="F80" s="2434"/>
      <c r="G80" s="2906" t="s">
        <v>1900</v>
      </c>
      <c r="H80" s="2906"/>
      <c r="I80" s="2906"/>
      <c r="J80" s="2432"/>
    </row>
    <row r="81" spans="1:14" s="2340" customFormat="1" ht="15.2" customHeight="1">
      <c r="B81" s="2432"/>
      <c r="C81" s="2389"/>
      <c r="D81" s="2428"/>
      <c r="E81" s="2433" t="s">
        <v>245</v>
      </c>
      <c r="F81" s="2433"/>
      <c r="G81" s="2434" t="s">
        <v>45</v>
      </c>
      <c r="H81" s="2434" t="s">
        <v>246</v>
      </c>
      <c r="I81" s="2434" t="s">
        <v>247</v>
      </c>
      <c r="J81" s="2432"/>
    </row>
    <row r="82" spans="1:14" s="2340" customFormat="1" ht="15.2" customHeight="1">
      <c r="B82" s="2388"/>
      <c r="C82" s="2388"/>
      <c r="D82" s="2428"/>
      <c r="E82" s="2433"/>
      <c r="F82" s="2433"/>
      <c r="G82" s="2433" t="s">
        <v>46</v>
      </c>
      <c r="H82" s="2433" t="s">
        <v>248</v>
      </c>
      <c r="I82" s="2433" t="s">
        <v>249</v>
      </c>
      <c r="J82" s="2432"/>
    </row>
    <row r="83" spans="1:14" s="2340" customFormat="1" ht="15.2" customHeight="1" thickBot="1">
      <c r="A83" s="2336"/>
      <c r="B83" s="2431"/>
      <c r="C83" s="2431"/>
      <c r="D83" s="2397"/>
      <c r="E83" s="2430"/>
      <c r="F83" s="2430"/>
      <c r="G83" s="2429"/>
      <c r="H83" s="2429"/>
      <c r="I83" s="2429"/>
      <c r="M83" s="2339"/>
    </row>
    <row r="84" spans="1:14" s="2331" customFormat="1" ht="15.2" customHeight="1">
      <c r="B84" s="2371"/>
      <c r="C84" s="2371"/>
      <c r="D84" s="2370"/>
      <c r="E84" s="2386"/>
      <c r="F84" s="2386"/>
      <c r="G84" s="2386"/>
      <c r="H84" s="2386"/>
      <c r="I84" s="2386"/>
    </row>
    <row r="85" spans="1:14" s="2331" customFormat="1" ht="15.2" customHeight="1">
      <c r="A85" s="2359"/>
      <c r="B85" s="2352" t="s">
        <v>1713</v>
      </c>
      <c r="C85" s="222"/>
      <c r="D85" s="2428">
        <v>2022</v>
      </c>
      <c r="E85" s="2290">
        <v>29</v>
      </c>
      <c r="F85" s="2348"/>
      <c r="G85" s="2290">
        <v>66</v>
      </c>
      <c r="H85" s="2290">
        <v>41</v>
      </c>
      <c r="I85" s="2290">
        <v>41</v>
      </c>
      <c r="J85" s="2314"/>
      <c r="K85" s="2356"/>
      <c r="L85" s="2356"/>
      <c r="M85" s="2356"/>
      <c r="N85" s="2360"/>
    </row>
    <row r="86" spans="1:14" s="2331" customFormat="1" ht="15.2" customHeight="1">
      <c r="A86" s="2359"/>
      <c r="B86" s="2357"/>
      <c r="C86" s="222"/>
      <c r="D86" s="2338">
        <v>2023</v>
      </c>
      <c r="E86" s="2290">
        <v>29</v>
      </c>
      <c r="F86" s="2348"/>
      <c r="G86" s="2290">
        <v>66</v>
      </c>
      <c r="H86" s="2290">
        <v>41</v>
      </c>
      <c r="I86" s="2290">
        <v>41</v>
      </c>
      <c r="J86" s="2314"/>
      <c r="K86" s="2356"/>
      <c r="L86" s="2356"/>
      <c r="M86" s="2356"/>
      <c r="N86" s="2360"/>
    </row>
    <row r="87" spans="1:14" s="2331" customFormat="1" ht="15.2" customHeight="1">
      <c r="A87" s="2359"/>
      <c r="B87" s="2357"/>
      <c r="C87" s="222"/>
      <c r="D87" s="2338">
        <v>2024</v>
      </c>
      <c r="E87" s="2290">
        <v>29</v>
      </c>
      <c r="F87" s="2348"/>
      <c r="G87" s="2290">
        <v>66</v>
      </c>
      <c r="H87" s="2290">
        <v>41</v>
      </c>
      <c r="I87" s="2290">
        <v>41</v>
      </c>
      <c r="J87" s="2314"/>
      <c r="K87" s="2351"/>
      <c r="L87" s="2350"/>
      <c r="M87" s="2350"/>
      <c r="N87" s="2360"/>
    </row>
    <row r="88" spans="1:14" s="2331" customFormat="1" ht="15.2" customHeight="1">
      <c r="A88" s="2359"/>
      <c r="B88" s="2357"/>
      <c r="C88" s="222"/>
      <c r="D88" s="2385"/>
      <c r="E88" s="1605"/>
      <c r="F88" s="2348"/>
      <c r="G88" s="1605"/>
      <c r="H88" s="2348"/>
      <c r="I88" s="1605"/>
      <c r="J88" s="2314"/>
      <c r="K88" s="2356"/>
      <c r="L88" s="2356"/>
      <c r="M88" s="2356"/>
      <c r="N88" s="2360"/>
    </row>
    <row r="89" spans="1:14" s="2331" customFormat="1" ht="15.2" customHeight="1">
      <c r="A89" s="2359"/>
      <c r="B89" s="2291" t="s">
        <v>1711</v>
      </c>
      <c r="C89" s="222"/>
      <c r="D89" s="2428">
        <v>2022</v>
      </c>
      <c r="E89" s="2290">
        <v>29</v>
      </c>
      <c r="F89" s="2348"/>
      <c r="G89" s="2290">
        <v>66</v>
      </c>
      <c r="H89" s="2290">
        <v>41</v>
      </c>
      <c r="I89" s="2290">
        <v>41</v>
      </c>
      <c r="J89" s="2314"/>
      <c r="K89" s="2356"/>
      <c r="L89" s="2356"/>
      <c r="M89" s="2356"/>
      <c r="N89" s="2360"/>
    </row>
    <row r="90" spans="1:14" s="2331" customFormat="1" ht="15.2" customHeight="1">
      <c r="A90" s="2359"/>
      <c r="B90" s="2291"/>
      <c r="C90" s="222"/>
      <c r="D90" s="2338">
        <v>2023</v>
      </c>
      <c r="E90" s="2290">
        <v>29</v>
      </c>
      <c r="F90" s="2348"/>
      <c r="G90" s="2290">
        <v>66</v>
      </c>
      <c r="H90" s="2290">
        <v>41</v>
      </c>
      <c r="I90" s="2290">
        <v>41</v>
      </c>
      <c r="J90" s="2314"/>
      <c r="K90" s="2342"/>
      <c r="L90" s="2343"/>
      <c r="M90" s="2343"/>
      <c r="N90" s="2360"/>
    </row>
    <row r="91" spans="1:14" s="2331" customFormat="1" ht="15.2" customHeight="1">
      <c r="A91" s="2359"/>
      <c r="B91" s="2291"/>
      <c r="C91" s="222"/>
      <c r="D91" s="2338">
        <v>2024</v>
      </c>
      <c r="E91" s="2290">
        <v>29</v>
      </c>
      <c r="F91" s="2348"/>
      <c r="G91" s="2290">
        <v>66</v>
      </c>
      <c r="H91" s="2290">
        <v>41</v>
      </c>
      <c r="I91" s="2290">
        <v>41</v>
      </c>
      <c r="J91" s="2314"/>
      <c r="K91" s="2351"/>
      <c r="L91" s="2350"/>
      <c r="M91" s="2350"/>
      <c r="N91" s="2360"/>
    </row>
    <row r="92" spans="1:14" s="2331" customFormat="1" ht="15.2" customHeight="1">
      <c r="A92" s="2359"/>
      <c r="B92" s="2291"/>
      <c r="C92" s="222"/>
      <c r="D92" s="2344"/>
      <c r="E92" s="1997"/>
      <c r="F92" s="2348"/>
      <c r="G92" s="1605"/>
      <c r="H92" s="2348"/>
      <c r="I92" s="1605"/>
      <c r="J92" s="2314"/>
      <c r="K92" s="2342"/>
      <c r="L92" s="2343"/>
      <c r="M92" s="2343"/>
      <c r="N92" s="2360"/>
    </row>
    <row r="93" spans="1:14" s="2331" customFormat="1" ht="15.2" customHeight="1">
      <c r="A93" s="2359"/>
      <c r="B93" s="2346" t="s">
        <v>1578</v>
      </c>
      <c r="C93" s="2345"/>
      <c r="D93" s="2428">
        <v>2022</v>
      </c>
      <c r="E93" s="2290">
        <v>29</v>
      </c>
      <c r="F93" s="2348"/>
      <c r="G93" s="2290">
        <v>66</v>
      </c>
      <c r="H93" s="2290">
        <v>41</v>
      </c>
      <c r="I93" s="2290">
        <v>41</v>
      </c>
      <c r="J93" s="2314"/>
      <c r="K93" s="2356"/>
      <c r="L93" s="2356"/>
      <c r="M93" s="2356"/>
      <c r="N93" s="2360"/>
    </row>
    <row r="94" spans="1:14" s="2331" customFormat="1" ht="15.2" customHeight="1">
      <c r="A94" s="2359"/>
      <c r="B94" s="2345"/>
      <c r="C94" s="2345"/>
      <c r="D94" s="2338">
        <v>2023</v>
      </c>
      <c r="E94" s="2290">
        <v>29</v>
      </c>
      <c r="F94" s="2348"/>
      <c r="G94" s="2290">
        <v>66</v>
      </c>
      <c r="H94" s="2290">
        <v>41</v>
      </c>
      <c r="I94" s="2290">
        <v>41</v>
      </c>
      <c r="J94" s="2314"/>
      <c r="K94" s="2351"/>
      <c r="L94" s="2351"/>
      <c r="M94" s="2351"/>
      <c r="N94" s="2360"/>
    </row>
    <row r="95" spans="1:14" s="2331" customFormat="1" ht="15.2" customHeight="1">
      <c r="A95" s="2359"/>
      <c r="B95" s="2345"/>
      <c r="C95" s="2345"/>
      <c r="D95" s="2338">
        <v>2024</v>
      </c>
      <c r="E95" s="2290">
        <v>29</v>
      </c>
      <c r="F95" s="2348"/>
      <c r="G95" s="2290">
        <v>66</v>
      </c>
      <c r="H95" s="2290">
        <v>41</v>
      </c>
      <c r="I95" s="2290">
        <v>41</v>
      </c>
      <c r="J95" s="2314"/>
      <c r="K95" s="2351"/>
      <c r="L95" s="2350"/>
      <c r="M95" s="2350"/>
      <c r="N95" s="2360"/>
    </row>
    <row r="96" spans="1:14" s="2331" customFormat="1" ht="15.2" customHeight="1">
      <c r="A96" s="2359"/>
      <c r="B96" s="2345"/>
      <c r="C96" s="2345"/>
      <c r="D96" s="2344"/>
      <c r="E96" s="1997"/>
      <c r="F96" s="2347"/>
      <c r="G96" s="1605"/>
      <c r="H96" s="2349"/>
      <c r="I96" s="1605"/>
      <c r="J96" s="2314"/>
      <c r="K96" s="2342"/>
      <c r="L96" s="2343"/>
      <c r="M96" s="2343"/>
      <c r="N96" s="2360"/>
    </row>
    <row r="97" spans="1:15" s="2331" customFormat="1" ht="15.2" customHeight="1">
      <c r="A97" s="2359"/>
      <c r="B97" s="2346" t="s">
        <v>1714</v>
      </c>
      <c r="C97" s="2346"/>
      <c r="D97" s="2428">
        <v>2022</v>
      </c>
      <c r="E97" s="2290">
        <v>29</v>
      </c>
      <c r="F97" s="2348"/>
      <c r="G97" s="2290">
        <v>66</v>
      </c>
      <c r="H97" s="2290">
        <v>41</v>
      </c>
      <c r="I97" s="2290">
        <v>41</v>
      </c>
      <c r="J97" s="2314"/>
      <c r="K97" s="2351"/>
      <c r="L97" s="2350"/>
      <c r="M97" s="2350"/>
      <c r="N97" s="2360"/>
    </row>
    <row r="98" spans="1:15" s="2324" customFormat="1" ht="15.2" customHeight="1">
      <c r="A98" s="2359"/>
      <c r="B98" s="2346"/>
      <c r="C98" s="2346"/>
      <c r="D98" s="2338">
        <v>2023</v>
      </c>
      <c r="E98" s="2290">
        <v>29</v>
      </c>
      <c r="F98" s="2348"/>
      <c r="G98" s="2290">
        <v>66</v>
      </c>
      <c r="H98" s="2290">
        <v>41</v>
      </c>
      <c r="I98" s="2290">
        <v>41</v>
      </c>
      <c r="J98" s="2314"/>
      <c r="K98" s="2351"/>
      <c r="L98" s="2350"/>
      <c r="M98" s="2350"/>
      <c r="N98" s="2360"/>
    </row>
    <row r="99" spans="1:15" s="2324" customFormat="1" ht="15.2" customHeight="1">
      <c r="A99" s="2359"/>
      <c r="B99" s="2346"/>
      <c r="C99" s="2346"/>
      <c r="D99" s="2338">
        <v>2024</v>
      </c>
      <c r="E99" s="2290">
        <v>29</v>
      </c>
      <c r="F99" s="2348"/>
      <c r="G99" s="2290">
        <v>66</v>
      </c>
      <c r="H99" s="2290">
        <v>41</v>
      </c>
      <c r="I99" s="2290">
        <v>41</v>
      </c>
      <c r="J99" s="2314"/>
      <c r="K99" s="2351"/>
      <c r="L99" s="2350"/>
      <c r="M99" s="2350"/>
      <c r="N99" s="2360"/>
    </row>
    <row r="100" spans="1:15" s="2324" customFormat="1" ht="15.2" customHeight="1">
      <c r="A100" s="2359"/>
      <c r="B100" s="2346"/>
      <c r="C100" s="2346"/>
      <c r="D100" s="2344"/>
      <c r="E100" s="1605"/>
      <c r="F100" s="2348"/>
      <c r="G100" s="1605"/>
      <c r="H100" s="2348"/>
      <c r="I100" s="1605"/>
      <c r="J100" s="2314"/>
      <c r="K100" s="2351"/>
      <c r="L100" s="2351"/>
      <c r="M100" s="2351"/>
      <c r="N100" s="2358"/>
    </row>
    <row r="101" spans="1:15" s="2324" customFormat="1" ht="15.2" customHeight="1">
      <c r="B101" s="2357" t="s">
        <v>1693</v>
      </c>
      <c r="C101" s="2353"/>
      <c r="D101" s="2428">
        <v>2022</v>
      </c>
      <c r="E101" s="2290">
        <v>29</v>
      </c>
      <c r="F101" s="2348"/>
      <c r="G101" s="2290">
        <v>66</v>
      </c>
      <c r="H101" s="2290">
        <v>41</v>
      </c>
      <c r="I101" s="2290">
        <v>41</v>
      </c>
      <c r="J101" s="2314"/>
      <c r="K101" s="2356"/>
      <c r="L101" s="2356"/>
      <c r="M101" s="2356"/>
      <c r="N101" s="2355"/>
    </row>
    <row r="102" spans="1:15" s="2155" customFormat="1" ht="15.2" customHeight="1">
      <c r="A102" s="2324"/>
      <c r="B102" s="2352"/>
      <c r="C102" s="2353"/>
      <c r="D102" s="2338">
        <v>2023</v>
      </c>
      <c r="E102" s="2290">
        <v>29</v>
      </c>
      <c r="F102" s="2348"/>
      <c r="G102" s="2290">
        <v>66</v>
      </c>
      <c r="H102" s="2290">
        <v>41</v>
      </c>
      <c r="I102" s="2290">
        <v>41</v>
      </c>
      <c r="J102" s="2314"/>
      <c r="K102" s="2342"/>
      <c r="L102" s="2343"/>
      <c r="M102" s="2343"/>
      <c r="N102" s="2354"/>
    </row>
    <row r="103" spans="1:15" s="2155" customFormat="1" ht="15.2" customHeight="1">
      <c r="A103" s="2324"/>
      <c r="B103" s="2352"/>
      <c r="C103" s="2353"/>
      <c r="D103" s="2338">
        <v>2024</v>
      </c>
      <c r="E103" s="2290">
        <v>29</v>
      </c>
      <c r="F103" s="2348"/>
      <c r="G103" s="2290">
        <v>66</v>
      </c>
      <c r="H103" s="2290">
        <v>41</v>
      </c>
      <c r="I103" s="2290">
        <v>41</v>
      </c>
      <c r="J103" s="2314"/>
      <c r="K103" s="2342"/>
      <c r="L103" s="2343"/>
      <c r="M103" s="2343"/>
      <c r="N103" s="2341"/>
    </row>
    <row r="104" spans="1:15" s="2155" customFormat="1" ht="15.2" customHeight="1">
      <c r="B104" s="2352"/>
      <c r="C104" s="2353"/>
      <c r="D104" s="2385"/>
      <c r="E104" s="1997"/>
      <c r="F104" s="2348"/>
      <c r="G104" s="1605"/>
      <c r="H104" s="2348"/>
      <c r="I104" s="1605"/>
      <c r="J104" s="2314"/>
      <c r="K104" s="2351"/>
      <c r="L104" s="2351"/>
      <c r="M104" s="2351"/>
      <c r="N104" s="2341"/>
    </row>
    <row r="105" spans="1:15" s="2331" customFormat="1" ht="15.2" customHeight="1">
      <c r="B105" s="2352" t="s">
        <v>1709</v>
      </c>
      <c r="C105" s="222"/>
      <c r="D105" s="2428">
        <v>2022</v>
      </c>
      <c r="E105" s="2290">
        <v>29</v>
      </c>
      <c r="F105" s="2348"/>
      <c r="G105" s="2290">
        <v>66</v>
      </c>
      <c r="H105" s="2290">
        <v>41</v>
      </c>
      <c r="I105" s="2290">
        <v>41</v>
      </c>
      <c r="J105" s="2314"/>
      <c r="K105" s="2342"/>
      <c r="L105" s="2343"/>
      <c r="M105" s="2343"/>
      <c r="N105" s="2341"/>
      <c r="O105" s="222"/>
    </row>
    <row r="106" spans="1:15" s="2331" customFormat="1" ht="15.2" customHeight="1">
      <c r="B106" s="2291"/>
      <c r="C106" s="222"/>
      <c r="D106" s="2338">
        <v>2023</v>
      </c>
      <c r="E106" s="2290">
        <v>29</v>
      </c>
      <c r="F106" s="2348"/>
      <c r="G106" s="2290">
        <v>66</v>
      </c>
      <c r="H106" s="2290">
        <v>41</v>
      </c>
      <c r="I106" s="2290">
        <v>41</v>
      </c>
      <c r="J106" s="2314"/>
      <c r="K106" s="2342"/>
      <c r="L106" s="2343"/>
      <c r="M106" s="2343"/>
      <c r="N106" s="2341"/>
      <c r="O106" s="222"/>
    </row>
    <row r="107" spans="1:15" s="2331" customFormat="1" ht="15.2" customHeight="1">
      <c r="B107" s="2291"/>
      <c r="C107" s="222"/>
      <c r="D107" s="2338">
        <v>2024</v>
      </c>
      <c r="E107" s="2290">
        <v>29</v>
      </c>
      <c r="F107" s="2348"/>
      <c r="G107" s="2290">
        <v>66</v>
      </c>
      <c r="H107" s="2290">
        <v>41</v>
      </c>
      <c r="I107" s="2290">
        <v>41</v>
      </c>
      <c r="J107" s="2314"/>
      <c r="K107" s="2351"/>
      <c r="L107" s="2350"/>
      <c r="M107" s="2350"/>
      <c r="N107" s="2341"/>
      <c r="O107" s="222"/>
    </row>
    <row r="108" spans="1:15" s="2331" customFormat="1" ht="15.2" customHeight="1">
      <c r="B108" s="2291"/>
      <c r="C108" s="222"/>
      <c r="D108" s="2344"/>
      <c r="E108" s="1997"/>
      <c r="F108" s="2347"/>
      <c r="G108" s="1605"/>
      <c r="H108" s="2349"/>
      <c r="I108" s="1605"/>
      <c r="J108" s="2314"/>
      <c r="K108" s="2342"/>
      <c r="L108" s="2343"/>
      <c r="M108" s="2343"/>
      <c r="N108" s="2341"/>
      <c r="O108" s="222"/>
    </row>
    <row r="109" spans="1:15" s="2331" customFormat="1" ht="15.2" customHeight="1">
      <c r="B109" s="2346" t="s">
        <v>1687</v>
      </c>
      <c r="C109" s="2345"/>
      <c r="D109" s="2428">
        <v>2022</v>
      </c>
      <c r="E109" s="2290">
        <v>29</v>
      </c>
      <c r="F109" s="2348"/>
      <c r="G109" s="2290">
        <v>66</v>
      </c>
      <c r="H109" s="2290">
        <v>41</v>
      </c>
      <c r="I109" s="2290">
        <v>41</v>
      </c>
      <c r="J109" s="2314"/>
      <c r="K109" s="2342"/>
      <c r="L109" s="2343"/>
      <c r="M109" s="2343"/>
      <c r="N109" s="2341"/>
      <c r="O109" s="222"/>
    </row>
    <row r="110" spans="1:15" s="2331" customFormat="1" ht="15.2" customHeight="1">
      <c r="B110" s="2345"/>
      <c r="C110" s="2345"/>
      <c r="D110" s="2338">
        <v>2023</v>
      </c>
      <c r="E110" s="2290">
        <v>29</v>
      </c>
      <c r="F110" s="2348"/>
      <c r="G110" s="2290">
        <v>66</v>
      </c>
      <c r="H110" s="2290">
        <v>41</v>
      </c>
      <c r="I110" s="2290">
        <v>41</v>
      </c>
      <c r="J110" s="2314"/>
      <c r="K110" s="2342"/>
      <c r="L110" s="2343"/>
      <c r="M110" s="2343"/>
      <c r="N110" s="2341"/>
      <c r="O110" s="222"/>
    </row>
    <row r="111" spans="1:15" s="2331" customFormat="1" ht="15.2" customHeight="1">
      <c r="B111" s="2345"/>
      <c r="C111" s="2345"/>
      <c r="D111" s="2338">
        <v>2024</v>
      </c>
      <c r="E111" s="2290">
        <v>29</v>
      </c>
      <c r="F111" s="2348"/>
      <c r="G111" s="2290">
        <v>66</v>
      </c>
      <c r="H111" s="2290">
        <v>41</v>
      </c>
      <c r="I111" s="2290">
        <v>41</v>
      </c>
      <c r="J111" s="2314"/>
      <c r="K111" s="2342"/>
      <c r="L111" s="2343"/>
      <c r="M111" s="2343"/>
      <c r="N111" s="2341"/>
      <c r="O111" s="222"/>
    </row>
    <row r="112" spans="1:15" s="2331" customFormat="1" ht="15.2" customHeight="1">
      <c r="B112" s="2291"/>
      <c r="C112" s="222"/>
      <c r="D112" s="2344"/>
      <c r="E112" s="1605"/>
      <c r="F112" s="2348"/>
      <c r="G112" s="1605"/>
      <c r="H112" s="2348"/>
      <c r="I112" s="1605"/>
      <c r="J112" s="2314"/>
      <c r="K112" s="2342"/>
      <c r="L112" s="2343"/>
      <c r="M112" s="2343"/>
      <c r="N112" s="2341"/>
      <c r="O112" s="222"/>
    </row>
    <row r="113" spans="2:15" s="2331" customFormat="1" ht="15.2" customHeight="1">
      <c r="B113" s="2346" t="s">
        <v>1685</v>
      </c>
      <c r="C113" s="2345"/>
      <c r="D113" s="2428">
        <v>2022</v>
      </c>
      <c r="E113" s="2290">
        <v>29</v>
      </c>
      <c r="F113" s="2348"/>
      <c r="G113" s="2290">
        <v>66</v>
      </c>
      <c r="H113" s="2290">
        <v>41</v>
      </c>
      <c r="I113" s="2290">
        <v>41</v>
      </c>
      <c r="J113" s="2314"/>
      <c r="K113" s="2342"/>
      <c r="L113" s="2343"/>
      <c r="M113" s="2343"/>
      <c r="N113" s="2341"/>
      <c r="O113" s="222"/>
    </row>
    <row r="114" spans="2:15" s="2331" customFormat="1" ht="15.2" customHeight="1">
      <c r="B114" s="2345"/>
      <c r="C114" s="2345"/>
      <c r="D114" s="2338">
        <v>2023</v>
      </c>
      <c r="E114" s="2290">
        <v>29</v>
      </c>
      <c r="F114" s="2348"/>
      <c r="G114" s="2290">
        <v>66</v>
      </c>
      <c r="H114" s="2290">
        <v>41</v>
      </c>
      <c r="I114" s="2290">
        <v>41</v>
      </c>
      <c r="J114" s="2314"/>
      <c r="K114" s="2342"/>
      <c r="L114" s="2343"/>
      <c r="M114" s="2343"/>
      <c r="N114" s="2341"/>
      <c r="O114" s="222"/>
    </row>
    <row r="115" spans="2:15" s="2331" customFormat="1" ht="15.2" customHeight="1">
      <c r="B115" s="2345"/>
      <c r="C115" s="2345"/>
      <c r="D115" s="2338">
        <v>2024</v>
      </c>
      <c r="E115" s="2290">
        <v>29</v>
      </c>
      <c r="F115" s="2348"/>
      <c r="G115" s="2290">
        <v>66</v>
      </c>
      <c r="H115" s="2290">
        <v>41</v>
      </c>
      <c r="I115" s="2290">
        <v>41</v>
      </c>
      <c r="J115" s="2342"/>
      <c r="K115" s="2342"/>
      <c r="L115" s="2343"/>
      <c r="M115" s="2343"/>
      <c r="N115" s="2341"/>
      <c r="O115" s="222"/>
    </row>
    <row r="116" spans="2:15" s="2331" customFormat="1" ht="15.2" customHeight="1">
      <c r="B116" s="2291"/>
      <c r="C116" s="222"/>
      <c r="D116" s="2344"/>
      <c r="E116" s="1997"/>
      <c r="F116" s="2348"/>
      <c r="G116" s="1605"/>
      <c r="H116" s="2348"/>
      <c r="I116" s="1605"/>
      <c r="J116" s="2342"/>
      <c r="K116" s="2342"/>
      <c r="L116" s="2343"/>
      <c r="M116" s="2343"/>
      <c r="N116" s="2341"/>
      <c r="O116" s="222"/>
    </row>
    <row r="117" spans="2:15" s="2331" customFormat="1" ht="15.2" customHeight="1">
      <c r="B117" s="2346" t="s">
        <v>1715</v>
      </c>
      <c r="C117" s="2345"/>
      <c r="D117" s="2428">
        <v>2022</v>
      </c>
      <c r="E117" s="2290">
        <v>29</v>
      </c>
      <c r="F117" s="2348"/>
      <c r="G117" s="2290">
        <v>66</v>
      </c>
      <c r="H117" s="2290">
        <v>41</v>
      </c>
      <c r="I117" s="2290">
        <v>41</v>
      </c>
      <c r="J117" s="2342"/>
      <c r="K117" s="2342"/>
      <c r="L117" s="2343"/>
      <c r="M117" s="2343"/>
      <c r="N117" s="2341"/>
      <c r="O117" s="222"/>
    </row>
    <row r="118" spans="2:15" s="2331" customFormat="1" ht="15.2" customHeight="1">
      <c r="B118" s="2345"/>
      <c r="C118" s="2345"/>
      <c r="D118" s="2338">
        <v>2023</v>
      </c>
      <c r="E118" s="2290">
        <v>29</v>
      </c>
      <c r="F118" s="2348"/>
      <c r="G118" s="2290">
        <v>66</v>
      </c>
      <c r="H118" s="2290">
        <v>41</v>
      </c>
      <c r="I118" s="2290">
        <v>41</v>
      </c>
      <c r="J118" s="2342"/>
      <c r="K118" s="2342"/>
      <c r="L118" s="2343"/>
      <c r="M118" s="2343"/>
      <c r="N118" s="2341"/>
      <c r="O118" s="222"/>
    </row>
    <row r="119" spans="2:15" s="2331" customFormat="1" ht="15.2" customHeight="1">
      <c r="B119" s="2345"/>
      <c r="C119" s="2345"/>
      <c r="D119" s="2338">
        <v>2024</v>
      </c>
      <c r="E119" s="2290">
        <v>29</v>
      </c>
      <c r="F119" s="2348"/>
      <c r="G119" s="2290">
        <v>66</v>
      </c>
      <c r="H119" s="2290">
        <v>41</v>
      </c>
      <c r="I119" s="2290">
        <v>41</v>
      </c>
      <c r="J119" s="2342"/>
      <c r="K119" s="2342"/>
      <c r="L119" s="2343"/>
      <c r="M119" s="2343"/>
      <c r="N119" s="2341"/>
      <c r="O119" s="222"/>
    </row>
    <row r="120" spans="2:15" s="2331" customFormat="1" ht="15.2" customHeight="1">
      <c r="B120" s="2345"/>
      <c r="C120" s="2345"/>
      <c r="D120" s="2385"/>
      <c r="E120" s="1997"/>
      <c r="F120" s="2347"/>
      <c r="G120" s="1605"/>
      <c r="H120" s="2349"/>
      <c r="I120" s="1605"/>
      <c r="J120" s="2342"/>
      <c r="K120" s="2342"/>
      <c r="L120" s="2343"/>
      <c r="M120" s="2343"/>
      <c r="N120" s="2341"/>
      <c r="O120" s="222"/>
    </row>
    <row r="121" spans="2:15" s="2331" customFormat="1" ht="15.2" customHeight="1">
      <c r="B121" s="2346" t="s">
        <v>1865</v>
      </c>
      <c r="C121" s="2345"/>
      <c r="D121" s="2428">
        <v>2022</v>
      </c>
      <c r="E121" s="2290">
        <v>29</v>
      </c>
      <c r="F121" s="2348"/>
      <c r="G121" s="2290">
        <v>66</v>
      </c>
      <c r="H121" s="2290">
        <v>41</v>
      </c>
      <c r="I121" s="2290">
        <v>41</v>
      </c>
      <c r="J121" s="2342"/>
      <c r="K121" s="2342"/>
      <c r="L121" s="2343"/>
      <c r="M121" s="2343"/>
      <c r="N121" s="2341"/>
      <c r="O121" s="222"/>
    </row>
    <row r="122" spans="2:15" s="2331" customFormat="1" ht="15.2" customHeight="1">
      <c r="B122" s="2345"/>
      <c r="C122" s="2345"/>
      <c r="D122" s="2338">
        <v>2023</v>
      </c>
      <c r="E122" s="2290">
        <v>29</v>
      </c>
      <c r="F122" s="2348"/>
      <c r="G122" s="2290">
        <v>66</v>
      </c>
      <c r="H122" s="2290">
        <v>41</v>
      </c>
      <c r="I122" s="2290">
        <v>41</v>
      </c>
      <c r="J122" s="2342"/>
      <c r="K122" s="2342"/>
      <c r="L122" s="2343"/>
      <c r="M122" s="2343"/>
      <c r="N122" s="2341"/>
      <c r="O122" s="222"/>
    </row>
    <row r="123" spans="2:15" s="2331" customFormat="1" ht="15.2" customHeight="1">
      <c r="B123" s="2345"/>
      <c r="C123" s="2345"/>
      <c r="D123" s="2338">
        <v>2024</v>
      </c>
      <c r="E123" s="2290">
        <v>29</v>
      </c>
      <c r="F123" s="2348"/>
      <c r="G123" s="2290">
        <v>66</v>
      </c>
      <c r="H123" s="2290">
        <v>41</v>
      </c>
      <c r="I123" s="2290">
        <v>41</v>
      </c>
      <c r="J123" s="2342"/>
      <c r="K123" s="2342"/>
      <c r="L123" s="2343"/>
      <c r="M123" s="2343"/>
      <c r="N123" s="2341"/>
      <c r="O123" s="222"/>
    </row>
    <row r="124" spans="2:15" s="2331" customFormat="1" ht="15.2" customHeight="1">
      <c r="B124" s="2345"/>
      <c r="C124" s="2345"/>
      <c r="D124" s="2344"/>
      <c r="E124" s="1605"/>
      <c r="F124" s="2348"/>
      <c r="G124" s="1605"/>
      <c r="H124" s="2348"/>
      <c r="I124" s="1605"/>
      <c r="J124" s="2342"/>
      <c r="K124" s="2342"/>
      <c r="L124" s="2343"/>
      <c r="M124" s="2343"/>
      <c r="N124" s="2341"/>
      <c r="O124" s="222"/>
    </row>
    <row r="125" spans="2:15" s="2331" customFormat="1" ht="15.2" customHeight="1">
      <c r="B125" s="2346" t="s">
        <v>1718</v>
      </c>
      <c r="C125" s="2345"/>
      <c r="D125" s="2428">
        <v>2022</v>
      </c>
      <c r="E125" s="2290">
        <v>29</v>
      </c>
      <c r="F125" s="2348"/>
      <c r="G125" s="2290">
        <v>66</v>
      </c>
      <c r="H125" s="2290">
        <v>41</v>
      </c>
      <c r="I125" s="2290">
        <v>41</v>
      </c>
      <c r="J125" s="2342"/>
      <c r="K125" s="2342"/>
      <c r="L125" s="2343"/>
      <c r="M125" s="2343"/>
      <c r="N125" s="2341"/>
      <c r="O125" s="222"/>
    </row>
    <row r="126" spans="2:15" s="2331" customFormat="1" ht="15.2" customHeight="1">
      <c r="B126" s="2345"/>
      <c r="C126" s="2345"/>
      <c r="D126" s="2338">
        <v>2023</v>
      </c>
      <c r="E126" s="2290">
        <v>29</v>
      </c>
      <c r="F126" s="2348"/>
      <c r="G126" s="2290">
        <v>66</v>
      </c>
      <c r="H126" s="2290">
        <v>41</v>
      </c>
      <c r="I126" s="2290">
        <v>41</v>
      </c>
      <c r="J126" s="2342"/>
      <c r="K126" s="2342"/>
      <c r="L126" s="2343"/>
      <c r="M126" s="2343"/>
      <c r="N126" s="2341"/>
      <c r="O126" s="222"/>
    </row>
    <row r="127" spans="2:15" s="2331" customFormat="1" ht="15.2" customHeight="1">
      <c r="B127" s="2345"/>
      <c r="C127" s="2345"/>
      <c r="D127" s="2338">
        <v>2024</v>
      </c>
      <c r="E127" s="2290">
        <v>29</v>
      </c>
      <c r="F127" s="2348"/>
      <c r="G127" s="2290">
        <v>66</v>
      </c>
      <c r="H127" s="2290">
        <v>41</v>
      </c>
      <c r="I127" s="2290">
        <v>41</v>
      </c>
      <c r="J127" s="2342"/>
      <c r="K127" s="2342"/>
      <c r="L127" s="2343"/>
      <c r="M127" s="2343"/>
      <c r="N127" s="2341"/>
      <c r="O127" s="222"/>
    </row>
    <row r="128" spans="2:15" s="2331" customFormat="1" ht="15.2" customHeight="1">
      <c r="B128" s="2345"/>
      <c r="C128" s="2345"/>
      <c r="D128" s="2344"/>
      <c r="E128" s="1997"/>
      <c r="F128" s="2348"/>
      <c r="G128" s="1605"/>
      <c r="H128" s="2348"/>
      <c r="I128" s="1605"/>
      <c r="J128" s="2342"/>
      <c r="K128" s="2342"/>
      <c r="L128" s="2343"/>
      <c r="M128" s="2343"/>
      <c r="N128" s="2341"/>
      <c r="O128" s="222"/>
    </row>
    <row r="129" spans="1:15" s="2331" customFormat="1" ht="15.2" customHeight="1">
      <c r="B129" s="2346" t="s">
        <v>1864</v>
      </c>
      <c r="C129" s="2345"/>
      <c r="D129" s="2428">
        <v>2022</v>
      </c>
      <c r="E129" s="2290">
        <v>29</v>
      </c>
      <c r="F129" s="2348"/>
      <c r="G129" s="2290">
        <v>66</v>
      </c>
      <c r="H129" s="2290">
        <v>41</v>
      </c>
      <c r="I129" s="2290">
        <v>41</v>
      </c>
      <c r="J129" s="2343"/>
      <c r="K129" s="2343"/>
      <c r="L129" s="2343"/>
      <c r="M129" s="2343"/>
      <c r="N129" s="2341"/>
      <c r="O129" s="222"/>
    </row>
    <row r="130" spans="1:15" s="2331" customFormat="1" ht="15.2" customHeight="1">
      <c r="B130" s="2345"/>
      <c r="C130" s="2345"/>
      <c r="D130" s="2338">
        <v>2023</v>
      </c>
      <c r="E130" s="2290">
        <v>29</v>
      </c>
      <c r="F130" s="2348"/>
      <c r="G130" s="2290">
        <v>66</v>
      </c>
      <c r="H130" s="2290">
        <v>41</v>
      </c>
      <c r="I130" s="2290">
        <v>41</v>
      </c>
      <c r="J130" s="2343"/>
      <c r="K130" s="2343"/>
      <c r="L130" s="2343"/>
      <c r="M130" s="2343"/>
      <c r="N130" s="2341"/>
      <c r="O130" s="222"/>
    </row>
    <row r="131" spans="1:15" s="2331" customFormat="1" ht="15.2" customHeight="1">
      <c r="B131" s="2345"/>
      <c r="C131" s="2345"/>
      <c r="D131" s="2338">
        <v>2024</v>
      </c>
      <c r="E131" s="2290">
        <v>29</v>
      </c>
      <c r="F131" s="2348"/>
      <c r="G131" s="2290">
        <v>66</v>
      </c>
      <c r="H131" s="2290">
        <v>41</v>
      </c>
      <c r="I131" s="2290">
        <v>41</v>
      </c>
      <c r="J131" s="2343"/>
      <c r="K131" s="2343"/>
      <c r="L131" s="2343"/>
      <c r="M131" s="2343"/>
      <c r="N131" s="2341"/>
      <c r="O131" s="222"/>
    </row>
    <row r="132" spans="1:15" s="2331" customFormat="1" ht="15.2" customHeight="1">
      <c r="B132" s="2345"/>
      <c r="C132" s="2345"/>
      <c r="D132" s="2344"/>
      <c r="E132" s="1997"/>
      <c r="F132" s="2347"/>
      <c r="G132" s="2313"/>
      <c r="H132" s="2347"/>
      <c r="I132" s="1605"/>
      <c r="J132" s="2343"/>
      <c r="K132" s="2343"/>
      <c r="L132" s="2343"/>
      <c r="M132" s="2343"/>
      <c r="N132" s="2341"/>
      <c r="O132" s="222"/>
    </row>
    <row r="133" spans="1:15" s="2331" customFormat="1" ht="15.2" customHeight="1">
      <c r="B133" s="2346" t="s">
        <v>1587</v>
      </c>
      <c r="C133" s="2345"/>
      <c r="D133" s="2428">
        <v>2022</v>
      </c>
      <c r="E133" s="2290">
        <v>29</v>
      </c>
      <c r="F133" s="2348"/>
      <c r="G133" s="2290">
        <v>66</v>
      </c>
      <c r="H133" s="2290">
        <v>41</v>
      </c>
      <c r="I133" s="2290">
        <v>41</v>
      </c>
      <c r="J133" s="2343"/>
      <c r="K133" s="2343"/>
      <c r="L133" s="2343"/>
      <c r="M133" s="2343"/>
      <c r="N133" s="2341"/>
      <c r="O133" s="222"/>
    </row>
    <row r="134" spans="1:15" s="2331" customFormat="1" ht="15.2" customHeight="1">
      <c r="B134" s="1998"/>
      <c r="C134" s="2345"/>
      <c r="D134" s="2338">
        <v>2023</v>
      </c>
      <c r="E134" s="2290">
        <v>29</v>
      </c>
      <c r="F134" s="2348"/>
      <c r="G134" s="2290">
        <v>66</v>
      </c>
      <c r="H134" s="2290">
        <v>41</v>
      </c>
      <c r="I134" s="2290">
        <v>41</v>
      </c>
      <c r="J134" s="2343"/>
      <c r="K134" s="2343"/>
      <c r="L134" s="2343"/>
      <c r="M134" s="2343"/>
      <c r="N134" s="2341"/>
      <c r="O134" s="222"/>
    </row>
    <row r="135" spans="1:15" s="2331" customFormat="1" ht="15.2" customHeight="1">
      <c r="B135" s="1998"/>
      <c r="C135" s="2345"/>
      <c r="D135" s="2338">
        <v>2024</v>
      </c>
      <c r="E135" s="2290">
        <v>29</v>
      </c>
      <c r="F135" s="2348"/>
      <c r="G135" s="2290">
        <v>66</v>
      </c>
      <c r="H135" s="2290">
        <v>41</v>
      </c>
      <c r="I135" s="2290">
        <v>41</v>
      </c>
      <c r="J135" s="2343"/>
      <c r="K135" s="2343"/>
      <c r="L135" s="2343"/>
      <c r="M135" s="2343"/>
      <c r="N135" s="2341"/>
      <c r="O135" s="222"/>
    </row>
    <row r="136" spans="1:15" s="2331" customFormat="1" ht="15.2" customHeight="1">
      <c r="B136" s="1998"/>
      <c r="C136" s="2425"/>
      <c r="D136" s="2424"/>
      <c r="E136" s="2356"/>
      <c r="F136" s="2356"/>
      <c r="G136" s="2356"/>
      <c r="H136" s="2356"/>
      <c r="I136" s="2356"/>
      <c r="J136" s="2360"/>
      <c r="K136" s="222"/>
    </row>
    <row r="137" spans="1:15" s="2324" customFormat="1" ht="7.5" customHeight="1" thickBot="1">
      <c r="A137" s="2423"/>
      <c r="B137" s="2335"/>
      <c r="C137" s="2335"/>
      <c r="D137" s="2332"/>
      <c r="E137" s="2421"/>
      <c r="F137" s="2422"/>
      <c r="G137" s="2421"/>
      <c r="H137" s="2374"/>
      <c r="I137" s="2374"/>
    </row>
    <row r="138" spans="1:15" s="2324" customFormat="1" ht="16.5" customHeight="1">
      <c r="B138" s="2330"/>
      <c r="C138" s="2330"/>
      <c r="D138" s="2329"/>
      <c r="E138" s="2293"/>
      <c r="F138" s="2420"/>
      <c r="G138" s="2907" t="s">
        <v>241</v>
      </c>
      <c r="H138" s="2907"/>
      <c r="I138" s="2907"/>
      <c r="J138" s="2419"/>
    </row>
    <row r="139" spans="1:15" s="2155" customFormat="1" ht="15.75" customHeight="1">
      <c r="A139" s="2324"/>
      <c r="B139" s="2330"/>
      <c r="C139" s="2330"/>
      <c r="D139" s="2329"/>
      <c r="E139" s="2293"/>
      <c r="F139" s="2362"/>
      <c r="G139" s="2908" t="s">
        <v>242</v>
      </c>
      <c r="H139" s="2908"/>
      <c r="I139" s="2908"/>
      <c r="J139" s="2418"/>
    </row>
    <row r="140" spans="1:15" s="2155" customFormat="1" ht="15.75" customHeight="1">
      <c r="A140" s="2324"/>
      <c r="B140" s="2330"/>
      <c r="C140" s="2330"/>
      <c r="D140" s="2329"/>
      <c r="E140" s="2293"/>
      <c r="F140" s="2362"/>
      <c r="G140" s="2325"/>
      <c r="H140" s="2325"/>
      <c r="I140" s="2325"/>
      <c r="J140" s="2418"/>
    </row>
    <row r="141" spans="1:15" s="2155" customFormat="1" ht="15.75" customHeight="1">
      <c r="A141" s="2324"/>
      <c r="B141" s="2330"/>
      <c r="C141" s="2330"/>
      <c r="D141" s="2329"/>
      <c r="E141" s="2293"/>
      <c r="F141" s="2362"/>
      <c r="G141" s="2325"/>
      <c r="H141" s="2325"/>
      <c r="I141" s="2325"/>
      <c r="J141" s="2418"/>
    </row>
    <row r="142" spans="1:15" s="2155" customFormat="1" ht="15.75" customHeight="1">
      <c r="A142" s="2324"/>
      <c r="B142" s="2330"/>
      <c r="C142" s="2330"/>
      <c r="D142" s="2329"/>
      <c r="E142" s="2293"/>
      <c r="F142" s="2362"/>
      <c r="G142" s="2325"/>
      <c r="H142" s="2325"/>
      <c r="I142" s="2325"/>
      <c r="J142" s="2418"/>
    </row>
    <row r="143" spans="1:15" s="2155" customFormat="1" ht="15.75" customHeight="1">
      <c r="A143" s="2324"/>
      <c r="B143" s="2330"/>
      <c r="C143" s="2330"/>
      <c r="D143" s="2329"/>
      <c r="E143" s="2293"/>
      <c r="F143" s="2362"/>
      <c r="G143" s="2325"/>
      <c r="H143" s="2325"/>
      <c r="I143" s="2325"/>
      <c r="J143" s="2418"/>
    </row>
    <row r="144" spans="1:15" s="2331" customFormat="1" ht="8.1" customHeight="1">
      <c r="B144" s="2353"/>
      <c r="C144" s="2353"/>
      <c r="D144" s="2338"/>
      <c r="E144" s="2381"/>
      <c r="F144" s="2381"/>
      <c r="G144" s="2446"/>
      <c r="H144" s="2446"/>
      <c r="I144" s="2446"/>
      <c r="J144" s="2362"/>
    </row>
    <row r="145" spans="1:14" s="2331" customFormat="1" ht="8.1" customHeight="1">
      <c r="B145" s="2353"/>
      <c r="C145" s="2353"/>
      <c r="D145" s="2338"/>
      <c r="E145" s="2381"/>
      <c r="F145" s="2381"/>
      <c r="G145" s="2446"/>
      <c r="H145" s="2446"/>
      <c r="I145" s="2446"/>
      <c r="J145" s="2362"/>
    </row>
    <row r="146" spans="1:14" s="2443" customFormat="1" ht="17.25" customHeight="1">
      <c r="B146" s="2384" t="s">
        <v>1906</v>
      </c>
      <c r="C146" s="2903" t="s">
        <v>1905</v>
      </c>
      <c r="D146" s="2903"/>
      <c r="E146" s="2903"/>
      <c r="F146" s="2903"/>
      <c r="G146" s="2903"/>
      <c r="H146" s="2903"/>
      <c r="I146" s="2903"/>
      <c r="J146" s="2392"/>
    </row>
    <row r="147" spans="1:14" s="2443" customFormat="1" ht="17.25" customHeight="1">
      <c r="B147" s="2384"/>
      <c r="C147" s="2445" t="s">
        <v>2008</v>
      </c>
      <c r="D147" s="2444"/>
      <c r="E147" s="2392"/>
      <c r="F147" s="2392"/>
      <c r="G147" s="2393"/>
      <c r="H147" s="2393"/>
      <c r="I147" s="2393"/>
      <c r="J147" s="2392"/>
    </row>
    <row r="148" spans="1:14" s="2440" customFormat="1" ht="17.25" customHeight="1">
      <c r="B148" s="2380" t="s">
        <v>1904</v>
      </c>
      <c r="C148" s="2442" t="s">
        <v>2009</v>
      </c>
      <c r="D148" s="2441"/>
    </row>
    <row r="149" spans="1:14" s="2331" customFormat="1" ht="8.1" customHeight="1" thickBot="1">
      <c r="A149" s="2332"/>
      <c r="B149" s="2377"/>
      <c r="C149" s="2377"/>
      <c r="D149" s="2334"/>
      <c r="E149" s="2439"/>
      <c r="F149" s="2439"/>
      <c r="G149" s="2438"/>
      <c r="H149" s="2438"/>
      <c r="I149" s="2438"/>
    </row>
    <row r="150" spans="1:14" s="2340" customFormat="1" ht="8.1" customHeight="1">
      <c r="D150" s="2428"/>
      <c r="E150" s="2432"/>
      <c r="F150" s="2432"/>
      <c r="G150" s="2433"/>
      <c r="H150" s="2433"/>
      <c r="I150" s="2433"/>
    </row>
    <row r="151" spans="1:14" s="2340" customFormat="1" ht="15.2" customHeight="1">
      <c r="B151" s="2437" t="s">
        <v>1903</v>
      </c>
      <c r="C151" s="2389"/>
      <c r="D151" s="2387" t="s">
        <v>39</v>
      </c>
      <c r="E151" s="2434" t="s">
        <v>243</v>
      </c>
      <c r="F151" s="2434"/>
      <c r="G151" s="2905" t="s">
        <v>1902</v>
      </c>
      <c r="H151" s="2905"/>
      <c r="I151" s="2905"/>
      <c r="J151" s="2389"/>
    </row>
    <row r="152" spans="1:14" s="2340" customFormat="1" ht="15.2" customHeight="1" thickBot="1">
      <c r="B152" s="2436" t="s">
        <v>1901</v>
      </c>
      <c r="C152" s="2389"/>
      <c r="D152" s="2435" t="s">
        <v>40</v>
      </c>
      <c r="E152" s="2434" t="s">
        <v>244</v>
      </c>
      <c r="F152" s="2434"/>
      <c r="G152" s="2906" t="s">
        <v>1900</v>
      </c>
      <c r="H152" s="2906"/>
      <c r="I152" s="2906"/>
      <c r="J152" s="2432"/>
    </row>
    <row r="153" spans="1:14" s="2340" customFormat="1" ht="15.2" customHeight="1">
      <c r="B153" s="2432"/>
      <c r="C153" s="2389"/>
      <c r="D153" s="2428"/>
      <c r="E153" s="2433" t="s">
        <v>245</v>
      </c>
      <c r="F153" s="2433"/>
      <c r="G153" s="2434" t="s">
        <v>45</v>
      </c>
      <c r="H153" s="2434" t="s">
        <v>246</v>
      </c>
      <c r="I153" s="2434" t="s">
        <v>247</v>
      </c>
      <c r="J153" s="2432"/>
    </row>
    <row r="154" spans="1:14" s="2340" customFormat="1" ht="15.2" customHeight="1">
      <c r="B154" s="2388"/>
      <c r="C154" s="2388"/>
      <c r="D154" s="2428"/>
      <c r="E154" s="2433"/>
      <c r="F154" s="2433"/>
      <c r="G154" s="2433" t="s">
        <v>46</v>
      </c>
      <c r="H154" s="2433" t="s">
        <v>248</v>
      </c>
      <c r="I154" s="2433" t="s">
        <v>249</v>
      </c>
      <c r="J154" s="2432"/>
    </row>
    <row r="155" spans="1:14" s="2340" customFormat="1" ht="15.2" customHeight="1" thickBot="1">
      <c r="A155" s="2336"/>
      <c r="B155" s="2431"/>
      <c r="C155" s="2431"/>
      <c r="D155" s="2397"/>
      <c r="E155" s="2430"/>
      <c r="F155" s="2430"/>
      <c r="G155" s="2429"/>
      <c r="H155" s="2429"/>
      <c r="I155" s="2429"/>
      <c r="M155" s="2339"/>
    </row>
    <row r="156" spans="1:14" s="2331" customFormat="1" ht="15.2" customHeight="1">
      <c r="B156" s="2371"/>
      <c r="C156" s="2371"/>
      <c r="D156" s="2370"/>
      <c r="E156" s="2386"/>
      <c r="F156" s="2386"/>
      <c r="G156" s="2386"/>
      <c r="H156" s="2386"/>
      <c r="I156" s="2386"/>
    </row>
    <row r="157" spans="1:14" s="2331" customFormat="1" ht="15.2" customHeight="1">
      <c r="A157" s="2359"/>
      <c r="B157" s="2352" t="s">
        <v>1583</v>
      </c>
      <c r="C157" s="222"/>
      <c r="D157" s="2428">
        <v>2022</v>
      </c>
      <c r="E157" s="2290">
        <v>29</v>
      </c>
      <c r="F157" s="2348"/>
      <c r="G157" s="2290">
        <v>66</v>
      </c>
      <c r="H157" s="2290">
        <v>41</v>
      </c>
      <c r="I157" s="2290">
        <v>41</v>
      </c>
      <c r="J157" s="2314"/>
      <c r="K157" s="2356"/>
      <c r="L157" s="2356"/>
      <c r="M157" s="2356"/>
      <c r="N157" s="2360"/>
    </row>
    <row r="158" spans="1:14" s="2331" customFormat="1" ht="15.2" customHeight="1">
      <c r="A158" s="2359"/>
      <c r="B158" s="2357"/>
      <c r="C158" s="222"/>
      <c r="D158" s="2338">
        <v>2023</v>
      </c>
      <c r="E158" s="2290">
        <v>29</v>
      </c>
      <c r="F158" s="2348"/>
      <c r="G158" s="2290">
        <v>66</v>
      </c>
      <c r="H158" s="2290">
        <v>41</v>
      </c>
      <c r="I158" s="2290">
        <v>41</v>
      </c>
      <c r="J158" s="2314"/>
      <c r="K158" s="2356"/>
      <c r="L158" s="2356"/>
      <c r="M158" s="2356"/>
      <c r="N158" s="2360"/>
    </row>
    <row r="159" spans="1:14" s="2331" customFormat="1" ht="15.2" customHeight="1">
      <c r="A159" s="2359"/>
      <c r="B159" s="2357"/>
      <c r="C159" s="222"/>
      <c r="D159" s="2338">
        <v>2024</v>
      </c>
      <c r="E159" s="2290">
        <v>29</v>
      </c>
      <c r="F159" s="2348"/>
      <c r="G159" s="2290">
        <v>66</v>
      </c>
      <c r="H159" s="2290">
        <v>41</v>
      </c>
      <c r="I159" s="2290">
        <v>41</v>
      </c>
      <c r="J159" s="2314"/>
      <c r="K159" s="2351"/>
      <c r="L159" s="2351"/>
      <c r="M159" s="2350"/>
      <c r="N159" s="2360"/>
    </row>
    <row r="160" spans="1:14" s="2331" customFormat="1" ht="15.2" customHeight="1">
      <c r="A160" s="2359"/>
      <c r="B160" s="2357"/>
      <c r="C160" s="222"/>
      <c r="D160" s="2344"/>
      <c r="E160" s="1605"/>
      <c r="F160" s="2348"/>
      <c r="G160" s="1605"/>
      <c r="H160" s="2348"/>
      <c r="I160" s="1605"/>
      <c r="J160" s="2314"/>
      <c r="K160" s="2356"/>
      <c r="L160" s="2356"/>
      <c r="M160" s="2356"/>
      <c r="N160" s="2360"/>
    </row>
    <row r="161" spans="1:14" s="2331" customFormat="1" ht="15.2" customHeight="1">
      <c r="A161" s="2359"/>
      <c r="B161" s="2291" t="s">
        <v>1708</v>
      </c>
      <c r="C161" s="222"/>
      <c r="D161" s="2428">
        <v>2022</v>
      </c>
      <c r="E161" s="2290">
        <v>29</v>
      </c>
      <c r="F161" s="2348"/>
      <c r="G161" s="2290">
        <v>66</v>
      </c>
      <c r="H161" s="2290">
        <v>41</v>
      </c>
      <c r="I161" s="2290">
        <v>41</v>
      </c>
      <c r="J161" s="2314"/>
      <c r="K161" s="2356"/>
      <c r="L161" s="2356"/>
      <c r="M161" s="2356"/>
      <c r="N161" s="2360"/>
    </row>
    <row r="162" spans="1:14" s="2331" customFormat="1" ht="15.2" customHeight="1">
      <c r="A162" s="2359"/>
      <c r="B162" s="2291"/>
      <c r="C162" s="222"/>
      <c r="D162" s="2338">
        <v>2023</v>
      </c>
      <c r="E162" s="2290">
        <v>29</v>
      </c>
      <c r="F162" s="2348"/>
      <c r="G162" s="2290">
        <v>66</v>
      </c>
      <c r="H162" s="2290">
        <v>41</v>
      </c>
      <c r="I162" s="2290">
        <v>41</v>
      </c>
      <c r="J162" s="2314"/>
      <c r="K162" s="2342"/>
      <c r="L162" s="2342"/>
      <c r="M162" s="2343"/>
      <c r="N162" s="2360"/>
    </row>
    <row r="163" spans="1:14" s="2331" customFormat="1" ht="15.2" customHeight="1">
      <c r="A163" s="2359"/>
      <c r="B163" s="2291"/>
      <c r="C163" s="222"/>
      <c r="D163" s="2338">
        <v>2024</v>
      </c>
      <c r="E163" s="2290">
        <v>29</v>
      </c>
      <c r="F163" s="2348"/>
      <c r="G163" s="2290">
        <v>66</v>
      </c>
      <c r="H163" s="2290">
        <v>41</v>
      </c>
      <c r="I163" s="2290">
        <v>41</v>
      </c>
      <c r="J163" s="2314"/>
      <c r="K163" s="2351"/>
      <c r="L163" s="2351"/>
      <c r="M163" s="2350"/>
      <c r="N163" s="2360"/>
    </row>
    <row r="164" spans="1:14" s="2331" customFormat="1" ht="15.2" customHeight="1">
      <c r="A164" s="2359"/>
      <c r="B164" s="2291"/>
      <c r="C164" s="222"/>
      <c r="D164" s="2344"/>
      <c r="E164" s="1997"/>
      <c r="F164" s="2348"/>
      <c r="G164" s="1605"/>
      <c r="H164" s="2348"/>
      <c r="I164" s="1605"/>
      <c r="J164" s="2314"/>
      <c r="K164" s="2342"/>
      <c r="L164" s="2342"/>
      <c r="M164" s="2343"/>
      <c r="N164" s="2360"/>
    </row>
    <row r="165" spans="1:14" s="2331" customFormat="1" ht="15.2" customHeight="1">
      <c r="A165" s="2359"/>
      <c r="B165" s="2346" t="s">
        <v>1694</v>
      </c>
      <c r="C165" s="2345"/>
      <c r="D165" s="2428">
        <v>2022</v>
      </c>
      <c r="E165" s="2290">
        <v>29</v>
      </c>
      <c r="F165" s="2348"/>
      <c r="G165" s="2290">
        <v>66</v>
      </c>
      <c r="H165" s="2290">
        <v>41</v>
      </c>
      <c r="I165" s="2290">
        <v>41</v>
      </c>
      <c r="J165" s="2314"/>
      <c r="K165" s="2356"/>
      <c r="L165" s="2356"/>
      <c r="M165" s="2356"/>
      <c r="N165" s="2360"/>
    </row>
    <row r="166" spans="1:14" s="2331" customFormat="1" ht="15.2" customHeight="1">
      <c r="A166" s="2359"/>
      <c r="B166" s="2345"/>
      <c r="C166" s="2345"/>
      <c r="D166" s="2338">
        <v>2023</v>
      </c>
      <c r="E166" s="2290">
        <v>29</v>
      </c>
      <c r="F166" s="2348"/>
      <c r="G166" s="2290">
        <v>66</v>
      </c>
      <c r="H166" s="2290">
        <v>41</v>
      </c>
      <c r="I166" s="2290">
        <v>41</v>
      </c>
      <c r="J166" s="2314"/>
      <c r="K166" s="2351"/>
      <c r="L166" s="2351"/>
      <c r="M166" s="2351"/>
      <c r="N166" s="2360"/>
    </row>
    <row r="167" spans="1:14" s="2331" customFormat="1" ht="15.2" customHeight="1">
      <c r="A167" s="2359"/>
      <c r="B167" s="2345"/>
      <c r="C167" s="2345"/>
      <c r="D167" s="2338">
        <v>2024</v>
      </c>
      <c r="E167" s="2290">
        <v>29</v>
      </c>
      <c r="F167" s="2348"/>
      <c r="G167" s="2290">
        <v>66</v>
      </c>
      <c r="H167" s="2290">
        <v>41</v>
      </c>
      <c r="I167" s="2290">
        <v>41</v>
      </c>
      <c r="J167" s="2314"/>
      <c r="K167" s="2351"/>
      <c r="L167" s="2351"/>
      <c r="M167" s="2350"/>
      <c r="N167" s="2360"/>
    </row>
    <row r="168" spans="1:14" s="2331" customFormat="1" ht="15.2" customHeight="1">
      <c r="A168" s="2359"/>
      <c r="B168" s="2345"/>
      <c r="C168" s="2345"/>
      <c r="D168" s="2344"/>
      <c r="E168" s="1997"/>
      <c r="F168" s="2347"/>
      <c r="G168" s="1605"/>
      <c r="H168" s="2349"/>
      <c r="I168" s="1605"/>
      <c r="J168" s="2314"/>
      <c r="K168" s="2342"/>
      <c r="L168" s="2342"/>
      <c r="M168" s="2343"/>
      <c r="N168" s="2360"/>
    </row>
    <row r="169" spans="1:14" s="2331" customFormat="1" ht="15.2" customHeight="1">
      <c r="A169" s="2359"/>
      <c r="B169" s="2346" t="s">
        <v>1873</v>
      </c>
      <c r="C169" s="2346"/>
      <c r="D169" s="2428">
        <v>2022</v>
      </c>
      <c r="E169" s="2290">
        <v>29</v>
      </c>
      <c r="F169" s="2348"/>
      <c r="G169" s="2290">
        <v>66</v>
      </c>
      <c r="H169" s="2290">
        <v>41</v>
      </c>
      <c r="I169" s="2290">
        <v>41</v>
      </c>
      <c r="J169" s="2314"/>
      <c r="K169" s="2351"/>
      <c r="L169" s="2351"/>
      <c r="M169" s="2350"/>
      <c r="N169" s="2360"/>
    </row>
    <row r="170" spans="1:14" s="2324" customFormat="1" ht="15.2" customHeight="1">
      <c r="A170" s="2359"/>
      <c r="B170" s="2346"/>
      <c r="C170" s="2346"/>
      <c r="D170" s="2338">
        <v>2023</v>
      </c>
      <c r="E170" s="2290">
        <v>29</v>
      </c>
      <c r="F170" s="2348"/>
      <c r="G170" s="2290">
        <v>66</v>
      </c>
      <c r="H170" s="2290">
        <v>41</v>
      </c>
      <c r="I170" s="2290">
        <v>41</v>
      </c>
      <c r="J170" s="2314"/>
      <c r="K170" s="2351"/>
      <c r="L170" s="2351"/>
      <c r="M170" s="2350"/>
      <c r="N170" s="2360"/>
    </row>
    <row r="171" spans="1:14" s="2324" customFormat="1" ht="15.2" customHeight="1">
      <c r="A171" s="2359"/>
      <c r="B171" s="2346"/>
      <c r="C171" s="2346"/>
      <c r="D171" s="2338">
        <v>2024</v>
      </c>
      <c r="E171" s="2290">
        <v>29</v>
      </c>
      <c r="F171" s="2348"/>
      <c r="G171" s="2290">
        <v>66</v>
      </c>
      <c r="H171" s="2290">
        <v>41</v>
      </c>
      <c r="I171" s="2290">
        <v>41</v>
      </c>
      <c r="J171" s="2314"/>
      <c r="K171" s="2351"/>
      <c r="L171" s="2351"/>
      <c r="M171" s="2350"/>
      <c r="N171" s="2360"/>
    </row>
    <row r="172" spans="1:14" s="2324" customFormat="1" ht="15.2" customHeight="1">
      <c r="A172" s="2359"/>
      <c r="B172" s="2346"/>
      <c r="C172" s="2346"/>
      <c r="D172" s="2344"/>
      <c r="E172" s="1605"/>
      <c r="F172" s="2348"/>
      <c r="G172" s="1605"/>
      <c r="H172" s="2348"/>
      <c r="I172" s="1605"/>
      <c r="J172" s="2314"/>
      <c r="K172" s="2351"/>
      <c r="L172" s="2351"/>
      <c r="M172" s="2351"/>
      <c r="N172" s="2358"/>
    </row>
    <row r="173" spans="1:14" s="2324" customFormat="1" ht="15.2" customHeight="1">
      <c r="B173" s="2357" t="s">
        <v>1692</v>
      </c>
      <c r="C173" s="2353"/>
      <c r="D173" s="2428">
        <v>2022</v>
      </c>
      <c r="E173" s="2290">
        <v>29</v>
      </c>
      <c r="F173" s="2348"/>
      <c r="G173" s="2290">
        <v>66</v>
      </c>
      <c r="H173" s="2290">
        <v>41</v>
      </c>
      <c r="I173" s="2290">
        <v>41</v>
      </c>
      <c r="J173" s="2314"/>
      <c r="K173" s="2356"/>
      <c r="L173" s="2356"/>
      <c r="M173" s="2356"/>
      <c r="N173" s="2355"/>
    </row>
    <row r="174" spans="1:14" s="2155" customFormat="1" ht="15.2" customHeight="1">
      <c r="A174" s="2324"/>
      <c r="B174" s="2352"/>
      <c r="C174" s="2353"/>
      <c r="D174" s="2338">
        <v>2023</v>
      </c>
      <c r="E174" s="2290">
        <v>29</v>
      </c>
      <c r="F174" s="2348"/>
      <c r="G174" s="2290">
        <v>66</v>
      </c>
      <c r="H174" s="2290">
        <v>41</v>
      </c>
      <c r="I174" s="2290">
        <v>41</v>
      </c>
      <c r="J174" s="2314"/>
      <c r="K174" s="2342"/>
      <c r="L174" s="2342"/>
      <c r="M174" s="2343"/>
      <c r="N174" s="2354"/>
    </row>
    <row r="175" spans="1:14" s="2155" customFormat="1" ht="15.2" customHeight="1">
      <c r="A175" s="2324"/>
      <c r="B175" s="2352"/>
      <c r="C175" s="2353"/>
      <c r="D175" s="2338">
        <v>2024</v>
      </c>
      <c r="E175" s="2290">
        <v>29</v>
      </c>
      <c r="F175" s="2348"/>
      <c r="G175" s="2290">
        <v>66</v>
      </c>
      <c r="H175" s="2290">
        <v>41</v>
      </c>
      <c r="I175" s="2290">
        <v>41</v>
      </c>
      <c r="J175" s="2314"/>
      <c r="K175" s="2342"/>
      <c r="L175" s="2342"/>
      <c r="M175" s="2343"/>
      <c r="N175" s="2341"/>
    </row>
    <row r="176" spans="1:14" s="2155" customFormat="1" ht="15.2" customHeight="1">
      <c r="B176" s="2352"/>
      <c r="C176" s="2353"/>
      <c r="D176" s="2344"/>
      <c r="E176" s="1997"/>
      <c r="F176" s="2348"/>
      <c r="G176" s="1605"/>
      <c r="H176" s="2348"/>
      <c r="I176" s="1605"/>
      <c r="J176" s="2314"/>
      <c r="K176" s="2351"/>
      <c r="L176" s="2351"/>
      <c r="M176" s="2351"/>
      <c r="N176" s="2341"/>
    </row>
    <row r="177" spans="2:15" s="2331" customFormat="1" ht="15.2" customHeight="1">
      <c r="B177" s="2352" t="s">
        <v>1686</v>
      </c>
      <c r="C177" s="222"/>
      <c r="D177" s="2428">
        <v>2022</v>
      </c>
      <c r="E177" s="2290">
        <v>29</v>
      </c>
      <c r="F177" s="2348"/>
      <c r="G177" s="2290">
        <v>66</v>
      </c>
      <c r="H177" s="2290">
        <v>41</v>
      </c>
      <c r="I177" s="2290">
        <v>41</v>
      </c>
      <c r="J177" s="2314"/>
      <c r="K177" s="2342"/>
      <c r="L177" s="2342"/>
      <c r="M177" s="2343"/>
      <c r="N177" s="2341"/>
      <c r="O177" s="222"/>
    </row>
    <row r="178" spans="2:15" s="2331" customFormat="1" ht="15.2" customHeight="1">
      <c r="B178" s="2291"/>
      <c r="C178" s="222"/>
      <c r="D178" s="2338">
        <v>2023</v>
      </c>
      <c r="E178" s="2290">
        <v>29</v>
      </c>
      <c r="F178" s="2348"/>
      <c r="G178" s="2290">
        <v>66</v>
      </c>
      <c r="H178" s="2290">
        <v>41</v>
      </c>
      <c r="I178" s="2290">
        <v>41</v>
      </c>
      <c r="J178" s="2314"/>
      <c r="K178" s="2342"/>
      <c r="L178" s="2342"/>
      <c r="M178" s="2343"/>
      <c r="N178" s="2341"/>
      <c r="O178" s="222"/>
    </row>
    <row r="179" spans="2:15" s="2331" customFormat="1" ht="15.2" customHeight="1">
      <c r="B179" s="2291"/>
      <c r="C179" s="222"/>
      <c r="D179" s="2338">
        <v>2024</v>
      </c>
      <c r="E179" s="2290">
        <v>29</v>
      </c>
      <c r="F179" s="2348"/>
      <c r="G179" s="2290">
        <v>66</v>
      </c>
      <c r="H179" s="2290">
        <v>41</v>
      </c>
      <c r="I179" s="2290">
        <v>41</v>
      </c>
      <c r="J179" s="2314"/>
      <c r="K179" s="2351"/>
      <c r="L179" s="2351"/>
      <c r="M179" s="2350"/>
      <c r="N179" s="2341"/>
      <c r="O179" s="222"/>
    </row>
    <row r="180" spans="2:15" s="2331" customFormat="1" ht="15.2" customHeight="1">
      <c r="B180" s="2291"/>
      <c r="C180" s="222"/>
      <c r="D180" s="2344"/>
      <c r="E180" s="1997"/>
      <c r="F180" s="2347"/>
      <c r="G180" s="1605"/>
      <c r="H180" s="2349"/>
      <c r="I180" s="1605"/>
      <c r="J180" s="2314"/>
      <c r="K180" s="2342"/>
      <c r="L180" s="2342"/>
      <c r="M180" s="2343"/>
      <c r="N180" s="2341"/>
      <c r="O180" s="222"/>
    </row>
    <row r="181" spans="2:15" s="2331" customFormat="1" ht="15.2" customHeight="1">
      <c r="B181" s="2346" t="s">
        <v>1710</v>
      </c>
      <c r="C181" s="2345"/>
      <c r="D181" s="2428">
        <v>2022</v>
      </c>
      <c r="E181" s="2290">
        <v>29</v>
      </c>
      <c r="F181" s="2348"/>
      <c r="G181" s="2290">
        <v>66</v>
      </c>
      <c r="H181" s="2290">
        <v>41</v>
      </c>
      <c r="I181" s="2290">
        <v>41</v>
      </c>
      <c r="J181" s="2314"/>
      <c r="K181" s="2342"/>
      <c r="L181" s="2342"/>
      <c r="M181" s="2343"/>
      <c r="N181" s="2341"/>
      <c r="O181" s="222"/>
    </row>
    <row r="182" spans="2:15" s="2331" customFormat="1" ht="15.2" customHeight="1">
      <c r="B182" s="2345"/>
      <c r="C182" s="2345"/>
      <c r="D182" s="2338">
        <v>2023</v>
      </c>
      <c r="E182" s="2290">
        <v>29</v>
      </c>
      <c r="F182" s="2348"/>
      <c r="G182" s="2290">
        <v>66</v>
      </c>
      <c r="H182" s="2290">
        <v>41</v>
      </c>
      <c r="I182" s="2290">
        <v>41</v>
      </c>
      <c r="J182" s="2314"/>
      <c r="K182" s="2342"/>
      <c r="L182" s="2342"/>
      <c r="M182" s="2343"/>
      <c r="N182" s="2341"/>
      <c r="O182" s="222"/>
    </row>
    <row r="183" spans="2:15" s="2331" customFormat="1" ht="15.2" customHeight="1">
      <c r="B183" s="2345"/>
      <c r="C183" s="2345"/>
      <c r="D183" s="2338">
        <v>2024</v>
      </c>
      <c r="E183" s="2290">
        <v>29</v>
      </c>
      <c r="F183" s="2348"/>
      <c r="G183" s="2290">
        <v>66</v>
      </c>
      <c r="H183" s="2290">
        <v>41</v>
      </c>
      <c r="I183" s="2290">
        <v>41</v>
      </c>
      <c r="J183" s="2314"/>
      <c r="K183" s="2342"/>
      <c r="L183" s="2342"/>
      <c r="M183" s="2343"/>
      <c r="N183" s="2341"/>
      <c r="O183" s="222"/>
    </row>
    <row r="184" spans="2:15" s="2331" customFormat="1" ht="15.2" customHeight="1">
      <c r="B184" s="2291"/>
      <c r="C184" s="222"/>
      <c r="D184" s="2344"/>
      <c r="E184" s="1605"/>
      <c r="F184" s="2348"/>
      <c r="G184" s="1605"/>
      <c r="H184" s="2348"/>
      <c r="I184" s="1605"/>
      <c r="J184" s="2314"/>
      <c r="K184" s="2342"/>
      <c r="L184" s="2342"/>
      <c r="M184" s="2343"/>
      <c r="N184" s="2341"/>
      <c r="O184" s="222"/>
    </row>
    <row r="185" spans="2:15" s="2331" customFormat="1" ht="15.2" customHeight="1">
      <c r="B185" s="2346" t="s">
        <v>1580</v>
      </c>
      <c r="C185" s="2345"/>
      <c r="D185" s="2428">
        <v>2022</v>
      </c>
      <c r="E185" s="2290">
        <v>29</v>
      </c>
      <c r="F185" s="2348"/>
      <c r="G185" s="2290">
        <v>66</v>
      </c>
      <c r="H185" s="2290">
        <v>41</v>
      </c>
      <c r="I185" s="2290">
        <v>41</v>
      </c>
      <c r="J185" s="2314"/>
      <c r="K185" s="2342"/>
      <c r="L185" s="2342"/>
      <c r="M185" s="2343"/>
      <c r="N185" s="2341"/>
      <c r="O185" s="222"/>
    </row>
    <row r="186" spans="2:15" s="2331" customFormat="1" ht="15.2" customHeight="1">
      <c r="B186" s="2345"/>
      <c r="C186" s="2345"/>
      <c r="D186" s="2338">
        <v>2023</v>
      </c>
      <c r="E186" s="2290">
        <v>29</v>
      </c>
      <c r="F186" s="2348"/>
      <c r="G186" s="2290">
        <v>66</v>
      </c>
      <c r="H186" s="2290">
        <v>41</v>
      </c>
      <c r="I186" s="2290">
        <v>41</v>
      </c>
      <c r="J186" s="2314"/>
      <c r="K186" s="2342"/>
      <c r="L186" s="2342"/>
      <c r="M186" s="2343"/>
      <c r="N186" s="2341"/>
      <c r="O186" s="222"/>
    </row>
    <row r="187" spans="2:15" s="2331" customFormat="1" ht="15.2" customHeight="1">
      <c r="B187" s="2345"/>
      <c r="C187" s="2345"/>
      <c r="D187" s="2338">
        <v>2024</v>
      </c>
      <c r="E187" s="2290">
        <v>29</v>
      </c>
      <c r="F187" s="2348"/>
      <c r="G187" s="2290">
        <v>66</v>
      </c>
      <c r="H187" s="2290">
        <v>41</v>
      </c>
      <c r="I187" s="2290">
        <v>41</v>
      </c>
      <c r="J187" s="2342"/>
      <c r="K187" s="2342"/>
      <c r="L187" s="2342"/>
      <c r="M187" s="2343"/>
      <c r="N187" s="2341"/>
      <c r="O187" s="222"/>
    </row>
    <row r="188" spans="2:15" s="2331" customFormat="1" ht="15.2" customHeight="1">
      <c r="B188" s="2291"/>
      <c r="C188" s="222"/>
      <c r="D188" s="2344"/>
      <c r="E188" s="1997"/>
      <c r="F188" s="2348"/>
      <c r="G188" s="1605"/>
      <c r="H188" s="2348"/>
      <c r="I188" s="1605"/>
      <c r="J188" s="2342"/>
      <c r="K188" s="2342"/>
      <c r="L188" s="2342"/>
      <c r="M188" s="2343"/>
      <c r="N188" s="2341"/>
      <c r="O188" s="222"/>
    </row>
    <row r="189" spans="2:15" s="2331" customFormat="1" ht="15.2" customHeight="1">
      <c r="B189" s="2346" t="s">
        <v>1683</v>
      </c>
      <c r="C189" s="2345"/>
      <c r="D189" s="2428">
        <v>2022</v>
      </c>
      <c r="E189" s="2290">
        <v>29</v>
      </c>
      <c r="F189" s="2348"/>
      <c r="G189" s="2290">
        <v>66</v>
      </c>
      <c r="H189" s="2290">
        <v>41</v>
      </c>
      <c r="I189" s="2290">
        <v>41</v>
      </c>
      <c r="J189" s="2342"/>
      <c r="K189" s="2342"/>
      <c r="L189" s="2342"/>
      <c r="M189" s="2343"/>
      <c r="N189" s="2341"/>
      <c r="O189" s="222"/>
    </row>
    <row r="190" spans="2:15" s="2331" customFormat="1" ht="15.2" customHeight="1">
      <c r="B190" s="2345"/>
      <c r="C190" s="2345"/>
      <c r="D190" s="2338">
        <v>2023</v>
      </c>
      <c r="E190" s="2290">
        <v>29</v>
      </c>
      <c r="F190" s="2348"/>
      <c r="G190" s="2290">
        <v>66</v>
      </c>
      <c r="H190" s="2290">
        <v>41</v>
      </c>
      <c r="I190" s="2290">
        <v>41</v>
      </c>
      <c r="J190" s="2342"/>
      <c r="K190" s="2342"/>
      <c r="L190" s="2342"/>
      <c r="M190" s="2343"/>
      <c r="N190" s="2341"/>
      <c r="O190" s="222"/>
    </row>
    <row r="191" spans="2:15" s="2331" customFormat="1" ht="15.2" customHeight="1">
      <c r="B191" s="2345"/>
      <c r="C191" s="2345"/>
      <c r="D191" s="2338">
        <v>2024</v>
      </c>
      <c r="E191" s="2290">
        <v>29</v>
      </c>
      <c r="F191" s="2348"/>
      <c r="G191" s="2290">
        <v>66</v>
      </c>
      <c r="H191" s="2290">
        <v>41</v>
      </c>
      <c r="I191" s="2290">
        <v>41</v>
      </c>
      <c r="J191" s="2342"/>
      <c r="K191" s="2342"/>
      <c r="L191" s="2342"/>
      <c r="M191" s="2343"/>
      <c r="N191" s="2341"/>
      <c r="O191" s="222"/>
    </row>
    <row r="192" spans="2:15" s="2331" customFormat="1" ht="15.2" customHeight="1">
      <c r="B192" s="2345"/>
      <c r="C192" s="2345"/>
      <c r="D192" s="2344"/>
      <c r="E192" s="1997"/>
      <c r="F192" s="2347"/>
      <c r="G192" s="1605"/>
      <c r="H192" s="2349"/>
      <c r="I192" s="1605"/>
      <c r="J192" s="2342"/>
      <c r="K192" s="2342"/>
      <c r="L192" s="2342"/>
      <c r="M192" s="2343"/>
      <c r="N192" s="2341"/>
      <c r="O192" s="222"/>
    </row>
    <row r="193" spans="2:15" s="2331" customFormat="1" ht="15.2" customHeight="1">
      <c r="B193" s="2346" t="s">
        <v>1717</v>
      </c>
      <c r="C193" s="2345"/>
      <c r="D193" s="2428">
        <v>2022</v>
      </c>
      <c r="E193" s="2290">
        <v>29</v>
      </c>
      <c r="F193" s="2348"/>
      <c r="G193" s="2290">
        <v>66</v>
      </c>
      <c r="H193" s="2290">
        <v>41</v>
      </c>
      <c r="I193" s="2290">
        <v>41</v>
      </c>
      <c r="J193" s="2342"/>
      <c r="K193" s="2342"/>
      <c r="L193" s="2342"/>
      <c r="M193" s="2343"/>
      <c r="N193" s="2341"/>
      <c r="O193" s="222"/>
    </row>
    <row r="194" spans="2:15" s="2331" customFormat="1" ht="15.2" customHeight="1">
      <c r="B194" s="2345"/>
      <c r="C194" s="2345"/>
      <c r="D194" s="2338">
        <v>2023</v>
      </c>
      <c r="E194" s="2290">
        <v>29</v>
      </c>
      <c r="F194" s="2348"/>
      <c r="G194" s="2290">
        <v>66</v>
      </c>
      <c r="H194" s="2290">
        <v>41</v>
      </c>
      <c r="I194" s="2290">
        <v>41</v>
      </c>
      <c r="J194" s="2342"/>
      <c r="K194" s="2342"/>
      <c r="L194" s="2342"/>
      <c r="M194" s="2343"/>
      <c r="N194" s="2341"/>
      <c r="O194" s="222"/>
    </row>
    <row r="195" spans="2:15" s="2331" customFormat="1" ht="15.2" customHeight="1">
      <c r="B195" s="2345"/>
      <c r="C195" s="2345"/>
      <c r="D195" s="2338">
        <v>2024</v>
      </c>
      <c r="E195" s="2290">
        <v>29</v>
      </c>
      <c r="F195" s="2348"/>
      <c r="G195" s="2290">
        <v>66</v>
      </c>
      <c r="H195" s="2290">
        <v>41</v>
      </c>
      <c r="I195" s="2290">
        <v>41</v>
      </c>
      <c r="J195" s="2342"/>
      <c r="K195" s="2342"/>
      <c r="L195" s="2342"/>
      <c r="M195" s="2343"/>
      <c r="N195" s="2341"/>
      <c r="O195" s="222"/>
    </row>
    <row r="196" spans="2:15" s="2331" customFormat="1" ht="15.2" customHeight="1">
      <c r="B196" s="2345"/>
      <c r="C196" s="2345"/>
      <c r="D196" s="2344"/>
      <c r="E196" s="1605"/>
      <c r="F196" s="2348"/>
      <c r="G196" s="1605"/>
      <c r="H196" s="2348"/>
      <c r="I196" s="1605"/>
      <c r="J196" s="2342"/>
      <c r="K196" s="2342"/>
      <c r="L196" s="2342"/>
      <c r="M196" s="2343"/>
      <c r="N196" s="2341"/>
      <c r="O196" s="222"/>
    </row>
    <row r="197" spans="2:15" s="2331" customFormat="1" ht="15.2" customHeight="1">
      <c r="B197" s="2346" t="s">
        <v>1712</v>
      </c>
      <c r="C197" s="2345"/>
      <c r="D197" s="2428">
        <v>2022</v>
      </c>
      <c r="E197" s="2290">
        <v>29</v>
      </c>
      <c r="F197" s="2348"/>
      <c r="G197" s="2290">
        <v>66</v>
      </c>
      <c r="H197" s="2290">
        <v>41</v>
      </c>
      <c r="I197" s="2290">
        <v>41</v>
      </c>
      <c r="J197" s="2342"/>
      <c r="K197" s="2342"/>
      <c r="L197" s="2342"/>
      <c r="M197" s="2343"/>
      <c r="N197" s="2341"/>
      <c r="O197" s="222"/>
    </row>
    <row r="198" spans="2:15" s="2331" customFormat="1" ht="15.2" customHeight="1">
      <c r="B198" s="2345"/>
      <c r="C198" s="2345"/>
      <c r="D198" s="2338">
        <v>2023</v>
      </c>
      <c r="E198" s="2290">
        <v>29</v>
      </c>
      <c r="F198" s="2348"/>
      <c r="G198" s="2290">
        <v>66</v>
      </c>
      <c r="H198" s="2290">
        <v>41</v>
      </c>
      <c r="I198" s="2290">
        <v>41</v>
      </c>
      <c r="J198" s="2342"/>
      <c r="K198" s="2342"/>
      <c r="L198" s="2342"/>
      <c r="M198" s="2343"/>
      <c r="N198" s="2341"/>
      <c r="O198" s="222"/>
    </row>
    <row r="199" spans="2:15" s="2331" customFormat="1" ht="15.2" customHeight="1">
      <c r="B199" s="2345"/>
      <c r="C199" s="2345"/>
      <c r="D199" s="2338">
        <v>2024</v>
      </c>
      <c r="E199" s="2290">
        <v>29</v>
      </c>
      <c r="F199" s="2348"/>
      <c r="G199" s="2290">
        <v>66</v>
      </c>
      <c r="H199" s="2290">
        <v>41</v>
      </c>
      <c r="I199" s="2290">
        <v>41</v>
      </c>
      <c r="J199" s="2343"/>
      <c r="K199" s="2343"/>
      <c r="L199" s="2343"/>
      <c r="M199" s="2343"/>
      <c r="N199" s="2341"/>
      <c r="O199" s="222"/>
    </row>
    <row r="200" spans="2:15" s="2331" customFormat="1" ht="15.2" customHeight="1">
      <c r="B200" s="2345"/>
      <c r="C200" s="2345"/>
      <c r="D200" s="2344"/>
      <c r="E200" s="1997"/>
      <c r="F200" s="2348"/>
      <c r="G200" s="1605"/>
      <c r="H200" s="2348"/>
      <c r="I200" s="1605"/>
      <c r="J200" s="2343"/>
      <c r="K200" s="2343"/>
      <c r="L200" s="2343"/>
      <c r="M200" s="2343"/>
      <c r="N200" s="2341"/>
      <c r="O200" s="222"/>
    </row>
    <row r="201" spans="2:15" s="2331" customFormat="1" ht="15.2" customHeight="1">
      <c r="B201" s="2346" t="s">
        <v>1684</v>
      </c>
      <c r="C201" s="2345"/>
      <c r="D201" s="2428">
        <v>2022</v>
      </c>
      <c r="E201" s="2290">
        <v>29</v>
      </c>
      <c r="F201" s="2348"/>
      <c r="G201" s="2290">
        <v>66</v>
      </c>
      <c r="H201" s="2290">
        <v>41</v>
      </c>
      <c r="I201" s="2290">
        <v>41</v>
      </c>
      <c r="J201" s="2343"/>
      <c r="K201" s="2343"/>
      <c r="L201" s="2343"/>
      <c r="M201" s="2343"/>
      <c r="N201" s="2341"/>
      <c r="O201" s="222"/>
    </row>
    <row r="202" spans="2:15" s="2331" customFormat="1" ht="15.2" customHeight="1">
      <c r="B202" s="2345"/>
      <c r="C202" s="2345"/>
      <c r="D202" s="2338">
        <v>2023</v>
      </c>
      <c r="E202" s="2290">
        <v>29</v>
      </c>
      <c r="F202" s="2348"/>
      <c r="G202" s="2290">
        <v>66</v>
      </c>
      <c r="H202" s="2290">
        <v>41</v>
      </c>
      <c r="I202" s="2290">
        <v>41</v>
      </c>
      <c r="J202" s="2343"/>
      <c r="K202" s="2343"/>
      <c r="L202" s="2343"/>
      <c r="M202" s="2343"/>
      <c r="N202" s="2341"/>
      <c r="O202" s="222"/>
    </row>
    <row r="203" spans="2:15" s="2331" customFormat="1" ht="15.2" customHeight="1">
      <c r="B203" s="2345"/>
      <c r="C203" s="2345"/>
      <c r="D203" s="2338">
        <v>2024</v>
      </c>
      <c r="E203" s="2290">
        <v>29</v>
      </c>
      <c r="F203" s="2348"/>
      <c r="G203" s="2290">
        <v>66</v>
      </c>
      <c r="H203" s="2290">
        <v>41</v>
      </c>
      <c r="I203" s="2290">
        <v>41</v>
      </c>
      <c r="J203" s="2343"/>
      <c r="K203" s="2343"/>
      <c r="L203" s="2343"/>
      <c r="M203" s="2343"/>
      <c r="N203" s="2341"/>
      <c r="O203" s="222"/>
    </row>
    <row r="204" spans="2:15" s="2331" customFormat="1" ht="15.2" customHeight="1">
      <c r="B204" s="2345"/>
      <c r="C204" s="2345"/>
      <c r="D204" s="2344"/>
      <c r="E204" s="1997"/>
      <c r="F204" s="2347"/>
      <c r="G204" s="2313"/>
      <c r="H204" s="2347"/>
      <c r="I204" s="1605"/>
      <c r="J204" s="2343"/>
      <c r="K204" s="2343"/>
      <c r="L204" s="2343"/>
      <c r="M204" s="2343"/>
      <c r="N204" s="2341"/>
      <c r="O204" s="222"/>
    </row>
    <row r="205" spans="2:15" s="2331" customFormat="1" ht="15.2" customHeight="1">
      <c r="B205" s="2346" t="s">
        <v>1589</v>
      </c>
      <c r="C205" s="2345"/>
      <c r="D205" s="2428">
        <v>2022</v>
      </c>
      <c r="E205" s="2290">
        <v>29</v>
      </c>
      <c r="F205" s="2348"/>
      <c r="G205" s="2290">
        <v>66</v>
      </c>
      <c r="H205" s="2290">
        <v>41</v>
      </c>
      <c r="I205" s="2290">
        <v>41</v>
      </c>
      <c r="J205" s="2343"/>
      <c r="K205" s="2343"/>
      <c r="L205" s="2343"/>
      <c r="M205" s="2343"/>
      <c r="N205" s="2341"/>
      <c r="O205" s="222"/>
    </row>
    <row r="206" spans="2:15" s="2331" customFormat="1" ht="15.2" customHeight="1">
      <c r="B206" s="2345"/>
      <c r="C206" s="2345"/>
      <c r="D206" s="2338">
        <v>2023</v>
      </c>
      <c r="E206" s="2290">
        <v>29</v>
      </c>
      <c r="F206" s="2348"/>
      <c r="G206" s="2290">
        <v>66</v>
      </c>
      <c r="H206" s="2290">
        <v>41</v>
      </c>
      <c r="I206" s="2290">
        <v>41</v>
      </c>
      <c r="J206" s="2343"/>
      <c r="K206" s="2343"/>
      <c r="L206" s="2343"/>
      <c r="M206" s="2342"/>
      <c r="N206" s="2341"/>
      <c r="O206" s="222"/>
    </row>
    <row r="207" spans="2:15" s="2331" customFormat="1" ht="15.2" customHeight="1">
      <c r="B207" s="2345"/>
      <c r="C207" s="2345"/>
      <c r="D207" s="2338">
        <v>2024</v>
      </c>
      <c r="E207" s="2290">
        <v>29</v>
      </c>
      <c r="F207" s="2348"/>
      <c r="G207" s="2290">
        <v>66</v>
      </c>
      <c r="H207" s="2290">
        <v>41</v>
      </c>
      <c r="I207" s="2290">
        <v>41</v>
      </c>
      <c r="J207" s="2343"/>
      <c r="K207" s="2343"/>
      <c r="L207" s="2343"/>
      <c r="M207" s="2342"/>
      <c r="N207" s="2341"/>
      <c r="O207" s="222"/>
    </row>
    <row r="208" spans="2:15" s="2331" customFormat="1" ht="15.2" customHeight="1">
      <c r="B208" s="2345"/>
      <c r="C208" s="2345"/>
      <c r="D208" s="2344"/>
      <c r="E208" s="1997"/>
      <c r="F208" s="1997"/>
      <c r="G208" s="2347"/>
      <c r="H208" s="2313"/>
      <c r="I208" s="2347"/>
      <c r="J208" s="2343"/>
      <c r="K208" s="2343"/>
      <c r="L208" s="2343"/>
      <c r="M208" s="2342"/>
      <c r="N208" s="2341"/>
      <c r="O208" s="222"/>
    </row>
    <row r="209" spans="1:15" s="2331" customFormat="1" ht="15.2" customHeight="1">
      <c r="B209" s="2346" t="s">
        <v>1691</v>
      </c>
      <c r="C209" s="2345"/>
      <c r="D209" s="2428">
        <v>2022</v>
      </c>
      <c r="E209" s="2290">
        <v>29</v>
      </c>
      <c r="F209" s="2348"/>
      <c r="G209" s="2290">
        <v>66</v>
      </c>
      <c r="H209" s="2290">
        <v>41</v>
      </c>
      <c r="I209" s="2290">
        <v>41</v>
      </c>
      <c r="J209" s="2343"/>
      <c r="K209" s="2343"/>
      <c r="L209" s="2343"/>
      <c r="M209" s="2342"/>
      <c r="N209" s="2341"/>
      <c r="O209" s="222"/>
    </row>
    <row r="210" spans="1:15" s="2331" customFormat="1" ht="15.2" customHeight="1">
      <c r="B210" s="2345"/>
      <c r="C210" s="2345"/>
      <c r="D210" s="2338">
        <v>2023</v>
      </c>
      <c r="E210" s="2290">
        <v>29</v>
      </c>
      <c r="F210" s="2348"/>
      <c r="G210" s="2290">
        <v>66</v>
      </c>
      <c r="H210" s="2290">
        <v>41</v>
      </c>
      <c r="I210" s="2290">
        <v>41</v>
      </c>
      <c r="J210" s="2343"/>
      <c r="K210" s="2343"/>
      <c r="L210" s="2343"/>
      <c r="M210" s="2342"/>
      <c r="N210" s="2341"/>
      <c r="O210" s="222"/>
    </row>
    <row r="211" spans="1:15" s="2331" customFormat="1" ht="15.2" customHeight="1">
      <c r="B211" s="1998"/>
      <c r="C211" s="2345"/>
      <c r="D211" s="2338">
        <v>2024</v>
      </c>
      <c r="E211" s="2290">
        <v>29</v>
      </c>
      <c r="F211" s="2348"/>
      <c r="G211" s="2290">
        <v>66</v>
      </c>
      <c r="H211" s="2290">
        <v>41</v>
      </c>
      <c r="I211" s="2290">
        <v>41</v>
      </c>
      <c r="J211" s="2343"/>
      <c r="K211" s="2343"/>
      <c r="L211" s="2343"/>
      <c r="M211" s="2342"/>
      <c r="N211" s="2341"/>
      <c r="O211" s="222"/>
    </row>
    <row r="212" spans="1:15" s="2331" customFormat="1" ht="15.2" customHeight="1">
      <c r="B212" s="1998"/>
      <c r="C212" s="2345"/>
      <c r="D212" s="2344"/>
      <c r="E212" s="2427"/>
      <c r="F212" s="2427"/>
      <c r="G212" s="2343"/>
      <c r="H212" s="2426"/>
      <c r="I212" s="2343"/>
      <c r="J212" s="2343"/>
      <c r="K212" s="2343"/>
      <c r="L212" s="2343"/>
      <c r="M212" s="2343"/>
      <c r="N212" s="2341"/>
      <c r="O212" s="222"/>
    </row>
    <row r="213" spans="1:15" s="2331" customFormat="1" ht="15.2" customHeight="1">
      <c r="B213" s="1998"/>
      <c r="C213" s="2425"/>
      <c r="D213" s="2424"/>
      <c r="E213" s="2356"/>
      <c r="F213" s="2356"/>
      <c r="G213" s="2356"/>
      <c r="H213" s="2356"/>
      <c r="I213" s="2356"/>
      <c r="J213" s="2360"/>
      <c r="K213" s="222"/>
    </row>
    <row r="214" spans="1:15" s="2324" customFormat="1" ht="7.5" customHeight="1" thickBot="1">
      <c r="A214" s="2423"/>
      <c r="B214" s="2335"/>
      <c r="C214" s="2335"/>
      <c r="D214" s="2332"/>
      <c r="E214" s="2421"/>
      <c r="F214" s="2422"/>
      <c r="G214" s="2421"/>
      <c r="H214" s="2374"/>
      <c r="I214" s="2374"/>
    </row>
    <row r="215" spans="1:15" s="2324" customFormat="1" ht="16.5" customHeight="1">
      <c r="B215" s="2330"/>
      <c r="C215" s="2330"/>
      <c r="D215" s="2329"/>
      <c r="E215" s="2293"/>
      <c r="F215" s="2420"/>
      <c r="G215" s="2907" t="s">
        <v>241</v>
      </c>
      <c r="H215" s="2907"/>
      <c r="I215" s="2907"/>
      <c r="J215" s="2419"/>
    </row>
    <row r="216" spans="1:15" s="2155" customFormat="1" ht="15.75" customHeight="1">
      <c r="A216" s="2324"/>
      <c r="B216" s="2330"/>
      <c r="C216" s="2330"/>
      <c r="D216" s="2329"/>
      <c r="E216" s="2293"/>
      <c r="F216" s="2362"/>
      <c r="G216" s="2908" t="s">
        <v>242</v>
      </c>
      <c r="H216" s="2908"/>
      <c r="I216" s="2908"/>
      <c r="J216" s="2418"/>
    </row>
  </sheetData>
  <mergeCells count="15">
    <mergeCell ref="G152:I152"/>
    <mergeCell ref="G215:I215"/>
    <mergeCell ref="G216:I216"/>
    <mergeCell ref="G79:I79"/>
    <mergeCell ref="G80:I80"/>
    <mergeCell ref="G138:I138"/>
    <mergeCell ref="G139:I139"/>
    <mergeCell ref="C146:I146"/>
    <mergeCell ref="G151:I151"/>
    <mergeCell ref="C74:I74"/>
    <mergeCell ref="C2:I2"/>
    <mergeCell ref="G7:I7"/>
    <mergeCell ref="G8:I8"/>
    <mergeCell ref="F70:I70"/>
    <mergeCell ref="F71:I71"/>
  </mergeCells>
  <printOptions horizontalCentered="1"/>
  <pageMargins left="0.55118110236220474" right="0.55118110236220474" top="0.55118110236220474" bottom="0.55118110236220474" header="0.31496062992125984" footer="0.31496062992125984"/>
  <pageSetup paperSize="9" scale="71" fitToWidth="0" fitToHeight="0" orientation="portrait" r:id="rId1"/>
  <rowBreaks count="2" manualBreakCount="2">
    <brk id="72" max="8" man="1"/>
    <brk id="144" max="8" man="1"/>
  </rowBreaks>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C770F-2088-46BC-A698-6625608E821F}">
  <sheetPr>
    <tabColor theme="4" tint="0.39997558519241921"/>
  </sheetPr>
  <dimension ref="B1:P39"/>
  <sheetViews>
    <sheetView view="pageBreakPreview" topLeftCell="B25" zoomScale="90" zoomScaleNormal="100" zoomScaleSheetLayoutView="90" workbookViewId="0">
      <selection activeCell="E15" sqref="E15"/>
    </sheetView>
  </sheetViews>
  <sheetFormatPr defaultRowHeight="15"/>
  <cols>
    <col min="1" max="1" width="1.5703125" customWidth="1"/>
    <col min="2" max="2" width="13" customWidth="1"/>
    <col min="3" max="3" width="30.42578125" customWidth="1"/>
    <col min="4" max="4" width="9.28515625" style="1754" customWidth="1"/>
    <col min="5" max="5" width="17" customWidth="1"/>
    <col min="6" max="6" width="3.7109375" customWidth="1"/>
    <col min="7" max="7" width="3.85546875" customWidth="1"/>
    <col min="8" max="8" width="5" customWidth="1"/>
    <col min="9" max="9" width="1.7109375" customWidth="1"/>
    <col min="10" max="10" width="3.42578125" hidden="1" customWidth="1"/>
    <col min="11" max="11" width="12.42578125" customWidth="1"/>
    <col min="12" max="12" width="16.28515625" customWidth="1"/>
    <col min="13" max="13" width="15.42578125" customWidth="1"/>
  </cols>
  <sheetData>
    <row r="1" spans="2:16" s="224" customFormat="1" ht="18.75" customHeight="1">
      <c r="B1" s="740" t="s">
        <v>1916</v>
      </c>
      <c r="C1" s="223" t="s">
        <v>1915</v>
      </c>
      <c r="D1" s="740"/>
      <c r="E1" s="223"/>
      <c r="F1" s="223"/>
      <c r="G1" s="223"/>
      <c r="H1" s="223"/>
      <c r="I1" s="223"/>
      <c r="J1" s="223"/>
      <c r="K1" s="223"/>
      <c r="L1" s="223"/>
      <c r="M1" s="223"/>
    </row>
    <row r="2" spans="2:16" s="224" customFormat="1" ht="17.25" customHeight="1">
      <c r="B2" s="2479" t="s">
        <v>1914</v>
      </c>
      <c r="C2" s="2478" t="s">
        <v>1913</v>
      </c>
      <c r="D2" s="2477"/>
      <c r="E2" s="2476"/>
      <c r="F2" s="2476"/>
      <c r="G2" s="2476"/>
      <c r="H2" s="2476"/>
      <c r="I2" s="2476"/>
      <c r="J2" s="2476"/>
      <c r="K2" s="2476"/>
      <c r="L2" s="2476"/>
      <c r="M2" s="2476"/>
    </row>
    <row r="3" spans="2:16" s="225" customFormat="1" ht="12.75" customHeight="1" thickBot="1">
      <c r="B3" s="2475"/>
      <c r="C3" s="2475"/>
      <c r="D3" s="2474"/>
      <c r="E3" s="2474"/>
      <c r="F3" s="2474"/>
      <c r="G3" s="2474"/>
      <c r="H3" s="2474"/>
      <c r="I3" s="2474"/>
      <c r="J3" s="2474"/>
      <c r="K3" s="2475"/>
      <c r="L3" s="2475"/>
      <c r="M3" s="2474"/>
    </row>
    <row r="4" spans="2:16" s="224" customFormat="1" ht="22.5" customHeight="1">
      <c r="B4" s="2913" t="s">
        <v>1912</v>
      </c>
      <c r="C4" s="2913"/>
      <c r="D4" s="2473"/>
      <c r="E4" s="2472"/>
      <c r="F4" s="226"/>
      <c r="G4" s="2910"/>
      <c r="H4" s="2911"/>
      <c r="I4" s="2911"/>
      <c r="J4" s="226"/>
      <c r="K4" s="2910"/>
      <c r="L4" s="2910"/>
      <c r="M4" s="2910"/>
    </row>
    <row r="5" spans="2:16" s="224" customFormat="1" ht="26.25" customHeight="1">
      <c r="B5" s="2795"/>
      <c r="C5" s="2795"/>
      <c r="D5" s="1753" t="s">
        <v>239</v>
      </c>
      <c r="E5" s="2471"/>
      <c r="F5" s="226"/>
      <c r="G5" s="2910"/>
      <c r="H5" s="2910"/>
      <c r="I5" s="2910"/>
      <c r="J5" s="226"/>
      <c r="K5" s="2798" t="s">
        <v>240</v>
      </c>
      <c r="L5" s="2798" t="s">
        <v>250</v>
      </c>
      <c r="M5" s="2798" t="s">
        <v>251</v>
      </c>
    </row>
    <row r="6" spans="2:16" s="224" customFormat="1" ht="15.95" customHeight="1">
      <c r="B6" s="2795"/>
      <c r="C6" s="2795"/>
      <c r="D6" s="1753"/>
      <c r="E6" s="2471"/>
      <c r="F6" s="226"/>
      <c r="G6" s="2910"/>
      <c r="H6" s="2910"/>
      <c r="I6" s="2910"/>
      <c r="J6" s="226"/>
      <c r="K6" s="2798"/>
      <c r="L6" s="2798"/>
      <c r="M6" s="2798"/>
    </row>
    <row r="7" spans="2:16" s="224" customFormat="1" ht="18" customHeight="1" thickBot="1">
      <c r="B7" s="2914"/>
      <c r="C7" s="2914"/>
      <c r="D7" s="2468"/>
      <c r="E7" s="2470"/>
      <c r="F7" s="2469"/>
      <c r="G7" s="2912"/>
      <c r="H7" s="2912"/>
      <c r="I7" s="2912"/>
      <c r="J7" s="2469"/>
      <c r="K7" s="2909"/>
      <c r="L7" s="2909"/>
      <c r="M7" s="2909"/>
    </row>
    <row r="8" spans="2:16" s="224" customFormat="1" ht="9.9499999999999993" customHeight="1">
      <c r="B8" s="227"/>
      <c r="D8" s="2456"/>
      <c r="F8" s="228"/>
      <c r="G8" s="228"/>
      <c r="H8" s="228"/>
      <c r="I8" s="228"/>
      <c r="J8" s="228"/>
    </row>
    <row r="9" spans="2:16" s="224" customFormat="1" ht="26.25" customHeight="1">
      <c r="B9" s="2795" t="s">
        <v>1911</v>
      </c>
      <c r="C9" s="2795"/>
      <c r="D9" s="2463">
        <v>2023</v>
      </c>
      <c r="E9" s="2462"/>
      <c r="F9" s="2461"/>
      <c r="G9" s="2462"/>
      <c r="H9" s="2462"/>
      <c r="I9" s="2462"/>
      <c r="J9" s="2461"/>
      <c r="K9" s="1604">
        <v>99.641565733578787</v>
      </c>
      <c r="L9" s="1604">
        <v>99.782591894407531</v>
      </c>
      <c r="M9" s="1604">
        <v>99.130434782608702</v>
      </c>
      <c r="N9" s="2460"/>
      <c r="O9" s="2460"/>
      <c r="P9" s="2460"/>
    </row>
    <row r="10" spans="2:16" s="224" customFormat="1" ht="21.75" customHeight="1">
      <c r="B10" s="229"/>
      <c r="C10" s="2462"/>
      <c r="D10" s="2463">
        <v>2024</v>
      </c>
      <c r="E10" s="2462"/>
      <c r="F10" s="2461"/>
      <c r="G10" s="2462"/>
      <c r="H10" s="2462"/>
      <c r="I10" s="2462"/>
      <c r="J10" s="2461"/>
      <c r="K10" s="1604">
        <v>99.641565733578787</v>
      </c>
      <c r="L10" s="1604">
        <v>99.782591894407531</v>
      </c>
      <c r="M10" s="1604">
        <v>99.130434782608702</v>
      </c>
      <c r="N10" s="2460"/>
      <c r="O10" s="2460"/>
      <c r="P10" s="2460"/>
    </row>
    <row r="11" spans="2:16" s="224" customFormat="1" ht="21.75" customHeight="1">
      <c r="B11" s="229"/>
      <c r="C11" s="2462"/>
      <c r="D11" s="2463">
        <v>2025</v>
      </c>
      <c r="E11" s="2462"/>
      <c r="F11" s="2461"/>
      <c r="G11" s="2462"/>
      <c r="H11" s="2462"/>
      <c r="I11" s="2462"/>
      <c r="J11" s="2461"/>
      <c r="K11" s="1604">
        <v>99.641565733578787</v>
      </c>
      <c r="L11" s="1604">
        <v>99.782591894407531</v>
      </c>
      <c r="M11" s="1604">
        <v>99.130434782608702</v>
      </c>
      <c r="N11" s="2460"/>
      <c r="O11" s="2460"/>
      <c r="P11" s="2460"/>
    </row>
    <row r="12" spans="2:16" s="224" customFormat="1" ht="12" customHeight="1">
      <c r="B12" s="229"/>
      <c r="C12" s="2462"/>
      <c r="D12" s="2463"/>
      <c r="E12" s="2462"/>
      <c r="F12" s="2461"/>
      <c r="G12" s="2462"/>
      <c r="H12" s="2462"/>
      <c r="I12" s="2462"/>
      <c r="J12" s="2461"/>
      <c r="K12" s="1604"/>
      <c r="L12" s="1604"/>
      <c r="M12" s="1604"/>
      <c r="N12" s="2460"/>
      <c r="O12" s="2460"/>
      <c r="P12" s="2460"/>
    </row>
    <row r="13" spans="2:16" s="224" customFormat="1" ht="22.5" customHeight="1">
      <c r="B13" s="2466" t="s">
        <v>252</v>
      </c>
      <c r="C13" s="2462"/>
      <c r="D13" s="2463">
        <v>2023</v>
      </c>
      <c r="E13" s="2462"/>
      <c r="F13" s="2461"/>
      <c r="G13" s="2462"/>
      <c r="H13" s="2462"/>
      <c r="I13" s="2462"/>
      <c r="J13" s="2462"/>
      <c r="K13" s="1604">
        <v>94.444104269871261</v>
      </c>
      <c r="L13" s="1604">
        <v>96.304356226709274</v>
      </c>
      <c r="M13" s="1604">
        <v>87.701863354037272</v>
      </c>
      <c r="N13" s="2460"/>
      <c r="O13" s="2460"/>
      <c r="P13" s="2460"/>
    </row>
    <row r="14" spans="2:16" s="224" customFormat="1" ht="23.25" customHeight="1">
      <c r="B14" s="231"/>
      <c r="C14" s="2462"/>
      <c r="D14" s="2463">
        <v>2024</v>
      </c>
      <c r="E14" s="2462"/>
      <c r="F14" s="2461"/>
      <c r="G14" s="2462"/>
      <c r="H14" s="2462"/>
      <c r="I14" s="2462"/>
      <c r="J14" s="2461"/>
      <c r="K14" s="1604">
        <v>99.641565733578787</v>
      </c>
      <c r="L14" s="1604">
        <v>99.782591894407531</v>
      </c>
      <c r="M14" s="1604">
        <v>99.130434782608702</v>
      </c>
      <c r="N14" s="2460"/>
      <c r="O14" s="2460"/>
      <c r="P14" s="2460"/>
    </row>
    <row r="15" spans="2:16" s="224" customFormat="1" ht="24.75" customHeight="1">
      <c r="B15" s="231"/>
      <c r="C15" s="2462"/>
      <c r="D15" s="2463">
        <v>2025</v>
      </c>
      <c r="E15" s="2462"/>
      <c r="F15" s="2461"/>
      <c r="G15" s="2462"/>
      <c r="H15" s="2462"/>
      <c r="I15" s="2462"/>
      <c r="J15" s="2461"/>
      <c r="K15" s="1604">
        <v>99.641565733578787</v>
      </c>
      <c r="L15" s="1604">
        <v>99.782591894407531</v>
      </c>
      <c r="M15" s="1604">
        <v>99.130434782608702</v>
      </c>
      <c r="N15" s="2460"/>
      <c r="O15" s="2460"/>
      <c r="P15" s="2460"/>
    </row>
    <row r="16" spans="2:16" s="224" customFormat="1" ht="10.5" customHeight="1">
      <c r="B16" s="231"/>
      <c r="C16" s="2462"/>
      <c r="D16" s="2467"/>
      <c r="E16" s="2462"/>
      <c r="F16" s="2461"/>
      <c r="G16" s="2462"/>
      <c r="H16" s="2462"/>
      <c r="I16" s="2462"/>
      <c r="J16" s="2462"/>
      <c r="K16" s="1604"/>
      <c r="L16" s="1604"/>
      <c r="M16" s="1604"/>
      <c r="N16" s="2460"/>
      <c r="O16" s="2460"/>
      <c r="P16" s="2460"/>
    </row>
    <row r="17" spans="2:16" s="224" customFormat="1" ht="27.75" customHeight="1">
      <c r="B17" s="229" t="s">
        <v>1910</v>
      </c>
      <c r="C17" s="2462"/>
      <c r="D17" s="2463">
        <v>2023</v>
      </c>
      <c r="E17" s="2462"/>
      <c r="F17" s="2461"/>
      <c r="G17" s="2462"/>
      <c r="H17" s="2462"/>
      <c r="I17" s="2462"/>
      <c r="J17" s="2462"/>
      <c r="K17" s="1604">
        <v>85.481305322261633</v>
      </c>
      <c r="L17" s="1604">
        <v>88.9</v>
      </c>
      <c r="M17" s="1604">
        <v>73</v>
      </c>
      <c r="N17" s="2460"/>
      <c r="O17" s="2460"/>
      <c r="P17" s="2460"/>
    </row>
    <row r="18" spans="2:16" s="224" customFormat="1" ht="24.75" customHeight="1">
      <c r="B18" s="229"/>
      <c r="C18" s="2462"/>
      <c r="D18" s="2463">
        <v>2024</v>
      </c>
      <c r="E18" s="2462"/>
      <c r="F18" s="2461"/>
      <c r="G18" s="2462"/>
      <c r="H18" s="2462"/>
      <c r="I18" s="2462"/>
      <c r="J18" s="2461"/>
      <c r="K18" s="1604">
        <v>99.641565733578787</v>
      </c>
      <c r="L18" s="1604">
        <v>99.782591894407531</v>
      </c>
      <c r="M18" s="1604">
        <v>99.130434782608702</v>
      </c>
      <c r="N18" s="2460"/>
      <c r="O18" s="2460"/>
      <c r="P18" s="2460"/>
    </row>
    <row r="19" spans="2:16" s="224" customFormat="1" ht="28.15" customHeight="1">
      <c r="B19" s="229"/>
      <c r="C19" s="2462"/>
      <c r="D19" s="2463">
        <v>2025</v>
      </c>
      <c r="E19" s="2462"/>
      <c r="F19" s="2461"/>
      <c r="G19" s="2462"/>
      <c r="H19" s="2462"/>
      <c r="I19" s="2462"/>
      <c r="J19" s="2461"/>
      <c r="K19" s="1604">
        <v>99.641565733578787</v>
      </c>
      <c r="L19" s="1604">
        <v>99.782591894407531</v>
      </c>
      <c r="M19" s="1604">
        <v>99.130434782608702</v>
      </c>
      <c r="N19" s="2460"/>
      <c r="O19" s="2460"/>
      <c r="P19" s="2460"/>
    </row>
    <row r="20" spans="2:16" s="224" customFormat="1" ht="10.5" customHeight="1">
      <c r="B20" s="229"/>
      <c r="C20" s="2462"/>
      <c r="D20" s="2467"/>
      <c r="E20" s="2462"/>
      <c r="F20" s="2461"/>
      <c r="G20" s="2462"/>
      <c r="H20" s="2462"/>
      <c r="I20" s="2462"/>
      <c r="J20" s="2462"/>
      <c r="K20" s="1604"/>
      <c r="L20" s="1604"/>
      <c r="M20" s="1604"/>
      <c r="N20" s="2460"/>
      <c r="O20" s="2460"/>
      <c r="P20" s="2460"/>
    </row>
    <row r="21" spans="2:16" s="224" customFormat="1" ht="37.5" customHeight="1" thickBot="1">
      <c r="B21" s="2795" t="s">
        <v>1909</v>
      </c>
      <c r="C21" s="2795"/>
      <c r="D21" s="2463">
        <v>2023</v>
      </c>
      <c r="E21" s="2462"/>
      <c r="F21" s="2461"/>
      <c r="G21" s="2464"/>
      <c r="H21" s="2464"/>
      <c r="I21" s="2464"/>
      <c r="J21" s="2461"/>
      <c r="K21" s="1603">
        <v>86.28495129139047</v>
      </c>
      <c r="L21" s="1603">
        <v>86.956521739130437</v>
      </c>
      <c r="M21" s="1603">
        <v>83.850930154670564</v>
      </c>
      <c r="N21" s="2460"/>
      <c r="O21" s="2460"/>
      <c r="P21" s="2460"/>
    </row>
    <row r="22" spans="2:16" s="224" customFormat="1" ht="24" customHeight="1" thickTop="1">
      <c r="B22" s="229"/>
      <c r="C22" s="2462"/>
      <c r="D22" s="2463">
        <v>2024</v>
      </c>
      <c r="E22" s="2462"/>
      <c r="F22" s="2461"/>
      <c r="G22" s="2462"/>
      <c r="H22" s="2462"/>
      <c r="I22" s="2462"/>
      <c r="J22" s="2461"/>
      <c r="K22" s="1604">
        <v>99.641565733578787</v>
      </c>
      <c r="L22" s="1604">
        <v>99.782591894407531</v>
      </c>
      <c r="M22" s="1604">
        <v>99.130434782608702</v>
      </c>
      <c r="N22" s="2460"/>
      <c r="O22" s="2460"/>
      <c r="P22" s="2460"/>
    </row>
    <row r="23" spans="2:16" s="224" customFormat="1" ht="27.2" customHeight="1">
      <c r="B23" s="229"/>
      <c r="C23" s="2462"/>
      <c r="D23" s="2463">
        <v>2025</v>
      </c>
      <c r="E23" s="2462"/>
      <c r="F23" s="2461"/>
      <c r="G23" s="2462"/>
      <c r="H23" s="2462"/>
      <c r="I23" s="2462"/>
      <c r="J23" s="2461"/>
      <c r="K23" s="1604">
        <v>99.641565733578787</v>
      </c>
      <c r="L23" s="1604">
        <v>99.782591894407531</v>
      </c>
      <c r="M23" s="1604">
        <v>99.130434782608702</v>
      </c>
      <c r="N23" s="2460"/>
      <c r="O23" s="2460"/>
      <c r="P23" s="2460"/>
    </row>
    <row r="24" spans="2:16" s="224" customFormat="1" ht="9.75" customHeight="1" thickBot="1">
      <c r="B24" s="229"/>
      <c r="C24" s="2462"/>
      <c r="D24" s="2463"/>
      <c r="E24" s="2462"/>
      <c r="F24" s="2461"/>
      <c r="G24" s="2464"/>
      <c r="H24" s="2464"/>
      <c r="I24" s="2464"/>
      <c r="J24" s="2461"/>
      <c r="K24" s="1603"/>
      <c r="L24" s="1603"/>
      <c r="M24" s="1603"/>
      <c r="N24" s="2460"/>
      <c r="O24" s="2460"/>
      <c r="P24" s="2460"/>
    </row>
    <row r="25" spans="2:16" s="224" customFormat="1" ht="27.2" customHeight="1" thickTop="1" thickBot="1">
      <c r="B25" s="229" t="s">
        <v>1908</v>
      </c>
      <c r="C25" s="2462"/>
      <c r="D25" s="2463">
        <v>2023</v>
      </c>
      <c r="E25" s="2462"/>
      <c r="F25" s="2461"/>
      <c r="G25" s="2464"/>
      <c r="H25" s="2464"/>
      <c r="I25" s="2464"/>
      <c r="J25" s="2461"/>
      <c r="K25" s="1603">
        <v>99.224829934660164</v>
      </c>
      <c r="L25" s="1603">
        <v>99.456521739130437</v>
      </c>
      <c r="M25" s="1603">
        <v>98.385093167701854</v>
      </c>
      <c r="N25" s="2460"/>
      <c r="O25" s="2460"/>
      <c r="P25" s="2460"/>
    </row>
    <row r="26" spans="2:16" s="224" customFormat="1" ht="27.75" customHeight="1" thickTop="1">
      <c r="B26" s="229"/>
      <c r="C26" s="2462"/>
      <c r="D26" s="2463">
        <v>2024</v>
      </c>
      <c r="E26" s="2462"/>
      <c r="F26" s="2461"/>
      <c r="G26" s="2462"/>
      <c r="H26" s="2462"/>
      <c r="I26" s="2462"/>
      <c r="J26" s="2461"/>
      <c r="K26" s="1604">
        <v>99.641565733578787</v>
      </c>
      <c r="L26" s="1604">
        <v>99.782591894407531</v>
      </c>
      <c r="M26" s="1604">
        <v>99.130434782608702</v>
      </c>
      <c r="N26" s="2460"/>
      <c r="O26" s="2460"/>
      <c r="P26" s="2460"/>
    </row>
    <row r="27" spans="2:16" s="224" customFormat="1" ht="24" customHeight="1">
      <c r="B27" s="229"/>
      <c r="C27" s="2462"/>
      <c r="D27" s="2463">
        <v>2025</v>
      </c>
      <c r="E27" s="2462"/>
      <c r="F27" s="2461"/>
      <c r="G27" s="2462"/>
      <c r="H27" s="2462"/>
      <c r="I27" s="2462"/>
      <c r="J27" s="2461"/>
      <c r="K27" s="1604">
        <v>99.641565733578787</v>
      </c>
      <c r="L27" s="1604">
        <v>99.782591894407531</v>
      </c>
      <c r="M27" s="1604">
        <v>99.130434782608702</v>
      </c>
      <c r="N27" s="2460"/>
      <c r="O27" s="2460"/>
      <c r="P27" s="2460"/>
    </row>
    <row r="28" spans="2:16" s="224" customFormat="1" ht="10.5" customHeight="1" thickBot="1">
      <c r="B28" s="229"/>
      <c r="C28" s="2462"/>
      <c r="D28" s="2463"/>
      <c r="E28" s="2462"/>
      <c r="F28" s="2461"/>
      <c r="G28" s="2464"/>
      <c r="H28" s="2464"/>
      <c r="I28" s="2464"/>
      <c r="J28" s="2461"/>
      <c r="K28" s="1603"/>
      <c r="L28" s="1603"/>
      <c r="M28" s="1603"/>
      <c r="N28" s="2460"/>
      <c r="O28" s="2460"/>
      <c r="P28" s="2460"/>
    </row>
    <row r="29" spans="2:16" s="224" customFormat="1" ht="25.5" customHeight="1" thickTop="1" thickBot="1">
      <c r="B29" s="2466" t="s">
        <v>253</v>
      </c>
      <c r="C29" s="2462"/>
      <c r="D29" s="2463">
        <v>2023</v>
      </c>
      <c r="E29" s="2462"/>
      <c r="F29" s="2461"/>
      <c r="G29" s="2464"/>
      <c r="H29" s="2464"/>
      <c r="I29" s="2464"/>
      <c r="J29" s="2461"/>
      <c r="K29" s="1603">
        <v>98.566328774555117</v>
      </c>
      <c r="L29" s="1603">
        <v>99.130451583853329</v>
      </c>
      <c r="M29" s="1603">
        <v>96.521739130434781</v>
      </c>
      <c r="N29" s="2460"/>
      <c r="O29" s="2460"/>
      <c r="P29" s="2460"/>
    </row>
    <row r="30" spans="2:16" s="224" customFormat="1" ht="23.25" customHeight="1" thickTop="1">
      <c r="B30" s="231"/>
      <c r="C30" s="2462"/>
      <c r="D30" s="2463">
        <v>2024</v>
      </c>
      <c r="E30" s="2462"/>
      <c r="F30" s="2461"/>
      <c r="G30" s="2462"/>
      <c r="H30" s="2462"/>
      <c r="I30" s="2462"/>
      <c r="J30" s="2461"/>
      <c r="K30" s="1604">
        <v>99.641565733578787</v>
      </c>
      <c r="L30" s="1604">
        <v>99.782591894407531</v>
      </c>
      <c r="M30" s="1604">
        <v>99.130434782608702</v>
      </c>
      <c r="N30" s="2460"/>
      <c r="O30" s="2460"/>
      <c r="P30" s="2460"/>
    </row>
    <row r="31" spans="2:16" s="224" customFormat="1" ht="25.5" customHeight="1">
      <c r="B31" s="231"/>
      <c r="C31" s="2462"/>
      <c r="D31" s="2463">
        <v>2025</v>
      </c>
      <c r="E31" s="2462"/>
      <c r="F31" s="2461"/>
      <c r="G31" s="2462"/>
      <c r="H31" s="2462"/>
      <c r="I31" s="2462"/>
      <c r="J31" s="2461"/>
      <c r="K31" s="1604">
        <v>99.641565733578787</v>
      </c>
      <c r="L31" s="1604">
        <v>99.782591894407531</v>
      </c>
      <c r="M31" s="1604">
        <v>99.130434782608702</v>
      </c>
      <c r="N31" s="2460"/>
      <c r="O31" s="2460"/>
      <c r="P31" s="2460"/>
    </row>
    <row r="32" spans="2:16" s="224" customFormat="1" ht="12" customHeight="1" thickBot="1">
      <c r="B32" s="231"/>
      <c r="C32" s="2464"/>
      <c r="D32" s="2465"/>
      <c r="E32" s="2462"/>
      <c r="F32" s="2461"/>
      <c r="G32" s="2464"/>
      <c r="H32" s="2464"/>
      <c r="I32" s="2464"/>
      <c r="J32" s="2461"/>
      <c r="K32" s="1603"/>
      <c r="L32" s="1603"/>
      <c r="M32" s="1603"/>
      <c r="N32" s="2460"/>
      <c r="O32" s="2460"/>
      <c r="P32" s="2460"/>
    </row>
    <row r="33" spans="2:16" s="224" customFormat="1" ht="27.2" customHeight="1" thickTop="1" thickBot="1">
      <c r="B33" s="2795" t="s">
        <v>1907</v>
      </c>
      <c r="C33" s="2795"/>
      <c r="D33" s="2463">
        <v>2023</v>
      </c>
      <c r="E33" s="2462"/>
      <c r="F33" s="2461"/>
      <c r="G33" s="2464"/>
      <c r="H33" s="2464"/>
      <c r="I33" s="2464"/>
      <c r="J33" s="2461"/>
      <c r="K33" s="1603">
        <v>53.1</v>
      </c>
      <c r="L33" s="1603">
        <v>61.6</v>
      </c>
      <c r="M33" s="1603">
        <v>21.987577639751553</v>
      </c>
      <c r="N33" s="2460"/>
      <c r="O33" s="2460"/>
      <c r="P33" s="2460"/>
    </row>
    <row r="34" spans="2:16" s="224" customFormat="1" ht="24.75" customHeight="1" thickTop="1">
      <c r="B34" s="229"/>
      <c r="C34" s="2462"/>
      <c r="D34" s="2463">
        <v>2024</v>
      </c>
      <c r="E34" s="2462"/>
      <c r="F34" s="2461"/>
      <c r="G34" s="2462"/>
      <c r="H34" s="2462"/>
      <c r="I34" s="2462"/>
      <c r="J34" s="2461"/>
      <c r="K34" s="1604">
        <v>99.641565733578787</v>
      </c>
      <c r="L34" s="1604">
        <v>99.782591894407531</v>
      </c>
      <c r="M34" s="1604">
        <v>99.130434782608702</v>
      </c>
      <c r="N34" s="2460"/>
      <c r="O34" s="2460"/>
      <c r="P34" s="2460"/>
    </row>
    <row r="35" spans="2:16" s="224" customFormat="1" ht="25.5" customHeight="1">
      <c r="B35" s="229"/>
      <c r="C35" s="2462"/>
      <c r="D35" s="2463">
        <v>2025</v>
      </c>
      <c r="E35" s="2462"/>
      <c r="F35" s="2461"/>
      <c r="G35" s="2462"/>
      <c r="H35" s="2462"/>
      <c r="I35" s="2462"/>
      <c r="J35" s="2461"/>
      <c r="K35" s="1604">
        <v>99.641565733578787</v>
      </c>
      <c r="L35" s="1604">
        <v>99.782591894407531</v>
      </c>
      <c r="M35" s="1604">
        <v>99.130434782608702</v>
      </c>
      <c r="N35" s="2460"/>
      <c r="O35" s="2460"/>
      <c r="P35" s="2460"/>
    </row>
    <row r="36" spans="2:16" s="224" customFormat="1" ht="20.25" customHeight="1" thickBot="1">
      <c r="B36" s="232"/>
      <c r="C36" s="2459"/>
      <c r="D36" s="2458"/>
      <c r="E36" s="233"/>
      <c r="F36" s="234"/>
      <c r="G36" s="233"/>
      <c r="H36" s="233"/>
      <c r="I36" s="233"/>
      <c r="J36" s="234"/>
      <c r="K36" s="233"/>
      <c r="L36" s="233"/>
      <c r="M36" s="233"/>
      <c r="N36" s="2457"/>
      <c r="O36" s="2457"/>
      <c r="P36" s="2457"/>
    </row>
    <row r="37" spans="2:16" s="224" customFormat="1" ht="13.5">
      <c r="D37" s="2456"/>
      <c r="M37" s="235" t="s">
        <v>0</v>
      </c>
    </row>
    <row r="38" spans="2:16" s="224" customFormat="1" ht="13.5">
      <c r="D38" s="2456"/>
      <c r="M38" s="236" t="s">
        <v>1</v>
      </c>
    </row>
    <row r="39" spans="2:16" s="224" customFormat="1" ht="13.5">
      <c r="D39" s="2456"/>
    </row>
  </sheetData>
  <mergeCells count="12">
    <mergeCell ref="B4:C7"/>
    <mergeCell ref="B9:C9"/>
    <mergeCell ref="B21:C21"/>
    <mergeCell ref="B33:C33"/>
    <mergeCell ref="I5:I7"/>
    <mergeCell ref="L5:L7"/>
    <mergeCell ref="M5:M7"/>
    <mergeCell ref="G4:I4"/>
    <mergeCell ref="K4:M4"/>
    <mergeCell ref="G5:G7"/>
    <mergeCell ref="H5:H7"/>
    <mergeCell ref="K5:K7"/>
  </mergeCells>
  <printOptions horizontalCentered="1"/>
  <pageMargins left="0.55118110236220474" right="0.55118110236220474" top="0.55118110236220474" bottom="0.55118110236220474" header="0.31496062992125984" footer="0.31496062992125984"/>
  <pageSetup paperSize="9" scale="70" fitToWidth="0" fitToHeight="0" orientation="portrait"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8D2CF-9383-4C98-9ABB-0CAA022B9B88}">
  <sheetPr>
    <tabColor theme="4" tint="0.39997558519241921"/>
  </sheetPr>
  <dimension ref="B1:I219"/>
  <sheetViews>
    <sheetView view="pageBreakPreview" topLeftCell="A145" zoomScaleNormal="100" zoomScaleSheetLayoutView="100" workbookViewId="0">
      <selection activeCell="E15" sqref="E15"/>
    </sheetView>
  </sheetViews>
  <sheetFormatPr defaultColWidth="8.85546875" defaultRowHeight="15"/>
  <cols>
    <col min="1" max="1" width="1.5703125" style="2148" customWidth="1"/>
    <col min="2" max="2" width="15.140625" style="2148" customWidth="1"/>
    <col min="3" max="3" width="16.140625" style="2148" customWidth="1"/>
    <col min="4" max="4" width="9.85546875" style="2148" customWidth="1"/>
    <col min="5" max="5" width="14" style="2148" customWidth="1"/>
    <col min="6" max="6" width="12" style="2148" customWidth="1"/>
    <col min="7" max="7" width="27" style="2148" customWidth="1"/>
    <col min="8" max="8" width="17.5703125" style="2148" customWidth="1"/>
    <col min="9" max="9" width="15.5703125" style="2148" customWidth="1"/>
    <col min="10" max="16384" width="8.85546875" style="2148"/>
  </cols>
  <sheetData>
    <row r="1" spans="2:9" s="237" customFormat="1" ht="17.25" customHeight="1">
      <c r="B1" s="1619" t="s">
        <v>1921</v>
      </c>
      <c r="C1" s="1619" t="s">
        <v>1923</v>
      </c>
      <c r="D1" s="1619"/>
      <c r="E1" s="1619"/>
      <c r="F1" s="1619"/>
      <c r="G1" s="1619"/>
      <c r="H1" s="744"/>
    </row>
    <row r="2" spans="2:9" s="237" customFormat="1" ht="17.25" customHeight="1">
      <c r="B2" s="1648" t="s">
        <v>1919</v>
      </c>
      <c r="C2" s="1648" t="s">
        <v>1922</v>
      </c>
      <c r="D2" s="1648"/>
      <c r="E2" s="1648"/>
      <c r="F2" s="1648"/>
      <c r="G2" s="1648"/>
      <c r="H2" s="744"/>
    </row>
    <row r="3" spans="2:9" s="222" customFormat="1" ht="15.2" customHeight="1" thickBot="1">
      <c r="B3" s="2503"/>
      <c r="C3" s="2503"/>
      <c r="D3" s="2503"/>
      <c r="E3" s="2502"/>
      <c r="F3" s="2501"/>
      <c r="G3" s="2501"/>
      <c r="H3" s="2501"/>
      <c r="I3" s="2499"/>
    </row>
    <row r="4" spans="2:9" s="222" customFormat="1" ht="22.5" customHeight="1">
      <c r="B4" s="2500"/>
      <c r="C4" s="2500"/>
      <c r="D4" s="2500"/>
      <c r="E4" s="2802" t="s">
        <v>254</v>
      </c>
      <c r="F4" s="2803"/>
      <c r="G4" s="2802" t="s">
        <v>255</v>
      </c>
      <c r="H4" s="2802" t="s">
        <v>256</v>
      </c>
      <c r="I4" s="2802"/>
    </row>
    <row r="5" spans="2:9" s="222" customFormat="1" ht="22.5" customHeight="1" thickBot="1">
      <c r="B5" s="2499"/>
      <c r="C5" s="2499"/>
      <c r="D5" s="2499"/>
      <c r="E5" s="2804"/>
      <c r="F5" s="2804"/>
      <c r="G5" s="2804"/>
      <c r="H5" s="2805"/>
      <c r="I5" s="2805"/>
    </row>
    <row r="6" spans="2:9" s="240" customFormat="1" ht="71.25" customHeight="1">
      <c r="B6" s="2498" t="s">
        <v>1917</v>
      </c>
      <c r="C6" s="239"/>
      <c r="D6" s="1618" t="s">
        <v>239</v>
      </c>
      <c r="E6" s="238" t="s">
        <v>257</v>
      </c>
      <c r="F6" s="238" t="s">
        <v>258</v>
      </c>
      <c r="G6" s="239" t="s">
        <v>259</v>
      </c>
      <c r="H6" s="239" t="s">
        <v>260</v>
      </c>
      <c r="I6" s="238" t="s">
        <v>261</v>
      </c>
    </row>
    <row r="7" spans="2:9" s="222" customFormat="1" ht="22.5" customHeight="1" thickBot="1">
      <c r="B7" s="252"/>
      <c r="C7" s="252"/>
      <c r="D7" s="2519"/>
      <c r="E7" s="2496" t="s">
        <v>262</v>
      </c>
      <c r="F7" s="2496" t="s">
        <v>262</v>
      </c>
      <c r="G7" s="2496" t="s">
        <v>262</v>
      </c>
      <c r="H7" s="241" t="s">
        <v>41</v>
      </c>
      <c r="I7" s="241"/>
    </row>
    <row r="8" spans="2:9" s="2514" customFormat="1" ht="16.5" customHeight="1">
      <c r="B8" s="2518"/>
      <c r="C8" s="2518"/>
      <c r="D8" s="2518"/>
      <c r="E8" s="2517"/>
      <c r="F8" s="2517"/>
      <c r="G8" s="2516"/>
      <c r="H8" s="2510"/>
      <c r="I8" s="2515"/>
    </row>
    <row r="9" spans="2:9" s="222" customFormat="1" ht="15.2" customHeight="1">
      <c r="B9" s="2513" t="s">
        <v>235</v>
      </c>
      <c r="C9" s="2513"/>
      <c r="D9" s="803">
        <v>2022</v>
      </c>
      <c r="E9" s="2512">
        <v>10827</v>
      </c>
      <c r="F9" s="2512">
        <v>8210</v>
      </c>
      <c r="G9" s="2511">
        <v>5830.3834902919898</v>
      </c>
      <c r="H9" s="2510">
        <v>1.2</v>
      </c>
      <c r="I9" s="2509">
        <v>0.39267962000000001</v>
      </c>
    </row>
    <row r="10" spans="2:9" s="222" customFormat="1" ht="15.2" customHeight="1">
      <c r="B10" s="2513"/>
      <c r="C10" s="2513"/>
      <c r="D10" s="803">
        <v>2024</v>
      </c>
      <c r="E10" s="2512">
        <v>10827</v>
      </c>
      <c r="F10" s="2512">
        <v>8210</v>
      </c>
      <c r="G10" s="2511">
        <v>5830.3834902919898</v>
      </c>
      <c r="H10" s="2510">
        <v>1.2</v>
      </c>
      <c r="I10" s="2509">
        <v>0.39267962000000001</v>
      </c>
    </row>
    <row r="11" spans="2:9" s="222" customFormat="1" ht="15.2" customHeight="1">
      <c r="B11" s="2508"/>
      <c r="C11" s="2508"/>
      <c r="E11" s="2507"/>
      <c r="F11" s="2507"/>
      <c r="G11" s="2506"/>
      <c r="H11" s="2505"/>
      <c r="I11" s="2504"/>
    </row>
    <row r="12" spans="2:9" s="1995" customFormat="1" ht="15.2" customHeight="1">
      <c r="B12" s="2291" t="s">
        <v>1873</v>
      </c>
      <c r="C12" s="2291"/>
      <c r="D12" s="1620">
        <v>2022</v>
      </c>
      <c r="E12" s="2490">
        <v>10827</v>
      </c>
      <c r="F12" s="2490">
        <v>8210</v>
      </c>
      <c r="G12" s="2489">
        <v>5830.3834902919898</v>
      </c>
      <c r="H12" s="2488">
        <v>1.2</v>
      </c>
      <c r="I12" s="2487">
        <v>0.39267962000000001</v>
      </c>
    </row>
    <row r="13" spans="2:9" s="1995" customFormat="1" ht="15.2" customHeight="1">
      <c r="B13" s="2292"/>
      <c r="C13" s="2292"/>
      <c r="D13" s="1620">
        <v>2024</v>
      </c>
      <c r="E13" s="2490">
        <v>10827</v>
      </c>
      <c r="F13" s="2490">
        <v>8210</v>
      </c>
      <c r="G13" s="2489">
        <v>5830.3834902919898</v>
      </c>
      <c r="H13" s="2488">
        <v>1.2</v>
      </c>
      <c r="I13" s="2487">
        <v>0.39267962000000001</v>
      </c>
    </row>
    <row r="14" spans="2:9" s="1995" customFormat="1" ht="15.2" customHeight="1">
      <c r="B14" s="2292"/>
      <c r="C14" s="2292"/>
      <c r="D14" s="1620"/>
      <c r="E14" s="1605"/>
      <c r="F14" s="1605"/>
      <c r="G14" s="1991"/>
      <c r="H14" s="1608"/>
      <c r="I14" s="2487"/>
    </row>
    <row r="15" spans="2:9" s="1995" customFormat="1" ht="15.2" customHeight="1">
      <c r="B15" s="2291" t="s">
        <v>1719</v>
      </c>
      <c r="C15" s="2291"/>
      <c r="D15" s="1620">
        <v>2022</v>
      </c>
      <c r="E15" s="2490">
        <v>10827</v>
      </c>
      <c r="F15" s="2490">
        <v>8210</v>
      </c>
      <c r="G15" s="2489">
        <v>5830.3834902919898</v>
      </c>
      <c r="H15" s="2488">
        <v>1.2</v>
      </c>
      <c r="I15" s="2487">
        <v>0.39267962000000001</v>
      </c>
    </row>
    <row r="16" spans="2:9" s="1995" customFormat="1" ht="15.2" customHeight="1">
      <c r="B16" s="2292"/>
      <c r="C16" s="2292"/>
      <c r="D16" s="1620">
        <v>2024</v>
      </c>
      <c r="E16" s="2490">
        <v>10827</v>
      </c>
      <c r="F16" s="2490">
        <v>8210</v>
      </c>
      <c r="G16" s="2489">
        <v>5830.3834902919898</v>
      </c>
      <c r="H16" s="2488">
        <v>1.2</v>
      </c>
      <c r="I16" s="2487">
        <v>0.39267962000000001</v>
      </c>
    </row>
    <row r="17" spans="2:9" s="1995" customFormat="1" ht="15.2" customHeight="1">
      <c r="B17" s="2292"/>
      <c r="C17" s="2292"/>
      <c r="D17" s="1620"/>
      <c r="E17" s="1605"/>
      <c r="F17" s="2293"/>
      <c r="G17" s="1991"/>
      <c r="H17" s="1608"/>
      <c r="I17" s="2487"/>
    </row>
    <row r="18" spans="2:9" s="1995" customFormat="1" ht="15.2" customHeight="1">
      <c r="B18" s="2291" t="s">
        <v>1718</v>
      </c>
      <c r="C18" s="2291"/>
      <c r="D18" s="1620">
        <v>2022</v>
      </c>
      <c r="E18" s="2490">
        <v>10827</v>
      </c>
      <c r="F18" s="2490">
        <v>8210</v>
      </c>
      <c r="G18" s="2489">
        <v>5830.3834902919898</v>
      </c>
      <c r="H18" s="2488">
        <v>1.2</v>
      </c>
      <c r="I18" s="2487">
        <v>0.39267962000000001</v>
      </c>
    </row>
    <row r="19" spans="2:9" s="1995" customFormat="1" ht="15.2" customHeight="1">
      <c r="B19" s="2292"/>
      <c r="C19" s="2292"/>
      <c r="D19" s="1620">
        <v>2024</v>
      </c>
      <c r="E19" s="2490">
        <v>10827</v>
      </c>
      <c r="F19" s="2490">
        <v>8210</v>
      </c>
      <c r="G19" s="2489">
        <v>5830.3834902919898</v>
      </c>
      <c r="H19" s="2488">
        <v>1.2</v>
      </c>
      <c r="I19" s="2487">
        <v>0.39267962000000001</v>
      </c>
    </row>
    <row r="20" spans="2:9" s="1995" customFormat="1" ht="15.2" customHeight="1">
      <c r="B20" s="2292"/>
      <c r="C20" s="2292"/>
      <c r="D20" s="1620"/>
      <c r="E20" s="1992"/>
      <c r="F20" s="1605"/>
      <c r="G20" s="1991"/>
      <c r="H20" s="1608"/>
      <c r="I20" s="2487"/>
    </row>
    <row r="21" spans="2:9" s="1995" customFormat="1" ht="15.2" customHeight="1">
      <c r="B21" s="2291" t="s">
        <v>1717</v>
      </c>
      <c r="C21" s="2291"/>
      <c r="D21" s="1620">
        <v>2022</v>
      </c>
      <c r="E21" s="2490">
        <v>10827</v>
      </c>
      <c r="F21" s="2490">
        <v>8210</v>
      </c>
      <c r="G21" s="2489">
        <v>5830.3834902919898</v>
      </c>
      <c r="H21" s="2488">
        <v>1.2</v>
      </c>
      <c r="I21" s="2487">
        <v>0.39267962000000001</v>
      </c>
    </row>
    <row r="22" spans="2:9" s="1995" customFormat="1" ht="15.2" customHeight="1">
      <c r="B22" s="2292"/>
      <c r="C22" s="2292"/>
      <c r="D22" s="1620">
        <v>2024</v>
      </c>
      <c r="E22" s="2490">
        <v>10827</v>
      </c>
      <c r="F22" s="2490">
        <v>8210</v>
      </c>
      <c r="G22" s="2489">
        <v>5830.3834902919898</v>
      </c>
      <c r="H22" s="2488">
        <v>1.2</v>
      </c>
      <c r="I22" s="2487">
        <v>0.39267962000000001</v>
      </c>
    </row>
    <row r="23" spans="2:9" s="1995" customFormat="1" ht="15.2" customHeight="1">
      <c r="B23" s="2292"/>
      <c r="C23" s="2292"/>
      <c r="D23" s="1620"/>
      <c r="E23" s="1605"/>
      <c r="F23" s="1605"/>
      <c r="G23" s="1991"/>
      <c r="H23" s="1608"/>
      <c r="I23" s="2487"/>
    </row>
    <row r="24" spans="2:9" s="1995" customFormat="1" ht="15.2" customHeight="1">
      <c r="B24" s="2291" t="s">
        <v>1716</v>
      </c>
      <c r="C24" s="2291"/>
      <c r="D24" s="1620">
        <v>2022</v>
      </c>
      <c r="E24" s="2490">
        <v>10827</v>
      </c>
      <c r="F24" s="2490">
        <v>8210</v>
      </c>
      <c r="G24" s="2489">
        <v>5830.3834902919898</v>
      </c>
      <c r="H24" s="2488">
        <v>1.2</v>
      </c>
      <c r="I24" s="2487">
        <v>0.39267962000000001</v>
      </c>
    </row>
    <row r="25" spans="2:9" s="1995" customFormat="1" ht="15.2" customHeight="1">
      <c r="B25" s="2292"/>
      <c r="C25" s="2292"/>
      <c r="D25" s="1620">
        <v>2024</v>
      </c>
      <c r="E25" s="2490">
        <v>10827</v>
      </c>
      <c r="F25" s="2490">
        <v>8210</v>
      </c>
      <c r="G25" s="2489">
        <v>5830.3834902919898</v>
      </c>
      <c r="H25" s="2488">
        <v>1.2</v>
      </c>
      <c r="I25" s="2487">
        <v>0.39267962000000001</v>
      </c>
    </row>
    <row r="26" spans="2:9" s="1995" customFormat="1" ht="15.2" customHeight="1">
      <c r="B26" s="2292"/>
      <c r="C26" s="2292"/>
      <c r="D26" s="1620"/>
      <c r="E26" s="1605"/>
      <c r="F26" s="2293"/>
      <c r="G26" s="1991"/>
      <c r="H26" s="1608"/>
      <c r="I26" s="2487"/>
    </row>
    <row r="27" spans="2:9" s="1995" customFormat="1" ht="15.2" customHeight="1">
      <c r="B27" s="2291" t="s">
        <v>1589</v>
      </c>
      <c r="C27" s="2291"/>
      <c r="D27" s="1620">
        <v>2022</v>
      </c>
      <c r="E27" s="2490">
        <v>10827</v>
      </c>
      <c r="F27" s="2490">
        <v>8210</v>
      </c>
      <c r="G27" s="2489">
        <v>5830.3834902919898</v>
      </c>
      <c r="H27" s="2488">
        <v>1.2</v>
      </c>
      <c r="I27" s="2487">
        <v>0.39267962000000001</v>
      </c>
    </row>
    <row r="28" spans="2:9" s="1995" customFormat="1" ht="15.2" customHeight="1">
      <c r="B28" s="2292"/>
      <c r="C28" s="2292"/>
      <c r="D28" s="1620">
        <v>2024</v>
      </c>
      <c r="E28" s="2490">
        <v>10827</v>
      </c>
      <c r="F28" s="2490">
        <v>8210</v>
      </c>
      <c r="G28" s="2489">
        <v>5830.3834902919898</v>
      </c>
      <c r="H28" s="2488">
        <v>1.2</v>
      </c>
      <c r="I28" s="2487">
        <v>0.39267962000000001</v>
      </c>
    </row>
    <row r="29" spans="2:9" s="1995" customFormat="1" ht="15.2" customHeight="1">
      <c r="B29" s="2292"/>
      <c r="C29" s="2292"/>
      <c r="D29" s="1620"/>
      <c r="E29" s="1992"/>
      <c r="F29" s="1992"/>
      <c r="G29" s="1991"/>
      <c r="H29" s="1608"/>
      <c r="I29" s="2487"/>
    </row>
    <row r="30" spans="2:9" s="1995" customFormat="1" ht="15.2" customHeight="1">
      <c r="B30" s="2291" t="s">
        <v>1715</v>
      </c>
      <c r="C30" s="2291"/>
      <c r="D30" s="1620">
        <v>2022</v>
      </c>
      <c r="E30" s="2490">
        <v>10827</v>
      </c>
      <c r="F30" s="2490">
        <v>8210</v>
      </c>
      <c r="G30" s="2489">
        <v>5830.3834902919898</v>
      </c>
      <c r="H30" s="2488">
        <v>1.2</v>
      </c>
      <c r="I30" s="2487">
        <v>0.39267962000000001</v>
      </c>
    </row>
    <row r="31" spans="2:9" s="1995" customFormat="1" ht="15.2" customHeight="1">
      <c r="B31" s="2292"/>
      <c r="C31" s="2292"/>
      <c r="D31" s="1620">
        <v>2024</v>
      </c>
      <c r="E31" s="2490">
        <v>10827</v>
      </c>
      <c r="F31" s="2490">
        <v>8210</v>
      </c>
      <c r="G31" s="2489">
        <v>5830.3834902919898</v>
      </c>
      <c r="H31" s="2488">
        <v>1.2</v>
      </c>
      <c r="I31" s="2487">
        <v>0.39267962000000001</v>
      </c>
    </row>
    <row r="32" spans="2:9" s="1995" customFormat="1" ht="15.2" customHeight="1">
      <c r="B32" s="2292"/>
      <c r="C32" s="2292"/>
      <c r="D32" s="1620"/>
      <c r="E32" s="1605"/>
      <c r="F32" s="1605"/>
      <c r="G32" s="1991"/>
      <c r="H32" s="1608"/>
      <c r="I32" s="2487"/>
    </row>
    <row r="33" spans="2:9" s="1995" customFormat="1" ht="15.2" customHeight="1">
      <c r="B33" s="2291" t="s">
        <v>1714</v>
      </c>
      <c r="C33" s="2291"/>
      <c r="D33" s="1620">
        <v>2022</v>
      </c>
      <c r="E33" s="2490">
        <v>10827</v>
      </c>
      <c r="F33" s="2490">
        <v>8210</v>
      </c>
      <c r="G33" s="2489">
        <v>5830.3834902919898</v>
      </c>
      <c r="H33" s="2488">
        <v>1.2</v>
      </c>
      <c r="I33" s="2487">
        <v>0.39267962000000001</v>
      </c>
    </row>
    <row r="34" spans="2:9" s="1995" customFormat="1" ht="15.2" customHeight="1">
      <c r="B34" s="2292"/>
      <c r="C34" s="2292"/>
      <c r="D34" s="1620">
        <v>2024</v>
      </c>
      <c r="E34" s="2490">
        <v>10827</v>
      </c>
      <c r="F34" s="2490">
        <v>8210</v>
      </c>
      <c r="G34" s="2489">
        <v>5830.3834902919898</v>
      </c>
      <c r="H34" s="2488">
        <v>1.2</v>
      </c>
      <c r="I34" s="2487">
        <v>0.39267962000000001</v>
      </c>
    </row>
    <row r="35" spans="2:9" s="1995" customFormat="1" ht="15.2" customHeight="1">
      <c r="B35" s="2292"/>
      <c r="C35" s="2292"/>
      <c r="D35" s="1620"/>
      <c r="E35" s="1605"/>
      <c r="F35" s="2293"/>
      <c r="G35" s="1991"/>
      <c r="H35" s="1608"/>
      <c r="I35" s="2487"/>
    </row>
    <row r="36" spans="2:9" s="1995" customFormat="1" ht="15.2" customHeight="1">
      <c r="B36" s="2291" t="s">
        <v>1713</v>
      </c>
      <c r="C36" s="2291"/>
      <c r="D36" s="1620">
        <v>2022</v>
      </c>
      <c r="E36" s="2490">
        <v>10827</v>
      </c>
      <c r="F36" s="2490">
        <v>8210</v>
      </c>
      <c r="G36" s="2489">
        <v>5830.3834902919898</v>
      </c>
      <c r="H36" s="2488">
        <v>1.2</v>
      </c>
      <c r="I36" s="2487">
        <v>0.39267962000000001</v>
      </c>
    </row>
    <row r="37" spans="2:9" s="1995" customFormat="1" ht="15.2" customHeight="1">
      <c r="B37" s="2292"/>
      <c r="C37" s="2292"/>
      <c r="D37" s="1620">
        <v>2024</v>
      </c>
      <c r="E37" s="2490">
        <v>10827</v>
      </c>
      <c r="F37" s="2490">
        <v>8210</v>
      </c>
      <c r="G37" s="2489">
        <v>5830.3834902919898</v>
      </c>
      <c r="H37" s="2488">
        <v>1.2</v>
      </c>
      <c r="I37" s="2487">
        <v>0.39267962000000001</v>
      </c>
    </row>
    <row r="38" spans="2:9" s="1995" customFormat="1" ht="15.2" customHeight="1">
      <c r="B38" s="2292"/>
      <c r="C38" s="2292"/>
      <c r="D38" s="1620"/>
      <c r="E38" s="2293"/>
      <c r="F38" s="1992"/>
      <c r="G38" s="1991"/>
      <c r="H38" s="1608"/>
      <c r="I38" s="2487"/>
    </row>
    <row r="39" spans="2:9" s="1995" customFormat="1" ht="15.2" customHeight="1">
      <c r="B39" s="2291" t="s">
        <v>1711</v>
      </c>
      <c r="C39" s="2291"/>
      <c r="D39" s="1620">
        <v>2022</v>
      </c>
      <c r="E39" s="2490">
        <v>10827</v>
      </c>
      <c r="F39" s="2490">
        <v>8210</v>
      </c>
      <c r="G39" s="2489">
        <v>5830.3834902919898</v>
      </c>
      <c r="H39" s="2488">
        <v>1.2</v>
      </c>
      <c r="I39" s="2487">
        <v>0.39267962000000001</v>
      </c>
    </row>
    <row r="40" spans="2:9" s="1995" customFormat="1" ht="15.2" customHeight="1">
      <c r="B40" s="2292"/>
      <c r="C40" s="2292"/>
      <c r="D40" s="1620">
        <v>2024</v>
      </c>
      <c r="E40" s="2490">
        <v>10827</v>
      </c>
      <c r="F40" s="2490">
        <v>8210</v>
      </c>
      <c r="G40" s="2489">
        <v>5830.3834902919898</v>
      </c>
      <c r="H40" s="2488">
        <v>1.2</v>
      </c>
      <c r="I40" s="2487">
        <v>0.39267962000000001</v>
      </c>
    </row>
    <row r="41" spans="2:9" s="1995" customFormat="1" ht="15.2" customHeight="1">
      <c r="B41" s="2292"/>
      <c r="C41" s="2292"/>
      <c r="D41" s="1620"/>
      <c r="E41" s="1605"/>
      <c r="F41" s="1605"/>
      <c r="G41" s="1991"/>
      <c r="H41" s="1608"/>
      <c r="I41" s="2487"/>
    </row>
    <row r="42" spans="2:9" s="1995" customFormat="1" ht="15.2" customHeight="1">
      <c r="B42" s="2291" t="s">
        <v>1710</v>
      </c>
      <c r="C42" s="2291"/>
      <c r="D42" s="1620">
        <v>2022</v>
      </c>
      <c r="E42" s="2490">
        <v>10827</v>
      </c>
      <c r="F42" s="2490">
        <v>8210</v>
      </c>
      <c r="G42" s="2489">
        <v>5830.3834902919898</v>
      </c>
      <c r="H42" s="2488">
        <v>1.2</v>
      </c>
      <c r="I42" s="2487">
        <v>0.39267962000000001</v>
      </c>
    </row>
    <row r="43" spans="2:9" s="1995" customFormat="1" ht="15.2" customHeight="1">
      <c r="B43" s="2292"/>
      <c r="C43" s="2292"/>
      <c r="D43" s="1620">
        <v>2024</v>
      </c>
      <c r="E43" s="2490">
        <v>10827</v>
      </c>
      <c r="F43" s="2490">
        <v>8210</v>
      </c>
      <c r="G43" s="2489">
        <v>5830.3834902919898</v>
      </c>
      <c r="H43" s="2488">
        <v>1.2</v>
      </c>
      <c r="I43" s="2487">
        <v>0.39267962000000001</v>
      </c>
    </row>
    <row r="44" spans="2:9" s="1995" customFormat="1" ht="15.2" customHeight="1">
      <c r="B44" s="2292"/>
      <c r="C44" s="2292"/>
      <c r="D44" s="1620"/>
      <c r="E44" s="1605"/>
      <c r="F44" s="2293"/>
      <c r="G44" s="1991"/>
      <c r="H44" s="1608"/>
      <c r="I44" s="2487"/>
    </row>
    <row r="45" spans="2:9" s="1995" customFormat="1" ht="15.2" customHeight="1">
      <c r="B45" s="2291" t="s">
        <v>1709</v>
      </c>
      <c r="C45" s="2291"/>
      <c r="D45" s="1620">
        <v>2022</v>
      </c>
      <c r="E45" s="2490">
        <v>10827</v>
      </c>
      <c r="F45" s="2490">
        <v>8210</v>
      </c>
      <c r="G45" s="2489">
        <v>5830.3834902919898</v>
      </c>
      <c r="H45" s="2488">
        <v>1.2</v>
      </c>
      <c r="I45" s="2487">
        <v>0.39267962000000001</v>
      </c>
    </row>
    <row r="46" spans="2:9" s="1995" customFormat="1" ht="15.2" customHeight="1">
      <c r="B46" s="2292"/>
      <c r="C46" s="2292"/>
      <c r="D46" s="1620">
        <v>2024</v>
      </c>
      <c r="E46" s="2490">
        <v>10827</v>
      </c>
      <c r="F46" s="2490">
        <v>8210</v>
      </c>
      <c r="G46" s="2489">
        <v>5830.3834902919898</v>
      </c>
      <c r="H46" s="2488">
        <v>1.2</v>
      </c>
      <c r="I46" s="2487">
        <v>0.39267962000000001</v>
      </c>
    </row>
    <row r="47" spans="2:9" s="1995" customFormat="1" ht="15.2" customHeight="1">
      <c r="B47" s="2292"/>
      <c r="C47" s="2292"/>
      <c r="D47" s="1620"/>
      <c r="E47" s="1997"/>
      <c r="F47" s="2293"/>
      <c r="G47" s="2293"/>
      <c r="H47" s="1608"/>
      <c r="I47" s="2487"/>
    </row>
    <row r="48" spans="2:9" s="1995" customFormat="1" ht="15.2" customHeight="1">
      <c r="B48" s="2291" t="s">
        <v>1587</v>
      </c>
      <c r="C48" s="2291"/>
      <c r="D48" s="1620">
        <v>2022</v>
      </c>
      <c r="E48" s="2490">
        <v>10827</v>
      </c>
      <c r="F48" s="2490">
        <v>8210</v>
      </c>
      <c r="G48" s="2489">
        <v>5830.3834902919898</v>
      </c>
      <c r="H48" s="2488">
        <v>1.2</v>
      </c>
      <c r="I48" s="2487">
        <v>0.39267962000000001</v>
      </c>
    </row>
    <row r="49" spans="2:9" s="1995" customFormat="1" ht="15.2" customHeight="1">
      <c r="B49" s="2292"/>
      <c r="C49" s="2292"/>
      <c r="D49" s="1620">
        <v>2024</v>
      </c>
      <c r="E49" s="2490">
        <v>10827</v>
      </c>
      <c r="F49" s="2490">
        <v>8210</v>
      </c>
      <c r="G49" s="2489">
        <v>5830.3834902919898</v>
      </c>
      <c r="H49" s="2488">
        <v>1.2</v>
      </c>
      <c r="I49" s="2487">
        <v>0.39267962000000001</v>
      </c>
    </row>
    <row r="50" spans="2:9" s="1995" customFormat="1" ht="15.2" customHeight="1">
      <c r="B50" s="2292"/>
      <c r="C50" s="2292"/>
      <c r="D50" s="1620"/>
      <c r="E50" s="1605"/>
      <c r="F50" s="1605"/>
      <c r="G50" s="1991"/>
      <c r="H50" s="1608"/>
      <c r="I50" s="2487"/>
    </row>
    <row r="51" spans="2:9" s="1995" customFormat="1" ht="15.2" customHeight="1">
      <c r="B51" s="2291" t="s">
        <v>1585</v>
      </c>
      <c r="C51" s="2291"/>
      <c r="D51" s="1620">
        <v>2022</v>
      </c>
      <c r="E51" s="2490">
        <v>10827</v>
      </c>
      <c r="F51" s="2490">
        <v>8210</v>
      </c>
      <c r="G51" s="2489">
        <v>5830.3834902919898</v>
      </c>
      <c r="H51" s="2488">
        <v>1.2</v>
      </c>
      <c r="I51" s="2487">
        <v>0.39267962000000001</v>
      </c>
    </row>
    <row r="52" spans="2:9" s="1995" customFormat="1" ht="15.2" customHeight="1">
      <c r="B52" s="2292"/>
      <c r="C52" s="2292"/>
      <c r="D52" s="1620">
        <v>2024</v>
      </c>
      <c r="E52" s="2490">
        <v>10827</v>
      </c>
      <c r="F52" s="2490">
        <v>8210</v>
      </c>
      <c r="G52" s="2489">
        <v>5830.3834902919898</v>
      </c>
      <c r="H52" s="2488">
        <v>1.2</v>
      </c>
      <c r="I52" s="2487">
        <v>0.39267962000000001</v>
      </c>
    </row>
    <row r="53" spans="2:9" s="1995" customFormat="1" ht="15.2" customHeight="1">
      <c r="B53" s="2292"/>
      <c r="C53" s="2292"/>
      <c r="D53" s="1620"/>
      <c r="E53" s="1605"/>
      <c r="F53" s="2293"/>
      <c r="G53" s="1991"/>
      <c r="H53" s="1608"/>
      <c r="I53" s="2487"/>
    </row>
    <row r="54" spans="2:9" s="1995" customFormat="1" ht="15.2" customHeight="1">
      <c r="B54" s="2291" t="s">
        <v>1708</v>
      </c>
      <c r="C54" s="2291"/>
      <c r="D54" s="1620">
        <v>2022</v>
      </c>
      <c r="E54" s="2490">
        <v>10827</v>
      </c>
      <c r="F54" s="2490">
        <v>8210</v>
      </c>
      <c r="G54" s="2489">
        <v>5830.3834902919898</v>
      </c>
      <c r="H54" s="2488">
        <v>1.2</v>
      </c>
      <c r="I54" s="2487">
        <v>0.39267962000000001</v>
      </c>
    </row>
    <row r="55" spans="2:9" s="1995" customFormat="1" ht="15.2" customHeight="1">
      <c r="B55" s="2292"/>
      <c r="C55" s="2292"/>
      <c r="D55" s="1620">
        <v>2024</v>
      </c>
      <c r="E55" s="2490">
        <v>10827</v>
      </c>
      <c r="F55" s="2490">
        <v>8210</v>
      </c>
      <c r="G55" s="2489">
        <v>5830.3834902919898</v>
      </c>
      <c r="H55" s="2488">
        <v>1.2</v>
      </c>
      <c r="I55" s="2487">
        <v>0.39267962000000001</v>
      </c>
    </row>
    <row r="56" spans="2:9" s="1995" customFormat="1" ht="15.2" customHeight="1">
      <c r="B56" s="2292"/>
      <c r="C56" s="2292"/>
      <c r="D56" s="1620"/>
      <c r="E56" s="1992"/>
      <c r="F56" s="1997"/>
      <c r="G56" s="1605"/>
      <c r="H56" s="1608"/>
      <c r="I56" s="2487"/>
    </row>
    <row r="57" spans="2:9" s="1995" customFormat="1" ht="15.2" customHeight="1">
      <c r="B57" s="2291" t="s">
        <v>1583</v>
      </c>
      <c r="C57" s="2291"/>
      <c r="D57" s="1620">
        <v>2022</v>
      </c>
      <c r="E57" s="2490">
        <v>10827</v>
      </c>
      <c r="F57" s="2490">
        <v>8210</v>
      </c>
      <c r="G57" s="2489">
        <v>5830.3834902919898</v>
      </c>
      <c r="H57" s="2488">
        <v>1.2</v>
      </c>
      <c r="I57" s="2487">
        <v>0.39267962000000001</v>
      </c>
    </row>
    <row r="58" spans="2:9" s="1995" customFormat="1" ht="15.2" customHeight="1">
      <c r="B58" s="2292"/>
      <c r="C58" s="2292"/>
      <c r="D58" s="1620">
        <v>2024</v>
      </c>
      <c r="E58" s="2490">
        <v>10827</v>
      </c>
      <c r="F58" s="2490">
        <v>8210</v>
      </c>
      <c r="G58" s="2489">
        <v>5830.3834902919898</v>
      </c>
      <c r="H58" s="2488">
        <v>1.2</v>
      </c>
      <c r="I58" s="2487">
        <v>0.39267962000000001</v>
      </c>
    </row>
    <row r="59" spans="2:9" s="1995" customFormat="1" ht="15.2" customHeight="1">
      <c r="B59" s="2292"/>
      <c r="C59" s="2292"/>
      <c r="D59" s="1620"/>
      <c r="E59" s="1605"/>
      <c r="F59" s="1605"/>
      <c r="G59" s="1991"/>
      <c r="H59" s="1608"/>
      <c r="I59" s="2487"/>
    </row>
    <row r="60" spans="2:9" s="1995" customFormat="1" ht="15.2" customHeight="1">
      <c r="B60" s="2291" t="s">
        <v>1707</v>
      </c>
      <c r="C60" s="2291"/>
      <c r="D60" s="1620">
        <v>2022</v>
      </c>
      <c r="E60" s="2490">
        <v>10827</v>
      </c>
      <c r="F60" s="2490">
        <v>8210</v>
      </c>
      <c r="G60" s="2489">
        <v>5830.3834902919898</v>
      </c>
      <c r="H60" s="2488">
        <v>1.2</v>
      </c>
      <c r="I60" s="2487">
        <v>0.39267962000000001</v>
      </c>
    </row>
    <row r="61" spans="2:9" s="1995" customFormat="1" ht="15.2" customHeight="1">
      <c r="B61" s="2292"/>
      <c r="C61" s="2292"/>
      <c r="D61" s="1620">
        <v>2024</v>
      </c>
      <c r="E61" s="2490">
        <v>10827</v>
      </c>
      <c r="F61" s="2490">
        <v>8210</v>
      </c>
      <c r="G61" s="2489">
        <v>5830.3834902919898</v>
      </c>
      <c r="H61" s="2488">
        <v>1.2</v>
      </c>
      <c r="I61" s="2487">
        <v>0.39267962000000001</v>
      </c>
    </row>
    <row r="62" spans="2:9" s="1995" customFormat="1" ht="15.2" customHeight="1">
      <c r="B62" s="2292"/>
      <c r="C62" s="2292"/>
      <c r="D62" s="1620"/>
      <c r="E62" s="1605"/>
      <c r="F62" s="2293"/>
      <c r="G62" s="1991"/>
      <c r="H62" s="1608"/>
      <c r="I62" s="2487"/>
    </row>
    <row r="63" spans="2:9" s="1995" customFormat="1" ht="15.2" customHeight="1">
      <c r="B63" s="2291" t="s">
        <v>1706</v>
      </c>
      <c r="C63" s="2291"/>
      <c r="D63" s="1620">
        <v>2022</v>
      </c>
      <c r="E63" s="2490">
        <v>10827</v>
      </c>
      <c r="F63" s="2490">
        <v>8210</v>
      </c>
      <c r="G63" s="2489">
        <v>5830.3834902919898</v>
      </c>
      <c r="H63" s="2488">
        <v>1.2</v>
      </c>
      <c r="I63" s="2487">
        <v>0.39267962000000001</v>
      </c>
    </row>
    <row r="64" spans="2:9" s="1995" customFormat="1" ht="15.2" customHeight="1">
      <c r="B64" s="2292"/>
      <c r="C64" s="2292"/>
      <c r="D64" s="1620">
        <v>2024</v>
      </c>
      <c r="E64" s="2490">
        <v>10827</v>
      </c>
      <c r="F64" s="2490">
        <v>8210</v>
      </c>
      <c r="G64" s="2489">
        <v>5830.3834902919898</v>
      </c>
      <c r="H64" s="2488">
        <v>1.2</v>
      </c>
      <c r="I64" s="2487">
        <v>0.39267962000000001</v>
      </c>
    </row>
    <row r="65" spans="2:9" s="1995" customFormat="1" ht="15.2" customHeight="1">
      <c r="B65" s="2292"/>
      <c r="C65" s="2292"/>
      <c r="D65" s="1620"/>
      <c r="E65" s="1997"/>
      <c r="F65" s="1992"/>
      <c r="G65" s="1992"/>
      <c r="H65" s="1608"/>
      <c r="I65" s="2487"/>
    </row>
    <row r="66" spans="2:9" s="1995" customFormat="1" ht="15.2" customHeight="1">
      <c r="B66" s="2291" t="s">
        <v>1705</v>
      </c>
      <c r="C66" s="2291"/>
      <c r="D66" s="1620">
        <v>2022</v>
      </c>
      <c r="E66" s="2490">
        <v>10827</v>
      </c>
      <c r="F66" s="2490">
        <v>8210</v>
      </c>
      <c r="G66" s="2489">
        <v>5830.3834902919898</v>
      </c>
      <c r="H66" s="2488">
        <v>1.2</v>
      </c>
      <c r="I66" s="2487">
        <v>0.39267962000000001</v>
      </c>
    </row>
    <row r="67" spans="2:9" s="1995" customFormat="1" ht="15.2" customHeight="1">
      <c r="B67" s="2292"/>
      <c r="C67" s="2292"/>
      <c r="D67" s="1620">
        <v>2024</v>
      </c>
      <c r="E67" s="2490">
        <v>10827</v>
      </c>
      <c r="F67" s="2490">
        <v>8210</v>
      </c>
      <c r="G67" s="2489">
        <v>5830.3834902919898</v>
      </c>
      <c r="H67" s="2488">
        <v>1.2</v>
      </c>
      <c r="I67" s="2487">
        <v>0.39267962000000001</v>
      </c>
    </row>
    <row r="68" spans="2:9" s="1995" customFormat="1" ht="15.2" customHeight="1">
      <c r="B68" s="2292"/>
      <c r="C68" s="2292"/>
      <c r="D68" s="1620"/>
      <c r="E68" s="1605"/>
      <c r="F68" s="2293"/>
      <c r="G68" s="1991"/>
      <c r="H68" s="1608"/>
      <c r="I68" s="2487"/>
    </row>
    <row r="69" spans="2:9" s="1995" customFormat="1" ht="15.2" customHeight="1">
      <c r="B69" s="2291" t="s">
        <v>1712</v>
      </c>
      <c r="C69" s="2291"/>
      <c r="D69" s="1620">
        <v>2022</v>
      </c>
      <c r="E69" s="2490">
        <v>10827</v>
      </c>
      <c r="F69" s="2490">
        <v>8210</v>
      </c>
      <c r="G69" s="2489">
        <v>5830.3834902919898</v>
      </c>
      <c r="H69" s="2488">
        <v>1.2</v>
      </c>
      <c r="I69" s="2487">
        <v>0.39267962000000001</v>
      </c>
    </row>
    <row r="70" spans="2:9" s="222" customFormat="1" ht="15.2" customHeight="1">
      <c r="B70" s="2491"/>
      <c r="C70" s="2491"/>
      <c r="D70" s="1620">
        <v>2024</v>
      </c>
      <c r="E70" s="2490">
        <v>10827</v>
      </c>
      <c r="F70" s="2490">
        <v>8210</v>
      </c>
      <c r="G70" s="2489">
        <v>5830.3834902919898</v>
      </c>
      <c r="H70" s="2488">
        <v>1.2</v>
      </c>
      <c r="I70" s="2487">
        <v>0.39267962000000001</v>
      </c>
    </row>
    <row r="71" spans="2:9" s="222" customFormat="1" ht="15.2" customHeight="1">
      <c r="B71" s="2491"/>
      <c r="C71" s="2491"/>
      <c r="D71" s="1620"/>
      <c r="E71" s="2490"/>
      <c r="F71" s="2490"/>
      <c r="G71" s="2489"/>
      <c r="H71" s="2488"/>
      <c r="I71" s="2487"/>
    </row>
    <row r="72" spans="2:9" s="222" customFormat="1" ht="15.2" customHeight="1">
      <c r="B72" s="2491"/>
      <c r="C72" s="2491"/>
      <c r="D72" s="1620"/>
      <c r="E72" s="2490"/>
      <c r="F72" s="2490"/>
      <c r="G72" s="2489"/>
      <c r="H72" s="2488"/>
      <c r="I72" s="2487"/>
    </row>
    <row r="73" spans="2:9" s="222" customFormat="1" ht="15.2" customHeight="1">
      <c r="B73" s="2491"/>
      <c r="C73" s="2491"/>
      <c r="D73" s="1620"/>
      <c r="E73" s="2490"/>
      <c r="F73" s="2490"/>
      <c r="G73" s="2489"/>
      <c r="H73" s="2488"/>
      <c r="I73" s="2487"/>
    </row>
    <row r="74" spans="2:9" s="222" customFormat="1" ht="14.25" thickBot="1">
      <c r="B74" s="242"/>
      <c r="C74" s="242"/>
      <c r="D74" s="242"/>
      <c r="E74" s="2486"/>
      <c r="F74" s="2486"/>
      <c r="G74" s="2485"/>
      <c r="H74" s="2484"/>
      <c r="I74" s="2483"/>
    </row>
    <row r="75" spans="2:9" s="222" customFormat="1" ht="13.5">
      <c r="E75" s="2481"/>
      <c r="F75" s="2481"/>
      <c r="G75" s="243"/>
      <c r="I75" s="2482" t="s">
        <v>0</v>
      </c>
    </row>
    <row r="76" spans="2:9" s="222" customFormat="1" ht="13.5">
      <c r="E76" s="2481"/>
      <c r="F76" s="2481"/>
      <c r="G76" s="243"/>
      <c r="I76" s="2480" t="s">
        <v>1</v>
      </c>
    </row>
    <row r="78" spans="2:9" s="237" customFormat="1" ht="17.25" customHeight="1">
      <c r="B78" s="1619" t="s">
        <v>1921</v>
      </c>
      <c r="C78" s="1619" t="s">
        <v>1920</v>
      </c>
      <c r="D78" s="1619"/>
      <c r="E78" s="1619"/>
      <c r="F78" s="1619"/>
      <c r="G78" s="1619"/>
      <c r="H78" s="744"/>
    </row>
    <row r="79" spans="2:9" s="237" customFormat="1" ht="17.25" customHeight="1">
      <c r="B79" s="1648" t="s">
        <v>1919</v>
      </c>
      <c r="C79" s="1648" t="s">
        <v>1918</v>
      </c>
      <c r="D79" s="1648"/>
      <c r="E79" s="1648"/>
      <c r="F79" s="1648"/>
      <c r="G79" s="1648"/>
      <c r="H79" s="744"/>
    </row>
    <row r="80" spans="2:9" s="222" customFormat="1" ht="15.2" customHeight="1" thickBot="1">
      <c r="B80" s="2503"/>
      <c r="C80" s="2503"/>
      <c r="D80" s="2503"/>
      <c r="E80" s="2502"/>
      <c r="F80" s="2501"/>
      <c r="G80" s="2501"/>
      <c r="H80" s="2501"/>
      <c r="I80" s="2499"/>
    </row>
    <row r="81" spans="2:9" s="222" customFormat="1" ht="22.5" customHeight="1">
      <c r="B81" s="2500"/>
      <c r="C81" s="2500"/>
      <c r="D81" s="2500"/>
      <c r="E81" s="2802" t="s">
        <v>254</v>
      </c>
      <c r="F81" s="2803"/>
      <c r="G81" s="2802" t="s">
        <v>255</v>
      </c>
      <c r="H81" s="2802" t="s">
        <v>256</v>
      </c>
      <c r="I81" s="2802"/>
    </row>
    <row r="82" spans="2:9" s="222" customFormat="1" ht="22.5" customHeight="1" thickBot="1">
      <c r="B82" s="2499"/>
      <c r="C82" s="2499"/>
      <c r="D82" s="2499"/>
      <c r="E82" s="2804"/>
      <c r="F82" s="2804"/>
      <c r="G82" s="2804"/>
      <c r="H82" s="2805"/>
      <c r="I82" s="2805"/>
    </row>
    <row r="83" spans="2:9" s="240" customFormat="1" ht="71.25" customHeight="1">
      <c r="B83" s="2498" t="s">
        <v>1917</v>
      </c>
      <c r="C83" s="239"/>
      <c r="D83" s="1618" t="s">
        <v>239</v>
      </c>
      <c r="E83" s="238" t="s">
        <v>257</v>
      </c>
      <c r="F83" s="238" t="s">
        <v>258</v>
      </c>
      <c r="G83" s="239" t="s">
        <v>259</v>
      </c>
      <c r="H83" s="239" t="s">
        <v>260</v>
      </c>
      <c r="I83" s="238" t="s">
        <v>261</v>
      </c>
    </row>
    <row r="84" spans="2:9" s="222" customFormat="1" ht="22.5" customHeight="1" thickBot="1">
      <c r="B84" s="2497"/>
      <c r="C84" s="2497"/>
      <c r="D84" s="2497"/>
      <c r="E84" s="2496" t="s">
        <v>262</v>
      </c>
      <c r="F84" s="2496" t="s">
        <v>262</v>
      </c>
      <c r="G84" s="2496" t="s">
        <v>262</v>
      </c>
      <c r="H84" s="241" t="s">
        <v>41</v>
      </c>
      <c r="I84" s="241"/>
    </row>
    <row r="85" spans="2:9" s="222" customFormat="1" ht="13.5">
      <c r="B85" s="2495"/>
      <c r="C85" s="2495"/>
      <c r="D85" s="2495"/>
      <c r="E85" s="2494"/>
      <c r="F85" s="2494"/>
      <c r="G85" s="2493"/>
      <c r="H85" s="2492"/>
      <c r="I85" s="2492"/>
    </row>
    <row r="86" spans="2:9" s="1995" customFormat="1" ht="15.2" customHeight="1">
      <c r="B86" s="2291" t="s">
        <v>1694</v>
      </c>
      <c r="C86" s="2291"/>
      <c r="D86" s="1620">
        <v>2022</v>
      </c>
      <c r="E86" s="2490">
        <v>10827</v>
      </c>
      <c r="F86" s="2490">
        <v>8210</v>
      </c>
      <c r="G86" s="2489">
        <v>5830.3834902919898</v>
      </c>
      <c r="H86" s="2488">
        <v>1.2</v>
      </c>
      <c r="I86" s="2487">
        <v>0.39267962000000001</v>
      </c>
    </row>
    <row r="87" spans="2:9" s="1995" customFormat="1" ht="15.2" customHeight="1">
      <c r="B87" s="2292"/>
      <c r="C87" s="2292"/>
      <c r="D87" s="1620">
        <v>2024</v>
      </c>
      <c r="E87" s="2490">
        <v>10827</v>
      </c>
      <c r="F87" s="2490">
        <v>8210</v>
      </c>
      <c r="G87" s="2489">
        <v>5830.3834902919898</v>
      </c>
      <c r="H87" s="2488">
        <v>1.2</v>
      </c>
      <c r="I87" s="2487">
        <v>0.39267962000000001</v>
      </c>
    </row>
    <row r="88" spans="2:9" s="1995" customFormat="1" ht="15.2" customHeight="1">
      <c r="B88" s="2292"/>
      <c r="C88" s="2292"/>
      <c r="D88" s="1620"/>
      <c r="E88" s="1605"/>
      <c r="F88" s="1605"/>
      <c r="G88" s="1991"/>
      <c r="H88" s="1608"/>
      <c r="I88" s="2487"/>
    </row>
    <row r="89" spans="2:9" s="1995" customFormat="1" ht="15.2" customHeight="1">
      <c r="B89" s="2291" t="s">
        <v>1580</v>
      </c>
      <c r="C89" s="2291"/>
      <c r="D89" s="1620">
        <v>2022</v>
      </c>
      <c r="E89" s="2490">
        <v>10827</v>
      </c>
      <c r="F89" s="2490">
        <v>8210</v>
      </c>
      <c r="G89" s="2489">
        <v>5830.3834902919898</v>
      </c>
      <c r="H89" s="2488">
        <v>1.2</v>
      </c>
      <c r="I89" s="2487">
        <v>0.39267962000000001</v>
      </c>
    </row>
    <row r="90" spans="2:9" s="1995" customFormat="1" ht="15.2" customHeight="1">
      <c r="B90" s="2292"/>
      <c r="C90" s="2292"/>
      <c r="D90" s="1620">
        <v>2024</v>
      </c>
      <c r="E90" s="2490">
        <v>10827</v>
      </c>
      <c r="F90" s="2490">
        <v>8210</v>
      </c>
      <c r="G90" s="2489">
        <v>5830.3834902919898</v>
      </c>
      <c r="H90" s="2488">
        <v>1.2</v>
      </c>
      <c r="I90" s="2487">
        <v>0.39267962000000001</v>
      </c>
    </row>
    <row r="91" spans="2:9" s="1995" customFormat="1" ht="15.2" customHeight="1">
      <c r="B91" s="2292"/>
      <c r="C91" s="2292"/>
      <c r="D91" s="1620"/>
      <c r="E91" s="1605"/>
      <c r="F91" s="2293"/>
      <c r="G91" s="1991"/>
      <c r="H91" s="1608"/>
      <c r="I91" s="2487"/>
    </row>
    <row r="92" spans="2:9" s="1995" customFormat="1" ht="15.2" customHeight="1">
      <c r="B92" s="2291" t="s">
        <v>1693</v>
      </c>
      <c r="C92" s="2291"/>
      <c r="D92" s="1620">
        <v>2022</v>
      </c>
      <c r="E92" s="2490">
        <v>10827</v>
      </c>
      <c r="F92" s="2490">
        <v>8210</v>
      </c>
      <c r="G92" s="2489">
        <v>5830.3834902919898</v>
      </c>
      <c r="H92" s="2488">
        <v>1.2</v>
      </c>
      <c r="I92" s="2487">
        <v>0.39267962000000001</v>
      </c>
    </row>
    <row r="93" spans="2:9" s="1995" customFormat="1" ht="15.2" customHeight="1">
      <c r="B93" s="2292"/>
      <c r="C93" s="2292"/>
      <c r="D93" s="1620">
        <v>2024</v>
      </c>
      <c r="E93" s="2490">
        <v>10827</v>
      </c>
      <c r="F93" s="2490">
        <v>8210</v>
      </c>
      <c r="G93" s="2489">
        <v>5830.3834902919898</v>
      </c>
      <c r="H93" s="2488">
        <v>1.2</v>
      </c>
      <c r="I93" s="2487">
        <v>0.39267962000000001</v>
      </c>
    </row>
    <row r="94" spans="2:9" s="1995" customFormat="1" ht="15.2" customHeight="1">
      <c r="B94" s="2292"/>
      <c r="C94" s="2292"/>
      <c r="D94" s="1620"/>
      <c r="E94" s="1992"/>
      <c r="F94" s="1605"/>
      <c r="G94" s="1991"/>
      <c r="H94" s="1608"/>
      <c r="I94" s="2487"/>
    </row>
    <row r="95" spans="2:9" s="1995" customFormat="1" ht="15.2" customHeight="1">
      <c r="B95" s="2291" t="s">
        <v>1692</v>
      </c>
      <c r="C95" s="2291"/>
      <c r="D95" s="1620">
        <v>2022</v>
      </c>
      <c r="E95" s="2490">
        <v>10827</v>
      </c>
      <c r="F95" s="2490">
        <v>8210</v>
      </c>
      <c r="G95" s="2489">
        <v>5830.3834902919898</v>
      </c>
      <c r="H95" s="2488">
        <v>1.2</v>
      </c>
      <c r="I95" s="2487">
        <v>0.39267962000000001</v>
      </c>
    </row>
    <row r="96" spans="2:9" s="1995" customFormat="1" ht="15.2" customHeight="1">
      <c r="B96" s="2292"/>
      <c r="C96" s="2292"/>
      <c r="D96" s="1620">
        <v>2024</v>
      </c>
      <c r="E96" s="2490">
        <v>10827</v>
      </c>
      <c r="F96" s="2490">
        <v>8210</v>
      </c>
      <c r="G96" s="2489">
        <v>5830.3834902919898</v>
      </c>
      <c r="H96" s="2488">
        <v>1.2</v>
      </c>
      <c r="I96" s="2487">
        <v>0.39267962000000001</v>
      </c>
    </row>
    <row r="97" spans="2:9" s="1995" customFormat="1" ht="15.2" customHeight="1">
      <c r="B97" s="2292"/>
      <c r="C97" s="2292"/>
      <c r="D97" s="1620"/>
      <c r="E97" s="1605"/>
      <c r="F97" s="1605"/>
      <c r="G97" s="1991"/>
      <c r="H97" s="1608"/>
      <c r="I97" s="2487"/>
    </row>
    <row r="98" spans="2:9" s="1995" customFormat="1" ht="15.2" customHeight="1">
      <c r="B98" s="2291" t="s">
        <v>1691</v>
      </c>
      <c r="C98" s="2291"/>
      <c r="D98" s="1620">
        <v>2022</v>
      </c>
      <c r="E98" s="2490">
        <v>10827</v>
      </c>
      <c r="F98" s="2490">
        <v>8210</v>
      </c>
      <c r="G98" s="2489">
        <v>5830.3834902919898</v>
      </c>
      <c r="H98" s="2488">
        <v>1.2</v>
      </c>
      <c r="I98" s="2487">
        <v>0.39267962000000001</v>
      </c>
    </row>
    <row r="99" spans="2:9" s="1995" customFormat="1" ht="15.2" customHeight="1">
      <c r="B99" s="2292"/>
      <c r="C99" s="2292"/>
      <c r="D99" s="1620">
        <v>2024</v>
      </c>
      <c r="E99" s="2490">
        <v>10827</v>
      </c>
      <c r="F99" s="2490">
        <v>8210</v>
      </c>
      <c r="G99" s="2489">
        <v>5830.3834902919898</v>
      </c>
      <c r="H99" s="2488">
        <v>1.2</v>
      </c>
      <c r="I99" s="2487">
        <v>0.39267962000000001</v>
      </c>
    </row>
    <row r="100" spans="2:9" s="1995" customFormat="1" ht="15.2" customHeight="1">
      <c r="B100" s="2292"/>
      <c r="C100" s="2292"/>
      <c r="D100" s="1620"/>
      <c r="E100" s="1605"/>
      <c r="F100" s="2293"/>
      <c r="G100" s="1991"/>
      <c r="H100" s="1608"/>
      <c r="I100" s="2487"/>
    </row>
    <row r="101" spans="2:9" s="1995" customFormat="1" ht="15.2" customHeight="1">
      <c r="B101" s="2291" t="s">
        <v>1690</v>
      </c>
      <c r="C101" s="2291"/>
      <c r="D101" s="1620">
        <v>2022</v>
      </c>
      <c r="E101" s="2490">
        <v>10827</v>
      </c>
      <c r="F101" s="2490">
        <v>8210</v>
      </c>
      <c r="G101" s="2489">
        <v>5830.3834902919898</v>
      </c>
      <c r="H101" s="2488">
        <v>1.2</v>
      </c>
      <c r="I101" s="2487">
        <v>0.39267962000000001</v>
      </c>
    </row>
    <row r="102" spans="2:9" s="1995" customFormat="1" ht="15.2" customHeight="1">
      <c r="B102" s="2292"/>
      <c r="C102" s="2292"/>
      <c r="D102" s="1620">
        <v>2024</v>
      </c>
      <c r="E102" s="2490">
        <v>10827</v>
      </c>
      <c r="F102" s="2490">
        <v>8210</v>
      </c>
      <c r="G102" s="2489">
        <v>5830.3834902919898</v>
      </c>
      <c r="H102" s="2488">
        <v>1.2</v>
      </c>
      <c r="I102" s="2487">
        <v>0.39267962000000001</v>
      </c>
    </row>
    <row r="103" spans="2:9" s="1995" customFormat="1" ht="15.2" customHeight="1">
      <c r="B103" s="2292"/>
      <c r="C103" s="2292"/>
      <c r="D103" s="1620"/>
      <c r="E103" s="1992"/>
      <c r="F103" s="1992"/>
      <c r="G103" s="1991"/>
      <c r="H103" s="1608"/>
      <c r="I103" s="2487"/>
    </row>
    <row r="104" spans="2:9" s="1995" customFormat="1" ht="15.2" customHeight="1">
      <c r="B104" s="2291" t="s">
        <v>1689</v>
      </c>
      <c r="C104" s="2291"/>
      <c r="D104" s="1620">
        <v>2022</v>
      </c>
      <c r="E104" s="2490">
        <v>10827</v>
      </c>
      <c r="F104" s="2490">
        <v>8210</v>
      </c>
      <c r="G104" s="2489">
        <v>5830.3834902919898</v>
      </c>
      <c r="H104" s="2488">
        <v>1.2</v>
      </c>
      <c r="I104" s="2487">
        <v>0.39267962000000001</v>
      </c>
    </row>
    <row r="105" spans="2:9" s="1995" customFormat="1" ht="15.2" customHeight="1">
      <c r="B105" s="2292"/>
      <c r="C105" s="2292"/>
      <c r="D105" s="1620">
        <v>2024</v>
      </c>
      <c r="E105" s="2490">
        <v>10827</v>
      </c>
      <c r="F105" s="2490">
        <v>8210</v>
      </c>
      <c r="G105" s="2489">
        <v>5830.3834902919898</v>
      </c>
      <c r="H105" s="2488">
        <v>1.2</v>
      </c>
      <c r="I105" s="2487">
        <v>0.39267962000000001</v>
      </c>
    </row>
    <row r="106" spans="2:9" s="1995" customFormat="1" ht="15.2" customHeight="1">
      <c r="B106" s="2292"/>
      <c r="C106" s="2292"/>
      <c r="D106" s="1620"/>
      <c r="E106" s="1605"/>
      <c r="F106" s="1605"/>
      <c r="G106" s="1991"/>
      <c r="H106" s="1608"/>
      <c r="I106" s="2487"/>
    </row>
    <row r="107" spans="2:9" s="1995" customFormat="1" ht="15.2" customHeight="1">
      <c r="B107" s="2291" t="s">
        <v>1688</v>
      </c>
      <c r="C107" s="2291"/>
      <c r="D107" s="1620">
        <v>2022</v>
      </c>
      <c r="E107" s="2490">
        <v>10827</v>
      </c>
      <c r="F107" s="2490">
        <v>8210</v>
      </c>
      <c r="G107" s="2489">
        <v>5830.3834902919898</v>
      </c>
      <c r="H107" s="2488">
        <v>1.2</v>
      </c>
      <c r="I107" s="2487">
        <v>0.39267962000000001</v>
      </c>
    </row>
    <row r="108" spans="2:9" s="1995" customFormat="1" ht="15.2" customHeight="1">
      <c r="B108" s="2292"/>
      <c r="C108" s="2292"/>
      <c r="D108" s="1620">
        <v>2024</v>
      </c>
      <c r="E108" s="2490">
        <v>10827</v>
      </c>
      <c r="F108" s="2490">
        <v>8210</v>
      </c>
      <c r="G108" s="2489">
        <v>5830.3834902919898</v>
      </c>
      <c r="H108" s="2488">
        <v>1.2</v>
      </c>
      <c r="I108" s="2487">
        <v>0.39267962000000001</v>
      </c>
    </row>
    <row r="109" spans="2:9" s="1995" customFormat="1" ht="15.2" customHeight="1">
      <c r="B109" s="2292"/>
      <c r="C109" s="2292"/>
      <c r="D109" s="1620"/>
      <c r="E109" s="1605"/>
      <c r="F109" s="2293"/>
      <c r="G109" s="1991"/>
      <c r="H109" s="1608"/>
      <c r="I109" s="2487"/>
    </row>
    <row r="110" spans="2:9" s="1995" customFormat="1" ht="15.2" customHeight="1">
      <c r="B110" s="2291" t="s">
        <v>1687</v>
      </c>
      <c r="C110" s="2291"/>
      <c r="D110" s="1620">
        <v>2022</v>
      </c>
      <c r="E110" s="2490">
        <v>10827</v>
      </c>
      <c r="F110" s="2490">
        <v>8210</v>
      </c>
      <c r="G110" s="2489">
        <v>5830.3834902919898</v>
      </c>
      <c r="H110" s="2488">
        <v>1.2</v>
      </c>
      <c r="I110" s="2487">
        <v>0.39267962000000001</v>
      </c>
    </row>
    <row r="111" spans="2:9" s="1995" customFormat="1" ht="15.2" customHeight="1">
      <c r="B111" s="2292"/>
      <c r="C111" s="2292"/>
      <c r="D111" s="1620">
        <v>2024</v>
      </c>
      <c r="E111" s="2490">
        <v>10827</v>
      </c>
      <c r="F111" s="2490">
        <v>8210</v>
      </c>
      <c r="G111" s="2489">
        <v>5830.3834902919898</v>
      </c>
      <c r="H111" s="2488">
        <v>1.2</v>
      </c>
      <c r="I111" s="2487">
        <v>0.39267962000000001</v>
      </c>
    </row>
    <row r="112" spans="2:9" s="1995" customFormat="1" ht="15.2" customHeight="1">
      <c r="B112" s="2292"/>
      <c r="C112" s="2292"/>
      <c r="D112" s="1620"/>
      <c r="E112" s="2293"/>
      <c r="F112" s="1992"/>
      <c r="G112" s="1991"/>
      <c r="H112" s="1608"/>
      <c r="I112" s="2487"/>
    </row>
    <row r="113" spans="2:9" s="1995" customFormat="1" ht="15.2" customHeight="1">
      <c r="B113" s="2291" t="s">
        <v>1686</v>
      </c>
      <c r="C113" s="2291"/>
      <c r="D113" s="1620">
        <v>2022</v>
      </c>
      <c r="E113" s="2490">
        <v>10827</v>
      </c>
      <c r="F113" s="2490">
        <v>8210</v>
      </c>
      <c r="G113" s="2489">
        <v>5830.3834902919898</v>
      </c>
      <c r="H113" s="2488">
        <v>1.2</v>
      </c>
      <c r="I113" s="2487">
        <v>0.39267962000000001</v>
      </c>
    </row>
    <row r="114" spans="2:9" s="1995" customFormat="1" ht="15.2" customHeight="1">
      <c r="B114" s="2292"/>
      <c r="C114" s="2292"/>
      <c r="D114" s="1620">
        <v>2024</v>
      </c>
      <c r="E114" s="2490">
        <v>10827</v>
      </c>
      <c r="F114" s="2490">
        <v>8210</v>
      </c>
      <c r="G114" s="2489">
        <v>5830.3834902919898</v>
      </c>
      <c r="H114" s="2488">
        <v>1.2</v>
      </c>
      <c r="I114" s="2487">
        <v>0.39267962000000001</v>
      </c>
    </row>
    <row r="115" spans="2:9" s="1995" customFormat="1" ht="15.2" customHeight="1">
      <c r="B115" s="2292"/>
      <c r="C115" s="2292"/>
      <c r="D115" s="1620"/>
      <c r="E115" s="1605"/>
      <c r="F115" s="1605"/>
      <c r="G115" s="1991"/>
      <c r="H115" s="1608"/>
      <c r="I115" s="2487"/>
    </row>
    <row r="116" spans="2:9" s="1995" customFormat="1" ht="15.2" customHeight="1">
      <c r="B116" s="2291" t="s">
        <v>1867</v>
      </c>
      <c r="C116" s="2291"/>
      <c r="D116" s="1620">
        <v>2022</v>
      </c>
      <c r="E116" s="2490">
        <v>10827</v>
      </c>
      <c r="F116" s="2490">
        <v>8210</v>
      </c>
      <c r="G116" s="2489">
        <v>5830.3834902919898</v>
      </c>
      <c r="H116" s="2488">
        <v>1.2</v>
      </c>
      <c r="I116" s="2487">
        <v>0.39267962000000001</v>
      </c>
    </row>
    <row r="117" spans="2:9" s="1995" customFormat="1" ht="15.2" customHeight="1">
      <c r="B117" s="2292"/>
      <c r="C117" s="2292"/>
      <c r="D117" s="1620">
        <v>2024</v>
      </c>
      <c r="E117" s="2490">
        <v>10827</v>
      </c>
      <c r="F117" s="2490">
        <v>8210</v>
      </c>
      <c r="G117" s="2489">
        <v>5830.3834902919898</v>
      </c>
      <c r="H117" s="2488">
        <v>1.2</v>
      </c>
      <c r="I117" s="2487">
        <v>0.39267962000000001</v>
      </c>
    </row>
    <row r="118" spans="2:9" s="1995" customFormat="1" ht="15.2" customHeight="1">
      <c r="B118" s="2292"/>
      <c r="C118" s="2292"/>
      <c r="D118" s="1620"/>
      <c r="E118" s="1605"/>
      <c r="F118" s="2293"/>
      <c r="G118" s="1991"/>
      <c r="H118" s="1608"/>
      <c r="I118" s="2487"/>
    </row>
    <row r="119" spans="2:9" s="1995" customFormat="1" ht="15.2" customHeight="1">
      <c r="B119" s="2291" t="s">
        <v>1578</v>
      </c>
      <c r="C119" s="2291"/>
      <c r="D119" s="1620">
        <v>2022</v>
      </c>
      <c r="E119" s="2490">
        <v>10827</v>
      </c>
      <c r="F119" s="2490">
        <v>8210</v>
      </c>
      <c r="G119" s="2489">
        <v>5830.3834902919898</v>
      </c>
      <c r="H119" s="2488">
        <v>1.2</v>
      </c>
      <c r="I119" s="2487">
        <v>0.39267962000000001</v>
      </c>
    </row>
    <row r="120" spans="2:9" s="1995" customFormat="1" ht="15.2" customHeight="1">
      <c r="B120" s="2292"/>
      <c r="C120" s="2292"/>
      <c r="D120" s="1620">
        <v>2024</v>
      </c>
      <c r="E120" s="2490">
        <v>10827</v>
      </c>
      <c r="F120" s="2490">
        <v>8210</v>
      </c>
      <c r="G120" s="2489">
        <v>5830.3834902919898</v>
      </c>
      <c r="H120" s="2488">
        <v>1.2</v>
      </c>
      <c r="I120" s="2487">
        <v>0.39267962000000001</v>
      </c>
    </row>
    <row r="121" spans="2:9" s="1995" customFormat="1" ht="15.2" customHeight="1">
      <c r="B121" s="2292"/>
      <c r="C121" s="2292"/>
      <c r="D121" s="1620"/>
      <c r="E121" s="1997"/>
      <c r="F121" s="2293"/>
      <c r="G121" s="2293"/>
      <c r="H121" s="1608"/>
      <c r="I121" s="2487"/>
    </row>
    <row r="122" spans="2:9" s="1995" customFormat="1" ht="15.2" customHeight="1">
      <c r="B122" s="2291" t="s">
        <v>1866</v>
      </c>
      <c r="C122" s="2291"/>
      <c r="D122" s="1620">
        <v>2022</v>
      </c>
      <c r="E122" s="2490">
        <v>10827</v>
      </c>
      <c r="F122" s="2490">
        <v>8210</v>
      </c>
      <c r="G122" s="2489">
        <v>5830.3834902919898</v>
      </c>
      <c r="H122" s="2488">
        <v>1.2</v>
      </c>
      <c r="I122" s="2487">
        <v>0.39267962000000001</v>
      </c>
    </row>
    <row r="123" spans="2:9" s="1995" customFormat="1" ht="15.2" customHeight="1">
      <c r="B123" s="2292"/>
      <c r="C123" s="2292"/>
      <c r="D123" s="1620">
        <v>2024</v>
      </c>
      <c r="E123" s="2490">
        <v>10827</v>
      </c>
      <c r="F123" s="2490">
        <v>8210</v>
      </c>
      <c r="G123" s="2489">
        <v>5830.3834902919898</v>
      </c>
      <c r="H123" s="2488">
        <v>1.2</v>
      </c>
      <c r="I123" s="2487">
        <v>0.39267962000000001</v>
      </c>
    </row>
    <row r="124" spans="2:9" s="1995" customFormat="1" ht="15.2" customHeight="1">
      <c r="B124" s="2292"/>
      <c r="C124" s="2292"/>
      <c r="D124" s="1620"/>
      <c r="E124" s="1605"/>
      <c r="F124" s="1605"/>
      <c r="G124" s="1991"/>
      <c r="H124" s="1608"/>
      <c r="I124" s="2487"/>
    </row>
    <row r="125" spans="2:9" s="1995" customFormat="1" ht="15.2" customHeight="1">
      <c r="B125" s="2291" t="s">
        <v>1865</v>
      </c>
      <c r="C125" s="2291"/>
      <c r="D125" s="1620">
        <v>2022</v>
      </c>
      <c r="E125" s="2490">
        <v>10827</v>
      </c>
      <c r="F125" s="2490">
        <v>8210</v>
      </c>
      <c r="G125" s="2489">
        <v>5830.3834902919898</v>
      </c>
      <c r="H125" s="2488">
        <v>1.2</v>
      </c>
      <c r="I125" s="2487">
        <v>0.39267962000000001</v>
      </c>
    </row>
    <row r="126" spans="2:9" s="1995" customFormat="1" ht="15.2" customHeight="1">
      <c r="B126" s="2292"/>
      <c r="C126" s="2292"/>
      <c r="D126" s="1620">
        <v>2024</v>
      </c>
      <c r="E126" s="2490">
        <v>10827</v>
      </c>
      <c r="F126" s="2490">
        <v>8210</v>
      </c>
      <c r="G126" s="2489">
        <v>5830.3834902919898</v>
      </c>
      <c r="H126" s="2488">
        <v>1.2</v>
      </c>
      <c r="I126" s="2487">
        <v>0.39267962000000001</v>
      </c>
    </row>
    <row r="127" spans="2:9" s="1995" customFormat="1" ht="15.2" customHeight="1">
      <c r="B127" s="2292"/>
      <c r="C127" s="2292"/>
      <c r="D127" s="1620"/>
      <c r="E127" s="1605"/>
      <c r="F127" s="2293"/>
      <c r="G127" s="1991"/>
      <c r="H127" s="1608"/>
      <c r="I127" s="2487"/>
    </row>
    <row r="128" spans="2:9" s="1995" customFormat="1" ht="15.2" customHeight="1">
      <c r="B128" s="2291" t="s">
        <v>1576</v>
      </c>
      <c r="C128" s="2291"/>
      <c r="D128" s="1620">
        <v>2022</v>
      </c>
      <c r="E128" s="2490">
        <v>10827</v>
      </c>
      <c r="F128" s="2490">
        <v>8210</v>
      </c>
      <c r="G128" s="2489">
        <v>5830.3834902919898</v>
      </c>
      <c r="H128" s="2488">
        <v>1.2</v>
      </c>
      <c r="I128" s="2487">
        <v>0.39267962000000001</v>
      </c>
    </row>
    <row r="129" spans="2:9" s="1995" customFormat="1" ht="15.2" customHeight="1">
      <c r="B129" s="2292"/>
      <c r="C129" s="2292"/>
      <c r="D129" s="1620">
        <v>2024</v>
      </c>
      <c r="E129" s="2490">
        <v>10827</v>
      </c>
      <c r="F129" s="2490">
        <v>8210</v>
      </c>
      <c r="G129" s="2489">
        <v>5830.3834902919898</v>
      </c>
      <c r="H129" s="2488">
        <v>1.2</v>
      </c>
      <c r="I129" s="2487">
        <v>0.39267962000000001</v>
      </c>
    </row>
    <row r="130" spans="2:9" s="1995" customFormat="1" ht="15.2" customHeight="1">
      <c r="B130" s="2292"/>
      <c r="C130" s="2292"/>
      <c r="D130" s="1620"/>
      <c r="E130" s="1992"/>
      <c r="F130" s="1997"/>
      <c r="G130" s="1605"/>
      <c r="H130" s="1608"/>
      <c r="I130" s="2487"/>
    </row>
    <row r="131" spans="2:9" s="1995" customFormat="1" ht="15.2" customHeight="1">
      <c r="B131" s="2291" t="s">
        <v>1864</v>
      </c>
      <c r="C131" s="2291"/>
      <c r="D131" s="1620">
        <v>2022</v>
      </c>
      <c r="E131" s="2490">
        <v>10827</v>
      </c>
      <c r="F131" s="2490">
        <v>8210</v>
      </c>
      <c r="G131" s="2489">
        <v>5830.3834902919898</v>
      </c>
      <c r="H131" s="2488">
        <v>1.2</v>
      </c>
      <c r="I131" s="2487">
        <v>0.39267962000000001</v>
      </c>
    </row>
    <row r="132" spans="2:9" s="1995" customFormat="1" ht="15.2" customHeight="1">
      <c r="B132" s="2292"/>
      <c r="C132" s="2292"/>
      <c r="D132" s="1620">
        <v>2024</v>
      </c>
      <c r="E132" s="2490">
        <v>10827</v>
      </c>
      <c r="F132" s="2490">
        <v>8210</v>
      </c>
      <c r="G132" s="2489">
        <v>5830.3834902919898</v>
      </c>
      <c r="H132" s="2488">
        <v>1.2</v>
      </c>
      <c r="I132" s="2487">
        <v>0.39267962000000001</v>
      </c>
    </row>
    <row r="133" spans="2:9" s="1995" customFormat="1" ht="15.2" customHeight="1">
      <c r="B133" s="2292"/>
      <c r="C133" s="2292"/>
      <c r="D133" s="1620"/>
      <c r="E133" s="1605"/>
      <c r="F133" s="1605"/>
      <c r="G133" s="1991"/>
      <c r="H133" s="1608"/>
      <c r="I133" s="2487"/>
    </row>
    <row r="134" spans="2:9" s="1995" customFormat="1" ht="15.2" customHeight="1">
      <c r="B134" s="2291" t="s">
        <v>1682</v>
      </c>
      <c r="C134" s="2291"/>
      <c r="D134" s="1620">
        <v>2022</v>
      </c>
      <c r="E134" s="2490">
        <v>10827</v>
      </c>
      <c r="F134" s="2490">
        <v>8210</v>
      </c>
      <c r="G134" s="2489">
        <v>5830.3834902919898</v>
      </c>
      <c r="H134" s="2488">
        <v>1.2</v>
      </c>
      <c r="I134" s="2487">
        <v>0.39267962000000001</v>
      </c>
    </row>
    <row r="135" spans="2:9" s="1995" customFormat="1" ht="15.2" customHeight="1">
      <c r="B135" s="2292"/>
      <c r="C135" s="2292"/>
      <c r="D135" s="1620">
        <v>2024</v>
      </c>
      <c r="E135" s="2490">
        <v>10827</v>
      </c>
      <c r="F135" s="2490">
        <v>8210</v>
      </c>
      <c r="G135" s="2489">
        <v>5830.3834902919898</v>
      </c>
      <c r="H135" s="2488">
        <v>1.2</v>
      </c>
      <c r="I135" s="2487">
        <v>0.39267962000000001</v>
      </c>
    </row>
    <row r="136" spans="2:9" s="1995" customFormat="1" ht="15.2" customHeight="1">
      <c r="B136" s="2292"/>
      <c r="C136" s="2292"/>
      <c r="D136" s="1620"/>
      <c r="E136" s="1605"/>
      <c r="F136" s="2293"/>
      <c r="G136" s="1991"/>
      <c r="H136" s="1608"/>
      <c r="I136" s="2487"/>
    </row>
    <row r="137" spans="2:9" s="1995" customFormat="1" ht="15.2" customHeight="1">
      <c r="B137" s="2291" t="s">
        <v>1685</v>
      </c>
      <c r="C137" s="2291"/>
      <c r="D137" s="1620">
        <v>2022</v>
      </c>
      <c r="E137" s="2490">
        <v>10827</v>
      </c>
      <c r="F137" s="2490">
        <v>8210</v>
      </c>
      <c r="G137" s="2489">
        <v>5830.3834902919898</v>
      </c>
      <c r="H137" s="2488">
        <v>1.2</v>
      </c>
      <c r="I137" s="2487">
        <v>0.39267962000000001</v>
      </c>
    </row>
    <row r="138" spans="2:9" s="1995" customFormat="1" ht="15.2" customHeight="1">
      <c r="B138" s="2292"/>
      <c r="C138" s="2292"/>
      <c r="D138" s="1620">
        <v>2024</v>
      </c>
      <c r="E138" s="2490">
        <v>10827</v>
      </c>
      <c r="F138" s="2490">
        <v>8210</v>
      </c>
      <c r="G138" s="2489">
        <v>5830.3834902919898</v>
      </c>
      <c r="H138" s="2488">
        <v>1.2</v>
      </c>
      <c r="I138" s="2487">
        <v>0.39267962000000001</v>
      </c>
    </row>
    <row r="139" spans="2:9" s="1995" customFormat="1" ht="15.2" customHeight="1">
      <c r="B139" s="2292"/>
      <c r="C139" s="2292"/>
      <c r="D139" s="1620"/>
      <c r="E139" s="1997"/>
      <c r="F139" s="1992"/>
      <c r="G139" s="1992"/>
      <c r="H139" s="1608"/>
      <c r="I139" s="2487"/>
    </row>
    <row r="140" spans="2:9" s="1995" customFormat="1" ht="15.2" customHeight="1">
      <c r="B140" s="2291" t="s">
        <v>1684</v>
      </c>
      <c r="C140" s="2291"/>
      <c r="D140" s="1620">
        <v>2022</v>
      </c>
      <c r="E140" s="2490">
        <v>10827</v>
      </c>
      <c r="F140" s="2490">
        <v>8210</v>
      </c>
      <c r="G140" s="2489">
        <v>5830.3834902919898</v>
      </c>
      <c r="H140" s="2488">
        <v>1.2</v>
      </c>
      <c r="I140" s="2487">
        <v>0.39267962000000001</v>
      </c>
    </row>
    <row r="141" spans="2:9" s="1995" customFormat="1" ht="15.2" customHeight="1">
      <c r="B141" s="2292"/>
      <c r="C141" s="2292"/>
      <c r="D141" s="1620">
        <v>2024</v>
      </c>
      <c r="E141" s="2490">
        <v>10827</v>
      </c>
      <c r="F141" s="2490">
        <v>8210</v>
      </c>
      <c r="G141" s="2489">
        <v>5830.3834902919898</v>
      </c>
      <c r="H141" s="2488">
        <v>1.2</v>
      </c>
      <c r="I141" s="2487">
        <v>0.39267962000000001</v>
      </c>
    </row>
    <row r="142" spans="2:9" s="1995" customFormat="1" ht="15.2" customHeight="1">
      <c r="B142" s="2292"/>
      <c r="C142" s="2292"/>
      <c r="D142" s="1620"/>
      <c r="E142" s="1605"/>
      <c r="F142" s="2293"/>
      <c r="G142" s="1991"/>
      <c r="H142" s="1608"/>
      <c r="I142" s="2487"/>
    </row>
    <row r="143" spans="2:9" s="1995" customFormat="1" ht="15.2" customHeight="1">
      <c r="B143" s="2291" t="s">
        <v>1683</v>
      </c>
      <c r="C143" s="2291"/>
      <c r="D143" s="1620">
        <v>2022</v>
      </c>
      <c r="E143" s="2490">
        <v>10827</v>
      </c>
      <c r="F143" s="2490">
        <v>8210</v>
      </c>
      <c r="G143" s="2489">
        <v>5830.3834902919898</v>
      </c>
      <c r="H143" s="2488">
        <v>1.2</v>
      </c>
      <c r="I143" s="2487">
        <v>0.39267962000000001</v>
      </c>
    </row>
    <row r="144" spans="2:9" s="222" customFormat="1" ht="15.2" customHeight="1">
      <c r="B144" s="2491"/>
      <c r="C144" s="2491"/>
      <c r="D144" s="1620">
        <v>2024</v>
      </c>
      <c r="E144" s="2490">
        <v>10827</v>
      </c>
      <c r="F144" s="2490">
        <v>8210</v>
      </c>
      <c r="G144" s="2489">
        <v>5830.3834902919898</v>
      </c>
      <c r="H144" s="2488">
        <v>1.2</v>
      </c>
      <c r="I144" s="2487">
        <v>0.39267962000000001</v>
      </c>
    </row>
    <row r="145" spans="2:9" s="222" customFormat="1" ht="14.25" thickBot="1">
      <c r="B145" s="242"/>
      <c r="C145" s="242"/>
      <c r="D145" s="242"/>
      <c r="E145" s="2486"/>
      <c r="F145" s="2486"/>
      <c r="G145" s="2485"/>
      <c r="H145" s="2484"/>
      <c r="I145" s="2483"/>
    </row>
    <row r="146" spans="2:9" s="222" customFormat="1" ht="13.5">
      <c r="E146" s="2481"/>
      <c r="F146" s="2481"/>
      <c r="G146" s="243"/>
      <c r="I146" s="2482" t="s">
        <v>0</v>
      </c>
    </row>
    <row r="147" spans="2:9" s="222" customFormat="1" ht="13.5">
      <c r="E147" s="2481"/>
      <c r="F147" s="2481"/>
      <c r="G147" s="243"/>
      <c r="I147" s="2480" t="s">
        <v>1</v>
      </c>
    </row>
    <row r="150" spans="2:9" s="237" customFormat="1" ht="17.25" customHeight="1">
      <c r="B150" s="1619" t="s">
        <v>1921</v>
      </c>
      <c r="C150" s="1619" t="s">
        <v>1920</v>
      </c>
      <c r="D150" s="1619"/>
      <c r="E150" s="1619"/>
      <c r="F150" s="1619"/>
      <c r="G150" s="1619"/>
      <c r="H150" s="744"/>
    </row>
    <row r="151" spans="2:9" s="237" customFormat="1" ht="17.25" customHeight="1">
      <c r="B151" s="1648" t="s">
        <v>1919</v>
      </c>
      <c r="C151" s="1648" t="s">
        <v>1918</v>
      </c>
      <c r="D151" s="1648"/>
      <c r="E151" s="1648"/>
      <c r="F151" s="1648"/>
      <c r="G151" s="1648"/>
      <c r="H151" s="744"/>
    </row>
    <row r="152" spans="2:9" s="222" customFormat="1" ht="15.2" customHeight="1" thickBot="1">
      <c r="B152" s="2503"/>
      <c r="C152" s="2503"/>
      <c r="D152" s="2503"/>
      <c r="E152" s="2502"/>
      <c r="F152" s="2501"/>
      <c r="G152" s="2501"/>
      <c r="H152" s="2501"/>
      <c r="I152" s="2499"/>
    </row>
    <row r="153" spans="2:9" s="222" customFormat="1" ht="22.5" customHeight="1">
      <c r="B153" s="2500"/>
      <c r="C153" s="2500"/>
      <c r="D153" s="2500"/>
      <c r="E153" s="2802" t="s">
        <v>254</v>
      </c>
      <c r="F153" s="2803"/>
      <c r="G153" s="2802" t="s">
        <v>255</v>
      </c>
      <c r="H153" s="2802" t="s">
        <v>256</v>
      </c>
      <c r="I153" s="2802"/>
    </row>
    <row r="154" spans="2:9" s="222" customFormat="1" ht="22.5" customHeight="1" thickBot="1">
      <c r="B154" s="2499"/>
      <c r="C154" s="2499"/>
      <c r="D154" s="2499"/>
      <c r="E154" s="2804"/>
      <c r="F154" s="2804"/>
      <c r="G154" s="2804"/>
      <c r="H154" s="2805"/>
      <c r="I154" s="2805"/>
    </row>
    <row r="155" spans="2:9" s="240" customFormat="1" ht="71.25" customHeight="1">
      <c r="B155" s="2498" t="s">
        <v>1917</v>
      </c>
      <c r="C155" s="239"/>
      <c r="D155" s="1618" t="s">
        <v>239</v>
      </c>
      <c r="E155" s="238" t="s">
        <v>257</v>
      </c>
      <c r="F155" s="238" t="s">
        <v>258</v>
      </c>
      <c r="G155" s="239" t="s">
        <v>259</v>
      </c>
      <c r="H155" s="239" t="s">
        <v>260</v>
      </c>
      <c r="I155" s="238" t="s">
        <v>261</v>
      </c>
    </row>
    <row r="156" spans="2:9" s="222" customFormat="1" ht="22.5" customHeight="1" thickBot="1">
      <c r="B156" s="2497"/>
      <c r="C156" s="2497"/>
      <c r="D156" s="2497"/>
      <c r="E156" s="2496" t="s">
        <v>262</v>
      </c>
      <c r="F156" s="2496" t="s">
        <v>262</v>
      </c>
      <c r="G156" s="2496" t="s">
        <v>262</v>
      </c>
      <c r="H156" s="241" t="s">
        <v>41</v>
      </c>
      <c r="I156" s="241"/>
    </row>
    <row r="157" spans="2:9" s="222" customFormat="1" ht="13.5">
      <c r="B157" s="2495"/>
      <c r="C157" s="2495"/>
      <c r="D157" s="2495"/>
      <c r="E157" s="2494"/>
      <c r="F157" s="2494"/>
      <c r="G157" s="2493"/>
      <c r="H157" s="2492"/>
      <c r="I157" s="2492"/>
    </row>
    <row r="158" spans="2:9" s="1995" customFormat="1" ht="15.2" customHeight="1">
      <c r="B158" s="2291" t="s">
        <v>1694</v>
      </c>
      <c r="C158" s="2291"/>
      <c r="D158" s="1620">
        <v>2022</v>
      </c>
      <c r="E158" s="2490">
        <v>10827</v>
      </c>
      <c r="F158" s="2490">
        <v>8210</v>
      </c>
      <c r="G158" s="2489">
        <v>5830.3834902919898</v>
      </c>
      <c r="H158" s="2488">
        <v>1.2</v>
      </c>
      <c r="I158" s="2487">
        <v>0.39267962000000001</v>
      </c>
    </row>
    <row r="159" spans="2:9" s="1995" customFormat="1" ht="15.2" customHeight="1">
      <c r="B159" s="2292"/>
      <c r="C159" s="2292"/>
      <c r="D159" s="1620">
        <v>2024</v>
      </c>
      <c r="E159" s="2490">
        <v>10827</v>
      </c>
      <c r="F159" s="2490">
        <v>8210</v>
      </c>
      <c r="G159" s="2489">
        <v>5830.3834902919898</v>
      </c>
      <c r="H159" s="2488">
        <v>1.2</v>
      </c>
      <c r="I159" s="2487">
        <v>0.39267962000000001</v>
      </c>
    </row>
    <row r="160" spans="2:9" s="1995" customFormat="1" ht="15.2" customHeight="1">
      <c r="B160" s="2292"/>
      <c r="C160" s="2292"/>
      <c r="D160" s="1620"/>
      <c r="E160" s="1605"/>
      <c r="F160" s="1605"/>
      <c r="G160" s="1991"/>
      <c r="H160" s="1608"/>
      <c r="I160" s="2487"/>
    </row>
    <row r="161" spans="2:9" s="1995" customFormat="1" ht="15.2" customHeight="1">
      <c r="B161" s="2291" t="s">
        <v>1580</v>
      </c>
      <c r="C161" s="2291"/>
      <c r="D161" s="1620">
        <v>2022</v>
      </c>
      <c r="E161" s="2490">
        <v>10827</v>
      </c>
      <c r="F161" s="2490">
        <v>8210</v>
      </c>
      <c r="G161" s="2489">
        <v>5830.3834902919898</v>
      </c>
      <c r="H161" s="2488">
        <v>1.2</v>
      </c>
      <c r="I161" s="2487">
        <v>0.39267962000000001</v>
      </c>
    </row>
    <row r="162" spans="2:9" s="1995" customFormat="1" ht="15.2" customHeight="1">
      <c r="B162" s="2292"/>
      <c r="C162" s="2292"/>
      <c r="D162" s="1620">
        <v>2024</v>
      </c>
      <c r="E162" s="2490">
        <v>10827</v>
      </c>
      <c r="F162" s="2490">
        <v>8210</v>
      </c>
      <c r="G162" s="2489">
        <v>5830.3834902919898</v>
      </c>
      <c r="H162" s="2488">
        <v>1.2</v>
      </c>
      <c r="I162" s="2487">
        <v>0.39267962000000001</v>
      </c>
    </row>
    <row r="163" spans="2:9" s="1995" customFormat="1" ht="15.2" customHeight="1">
      <c r="B163" s="2292"/>
      <c r="C163" s="2292"/>
      <c r="D163" s="1620"/>
      <c r="E163" s="1605"/>
      <c r="F163" s="2293"/>
      <c r="G163" s="1991"/>
      <c r="H163" s="1608"/>
      <c r="I163" s="2487"/>
    </row>
    <row r="164" spans="2:9" s="1995" customFormat="1" ht="15.2" customHeight="1">
      <c r="B164" s="2291" t="s">
        <v>1693</v>
      </c>
      <c r="C164" s="2291"/>
      <c r="D164" s="1620">
        <v>2022</v>
      </c>
      <c r="E164" s="2490">
        <v>10827</v>
      </c>
      <c r="F164" s="2490">
        <v>8210</v>
      </c>
      <c r="G164" s="2489">
        <v>5830.3834902919898</v>
      </c>
      <c r="H164" s="2488">
        <v>1.2</v>
      </c>
      <c r="I164" s="2487">
        <v>0.39267962000000001</v>
      </c>
    </row>
    <row r="165" spans="2:9" s="1995" customFormat="1" ht="15.2" customHeight="1">
      <c r="B165" s="2292"/>
      <c r="C165" s="2292"/>
      <c r="D165" s="1620">
        <v>2024</v>
      </c>
      <c r="E165" s="2490">
        <v>10827</v>
      </c>
      <c r="F165" s="2490">
        <v>8210</v>
      </c>
      <c r="G165" s="2489">
        <v>5830.3834902919898</v>
      </c>
      <c r="H165" s="2488">
        <v>1.2</v>
      </c>
      <c r="I165" s="2487">
        <v>0.39267962000000001</v>
      </c>
    </row>
    <row r="166" spans="2:9" s="1995" customFormat="1" ht="15.2" customHeight="1">
      <c r="B166" s="2292"/>
      <c r="C166" s="2292"/>
      <c r="D166" s="1620"/>
      <c r="E166" s="1992"/>
      <c r="F166" s="1605"/>
      <c r="G166" s="1991"/>
      <c r="H166" s="1608"/>
      <c r="I166" s="2487"/>
    </row>
    <row r="167" spans="2:9" s="1995" customFormat="1" ht="15.2" customHeight="1">
      <c r="B167" s="2291" t="s">
        <v>1692</v>
      </c>
      <c r="C167" s="2291"/>
      <c r="D167" s="1620">
        <v>2022</v>
      </c>
      <c r="E167" s="2490">
        <v>10827</v>
      </c>
      <c r="F167" s="2490">
        <v>8210</v>
      </c>
      <c r="G167" s="2489">
        <v>5830.3834902919898</v>
      </c>
      <c r="H167" s="2488">
        <v>1.2</v>
      </c>
      <c r="I167" s="2487">
        <v>0.39267962000000001</v>
      </c>
    </row>
    <row r="168" spans="2:9" s="1995" customFormat="1" ht="15.2" customHeight="1">
      <c r="B168" s="2292"/>
      <c r="C168" s="2292"/>
      <c r="D168" s="1620">
        <v>2024</v>
      </c>
      <c r="E168" s="2490">
        <v>10827</v>
      </c>
      <c r="F168" s="2490">
        <v>8210</v>
      </c>
      <c r="G168" s="2489">
        <v>5830.3834902919898</v>
      </c>
      <c r="H168" s="2488">
        <v>1.2</v>
      </c>
      <c r="I168" s="2487">
        <v>0.39267962000000001</v>
      </c>
    </row>
    <row r="169" spans="2:9" s="1995" customFormat="1" ht="15.2" customHeight="1">
      <c r="B169" s="2292"/>
      <c r="C169" s="2292"/>
      <c r="D169" s="1620"/>
      <c r="E169" s="1605"/>
      <c r="F169" s="1605"/>
      <c r="G169" s="1991"/>
      <c r="H169" s="1608"/>
      <c r="I169" s="2487"/>
    </row>
    <row r="170" spans="2:9" s="1995" customFormat="1" ht="15.2" customHeight="1">
      <c r="B170" s="2291" t="s">
        <v>1691</v>
      </c>
      <c r="C170" s="2291"/>
      <c r="D170" s="1620">
        <v>2022</v>
      </c>
      <c r="E170" s="2490">
        <v>10827</v>
      </c>
      <c r="F170" s="2490">
        <v>8210</v>
      </c>
      <c r="G170" s="2489">
        <v>5830.3834902919898</v>
      </c>
      <c r="H170" s="2488">
        <v>1.2</v>
      </c>
      <c r="I170" s="2487">
        <v>0.39267962000000001</v>
      </c>
    </row>
    <row r="171" spans="2:9" s="1995" customFormat="1" ht="15.2" customHeight="1">
      <c r="B171" s="2292"/>
      <c r="C171" s="2292"/>
      <c r="D171" s="1620">
        <v>2024</v>
      </c>
      <c r="E171" s="2490">
        <v>10827</v>
      </c>
      <c r="F171" s="2490">
        <v>8210</v>
      </c>
      <c r="G171" s="2489">
        <v>5830.3834902919898</v>
      </c>
      <c r="H171" s="2488">
        <v>1.2</v>
      </c>
      <c r="I171" s="2487">
        <v>0.39267962000000001</v>
      </c>
    </row>
    <row r="172" spans="2:9" s="1995" customFormat="1" ht="15.2" customHeight="1">
      <c r="B172" s="2292"/>
      <c r="C172" s="2292"/>
      <c r="D172" s="1620"/>
      <c r="E172" s="1605"/>
      <c r="F172" s="2293"/>
      <c r="G172" s="1991"/>
      <c r="H172" s="1608"/>
      <c r="I172" s="2487"/>
    </row>
    <row r="173" spans="2:9" s="1995" customFormat="1" ht="15.2" customHeight="1">
      <c r="B173" s="2291" t="s">
        <v>1690</v>
      </c>
      <c r="C173" s="2291"/>
      <c r="D173" s="1620">
        <v>2022</v>
      </c>
      <c r="E173" s="2490">
        <v>10827</v>
      </c>
      <c r="F173" s="2490">
        <v>8210</v>
      </c>
      <c r="G173" s="2489">
        <v>5830.3834902919898</v>
      </c>
      <c r="H173" s="2488">
        <v>1.2</v>
      </c>
      <c r="I173" s="2487">
        <v>0.39267962000000001</v>
      </c>
    </row>
    <row r="174" spans="2:9" s="1995" customFormat="1" ht="15.2" customHeight="1">
      <c r="B174" s="2292"/>
      <c r="C174" s="2292"/>
      <c r="D174" s="1620">
        <v>2024</v>
      </c>
      <c r="E174" s="2490">
        <v>10827</v>
      </c>
      <c r="F174" s="2490">
        <v>8210</v>
      </c>
      <c r="G174" s="2489">
        <v>5830.3834902919898</v>
      </c>
      <c r="H174" s="2488">
        <v>1.2</v>
      </c>
      <c r="I174" s="2487">
        <v>0.39267962000000001</v>
      </c>
    </row>
    <row r="175" spans="2:9" s="1995" customFormat="1" ht="15.2" customHeight="1">
      <c r="B175" s="2292"/>
      <c r="C175" s="2292"/>
      <c r="D175" s="1620"/>
      <c r="E175" s="1992"/>
      <c r="F175" s="1992"/>
      <c r="G175" s="1991"/>
      <c r="H175" s="1608"/>
      <c r="I175" s="2487"/>
    </row>
    <row r="176" spans="2:9" s="1995" customFormat="1" ht="15.2" customHeight="1">
      <c r="B176" s="2291" t="s">
        <v>1689</v>
      </c>
      <c r="C176" s="2291"/>
      <c r="D176" s="1620">
        <v>2022</v>
      </c>
      <c r="E176" s="2490">
        <v>10827</v>
      </c>
      <c r="F176" s="2490">
        <v>8210</v>
      </c>
      <c r="G176" s="2489">
        <v>5830.3834902919898</v>
      </c>
      <c r="H176" s="2488">
        <v>1.2</v>
      </c>
      <c r="I176" s="2487">
        <v>0.39267962000000001</v>
      </c>
    </row>
    <row r="177" spans="2:9" s="1995" customFormat="1" ht="15.2" customHeight="1">
      <c r="B177" s="2292"/>
      <c r="C177" s="2292"/>
      <c r="D177" s="1620">
        <v>2024</v>
      </c>
      <c r="E177" s="2490">
        <v>10827</v>
      </c>
      <c r="F177" s="2490">
        <v>8210</v>
      </c>
      <c r="G177" s="2489">
        <v>5830.3834902919898</v>
      </c>
      <c r="H177" s="2488">
        <v>1.2</v>
      </c>
      <c r="I177" s="2487">
        <v>0.39267962000000001</v>
      </c>
    </row>
    <row r="178" spans="2:9" s="1995" customFormat="1" ht="15.2" customHeight="1">
      <c r="B178" s="2292"/>
      <c r="C178" s="2292"/>
      <c r="D178" s="1620"/>
      <c r="E178" s="1605"/>
      <c r="F178" s="1605"/>
      <c r="G178" s="1991"/>
      <c r="H178" s="1608"/>
      <c r="I178" s="2487"/>
    </row>
    <row r="179" spans="2:9" s="1995" customFormat="1" ht="15.2" customHeight="1">
      <c r="B179" s="2291" t="s">
        <v>1688</v>
      </c>
      <c r="C179" s="2291"/>
      <c r="D179" s="1620">
        <v>2022</v>
      </c>
      <c r="E179" s="2490">
        <v>10827</v>
      </c>
      <c r="F179" s="2490">
        <v>8210</v>
      </c>
      <c r="G179" s="2489">
        <v>5830.3834902919898</v>
      </c>
      <c r="H179" s="2488">
        <v>1.2</v>
      </c>
      <c r="I179" s="2487">
        <v>0.39267962000000001</v>
      </c>
    </row>
    <row r="180" spans="2:9" s="1995" customFormat="1" ht="15.2" customHeight="1">
      <c r="B180" s="2292"/>
      <c r="C180" s="2292"/>
      <c r="D180" s="1620">
        <v>2024</v>
      </c>
      <c r="E180" s="2490">
        <v>10827</v>
      </c>
      <c r="F180" s="2490">
        <v>8210</v>
      </c>
      <c r="G180" s="2489">
        <v>5830.3834902919898</v>
      </c>
      <c r="H180" s="2488">
        <v>1.2</v>
      </c>
      <c r="I180" s="2487">
        <v>0.39267962000000001</v>
      </c>
    </row>
    <row r="181" spans="2:9" s="1995" customFormat="1" ht="15.2" customHeight="1">
      <c r="B181" s="2292"/>
      <c r="C181" s="2292"/>
      <c r="D181" s="1620"/>
      <c r="E181" s="1605"/>
      <c r="F181" s="2293"/>
      <c r="G181" s="1991"/>
      <c r="H181" s="1608"/>
      <c r="I181" s="2487"/>
    </row>
    <row r="182" spans="2:9" s="1995" customFormat="1" ht="15.2" customHeight="1">
      <c r="B182" s="2291" t="s">
        <v>1687</v>
      </c>
      <c r="C182" s="2291"/>
      <c r="D182" s="1620">
        <v>2022</v>
      </c>
      <c r="E182" s="2490">
        <v>10827</v>
      </c>
      <c r="F182" s="2490">
        <v>8210</v>
      </c>
      <c r="G182" s="2489">
        <v>5830.3834902919898</v>
      </c>
      <c r="H182" s="2488">
        <v>1.2</v>
      </c>
      <c r="I182" s="2487">
        <v>0.39267962000000001</v>
      </c>
    </row>
    <row r="183" spans="2:9" s="1995" customFormat="1" ht="15.2" customHeight="1">
      <c r="B183" s="2292"/>
      <c r="C183" s="2292"/>
      <c r="D183" s="1620">
        <v>2024</v>
      </c>
      <c r="E183" s="2490">
        <v>10827</v>
      </c>
      <c r="F183" s="2490">
        <v>8210</v>
      </c>
      <c r="G183" s="2489">
        <v>5830.3834902919898</v>
      </c>
      <c r="H183" s="2488">
        <v>1.2</v>
      </c>
      <c r="I183" s="2487">
        <v>0.39267962000000001</v>
      </c>
    </row>
    <row r="184" spans="2:9" s="1995" customFormat="1" ht="15.2" customHeight="1">
      <c r="B184" s="2292"/>
      <c r="C184" s="2292"/>
      <c r="D184" s="1620"/>
      <c r="E184" s="2293"/>
      <c r="F184" s="1992"/>
      <c r="G184" s="1991"/>
      <c r="H184" s="1608"/>
      <c r="I184" s="2487"/>
    </row>
    <row r="185" spans="2:9" s="1995" customFormat="1" ht="15.2" customHeight="1">
      <c r="B185" s="2291" t="s">
        <v>1686</v>
      </c>
      <c r="C185" s="2291"/>
      <c r="D185" s="1620">
        <v>2022</v>
      </c>
      <c r="E185" s="2490">
        <v>10827</v>
      </c>
      <c r="F185" s="2490">
        <v>8210</v>
      </c>
      <c r="G185" s="2489">
        <v>5830.3834902919898</v>
      </c>
      <c r="H185" s="2488">
        <v>1.2</v>
      </c>
      <c r="I185" s="2487">
        <v>0.39267962000000001</v>
      </c>
    </row>
    <row r="186" spans="2:9" s="1995" customFormat="1" ht="15.2" customHeight="1">
      <c r="B186" s="2292"/>
      <c r="C186" s="2292"/>
      <c r="D186" s="1620">
        <v>2024</v>
      </c>
      <c r="E186" s="2490">
        <v>10827</v>
      </c>
      <c r="F186" s="2490">
        <v>8210</v>
      </c>
      <c r="G186" s="2489">
        <v>5830.3834902919898</v>
      </c>
      <c r="H186" s="2488">
        <v>1.2</v>
      </c>
      <c r="I186" s="2487">
        <v>0.39267962000000001</v>
      </c>
    </row>
    <row r="187" spans="2:9" s="1995" customFormat="1" ht="15.2" customHeight="1">
      <c r="B187" s="2292"/>
      <c r="C187" s="2292"/>
      <c r="D187" s="1620"/>
      <c r="E187" s="1605"/>
      <c r="F187" s="1605"/>
      <c r="G187" s="1991"/>
      <c r="H187" s="1608"/>
      <c r="I187" s="2487"/>
    </row>
    <row r="188" spans="2:9" s="1995" customFormat="1" ht="15.2" customHeight="1">
      <c r="B188" s="2291" t="s">
        <v>1867</v>
      </c>
      <c r="C188" s="2291"/>
      <c r="D188" s="1620">
        <v>2022</v>
      </c>
      <c r="E188" s="2490">
        <v>10827</v>
      </c>
      <c r="F188" s="2490">
        <v>8210</v>
      </c>
      <c r="G188" s="2489">
        <v>5830.3834902919898</v>
      </c>
      <c r="H188" s="2488">
        <v>1.2</v>
      </c>
      <c r="I188" s="2487">
        <v>0.39267962000000001</v>
      </c>
    </row>
    <row r="189" spans="2:9" s="1995" customFormat="1" ht="15.2" customHeight="1">
      <c r="B189" s="2292"/>
      <c r="C189" s="2292"/>
      <c r="D189" s="1620">
        <v>2024</v>
      </c>
      <c r="E189" s="2490">
        <v>10827</v>
      </c>
      <c r="F189" s="2490">
        <v>8210</v>
      </c>
      <c r="G189" s="2489">
        <v>5830.3834902919898</v>
      </c>
      <c r="H189" s="2488">
        <v>1.2</v>
      </c>
      <c r="I189" s="2487">
        <v>0.39267962000000001</v>
      </c>
    </row>
    <row r="190" spans="2:9" s="1995" customFormat="1" ht="15.2" customHeight="1">
      <c r="B190" s="2292"/>
      <c r="C190" s="2292"/>
      <c r="D190" s="1620"/>
      <c r="E190" s="1605"/>
      <c r="F190" s="2293"/>
      <c r="G190" s="1991"/>
      <c r="H190" s="1608"/>
      <c r="I190" s="2487"/>
    </row>
    <row r="191" spans="2:9" s="1995" customFormat="1" ht="15.2" customHeight="1">
      <c r="B191" s="2291" t="s">
        <v>1578</v>
      </c>
      <c r="C191" s="2291"/>
      <c r="D191" s="1620">
        <v>2022</v>
      </c>
      <c r="E191" s="2490">
        <v>10827</v>
      </c>
      <c r="F191" s="2490">
        <v>8210</v>
      </c>
      <c r="G191" s="2489">
        <v>5830.3834902919898</v>
      </c>
      <c r="H191" s="2488">
        <v>1.2</v>
      </c>
      <c r="I191" s="2487">
        <v>0.39267962000000001</v>
      </c>
    </row>
    <row r="192" spans="2:9" s="1995" customFormat="1" ht="15.2" customHeight="1">
      <c r="B192" s="2292"/>
      <c r="C192" s="2292"/>
      <c r="D192" s="1620">
        <v>2024</v>
      </c>
      <c r="E192" s="2490">
        <v>10827</v>
      </c>
      <c r="F192" s="2490">
        <v>8210</v>
      </c>
      <c r="G192" s="2489">
        <v>5830.3834902919898</v>
      </c>
      <c r="H192" s="2488">
        <v>1.2</v>
      </c>
      <c r="I192" s="2487">
        <v>0.39267962000000001</v>
      </c>
    </row>
    <row r="193" spans="2:9" s="1995" customFormat="1" ht="15.2" customHeight="1">
      <c r="B193" s="2292"/>
      <c r="C193" s="2292"/>
      <c r="D193" s="1620"/>
      <c r="E193" s="1997"/>
      <c r="F193" s="2293"/>
      <c r="G193" s="2293"/>
      <c r="H193" s="1608"/>
      <c r="I193" s="2487"/>
    </row>
    <row r="194" spans="2:9" s="1995" customFormat="1" ht="15.2" customHeight="1">
      <c r="B194" s="2291" t="s">
        <v>1866</v>
      </c>
      <c r="C194" s="2291"/>
      <c r="D194" s="1620">
        <v>2022</v>
      </c>
      <c r="E194" s="2490">
        <v>10827</v>
      </c>
      <c r="F194" s="2490">
        <v>8210</v>
      </c>
      <c r="G194" s="2489">
        <v>5830.3834902919898</v>
      </c>
      <c r="H194" s="2488">
        <v>1.2</v>
      </c>
      <c r="I194" s="2487">
        <v>0.39267962000000001</v>
      </c>
    </row>
    <row r="195" spans="2:9" s="1995" customFormat="1" ht="15.2" customHeight="1">
      <c r="B195" s="2292"/>
      <c r="C195" s="2292"/>
      <c r="D195" s="1620">
        <v>2024</v>
      </c>
      <c r="E195" s="2490">
        <v>10827</v>
      </c>
      <c r="F195" s="2490">
        <v>8210</v>
      </c>
      <c r="G195" s="2489">
        <v>5830.3834902919898</v>
      </c>
      <c r="H195" s="2488">
        <v>1.2</v>
      </c>
      <c r="I195" s="2487">
        <v>0.39267962000000001</v>
      </c>
    </row>
    <row r="196" spans="2:9" s="1995" customFormat="1" ht="15.2" customHeight="1">
      <c r="B196" s="2292"/>
      <c r="C196" s="2292"/>
      <c r="D196" s="1620"/>
      <c r="E196" s="1605"/>
      <c r="F196" s="1605"/>
      <c r="G196" s="1991"/>
      <c r="H196" s="1608"/>
      <c r="I196" s="2487"/>
    </row>
    <row r="197" spans="2:9" s="1995" customFormat="1" ht="15.2" customHeight="1">
      <c r="B197" s="2291" t="s">
        <v>1865</v>
      </c>
      <c r="C197" s="2291"/>
      <c r="D197" s="1620">
        <v>2022</v>
      </c>
      <c r="E197" s="2490">
        <v>10827</v>
      </c>
      <c r="F197" s="2490">
        <v>8210</v>
      </c>
      <c r="G197" s="2489">
        <v>5830.3834902919898</v>
      </c>
      <c r="H197" s="2488">
        <v>1.2</v>
      </c>
      <c r="I197" s="2487">
        <v>0.39267962000000001</v>
      </c>
    </row>
    <row r="198" spans="2:9" s="1995" customFormat="1" ht="15.2" customHeight="1">
      <c r="B198" s="2292"/>
      <c r="C198" s="2292"/>
      <c r="D198" s="1620">
        <v>2024</v>
      </c>
      <c r="E198" s="2490">
        <v>10827</v>
      </c>
      <c r="F198" s="2490">
        <v>8210</v>
      </c>
      <c r="G198" s="2489">
        <v>5830.3834902919898</v>
      </c>
      <c r="H198" s="2488">
        <v>1.2</v>
      </c>
      <c r="I198" s="2487">
        <v>0.39267962000000001</v>
      </c>
    </row>
    <row r="199" spans="2:9" s="1995" customFormat="1" ht="15.2" customHeight="1">
      <c r="B199" s="2292"/>
      <c r="C199" s="2292"/>
      <c r="D199" s="1620"/>
      <c r="E199" s="1605"/>
      <c r="F199" s="2293"/>
      <c r="G199" s="1991"/>
      <c r="H199" s="1608"/>
      <c r="I199" s="2487"/>
    </row>
    <row r="200" spans="2:9" s="1995" customFormat="1" ht="15.2" customHeight="1">
      <c r="B200" s="2291" t="s">
        <v>1576</v>
      </c>
      <c r="C200" s="2291"/>
      <c r="D200" s="1620">
        <v>2022</v>
      </c>
      <c r="E200" s="2490">
        <v>10827</v>
      </c>
      <c r="F200" s="2490">
        <v>8210</v>
      </c>
      <c r="G200" s="2489">
        <v>5830.3834902919898</v>
      </c>
      <c r="H200" s="2488">
        <v>1.2</v>
      </c>
      <c r="I200" s="2487">
        <v>0.39267962000000001</v>
      </c>
    </row>
    <row r="201" spans="2:9" s="1995" customFormat="1" ht="15.2" customHeight="1">
      <c r="B201" s="2292"/>
      <c r="C201" s="2292"/>
      <c r="D201" s="1620">
        <v>2024</v>
      </c>
      <c r="E201" s="2490">
        <v>10827</v>
      </c>
      <c r="F201" s="2490">
        <v>8210</v>
      </c>
      <c r="G201" s="2489">
        <v>5830.3834902919898</v>
      </c>
      <c r="H201" s="2488">
        <v>1.2</v>
      </c>
      <c r="I201" s="2487">
        <v>0.39267962000000001</v>
      </c>
    </row>
    <row r="202" spans="2:9" s="1995" customFormat="1" ht="15.2" customHeight="1">
      <c r="B202" s="2292"/>
      <c r="C202" s="2292"/>
      <c r="D202" s="1620"/>
      <c r="E202" s="1992"/>
      <c r="F202" s="1997"/>
      <c r="G202" s="1605"/>
      <c r="H202" s="1608"/>
      <c r="I202" s="2487"/>
    </row>
    <row r="203" spans="2:9" s="1995" customFormat="1" ht="15.2" customHeight="1">
      <c r="B203" s="2291" t="s">
        <v>1864</v>
      </c>
      <c r="C203" s="2291"/>
      <c r="D203" s="1620">
        <v>2022</v>
      </c>
      <c r="E203" s="2490">
        <v>10827</v>
      </c>
      <c r="F203" s="2490">
        <v>8210</v>
      </c>
      <c r="G203" s="2489">
        <v>5830.3834902919898</v>
      </c>
      <c r="H203" s="2488">
        <v>1.2</v>
      </c>
      <c r="I203" s="2487">
        <v>0.39267962000000001</v>
      </c>
    </row>
    <row r="204" spans="2:9" s="1995" customFormat="1" ht="15.2" customHeight="1">
      <c r="B204" s="2292"/>
      <c r="C204" s="2292"/>
      <c r="D204" s="1620">
        <v>2024</v>
      </c>
      <c r="E204" s="2490">
        <v>10827</v>
      </c>
      <c r="F204" s="2490">
        <v>8210</v>
      </c>
      <c r="G204" s="2489">
        <v>5830.3834902919898</v>
      </c>
      <c r="H204" s="2488">
        <v>1.2</v>
      </c>
      <c r="I204" s="2487">
        <v>0.39267962000000001</v>
      </c>
    </row>
    <row r="205" spans="2:9" s="1995" customFormat="1" ht="15.2" customHeight="1">
      <c r="B205" s="2292"/>
      <c r="C205" s="2292"/>
      <c r="D205" s="1620"/>
      <c r="E205" s="1605"/>
      <c r="F205" s="1605"/>
      <c r="G205" s="1991"/>
      <c r="H205" s="1608"/>
      <c r="I205" s="2487"/>
    </row>
    <row r="206" spans="2:9" s="1995" customFormat="1" ht="15.2" customHeight="1">
      <c r="B206" s="2291" t="s">
        <v>1682</v>
      </c>
      <c r="C206" s="2291"/>
      <c r="D206" s="1620">
        <v>2022</v>
      </c>
      <c r="E206" s="2490">
        <v>10827</v>
      </c>
      <c r="F206" s="2490">
        <v>8210</v>
      </c>
      <c r="G206" s="2489">
        <v>5830.3834902919898</v>
      </c>
      <c r="H206" s="2488">
        <v>1.2</v>
      </c>
      <c r="I206" s="2487">
        <v>0.39267962000000001</v>
      </c>
    </row>
    <row r="207" spans="2:9" s="1995" customFormat="1" ht="15.2" customHeight="1">
      <c r="B207" s="2292"/>
      <c r="C207" s="2292"/>
      <c r="D207" s="1620">
        <v>2024</v>
      </c>
      <c r="E207" s="2490">
        <v>10827</v>
      </c>
      <c r="F207" s="2490">
        <v>8210</v>
      </c>
      <c r="G207" s="2489">
        <v>5830.3834902919898</v>
      </c>
      <c r="H207" s="2488">
        <v>1.2</v>
      </c>
      <c r="I207" s="2487">
        <v>0.39267962000000001</v>
      </c>
    </row>
    <row r="208" spans="2:9" s="1995" customFormat="1" ht="15.2" customHeight="1">
      <c r="B208" s="2292"/>
      <c r="C208" s="2292"/>
      <c r="D208" s="1620"/>
      <c r="E208" s="1605"/>
      <c r="F208" s="2293"/>
      <c r="G208" s="1991"/>
      <c r="H208" s="1608"/>
      <c r="I208" s="2487"/>
    </row>
    <row r="209" spans="2:9" s="1995" customFormat="1" ht="15.2" customHeight="1">
      <c r="B209" s="2291" t="s">
        <v>1685</v>
      </c>
      <c r="C209" s="2291"/>
      <c r="D209" s="1620">
        <v>2022</v>
      </c>
      <c r="E209" s="2490">
        <v>10827</v>
      </c>
      <c r="F209" s="2490">
        <v>8210</v>
      </c>
      <c r="G209" s="2489">
        <v>5830.3834902919898</v>
      </c>
      <c r="H209" s="2488">
        <v>1.2</v>
      </c>
      <c r="I209" s="2487">
        <v>0.39267962000000001</v>
      </c>
    </row>
    <row r="210" spans="2:9" s="1995" customFormat="1" ht="15.2" customHeight="1">
      <c r="B210" s="2292"/>
      <c r="C210" s="2292"/>
      <c r="D210" s="1620">
        <v>2024</v>
      </c>
      <c r="E210" s="2490">
        <v>10827</v>
      </c>
      <c r="F210" s="2490">
        <v>8210</v>
      </c>
      <c r="G210" s="2489">
        <v>5830.3834902919898</v>
      </c>
      <c r="H210" s="2488">
        <v>1.2</v>
      </c>
      <c r="I210" s="2487">
        <v>0.39267962000000001</v>
      </c>
    </row>
    <row r="211" spans="2:9" s="1995" customFormat="1" ht="15.2" customHeight="1">
      <c r="B211" s="2292"/>
      <c r="C211" s="2292"/>
      <c r="D211" s="1620"/>
      <c r="E211" s="1997"/>
      <c r="F211" s="1992"/>
      <c r="G211" s="1992"/>
      <c r="H211" s="1608"/>
      <c r="I211" s="2487"/>
    </row>
    <row r="212" spans="2:9" s="1995" customFormat="1" ht="15.2" customHeight="1">
      <c r="B212" s="2291" t="s">
        <v>1684</v>
      </c>
      <c r="C212" s="2291"/>
      <c r="D212" s="1620">
        <v>2022</v>
      </c>
      <c r="E212" s="2490">
        <v>10827</v>
      </c>
      <c r="F212" s="2490">
        <v>8210</v>
      </c>
      <c r="G212" s="2489">
        <v>5830.3834902919898</v>
      </c>
      <c r="H212" s="2488">
        <v>1.2</v>
      </c>
      <c r="I212" s="2487">
        <v>0.39267962000000001</v>
      </c>
    </row>
    <row r="213" spans="2:9" s="1995" customFormat="1" ht="15.2" customHeight="1">
      <c r="B213" s="2292"/>
      <c r="C213" s="2292"/>
      <c r="D213" s="1620">
        <v>2024</v>
      </c>
      <c r="E213" s="2490">
        <v>10827</v>
      </c>
      <c r="F213" s="2490">
        <v>8210</v>
      </c>
      <c r="G213" s="2489">
        <v>5830.3834902919898</v>
      </c>
      <c r="H213" s="2488">
        <v>1.2</v>
      </c>
      <c r="I213" s="2487">
        <v>0.39267962000000001</v>
      </c>
    </row>
    <row r="214" spans="2:9" s="1995" customFormat="1" ht="15.2" customHeight="1">
      <c r="B214" s="2292"/>
      <c r="C214" s="2292"/>
      <c r="D214" s="1620"/>
      <c r="E214" s="1605"/>
      <c r="F214" s="2293"/>
      <c r="G214" s="1991"/>
      <c r="H214" s="1608"/>
      <c r="I214" s="2487"/>
    </row>
    <row r="215" spans="2:9" s="1995" customFormat="1" ht="15.2" customHeight="1">
      <c r="B215" s="2291" t="s">
        <v>1683</v>
      </c>
      <c r="C215" s="2291"/>
      <c r="D215" s="1620">
        <v>2022</v>
      </c>
      <c r="E215" s="2490">
        <v>10827</v>
      </c>
      <c r="F215" s="2490">
        <v>8210</v>
      </c>
      <c r="G215" s="2489">
        <v>5830.3834902919898</v>
      </c>
      <c r="H215" s="2488">
        <v>1.2</v>
      </c>
      <c r="I215" s="2487">
        <v>0.39267962000000001</v>
      </c>
    </row>
    <row r="216" spans="2:9" s="222" customFormat="1" ht="15.2" customHeight="1">
      <c r="B216" s="2491"/>
      <c r="C216" s="2491"/>
      <c r="D216" s="1620">
        <v>2024</v>
      </c>
      <c r="E216" s="2490">
        <v>10827</v>
      </c>
      <c r="F216" s="2490">
        <v>8210</v>
      </c>
      <c r="G216" s="2489">
        <v>5830.3834902919898</v>
      </c>
      <c r="H216" s="2488">
        <v>1.2</v>
      </c>
      <c r="I216" s="2487">
        <v>0.39267962000000001</v>
      </c>
    </row>
    <row r="217" spans="2:9" s="222" customFormat="1" ht="14.25" thickBot="1">
      <c r="B217" s="242"/>
      <c r="C217" s="242"/>
      <c r="D217" s="242"/>
      <c r="E217" s="2486"/>
      <c r="F217" s="2486"/>
      <c r="G217" s="2485"/>
      <c r="H217" s="2484"/>
      <c r="I217" s="2483"/>
    </row>
    <row r="218" spans="2:9" s="222" customFormat="1" ht="13.5">
      <c r="E218" s="2481"/>
      <c r="F218" s="2481"/>
      <c r="G218" s="243"/>
      <c r="I218" s="2482" t="s">
        <v>0</v>
      </c>
    </row>
    <row r="219" spans="2:9" s="222" customFormat="1" ht="13.5">
      <c r="E219" s="2481"/>
      <c r="F219" s="2481"/>
      <c r="G219" s="243"/>
      <c r="I219" s="2480" t="s">
        <v>1</v>
      </c>
    </row>
  </sheetData>
  <mergeCells count="9">
    <mergeCell ref="E153:F154"/>
    <mergeCell ref="G153:G154"/>
    <mergeCell ref="H153:I154"/>
    <mergeCell ref="H4:I5"/>
    <mergeCell ref="E81:F82"/>
    <mergeCell ref="G81:G82"/>
    <mergeCell ref="H81:I82"/>
    <mergeCell ref="E4:F5"/>
    <mergeCell ref="G4:G5"/>
  </mergeCells>
  <pageMargins left="0.55118110236220474" right="0.55118110236220474" top="0.55118110236220474" bottom="0.55118110236220474" header="0.31496062992125984" footer="0.31496062992125984"/>
  <pageSetup paperSize="9" scale="62" fitToWidth="0" fitToHeight="0" orientation="portrait" r:id="rId1"/>
  <rowBreaks count="2" manualBreakCount="2">
    <brk id="76" max="16383" man="1"/>
    <brk id="148" max="8" man="1"/>
  </rowBreaks>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5903F-4B15-4110-8992-313E65CB9562}">
  <dimension ref="A1:W137"/>
  <sheetViews>
    <sheetView view="pageBreakPreview" zoomScale="90" zoomScaleNormal="100" zoomScaleSheetLayoutView="90" workbookViewId="0">
      <selection activeCell="E15" sqref="E15"/>
    </sheetView>
  </sheetViews>
  <sheetFormatPr defaultColWidth="8.85546875" defaultRowHeight="15"/>
  <cols>
    <col min="1" max="1" width="3.85546875" style="2520" customWidth="1"/>
    <col min="2" max="2" width="8.85546875" style="2520" customWidth="1"/>
    <col min="3" max="3" width="22.42578125" style="2520" customWidth="1"/>
    <col min="4" max="4" width="8.85546875" style="2520"/>
    <col min="5" max="5" width="2.85546875" style="2520" customWidth="1"/>
    <col min="6" max="6" width="8.85546875" style="2520"/>
    <col min="7" max="7" width="4.7109375" style="2520" customWidth="1"/>
    <col min="8" max="8" width="8.85546875" style="2520"/>
    <col min="9" max="9" width="2.28515625" style="2520" customWidth="1"/>
    <col min="10" max="10" width="8.85546875" style="2520"/>
    <col min="11" max="11" width="2.85546875" style="2520" customWidth="1"/>
    <col min="12" max="12" width="10.140625" style="2520" customWidth="1"/>
    <col min="13" max="13" width="3.7109375" style="2520" customWidth="1"/>
    <col min="14" max="14" width="8.85546875" style="2520"/>
    <col min="15" max="15" width="2.85546875" style="2520" customWidth="1"/>
    <col min="16" max="16" width="8.85546875" style="2520"/>
    <col min="17" max="17" width="3.140625" style="2520" customWidth="1"/>
    <col min="18" max="18" width="10.140625" style="2520" customWidth="1"/>
    <col min="19" max="16384" width="8.85546875" style="2520"/>
  </cols>
  <sheetData>
    <row r="1" spans="1:20" s="2521" customFormat="1" ht="7.5" customHeight="1"/>
    <row r="2" spans="1:20" s="2521" customFormat="1" ht="7.5" customHeight="1"/>
    <row r="3" spans="1:20" s="2521" customFormat="1" ht="17.25" customHeight="1">
      <c r="A3" s="2540"/>
      <c r="B3" s="2562" t="s">
        <v>1936</v>
      </c>
      <c r="C3" s="2916" t="s">
        <v>1939</v>
      </c>
      <c r="D3" s="2916"/>
      <c r="E3" s="2916"/>
      <c r="F3" s="2916"/>
      <c r="G3" s="2916"/>
      <c r="H3" s="2916"/>
      <c r="I3" s="2916"/>
      <c r="J3" s="2916"/>
      <c r="K3" s="2916"/>
      <c r="L3" s="2916"/>
      <c r="M3" s="2916"/>
      <c r="N3" s="2916"/>
      <c r="O3" s="2916"/>
      <c r="P3" s="2916"/>
      <c r="Q3" s="2916"/>
      <c r="R3" s="2916"/>
      <c r="S3" s="2541"/>
    </row>
    <row r="4" spans="1:20" s="2521" customFormat="1" ht="17.25" customHeight="1">
      <c r="A4" s="2541"/>
      <c r="B4" s="2561" t="s">
        <v>1934</v>
      </c>
      <c r="C4" s="2917" t="s">
        <v>1938</v>
      </c>
      <c r="D4" s="2917"/>
      <c r="E4" s="2917"/>
      <c r="F4" s="2917"/>
      <c r="G4" s="2917"/>
      <c r="H4" s="2917"/>
      <c r="I4" s="2917"/>
      <c r="J4" s="2917"/>
      <c r="K4" s="2917"/>
      <c r="L4" s="2917"/>
      <c r="M4" s="2917"/>
      <c r="N4" s="2917"/>
      <c r="O4" s="2917"/>
      <c r="P4" s="2917"/>
      <c r="Q4" s="2917"/>
      <c r="R4" s="2917"/>
      <c r="S4" s="2541"/>
    </row>
    <row r="5" spans="1:20" s="2521" customFormat="1">
      <c r="A5" s="2541"/>
      <c r="B5" s="2561"/>
      <c r="C5" s="2917"/>
      <c r="D5" s="2917"/>
      <c r="E5" s="2917"/>
      <c r="F5" s="2917"/>
      <c r="G5" s="2917"/>
      <c r="H5" s="2917"/>
      <c r="I5" s="2917"/>
      <c r="J5" s="2917"/>
      <c r="K5" s="2917"/>
      <c r="L5" s="2917"/>
      <c r="M5" s="2917"/>
      <c r="N5" s="2917"/>
      <c r="O5" s="2917"/>
      <c r="P5" s="2917"/>
      <c r="Q5" s="2917"/>
      <c r="R5" s="2917"/>
      <c r="S5" s="2541"/>
    </row>
    <row r="6" spans="1:20" s="2521" customFormat="1" ht="15.2" customHeight="1" thickBot="1">
      <c r="A6" s="2560"/>
      <c r="B6" s="2560"/>
      <c r="C6" s="2560"/>
      <c r="D6" s="2560"/>
      <c r="E6" s="2560"/>
      <c r="F6" s="2560"/>
      <c r="G6" s="2560"/>
      <c r="H6" s="2560"/>
      <c r="I6" s="2560"/>
      <c r="J6" s="2560"/>
      <c r="K6" s="2560"/>
      <c r="L6" s="2560"/>
      <c r="M6" s="2560"/>
      <c r="N6" s="2560"/>
      <c r="O6" s="2560"/>
      <c r="P6" s="2560"/>
      <c r="Q6" s="2560"/>
      <c r="R6" s="2560"/>
      <c r="S6" s="2541"/>
    </row>
    <row r="7" spans="1:20" s="2521" customFormat="1" ht="2.65" customHeight="1">
      <c r="A7" s="2541"/>
      <c r="B7" s="2541"/>
      <c r="C7" s="2541"/>
      <c r="D7" s="2541"/>
      <c r="E7" s="2541"/>
      <c r="F7" s="2541"/>
      <c r="G7" s="2541"/>
      <c r="H7" s="2541"/>
      <c r="I7" s="2541"/>
      <c r="J7" s="2541"/>
      <c r="K7" s="2541"/>
      <c r="L7" s="2541"/>
      <c r="M7" s="2541"/>
      <c r="N7" s="2541"/>
      <c r="O7" s="2541"/>
      <c r="P7" s="2541"/>
      <c r="Q7" s="2541"/>
      <c r="R7" s="2541"/>
      <c r="S7" s="2541"/>
    </row>
    <row r="8" spans="1:20" s="2521" customFormat="1" ht="25.15" customHeight="1">
      <c r="A8" s="2551"/>
      <c r="B8" s="2918" t="s">
        <v>1932</v>
      </c>
      <c r="C8" s="2918"/>
      <c r="D8" s="2920" t="s">
        <v>1470</v>
      </c>
      <c r="E8" s="2920"/>
      <c r="F8" s="2920"/>
      <c r="G8" s="2920"/>
      <c r="H8" s="2920"/>
      <c r="I8" s="2920"/>
      <c r="J8" s="2920"/>
      <c r="K8" s="2920"/>
      <c r="L8" s="2920"/>
      <c r="M8" s="2920"/>
      <c r="N8" s="2920"/>
      <c r="O8" s="2920"/>
      <c r="P8" s="2920"/>
      <c r="Q8" s="2920"/>
      <c r="R8" s="2920"/>
      <c r="S8" s="2553"/>
      <c r="T8" s="2549"/>
    </row>
    <row r="9" spans="1:20" s="2521" customFormat="1" ht="5.25" customHeight="1">
      <c r="A9" s="2551"/>
      <c r="B9" s="2918"/>
      <c r="C9" s="2918"/>
      <c r="D9" s="2528"/>
      <c r="E9" s="2528"/>
      <c r="F9" s="2528"/>
      <c r="G9" s="2528"/>
      <c r="H9" s="2528"/>
      <c r="I9" s="2528"/>
      <c r="J9" s="2528"/>
      <c r="K9" s="2528"/>
      <c r="L9" s="2528"/>
      <c r="M9" s="2528"/>
      <c r="N9" s="2528"/>
      <c r="O9" s="2528"/>
      <c r="P9" s="2528"/>
      <c r="Q9" s="2528"/>
      <c r="R9" s="2528"/>
      <c r="S9" s="2553"/>
      <c r="T9" s="2549"/>
    </row>
    <row r="10" spans="1:20" s="2521" customFormat="1">
      <c r="A10" s="2551"/>
      <c r="B10" s="2918"/>
      <c r="C10" s="2918"/>
      <c r="D10" s="2921" t="s">
        <v>1461</v>
      </c>
      <c r="E10" s="2559"/>
      <c r="F10" s="2558" t="s">
        <v>1493</v>
      </c>
      <c r="G10" s="2559"/>
      <c r="H10" s="2558" t="s">
        <v>1492</v>
      </c>
      <c r="I10" s="2559"/>
      <c r="J10" s="2558" t="s">
        <v>1931</v>
      </c>
      <c r="K10" s="2559"/>
      <c r="L10" s="2558" t="s">
        <v>1490</v>
      </c>
      <c r="M10" s="2559"/>
      <c r="N10" s="2558" t="s">
        <v>1489</v>
      </c>
      <c r="O10" s="2559"/>
      <c r="P10" s="2921" t="s">
        <v>1451</v>
      </c>
      <c r="Q10" s="2559"/>
      <c r="R10" s="2558" t="s">
        <v>1488</v>
      </c>
      <c r="S10" s="2553"/>
      <c r="T10" s="2549"/>
    </row>
    <row r="11" spans="1:20" s="2521" customFormat="1" ht="30" customHeight="1" thickBot="1">
      <c r="A11" s="2557"/>
      <c r="B11" s="2919"/>
      <c r="C11" s="2919"/>
      <c r="D11" s="2922"/>
      <c r="E11" s="2555"/>
      <c r="F11" s="2554" t="s">
        <v>1487</v>
      </c>
      <c r="G11" s="2555"/>
      <c r="H11" s="2554" t="s">
        <v>1486</v>
      </c>
      <c r="I11" s="2555"/>
      <c r="J11" s="2554" t="s">
        <v>1485</v>
      </c>
      <c r="K11" s="2555"/>
      <c r="L11" s="2556" t="s">
        <v>1484</v>
      </c>
      <c r="M11" s="2555"/>
      <c r="N11" s="2554" t="s">
        <v>1483</v>
      </c>
      <c r="O11" s="2555"/>
      <c r="P11" s="2922"/>
      <c r="Q11" s="2555"/>
      <c r="R11" s="2554" t="s">
        <v>1482</v>
      </c>
      <c r="S11" s="2553"/>
      <c r="T11" s="2549"/>
    </row>
    <row r="12" spans="1:20" s="2521" customFormat="1">
      <c r="A12" s="2541"/>
      <c r="B12" s="2552"/>
      <c r="C12" s="2549"/>
      <c r="D12" s="2549"/>
      <c r="E12" s="2549"/>
      <c r="F12" s="2551"/>
      <c r="G12" s="2551"/>
      <c r="H12" s="2551"/>
      <c r="I12" s="2551"/>
      <c r="J12" s="2550"/>
      <c r="K12" s="2550"/>
      <c r="L12" s="2550"/>
      <c r="M12" s="2550"/>
      <c r="N12" s="2550"/>
      <c r="O12" s="2550"/>
      <c r="P12" s="2550"/>
      <c r="Q12" s="2550"/>
      <c r="R12" s="2550"/>
      <c r="S12" s="2541"/>
      <c r="T12" s="2549"/>
    </row>
    <row r="13" spans="1:20" s="2521" customFormat="1" ht="15.2" customHeight="1">
      <c r="A13" s="2541"/>
      <c r="B13" s="2566" t="s">
        <v>235</v>
      </c>
      <c r="C13" s="2549"/>
      <c r="D13" s="2564">
        <v>41</v>
      </c>
      <c r="E13" s="1565"/>
      <c r="F13" s="2564">
        <v>41</v>
      </c>
      <c r="G13" s="1565"/>
      <c r="H13" s="2564">
        <v>41</v>
      </c>
      <c r="I13" s="1565"/>
      <c r="J13" s="2564">
        <v>29</v>
      </c>
      <c r="K13" s="2543"/>
      <c r="L13" s="2564">
        <v>29</v>
      </c>
      <c r="M13" s="2543"/>
      <c r="N13" s="2564">
        <v>41</v>
      </c>
      <c r="O13" s="2543"/>
      <c r="P13" s="2564">
        <v>66</v>
      </c>
      <c r="Q13" s="2543"/>
      <c r="R13" s="2564">
        <v>29</v>
      </c>
      <c r="S13" s="2541"/>
      <c r="T13" s="2549"/>
    </row>
    <row r="14" spans="1:20" s="2521" customFormat="1" ht="15.2" customHeight="1">
      <c r="A14" s="2541"/>
      <c r="B14" s="2541"/>
      <c r="C14" s="2549"/>
      <c r="D14" s="2564"/>
      <c r="E14" s="2565"/>
      <c r="F14" s="2564"/>
      <c r="G14" s="2564"/>
      <c r="H14" s="2564"/>
      <c r="I14" s="2564"/>
      <c r="J14" s="2564"/>
      <c r="K14" s="2543"/>
      <c r="L14" s="2564"/>
      <c r="M14" s="2543"/>
      <c r="N14" s="2564"/>
      <c r="O14" s="2543"/>
      <c r="P14" s="2564"/>
      <c r="Q14" s="2543"/>
      <c r="R14" s="2564"/>
      <c r="S14" s="2541"/>
      <c r="T14" s="2549"/>
    </row>
    <row r="15" spans="1:20" s="1995" customFormat="1" ht="12.95" customHeight="1">
      <c r="B15" s="2544" t="s">
        <v>1720</v>
      </c>
      <c r="C15" s="1996"/>
      <c r="D15" s="2543">
        <v>41</v>
      </c>
      <c r="E15" s="1565"/>
      <c r="F15" s="2543">
        <v>41</v>
      </c>
      <c r="G15" s="1565"/>
      <c r="H15" s="2543">
        <v>41</v>
      </c>
      <c r="I15" s="1565"/>
      <c r="J15" s="2543">
        <v>29</v>
      </c>
      <c r="K15" s="2543"/>
      <c r="L15" s="2543">
        <v>29</v>
      </c>
      <c r="M15" s="2543"/>
      <c r="N15" s="2543">
        <v>41</v>
      </c>
      <c r="O15" s="2543"/>
      <c r="P15" s="2543">
        <v>66</v>
      </c>
      <c r="Q15" s="2543"/>
      <c r="R15" s="2543">
        <v>29</v>
      </c>
    </row>
    <row r="16" spans="1:20" s="1995" customFormat="1" ht="12.95" customHeight="1">
      <c r="B16" s="2292"/>
      <c r="C16" s="1996"/>
      <c r="D16" s="2488"/>
      <c r="E16" s="2545"/>
      <c r="F16" s="2488"/>
      <c r="G16" s="2545"/>
      <c r="H16" s="2488"/>
      <c r="I16" s="2488"/>
      <c r="J16" s="2488"/>
      <c r="K16" s="2488"/>
      <c r="L16" s="2488"/>
      <c r="M16" s="2488"/>
      <c r="N16" s="2488"/>
      <c r="O16" s="2488"/>
      <c r="P16" s="2488"/>
      <c r="Q16" s="2488"/>
      <c r="R16" s="2488"/>
    </row>
    <row r="17" spans="2:18" s="1995" customFormat="1" ht="12.95" customHeight="1">
      <c r="B17" s="2544" t="s">
        <v>1719</v>
      </c>
      <c r="C17" s="1996"/>
      <c r="D17" s="2543">
        <v>41</v>
      </c>
      <c r="E17" s="1565"/>
      <c r="F17" s="2543">
        <v>41</v>
      </c>
      <c r="G17" s="1565"/>
      <c r="H17" s="2543">
        <v>41</v>
      </c>
      <c r="I17" s="1565"/>
      <c r="J17" s="2543">
        <v>29</v>
      </c>
      <c r="K17" s="2543"/>
      <c r="L17" s="2543">
        <v>29</v>
      </c>
      <c r="M17" s="2543"/>
      <c r="N17" s="2543">
        <v>41</v>
      </c>
      <c r="O17" s="2543"/>
      <c r="P17" s="2543">
        <v>66</v>
      </c>
      <c r="Q17" s="2543"/>
      <c r="R17" s="2543">
        <v>29</v>
      </c>
    </row>
    <row r="18" spans="2:18" s="1995" customFormat="1" ht="12.95" customHeight="1">
      <c r="B18" s="2292"/>
      <c r="C18" s="1996"/>
      <c r="D18" s="2488"/>
      <c r="E18" s="2546"/>
      <c r="F18" s="2488"/>
      <c r="G18" s="2545"/>
      <c r="H18" s="2488"/>
      <c r="I18" s="2488"/>
      <c r="J18" s="2488"/>
      <c r="K18" s="2488"/>
      <c r="L18" s="2488"/>
      <c r="M18" s="2488"/>
      <c r="N18" s="2488"/>
      <c r="O18" s="2488"/>
      <c r="P18" s="2488"/>
      <c r="Q18" s="2488"/>
      <c r="R18" s="2488"/>
    </row>
    <row r="19" spans="2:18" s="1995" customFormat="1" ht="12.95" customHeight="1">
      <c r="B19" s="2544" t="s">
        <v>1718</v>
      </c>
      <c r="C19" s="1996"/>
      <c r="D19" s="2543">
        <v>41</v>
      </c>
      <c r="E19" s="1565"/>
      <c r="F19" s="2543">
        <v>41</v>
      </c>
      <c r="G19" s="1565"/>
      <c r="H19" s="2543">
        <v>41</v>
      </c>
      <c r="I19" s="1565"/>
      <c r="J19" s="2543">
        <v>29</v>
      </c>
      <c r="K19" s="2543"/>
      <c r="L19" s="2543">
        <v>29</v>
      </c>
      <c r="M19" s="2543"/>
      <c r="N19" s="2543">
        <v>41</v>
      </c>
      <c r="O19" s="2543"/>
      <c r="P19" s="2543">
        <v>66</v>
      </c>
      <c r="Q19" s="2543"/>
      <c r="R19" s="2543">
        <v>29</v>
      </c>
    </row>
    <row r="20" spans="2:18" s="1995" customFormat="1" ht="12.95" customHeight="1">
      <c r="B20" s="2292"/>
      <c r="C20" s="1996"/>
      <c r="D20" s="2547"/>
      <c r="E20" s="2545"/>
      <c r="F20" s="2488"/>
      <c r="G20" s="2545"/>
      <c r="H20" s="2488"/>
      <c r="I20" s="2488"/>
      <c r="J20" s="2488"/>
      <c r="K20" s="2488"/>
      <c r="L20" s="2488"/>
      <c r="M20" s="2488"/>
      <c r="N20" s="2488"/>
      <c r="O20" s="2488"/>
      <c r="P20" s="2488"/>
      <c r="Q20" s="2488"/>
      <c r="R20" s="2488"/>
    </row>
    <row r="21" spans="2:18" s="1995" customFormat="1" ht="12.95" customHeight="1">
      <c r="B21" s="2544" t="s">
        <v>1717</v>
      </c>
      <c r="C21" s="1996"/>
      <c r="D21" s="2543">
        <v>41</v>
      </c>
      <c r="E21" s="1565"/>
      <c r="F21" s="2543">
        <v>41</v>
      </c>
      <c r="G21" s="1565"/>
      <c r="H21" s="2543">
        <v>41</v>
      </c>
      <c r="I21" s="1565"/>
      <c r="J21" s="2543">
        <v>29</v>
      </c>
      <c r="K21" s="2543"/>
      <c r="L21" s="2543">
        <v>29</v>
      </c>
      <c r="M21" s="2543"/>
      <c r="N21" s="2543">
        <v>41</v>
      </c>
      <c r="O21" s="2543"/>
      <c r="P21" s="2543">
        <v>66</v>
      </c>
      <c r="Q21" s="2543"/>
      <c r="R21" s="2543">
        <v>29</v>
      </c>
    </row>
    <row r="22" spans="2:18" s="1995" customFormat="1" ht="12.95" customHeight="1">
      <c r="B22" s="2292"/>
      <c r="C22" s="1996"/>
      <c r="D22" s="2488"/>
      <c r="E22" s="2545"/>
      <c r="F22" s="2488"/>
      <c r="G22" s="2545"/>
      <c r="H22" s="2488"/>
      <c r="I22" s="2488"/>
      <c r="J22" s="2488"/>
      <c r="K22" s="2488"/>
      <c r="L22" s="2488"/>
      <c r="M22" s="2488"/>
      <c r="N22" s="2488"/>
      <c r="O22" s="2488"/>
      <c r="P22" s="2488"/>
      <c r="Q22" s="2488"/>
      <c r="R22" s="2488"/>
    </row>
    <row r="23" spans="2:18" s="1995" customFormat="1" ht="12.95" customHeight="1">
      <c r="B23" s="2544" t="s">
        <v>1716</v>
      </c>
      <c r="C23" s="1996"/>
      <c r="D23" s="2543">
        <v>41</v>
      </c>
      <c r="E23" s="1565"/>
      <c r="F23" s="2543">
        <v>41</v>
      </c>
      <c r="G23" s="1565"/>
      <c r="H23" s="2543">
        <v>41</v>
      </c>
      <c r="I23" s="1565"/>
      <c r="J23" s="2543">
        <v>29</v>
      </c>
      <c r="K23" s="2543"/>
      <c r="L23" s="2543">
        <v>29</v>
      </c>
      <c r="M23" s="2543"/>
      <c r="N23" s="2543">
        <v>41</v>
      </c>
      <c r="O23" s="2543"/>
      <c r="P23" s="2543">
        <v>66</v>
      </c>
      <c r="Q23" s="2543"/>
      <c r="R23" s="2543">
        <v>29</v>
      </c>
    </row>
    <row r="24" spans="2:18" s="1995" customFormat="1" ht="12.95" customHeight="1">
      <c r="B24" s="2292"/>
      <c r="C24" s="1996"/>
      <c r="D24" s="2488"/>
      <c r="E24" s="2546"/>
      <c r="F24" s="2488"/>
      <c r="G24" s="2545"/>
      <c r="H24" s="2488"/>
      <c r="I24" s="2488"/>
      <c r="J24" s="2488"/>
      <c r="K24" s="2488"/>
      <c r="L24" s="2488"/>
      <c r="M24" s="2488"/>
      <c r="N24" s="2488"/>
      <c r="O24" s="2488"/>
      <c r="P24" s="2488"/>
      <c r="Q24" s="2488"/>
      <c r="R24" s="2488"/>
    </row>
    <row r="25" spans="2:18" s="1995" customFormat="1" ht="12.95" customHeight="1">
      <c r="B25" s="2544" t="s">
        <v>1589</v>
      </c>
      <c r="C25" s="1996"/>
      <c r="D25" s="2543">
        <v>41</v>
      </c>
      <c r="E25" s="1565"/>
      <c r="F25" s="2543">
        <v>41</v>
      </c>
      <c r="G25" s="1565"/>
      <c r="H25" s="2543">
        <v>41</v>
      </c>
      <c r="I25" s="1565"/>
      <c r="J25" s="2543">
        <v>29</v>
      </c>
      <c r="K25" s="2543"/>
      <c r="L25" s="2543">
        <v>29</v>
      </c>
      <c r="M25" s="2543"/>
      <c r="N25" s="2543">
        <v>41</v>
      </c>
      <c r="O25" s="2543"/>
      <c r="P25" s="2543">
        <v>66</v>
      </c>
      <c r="Q25" s="2543"/>
      <c r="R25" s="2543">
        <v>29</v>
      </c>
    </row>
    <row r="26" spans="2:18" s="1995" customFormat="1" ht="12.95" customHeight="1">
      <c r="B26" s="2292"/>
      <c r="C26" s="1996"/>
      <c r="D26" s="2547"/>
      <c r="E26" s="2547"/>
      <c r="F26" s="2488"/>
      <c r="G26" s="2545"/>
      <c r="H26" s="2488"/>
      <c r="I26" s="2488"/>
      <c r="J26" s="2488"/>
      <c r="K26" s="2488"/>
      <c r="L26" s="2488"/>
      <c r="M26" s="2488"/>
      <c r="N26" s="2488"/>
      <c r="O26" s="2488"/>
      <c r="P26" s="2488"/>
      <c r="Q26" s="2488"/>
      <c r="R26" s="2488"/>
    </row>
    <row r="27" spans="2:18" s="1995" customFormat="1" ht="12.95" customHeight="1">
      <c r="B27" s="2544" t="s">
        <v>1715</v>
      </c>
      <c r="C27" s="1996"/>
      <c r="D27" s="2543">
        <v>41</v>
      </c>
      <c r="E27" s="1565"/>
      <c r="F27" s="2543">
        <v>41</v>
      </c>
      <c r="G27" s="1565"/>
      <c r="H27" s="2543">
        <v>41</v>
      </c>
      <c r="I27" s="1565"/>
      <c r="J27" s="2543">
        <v>29</v>
      </c>
      <c r="K27" s="2543"/>
      <c r="L27" s="2543">
        <v>29</v>
      </c>
      <c r="M27" s="2543"/>
      <c r="N27" s="2543">
        <v>41</v>
      </c>
      <c r="O27" s="2543"/>
      <c r="P27" s="2543">
        <v>66</v>
      </c>
      <c r="Q27" s="2543"/>
      <c r="R27" s="2543">
        <v>29</v>
      </c>
    </row>
    <row r="28" spans="2:18" s="1995" customFormat="1" ht="12.95" customHeight="1">
      <c r="B28" s="2292"/>
      <c r="C28" s="1996"/>
      <c r="D28" s="2488"/>
      <c r="E28" s="2545"/>
      <c r="F28" s="2488"/>
      <c r="G28" s="2545"/>
      <c r="H28" s="2488"/>
      <c r="I28" s="2488"/>
      <c r="J28" s="2488"/>
      <c r="K28" s="2488"/>
      <c r="L28" s="2488"/>
      <c r="M28" s="2488"/>
      <c r="N28" s="2488"/>
      <c r="O28" s="2488"/>
      <c r="P28" s="2488"/>
      <c r="Q28" s="2488"/>
      <c r="R28" s="2488"/>
    </row>
    <row r="29" spans="2:18" s="1995" customFormat="1" ht="12.95" customHeight="1">
      <c r="B29" s="2544" t="s">
        <v>1714</v>
      </c>
      <c r="C29" s="1996"/>
      <c r="D29" s="2543">
        <v>41</v>
      </c>
      <c r="E29" s="1565"/>
      <c r="F29" s="2543">
        <v>41</v>
      </c>
      <c r="G29" s="1565"/>
      <c r="H29" s="2543">
        <v>41</v>
      </c>
      <c r="I29" s="1565"/>
      <c r="J29" s="2543">
        <v>29</v>
      </c>
      <c r="K29" s="2543"/>
      <c r="L29" s="2543">
        <v>29</v>
      </c>
      <c r="M29" s="2543"/>
      <c r="N29" s="2543">
        <v>41</v>
      </c>
      <c r="O29" s="2543"/>
      <c r="P29" s="2543">
        <v>66</v>
      </c>
      <c r="Q29" s="2543"/>
      <c r="R29" s="2543">
        <v>29</v>
      </c>
    </row>
    <row r="30" spans="2:18" s="1995" customFormat="1" ht="12.95" customHeight="1">
      <c r="B30" s="2292"/>
      <c r="C30" s="1996"/>
      <c r="D30" s="2488"/>
      <c r="E30" s="2546"/>
      <c r="F30" s="2488"/>
      <c r="G30" s="2545"/>
      <c r="H30" s="2488"/>
      <c r="I30" s="2488"/>
      <c r="J30" s="2488"/>
      <c r="K30" s="2488"/>
      <c r="L30" s="2488"/>
      <c r="M30" s="2488"/>
      <c r="N30" s="2488"/>
      <c r="O30" s="2488"/>
      <c r="P30" s="2488"/>
      <c r="Q30" s="2488"/>
      <c r="R30" s="2488"/>
    </row>
    <row r="31" spans="2:18" s="1995" customFormat="1" ht="12.95" customHeight="1">
      <c r="B31" s="2544" t="s">
        <v>1713</v>
      </c>
      <c r="C31" s="1996"/>
      <c r="D31" s="2543">
        <v>41</v>
      </c>
      <c r="E31" s="1565"/>
      <c r="F31" s="2543">
        <v>41</v>
      </c>
      <c r="G31" s="1565"/>
      <c r="H31" s="2543">
        <v>41</v>
      </c>
      <c r="I31" s="1565"/>
      <c r="J31" s="2543">
        <v>29</v>
      </c>
      <c r="K31" s="2543"/>
      <c r="L31" s="2543">
        <v>29</v>
      </c>
      <c r="M31" s="2543"/>
      <c r="N31" s="2543">
        <v>41</v>
      </c>
      <c r="O31" s="2543"/>
      <c r="P31" s="2543">
        <v>66</v>
      </c>
      <c r="Q31" s="2543"/>
      <c r="R31" s="2543">
        <v>29</v>
      </c>
    </row>
    <row r="32" spans="2:18" s="1995" customFormat="1" ht="12.95" customHeight="1">
      <c r="B32" s="2292"/>
      <c r="C32" s="1996"/>
      <c r="D32" s="2546"/>
      <c r="E32" s="2547"/>
      <c r="F32" s="2488"/>
      <c r="G32" s="2545"/>
      <c r="H32" s="2488"/>
      <c r="I32" s="2488"/>
      <c r="J32" s="2488"/>
      <c r="K32" s="2488"/>
      <c r="L32" s="2488"/>
      <c r="M32" s="2488"/>
      <c r="N32" s="2488"/>
      <c r="O32" s="2488"/>
      <c r="P32" s="2488"/>
      <c r="Q32" s="2488"/>
      <c r="R32" s="2488"/>
    </row>
    <row r="33" spans="2:18" s="1995" customFormat="1" ht="12.95" customHeight="1">
      <c r="B33" s="2544" t="s">
        <v>1711</v>
      </c>
      <c r="C33" s="1996"/>
      <c r="D33" s="2543">
        <v>41</v>
      </c>
      <c r="E33" s="1565"/>
      <c r="F33" s="2543">
        <v>41</v>
      </c>
      <c r="G33" s="1565"/>
      <c r="H33" s="2543">
        <v>41</v>
      </c>
      <c r="I33" s="1565"/>
      <c r="J33" s="2543">
        <v>29</v>
      </c>
      <c r="K33" s="2543"/>
      <c r="L33" s="2543">
        <v>29</v>
      </c>
      <c r="M33" s="2543"/>
      <c r="N33" s="2543">
        <v>41</v>
      </c>
      <c r="O33" s="2543"/>
      <c r="P33" s="2543">
        <v>66</v>
      </c>
      <c r="Q33" s="2543"/>
      <c r="R33" s="2543">
        <v>29</v>
      </c>
    </row>
    <row r="34" spans="2:18" s="1995" customFormat="1" ht="12.95" customHeight="1">
      <c r="B34" s="2292"/>
      <c r="C34" s="1996"/>
      <c r="D34" s="2488"/>
      <c r="E34" s="2545"/>
      <c r="F34" s="2488"/>
      <c r="G34" s="2545"/>
      <c r="H34" s="2488"/>
      <c r="I34" s="2488"/>
      <c r="J34" s="2488"/>
      <c r="K34" s="2488"/>
      <c r="L34" s="2488"/>
      <c r="M34" s="2488"/>
      <c r="N34" s="2488"/>
      <c r="O34" s="2488"/>
      <c r="P34" s="2488"/>
      <c r="Q34" s="2488"/>
      <c r="R34" s="2488"/>
    </row>
    <row r="35" spans="2:18" s="1995" customFormat="1" ht="12.95" customHeight="1">
      <c r="B35" s="2544" t="s">
        <v>1710</v>
      </c>
      <c r="C35" s="1996"/>
      <c r="D35" s="2543">
        <v>41</v>
      </c>
      <c r="E35" s="1565"/>
      <c r="F35" s="2543">
        <v>41</v>
      </c>
      <c r="G35" s="1565"/>
      <c r="H35" s="2543">
        <v>41</v>
      </c>
      <c r="I35" s="1565"/>
      <c r="J35" s="2543">
        <v>29</v>
      </c>
      <c r="K35" s="2543"/>
      <c r="L35" s="2543">
        <v>29</v>
      </c>
      <c r="M35" s="2543"/>
      <c r="N35" s="2543">
        <v>41</v>
      </c>
      <c r="O35" s="2543"/>
      <c r="P35" s="2543">
        <v>66</v>
      </c>
      <c r="Q35" s="2543"/>
      <c r="R35" s="2543">
        <v>29</v>
      </c>
    </row>
    <row r="36" spans="2:18" s="1995" customFormat="1" ht="12.95" customHeight="1">
      <c r="B36" s="2292"/>
      <c r="C36" s="1996"/>
      <c r="D36" s="2488"/>
      <c r="E36" s="2546"/>
      <c r="F36" s="2488"/>
      <c r="G36" s="2545"/>
      <c r="H36" s="2488"/>
      <c r="I36" s="2488"/>
      <c r="J36" s="2488"/>
      <c r="K36" s="2488"/>
      <c r="L36" s="2488"/>
      <c r="M36" s="2488"/>
      <c r="N36" s="2488"/>
      <c r="O36" s="2488"/>
      <c r="P36" s="2488"/>
      <c r="Q36" s="2488"/>
      <c r="R36" s="2488"/>
    </row>
    <row r="37" spans="2:18" s="1995" customFormat="1" ht="12.95" customHeight="1">
      <c r="B37" s="2544" t="s">
        <v>1709</v>
      </c>
      <c r="C37" s="1996"/>
      <c r="D37" s="2543">
        <v>41</v>
      </c>
      <c r="E37" s="1565"/>
      <c r="F37" s="2543">
        <v>41</v>
      </c>
      <c r="G37" s="1565"/>
      <c r="H37" s="2543">
        <v>41</v>
      </c>
      <c r="I37" s="1565"/>
      <c r="J37" s="2543">
        <v>29</v>
      </c>
      <c r="K37" s="2543"/>
      <c r="L37" s="2543">
        <v>29</v>
      </c>
      <c r="M37" s="2543"/>
      <c r="N37" s="2543">
        <v>41</v>
      </c>
      <c r="O37" s="2543"/>
      <c r="P37" s="2543">
        <v>66</v>
      </c>
      <c r="Q37" s="2543"/>
      <c r="R37" s="2543">
        <v>29</v>
      </c>
    </row>
    <row r="38" spans="2:18" s="1995" customFormat="1" ht="12.95" customHeight="1">
      <c r="B38" s="2292"/>
      <c r="C38" s="1996"/>
      <c r="D38" s="2548"/>
      <c r="E38" s="2546"/>
      <c r="F38" s="2546"/>
      <c r="G38" s="2545"/>
      <c r="H38" s="2488"/>
      <c r="I38" s="2488"/>
      <c r="J38" s="2488"/>
      <c r="K38" s="2488"/>
      <c r="L38" s="2488"/>
      <c r="M38" s="2488"/>
      <c r="N38" s="2488"/>
      <c r="O38" s="2488"/>
      <c r="P38" s="2488"/>
      <c r="Q38" s="2488"/>
      <c r="R38" s="2488"/>
    </row>
    <row r="39" spans="2:18" s="1995" customFormat="1" ht="12.95" customHeight="1">
      <c r="B39" s="2544" t="s">
        <v>1587</v>
      </c>
      <c r="C39" s="1996"/>
      <c r="D39" s="2543">
        <v>41</v>
      </c>
      <c r="E39" s="1565"/>
      <c r="F39" s="2543">
        <v>41</v>
      </c>
      <c r="G39" s="1565"/>
      <c r="H39" s="2543">
        <v>41</v>
      </c>
      <c r="I39" s="1565"/>
      <c r="J39" s="2543">
        <v>29</v>
      </c>
      <c r="K39" s="2543"/>
      <c r="L39" s="2543">
        <v>29</v>
      </c>
      <c r="M39" s="2543"/>
      <c r="N39" s="2543">
        <v>41</v>
      </c>
      <c r="O39" s="2543"/>
      <c r="P39" s="2543">
        <v>66</v>
      </c>
      <c r="Q39" s="2543"/>
      <c r="R39" s="2543">
        <v>29</v>
      </c>
    </row>
    <row r="40" spans="2:18" s="1995" customFormat="1" ht="12.95" customHeight="1">
      <c r="B40" s="2292"/>
      <c r="C40" s="1996"/>
      <c r="D40" s="2488"/>
      <c r="E40" s="2545"/>
      <c r="F40" s="2488"/>
      <c r="G40" s="2545"/>
      <c r="H40" s="2488"/>
      <c r="I40" s="2488"/>
      <c r="J40" s="2488"/>
      <c r="K40" s="2488"/>
      <c r="L40" s="2488"/>
      <c r="M40" s="2488"/>
      <c r="N40" s="2488"/>
      <c r="O40" s="2488"/>
      <c r="P40" s="2488"/>
      <c r="Q40" s="2488"/>
      <c r="R40" s="2488"/>
    </row>
    <row r="41" spans="2:18" s="1995" customFormat="1" ht="12.95" customHeight="1">
      <c r="B41" s="2544" t="s">
        <v>1585</v>
      </c>
      <c r="C41" s="1996"/>
      <c r="D41" s="2543">
        <v>41</v>
      </c>
      <c r="E41" s="1565"/>
      <c r="F41" s="2543">
        <v>41</v>
      </c>
      <c r="G41" s="1565"/>
      <c r="H41" s="2543">
        <v>41</v>
      </c>
      <c r="I41" s="1565"/>
      <c r="J41" s="2543">
        <v>29</v>
      </c>
      <c r="K41" s="2543"/>
      <c r="L41" s="2543">
        <v>29</v>
      </c>
      <c r="M41" s="2543"/>
      <c r="N41" s="2543">
        <v>41</v>
      </c>
      <c r="O41" s="2543"/>
      <c r="P41" s="2543">
        <v>66</v>
      </c>
      <c r="Q41" s="2543"/>
      <c r="R41" s="2543">
        <v>29</v>
      </c>
    </row>
    <row r="42" spans="2:18" s="1995" customFormat="1" ht="12.95" customHeight="1">
      <c r="B42" s="2292"/>
      <c r="C42" s="1996"/>
      <c r="D42" s="2488"/>
      <c r="E42" s="2546"/>
      <c r="F42" s="2488"/>
      <c r="G42" s="2545"/>
      <c r="H42" s="2488"/>
      <c r="I42" s="2488"/>
      <c r="J42" s="2488"/>
      <c r="K42" s="2488"/>
      <c r="L42" s="2488"/>
      <c r="M42" s="2488"/>
      <c r="N42" s="2488"/>
      <c r="O42" s="2488"/>
      <c r="P42" s="2488"/>
      <c r="Q42" s="2488"/>
      <c r="R42" s="2488"/>
    </row>
    <row r="43" spans="2:18" s="1995" customFormat="1" ht="12.95" customHeight="1">
      <c r="B43" s="2544" t="s">
        <v>1708</v>
      </c>
      <c r="C43" s="1996"/>
      <c r="D43" s="2543">
        <v>41</v>
      </c>
      <c r="E43" s="1565"/>
      <c r="F43" s="2543">
        <v>41</v>
      </c>
      <c r="G43" s="1565"/>
      <c r="H43" s="2543">
        <v>41</v>
      </c>
      <c r="I43" s="1565"/>
      <c r="J43" s="2543">
        <v>29</v>
      </c>
      <c r="K43" s="2543"/>
      <c r="L43" s="2543">
        <v>29</v>
      </c>
      <c r="M43" s="2543"/>
      <c r="N43" s="2543">
        <v>41</v>
      </c>
      <c r="O43" s="2543"/>
      <c r="P43" s="2543">
        <v>66</v>
      </c>
      <c r="Q43" s="2543"/>
      <c r="R43" s="2543">
        <v>29</v>
      </c>
    </row>
    <row r="44" spans="2:18" s="1995" customFormat="1" ht="12.95" customHeight="1">
      <c r="B44" s="2292"/>
      <c r="C44" s="1996"/>
      <c r="D44" s="2547"/>
      <c r="E44" s="2548"/>
      <c r="F44" s="2545"/>
      <c r="G44" s="2545"/>
      <c r="H44" s="2488"/>
      <c r="I44" s="2488"/>
      <c r="J44" s="2488"/>
      <c r="K44" s="2488"/>
      <c r="L44" s="2488"/>
      <c r="M44" s="2488"/>
      <c r="N44" s="2488"/>
      <c r="O44" s="2488"/>
      <c r="P44" s="2488"/>
      <c r="Q44" s="2488"/>
      <c r="R44" s="2488"/>
    </row>
    <row r="45" spans="2:18" s="1995" customFormat="1" ht="12.95" customHeight="1">
      <c r="B45" s="2544" t="s">
        <v>1583</v>
      </c>
      <c r="C45" s="1996"/>
      <c r="D45" s="2543">
        <v>41</v>
      </c>
      <c r="E45" s="1565"/>
      <c r="F45" s="2543">
        <v>41</v>
      </c>
      <c r="G45" s="1565"/>
      <c r="H45" s="2543">
        <v>41</v>
      </c>
      <c r="I45" s="1565"/>
      <c r="J45" s="2543">
        <v>29</v>
      </c>
      <c r="K45" s="2543"/>
      <c r="L45" s="2543">
        <v>29</v>
      </c>
      <c r="M45" s="2543"/>
      <c r="N45" s="2543">
        <v>41</v>
      </c>
      <c r="O45" s="2543"/>
      <c r="P45" s="2543">
        <v>66</v>
      </c>
      <c r="Q45" s="2543"/>
      <c r="R45" s="2543">
        <v>29</v>
      </c>
    </row>
    <row r="46" spans="2:18" s="1995" customFormat="1" ht="12.95" customHeight="1">
      <c r="B46" s="2292"/>
      <c r="C46" s="1996"/>
      <c r="D46" s="2488"/>
      <c r="E46" s="2545"/>
      <c r="F46" s="2488"/>
      <c r="G46" s="2545"/>
      <c r="H46" s="2488"/>
      <c r="I46" s="2488"/>
      <c r="J46" s="2488"/>
      <c r="K46" s="2488"/>
      <c r="L46" s="2488"/>
      <c r="M46" s="2488"/>
      <c r="N46" s="2488"/>
      <c r="O46" s="2488"/>
      <c r="P46" s="2488"/>
      <c r="Q46" s="2488"/>
      <c r="R46" s="2488"/>
    </row>
    <row r="47" spans="2:18" s="1995" customFormat="1" ht="12.95" customHeight="1">
      <c r="B47" s="2544" t="s">
        <v>1707</v>
      </c>
      <c r="C47" s="1996"/>
      <c r="D47" s="2543">
        <v>41</v>
      </c>
      <c r="E47" s="1565"/>
      <c r="F47" s="2543">
        <v>41</v>
      </c>
      <c r="G47" s="1565"/>
      <c r="H47" s="2543">
        <v>41</v>
      </c>
      <c r="I47" s="1565"/>
      <c r="J47" s="2543">
        <v>29</v>
      </c>
      <c r="K47" s="2543"/>
      <c r="L47" s="2543">
        <v>29</v>
      </c>
      <c r="M47" s="2543"/>
      <c r="N47" s="2543">
        <v>41</v>
      </c>
      <c r="O47" s="2543"/>
      <c r="P47" s="2543">
        <v>66</v>
      </c>
      <c r="Q47" s="2543"/>
      <c r="R47" s="2543">
        <v>29</v>
      </c>
    </row>
    <row r="48" spans="2:18" s="1995" customFormat="1" ht="12.95" customHeight="1">
      <c r="B48" s="2292"/>
      <c r="C48" s="1996"/>
      <c r="D48" s="2488"/>
      <c r="E48" s="2546"/>
      <c r="F48" s="2488"/>
      <c r="G48" s="2545"/>
      <c r="H48" s="2488"/>
      <c r="I48" s="2488"/>
      <c r="J48" s="2488"/>
      <c r="K48" s="2488"/>
      <c r="L48" s="2488"/>
      <c r="M48" s="2488"/>
      <c r="N48" s="2488"/>
      <c r="O48" s="2488"/>
      <c r="P48" s="2488"/>
      <c r="Q48" s="2488"/>
      <c r="R48" s="2488"/>
    </row>
    <row r="49" spans="1:20" s="1995" customFormat="1" ht="12.95" customHeight="1">
      <c r="B49" s="2544" t="s">
        <v>1706</v>
      </c>
      <c r="C49" s="1996"/>
      <c r="D49" s="2543">
        <v>41</v>
      </c>
      <c r="E49" s="1565"/>
      <c r="F49" s="2543">
        <v>41</v>
      </c>
      <c r="G49" s="1565"/>
      <c r="H49" s="2543">
        <v>41</v>
      </c>
      <c r="I49" s="1565"/>
      <c r="J49" s="2543">
        <v>29</v>
      </c>
      <c r="K49" s="2543"/>
      <c r="L49" s="2543">
        <v>29</v>
      </c>
      <c r="M49" s="2543"/>
      <c r="N49" s="2543">
        <v>41</v>
      </c>
      <c r="O49" s="2543"/>
      <c r="P49" s="2543">
        <v>66</v>
      </c>
      <c r="Q49" s="2543"/>
      <c r="R49" s="2543">
        <v>29</v>
      </c>
    </row>
    <row r="50" spans="1:20" s="1995" customFormat="1" ht="12.95" customHeight="1">
      <c r="B50" s="2292"/>
      <c r="C50" s="1996"/>
      <c r="D50" s="2548"/>
      <c r="E50" s="2547"/>
      <c r="F50" s="2547"/>
      <c r="G50" s="2545"/>
      <c r="H50" s="2488"/>
      <c r="I50" s="2488"/>
      <c r="J50" s="2488"/>
      <c r="K50" s="2488"/>
      <c r="L50" s="2488"/>
      <c r="M50" s="2488"/>
      <c r="N50" s="2488"/>
      <c r="O50" s="2488"/>
      <c r="P50" s="2488"/>
      <c r="Q50" s="2488"/>
      <c r="R50" s="2488"/>
    </row>
    <row r="51" spans="1:20" s="1995" customFormat="1" ht="12.95" customHeight="1">
      <c r="B51" s="2544" t="s">
        <v>1705</v>
      </c>
      <c r="C51" s="1996"/>
      <c r="D51" s="2543">
        <v>41</v>
      </c>
      <c r="E51" s="1565"/>
      <c r="F51" s="2543">
        <v>41</v>
      </c>
      <c r="G51" s="1565"/>
      <c r="H51" s="2543">
        <v>41</v>
      </c>
      <c r="I51" s="1565"/>
      <c r="J51" s="2543">
        <v>29</v>
      </c>
      <c r="K51" s="2543"/>
      <c r="L51" s="2543">
        <v>29</v>
      </c>
      <c r="M51" s="2543"/>
      <c r="N51" s="2543">
        <v>41</v>
      </c>
      <c r="O51" s="2543"/>
      <c r="P51" s="2543">
        <v>66</v>
      </c>
      <c r="Q51" s="2543"/>
      <c r="R51" s="2543">
        <v>29</v>
      </c>
    </row>
    <row r="52" spans="1:20" s="1995" customFormat="1" ht="12.95" customHeight="1">
      <c r="B52" s="2292"/>
      <c r="C52" s="1996"/>
      <c r="D52" s="2488"/>
      <c r="E52" s="2546"/>
      <c r="F52" s="2488"/>
      <c r="G52" s="2545"/>
      <c r="H52" s="2488"/>
      <c r="I52" s="2488"/>
      <c r="J52" s="2488"/>
      <c r="K52" s="2488"/>
      <c r="L52" s="2488"/>
      <c r="M52" s="2488"/>
      <c r="N52" s="2488"/>
      <c r="O52" s="2488"/>
      <c r="P52" s="2488"/>
      <c r="Q52" s="2488"/>
      <c r="R52" s="2488"/>
    </row>
    <row r="53" spans="1:20" s="1995" customFormat="1" ht="12.95" customHeight="1">
      <c r="B53" s="2544" t="s">
        <v>1712</v>
      </c>
      <c r="C53" s="1996"/>
      <c r="D53" s="2543">
        <v>41</v>
      </c>
      <c r="E53" s="1565"/>
      <c r="F53" s="2543">
        <v>41</v>
      </c>
      <c r="G53" s="1565"/>
      <c r="H53" s="2543">
        <v>41</v>
      </c>
      <c r="I53" s="1565"/>
      <c r="J53" s="2543">
        <v>29</v>
      </c>
      <c r="K53" s="2543"/>
      <c r="L53" s="2543">
        <v>29</v>
      </c>
      <c r="M53" s="2543"/>
      <c r="N53" s="2543">
        <v>41</v>
      </c>
      <c r="O53" s="2543"/>
      <c r="P53" s="2543">
        <v>66</v>
      </c>
      <c r="Q53" s="2543"/>
      <c r="R53" s="2543">
        <v>29</v>
      </c>
    </row>
    <row r="54" spans="1:20" s="2521" customFormat="1" ht="15.2" customHeight="1">
      <c r="A54" s="2541"/>
      <c r="B54" s="2542"/>
      <c r="C54" s="2539"/>
      <c r="D54" s="2540"/>
      <c r="E54" s="2563"/>
      <c r="F54" s="2540"/>
      <c r="G54" s="2563"/>
      <c r="H54" s="2540"/>
      <c r="I54" s="2563"/>
      <c r="J54" s="2540"/>
      <c r="K54" s="2563"/>
      <c r="L54" s="2540"/>
      <c r="M54" s="2563"/>
      <c r="N54" s="2540"/>
      <c r="O54" s="2563"/>
      <c r="P54" s="2540"/>
      <c r="Q54" s="2563"/>
      <c r="R54" s="2540"/>
      <c r="S54" s="2538"/>
      <c r="T54" s="2537"/>
    </row>
    <row r="55" spans="1:20" s="2521" customFormat="1">
      <c r="A55" s="2541"/>
      <c r="B55" s="2542"/>
      <c r="C55" s="2539"/>
      <c r="D55" s="2539"/>
      <c r="E55" s="2541"/>
      <c r="F55" s="2539"/>
      <c r="G55" s="2540"/>
      <c r="H55" s="2539"/>
      <c r="I55" s="2540"/>
      <c r="J55" s="2539"/>
      <c r="K55" s="2540"/>
      <c r="L55" s="2539"/>
      <c r="M55" s="2540"/>
      <c r="N55" s="2539"/>
      <c r="O55" s="2540"/>
      <c r="P55" s="2539"/>
      <c r="Q55" s="2540"/>
      <c r="R55" s="2539"/>
      <c r="S55" s="2538"/>
      <c r="T55" s="2537"/>
    </row>
    <row r="56" spans="1:20" s="2521" customFormat="1" ht="7.5" customHeight="1" thickBot="1">
      <c r="A56" s="2536"/>
      <c r="B56" s="2536"/>
      <c r="C56" s="2536"/>
      <c r="D56" s="2536"/>
      <c r="E56" s="2536"/>
      <c r="F56" s="2536"/>
      <c r="G56" s="2536"/>
      <c r="H56" s="2536"/>
      <c r="I56" s="2536"/>
      <c r="J56" s="2536"/>
      <c r="K56" s="2536"/>
      <c r="L56" s="2536"/>
      <c r="M56" s="2536"/>
      <c r="N56" s="2536"/>
      <c r="O56" s="2536"/>
      <c r="P56" s="2536"/>
      <c r="Q56" s="2536"/>
      <c r="R56" s="2536"/>
      <c r="S56" s="2527"/>
      <c r="T56" s="2527"/>
    </row>
    <row r="57" spans="1:20" s="2521" customFormat="1" ht="13.5" customHeight="1" thickTop="1">
      <c r="A57" s="2534"/>
      <c r="B57" s="2534"/>
      <c r="C57" s="2534"/>
      <c r="D57" s="2534"/>
      <c r="E57" s="2534"/>
      <c r="F57" s="2534"/>
      <c r="G57" s="2534"/>
      <c r="H57" s="2529"/>
      <c r="I57" s="2529"/>
      <c r="J57" s="2529"/>
      <c r="K57" s="2529"/>
      <c r="L57" s="2923" t="s">
        <v>0</v>
      </c>
      <c r="M57" s="2923"/>
      <c r="N57" s="2923"/>
      <c r="O57" s="2923"/>
      <c r="P57" s="2923"/>
      <c r="Q57" s="2923"/>
      <c r="R57" s="2923"/>
      <c r="S57" s="2530"/>
      <c r="T57" s="2527"/>
    </row>
    <row r="58" spans="1:20" s="2521" customFormat="1" ht="13.5" customHeight="1">
      <c r="A58" s="2534"/>
      <c r="B58" s="2534"/>
      <c r="C58" s="2534"/>
      <c r="D58" s="2534"/>
      <c r="E58" s="2534"/>
      <c r="F58" s="2534"/>
      <c r="G58" s="2534"/>
      <c r="H58" s="2529"/>
      <c r="I58" s="2529"/>
      <c r="J58" s="2529"/>
      <c r="K58" s="2529"/>
      <c r="L58" s="2924" t="s">
        <v>1</v>
      </c>
      <c r="M58" s="2924"/>
      <c r="N58" s="2924"/>
      <c r="O58" s="2924"/>
      <c r="P58" s="2924"/>
      <c r="Q58" s="2924"/>
      <c r="R58" s="2924"/>
      <c r="S58" s="2535"/>
      <c r="T58" s="2527"/>
    </row>
    <row r="59" spans="1:20" s="2521" customFormat="1" ht="13.5" customHeight="1">
      <c r="A59" s="2534"/>
      <c r="B59" s="2530" t="s">
        <v>1930</v>
      </c>
      <c r="C59" s="2534"/>
      <c r="D59" s="2534"/>
      <c r="E59" s="2534"/>
      <c r="F59" s="2534"/>
      <c r="G59" s="2534"/>
      <c r="H59" s="2529"/>
      <c r="I59" s="2529"/>
      <c r="J59" s="2529"/>
      <c r="K59" s="2529"/>
      <c r="L59" s="2529"/>
      <c r="M59" s="2529"/>
      <c r="N59" s="2529"/>
      <c r="O59" s="2529"/>
      <c r="P59" s="2529"/>
      <c r="Q59" s="2529"/>
      <c r="R59" s="2529"/>
      <c r="S59" s="2531"/>
      <c r="T59" s="2527"/>
    </row>
    <row r="60" spans="1:20" s="2521" customFormat="1" ht="3.6" customHeight="1">
      <c r="A60" s="2534"/>
      <c r="B60" s="2530"/>
      <c r="C60" s="2534"/>
      <c r="D60" s="2534"/>
      <c r="E60" s="2534"/>
      <c r="F60" s="2534"/>
      <c r="G60" s="2534"/>
      <c r="H60" s="2529"/>
      <c r="I60" s="2529"/>
      <c r="J60" s="2529"/>
      <c r="K60" s="2529"/>
      <c r="L60" s="2529"/>
      <c r="M60" s="2529"/>
      <c r="N60" s="2529"/>
      <c r="O60" s="2529"/>
      <c r="P60" s="2529"/>
      <c r="Q60" s="2529"/>
      <c r="R60" s="2529"/>
      <c r="S60" s="2531"/>
      <c r="T60" s="2527"/>
    </row>
    <row r="61" spans="1:20" s="2521" customFormat="1" ht="13.5" customHeight="1">
      <c r="A61" s="2533" t="s">
        <v>3</v>
      </c>
      <c r="B61" s="2523" t="s">
        <v>1929</v>
      </c>
      <c r="C61" s="2534"/>
      <c r="D61" s="2534"/>
      <c r="E61" s="2534"/>
      <c r="F61" s="2534"/>
      <c r="G61" s="2534"/>
      <c r="H61" s="2529"/>
      <c r="I61" s="2529"/>
      <c r="J61" s="2529"/>
      <c r="K61" s="2529"/>
      <c r="L61" s="2529"/>
      <c r="M61" s="2529"/>
      <c r="N61" s="2529"/>
      <c r="O61" s="2529"/>
      <c r="P61" s="2529"/>
      <c r="Q61" s="2529"/>
      <c r="R61" s="2529"/>
      <c r="S61" s="2531"/>
      <c r="T61" s="2527"/>
    </row>
    <row r="62" spans="1:20" s="2521" customFormat="1" ht="15.2" customHeight="1">
      <c r="A62" s="2523"/>
      <c r="B62" s="2522" t="s">
        <v>1928</v>
      </c>
      <c r="C62" s="2534"/>
      <c r="D62" s="2534"/>
      <c r="E62" s="2534"/>
      <c r="F62" s="2534"/>
      <c r="G62" s="2534"/>
      <c r="H62" s="2529"/>
      <c r="I62" s="2529"/>
      <c r="J62" s="2529"/>
      <c r="K62" s="2529"/>
      <c r="L62" s="2529"/>
      <c r="M62" s="2529"/>
      <c r="N62" s="2529"/>
      <c r="O62" s="2529"/>
      <c r="P62" s="2529"/>
      <c r="Q62" s="2529"/>
      <c r="R62" s="2529"/>
      <c r="S62" s="2529"/>
      <c r="T62" s="2527"/>
    </row>
    <row r="63" spans="1:20" s="2521" customFormat="1" ht="3.2" customHeight="1">
      <c r="A63" s="2523"/>
      <c r="B63" s="2530"/>
      <c r="C63" s="2534"/>
      <c r="D63" s="2534"/>
      <c r="E63" s="2534"/>
      <c r="F63" s="2534"/>
      <c r="G63" s="2534"/>
      <c r="H63" s="2529"/>
      <c r="I63" s="2529"/>
      <c r="J63" s="2529"/>
      <c r="K63" s="2529"/>
      <c r="L63" s="2529"/>
      <c r="M63" s="2529"/>
      <c r="N63" s="2529"/>
      <c r="O63" s="2529"/>
      <c r="P63" s="2529"/>
      <c r="Q63" s="2529"/>
      <c r="R63" s="2529"/>
      <c r="S63" s="2529"/>
      <c r="T63" s="2527"/>
    </row>
    <row r="64" spans="1:20" s="2521" customFormat="1" ht="15.2" customHeight="1">
      <c r="A64" s="2533" t="s">
        <v>4</v>
      </c>
      <c r="B64" s="2925" t="s">
        <v>1937</v>
      </c>
      <c r="C64" s="2925"/>
      <c r="D64" s="2925"/>
      <c r="E64" s="2925"/>
      <c r="F64" s="2925"/>
      <c r="G64" s="2925"/>
      <c r="H64" s="2925"/>
      <c r="I64" s="2925"/>
      <c r="J64" s="2925"/>
      <c r="K64" s="2925"/>
      <c r="L64" s="2925"/>
      <c r="M64" s="2925"/>
      <c r="N64" s="2925"/>
      <c r="O64" s="2925"/>
      <c r="P64" s="2925"/>
      <c r="Q64" s="2925"/>
      <c r="R64" s="2925"/>
      <c r="S64" s="2529"/>
      <c r="T64" s="2527"/>
    </row>
    <row r="65" spans="1:23" s="2521" customFormat="1" ht="9.1999999999999993" customHeight="1">
      <c r="A65" s="2530"/>
      <c r="B65" s="2925"/>
      <c r="C65" s="2925"/>
      <c r="D65" s="2925"/>
      <c r="E65" s="2925"/>
      <c r="F65" s="2925"/>
      <c r="G65" s="2925"/>
      <c r="H65" s="2925"/>
      <c r="I65" s="2925"/>
      <c r="J65" s="2925"/>
      <c r="K65" s="2925"/>
      <c r="L65" s="2925"/>
      <c r="M65" s="2925"/>
      <c r="N65" s="2925"/>
      <c r="O65" s="2925"/>
      <c r="P65" s="2925"/>
      <c r="Q65" s="2925"/>
      <c r="R65" s="2925"/>
      <c r="S65" s="2532"/>
      <c r="T65" s="2528"/>
      <c r="U65" s="2528"/>
      <c r="V65" s="2531"/>
      <c r="W65" s="2527"/>
    </row>
    <row r="66" spans="1:23" s="2521" customFormat="1" ht="15.2" customHeight="1">
      <c r="A66" s="2530"/>
      <c r="B66" s="2915" t="s">
        <v>1926</v>
      </c>
      <c r="C66" s="2915"/>
      <c r="D66" s="2915"/>
      <c r="E66" s="2915"/>
      <c r="F66" s="2915"/>
      <c r="G66" s="2915"/>
      <c r="H66" s="2915"/>
      <c r="I66" s="2915"/>
      <c r="J66" s="2915"/>
      <c r="K66" s="2915"/>
      <c r="L66" s="2915"/>
      <c r="M66" s="2915"/>
      <c r="N66" s="2915"/>
      <c r="O66" s="2915"/>
      <c r="P66" s="2915"/>
      <c r="Q66" s="2915"/>
      <c r="R66" s="2915"/>
      <c r="S66" s="2529"/>
      <c r="T66" s="2528"/>
      <c r="U66" s="2528"/>
      <c r="V66" s="2527"/>
      <c r="W66" s="2527"/>
    </row>
    <row r="67" spans="1:23" s="2521" customFormat="1" ht="9.1999999999999993" customHeight="1">
      <c r="A67" s="2525"/>
      <c r="B67" s="2915"/>
      <c r="C67" s="2915"/>
      <c r="D67" s="2915"/>
      <c r="E67" s="2915"/>
      <c r="F67" s="2915"/>
      <c r="G67" s="2915"/>
      <c r="H67" s="2915"/>
      <c r="I67" s="2915"/>
      <c r="J67" s="2915"/>
      <c r="K67" s="2915"/>
      <c r="L67" s="2915"/>
      <c r="M67" s="2915"/>
      <c r="N67" s="2915"/>
      <c r="O67" s="2915"/>
      <c r="P67" s="2915"/>
      <c r="Q67" s="2915"/>
      <c r="R67" s="2915"/>
      <c r="S67" s="2526"/>
      <c r="T67" s="2526"/>
    </row>
    <row r="68" spans="1:23" s="2521" customFormat="1" ht="4.9000000000000004" customHeight="1">
      <c r="A68" s="2525"/>
    </row>
    <row r="69" spans="1:23" s="2521" customFormat="1" ht="12.6" customHeight="1">
      <c r="A69" s="2524" t="s">
        <v>263</v>
      </c>
      <c r="B69" s="2523" t="s">
        <v>1925</v>
      </c>
    </row>
    <row r="70" spans="1:23" s="2521" customFormat="1" ht="15.6" customHeight="1">
      <c r="B70" s="2522" t="s">
        <v>1924</v>
      </c>
    </row>
    <row r="71" spans="1:23" s="2521" customFormat="1" ht="15.75" customHeight="1"/>
    <row r="72" spans="1:23" s="2521" customFormat="1" ht="17.25" customHeight="1">
      <c r="A72" s="2540"/>
      <c r="B72" s="2562" t="s">
        <v>1936</v>
      </c>
      <c r="C72" s="2916" t="s">
        <v>1935</v>
      </c>
      <c r="D72" s="2916"/>
      <c r="E72" s="2916"/>
      <c r="F72" s="2916"/>
      <c r="G72" s="2916"/>
      <c r="H72" s="2916"/>
      <c r="I72" s="2916"/>
      <c r="J72" s="2916"/>
      <c r="K72" s="2916"/>
      <c r="L72" s="2916"/>
      <c r="M72" s="2916"/>
      <c r="N72" s="2916"/>
      <c r="O72" s="2916"/>
      <c r="P72" s="2916"/>
      <c r="Q72" s="2916"/>
      <c r="R72" s="2916"/>
      <c r="S72" s="2541"/>
    </row>
    <row r="73" spans="1:23" s="2521" customFormat="1" ht="17.25" customHeight="1">
      <c r="A73" s="2541"/>
      <c r="B73" s="2561" t="s">
        <v>1934</v>
      </c>
      <c r="C73" s="2917" t="s">
        <v>1933</v>
      </c>
      <c r="D73" s="2917"/>
      <c r="E73" s="2917"/>
      <c r="F73" s="2917"/>
      <c r="G73" s="2917"/>
      <c r="H73" s="2917"/>
      <c r="I73" s="2917"/>
      <c r="J73" s="2917"/>
      <c r="K73" s="2917"/>
      <c r="L73" s="2917"/>
      <c r="M73" s="2917"/>
      <c r="N73" s="2917"/>
      <c r="O73" s="2917"/>
      <c r="P73" s="2917"/>
      <c r="Q73" s="2917"/>
      <c r="R73" s="2917"/>
      <c r="S73" s="2541"/>
    </row>
    <row r="74" spans="1:23" s="2521" customFormat="1">
      <c r="A74" s="2541"/>
      <c r="B74" s="2561"/>
      <c r="C74" s="2917"/>
      <c r="D74" s="2917"/>
      <c r="E74" s="2917"/>
      <c r="F74" s="2917"/>
      <c r="G74" s="2917"/>
      <c r="H74" s="2917"/>
      <c r="I74" s="2917"/>
      <c r="J74" s="2917"/>
      <c r="K74" s="2917"/>
      <c r="L74" s="2917"/>
      <c r="M74" s="2917"/>
      <c r="N74" s="2917"/>
      <c r="O74" s="2917"/>
      <c r="P74" s="2917"/>
      <c r="Q74" s="2917"/>
      <c r="R74" s="2917"/>
      <c r="S74" s="2541"/>
    </row>
    <row r="75" spans="1:23" s="2521" customFormat="1" ht="15.2" customHeight="1" thickBot="1">
      <c r="A75" s="2560"/>
      <c r="B75" s="2560"/>
      <c r="C75" s="2560"/>
      <c r="D75" s="2560"/>
      <c r="E75" s="2560"/>
      <c r="F75" s="2560"/>
      <c r="G75" s="2560"/>
      <c r="H75" s="2560"/>
      <c r="I75" s="2560"/>
      <c r="J75" s="2560"/>
      <c r="K75" s="2560"/>
      <c r="L75" s="2560"/>
      <c r="M75" s="2560"/>
      <c r="N75" s="2560"/>
      <c r="O75" s="2560"/>
      <c r="P75" s="2560"/>
      <c r="Q75" s="2560"/>
      <c r="R75" s="2560"/>
      <c r="S75" s="2541"/>
    </row>
    <row r="76" spans="1:23" s="2521" customFormat="1" ht="5.25" customHeight="1">
      <c r="A76" s="2541"/>
      <c r="B76" s="2541"/>
      <c r="C76" s="2541"/>
      <c r="D76" s="2541"/>
      <c r="E76" s="2541"/>
      <c r="F76" s="2541"/>
      <c r="G76" s="2541"/>
      <c r="H76" s="2541"/>
      <c r="I76" s="2541"/>
      <c r="J76" s="2541"/>
      <c r="K76" s="2541"/>
      <c r="L76" s="2541"/>
      <c r="M76" s="2541"/>
      <c r="N76" s="2541"/>
      <c r="O76" s="2541"/>
      <c r="P76" s="2541"/>
      <c r="Q76" s="2541"/>
      <c r="R76" s="2541"/>
      <c r="S76" s="2541"/>
    </row>
    <row r="77" spans="1:23" s="2521" customFormat="1" ht="25.15" customHeight="1">
      <c r="A77" s="2551"/>
      <c r="B77" s="2918" t="s">
        <v>1932</v>
      </c>
      <c r="C77" s="2918"/>
      <c r="D77" s="2920" t="s">
        <v>1470</v>
      </c>
      <c r="E77" s="2920"/>
      <c r="F77" s="2920"/>
      <c r="G77" s="2920"/>
      <c r="H77" s="2920"/>
      <c r="I77" s="2920"/>
      <c r="J77" s="2920"/>
      <c r="K77" s="2920"/>
      <c r="L77" s="2920"/>
      <c r="M77" s="2920"/>
      <c r="N77" s="2920"/>
      <c r="O77" s="2920"/>
      <c r="P77" s="2920"/>
      <c r="Q77" s="2920"/>
      <c r="R77" s="2920"/>
      <c r="S77" s="2553"/>
      <c r="T77" s="2549"/>
    </row>
    <row r="78" spans="1:23" s="2521" customFormat="1" ht="5.25" customHeight="1">
      <c r="A78" s="2551"/>
      <c r="B78" s="2918"/>
      <c r="C78" s="2918"/>
      <c r="D78" s="2528"/>
      <c r="E78" s="2528"/>
      <c r="F78" s="2528"/>
      <c r="G78" s="2528"/>
      <c r="H78" s="2528"/>
      <c r="I78" s="2528"/>
      <c r="J78" s="2528"/>
      <c r="K78" s="2528"/>
      <c r="L78" s="2528"/>
      <c r="M78" s="2528"/>
      <c r="N78" s="2528"/>
      <c r="O78" s="2528"/>
      <c r="P78" s="2528"/>
      <c r="Q78" s="2528"/>
      <c r="R78" s="2528"/>
      <c r="S78" s="2553"/>
      <c r="T78" s="2549"/>
    </row>
    <row r="79" spans="1:23" s="2521" customFormat="1">
      <c r="A79" s="2551"/>
      <c r="B79" s="2918"/>
      <c r="C79" s="2918"/>
      <c r="D79" s="2921" t="s">
        <v>1461</v>
      </c>
      <c r="E79" s="2559"/>
      <c r="F79" s="2558" t="s">
        <v>1493</v>
      </c>
      <c r="G79" s="2559"/>
      <c r="H79" s="2558" t="s">
        <v>1492</v>
      </c>
      <c r="I79" s="2559"/>
      <c r="J79" s="2558" t="s">
        <v>1931</v>
      </c>
      <c r="K79" s="2559"/>
      <c r="L79" s="2558" t="s">
        <v>1490</v>
      </c>
      <c r="M79" s="2559"/>
      <c r="N79" s="2558" t="s">
        <v>1489</v>
      </c>
      <c r="O79" s="2559"/>
      <c r="P79" s="2921" t="s">
        <v>1451</v>
      </c>
      <c r="Q79" s="2559"/>
      <c r="R79" s="2558" t="s">
        <v>1488</v>
      </c>
      <c r="S79" s="2553"/>
      <c r="T79" s="2549"/>
    </row>
    <row r="80" spans="1:23" s="2521" customFormat="1" ht="30" customHeight="1" thickBot="1">
      <c r="A80" s="2557"/>
      <c r="B80" s="2919"/>
      <c r="C80" s="2919"/>
      <c r="D80" s="2922"/>
      <c r="E80" s="2555"/>
      <c r="F80" s="2554" t="s">
        <v>1487</v>
      </c>
      <c r="G80" s="2555"/>
      <c r="H80" s="2554" t="s">
        <v>1486</v>
      </c>
      <c r="I80" s="2555"/>
      <c r="J80" s="2554" t="s">
        <v>1485</v>
      </c>
      <c r="K80" s="2555"/>
      <c r="L80" s="2556" t="s">
        <v>1484</v>
      </c>
      <c r="M80" s="2555"/>
      <c r="N80" s="2554" t="s">
        <v>1483</v>
      </c>
      <c r="O80" s="2555"/>
      <c r="P80" s="2922"/>
      <c r="Q80" s="2555"/>
      <c r="R80" s="2554" t="s">
        <v>1482</v>
      </c>
      <c r="S80" s="2553"/>
      <c r="T80" s="2549"/>
    </row>
    <row r="81" spans="1:20" s="2521" customFormat="1">
      <c r="A81" s="2541"/>
      <c r="B81" s="2552"/>
      <c r="C81" s="2549"/>
      <c r="D81" s="2549"/>
      <c r="E81" s="2549"/>
      <c r="F81" s="2551"/>
      <c r="G81" s="2551"/>
      <c r="H81" s="2551"/>
      <c r="I81" s="2551"/>
      <c r="J81" s="2550"/>
      <c r="K81" s="2550"/>
      <c r="L81" s="2550"/>
      <c r="M81" s="2550"/>
      <c r="N81" s="2550"/>
      <c r="O81" s="2550"/>
      <c r="P81" s="2550"/>
      <c r="Q81" s="2550"/>
      <c r="R81" s="2550"/>
      <c r="S81" s="2541"/>
      <c r="T81" s="2549"/>
    </row>
    <row r="82" spans="1:20" s="1995" customFormat="1" ht="12.95" customHeight="1">
      <c r="B82" s="2544" t="s">
        <v>1694</v>
      </c>
      <c r="C82" s="1996"/>
      <c r="D82" s="2543">
        <v>41</v>
      </c>
      <c r="E82" s="1565"/>
      <c r="F82" s="2543">
        <v>41</v>
      </c>
      <c r="G82" s="1565"/>
      <c r="H82" s="2543">
        <v>41</v>
      </c>
      <c r="I82" s="1565"/>
      <c r="J82" s="2543">
        <v>29</v>
      </c>
      <c r="K82" s="2543"/>
      <c r="L82" s="2543">
        <v>29</v>
      </c>
      <c r="M82" s="2543"/>
      <c r="N82" s="2543">
        <v>41</v>
      </c>
      <c r="O82" s="2543"/>
      <c r="P82" s="2543">
        <v>66</v>
      </c>
      <c r="Q82" s="2543"/>
      <c r="R82" s="2543">
        <v>29</v>
      </c>
    </row>
    <row r="83" spans="1:20" s="1995" customFormat="1" ht="12.95" customHeight="1">
      <c r="B83" s="2292"/>
      <c r="C83" s="1996"/>
      <c r="D83" s="2488"/>
      <c r="E83" s="2545"/>
      <c r="F83" s="2488"/>
      <c r="G83" s="2545"/>
      <c r="H83" s="2488"/>
      <c r="I83" s="2488"/>
      <c r="J83" s="2488"/>
      <c r="K83" s="2488"/>
      <c r="L83" s="2488"/>
      <c r="M83" s="2488"/>
      <c r="N83" s="2488"/>
      <c r="O83" s="2488"/>
      <c r="P83" s="2488"/>
      <c r="Q83" s="2488"/>
      <c r="R83" s="2488"/>
    </row>
    <row r="84" spans="1:20" s="1995" customFormat="1" ht="12.95" customHeight="1">
      <c r="B84" s="2544" t="s">
        <v>1580</v>
      </c>
      <c r="C84" s="1996"/>
      <c r="D84" s="2543">
        <v>41</v>
      </c>
      <c r="E84" s="1565"/>
      <c r="F84" s="2543">
        <v>41</v>
      </c>
      <c r="G84" s="1565"/>
      <c r="H84" s="2543">
        <v>41</v>
      </c>
      <c r="I84" s="1565"/>
      <c r="J84" s="2543">
        <v>29</v>
      </c>
      <c r="K84" s="2543"/>
      <c r="L84" s="2543">
        <v>29</v>
      </c>
      <c r="M84" s="2543"/>
      <c r="N84" s="2543">
        <v>41</v>
      </c>
      <c r="O84" s="2543"/>
      <c r="P84" s="2543">
        <v>66</v>
      </c>
      <c r="Q84" s="2543"/>
      <c r="R84" s="2543">
        <v>29</v>
      </c>
    </row>
    <row r="85" spans="1:20" s="1995" customFormat="1" ht="12.95" customHeight="1">
      <c r="B85" s="2292"/>
      <c r="C85" s="1996"/>
      <c r="D85" s="2488"/>
      <c r="E85" s="2546"/>
      <c r="F85" s="2488"/>
      <c r="G85" s="2545"/>
      <c r="H85" s="2488"/>
      <c r="I85" s="2488"/>
      <c r="J85" s="2488"/>
      <c r="K85" s="2488"/>
      <c r="L85" s="2488"/>
      <c r="M85" s="2488"/>
      <c r="N85" s="2488"/>
      <c r="O85" s="2488"/>
      <c r="P85" s="2488"/>
      <c r="Q85" s="2488"/>
      <c r="R85" s="2488"/>
    </row>
    <row r="86" spans="1:20" s="1995" customFormat="1" ht="12.95" customHeight="1">
      <c r="B86" s="2544" t="s">
        <v>1693</v>
      </c>
      <c r="C86" s="1996"/>
      <c r="D86" s="2543">
        <v>41</v>
      </c>
      <c r="E86" s="1565"/>
      <c r="F86" s="2543">
        <v>41</v>
      </c>
      <c r="G86" s="1565"/>
      <c r="H86" s="2543">
        <v>41</v>
      </c>
      <c r="I86" s="1565"/>
      <c r="J86" s="2543">
        <v>29</v>
      </c>
      <c r="K86" s="2543"/>
      <c r="L86" s="2543">
        <v>29</v>
      </c>
      <c r="M86" s="2543"/>
      <c r="N86" s="2543">
        <v>41</v>
      </c>
      <c r="O86" s="2543"/>
      <c r="P86" s="2543">
        <v>66</v>
      </c>
      <c r="Q86" s="2543"/>
      <c r="R86" s="2543">
        <v>29</v>
      </c>
    </row>
    <row r="87" spans="1:20" s="1995" customFormat="1" ht="12.95" customHeight="1">
      <c r="B87" s="2292"/>
      <c r="C87" s="1996"/>
      <c r="D87" s="2547"/>
      <c r="E87" s="2545"/>
      <c r="F87" s="2488"/>
      <c r="G87" s="2545"/>
      <c r="H87" s="2488"/>
      <c r="I87" s="2488"/>
      <c r="J87" s="2488"/>
      <c r="K87" s="2488"/>
      <c r="L87" s="2488"/>
      <c r="M87" s="2488"/>
      <c r="N87" s="2488"/>
      <c r="O87" s="2488"/>
      <c r="P87" s="2488"/>
      <c r="Q87" s="2488"/>
      <c r="R87" s="2488"/>
    </row>
    <row r="88" spans="1:20" s="1995" customFormat="1" ht="12.95" customHeight="1">
      <c r="B88" s="2544" t="s">
        <v>1692</v>
      </c>
      <c r="C88" s="1996"/>
      <c r="D88" s="2543">
        <v>41</v>
      </c>
      <c r="E88" s="1565"/>
      <c r="F88" s="2543">
        <v>41</v>
      </c>
      <c r="G88" s="1565"/>
      <c r="H88" s="2543">
        <v>41</v>
      </c>
      <c r="I88" s="1565"/>
      <c r="J88" s="2543">
        <v>29</v>
      </c>
      <c r="K88" s="2543"/>
      <c r="L88" s="2543">
        <v>29</v>
      </c>
      <c r="M88" s="2543"/>
      <c r="N88" s="2543">
        <v>41</v>
      </c>
      <c r="O88" s="2543"/>
      <c r="P88" s="2543">
        <v>66</v>
      </c>
      <c r="Q88" s="2543"/>
      <c r="R88" s="2543">
        <v>29</v>
      </c>
    </row>
    <row r="89" spans="1:20" s="1995" customFormat="1" ht="12.95" customHeight="1">
      <c r="B89" s="2292"/>
      <c r="C89" s="1996"/>
      <c r="D89" s="2488"/>
      <c r="E89" s="2545"/>
      <c r="F89" s="2488"/>
      <c r="G89" s="2545"/>
      <c r="H89" s="2488"/>
      <c r="I89" s="2488"/>
      <c r="J89" s="2488"/>
      <c r="K89" s="2488"/>
      <c r="L89" s="2488"/>
      <c r="M89" s="2488"/>
      <c r="N89" s="2488"/>
      <c r="O89" s="2488"/>
      <c r="P89" s="2488"/>
      <c r="Q89" s="2488"/>
      <c r="R89" s="2488"/>
    </row>
    <row r="90" spans="1:20" s="1995" customFormat="1" ht="12.95" customHeight="1">
      <c r="B90" s="2544" t="s">
        <v>1691</v>
      </c>
      <c r="C90" s="1996"/>
      <c r="D90" s="2543">
        <v>41</v>
      </c>
      <c r="E90" s="1565"/>
      <c r="F90" s="2543">
        <v>41</v>
      </c>
      <c r="G90" s="1565"/>
      <c r="H90" s="2543">
        <v>41</v>
      </c>
      <c r="I90" s="1565"/>
      <c r="J90" s="2543">
        <v>29</v>
      </c>
      <c r="K90" s="2543"/>
      <c r="L90" s="2543">
        <v>29</v>
      </c>
      <c r="M90" s="2543"/>
      <c r="N90" s="2543">
        <v>41</v>
      </c>
      <c r="O90" s="2543"/>
      <c r="P90" s="2543">
        <v>66</v>
      </c>
      <c r="Q90" s="2543"/>
      <c r="R90" s="2543">
        <v>29</v>
      </c>
    </row>
    <row r="91" spans="1:20" s="1995" customFormat="1" ht="12.95" customHeight="1">
      <c r="B91" s="2292"/>
      <c r="C91" s="1996"/>
      <c r="D91" s="2488"/>
      <c r="E91" s="2546"/>
      <c r="F91" s="2488"/>
      <c r="G91" s="2545"/>
      <c r="H91" s="2488"/>
      <c r="I91" s="2488"/>
      <c r="J91" s="2488"/>
      <c r="K91" s="2488"/>
      <c r="L91" s="2488"/>
      <c r="M91" s="2488"/>
      <c r="N91" s="2488"/>
      <c r="O91" s="2488"/>
      <c r="P91" s="2488"/>
      <c r="Q91" s="2488"/>
      <c r="R91" s="2488"/>
    </row>
    <row r="92" spans="1:20" s="1995" customFormat="1" ht="12.95" customHeight="1">
      <c r="B92" s="2544" t="s">
        <v>1690</v>
      </c>
      <c r="C92" s="1996"/>
      <c r="D92" s="2543">
        <v>41</v>
      </c>
      <c r="E92" s="1565"/>
      <c r="F92" s="2543">
        <v>41</v>
      </c>
      <c r="G92" s="1565"/>
      <c r="H92" s="2543">
        <v>41</v>
      </c>
      <c r="I92" s="1565"/>
      <c r="J92" s="2543">
        <v>29</v>
      </c>
      <c r="K92" s="2543"/>
      <c r="L92" s="2543">
        <v>29</v>
      </c>
      <c r="M92" s="2543"/>
      <c r="N92" s="2543">
        <v>41</v>
      </c>
      <c r="O92" s="2543"/>
      <c r="P92" s="2543">
        <v>66</v>
      </c>
      <c r="Q92" s="2543"/>
      <c r="R92" s="2543">
        <v>29</v>
      </c>
    </row>
    <row r="93" spans="1:20" s="1995" customFormat="1" ht="12.95" customHeight="1">
      <c r="B93" s="2292"/>
      <c r="C93" s="1996"/>
      <c r="D93" s="2547"/>
      <c r="E93" s="2547"/>
      <c r="F93" s="2488"/>
      <c r="G93" s="2545"/>
      <c r="H93" s="2488"/>
      <c r="I93" s="2488"/>
      <c r="J93" s="2488"/>
      <c r="K93" s="2488"/>
      <c r="L93" s="2488"/>
      <c r="M93" s="2488"/>
      <c r="N93" s="2488"/>
      <c r="O93" s="2488"/>
      <c r="P93" s="2488"/>
      <c r="Q93" s="2488"/>
      <c r="R93" s="2488"/>
    </row>
    <row r="94" spans="1:20" s="1995" customFormat="1" ht="12.95" customHeight="1">
      <c r="B94" s="2544" t="s">
        <v>1689</v>
      </c>
      <c r="C94" s="1996"/>
      <c r="D94" s="2543">
        <v>41</v>
      </c>
      <c r="E94" s="1565"/>
      <c r="F94" s="2543">
        <v>41</v>
      </c>
      <c r="G94" s="1565"/>
      <c r="H94" s="2543">
        <v>41</v>
      </c>
      <c r="I94" s="1565"/>
      <c r="J94" s="2543">
        <v>29</v>
      </c>
      <c r="K94" s="2543"/>
      <c r="L94" s="2543">
        <v>29</v>
      </c>
      <c r="M94" s="2543"/>
      <c r="N94" s="2543">
        <v>41</v>
      </c>
      <c r="O94" s="2543"/>
      <c r="P94" s="2543">
        <v>66</v>
      </c>
      <c r="Q94" s="2543"/>
      <c r="R94" s="2543">
        <v>29</v>
      </c>
    </row>
    <row r="95" spans="1:20" s="1995" customFormat="1" ht="12.95" customHeight="1">
      <c r="B95" s="2292"/>
      <c r="C95" s="1996"/>
      <c r="D95" s="2488"/>
      <c r="E95" s="2545"/>
      <c r="F95" s="2488"/>
      <c r="G95" s="2545"/>
      <c r="H95" s="2488"/>
      <c r="I95" s="2488"/>
      <c r="J95" s="2488"/>
      <c r="K95" s="2488"/>
      <c r="L95" s="2488"/>
      <c r="M95" s="2488"/>
      <c r="N95" s="2488"/>
      <c r="O95" s="2488"/>
      <c r="P95" s="2488"/>
      <c r="Q95" s="2488"/>
      <c r="R95" s="2488"/>
    </row>
    <row r="96" spans="1:20" s="1995" customFormat="1" ht="12.95" customHeight="1">
      <c r="B96" s="2544" t="s">
        <v>1688</v>
      </c>
      <c r="C96" s="1996"/>
      <c r="D96" s="2543">
        <v>41</v>
      </c>
      <c r="E96" s="1565"/>
      <c r="F96" s="2543">
        <v>41</v>
      </c>
      <c r="G96" s="1565"/>
      <c r="H96" s="2543">
        <v>41</v>
      </c>
      <c r="I96" s="1565"/>
      <c r="J96" s="2543">
        <v>29</v>
      </c>
      <c r="K96" s="2543"/>
      <c r="L96" s="2543">
        <v>29</v>
      </c>
      <c r="M96" s="2543"/>
      <c r="N96" s="2543">
        <v>41</v>
      </c>
      <c r="O96" s="2543"/>
      <c r="P96" s="2543">
        <v>66</v>
      </c>
      <c r="Q96" s="2543"/>
      <c r="R96" s="2543">
        <v>29</v>
      </c>
    </row>
    <row r="97" spans="2:18" s="1995" customFormat="1" ht="12.95" customHeight="1">
      <c r="B97" s="2292"/>
      <c r="C97" s="1996"/>
      <c r="D97" s="2488"/>
      <c r="E97" s="2546"/>
      <c r="F97" s="2488"/>
      <c r="G97" s="2545"/>
      <c r="H97" s="2488"/>
      <c r="I97" s="2488"/>
      <c r="J97" s="2488"/>
      <c r="K97" s="2488"/>
      <c r="L97" s="2488"/>
      <c r="M97" s="2488"/>
      <c r="N97" s="2488"/>
      <c r="O97" s="2488"/>
      <c r="P97" s="2488"/>
      <c r="Q97" s="2488"/>
      <c r="R97" s="2488"/>
    </row>
    <row r="98" spans="2:18" s="1995" customFormat="1" ht="12.95" customHeight="1">
      <c r="B98" s="2544" t="s">
        <v>1687</v>
      </c>
      <c r="C98" s="1996"/>
      <c r="D98" s="2543">
        <v>41</v>
      </c>
      <c r="E98" s="1565"/>
      <c r="F98" s="2543">
        <v>41</v>
      </c>
      <c r="G98" s="1565"/>
      <c r="H98" s="2543">
        <v>41</v>
      </c>
      <c r="I98" s="1565"/>
      <c r="J98" s="2543">
        <v>29</v>
      </c>
      <c r="K98" s="2543"/>
      <c r="L98" s="2543">
        <v>29</v>
      </c>
      <c r="M98" s="2543"/>
      <c r="N98" s="2543">
        <v>41</v>
      </c>
      <c r="O98" s="2543"/>
      <c r="P98" s="2543">
        <v>66</v>
      </c>
      <c r="Q98" s="2543"/>
      <c r="R98" s="2543">
        <v>29</v>
      </c>
    </row>
    <row r="99" spans="2:18" s="1995" customFormat="1" ht="12.95" customHeight="1">
      <c r="B99" s="2292"/>
      <c r="C99" s="1996"/>
      <c r="D99" s="2546"/>
      <c r="E99" s="2547"/>
      <c r="F99" s="2488"/>
      <c r="G99" s="2545"/>
      <c r="H99" s="2488"/>
      <c r="I99" s="2488"/>
      <c r="J99" s="2488"/>
      <c r="K99" s="2488"/>
      <c r="L99" s="2488"/>
      <c r="M99" s="2488"/>
      <c r="N99" s="2488"/>
      <c r="O99" s="2488"/>
      <c r="P99" s="2488"/>
      <c r="Q99" s="2488"/>
      <c r="R99" s="2488"/>
    </row>
    <row r="100" spans="2:18" s="1995" customFormat="1" ht="12.95" customHeight="1">
      <c r="B100" s="2544" t="s">
        <v>1686</v>
      </c>
      <c r="C100" s="1996"/>
      <c r="D100" s="2543">
        <v>41</v>
      </c>
      <c r="E100" s="1565"/>
      <c r="F100" s="2543">
        <v>41</v>
      </c>
      <c r="G100" s="1565"/>
      <c r="H100" s="2543">
        <v>41</v>
      </c>
      <c r="I100" s="1565"/>
      <c r="J100" s="2543">
        <v>29</v>
      </c>
      <c r="K100" s="2543"/>
      <c r="L100" s="2543">
        <v>29</v>
      </c>
      <c r="M100" s="2543"/>
      <c r="N100" s="2543">
        <v>41</v>
      </c>
      <c r="O100" s="2543"/>
      <c r="P100" s="2543">
        <v>66</v>
      </c>
      <c r="Q100" s="2543"/>
      <c r="R100" s="2543">
        <v>29</v>
      </c>
    </row>
    <row r="101" spans="2:18" s="1995" customFormat="1" ht="12.95" customHeight="1">
      <c r="B101" s="2292"/>
      <c r="C101" s="1996"/>
      <c r="D101" s="2488"/>
      <c r="E101" s="2545"/>
      <c r="F101" s="2488"/>
      <c r="G101" s="2545"/>
      <c r="H101" s="2488"/>
      <c r="I101" s="2488"/>
      <c r="J101" s="2488"/>
      <c r="K101" s="2488"/>
      <c r="L101" s="2488"/>
      <c r="M101" s="2488"/>
      <c r="N101" s="2488"/>
      <c r="O101" s="2488"/>
      <c r="P101" s="2488"/>
      <c r="Q101" s="2488"/>
      <c r="R101" s="2488"/>
    </row>
    <row r="102" spans="2:18" s="1995" customFormat="1" ht="12.95" customHeight="1">
      <c r="B102" s="2544" t="s">
        <v>1867</v>
      </c>
      <c r="C102" s="1996"/>
      <c r="D102" s="2543">
        <v>41</v>
      </c>
      <c r="E102" s="1565"/>
      <c r="F102" s="2543">
        <v>41</v>
      </c>
      <c r="G102" s="1565"/>
      <c r="H102" s="2543">
        <v>41</v>
      </c>
      <c r="I102" s="1565"/>
      <c r="J102" s="2543">
        <v>29</v>
      </c>
      <c r="K102" s="2543"/>
      <c r="L102" s="2543">
        <v>29</v>
      </c>
      <c r="M102" s="2543"/>
      <c r="N102" s="2543">
        <v>41</v>
      </c>
      <c r="O102" s="2543"/>
      <c r="P102" s="2543">
        <v>66</v>
      </c>
      <c r="Q102" s="2543"/>
      <c r="R102" s="2543">
        <v>29</v>
      </c>
    </row>
    <row r="103" spans="2:18" s="1995" customFormat="1" ht="12.95" customHeight="1">
      <c r="B103" s="2292"/>
      <c r="C103" s="1996"/>
      <c r="D103" s="2488"/>
      <c r="E103" s="2546"/>
      <c r="F103" s="2488"/>
      <c r="G103" s="2545"/>
      <c r="H103" s="2488"/>
      <c r="I103" s="2488"/>
      <c r="J103" s="2488"/>
      <c r="K103" s="2488"/>
      <c r="L103" s="2488"/>
      <c r="M103" s="2488"/>
      <c r="N103" s="2488"/>
      <c r="O103" s="2488"/>
      <c r="P103" s="2488"/>
      <c r="Q103" s="2488"/>
      <c r="R103" s="2488"/>
    </row>
    <row r="104" spans="2:18" s="1995" customFormat="1" ht="12.95" customHeight="1">
      <c r="B104" s="2544" t="s">
        <v>1578</v>
      </c>
      <c r="C104" s="1996"/>
      <c r="D104" s="2543">
        <v>41</v>
      </c>
      <c r="E104" s="1565"/>
      <c r="F104" s="2543">
        <v>41</v>
      </c>
      <c r="G104" s="1565"/>
      <c r="H104" s="2543">
        <v>41</v>
      </c>
      <c r="I104" s="1565"/>
      <c r="J104" s="2543">
        <v>29</v>
      </c>
      <c r="K104" s="2543"/>
      <c r="L104" s="2543">
        <v>29</v>
      </c>
      <c r="M104" s="2543"/>
      <c r="N104" s="2543">
        <v>41</v>
      </c>
      <c r="O104" s="2543"/>
      <c r="P104" s="2543">
        <v>66</v>
      </c>
      <c r="Q104" s="2543"/>
      <c r="R104" s="2543">
        <v>29</v>
      </c>
    </row>
    <row r="105" spans="2:18" s="1995" customFormat="1" ht="12.95" customHeight="1">
      <c r="B105" s="2292"/>
      <c r="C105" s="1996"/>
      <c r="D105" s="2548"/>
      <c r="E105" s="2546"/>
      <c r="F105" s="2546"/>
      <c r="G105" s="2545"/>
      <c r="H105" s="2488"/>
      <c r="I105" s="2488"/>
      <c r="J105" s="2488"/>
      <c r="K105" s="2488"/>
      <c r="L105" s="2488"/>
      <c r="M105" s="2488"/>
      <c r="N105" s="2488"/>
      <c r="O105" s="2488"/>
      <c r="P105" s="2488"/>
      <c r="Q105" s="2488"/>
      <c r="R105" s="2488"/>
    </row>
    <row r="106" spans="2:18" s="1995" customFormat="1" ht="12.95" customHeight="1">
      <c r="B106" s="2544" t="s">
        <v>1866</v>
      </c>
      <c r="C106" s="1996"/>
      <c r="D106" s="2543">
        <v>41</v>
      </c>
      <c r="E106" s="1565"/>
      <c r="F106" s="2543">
        <v>41</v>
      </c>
      <c r="G106" s="1565"/>
      <c r="H106" s="2543">
        <v>41</v>
      </c>
      <c r="I106" s="1565"/>
      <c r="J106" s="2543">
        <v>29</v>
      </c>
      <c r="K106" s="2543"/>
      <c r="L106" s="2543">
        <v>29</v>
      </c>
      <c r="M106" s="2543"/>
      <c r="N106" s="2543">
        <v>41</v>
      </c>
      <c r="O106" s="2543"/>
      <c r="P106" s="2543">
        <v>66</v>
      </c>
      <c r="Q106" s="2543"/>
      <c r="R106" s="2543">
        <v>29</v>
      </c>
    </row>
    <row r="107" spans="2:18" s="1995" customFormat="1" ht="12.95" customHeight="1">
      <c r="B107" s="2292"/>
      <c r="C107" s="1996"/>
      <c r="D107" s="2488"/>
      <c r="E107" s="2545"/>
      <c r="F107" s="2488"/>
      <c r="G107" s="2545"/>
      <c r="H107" s="2488"/>
      <c r="I107" s="2488"/>
      <c r="J107" s="2488"/>
      <c r="K107" s="2488"/>
      <c r="L107" s="2488"/>
      <c r="M107" s="2488"/>
      <c r="N107" s="2488"/>
      <c r="O107" s="2488"/>
      <c r="P107" s="2488"/>
      <c r="Q107" s="2488"/>
      <c r="R107" s="2488"/>
    </row>
    <row r="108" spans="2:18" s="1995" customFormat="1" ht="12.95" customHeight="1">
      <c r="B108" s="2544" t="s">
        <v>1865</v>
      </c>
      <c r="C108" s="1996"/>
      <c r="D108" s="2543">
        <v>41</v>
      </c>
      <c r="E108" s="1565"/>
      <c r="F108" s="2543">
        <v>41</v>
      </c>
      <c r="G108" s="1565"/>
      <c r="H108" s="2543">
        <v>41</v>
      </c>
      <c r="I108" s="1565"/>
      <c r="J108" s="2543">
        <v>29</v>
      </c>
      <c r="K108" s="2543"/>
      <c r="L108" s="2543">
        <v>29</v>
      </c>
      <c r="M108" s="2543"/>
      <c r="N108" s="2543">
        <v>41</v>
      </c>
      <c r="O108" s="2543"/>
      <c r="P108" s="2543">
        <v>66</v>
      </c>
      <c r="Q108" s="2543"/>
      <c r="R108" s="2543">
        <v>29</v>
      </c>
    </row>
    <row r="109" spans="2:18" s="1995" customFormat="1" ht="12.95" customHeight="1">
      <c r="B109" s="2292"/>
      <c r="C109" s="1996"/>
      <c r="D109" s="2488"/>
      <c r="E109" s="2546"/>
      <c r="F109" s="2488"/>
      <c r="G109" s="2545"/>
      <c r="H109" s="2488"/>
      <c r="I109" s="2488"/>
      <c r="J109" s="2488"/>
      <c r="K109" s="2488"/>
      <c r="L109" s="2488"/>
      <c r="M109" s="2488"/>
      <c r="N109" s="2488"/>
      <c r="O109" s="2488"/>
      <c r="P109" s="2488"/>
      <c r="Q109" s="2488"/>
      <c r="R109" s="2488"/>
    </row>
    <row r="110" spans="2:18" s="1995" customFormat="1" ht="12.95" customHeight="1">
      <c r="B110" s="2544" t="s">
        <v>1576</v>
      </c>
      <c r="C110" s="1996"/>
      <c r="D110" s="2543">
        <v>41</v>
      </c>
      <c r="E110" s="1565"/>
      <c r="F110" s="2543">
        <v>41</v>
      </c>
      <c r="G110" s="1565"/>
      <c r="H110" s="2543">
        <v>41</v>
      </c>
      <c r="I110" s="1565"/>
      <c r="J110" s="2543">
        <v>29</v>
      </c>
      <c r="K110" s="2543"/>
      <c r="L110" s="2543">
        <v>29</v>
      </c>
      <c r="M110" s="2543"/>
      <c r="N110" s="2543">
        <v>41</v>
      </c>
      <c r="O110" s="2543"/>
      <c r="P110" s="2543">
        <v>66</v>
      </c>
      <c r="Q110" s="2543"/>
      <c r="R110" s="2543">
        <v>29</v>
      </c>
    </row>
    <row r="111" spans="2:18" s="1995" customFormat="1" ht="12.95" customHeight="1">
      <c r="B111" s="2292"/>
      <c r="C111" s="1996"/>
      <c r="D111" s="2547"/>
      <c r="E111" s="2548"/>
      <c r="F111" s="2545"/>
      <c r="G111" s="2545"/>
      <c r="H111" s="2488"/>
      <c r="I111" s="2488"/>
      <c r="J111" s="2488"/>
      <c r="K111" s="2488"/>
      <c r="L111" s="2488"/>
      <c r="M111" s="2488"/>
      <c r="N111" s="2488"/>
      <c r="O111" s="2488"/>
      <c r="P111" s="2488"/>
      <c r="Q111" s="2488"/>
      <c r="R111" s="2488"/>
    </row>
    <row r="112" spans="2:18" s="1995" customFormat="1" ht="12.95" customHeight="1">
      <c r="B112" s="2544" t="s">
        <v>1864</v>
      </c>
      <c r="C112" s="1996"/>
      <c r="D112" s="2543">
        <v>41</v>
      </c>
      <c r="E112" s="1565"/>
      <c r="F112" s="2543">
        <v>41</v>
      </c>
      <c r="G112" s="1565"/>
      <c r="H112" s="2543">
        <v>41</v>
      </c>
      <c r="I112" s="1565"/>
      <c r="J112" s="2543">
        <v>29</v>
      </c>
      <c r="K112" s="2543"/>
      <c r="L112" s="2543">
        <v>29</v>
      </c>
      <c r="M112" s="2543"/>
      <c r="N112" s="2543">
        <v>41</v>
      </c>
      <c r="O112" s="2543"/>
      <c r="P112" s="2543">
        <v>66</v>
      </c>
      <c r="Q112" s="2543"/>
      <c r="R112" s="2543">
        <v>29</v>
      </c>
    </row>
    <row r="113" spans="1:20" s="1995" customFormat="1" ht="12.95" customHeight="1">
      <c r="B113" s="2292"/>
      <c r="C113" s="1996"/>
      <c r="D113" s="2488"/>
      <c r="E113" s="2545"/>
      <c r="F113" s="2488"/>
      <c r="G113" s="2545"/>
      <c r="H113" s="2488"/>
      <c r="I113" s="2488"/>
      <c r="J113" s="2488"/>
      <c r="K113" s="2488"/>
      <c r="L113" s="2488"/>
      <c r="M113" s="2488"/>
      <c r="N113" s="2488"/>
      <c r="O113" s="2488"/>
      <c r="P113" s="2488"/>
      <c r="Q113" s="2488"/>
      <c r="R113" s="2488"/>
    </row>
    <row r="114" spans="1:20" s="1995" customFormat="1" ht="12.95" customHeight="1">
      <c r="B114" s="2544" t="s">
        <v>1682</v>
      </c>
      <c r="C114" s="1996"/>
      <c r="D114" s="2543">
        <v>41</v>
      </c>
      <c r="E114" s="1565"/>
      <c r="F114" s="2543">
        <v>41</v>
      </c>
      <c r="G114" s="1565"/>
      <c r="H114" s="2543">
        <v>41</v>
      </c>
      <c r="I114" s="1565"/>
      <c r="J114" s="2543">
        <v>29</v>
      </c>
      <c r="K114" s="2543"/>
      <c r="L114" s="2543">
        <v>29</v>
      </c>
      <c r="M114" s="2543"/>
      <c r="N114" s="2543">
        <v>41</v>
      </c>
      <c r="O114" s="2543"/>
      <c r="P114" s="2543">
        <v>66</v>
      </c>
      <c r="Q114" s="2543"/>
      <c r="R114" s="2543">
        <v>29</v>
      </c>
    </row>
    <row r="115" spans="1:20" s="1995" customFormat="1" ht="12.95" customHeight="1">
      <c r="B115" s="2292"/>
      <c r="C115" s="1996"/>
      <c r="D115" s="2488"/>
      <c r="E115" s="2546"/>
      <c r="F115" s="2488"/>
      <c r="G115" s="2545"/>
      <c r="H115" s="2488"/>
      <c r="I115" s="2488"/>
      <c r="J115" s="2488"/>
      <c r="K115" s="2488"/>
      <c r="L115" s="2488"/>
      <c r="M115" s="2488"/>
      <c r="N115" s="2488"/>
      <c r="O115" s="2488"/>
      <c r="P115" s="2488"/>
      <c r="Q115" s="2488"/>
      <c r="R115" s="2488"/>
    </row>
    <row r="116" spans="1:20" s="1995" customFormat="1" ht="12.95" customHeight="1">
      <c r="B116" s="2544" t="s">
        <v>1685</v>
      </c>
      <c r="C116" s="1996"/>
      <c r="D116" s="2543">
        <v>41</v>
      </c>
      <c r="E116" s="1565"/>
      <c r="F116" s="2543">
        <v>41</v>
      </c>
      <c r="G116" s="1565"/>
      <c r="H116" s="2543">
        <v>41</v>
      </c>
      <c r="I116" s="1565"/>
      <c r="J116" s="2543">
        <v>29</v>
      </c>
      <c r="K116" s="2543"/>
      <c r="L116" s="2543">
        <v>29</v>
      </c>
      <c r="M116" s="2543"/>
      <c r="N116" s="2543">
        <v>41</v>
      </c>
      <c r="O116" s="2543"/>
      <c r="P116" s="2543">
        <v>66</v>
      </c>
      <c r="Q116" s="2543"/>
      <c r="R116" s="2543">
        <v>29</v>
      </c>
    </row>
    <row r="117" spans="1:20" s="1995" customFormat="1" ht="12.95" customHeight="1">
      <c r="B117" s="2292"/>
      <c r="C117" s="1996"/>
      <c r="D117" s="2548"/>
      <c r="E117" s="2547"/>
      <c r="F117" s="2547"/>
      <c r="G117" s="2545"/>
      <c r="H117" s="2488"/>
      <c r="I117" s="2488"/>
      <c r="J117" s="2488"/>
      <c r="K117" s="2488"/>
      <c r="L117" s="2488"/>
      <c r="M117" s="2488"/>
      <c r="N117" s="2488"/>
      <c r="O117" s="2488"/>
      <c r="P117" s="2488"/>
      <c r="Q117" s="2488"/>
      <c r="R117" s="2488"/>
    </row>
    <row r="118" spans="1:20" s="1995" customFormat="1" ht="12.95" customHeight="1">
      <c r="B118" s="2544" t="s">
        <v>1684</v>
      </c>
      <c r="C118" s="1996"/>
      <c r="D118" s="2543">
        <v>41</v>
      </c>
      <c r="E118" s="1565"/>
      <c r="F118" s="2543">
        <v>41</v>
      </c>
      <c r="G118" s="1565"/>
      <c r="H118" s="2543">
        <v>41</v>
      </c>
      <c r="I118" s="1565"/>
      <c r="J118" s="2543">
        <v>29</v>
      </c>
      <c r="K118" s="2543"/>
      <c r="L118" s="2543">
        <v>29</v>
      </c>
      <c r="M118" s="2543"/>
      <c r="N118" s="2543">
        <v>41</v>
      </c>
      <c r="O118" s="2543"/>
      <c r="P118" s="2543">
        <v>66</v>
      </c>
      <c r="Q118" s="2543"/>
      <c r="R118" s="2543">
        <v>29</v>
      </c>
    </row>
    <row r="119" spans="1:20" s="1995" customFormat="1" ht="12.95" customHeight="1">
      <c r="B119" s="2292"/>
      <c r="C119" s="1996"/>
      <c r="D119" s="2488"/>
      <c r="E119" s="2546"/>
      <c r="F119" s="2488"/>
      <c r="G119" s="2545"/>
      <c r="H119" s="2488"/>
      <c r="I119" s="2488"/>
      <c r="J119" s="2488"/>
      <c r="K119" s="2488"/>
      <c r="L119" s="2488"/>
      <c r="M119" s="2488"/>
      <c r="N119" s="2488"/>
      <c r="O119" s="2488"/>
      <c r="P119" s="2488"/>
      <c r="Q119" s="2488"/>
      <c r="R119" s="2488"/>
    </row>
    <row r="120" spans="1:20" s="1995" customFormat="1" ht="12.95" customHeight="1">
      <c r="B120" s="2544" t="s">
        <v>1683</v>
      </c>
      <c r="C120" s="1996"/>
      <c r="D120" s="2543">
        <v>41</v>
      </c>
      <c r="E120" s="1565"/>
      <c r="F120" s="2543">
        <v>41</v>
      </c>
      <c r="G120" s="1565"/>
      <c r="H120" s="2543">
        <v>41</v>
      </c>
      <c r="I120" s="1565"/>
      <c r="J120" s="2543">
        <v>29</v>
      </c>
      <c r="K120" s="2543"/>
      <c r="L120" s="2543">
        <v>29</v>
      </c>
      <c r="M120" s="2543"/>
      <c r="N120" s="2543">
        <v>41</v>
      </c>
      <c r="O120" s="2543"/>
      <c r="P120" s="2543">
        <v>66</v>
      </c>
      <c r="Q120" s="2543"/>
      <c r="R120" s="2543">
        <v>29</v>
      </c>
    </row>
    <row r="121" spans="1:20" s="2521" customFormat="1" ht="15.2" customHeight="1">
      <c r="A121" s="2541"/>
      <c r="B121" s="2542"/>
      <c r="C121" s="2539"/>
      <c r="D121" s="2539"/>
      <c r="E121" s="2539"/>
      <c r="F121" s="2539"/>
      <c r="G121" s="2539"/>
      <c r="H121" s="2539"/>
      <c r="I121" s="2539"/>
      <c r="J121" s="2539"/>
      <c r="K121" s="2539"/>
      <c r="L121" s="2539"/>
      <c r="M121" s="2539"/>
      <c r="N121" s="2539"/>
      <c r="O121" s="2539"/>
      <c r="P121" s="2539"/>
      <c r="Q121" s="2539"/>
      <c r="R121" s="2539"/>
      <c r="S121" s="2538"/>
      <c r="T121" s="2537"/>
    </row>
    <row r="122" spans="1:20" s="2521" customFormat="1">
      <c r="A122" s="2541"/>
      <c r="B122" s="2542"/>
      <c r="C122" s="2539"/>
      <c r="D122" s="2539"/>
      <c r="E122" s="2541"/>
      <c r="F122" s="2539"/>
      <c r="G122" s="2540"/>
      <c r="H122" s="2539"/>
      <c r="I122" s="2540"/>
      <c r="J122" s="2539"/>
      <c r="K122" s="2540"/>
      <c r="L122" s="2539"/>
      <c r="M122" s="2540"/>
      <c r="N122" s="2539"/>
      <c r="O122" s="2540"/>
      <c r="P122" s="2539"/>
      <c r="Q122" s="2540"/>
      <c r="R122" s="2539"/>
      <c r="S122" s="2538"/>
      <c r="T122" s="2537"/>
    </row>
    <row r="123" spans="1:20" s="2521" customFormat="1" ht="7.5" customHeight="1" thickBot="1">
      <c r="A123" s="2536"/>
      <c r="B123" s="2536"/>
      <c r="C123" s="2536"/>
      <c r="D123" s="2536"/>
      <c r="E123" s="2536"/>
      <c r="F123" s="2536"/>
      <c r="G123" s="2536"/>
      <c r="H123" s="2536"/>
      <c r="I123" s="2536"/>
      <c r="J123" s="2536"/>
      <c r="K123" s="2536"/>
      <c r="L123" s="2536"/>
      <c r="M123" s="2536"/>
      <c r="N123" s="2536"/>
      <c r="O123" s="2536"/>
      <c r="P123" s="2536"/>
      <c r="Q123" s="2536"/>
      <c r="R123" s="2536"/>
      <c r="S123" s="2527"/>
      <c r="T123" s="2527"/>
    </row>
    <row r="124" spans="1:20" s="2521" customFormat="1" ht="13.5" customHeight="1" thickTop="1">
      <c r="A124" s="2534"/>
      <c r="B124" s="2534"/>
      <c r="C124" s="2534"/>
      <c r="D124" s="2534"/>
      <c r="E124" s="2534"/>
      <c r="F124" s="2534"/>
      <c r="G124" s="2534"/>
      <c r="H124" s="2529"/>
      <c r="I124" s="2529"/>
      <c r="J124" s="2529"/>
      <c r="K124" s="2529"/>
      <c r="L124" s="2923" t="s">
        <v>0</v>
      </c>
      <c r="M124" s="2923"/>
      <c r="N124" s="2923"/>
      <c r="O124" s="2923"/>
      <c r="P124" s="2923"/>
      <c r="Q124" s="2923"/>
      <c r="R124" s="2923"/>
      <c r="S124" s="2530"/>
      <c r="T124" s="2527"/>
    </row>
    <row r="125" spans="1:20" s="2521" customFormat="1" ht="13.5" customHeight="1">
      <c r="A125" s="2534"/>
      <c r="B125" s="2534"/>
      <c r="C125" s="2534"/>
      <c r="D125" s="2534"/>
      <c r="E125" s="2534"/>
      <c r="F125" s="2534"/>
      <c r="G125" s="2534"/>
      <c r="H125" s="2529"/>
      <c r="I125" s="2529"/>
      <c r="J125" s="2529"/>
      <c r="K125" s="2529"/>
      <c r="L125" s="2924" t="s">
        <v>1</v>
      </c>
      <c r="M125" s="2924"/>
      <c r="N125" s="2924"/>
      <c r="O125" s="2924"/>
      <c r="P125" s="2924"/>
      <c r="Q125" s="2924"/>
      <c r="R125" s="2924"/>
      <c r="S125" s="2535"/>
      <c r="T125" s="2527"/>
    </row>
    <row r="126" spans="1:20" s="2521" customFormat="1" ht="13.5" customHeight="1">
      <c r="A126" s="2534"/>
      <c r="B126" s="2530" t="s">
        <v>1930</v>
      </c>
      <c r="C126" s="2534"/>
      <c r="D126" s="2534"/>
      <c r="E126" s="2534"/>
      <c r="F126" s="2534"/>
      <c r="G126" s="2534"/>
      <c r="H126" s="2529"/>
      <c r="I126" s="2529"/>
      <c r="J126" s="2529"/>
      <c r="K126" s="2529"/>
      <c r="L126" s="2529"/>
      <c r="M126" s="2529"/>
      <c r="N126" s="2529"/>
      <c r="O126" s="2529"/>
      <c r="P126" s="2529"/>
      <c r="Q126" s="2529"/>
      <c r="R126" s="2529"/>
      <c r="S126" s="2531"/>
      <c r="T126" s="2527"/>
    </row>
    <row r="127" spans="1:20" s="2521" customFormat="1" ht="3.6" customHeight="1">
      <c r="A127" s="2534"/>
      <c r="B127" s="2530"/>
      <c r="C127" s="2534"/>
      <c r="D127" s="2534"/>
      <c r="E127" s="2534"/>
      <c r="F127" s="2534"/>
      <c r="G127" s="2534"/>
      <c r="H127" s="2529"/>
      <c r="I127" s="2529"/>
      <c r="J127" s="2529"/>
      <c r="K127" s="2529"/>
      <c r="L127" s="2529"/>
      <c r="M127" s="2529"/>
      <c r="N127" s="2529"/>
      <c r="O127" s="2529"/>
      <c r="P127" s="2529"/>
      <c r="Q127" s="2529"/>
      <c r="R127" s="2529"/>
      <c r="S127" s="2531"/>
      <c r="T127" s="2527"/>
    </row>
    <row r="128" spans="1:20" s="2521" customFormat="1" ht="13.5" customHeight="1">
      <c r="A128" s="2533" t="s">
        <v>3</v>
      </c>
      <c r="B128" s="2523" t="s">
        <v>1929</v>
      </c>
      <c r="C128" s="2534"/>
      <c r="D128" s="2534"/>
      <c r="E128" s="2534"/>
      <c r="F128" s="2534"/>
      <c r="G128" s="2534"/>
      <c r="H128" s="2529"/>
      <c r="I128" s="2529"/>
      <c r="J128" s="2529"/>
      <c r="K128" s="2529"/>
      <c r="L128" s="2529"/>
      <c r="M128" s="2529"/>
      <c r="N128" s="2529"/>
      <c r="O128" s="2529"/>
      <c r="P128" s="2529"/>
      <c r="Q128" s="2529"/>
      <c r="R128" s="2529"/>
      <c r="S128" s="2531"/>
      <c r="T128" s="2527"/>
    </row>
    <row r="129" spans="1:23" s="2521" customFormat="1" ht="15.2" customHeight="1">
      <c r="A129" s="2523"/>
      <c r="B129" s="2522" t="s">
        <v>1928</v>
      </c>
      <c r="C129" s="2534"/>
      <c r="D129" s="2534"/>
      <c r="E129" s="2534"/>
      <c r="F129" s="2534"/>
      <c r="G129" s="2534"/>
      <c r="H129" s="2529"/>
      <c r="I129" s="2529"/>
      <c r="J129" s="2529"/>
      <c r="K129" s="2529"/>
      <c r="L129" s="2529"/>
      <c r="M129" s="2529"/>
      <c r="N129" s="2529"/>
      <c r="O129" s="2529"/>
      <c r="P129" s="2529"/>
      <c r="Q129" s="2529"/>
      <c r="R129" s="2529"/>
      <c r="S129" s="2529"/>
      <c r="T129" s="2527"/>
    </row>
    <row r="130" spans="1:23" s="2521" customFormat="1" ht="3.2" customHeight="1">
      <c r="A130" s="2523"/>
      <c r="B130" s="2530"/>
      <c r="C130" s="2534"/>
      <c r="D130" s="2534"/>
      <c r="E130" s="2534"/>
      <c r="F130" s="2534"/>
      <c r="G130" s="2534"/>
      <c r="H130" s="2529"/>
      <c r="I130" s="2529"/>
      <c r="J130" s="2529"/>
      <c r="K130" s="2529"/>
      <c r="L130" s="2529"/>
      <c r="M130" s="2529"/>
      <c r="N130" s="2529"/>
      <c r="O130" s="2529"/>
      <c r="P130" s="2529"/>
      <c r="Q130" s="2529"/>
      <c r="R130" s="2529"/>
      <c r="S130" s="2529"/>
      <c r="T130" s="2527"/>
    </row>
    <row r="131" spans="1:23" s="2521" customFormat="1" ht="15.2" customHeight="1">
      <c r="A131" s="2533" t="s">
        <v>4</v>
      </c>
      <c r="B131" s="2925" t="s">
        <v>1927</v>
      </c>
      <c r="C131" s="2925"/>
      <c r="D131" s="2925"/>
      <c r="E131" s="2925"/>
      <c r="F131" s="2925"/>
      <c r="G131" s="2925"/>
      <c r="H131" s="2925"/>
      <c r="I131" s="2925"/>
      <c r="J131" s="2925"/>
      <c r="K131" s="2925"/>
      <c r="L131" s="2925"/>
      <c r="M131" s="2925"/>
      <c r="N131" s="2925"/>
      <c r="O131" s="2925"/>
      <c r="P131" s="2925"/>
      <c r="Q131" s="2925"/>
      <c r="R131" s="2925"/>
      <c r="S131" s="2529"/>
      <c r="T131" s="2527"/>
    </row>
    <row r="132" spans="1:23" s="2521" customFormat="1" ht="9" customHeight="1">
      <c r="A132" s="2530"/>
      <c r="B132" s="2925"/>
      <c r="C132" s="2925"/>
      <c r="D132" s="2925"/>
      <c r="E132" s="2925"/>
      <c r="F132" s="2925"/>
      <c r="G132" s="2925"/>
      <c r="H132" s="2925"/>
      <c r="I132" s="2925"/>
      <c r="J132" s="2925"/>
      <c r="K132" s="2925"/>
      <c r="L132" s="2925"/>
      <c r="M132" s="2925"/>
      <c r="N132" s="2925"/>
      <c r="O132" s="2925"/>
      <c r="P132" s="2925"/>
      <c r="Q132" s="2925"/>
      <c r="R132" s="2925"/>
      <c r="S132" s="2532"/>
      <c r="T132" s="2528"/>
      <c r="U132" s="2528"/>
      <c r="V132" s="2531"/>
      <c r="W132" s="2527"/>
    </row>
    <row r="133" spans="1:23" s="2521" customFormat="1" ht="17.25" customHeight="1">
      <c r="A133" s="2530"/>
      <c r="B133" s="2915" t="s">
        <v>1926</v>
      </c>
      <c r="C133" s="2915"/>
      <c r="D133" s="2915"/>
      <c r="E133" s="2915"/>
      <c r="F133" s="2915"/>
      <c r="G133" s="2915"/>
      <c r="H133" s="2915"/>
      <c r="I133" s="2915"/>
      <c r="J133" s="2915"/>
      <c r="K133" s="2915"/>
      <c r="L133" s="2915"/>
      <c r="M133" s="2915"/>
      <c r="N133" s="2915"/>
      <c r="O133" s="2915"/>
      <c r="P133" s="2915"/>
      <c r="Q133" s="2915"/>
      <c r="R133" s="2915"/>
      <c r="S133" s="2529"/>
      <c r="T133" s="2528"/>
      <c r="U133" s="2528"/>
      <c r="V133" s="2527"/>
      <c r="W133" s="2527"/>
    </row>
    <row r="134" spans="1:23" s="2521" customFormat="1" ht="9.1999999999999993" customHeight="1">
      <c r="A134" s="2525"/>
      <c r="B134" s="2915"/>
      <c r="C134" s="2915"/>
      <c r="D134" s="2915"/>
      <c r="E134" s="2915"/>
      <c r="F134" s="2915"/>
      <c r="G134" s="2915"/>
      <c r="H134" s="2915"/>
      <c r="I134" s="2915"/>
      <c r="J134" s="2915"/>
      <c r="K134" s="2915"/>
      <c r="L134" s="2915"/>
      <c r="M134" s="2915"/>
      <c r="N134" s="2915"/>
      <c r="O134" s="2915"/>
      <c r="P134" s="2915"/>
      <c r="Q134" s="2915"/>
      <c r="R134" s="2915"/>
      <c r="S134" s="2526"/>
      <c r="T134" s="2526"/>
    </row>
    <row r="135" spans="1:23" s="2521" customFormat="1" ht="4.9000000000000004" customHeight="1">
      <c r="A135" s="2525"/>
    </row>
    <row r="136" spans="1:23" s="2521" customFormat="1" ht="12.6" customHeight="1">
      <c r="A136" s="2524" t="s">
        <v>263</v>
      </c>
      <c r="B136" s="2523" t="s">
        <v>1925</v>
      </c>
    </row>
    <row r="137" spans="1:23" s="2521" customFormat="1" ht="15.6" customHeight="1">
      <c r="B137" s="2522" t="s">
        <v>1924</v>
      </c>
    </row>
  </sheetData>
  <mergeCells count="20">
    <mergeCell ref="B131:R132"/>
    <mergeCell ref="B133:R134"/>
    <mergeCell ref="B77:C80"/>
    <mergeCell ref="D77:R77"/>
    <mergeCell ref="D79:D80"/>
    <mergeCell ref="P79:P80"/>
    <mergeCell ref="L124:R124"/>
    <mergeCell ref="L125:R125"/>
    <mergeCell ref="B66:R67"/>
    <mergeCell ref="C72:R72"/>
    <mergeCell ref="C73:R74"/>
    <mergeCell ref="C3:R3"/>
    <mergeCell ref="C4:R5"/>
    <mergeCell ref="B8:C11"/>
    <mergeCell ref="D8:R8"/>
    <mergeCell ref="D10:D11"/>
    <mergeCell ref="P10:P11"/>
    <mergeCell ref="L57:R57"/>
    <mergeCell ref="L58:R58"/>
    <mergeCell ref="B64:R65"/>
  </mergeCells>
  <conditionalFormatting sqref="C16:C55">
    <cfRule type="cellIs" dxfId="1" priority="2" stopIfTrue="1" operator="lessThan">
      <formula>0</formula>
    </cfRule>
  </conditionalFormatting>
  <conditionalFormatting sqref="C83:C122">
    <cfRule type="cellIs" dxfId="0" priority="1"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69" fitToWidth="0" fitToHeight="0" orientation="portrait" r:id="rId1"/>
  <rowBreaks count="1" manualBreakCount="1">
    <brk id="70" max="16383" man="1"/>
  </rowBreaks>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42DFB-FE27-4C05-96E3-6FD44A9054F5}">
  <sheetPr>
    <tabColor theme="4" tint="0.39997558519241921"/>
  </sheetPr>
  <dimension ref="A1:S109"/>
  <sheetViews>
    <sheetView view="pageBreakPreview" zoomScale="90" zoomScaleNormal="100" zoomScaleSheetLayoutView="90" workbookViewId="0">
      <selection activeCell="E15" sqref="E15"/>
    </sheetView>
  </sheetViews>
  <sheetFormatPr defaultColWidth="8.85546875" defaultRowHeight="15"/>
  <cols>
    <col min="1" max="1" width="2.42578125" style="2520" customWidth="1"/>
    <col min="2" max="2" width="15.5703125" style="2520" customWidth="1"/>
    <col min="3" max="3" width="4.85546875" style="2520" customWidth="1"/>
    <col min="4" max="4" width="6.42578125" style="2520" customWidth="1"/>
    <col min="5" max="6" width="7.7109375" style="2567" customWidth="1"/>
    <col min="7" max="8" width="12.85546875" style="2567" customWidth="1"/>
    <col min="9" max="9" width="1.85546875" style="2520" customWidth="1"/>
    <col min="10" max="11" width="7.7109375" style="2520" customWidth="1"/>
    <col min="12" max="12" width="12.85546875" style="2567" customWidth="1"/>
    <col min="13" max="13" width="12.85546875" style="2520" customWidth="1"/>
    <col min="14" max="14" width="2.140625" style="2520" customWidth="1"/>
    <col min="15" max="16" width="7.7109375" style="2520" customWidth="1"/>
    <col min="17" max="18" width="12.85546875" style="2520" customWidth="1"/>
    <col min="19" max="16384" width="8.85546875" style="2520"/>
  </cols>
  <sheetData>
    <row r="1" spans="1:18" s="2577" customFormat="1" ht="11.25" customHeight="1">
      <c r="B1" s="2610"/>
      <c r="C1" s="2610"/>
      <c r="D1" s="2609"/>
      <c r="E1" s="2608"/>
      <c r="F1" s="2635"/>
      <c r="G1" s="2635"/>
      <c r="H1" s="2635"/>
      <c r="I1" s="2636"/>
      <c r="J1" s="2635"/>
      <c r="K1" s="2635"/>
      <c r="L1" s="2635"/>
      <c r="M1" s="2635"/>
      <c r="N1" s="2635"/>
      <c r="O1" s="2635"/>
      <c r="P1" s="2635"/>
      <c r="Q1" s="2635"/>
    </row>
    <row r="2" spans="1:18" s="2616" customFormat="1" ht="17.25" customHeight="1">
      <c r="B2" s="2623" t="s">
        <v>1948</v>
      </c>
      <c r="C2" s="2622" t="s">
        <v>1951</v>
      </c>
      <c r="D2" s="2621"/>
      <c r="E2" s="2620"/>
      <c r="F2" s="2618"/>
      <c r="G2" s="2618"/>
      <c r="H2" s="2618"/>
      <c r="I2" s="2619"/>
      <c r="J2" s="2618"/>
      <c r="K2" s="2618"/>
      <c r="L2" s="2618"/>
      <c r="M2" s="2618"/>
      <c r="N2" s="2618"/>
      <c r="O2" s="2618"/>
      <c r="P2" s="2618"/>
      <c r="Q2" s="2618"/>
      <c r="R2" s="2617"/>
    </row>
    <row r="3" spans="1:18" s="2611" customFormat="1" ht="17.25" customHeight="1">
      <c r="B3" s="2615" t="s">
        <v>1946</v>
      </c>
      <c r="C3" s="2614" t="s">
        <v>1950</v>
      </c>
      <c r="D3" s="2613"/>
      <c r="E3" s="2612"/>
      <c r="F3" s="2612"/>
      <c r="G3" s="2612"/>
      <c r="H3" s="2612"/>
      <c r="L3" s="2612"/>
    </row>
    <row r="4" spans="1:18" s="2577" customFormat="1" ht="8.1" customHeight="1">
      <c r="B4" s="2610"/>
      <c r="C4" s="2610"/>
      <c r="D4" s="2609"/>
      <c r="E4" s="2608"/>
      <c r="F4" s="2606"/>
      <c r="G4" s="2606"/>
      <c r="H4" s="2606"/>
      <c r="I4" s="2607"/>
      <c r="J4" s="2606"/>
      <c r="K4" s="2606"/>
      <c r="L4" s="2606"/>
      <c r="M4" s="2606"/>
      <c r="N4" s="2606"/>
      <c r="O4" s="2606"/>
      <c r="P4" s="2606"/>
      <c r="Q4" s="2606"/>
    </row>
    <row r="5" spans="1:18" s="2577" customFormat="1" ht="8.1" customHeight="1" thickBot="1">
      <c r="A5" s="2574"/>
      <c r="B5" s="2605"/>
      <c r="C5" s="2605"/>
      <c r="D5" s="2604"/>
      <c r="E5" s="2571"/>
      <c r="F5" s="2602"/>
      <c r="G5" s="2602"/>
      <c r="H5" s="2602"/>
      <c r="I5" s="2603"/>
      <c r="J5" s="2602"/>
      <c r="K5" s="2602"/>
      <c r="L5" s="2602"/>
      <c r="M5" s="2602"/>
      <c r="N5" s="2602"/>
      <c r="O5" s="2602"/>
      <c r="P5" s="2602"/>
      <c r="Q5" s="2602"/>
      <c r="R5" s="2574"/>
    </row>
    <row r="6" spans="1:18" s="2591" customFormat="1" ht="8.1" customHeight="1">
      <c r="D6" s="2601"/>
      <c r="E6" s="2600"/>
      <c r="F6" s="2598"/>
      <c r="G6" s="2598"/>
      <c r="H6" s="2598"/>
      <c r="I6" s="2599"/>
      <c r="J6" s="2598"/>
      <c r="K6" s="2598"/>
      <c r="L6" s="2598"/>
      <c r="M6" s="2598"/>
      <c r="N6" s="2598"/>
      <c r="O6" s="2598"/>
      <c r="P6" s="2598"/>
      <c r="Q6" s="2598"/>
    </row>
    <row r="7" spans="1:18" s="2591" customFormat="1" ht="54" customHeight="1" thickBot="1">
      <c r="B7" s="2926" t="s">
        <v>1917</v>
      </c>
      <c r="C7" s="2597"/>
      <c r="D7" s="2596"/>
      <c r="E7" s="2854" t="s">
        <v>1949</v>
      </c>
      <c r="F7" s="2854"/>
      <c r="G7" s="2854"/>
      <c r="H7" s="2854"/>
      <c r="I7" s="2595"/>
      <c r="J7" s="2854" t="s">
        <v>1644</v>
      </c>
      <c r="K7" s="2854"/>
      <c r="L7" s="2854"/>
      <c r="M7" s="2854"/>
      <c r="N7" s="2595"/>
      <c r="O7" s="2854" t="s">
        <v>1942</v>
      </c>
      <c r="P7" s="2854"/>
      <c r="Q7" s="2854"/>
      <c r="R7" s="2854"/>
    </row>
    <row r="8" spans="1:18" s="2591" customFormat="1" ht="36" customHeight="1" thickBot="1">
      <c r="A8" s="2594"/>
      <c r="B8" s="2927"/>
      <c r="C8" s="2593"/>
      <c r="D8" s="2592"/>
      <c r="E8" s="2006" t="s">
        <v>1941</v>
      </c>
      <c r="F8" s="2006" t="s">
        <v>1940</v>
      </c>
      <c r="G8" s="2006" t="s">
        <v>1640</v>
      </c>
      <c r="H8" s="2006" t="s">
        <v>1639</v>
      </c>
      <c r="I8" s="2006"/>
      <c r="J8" s="2006" t="s">
        <v>1941</v>
      </c>
      <c r="K8" s="2006" t="s">
        <v>1940</v>
      </c>
      <c r="L8" s="2006" t="s">
        <v>1640</v>
      </c>
      <c r="M8" s="2006" t="s">
        <v>1639</v>
      </c>
      <c r="N8" s="2006"/>
      <c r="O8" s="2006" t="s">
        <v>1941</v>
      </c>
      <c r="P8" s="2006" t="s">
        <v>1940</v>
      </c>
      <c r="Q8" s="2006" t="s">
        <v>1640</v>
      </c>
      <c r="R8" s="2006" t="s">
        <v>1639</v>
      </c>
    </row>
    <row r="9" spans="1:18" s="2577" customFormat="1" ht="15.2" customHeight="1">
      <c r="B9" s="2590"/>
      <c r="C9" s="2590"/>
      <c r="D9" s="2589"/>
      <c r="E9" s="2588"/>
      <c r="F9" s="2587"/>
      <c r="G9" s="2587"/>
      <c r="H9" s="2587"/>
      <c r="I9" s="2587"/>
      <c r="J9" s="2587"/>
      <c r="K9" s="2587"/>
      <c r="L9" s="2587"/>
      <c r="M9" s="2587"/>
      <c r="N9" s="2587"/>
      <c r="O9" s="2587"/>
      <c r="P9" s="2587"/>
      <c r="Q9" s="2587"/>
    </row>
    <row r="10" spans="1:18" s="2002" customFormat="1" ht="15.75" customHeight="1">
      <c r="B10" s="2004" t="s">
        <v>235</v>
      </c>
      <c r="C10" s="2004"/>
      <c r="D10" s="2586"/>
      <c r="E10" s="2391">
        <v>39234</v>
      </c>
      <c r="F10" s="2391">
        <v>39234</v>
      </c>
      <c r="G10" s="2391">
        <v>139234</v>
      </c>
      <c r="H10" s="2391">
        <v>139234</v>
      </c>
      <c r="I10" s="2391"/>
      <c r="J10" s="2391">
        <v>39234</v>
      </c>
      <c r="K10" s="2391">
        <v>39234</v>
      </c>
      <c r="L10" s="2391">
        <v>139234</v>
      </c>
      <c r="M10" s="2391">
        <v>139234</v>
      </c>
      <c r="N10" s="2003"/>
      <c r="O10" s="2391">
        <v>39234</v>
      </c>
      <c r="P10" s="2391">
        <v>39234</v>
      </c>
      <c r="Q10" s="2391">
        <v>139234</v>
      </c>
      <c r="R10" s="2391">
        <v>139234</v>
      </c>
    </row>
    <row r="11" spans="1:18" s="2002" customFormat="1" ht="15.75" customHeight="1">
      <c r="B11" s="2004"/>
      <c r="C11" s="2004"/>
      <c r="D11" s="2586"/>
      <c r="E11" s="2003"/>
      <c r="F11" s="2003"/>
      <c r="G11" s="2583"/>
      <c r="H11" s="2583"/>
      <c r="I11" s="2003"/>
      <c r="J11" s="2003"/>
      <c r="K11" s="2003"/>
      <c r="L11" s="2003"/>
      <c r="M11" s="2583"/>
      <c r="N11" s="2003"/>
      <c r="O11" s="2003"/>
      <c r="P11" s="2003"/>
      <c r="Q11" s="2003"/>
      <c r="R11" s="2583"/>
    </row>
    <row r="12" spans="1:18" s="1995" customFormat="1" ht="15.75" customHeight="1">
      <c r="B12" s="2544" t="s">
        <v>1873</v>
      </c>
      <c r="C12" s="1996"/>
      <c r="D12" s="2586"/>
      <c r="E12" s="2290">
        <v>139</v>
      </c>
      <c r="F12" s="2290">
        <v>139</v>
      </c>
      <c r="G12" s="2290">
        <v>3</v>
      </c>
      <c r="H12" s="2290">
        <v>3</v>
      </c>
      <c r="I12" s="2290"/>
      <c r="J12" s="2290">
        <v>66</v>
      </c>
      <c r="K12" s="2290">
        <v>41</v>
      </c>
      <c r="L12" s="2290">
        <v>41</v>
      </c>
      <c r="M12" s="2290">
        <v>3</v>
      </c>
      <c r="N12" s="1991"/>
      <c r="O12" s="2290">
        <v>66</v>
      </c>
      <c r="P12" s="2290">
        <v>41</v>
      </c>
      <c r="Q12" s="2290">
        <v>41</v>
      </c>
      <c r="R12" s="2290">
        <v>3</v>
      </c>
    </row>
    <row r="13" spans="1:18" s="1995" customFormat="1" ht="15.75" customHeight="1">
      <c r="B13" s="2292"/>
      <c r="C13" s="1996"/>
      <c r="D13" s="2578"/>
      <c r="E13" s="2583"/>
      <c r="F13" s="1991"/>
      <c r="G13" s="2583"/>
      <c r="H13" s="2583"/>
      <c r="I13" s="1991"/>
      <c r="J13" s="1991"/>
      <c r="K13" s="1991"/>
      <c r="L13" s="1991"/>
      <c r="M13" s="2583"/>
      <c r="N13" s="1991"/>
      <c r="O13" s="1991"/>
      <c r="P13" s="1991"/>
      <c r="Q13" s="1991"/>
      <c r="R13" s="2583"/>
    </row>
    <row r="14" spans="1:18" s="1995" customFormat="1" ht="15.75" customHeight="1">
      <c r="B14" s="2544" t="s">
        <v>1720</v>
      </c>
      <c r="C14" s="1996"/>
      <c r="D14" s="2578"/>
      <c r="E14" s="2290">
        <v>139</v>
      </c>
      <c r="F14" s="2290">
        <v>139</v>
      </c>
      <c r="G14" s="2290">
        <v>3</v>
      </c>
      <c r="H14" s="2290">
        <v>3</v>
      </c>
      <c r="I14" s="2290"/>
      <c r="J14" s="2290">
        <v>66</v>
      </c>
      <c r="K14" s="2290">
        <v>41</v>
      </c>
      <c r="L14" s="2290">
        <v>41</v>
      </c>
      <c r="M14" s="2290">
        <v>3</v>
      </c>
      <c r="N14" s="1991"/>
      <c r="O14" s="2290">
        <v>66</v>
      </c>
      <c r="P14" s="2290">
        <v>41</v>
      </c>
      <c r="Q14" s="2290">
        <v>41</v>
      </c>
      <c r="R14" s="2290">
        <v>3</v>
      </c>
    </row>
    <row r="15" spans="1:18" s="1995" customFormat="1" ht="15.75" customHeight="1">
      <c r="B15" s="2292"/>
      <c r="C15" s="1996"/>
      <c r="D15" s="2578"/>
      <c r="E15" s="2584"/>
      <c r="F15" s="1991"/>
      <c r="G15" s="2583"/>
      <c r="H15" s="2583"/>
      <c r="I15" s="1991"/>
      <c r="J15" s="1991"/>
      <c r="K15" s="1991"/>
      <c r="L15" s="1991"/>
      <c r="M15" s="2583"/>
      <c r="N15" s="1991"/>
      <c r="O15" s="1991"/>
      <c r="P15" s="1991"/>
      <c r="Q15" s="1991"/>
      <c r="R15" s="2583"/>
    </row>
    <row r="16" spans="1:18" s="1995" customFormat="1" ht="15.75" customHeight="1">
      <c r="B16" s="2544" t="s">
        <v>1718</v>
      </c>
      <c r="C16" s="1996"/>
      <c r="D16" s="2578"/>
      <c r="E16" s="2290">
        <v>139</v>
      </c>
      <c r="F16" s="2290">
        <v>139</v>
      </c>
      <c r="G16" s="2290">
        <v>3</v>
      </c>
      <c r="H16" s="2290">
        <v>3</v>
      </c>
      <c r="I16" s="2290"/>
      <c r="J16" s="2290">
        <v>66</v>
      </c>
      <c r="K16" s="2290">
        <v>41</v>
      </c>
      <c r="L16" s="2290">
        <v>41</v>
      </c>
      <c r="M16" s="2290">
        <v>3</v>
      </c>
      <c r="N16" s="1991"/>
      <c r="O16" s="2290">
        <v>66</v>
      </c>
      <c r="P16" s="2290">
        <v>41</v>
      </c>
      <c r="Q16" s="2290">
        <v>41</v>
      </c>
      <c r="R16" s="2290">
        <v>3</v>
      </c>
    </row>
    <row r="17" spans="2:18" s="1995" customFormat="1" ht="15.75" customHeight="1">
      <c r="B17" s="2292"/>
      <c r="C17" s="1996"/>
      <c r="D17" s="2001"/>
      <c r="E17" s="2583"/>
      <c r="F17" s="1991"/>
      <c r="G17" s="2583"/>
      <c r="H17" s="2583"/>
      <c r="I17" s="1991"/>
      <c r="J17" s="1991"/>
      <c r="K17" s="1991"/>
      <c r="L17" s="1991"/>
      <c r="M17" s="2583"/>
      <c r="N17" s="1991"/>
      <c r="O17" s="1991"/>
      <c r="P17" s="1991"/>
      <c r="Q17" s="1991"/>
      <c r="R17" s="2583"/>
    </row>
    <row r="18" spans="2:18" s="1995" customFormat="1" ht="15.75" customHeight="1">
      <c r="B18" s="2544" t="s">
        <v>1717</v>
      </c>
      <c r="C18" s="1996"/>
      <c r="D18" s="1998"/>
      <c r="E18" s="2290">
        <v>139</v>
      </c>
      <c r="F18" s="2290">
        <v>139</v>
      </c>
      <c r="G18" s="2290">
        <v>3</v>
      </c>
      <c r="H18" s="2290">
        <v>3</v>
      </c>
      <c r="I18" s="2290"/>
      <c r="J18" s="2290">
        <v>66</v>
      </c>
      <c r="K18" s="2290">
        <v>41</v>
      </c>
      <c r="L18" s="2290">
        <v>41</v>
      </c>
      <c r="M18" s="2290">
        <v>3</v>
      </c>
      <c r="N18" s="1991"/>
      <c r="O18" s="2290">
        <v>66</v>
      </c>
      <c r="P18" s="2290">
        <v>41</v>
      </c>
      <c r="Q18" s="2290">
        <v>41</v>
      </c>
      <c r="R18" s="2290">
        <v>3</v>
      </c>
    </row>
    <row r="19" spans="2:18" s="1995" customFormat="1" ht="15.75" customHeight="1">
      <c r="B19" s="2292"/>
      <c r="C19" s="1996"/>
      <c r="D19" s="1998"/>
      <c r="E19" s="2583"/>
      <c r="F19" s="1991"/>
      <c r="G19" s="2583"/>
      <c r="H19" s="2583"/>
      <c r="I19" s="1991"/>
      <c r="J19" s="1991"/>
      <c r="K19" s="1991"/>
      <c r="L19" s="1991"/>
      <c r="M19" s="2583"/>
      <c r="N19" s="1991"/>
      <c r="O19" s="1991"/>
      <c r="P19" s="1991"/>
      <c r="Q19" s="1991"/>
      <c r="R19" s="2583"/>
    </row>
    <row r="20" spans="2:18" s="1995" customFormat="1" ht="15.75" customHeight="1">
      <c r="B20" s="2544" t="s">
        <v>1716</v>
      </c>
      <c r="C20" s="1996"/>
      <c r="D20" s="1998"/>
      <c r="E20" s="2290">
        <v>139</v>
      </c>
      <c r="F20" s="2290">
        <v>139</v>
      </c>
      <c r="G20" s="2290">
        <v>3</v>
      </c>
      <c r="H20" s="2290">
        <v>3</v>
      </c>
      <c r="I20" s="2290"/>
      <c r="J20" s="2290">
        <v>66</v>
      </c>
      <c r="K20" s="2290">
        <v>41</v>
      </c>
      <c r="L20" s="2290">
        <v>41</v>
      </c>
      <c r="M20" s="2290">
        <v>3</v>
      </c>
      <c r="N20" s="1991"/>
      <c r="O20" s="2290">
        <v>66</v>
      </c>
      <c r="P20" s="2290">
        <v>41</v>
      </c>
      <c r="Q20" s="2290">
        <v>41</v>
      </c>
      <c r="R20" s="2290">
        <v>3</v>
      </c>
    </row>
    <row r="21" spans="2:18" s="1995" customFormat="1" ht="15.75" customHeight="1">
      <c r="B21" s="2292"/>
      <c r="C21" s="1996"/>
      <c r="D21" s="2001"/>
      <c r="E21" s="2584"/>
      <c r="F21" s="1991"/>
      <c r="G21" s="2583"/>
      <c r="H21" s="2583"/>
      <c r="I21" s="1991"/>
      <c r="J21" s="1991"/>
      <c r="K21" s="1991"/>
      <c r="L21" s="1991"/>
      <c r="M21" s="2583"/>
      <c r="N21" s="1991"/>
      <c r="O21" s="1991"/>
      <c r="P21" s="1991"/>
      <c r="Q21" s="1991"/>
      <c r="R21" s="2583"/>
    </row>
    <row r="22" spans="2:18" s="1995" customFormat="1" ht="15.75" customHeight="1">
      <c r="B22" s="2544" t="s">
        <v>1589</v>
      </c>
      <c r="C22" s="1996"/>
      <c r="D22" s="2001"/>
      <c r="E22" s="2290">
        <v>139</v>
      </c>
      <c r="F22" s="2290">
        <v>139</v>
      </c>
      <c r="G22" s="2290">
        <v>3</v>
      </c>
      <c r="H22" s="2290">
        <v>3</v>
      </c>
      <c r="I22" s="2290"/>
      <c r="J22" s="2290">
        <v>66</v>
      </c>
      <c r="K22" s="2290">
        <v>41</v>
      </c>
      <c r="L22" s="2290">
        <v>41</v>
      </c>
      <c r="M22" s="2290">
        <v>3</v>
      </c>
      <c r="N22" s="1991"/>
      <c r="O22" s="2290">
        <v>66</v>
      </c>
      <c r="P22" s="2290">
        <v>41</v>
      </c>
      <c r="Q22" s="2290">
        <v>41</v>
      </c>
      <c r="R22" s="2290">
        <v>3</v>
      </c>
    </row>
    <row r="23" spans="2:18" s="1995" customFormat="1" ht="15.75" customHeight="1">
      <c r="B23" s="2292"/>
      <c r="C23" s="1996"/>
      <c r="D23" s="2001"/>
      <c r="E23" s="1992"/>
      <c r="F23" s="1991"/>
      <c r="G23" s="2583"/>
      <c r="H23" s="2583"/>
      <c r="I23" s="1991"/>
      <c r="J23" s="1991"/>
      <c r="K23" s="1991"/>
      <c r="L23" s="1991"/>
      <c r="M23" s="2583"/>
      <c r="N23" s="1991"/>
      <c r="O23" s="1991"/>
      <c r="P23" s="1991"/>
      <c r="Q23" s="1991"/>
      <c r="R23" s="2583"/>
    </row>
    <row r="24" spans="2:18" s="1995" customFormat="1" ht="15.75" customHeight="1">
      <c r="B24" s="2544" t="s">
        <v>1715</v>
      </c>
      <c r="C24" s="1996"/>
      <c r="D24" s="2001"/>
      <c r="E24" s="2290">
        <v>139</v>
      </c>
      <c r="F24" s="2290">
        <v>139</v>
      </c>
      <c r="G24" s="2290">
        <v>3</v>
      </c>
      <c r="H24" s="2290">
        <v>3</v>
      </c>
      <c r="I24" s="2290"/>
      <c r="J24" s="2290">
        <v>66</v>
      </c>
      <c r="K24" s="2290">
        <v>41</v>
      </c>
      <c r="L24" s="2290">
        <v>41</v>
      </c>
      <c r="M24" s="2290">
        <v>3</v>
      </c>
      <c r="N24" s="1991"/>
      <c r="O24" s="2290">
        <v>66</v>
      </c>
      <c r="P24" s="2290">
        <v>41</v>
      </c>
      <c r="Q24" s="2290">
        <v>41</v>
      </c>
      <c r="R24" s="2290">
        <v>3</v>
      </c>
    </row>
    <row r="25" spans="2:18" s="1995" customFormat="1" ht="15.75" customHeight="1">
      <c r="B25" s="2292"/>
      <c r="C25" s="1996"/>
      <c r="D25" s="2586"/>
      <c r="E25" s="2583"/>
      <c r="F25" s="1991"/>
      <c r="G25" s="2583"/>
      <c r="H25" s="2583"/>
      <c r="I25" s="1991"/>
      <c r="J25" s="1991"/>
      <c r="K25" s="1991"/>
      <c r="L25" s="1991"/>
      <c r="M25" s="2583"/>
      <c r="N25" s="1991"/>
      <c r="O25" s="1991"/>
      <c r="P25" s="1991"/>
      <c r="Q25" s="1991"/>
      <c r="R25" s="2583"/>
    </row>
    <row r="26" spans="2:18" s="1995" customFormat="1" ht="15.75" customHeight="1">
      <c r="B26" s="2544" t="s">
        <v>1714</v>
      </c>
      <c r="C26" s="1996"/>
      <c r="D26" s="2585"/>
      <c r="E26" s="2290">
        <v>139</v>
      </c>
      <c r="F26" s="2290">
        <v>139</v>
      </c>
      <c r="G26" s="2290">
        <v>3</v>
      </c>
      <c r="H26" s="2290">
        <v>3</v>
      </c>
      <c r="I26" s="2290"/>
      <c r="J26" s="2290">
        <v>66</v>
      </c>
      <c r="K26" s="2290">
        <v>41</v>
      </c>
      <c r="L26" s="2290">
        <v>41</v>
      </c>
      <c r="M26" s="2290">
        <v>3</v>
      </c>
      <c r="N26" s="1991"/>
      <c r="O26" s="2290">
        <v>66</v>
      </c>
      <c r="P26" s="2290">
        <v>41</v>
      </c>
      <c r="Q26" s="2290">
        <v>41</v>
      </c>
      <c r="R26" s="2290">
        <v>3</v>
      </c>
    </row>
    <row r="27" spans="2:18" s="1995" customFormat="1" ht="15.75" customHeight="1">
      <c r="B27" s="2292"/>
      <c r="C27" s="1996"/>
      <c r="D27" s="2585"/>
      <c r="E27" s="2584"/>
      <c r="F27" s="1991"/>
      <c r="G27" s="2583"/>
      <c r="H27" s="2583"/>
      <c r="I27" s="1991"/>
      <c r="J27" s="1991"/>
      <c r="K27" s="1991"/>
      <c r="L27" s="1991"/>
      <c r="M27" s="2583"/>
      <c r="N27" s="1991"/>
      <c r="O27" s="1991"/>
      <c r="P27" s="1991"/>
      <c r="Q27" s="1991"/>
      <c r="R27" s="2583"/>
    </row>
    <row r="28" spans="2:18" s="1995" customFormat="1" ht="15.75" customHeight="1">
      <c r="B28" s="2544" t="s">
        <v>1713</v>
      </c>
      <c r="C28" s="1996"/>
      <c r="D28" s="2585"/>
      <c r="E28" s="2290">
        <v>139</v>
      </c>
      <c r="F28" s="2290">
        <v>139</v>
      </c>
      <c r="G28" s="2290">
        <v>3</v>
      </c>
      <c r="H28" s="2290">
        <v>3</v>
      </c>
      <c r="I28" s="2290"/>
      <c r="J28" s="2290">
        <v>66</v>
      </c>
      <c r="K28" s="2290">
        <v>41</v>
      </c>
      <c r="L28" s="2290">
        <v>41</v>
      </c>
      <c r="M28" s="2290">
        <v>3</v>
      </c>
      <c r="N28" s="1991"/>
      <c r="O28" s="2290">
        <v>66</v>
      </c>
      <c r="P28" s="2290">
        <v>41</v>
      </c>
      <c r="Q28" s="2290">
        <v>41</v>
      </c>
      <c r="R28" s="2290">
        <v>3</v>
      </c>
    </row>
    <row r="29" spans="2:18" s="1995" customFormat="1" ht="15.75" customHeight="1">
      <c r="B29" s="2292"/>
      <c r="C29" s="1996"/>
      <c r="D29" s="2585"/>
      <c r="E29" s="1992"/>
      <c r="F29" s="1991"/>
      <c r="G29" s="2583"/>
      <c r="H29" s="2583"/>
      <c r="I29" s="1991"/>
      <c r="J29" s="1991"/>
      <c r="K29" s="1991"/>
      <c r="L29" s="1991"/>
      <c r="M29" s="2583"/>
      <c r="N29" s="1991"/>
      <c r="O29" s="1991"/>
      <c r="P29" s="1991"/>
      <c r="Q29" s="1991"/>
      <c r="R29" s="2583"/>
    </row>
    <row r="30" spans="2:18" s="1995" customFormat="1" ht="15.75" customHeight="1">
      <c r="B30" s="2544" t="s">
        <v>1711</v>
      </c>
      <c r="C30" s="1996"/>
      <c r="D30" s="2578"/>
      <c r="E30" s="2290">
        <v>139</v>
      </c>
      <c r="F30" s="2290">
        <v>139</v>
      </c>
      <c r="G30" s="2290">
        <v>3</v>
      </c>
      <c r="H30" s="2290">
        <v>3</v>
      </c>
      <c r="I30" s="2290"/>
      <c r="J30" s="2290">
        <v>66</v>
      </c>
      <c r="K30" s="2290">
        <v>41</v>
      </c>
      <c r="L30" s="2290">
        <v>41</v>
      </c>
      <c r="M30" s="2290">
        <v>3</v>
      </c>
      <c r="N30" s="1991"/>
      <c r="O30" s="2290">
        <v>66</v>
      </c>
      <c r="P30" s="2290">
        <v>41</v>
      </c>
      <c r="Q30" s="2290">
        <v>41</v>
      </c>
      <c r="R30" s="2290">
        <v>3</v>
      </c>
    </row>
    <row r="31" spans="2:18" s="1995" customFormat="1" ht="15.75" customHeight="1">
      <c r="B31" s="2292"/>
      <c r="C31" s="1996"/>
      <c r="D31" s="2578"/>
      <c r="E31" s="2583"/>
      <c r="F31" s="1991"/>
      <c r="G31" s="2583"/>
      <c r="H31" s="2583"/>
      <c r="I31" s="1991"/>
      <c r="J31" s="1991"/>
      <c r="K31" s="1991"/>
      <c r="L31" s="1991"/>
      <c r="M31" s="2583"/>
      <c r="N31" s="1991"/>
      <c r="O31" s="1991"/>
      <c r="P31" s="1991"/>
      <c r="Q31" s="1991"/>
      <c r="R31" s="2583"/>
    </row>
    <row r="32" spans="2:18" s="1995" customFormat="1" ht="15.75" customHeight="1">
      <c r="B32" s="2544" t="s">
        <v>1710</v>
      </c>
      <c r="C32" s="1996"/>
      <c r="D32" s="2578"/>
      <c r="E32" s="2290">
        <v>139</v>
      </c>
      <c r="F32" s="2290">
        <v>139</v>
      </c>
      <c r="G32" s="2290">
        <v>3</v>
      </c>
      <c r="H32" s="2290">
        <v>3</v>
      </c>
      <c r="I32" s="2290"/>
      <c r="J32" s="2290">
        <v>66</v>
      </c>
      <c r="K32" s="2290">
        <v>41</v>
      </c>
      <c r="L32" s="2290">
        <v>41</v>
      </c>
      <c r="M32" s="2290">
        <v>3</v>
      </c>
      <c r="N32" s="1991"/>
      <c r="O32" s="2290">
        <v>66</v>
      </c>
      <c r="P32" s="2290">
        <v>41</v>
      </c>
      <c r="Q32" s="2290">
        <v>41</v>
      </c>
      <c r="R32" s="2290">
        <v>3</v>
      </c>
    </row>
    <row r="33" spans="2:18" s="1995" customFormat="1" ht="15.75" customHeight="1">
      <c r="B33" s="2292"/>
      <c r="C33" s="1996"/>
      <c r="D33" s="2001"/>
      <c r="E33" s="2584"/>
      <c r="F33" s="1991"/>
      <c r="G33" s="2583"/>
      <c r="H33" s="2583"/>
      <c r="I33" s="1991"/>
      <c r="J33" s="1991"/>
      <c r="K33" s="1991"/>
      <c r="L33" s="1991"/>
      <c r="M33" s="2583"/>
      <c r="N33" s="1991"/>
      <c r="O33" s="1991"/>
      <c r="P33" s="1991"/>
      <c r="Q33" s="1991"/>
      <c r="R33" s="2583"/>
    </row>
    <row r="34" spans="2:18" s="1995" customFormat="1" ht="15.75" customHeight="1">
      <c r="B34" s="2544" t="s">
        <v>1709</v>
      </c>
      <c r="C34" s="1996"/>
      <c r="D34" s="1998"/>
      <c r="E34" s="2290">
        <v>139</v>
      </c>
      <c r="F34" s="2290">
        <v>139</v>
      </c>
      <c r="G34" s="2290">
        <v>3</v>
      </c>
      <c r="H34" s="2290">
        <v>3</v>
      </c>
      <c r="I34" s="2290"/>
      <c r="J34" s="2290">
        <v>66</v>
      </c>
      <c r="K34" s="2290">
        <v>41</v>
      </c>
      <c r="L34" s="2290">
        <v>41</v>
      </c>
      <c r="M34" s="2290">
        <v>3</v>
      </c>
      <c r="N34" s="1991"/>
      <c r="O34" s="2290">
        <v>66</v>
      </c>
      <c r="P34" s="2290">
        <v>41</v>
      </c>
      <c r="Q34" s="2290">
        <v>41</v>
      </c>
      <c r="R34" s="2290">
        <v>3</v>
      </c>
    </row>
    <row r="35" spans="2:18" s="1995" customFormat="1" ht="15.75" customHeight="1">
      <c r="B35" s="2292"/>
      <c r="C35" s="1996"/>
      <c r="D35" s="1998"/>
      <c r="E35" s="2584"/>
      <c r="F35" s="2584"/>
      <c r="G35" s="2583"/>
      <c r="H35" s="2583"/>
      <c r="I35" s="1991"/>
      <c r="J35" s="1991"/>
      <c r="K35" s="1991"/>
      <c r="L35" s="1991"/>
      <c r="M35" s="2583"/>
      <c r="N35" s="1991"/>
      <c r="O35" s="1991"/>
      <c r="P35" s="1991"/>
      <c r="Q35" s="1991"/>
      <c r="R35" s="2583"/>
    </row>
    <row r="36" spans="2:18" s="1995" customFormat="1" ht="15.75" customHeight="1">
      <c r="B36" s="2544" t="s">
        <v>1587</v>
      </c>
      <c r="C36" s="1996"/>
      <c r="D36" s="2578"/>
      <c r="E36" s="2290">
        <v>139</v>
      </c>
      <c r="F36" s="2290">
        <v>139</v>
      </c>
      <c r="G36" s="2290">
        <v>3</v>
      </c>
      <c r="H36" s="2290">
        <v>3</v>
      </c>
      <c r="I36" s="2290"/>
      <c r="J36" s="2290">
        <v>66</v>
      </c>
      <c r="K36" s="2290">
        <v>41</v>
      </c>
      <c r="L36" s="2290">
        <v>41</v>
      </c>
      <c r="M36" s="2290">
        <v>3</v>
      </c>
      <c r="N36" s="1991"/>
      <c r="O36" s="2290">
        <v>66</v>
      </c>
      <c r="P36" s="2290">
        <v>41</v>
      </c>
      <c r="Q36" s="2290">
        <v>41</v>
      </c>
      <c r="R36" s="2290">
        <v>3</v>
      </c>
    </row>
    <row r="37" spans="2:18" s="1995" customFormat="1" ht="15.75" customHeight="1">
      <c r="B37" s="2292"/>
      <c r="C37" s="1996"/>
      <c r="D37" s="2001"/>
      <c r="E37" s="2583"/>
      <c r="F37" s="1991"/>
      <c r="G37" s="2583"/>
      <c r="H37" s="2583"/>
      <c r="I37" s="1991"/>
      <c r="J37" s="1991"/>
      <c r="K37" s="1991"/>
      <c r="L37" s="1991"/>
      <c r="M37" s="2583"/>
      <c r="N37" s="1991"/>
      <c r="O37" s="1991"/>
      <c r="P37" s="1991"/>
      <c r="Q37" s="1991"/>
      <c r="R37" s="2583"/>
    </row>
    <row r="38" spans="2:18" s="1995" customFormat="1" ht="15.75" customHeight="1">
      <c r="B38" s="2544" t="s">
        <v>1585</v>
      </c>
      <c r="C38" s="1996"/>
      <c r="D38" s="1998"/>
      <c r="E38" s="2290">
        <v>139</v>
      </c>
      <c r="F38" s="2290">
        <v>139</v>
      </c>
      <c r="G38" s="2290">
        <v>3</v>
      </c>
      <c r="H38" s="2290">
        <v>3</v>
      </c>
      <c r="I38" s="2290"/>
      <c r="J38" s="2290">
        <v>66</v>
      </c>
      <c r="K38" s="2290">
        <v>41</v>
      </c>
      <c r="L38" s="2290">
        <v>41</v>
      </c>
      <c r="M38" s="2290">
        <v>3</v>
      </c>
      <c r="N38" s="1991"/>
      <c r="O38" s="2290">
        <v>66</v>
      </c>
      <c r="P38" s="2290">
        <v>41</v>
      </c>
      <c r="Q38" s="2290">
        <v>41</v>
      </c>
      <c r="R38" s="2290">
        <v>3</v>
      </c>
    </row>
    <row r="39" spans="2:18" s="1995" customFormat="1" ht="15.75" customHeight="1">
      <c r="B39" s="2292"/>
      <c r="C39" s="1996"/>
      <c r="D39" s="1998"/>
      <c r="E39" s="2584"/>
      <c r="F39" s="1991"/>
      <c r="G39" s="2583"/>
      <c r="H39" s="2583"/>
      <c r="I39" s="1991"/>
      <c r="J39" s="1991"/>
      <c r="K39" s="1991"/>
      <c r="L39" s="1991"/>
      <c r="M39" s="2583"/>
      <c r="N39" s="1991"/>
      <c r="O39" s="1991"/>
      <c r="P39" s="1991"/>
      <c r="Q39" s="1991"/>
      <c r="R39" s="2583"/>
    </row>
    <row r="40" spans="2:18" s="1995" customFormat="1" ht="15.75" customHeight="1">
      <c r="B40" s="2544" t="s">
        <v>1708</v>
      </c>
      <c r="C40" s="1996"/>
      <c r="D40" s="2578"/>
      <c r="E40" s="2290">
        <v>139</v>
      </c>
      <c r="F40" s="2290">
        <v>139</v>
      </c>
      <c r="G40" s="2290">
        <v>3</v>
      </c>
      <c r="H40" s="2290">
        <v>3</v>
      </c>
      <c r="I40" s="2290"/>
      <c r="J40" s="2290">
        <v>66</v>
      </c>
      <c r="K40" s="2290">
        <v>41</v>
      </c>
      <c r="L40" s="2290">
        <v>41</v>
      </c>
      <c r="M40" s="2290">
        <v>3</v>
      </c>
      <c r="N40" s="1991"/>
      <c r="O40" s="2290">
        <v>66</v>
      </c>
      <c r="P40" s="2290">
        <v>41</v>
      </c>
      <c r="Q40" s="2290">
        <v>41</v>
      </c>
      <c r="R40" s="2290">
        <v>3</v>
      </c>
    </row>
    <row r="41" spans="2:18" s="1995" customFormat="1" ht="15.75" customHeight="1">
      <c r="B41" s="2292"/>
      <c r="C41" s="1996"/>
      <c r="D41" s="2001"/>
      <c r="E41" s="1997"/>
      <c r="F41" s="2583"/>
      <c r="G41" s="2583"/>
      <c r="H41" s="2583"/>
      <c r="I41" s="1991"/>
      <c r="J41" s="1991"/>
      <c r="K41" s="1991"/>
      <c r="L41" s="1991"/>
      <c r="M41" s="2583"/>
      <c r="N41" s="1991"/>
      <c r="O41" s="1991"/>
      <c r="P41" s="1991"/>
      <c r="Q41" s="1991"/>
      <c r="R41" s="2583"/>
    </row>
    <row r="42" spans="2:18" s="1995" customFormat="1" ht="15.75" customHeight="1">
      <c r="B42" s="2544" t="s">
        <v>1583</v>
      </c>
      <c r="C42" s="1996"/>
      <c r="D42" s="1998"/>
      <c r="E42" s="2290">
        <v>139</v>
      </c>
      <c r="F42" s="2290">
        <v>139</v>
      </c>
      <c r="G42" s="2290">
        <v>3</v>
      </c>
      <c r="H42" s="2290">
        <v>3</v>
      </c>
      <c r="I42" s="2290"/>
      <c r="J42" s="2290">
        <v>66</v>
      </c>
      <c r="K42" s="2290">
        <v>41</v>
      </c>
      <c r="L42" s="2290">
        <v>41</v>
      </c>
      <c r="M42" s="2290">
        <v>3</v>
      </c>
      <c r="N42" s="1991"/>
      <c r="O42" s="2290">
        <v>66</v>
      </c>
      <c r="P42" s="2290">
        <v>41</v>
      </c>
      <c r="Q42" s="2290">
        <v>41</v>
      </c>
      <c r="R42" s="2290">
        <v>3</v>
      </c>
    </row>
    <row r="43" spans="2:18" s="1995" customFormat="1" ht="15.75" customHeight="1">
      <c r="B43" s="2292"/>
      <c r="C43" s="1996"/>
      <c r="D43" s="1998"/>
      <c r="E43" s="2583"/>
      <c r="F43" s="1991"/>
      <c r="G43" s="2583"/>
      <c r="H43" s="2583"/>
      <c r="I43" s="1991"/>
      <c r="J43" s="1991"/>
      <c r="K43" s="1991"/>
      <c r="L43" s="1991"/>
      <c r="M43" s="2583"/>
      <c r="N43" s="1991"/>
      <c r="O43" s="1991"/>
      <c r="P43" s="1991"/>
      <c r="Q43" s="1991"/>
      <c r="R43" s="2583"/>
    </row>
    <row r="44" spans="2:18" s="1995" customFormat="1" ht="15.75" customHeight="1">
      <c r="B44" s="2544" t="s">
        <v>1707</v>
      </c>
      <c r="C44" s="1996"/>
      <c r="D44" s="1998"/>
      <c r="E44" s="2290">
        <v>139</v>
      </c>
      <c r="F44" s="2290">
        <v>139</v>
      </c>
      <c r="G44" s="2290">
        <v>3</v>
      </c>
      <c r="H44" s="2290">
        <v>3</v>
      </c>
      <c r="I44" s="2290"/>
      <c r="J44" s="2290">
        <v>66</v>
      </c>
      <c r="K44" s="2290">
        <v>41</v>
      </c>
      <c r="L44" s="2290">
        <v>41</v>
      </c>
      <c r="M44" s="2290">
        <v>3</v>
      </c>
      <c r="N44" s="1991"/>
      <c r="O44" s="2290">
        <v>66</v>
      </c>
      <c r="P44" s="2290">
        <v>41</v>
      </c>
      <c r="Q44" s="2290">
        <v>41</v>
      </c>
      <c r="R44" s="2290">
        <v>3</v>
      </c>
    </row>
    <row r="45" spans="2:18" s="1995" customFormat="1" ht="15.75" customHeight="1">
      <c r="B45" s="2292"/>
      <c r="C45" s="1996"/>
      <c r="D45" s="2001"/>
      <c r="E45" s="2584"/>
      <c r="F45" s="1991"/>
      <c r="G45" s="2583"/>
      <c r="H45" s="2583"/>
      <c r="I45" s="1991"/>
      <c r="J45" s="1991"/>
      <c r="K45" s="1991"/>
      <c r="L45" s="1991"/>
      <c r="M45" s="2583"/>
      <c r="N45" s="1991"/>
      <c r="O45" s="1991"/>
      <c r="P45" s="1991"/>
      <c r="Q45" s="1991"/>
      <c r="R45" s="2583"/>
    </row>
    <row r="46" spans="2:18" s="1995" customFormat="1" ht="15.75" customHeight="1">
      <c r="B46" s="2544" t="s">
        <v>1706</v>
      </c>
      <c r="C46" s="1996"/>
      <c r="D46" s="1998"/>
      <c r="E46" s="2290">
        <v>139</v>
      </c>
      <c r="F46" s="2290">
        <v>139</v>
      </c>
      <c r="G46" s="2290">
        <v>3</v>
      </c>
      <c r="H46" s="2290">
        <v>3</v>
      </c>
      <c r="I46" s="2290"/>
      <c r="J46" s="2290">
        <v>66</v>
      </c>
      <c r="K46" s="2290">
        <v>41</v>
      </c>
      <c r="L46" s="2290">
        <v>41</v>
      </c>
      <c r="M46" s="2290">
        <v>3</v>
      </c>
      <c r="N46" s="1991"/>
      <c r="O46" s="2290">
        <v>66</v>
      </c>
      <c r="P46" s="2290">
        <v>41</v>
      </c>
      <c r="Q46" s="2290">
        <v>41</v>
      </c>
      <c r="R46" s="2290">
        <v>3</v>
      </c>
    </row>
    <row r="47" spans="2:18" s="1995" customFormat="1" ht="15.75" customHeight="1">
      <c r="B47" s="2292"/>
      <c r="C47" s="1996"/>
      <c r="D47" s="1998"/>
      <c r="E47" s="1992"/>
      <c r="F47" s="1992"/>
      <c r="G47" s="2583"/>
      <c r="H47" s="2583"/>
      <c r="I47" s="1991"/>
      <c r="J47" s="1991"/>
      <c r="K47" s="1991"/>
      <c r="L47" s="1991"/>
      <c r="M47" s="2583"/>
      <c r="N47" s="1991"/>
      <c r="O47" s="1991"/>
      <c r="P47" s="1991"/>
      <c r="Q47" s="1991"/>
      <c r="R47" s="2583"/>
    </row>
    <row r="48" spans="2:18" s="1995" customFormat="1" ht="15.75" customHeight="1">
      <c r="B48" s="2544" t="s">
        <v>1705</v>
      </c>
      <c r="C48" s="1996"/>
      <c r="D48" s="1998"/>
      <c r="E48" s="2290">
        <v>139</v>
      </c>
      <c r="F48" s="2290">
        <v>139</v>
      </c>
      <c r="G48" s="2290">
        <v>3</v>
      </c>
      <c r="H48" s="2290">
        <v>3</v>
      </c>
      <c r="I48" s="2290"/>
      <c r="J48" s="2290">
        <v>66</v>
      </c>
      <c r="K48" s="2290">
        <v>41</v>
      </c>
      <c r="L48" s="2290">
        <v>41</v>
      </c>
      <c r="M48" s="2290">
        <v>3</v>
      </c>
      <c r="N48" s="1991"/>
      <c r="O48" s="2290">
        <v>66</v>
      </c>
      <c r="P48" s="2290">
        <v>41</v>
      </c>
      <c r="Q48" s="2290">
        <v>41</v>
      </c>
      <c r="R48" s="2290">
        <v>3</v>
      </c>
    </row>
    <row r="49" spans="1:19" s="1995" customFormat="1" ht="15.75" customHeight="1">
      <c r="B49" s="2292"/>
      <c r="C49" s="1996"/>
      <c r="D49" s="2001"/>
      <c r="E49" s="2584"/>
      <c r="F49" s="1991"/>
      <c r="G49" s="2583"/>
      <c r="H49" s="2583"/>
      <c r="I49" s="1991"/>
      <c r="J49" s="1991"/>
      <c r="K49" s="1991"/>
      <c r="L49" s="1991"/>
      <c r="M49" s="2583"/>
      <c r="N49" s="1991"/>
      <c r="O49" s="1991"/>
      <c r="P49" s="1991"/>
      <c r="Q49" s="1991"/>
      <c r="R49" s="2583"/>
    </row>
    <row r="50" spans="1:19" s="1995" customFormat="1" ht="15.75" customHeight="1">
      <c r="B50" s="2544" t="s">
        <v>1712</v>
      </c>
      <c r="C50" s="1996"/>
      <c r="D50" s="1998"/>
      <c r="E50" s="2290">
        <v>139</v>
      </c>
      <c r="F50" s="2290">
        <v>139</v>
      </c>
      <c r="G50" s="2290">
        <v>3</v>
      </c>
      <c r="H50" s="2290">
        <v>3</v>
      </c>
      <c r="I50" s="2290"/>
      <c r="J50" s="2290">
        <v>66</v>
      </c>
      <c r="K50" s="2290">
        <v>41</v>
      </c>
      <c r="L50" s="2290">
        <v>41</v>
      </c>
      <c r="M50" s="2290">
        <v>3</v>
      </c>
      <c r="N50" s="1991"/>
      <c r="O50" s="2290">
        <v>66</v>
      </c>
      <c r="P50" s="2290">
        <v>41</v>
      </c>
      <c r="Q50" s="2290">
        <v>41</v>
      </c>
      <c r="R50" s="2290">
        <v>3</v>
      </c>
    </row>
    <row r="51" spans="1:19" s="1995" customFormat="1" ht="12.95" customHeight="1">
      <c r="B51" s="2048"/>
      <c r="C51" s="1996"/>
      <c r="D51" s="1998"/>
      <c r="E51" s="2634"/>
      <c r="F51" s="2633"/>
      <c r="G51" s="2295"/>
      <c r="H51" s="2295"/>
      <c r="L51" s="2295"/>
    </row>
    <row r="52" spans="1:19" s="1995" customFormat="1" ht="12.95" customHeight="1">
      <c r="B52" s="2001"/>
      <c r="C52" s="1996"/>
      <c r="D52" s="1998"/>
      <c r="E52" s="2632"/>
      <c r="F52" s="2631"/>
      <c r="G52" s="2295"/>
      <c r="H52" s="2295"/>
      <c r="L52" s="2295"/>
    </row>
    <row r="53" spans="1:19" s="2577" customFormat="1" ht="15.2" customHeight="1">
      <c r="B53" s="2582"/>
      <c r="C53" s="1990"/>
      <c r="D53" s="1994"/>
      <c r="E53" s="2581"/>
      <c r="F53" s="2579"/>
      <c r="G53" s="2580"/>
      <c r="H53" s="2580"/>
      <c r="I53" s="2580"/>
      <c r="J53" s="2579"/>
      <c r="K53" s="2579"/>
      <c r="L53" s="2579"/>
      <c r="M53" s="2579"/>
      <c r="N53" s="2579"/>
      <c r="O53" s="2579"/>
      <c r="P53" s="2579"/>
      <c r="Q53" s="2579"/>
      <c r="R53" s="2630"/>
      <c r="S53" s="2578"/>
    </row>
    <row r="54" spans="1:19" s="2569" customFormat="1" ht="7.5" customHeight="1" thickBot="1">
      <c r="A54" s="2576"/>
      <c r="B54" s="2575"/>
      <c r="C54" s="2575"/>
      <c r="D54" s="2574"/>
      <c r="E54" s="2571"/>
      <c r="F54" s="2572"/>
      <c r="G54" s="2573"/>
      <c r="H54" s="2573"/>
      <c r="I54" s="2573"/>
      <c r="J54" s="2572"/>
      <c r="K54" s="2571"/>
      <c r="L54" s="2571"/>
      <c r="M54" s="2571"/>
      <c r="N54" s="2571"/>
      <c r="O54" s="2571"/>
      <c r="P54" s="2571"/>
      <c r="Q54" s="2571"/>
      <c r="R54" s="2570"/>
    </row>
    <row r="55" spans="1:19" s="222" customFormat="1" ht="15.2" customHeight="1">
      <c r="D55" s="2568"/>
      <c r="E55" s="2928" t="s">
        <v>264</v>
      </c>
      <c r="F55" s="2928"/>
      <c r="G55" s="2928"/>
      <c r="H55" s="2928"/>
      <c r="I55" s="2928"/>
      <c r="J55" s="2928"/>
      <c r="K55" s="2928"/>
      <c r="L55" s="2928"/>
      <c r="M55" s="2928"/>
      <c r="N55" s="2928"/>
      <c r="O55" s="2928"/>
      <c r="P55" s="2928"/>
      <c r="Q55" s="2928"/>
      <c r="R55" s="2928"/>
    </row>
    <row r="56" spans="1:19" s="222" customFormat="1" ht="15.2" customHeight="1">
      <c r="D56" s="2568"/>
      <c r="E56" s="2929" t="s">
        <v>265</v>
      </c>
      <c r="F56" s="2929"/>
      <c r="G56" s="2929"/>
      <c r="H56" s="2929"/>
      <c r="I56" s="2929"/>
      <c r="J56" s="2929"/>
      <c r="K56" s="2929"/>
      <c r="L56" s="2929"/>
      <c r="M56" s="2929"/>
      <c r="N56" s="2929"/>
      <c r="O56" s="2929"/>
      <c r="P56" s="2929"/>
      <c r="Q56" s="2929"/>
      <c r="R56" s="2929"/>
    </row>
    <row r="57" spans="1:19" s="2577" customFormat="1" ht="14.25">
      <c r="A57" s="2625"/>
      <c r="B57" s="2629"/>
      <c r="C57" s="2628"/>
      <c r="D57" s="2627"/>
      <c r="E57" s="2626"/>
      <c r="F57" s="2624"/>
      <c r="G57" s="2624"/>
      <c r="H57" s="2624"/>
      <c r="I57" s="2625"/>
      <c r="J57" s="2624"/>
      <c r="K57" s="2624"/>
      <c r="L57" s="2624"/>
      <c r="M57" s="2624"/>
      <c r="N57" s="2624"/>
      <c r="O57" s="2624"/>
      <c r="P57" s="2624"/>
      <c r="Q57" s="2624"/>
      <c r="R57" s="2578"/>
      <c r="S57" s="2578"/>
    </row>
    <row r="58" spans="1:19" s="2616" customFormat="1" ht="16.5" customHeight="1">
      <c r="B58" s="2623" t="s">
        <v>1948</v>
      </c>
      <c r="C58" s="2622" t="s">
        <v>1947</v>
      </c>
      <c r="D58" s="2621"/>
      <c r="E58" s="2620"/>
      <c r="F58" s="2618"/>
      <c r="G58" s="2618"/>
      <c r="H58" s="2618"/>
      <c r="I58" s="2619"/>
      <c r="J58" s="2618"/>
      <c r="K58" s="2618"/>
      <c r="L58" s="2618"/>
      <c r="M58" s="2618"/>
      <c r="N58" s="2618"/>
      <c r="O58" s="2618"/>
      <c r="P58" s="2618"/>
      <c r="Q58" s="2618"/>
      <c r="R58" s="2617"/>
    </row>
    <row r="59" spans="1:19" s="2611" customFormat="1" ht="16.5" customHeight="1">
      <c r="B59" s="2615" t="s">
        <v>1946</v>
      </c>
      <c r="C59" s="2614" t="s">
        <v>1945</v>
      </c>
      <c r="D59" s="2613"/>
      <c r="E59" s="2612"/>
      <c r="F59" s="2612"/>
      <c r="G59" s="2612"/>
      <c r="H59" s="2612"/>
      <c r="L59" s="2612"/>
    </row>
    <row r="60" spans="1:19" s="2577" customFormat="1" ht="8.1" customHeight="1">
      <c r="B60" s="2610"/>
      <c r="C60" s="2610"/>
      <c r="D60" s="2609"/>
      <c r="E60" s="2608"/>
      <c r="F60" s="2606"/>
      <c r="G60" s="2606"/>
      <c r="H60" s="2606"/>
      <c r="I60" s="2607"/>
      <c r="J60" s="2606"/>
      <c r="K60" s="2606"/>
      <c r="L60" s="2606"/>
      <c r="M60" s="2606"/>
      <c r="N60" s="2606"/>
      <c r="O60" s="2606"/>
      <c r="P60" s="2606"/>
      <c r="Q60" s="2606"/>
    </row>
    <row r="61" spans="1:19" s="2577" customFormat="1" ht="8.1" customHeight="1" thickBot="1">
      <c r="A61" s="2574"/>
      <c r="B61" s="2605"/>
      <c r="C61" s="2605"/>
      <c r="D61" s="2604"/>
      <c r="E61" s="2571"/>
      <c r="F61" s="2602"/>
      <c r="G61" s="2602"/>
      <c r="H61" s="2602"/>
      <c r="I61" s="2603"/>
      <c r="J61" s="2602"/>
      <c r="K61" s="2602"/>
      <c r="L61" s="2602"/>
      <c r="M61" s="2602"/>
      <c r="N61" s="2602"/>
      <c r="O61" s="2602"/>
      <c r="P61" s="2602"/>
      <c r="Q61" s="2602"/>
      <c r="R61" s="2574"/>
    </row>
    <row r="62" spans="1:19" s="2591" customFormat="1" ht="8.1" customHeight="1">
      <c r="D62" s="2601"/>
      <c r="E62" s="2600"/>
      <c r="F62" s="2598"/>
      <c r="G62" s="2598"/>
      <c r="H62" s="2598"/>
      <c r="I62" s="2599"/>
      <c r="J62" s="2598"/>
      <c r="K62" s="2598"/>
      <c r="L62" s="2598"/>
      <c r="M62" s="2598"/>
      <c r="N62" s="2598"/>
      <c r="O62" s="2598"/>
      <c r="P62" s="2598"/>
      <c r="Q62" s="2598"/>
    </row>
    <row r="63" spans="1:19" s="2591" customFormat="1" ht="59.25" customHeight="1" thickBot="1">
      <c r="B63" s="2926" t="s">
        <v>1917</v>
      </c>
      <c r="C63" s="2597"/>
      <c r="D63" s="2596"/>
      <c r="E63" s="2854" t="s">
        <v>1944</v>
      </c>
      <c r="F63" s="2854"/>
      <c r="G63" s="2854"/>
      <c r="H63" s="2854"/>
      <c r="I63" s="2595"/>
      <c r="J63" s="2854" t="s">
        <v>1943</v>
      </c>
      <c r="K63" s="2854"/>
      <c r="L63" s="2854"/>
      <c r="M63" s="2854"/>
      <c r="N63" s="2595"/>
      <c r="O63" s="2854" t="s">
        <v>1942</v>
      </c>
      <c r="P63" s="2854"/>
      <c r="Q63" s="2854"/>
      <c r="R63" s="2854"/>
    </row>
    <row r="64" spans="1:19" s="2591" customFormat="1" ht="36" customHeight="1" thickBot="1">
      <c r="A64" s="2594"/>
      <c r="B64" s="2927"/>
      <c r="C64" s="2593"/>
      <c r="D64" s="2592"/>
      <c r="E64" s="2006" t="s">
        <v>1941</v>
      </c>
      <c r="F64" s="2006" t="s">
        <v>1940</v>
      </c>
      <c r="G64" s="2006" t="s">
        <v>1640</v>
      </c>
      <c r="H64" s="2006" t="s">
        <v>1639</v>
      </c>
      <c r="I64" s="2006"/>
      <c r="J64" s="2006" t="s">
        <v>1941</v>
      </c>
      <c r="K64" s="2006" t="s">
        <v>1940</v>
      </c>
      <c r="L64" s="2006" t="s">
        <v>1640</v>
      </c>
      <c r="M64" s="2006" t="s">
        <v>1639</v>
      </c>
      <c r="N64" s="2006"/>
      <c r="O64" s="2006" t="s">
        <v>1941</v>
      </c>
      <c r="P64" s="2006" t="s">
        <v>1940</v>
      </c>
      <c r="Q64" s="2006" t="s">
        <v>1640</v>
      </c>
      <c r="R64" s="2006" t="s">
        <v>1639</v>
      </c>
    </row>
    <row r="65" spans="2:18" s="2577" customFormat="1" ht="15.2" customHeight="1">
      <c r="B65" s="2590"/>
      <c r="C65" s="2590"/>
      <c r="D65" s="2589"/>
      <c r="E65" s="2588"/>
      <c r="F65" s="2587"/>
      <c r="G65" s="2587"/>
      <c r="H65" s="2587"/>
      <c r="I65" s="2587"/>
      <c r="J65" s="2587"/>
      <c r="K65" s="2587"/>
      <c r="L65" s="2587"/>
      <c r="M65" s="2587"/>
      <c r="N65" s="2587"/>
      <c r="O65" s="2587"/>
      <c r="P65" s="2587"/>
      <c r="Q65" s="2587"/>
    </row>
    <row r="66" spans="2:18" s="1995" customFormat="1" ht="15.75" customHeight="1">
      <c r="B66" s="2544" t="s">
        <v>1694</v>
      </c>
      <c r="C66" s="1996"/>
      <c r="D66" s="2586"/>
      <c r="E66" s="2290">
        <v>139</v>
      </c>
      <c r="F66" s="2290">
        <v>139</v>
      </c>
      <c r="G66" s="2290">
        <v>3</v>
      </c>
      <c r="H66" s="2290">
        <v>3</v>
      </c>
      <c r="I66" s="2290"/>
      <c r="J66" s="2290">
        <v>66</v>
      </c>
      <c r="K66" s="2290">
        <v>41</v>
      </c>
      <c r="L66" s="2290">
        <v>41</v>
      </c>
      <c r="M66" s="2290">
        <v>3</v>
      </c>
      <c r="N66" s="1991"/>
      <c r="O66" s="2290">
        <v>66</v>
      </c>
      <c r="P66" s="2290">
        <v>41</v>
      </c>
      <c r="Q66" s="2290">
        <v>41</v>
      </c>
      <c r="R66" s="2290">
        <v>3</v>
      </c>
    </row>
    <row r="67" spans="2:18" s="1995" customFormat="1" ht="15.75" customHeight="1">
      <c r="B67" s="2292"/>
      <c r="C67" s="1996"/>
      <c r="D67" s="2578"/>
      <c r="E67" s="2583"/>
      <c r="F67" s="1991"/>
      <c r="G67" s="2583"/>
      <c r="H67" s="2583"/>
      <c r="I67" s="1991"/>
      <c r="J67" s="1991"/>
      <c r="K67" s="1991"/>
      <c r="L67" s="1991"/>
      <c r="M67" s="2583"/>
      <c r="N67" s="1991"/>
      <c r="O67" s="1991"/>
      <c r="P67" s="1991"/>
      <c r="Q67" s="1991"/>
      <c r="R67" s="2583"/>
    </row>
    <row r="68" spans="2:18" s="1995" customFormat="1" ht="15.75" customHeight="1">
      <c r="B68" s="2544" t="s">
        <v>1580</v>
      </c>
      <c r="C68" s="1996"/>
      <c r="D68" s="2578"/>
      <c r="E68" s="2290">
        <v>139</v>
      </c>
      <c r="F68" s="2290">
        <v>139</v>
      </c>
      <c r="G68" s="2290">
        <v>3</v>
      </c>
      <c r="H68" s="2290">
        <v>3</v>
      </c>
      <c r="I68" s="2290"/>
      <c r="J68" s="2290">
        <v>66</v>
      </c>
      <c r="K68" s="2290">
        <v>41</v>
      </c>
      <c r="L68" s="2290">
        <v>41</v>
      </c>
      <c r="M68" s="2290">
        <v>3</v>
      </c>
      <c r="N68" s="1991"/>
      <c r="O68" s="2290">
        <v>66</v>
      </c>
      <c r="P68" s="2290">
        <v>41</v>
      </c>
      <c r="Q68" s="2290">
        <v>41</v>
      </c>
      <c r="R68" s="2290">
        <v>3</v>
      </c>
    </row>
    <row r="69" spans="2:18" s="1995" customFormat="1" ht="15.75" customHeight="1">
      <c r="B69" s="2292"/>
      <c r="C69" s="1996"/>
      <c r="D69" s="2578"/>
      <c r="E69" s="2584"/>
      <c r="F69" s="1991"/>
      <c r="G69" s="2583"/>
      <c r="H69" s="2583"/>
      <c r="I69" s="1991"/>
      <c r="J69" s="1991"/>
      <c r="K69" s="1991"/>
      <c r="L69" s="1991"/>
      <c r="M69" s="2583"/>
      <c r="N69" s="1991"/>
      <c r="O69" s="1991"/>
      <c r="P69" s="1991"/>
      <c r="Q69" s="1991"/>
      <c r="R69" s="2583"/>
    </row>
    <row r="70" spans="2:18" s="1995" customFormat="1" ht="15.75" customHeight="1">
      <c r="B70" s="2544" t="s">
        <v>1693</v>
      </c>
      <c r="C70" s="1996"/>
      <c r="D70" s="2578"/>
      <c r="E70" s="2290">
        <v>139</v>
      </c>
      <c r="F70" s="2290">
        <v>139</v>
      </c>
      <c r="G70" s="2290">
        <v>3</v>
      </c>
      <c r="H70" s="2290">
        <v>3</v>
      </c>
      <c r="I70" s="2290"/>
      <c r="J70" s="2290">
        <v>66</v>
      </c>
      <c r="K70" s="2290">
        <v>41</v>
      </c>
      <c r="L70" s="2290">
        <v>41</v>
      </c>
      <c r="M70" s="2290">
        <v>3</v>
      </c>
      <c r="N70" s="1991"/>
      <c r="O70" s="2290">
        <v>66</v>
      </c>
      <c r="P70" s="2290">
        <v>41</v>
      </c>
      <c r="Q70" s="2290">
        <v>41</v>
      </c>
      <c r="R70" s="2290">
        <v>3</v>
      </c>
    </row>
    <row r="71" spans="2:18" s="1995" customFormat="1" ht="15.75" customHeight="1">
      <c r="B71" s="2292"/>
      <c r="C71" s="1996"/>
      <c r="D71" s="2001"/>
      <c r="E71" s="2583"/>
      <c r="F71" s="1991"/>
      <c r="G71" s="2583"/>
      <c r="H71" s="2583"/>
      <c r="I71" s="1991"/>
      <c r="J71" s="1991"/>
      <c r="K71" s="1991"/>
      <c r="L71" s="1991"/>
      <c r="M71" s="2583"/>
      <c r="N71" s="1991"/>
      <c r="O71" s="1991"/>
      <c r="P71" s="1991"/>
      <c r="Q71" s="1991"/>
      <c r="R71" s="2583"/>
    </row>
    <row r="72" spans="2:18" s="1995" customFormat="1" ht="15.75" customHeight="1">
      <c r="B72" s="2544" t="s">
        <v>1692</v>
      </c>
      <c r="C72" s="1996"/>
      <c r="D72" s="1998"/>
      <c r="E72" s="2290">
        <v>139</v>
      </c>
      <c r="F72" s="2290">
        <v>139</v>
      </c>
      <c r="G72" s="2290">
        <v>3</v>
      </c>
      <c r="H72" s="2290">
        <v>3</v>
      </c>
      <c r="I72" s="2290"/>
      <c r="J72" s="2290">
        <v>66</v>
      </c>
      <c r="K72" s="2290">
        <v>41</v>
      </c>
      <c r="L72" s="2290">
        <v>41</v>
      </c>
      <c r="M72" s="2290">
        <v>3</v>
      </c>
      <c r="N72" s="1991"/>
      <c r="O72" s="2290">
        <v>66</v>
      </c>
      <c r="P72" s="2290">
        <v>41</v>
      </c>
      <c r="Q72" s="2290">
        <v>41</v>
      </c>
      <c r="R72" s="2290">
        <v>3</v>
      </c>
    </row>
    <row r="73" spans="2:18" s="1995" customFormat="1" ht="15.75" customHeight="1">
      <c r="B73" s="2292"/>
      <c r="C73" s="1996"/>
      <c r="D73" s="1998"/>
      <c r="E73" s="2583"/>
      <c r="F73" s="1991"/>
      <c r="G73" s="2583"/>
      <c r="H73" s="2583"/>
      <c r="I73" s="1991"/>
      <c r="J73" s="1991"/>
      <c r="K73" s="1991"/>
      <c r="L73" s="1991"/>
      <c r="M73" s="2583"/>
      <c r="N73" s="1991"/>
      <c r="O73" s="1991"/>
      <c r="P73" s="1991"/>
      <c r="Q73" s="1991"/>
      <c r="R73" s="2583"/>
    </row>
    <row r="74" spans="2:18" s="1995" customFormat="1" ht="15.75" customHeight="1">
      <c r="B74" s="2544" t="s">
        <v>1691</v>
      </c>
      <c r="C74" s="1996"/>
      <c r="D74" s="1998"/>
      <c r="E74" s="2290">
        <v>139</v>
      </c>
      <c r="F74" s="2290">
        <v>139</v>
      </c>
      <c r="G74" s="2290">
        <v>3</v>
      </c>
      <c r="H74" s="2290">
        <v>3</v>
      </c>
      <c r="I74" s="2290"/>
      <c r="J74" s="2290">
        <v>66</v>
      </c>
      <c r="K74" s="2290">
        <v>41</v>
      </c>
      <c r="L74" s="2290">
        <v>41</v>
      </c>
      <c r="M74" s="2290">
        <v>3</v>
      </c>
      <c r="N74" s="1991"/>
      <c r="O74" s="2290">
        <v>66</v>
      </c>
      <c r="P74" s="2290">
        <v>41</v>
      </c>
      <c r="Q74" s="2290">
        <v>41</v>
      </c>
      <c r="R74" s="2290">
        <v>3</v>
      </c>
    </row>
    <row r="75" spans="2:18" s="1995" customFormat="1" ht="15.75" customHeight="1">
      <c r="B75" s="2292"/>
      <c r="C75" s="1996"/>
      <c r="D75" s="2001"/>
      <c r="E75" s="2584"/>
      <c r="F75" s="1991"/>
      <c r="G75" s="2583"/>
      <c r="H75" s="2583"/>
      <c r="I75" s="1991"/>
      <c r="J75" s="1991"/>
      <c r="K75" s="1991"/>
      <c r="L75" s="1991"/>
      <c r="M75" s="2583"/>
      <c r="N75" s="1991"/>
      <c r="O75" s="1991"/>
      <c r="P75" s="1991"/>
      <c r="Q75" s="1991"/>
      <c r="R75" s="2583"/>
    </row>
    <row r="76" spans="2:18" s="1995" customFormat="1" ht="15.75" customHeight="1">
      <c r="B76" s="2544" t="s">
        <v>1690</v>
      </c>
      <c r="C76" s="1996"/>
      <c r="D76" s="2001"/>
      <c r="E76" s="2290">
        <v>139</v>
      </c>
      <c r="F76" s="2290">
        <v>139</v>
      </c>
      <c r="G76" s="2290">
        <v>3</v>
      </c>
      <c r="H76" s="2290">
        <v>3</v>
      </c>
      <c r="I76" s="2290"/>
      <c r="J76" s="2290">
        <v>66</v>
      </c>
      <c r="K76" s="2290">
        <v>41</v>
      </c>
      <c r="L76" s="2290">
        <v>41</v>
      </c>
      <c r="M76" s="2290">
        <v>3</v>
      </c>
      <c r="N76" s="1991"/>
      <c r="O76" s="2290">
        <v>66</v>
      </c>
      <c r="P76" s="2290">
        <v>41</v>
      </c>
      <c r="Q76" s="2290">
        <v>41</v>
      </c>
      <c r="R76" s="2290">
        <v>3</v>
      </c>
    </row>
    <row r="77" spans="2:18" s="1995" customFormat="1" ht="15.75" customHeight="1">
      <c r="B77" s="2292"/>
      <c r="C77" s="1996"/>
      <c r="D77" s="2001"/>
      <c r="E77" s="1992"/>
      <c r="F77" s="1991"/>
      <c r="G77" s="2583"/>
      <c r="H77" s="2583"/>
      <c r="I77" s="1991"/>
      <c r="J77" s="1991"/>
      <c r="K77" s="1991"/>
      <c r="L77" s="1991"/>
      <c r="M77" s="2583"/>
      <c r="N77" s="1991"/>
      <c r="O77" s="1991"/>
      <c r="P77" s="1991"/>
      <c r="Q77" s="1991"/>
      <c r="R77" s="2583"/>
    </row>
    <row r="78" spans="2:18" s="1995" customFormat="1" ht="15.75" customHeight="1">
      <c r="B78" s="2544" t="s">
        <v>1689</v>
      </c>
      <c r="C78" s="1996"/>
      <c r="D78" s="2001"/>
      <c r="E78" s="2290">
        <v>139</v>
      </c>
      <c r="F78" s="2290">
        <v>139</v>
      </c>
      <c r="G78" s="2290">
        <v>3</v>
      </c>
      <c r="H78" s="2290">
        <v>3</v>
      </c>
      <c r="I78" s="2290"/>
      <c r="J78" s="2290">
        <v>66</v>
      </c>
      <c r="K78" s="2290">
        <v>41</v>
      </c>
      <c r="L78" s="2290">
        <v>41</v>
      </c>
      <c r="M78" s="2290">
        <v>3</v>
      </c>
      <c r="N78" s="1991"/>
      <c r="O78" s="2290">
        <v>66</v>
      </c>
      <c r="P78" s="2290">
        <v>41</v>
      </c>
      <c r="Q78" s="2290">
        <v>41</v>
      </c>
      <c r="R78" s="2290">
        <v>3</v>
      </c>
    </row>
    <row r="79" spans="2:18" s="1995" customFormat="1" ht="15.75" customHeight="1">
      <c r="B79" s="2292"/>
      <c r="C79" s="1996"/>
      <c r="D79" s="2586"/>
      <c r="E79" s="2583"/>
      <c r="F79" s="1991"/>
      <c r="G79" s="2583"/>
      <c r="H79" s="2583"/>
      <c r="I79" s="1991"/>
      <c r="J79" s="1991"/>
      <c r="K79" s="1991"/>
      <c r="L79" s="1991"/>
      <c r="M79" s="2583"/>
      <c r="N79" s="1991"/>
      <c r="O79" s="1991"/>
      <c r="P79" s="1991"/>
      <c r="Q79" s="1991"/>
      <c r="R79" s="2583"/>
    </row>
    <row r="80" spans="2:18" s="1995" customFormat="1" ht="15.75" customHeight="1">
      <c r="B80" s="2544" t="s">
        <v>1688</v>
      </c>
      <c r="C80" s="1996"/>
      <c r="D80" s="2585"/>
      <c r="E80" s="2290">
        <v>139</v>
      </c>
      <c r="F80" s="2290">
        <v>139</v>
      </c>
      <c r="G80" s="2290">
        <v>3</v>
      </c>
      <c r="H80" s="2290">
        <v>3</v>
      </c>
      <c r="I80" s="2290"/>
      <c r="J80" s="2290">
        <v>66</v>
      </c>
      <c r="K80" s="2290">
        <v>41</v>
      </c>
      <c r="L80" s="2290">
        <v>41</v>
      </c>
      <c r="M80" s="2290">
        <v>3</v>
      </c>
      <c r="N80" s="1991"/>
      <c r="O80" s="2290">
        <v>66</v>
      </c>
      <c r="P80" s="2290">
        <v>41</v>
      </c>
      <c r="Q80" s="2290">
        <v>41</v>
      </c>
      <c r="R80" s="2290">
        <v>3</v>
      </c>
    </row>
    <row r="81" spans="2:18" s="1995" customFormat="1" ht="15.75" customHeight="1">
      <c r="B81" s="2292"/>
      <c r="C81" s="1996"/>
      <c r="D81" s="2585"/>
      <c r="E81" s="2584"/>
      <c r="F81" s="1991"/>
      <c r="G81" s="2583"/>
      <c r="H81" s="2583"/>
      <c r="I81" s="1991"/>
      <c r="J81" s="1991"/>
      <c r="K81" s="1991"/>
      <c r="L81" s="1991"/>
      <c r="M81" s="2583"/>
      <c r="N81" s="1991"/>
      <c r="O81" s="1991"/>
      <c r="P81" s="1991"/>
      <c r="Q81" s="1991"/>
      <c r="R81" s="2583"/>
    </row>
    <row r="82" spans="2:18" s="1995" customFormat="1" ht="15.75" customHeight="1">
      <c r="B82" s="2544" t="s">
        <v>1687</v>
      </c>
      <c r="C82" s="1996"/>
      <c r="D82" s="2585"/>
      <c r="E82" s="2290">
        <v>139</v>
      </c>
      <c r="F82" s="2290">
        <v>139</v>
      </c>
      <c r="G82" s="2290">
        <v>3</v>
      </c>
      <c r="H82" s="2290">
        <v>3</v>
      </c>
      <c r="I82" s="2290"/>
      <c r="J82" s="2290">
        <v>66</v>
      </c>
      <c r="K82" s="2290">
        <v>41</v>
      </c>
      <c r="L82" s="2290">
        <v>41</v>
      </c>
      <c r="M82" s="2290">
        <v>3</v>
      </c>
      <c r="N82" s="1991"/>
      <c r="O82" s="2290">
        <v>66</v>
      </c>
      <c r="P82" s="2290">
        <v>41</v>
      </c>
      <c r="Q82" s="2290">
        <v>41</v>
      </c>
      <c r="R82" s="2290">
        <v>3</v>
      </c>
    </row>
    <row r="83" spans="2:18" s="1995" customFormat="1" ht="15.75" customHeight="1">
      <c r="B83" s="2292"/>
      <c r="C83" s="1996"/>
      <c r="D83" s="2585"/>
      <c r="E83" s="1992"/>
      <c r="F83" s="1991"/>
      <c r="G83" s="2583"/>
      <c r="H83" s="2583"/>
      <c r="I83" s="1991"/>
      <c r="J83" s="1991"/>
      <c r="K83" s="1991"/>
      <c r="L83" s="1991"/>
      <c r="M83" s="2583"/>
      <c r="N83" s="1991"/>
      <c r="O83" s="1991"/>
      <c r="P83" s="1991"/>
      <c r="Q83" s="1991"/>
      <c r="R83" s="2583"/>
    </row>
    <row r="84" spans="2:18" s="1995" customFormat="1" ht="15.75" customHeight="1">
      <c r="B84" s="2544" t="s">
        <v>1686</v>
      </c>
      <c r="C84" s="1996"/>
      <c r="D84" s="2585"/>
      <c r="E84" s="2290">
        <v>139</v>
      </c>
      <c r="F84" s="2290">
        <v>139</v>
      </c>
      <c r="G84" s="2290">
        <v>3</v>
      </c>
      <c r="H84" s="2290">
        <v>3</v>
      </c>
      <c r="I84" s="2290"/>
      <c r="J84" s="2290">
        <v>66</v>
      </c>
      <c r="K84" s="2290">
        <v>41</v>
      </c>
      <c r="L84" s="2290">
        <v>41</v>
      </c>
      <c r="M84" s="2290">
        <v>3</v>
      </c>
      <c r="N84" s="1991"/>
      <c r="O84" s="2290">
        <v>66</v>
      </c>
      <c r="P84" s="2290">
        <v>41</v>
      </c>
      <c r="Q84" s="2290">
        <v>41</v>
      </c>
      <c r="R84" s="2290">
        <v>3</v>
      </c>
    </row>
    <row r="85" spans="2:18" s="1995" customFormat="1" ht="15.75" customHeight="1">
      <c r="B85" s="2292"/>
      <c r="C85" s="1996"/>
      <c r="D85" s="2585"/>
      <c r="E85" s="2583"/>
      <c r="F85" s="1991"/>
      <c r="G85" s="2583"/>
      <c r="H85" s="2583"/>
      <c r="I85" s="1991"/>
      <c r="J85" s="1991"/>
      <c r="K85" s="1991"/>
      <c r="L85" s="1991"/>
      <c r="M85" s="2583"/>
      <c r="N85" s="1991"/>
      <c r="O85" s="1991"/>
      <c r="P85" s="1991"/>
      <c r="Q85" s="1991"/>
      <c r="R85" s="2583"/>
    </row>
    <row r="86" spans="2:18" s="1995" customFormat="1" ht="15.75" customHeight="1">
      <c r="B86" s="2544" t="s">
        <v>1867</v>
      </c>
      <c r="C86" s="1996"/>
      <c r="D86" s="2578"/>
      <c r="E86" s="2290">
        <v>139</v>
      </c>
      <c r="F86" s="2290">
        <v>139</v>
      </c>
      <c r="G86" s="2290">
        <v>3</v>
      </c>
      <c r="H86" s="2290">
        <v>3</v>
      </c>
      <c r="I86" s="2290"/>
      <c r="J86" s="2290">
        <v>66</v>
      </c>
      <c r="K86" s="2290">
        <v>41</v>
      </c>
      <c r="L86" s="2290">
        <v>41</v>
      </c>
      <c r="M86" s="2290">
        <v>3</v>
      </c>
      <c r="N86" s="1991"/>
      <c r="O86" s="2290">
        <v>66</v>
      </c>
      <c r="P86" s="2290">
        <v>41</v>
      </c>
      <c r="Q86" s="2290">
        <v>41</v>
      </c>
      <c r="R86" s="2290">
        <v>3</v>
      </c>
    </row>
    <row r="87" spans="2:18" s="1995" customFormat="1" ht="15.75" customHeight="1">
      <c r="B87" s="2292"/>
      <c r="C87" s="1996"/>
      <c r="D87" s="2578"/>
      <c r="E87" s="2584"/>
      <c r="F87" s="1991"/>
      <c r="G87" s="2583"/>
      <c r="H87" s="2583"/>
      <c r="I87" s="1991"/>
      <c r="J87" s="1991"/>
      <c r="K87" s="1991"/>
      <c r="L87" s="1991"/>
      <c r="M87" s="2583"/>
      <c r="N87" s="1991"/>
      <c r="O87" s="1991"/>
      <c r="P87" s="1991"/>
      <c r="Q87" s="1991"/>
      <c r="R87" s="2583"/>
    </row>
    <row r="88" spans="2:18" s="1995" customFormat="1" ht="15.75" customHeight="1">
      <c r="B88" s="2544" t="s">
        <v>1578</v>
      </c>
      <c r="C88" s="1996"/>
      <c r="D88" s="2578"/>
      <c r="E88" s="2290">
        <v>139</v>
      </c>
      <c r="F88" s="2290">
        <v>139</v>
      </c>
      <c r="G88" s="2290">
        <v>3</v>
      </c>
      <c r="H88" s="2290">
        <v>3</v>
      </c>
      <c r="I88" s="2290"/>
      <c r="J88" s="2290">
        <v>66</v>
      </c>
      <c r="K88" s="2290">
        <v>41</v>
      </c>
      <c r="L88" s="2290">
        <v>41</v>
      </c>
      <c r="M88" s="2290">
        <v>3</v>
      </c>
      <c r="N88" s="1991"/>
      <c r="O88" s="2290">
        <v>66</v>
      </c>
      <c r="P88" s="2290">
        <v>41</v>
      </c>
      <c r="Q88" s="2290">
        <v>41</v>
      </c>
      <c r="R88" s="2290">
        <v>3</v>
      </c>
    </row>
    <row r="89" spans="2:18" s="1995" customFormat="1" ht="15.75" customHeight="1">
      <c r="B89" s="2292"/>
      <c r="C89" s="1996"/>
      <c r="D89" s="2001"/>
      <c r="E89" s="2584"/>
      <c r="F89" s="2584"/>
      <c r="G89" s="2583"/>
      <c r="H89" s="2583"/>
      <c r="I89" s="1991"/>
      <c r="J89" s="1991"/>
      <c r="K89" s="1991"/>
      <c r="L89" s="1991"/>
      <c r="M89" s="2583"/>
      <c r="N89" s="1991"/>
      <c r="O89" s="1991"/>
      <c r="P89" s="1991"/>
      <c r="Q89" s="1991"/>
      <c r="R89" s="2583"/>
    </row>
    <row r="90" spans="2:18" s="1995" customFormat="1" ht="15.75" customHeight="1">
      <c r="B90" s="2544" t="s">
        <v>1866</v>
      </c>
      <c r="C90" s="1996"/>
      <c r="D90" s="1998"/>
      <c r="E90" s="2290">
        <v>139</v>
      </c>
      <c r="F90" s="2290">
        <v>139</v>
      </c>
      <c r="G90" s="2290">
        <v>3</v>
      </c>
      <c r="H90" s="2290">
        <v>3</v>
      </c>
      <c r="I90" s="2290"/>
      <c r="J90" s="2290">
        <v>66</v>
      </c>
      <c r="K90" s="2290">
        <v>41</v>
      </c>
      <c r="L90" s="2290">
        <v>41</v>
      </c>
      <c r="M90" s="2290">
        <v>3</v>
      </c>
      <c r="N90" s="1991"/>
      <c r="O90" s="2290">
        <v>66</v>
      </c>
      <c r="P90" s="2290">
        <v>41</v>
      </c>
      <c r="Q90" s="2290">
        <v>41</v>
      </c>
      <c r="R90" s="2290">
        <v>3</v>
      </c>
    </row>
    <row r="91" spans="2:18" s="1995" customFormat="1" ht="15.75" customHeight="1">
      <c r="B91" s="2292"/>
      <c r="C91" s="1996"/>
      <c r="D91" s="1998"/>
      <c r="E91" s="2583"/>
      <c r="F91" s="1991"/>
      <c r="G91" s="2583"/>
      <c r="H91" s="2583"/>
      <c r="I91" s="1991"/>
      <c r="J91" s="1991"/>
      <c r="K91" s="1991"/>
      <c r="L91" s="1991"/>
      <c r="M91" s="2583"/>
      <c r="N91" s="1991"/>
      <c r="O91" s="1991"/>
      <c r="P91" s="1991"/>
      <c r="Q91" s="1991"/>
      <c r="R91" s="2583"/>
    </row>
    <row r="92" spans="2:18" s="1995" customFormat="1" ht="15.75" customHeight="1">
      <c r="B92" s="2544" t="s">
        <v>1865</v>
      </c>
      <c r="C92" s="1996"/>
      <c r="D92" s="2578"/>
      <c r="E92" s="2290">
        <v>139</v>
      </c>
      <c r="F92" s="2290">
        <v>139</v>
      </c>
      <c r="G92" s="2290">
        <v>3</v>
      </c>
      <c r="H92" s="2290">
        <v>3</v>
      </c>
      <c r="I92" s="2290"/>
      <c r="J92" s="2290">
        <v>66</v>
      </c>
      <c r="K92" s="2290">
        <v>41</v>
      </c>
      <c r="L92" s="2290">
        <v>41</v>
      </c>
      <c r="M92" s="2290">
        <v>3</v>
      </c>
      <c r="N92" s="1991"/>
      <c r="O92" s="2290">
        <v>66</v>
      </c>
      <c r="P92" s="2290">
        <v>41</v>
      </c>
      <c r="Q92" s="2290">
        <v>41</v>
      </c>
      <c r="R92" s="2290">
        <v>3</v>
      </c>
    </row>
    <row r="93" spans="2:18" s="1995" customFormat="1" ht="15.75" customHeight="1">
      <c r="B93" s="2292"/>
      <c r="C93" s="1996"/>
      <c r="D93" s="2001"/>
      <c r="E93" s="2584"/>
      <c r="F93" s="1991"/>
      <c r="G93" s="2583"/>
      <c r="H93" s="2583"/>
      <c r="I93" s="1991"/>
      <c r="J93" s="1991"/>
      <c r="K93" s="1991"/>
      <c r="L93" s="1991"/>
      <c r="M93" s="2583"/>
      <c r="N93" s="1991"/>
      <c r="O93" s="1991"/>
      <c r="P93" s="1991"/>
      <c r="Q93" s="1991"/>
      <c r="R93" s="2583"/>
    </row>
    <row r="94" spans="2:18" s="1995" customFormat="1" ht="15.75" customHeight="1">
      <c r="B94" s="2544" t="s">
        <v>1576</v>
      </c>
      <c r="C94" s="1996"/>
      <c r="D94" s="1998"/>
      <c r="E94" s="2290">
        <v>139</v>
      </c>
      <c r="F94" s="2290">
        <v>139</v>
      </c>
      <c r="G94" s="2290">
        <v>3</v>
      </c>
      <c r="H94" s="2290">
        <v>3</v>
      </c>
      <c r="I94" s="2290"/>
      <c r="J94" s="2290">
        <v>66</v>
      </c>
      <c r="K94" s="2290">
        <v>41</v>
      </c>
      <c r="L94" s="2290">
        <v>41</v>
      </c>
      <c r="M94" s="2290">
        <v>3</v>
      </c>
      <c r="N94" s="1991"/>
      <c r="O94" s="2290">
        <v>66</v>
      </c>
      <c r="P94" s="2290">
        <v>41</v>
      </c>
      <c r="Q94" s="2290">
        <v>41</v>
      </c>
      <c r="R94" s="2290">
        <v>3</v>
      </c>
    </row>
    <row r="95" spans="2:18" s="1995" customFormat="1" ht="15.75" customHeight="1">
      <c r="B95" s="2292"/>
      <c r="C95" s="1996"/>
      <c r="D95" s="1998"/>
      <c r="E95" s="1997"/>
      <c r="F95" s="2583"/>
      <c r="G95" s="2583"/>
      <c r="H95" s="2583"/>
      <c r="I95" s="1991"/>
      <c r="J95" s="1991"/>
      <c r="K95" s="1991"/>
      <c r="L95" s="1991"/>
      <c r="M95" s="2583"/>
      <c r="N95" s="1991"/>
      <c r="O95" s="1991"/>
      <c r="P95" s="1991"/>
      <c r="Q95" s="1991"/>
      <c r="R95" s="2583"/>
    </row>
    <row r="96" spans="2:18" s="1995" customFormat="1" ht="15.75" customHeight="1">
      <c r="B96" s="2544" t="s">
        <v>1864</v>
      </c>
      <c r="C96" s="1996"/>
      <c r="D96" s="2578"/>
      <c r="E96" s="2290">
        <v>139</v>
      </c>
      <c r="F96" s="2290">
        <v>139</v>
      </c>
      <c r="G96" s="2290">
        <v>3</v>
      </c>
      <c r="H96" s="2290">
        <v>3</v>
      </c>
      <c r="I96" s="2290"/>
      <c r="J96" s="2290">
        <v>66</v>
      </c>
      <c r="K96" s="2290">
        <v>41</v>
      </c>
      <c r="L96" s="2290">
        <v>41</v>
      </c>
      <c r="M96" s="2290">
        <v>3</v>
      </c>
      <c r="N96" s="1991"/>
      <c r="O96" s="2290">
        <v>66</v>
      </c>
      <c r="P96" s="2290">
        <v>41</v>
      </c>
      <c r="Q96" s="2290">
        <v>41</v>
      </c>
      <c r="R96" s="2290">
        <v>3</v>
      </c>
    </row>
    <row r="97" spans="1:19" s="1995" customFormat="1" ht="15.75" customHeight="1">
      <c r="B97" s="2292"/>
      <c r="C97" s="1996"/>
      <c r="D97" s="2001"/>
      <c r="E97" s="2583"/>
      <c r="F97" s="1991"/>
      <c r="G97" s="2583"/>
      <c r="H97" s="2583"/>
      <c r="I97" s="1991"/>
      <c r="J97" s="1991"/>
      <c r="K97" s="1991"/>
      <c r="L97" s="1991"/>
      <c r="M97" s="2583"/>
      <c r="N97" s="1991"/>
      <c r="O97" s="1991"/>
      <c r="P97" s="1991"/>
      <c r="Q97" s="1991"/>
      <c r="R97" s="2583"/>
    </row>
    <row r="98" spans="1:19" s="1995" customFormat="1" ht="15.75" customHeight="1">
      <c r="B98" s="2544" t="s">
        <v>1682</v>
      </c>
      <c r="C98" s="1996"/>
      <c r="D98" s="1998"/>
      <c r="E98" s="2290">
        <v>139</v>
      </c>
      <c r="F98" s="2290">
        <v>139</v>
      </c>
      <c r="G98" s="2290">
        <v>3</v>
      </c>
      <c r="H98" s="2290">
        <v>3</v>
      </c>
      <c r="I98" s="2290"/>
      <c r="J98" s="2290">
        <v>66</v>
      </c>
      <c r="K98" s="2290">
        <v>41</v>
      </c>
      <c r="L98" s="2290">
        <v>41</v>
      </c>
      <c r="M98" s="2290">
        <v>3</v>
      </c>
      <c r="N98" s="1991"/>
      <c r="O98" s="2290">
        <v>66</v>
      </c>
      <c r="P98" s="2290">
        <v>41</v>
      </c>
      <c r="Q98" s="2290">
        <v>41</v>
      </c>
      <c r="R98" s="2290">
        <v>3</v>
      </c>
    </row>
    <row r="99" spans="1:19" s="1995" customFormat="1" ht="15.75" customHeight="1">
      <c r="B99" s="2292"/>
      <c r="C99" s="1996"/>
      <c r="D99" s="1998"/>
      <c r="E99" s="2584"/>
      <c r="F99" s="1991"/>
      <c r="G99" s="2583"/>
      <c r="H99" s="2583"/>
      <c r="I99" s="1991"/>
      <c r="J99" s="1991"/>
      <c r="K99" s="1991"/>
      <c r="L99" s="1991"/>
      <c r="M99" s="2583"/>
      <c r="N99" s="1991"/>
      <c r="O99" s="1991"/>
      <c r="P99" s="1991"/>
      <c r="Q99" s="1991"/>
      <c r="R99" s="2583"/>
    </row>
    <row r="100" spans="1:19" s="1995" customFormat="1" ht="15.75" customHeight="1">
      <c r="B100" s="2544" t="s">
        <v>1685</v>
      </c>
      <c r="C100" s="1996"/>
      <c r="D100" s="1998"/>
      <c r="E100" s="2290">
        <v>139</v>
      </c>
      <c r="F100" s="2290">
        <v>139</v>
      </c>
      <c r="G100" s="2290">
        <v>3</v>
      </c>
      <c r="H100" s="2290">
        <v>3</v>
      </c>
      <c r="I100" s="2290"/>
      <c r="J100" s="2290">
        <v>66</v>
      </c>
      <c r="K100" s="2290">
        <v>41</v>
      </c>
      <c r="L100" s="2290">
        <v>41</v>
      </c>
      <c r="M100" s="2290">
        <v>3</v>
      </c>
      <c r="N100" s="1991"/>
      <c r="O100" s="2290">
        <v>66</v>
      </c>
      <c r="P100" s="2290">
        <v>41</v>
      </c>
      <c r="Q100" s="2290">
        <v>41</v>
      </c>
      <c r="R100" s="2290">
        <v>3</v>
      </c>
    </row>
    <row r="101" spans="1:19" s="1995" customFormat="1" ht="15.75" customHeight="1">
      <c r="B101" s="2292"/>
      <c r="C101" s="1996"/>
      <c r="D101" s="2001"/>
      <c r="E101" s="1992"/>
      <c r="F101" s="1992"/>
      <c r="G101" s="2583"/>
      <c r="H101" s="2583"/>
      <c r="I101" s="1991"/>
      <c r="J101" s="1991"/>
      <c r="K101" s="1991"/>
      <c r="L101" s="1991"/>
      <c r="M101" s="2583"/>
      <c r="N101" s="1991"/>
      <c r="O101" s="1991"/>
      <c r="P101" s="1991"/>
      <c r="Q101" s="1991"/>
      <c r="R101" s="2583"/>
    </row>
    <row r="102" spans="1:19" s="1995" customFormat="1" ht="15.75" customHeight="1">
      <c r="B102" s="2544" t="s">
        <v>1684</v>
      </c>
      <c r="C102" s="1996"/>
      <c r="D102" s="1998"/>
      <c r="E102" s="2290">
        <v>139</v>
      </c>
      <c r="F102" s="2290">
        <v>139</v>
      </c>
      <c r="G102" s="2290">
        <v>3</v>
      </c>
      <c r="H102" s="2290">
        <v>3</v>
      </c>
      <c r="I102" s="2290"/>
      <c r="J102" s="2290">
        <v>66</v>
      </c>
      <c r="K102" s="2290">
        <v>41</v>
      </c>
      <c r="L102" s="2290">
        <v>41</v>
      </c>
      <c r="M102" s="2290">
        <v>3</v>
      </c>
      <c r="N102" s="1991"/>
      <c r="O102" s="2290">
        <v>66</v>
      </c>
      <c r="P102" s="2290">
        <v>41</v>
      </c>
      <c r="Q102" s="2290">
        <v>41</v>
      </c>
      <c r="R102" s="2290">
        <v>3</v>
      </c>
    </row>
    <row r="103" spans="1:19" s="1995" customFormat="1" ht="15.75" customHeight="1">
      <c r="B103" s="2292"/>
      <c r="C103" s="1996"/>
      <c r="D103" s="1998"/>
      <c r="E103" s="2584"/>
      <c r="F103" s="1991"/>
      <c r="G103" s="2583"/>
      <c r="H103" s="2583"/>
      <c r="I103" s="1991"/>
      <c r="J103" s="1991"/>
      <c r="K103" s="1991"/>
      <c r="L103" s="1991"/>
      <c r="M103" s="2583"/>
      <c r="N103" s="1991"/>
      <c r="O103" s="1991"/>
      <c r="P103" s="1991"/>
      <c r="Q103" s="1991"/>
      <c r="R103" s="2583"/>
    </row>
    <row r="104" spans="1:19" s="1995" customFormat="1" ht="15.75" customHeight="1">
      <c r="B104" s="2544" t="s">
        <v>1683</v>
      </c>
      <c r="C104" s="1996"/>
      <c r="D104" s="1998"/>
      <c r="E104" s="2290">
        <v>139</v>
      </c>
      <c r="F104" s="2290">
        <v>139</v>
      </c>
      <c r="G104" s="2290">
        <v>3</v>
      </c>
      <c r="H104" s="2290">
        <v>3</v>
      </c>
      <c r="I104" s="2290"/>
      <c r="J104" s="2290">
        <v>66</v>
      </c>
      <c r="K104" s="2290">
        <v>41</v>
      </c>
      <c r="L104" s="2290">
        <v>41</v>
      </c>
      <c r="M104" s="2290">
        <v>3</v>
      </c>
      <c r="N104" s="1991"/>
      <c r="O104" s="2290">
        <v>66</v>
      </c>
      <c r="P104" s="2290">
        <v>41</v>
      </c>
      <c r="Q104" s="2290">
        <v>41</v>
      </c>
      <c r="R104" s="2290">
        <v>3</v>
      </c>
    </row>
    <row r="105" spans="1:19" s="1995" customFormat="1" ht="12.95" customHeight="1">
      <c r="B105" s="2048"/>
      <c r="C105" s="1996"/>
      <c r="D105" s="2001"/>
      <c r="E105" s="1992"/>
      <c r="F105" s="2583"/>
      <c r="G105" s="1991"/>
      <c r="H105" s="2583"/>
      <c r="I105" s="1991"/>
      <c r="J105" s="1991"/>
      <c r="K105" s="1991"/>
      <c r="L105" s="1991"/>
      <c r="M105" s="2583"/>
      <c r="N105" s="1991"/>
      <c r="O105" s="1991"/>
      <c r="P105" s="1991"/>
      <c r="Q105" s="1991"/>
      <c r="R105" s="2583"/>
    </row>
    <row r="106" spans="1:19" s="2577" customFormat="1" ht="15.2" customHeight="1">
      <c r="B106" s="2582"/>
      <c r="C106" s="1990"/>
      <c r="D106" s="1994"/>
      <c r="E106" s="2581"/>
      <c r="F106" s="2579"/>
      <c r="G106" s="2580"/>
      <c r="H106" s="2290"/>
      <c r="I106" s="2580"/>
      <c r="J106" s="2579"/>
      <c r="K106" s="2579"/>
      <c r="L106" s="2579"/>
      <c r="M106" s="2290"/>
      <c r="N106" s="2579"/>
      <c r="O106" s="2579"/>
      <c r="P106" s="2579"/>
      <c r="Q106" s="2579"/>
      <c r="R106" s="2290">
        <v>3</v>
      </c>
      <c r="S106" s="2578"/>
    </row>
    <row r="107" spans="1:19" s="2569" customFormat="1" ht="7.5" customHeight="1" thickBot="1">
      <c r="A107" s="2576"/>
      <c r="B107" s="2575"/>
      <c r="C107" s="2575"/>
      <c r="D107" s="2574"/>
      <c r="E107" s="2571"/>
      <c r="F107" s="2572"/>
      <c r="G107" s="2573"/>
      <c r="H107" s="2573"/>
      <c r="I107" s="2573"/>
      <c r="J107" s="2572"/>
      <c r="K107" s="2571"/>
      <c r="L107" s="2571"/>
      <c r="M107" s="2571"/>
      <c r="N107" s="2571"/>
      <c r="O107" s="2571"/>
      <c r="P107" s="2571"/>
      <c r="Q107" s="2571"/>
      <c r="R107" s="2570"/>
    </row>
    <row r="108" spans="1:19" s="222" customFormat="1" ht="15.2" customHeight="1">
      <c r="D108" s="2568"/>
      <c r="E108" s="2928" t="s">
        <v>264</v>
      </c>
      <c r="F108" s="2928"/>
      <c r="G108" s="2928"/>
      <c r="H108" s="2928"/>
      <c r="I108" s="2928"/>
      <c r="J108" s="2928"/>
      <c r="K108" s="2928"/>
      <c r="L108" s="2928"/>
      <c r="M108" s="2928"/>
      <c r="N108" s="2928"/>
      <c r="O108" s="2928"/>
      <c r="P108" s="2928"/>
      <c r="Q108" s="2928"/>
      <c r="R108" s="2928"/>
    </row>
    <row r="109" spans="1:19" s="222" customFormat="1" ht="15.2" customHeight="1">
      <c r="D109" s="2568"/>
      <c r="E109" s="2929" t="s">
        <v>265</v>
      </c>
      <c r="F109" s="2929"/>
      <c r="G109" s="2929"/>
      <c r="H109" s="2929"/>
      <c r="I109" s="2929"/>
      <c r="J109" s="2929"/>
      <c r="K109" s="2929"/>
      <c r="L109" s="2929"/>
      <c r="M109" s="2929"/>
      <c r="N109" s="2929"/>
      <c r="O109" s="2929"/>
      <c r="P109" s="2929"/>
      <c r="Q109" s="2929"/>
      <c r="R109" s="2929"/>
    </row>
  </sheetData>
  <mergeCells count="12">
    <mergeCell ref="E109:R109"/>
    <mergeCell ref="E7:H7"/>
    <mergeCell ref="J7:M7"/>
    <mergeCell ref="O7:R7"/>
    <mergeCell ref="E63:H63"/>
    <mergeCell ref="J63:M63"/>
    <mergeCell ref="O63:R63"/>
    <mergeCell ref="B7:B8"/>
    <mergeCell ref="B63:B64"/>
    <mergeCell ref="E55:R55"/>
    <mergeCell ref="E56:R56"/>
    <mergeCell ref="E108:R108"/>
  </mergeCells>
  <printOptions horizontalCentered="1"/>
  <pageMargins left="0.55118110236220474" right="0.55118110236220474" top="0.55118110236220474" bottom="0.55118110236220474" header="0.31496062992125984" footer="0.31496062992125984"/>
  <pageSetup paperSize="9" scale="58" fitToWidth="0" fitToHeight="0" orientation="portrait" r:id="rId1"/>
  <rowBreaks count="1" manualBreakCount="1">
    <brk id="56" max="17"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92</vt:i4>
      </vt:variant>
      <vt:variant>
        <vt:lpstr>Named Ranges</vt:lpstr>
      </vt:variant>
      <vt:variant>
        <vt:i4>69</vt:i4>
      </vt:variant>
    </vt:vector>
  </HeadingPairs>
  <TitlesOfParts>
    <vt:vector size="161" baseType="lpstr">
      <vt:lpstr>1.0_Maklumat_Asas</vt:lpstr>
      <vt:lpstr>2.0_Penduduk_Malaysia</vt:lpstr>
      <vt:lpstr>2.1_Penduduk_Negeri</vt:lpstr>
      <vt:lpstr>2.2_Penduduk_Parlimen</vt:lpstr>
      <vt:lpstr>2.3_Penduduk</vt:lpstr>
      <vt:lpstr>3.0_Perumahan</vt:lpstr>
      <vt:lpstr>4.0_Guna_Tenaga</vt:lpstr>
      <vt:lpstr>5.0_Pendapatan</vt:lpstr>
      <vt:lpstr>6.0_Pendidikan_SK</vt:lpstr>
      <vt:lpstr>6.1_Pendidikan_Swasta</vt:lpstr>
      <vt:lpstr>7.0_Kesihatan</vt:lpstr>
      <vt:lpstr>8.0_Jantina</vt:lpstr>
      <vt:lpstr>8.1_Etnik</vt:lpstr>
      <vt:lpstr>8.2_Agama</vt:lpstr>
      <vt:lpstr>8.3_Umur</vt:lpstr>
      <vt:lpstr>9.0_Keselamatan_Awam</vt:lpstr>
      <vt:lpstr>10.0_IMS</vt:lpstr>
      <vt:lpstr>11.0_Air_Elektrik_Sampah</vt:lpstr>
      <vt:lpstr>12.0_Pertubuhan</vt:lpstr>
      <vt:lpstr>12.1_Prtubuhn_Perkhdmtn</vt:lpstr>
      <vt:lpstr>12.1_Prtubuhn_Perkhdmtn_1</vt:lpstr>
      <vt:lpstr>12.2_Kemudahan_Asas</vt:lpstr>
      <vt:lpstr>13.0_Fasiliti_awam</vt:lpstr>
      <vt:lpstr>13.0_Fasiliti_awam_1</vt:lpstr>
      <vt:lpstr>13.1_Statistik_Perkhidmtn_lain</vt:lpstr>
      <vt:lpstr>13.2_Koperasi</vt:lpstr>
      <vt:lpstr>14.0_KDNK</vt:lpstr>
      <vt:lpstr>14.0_KDNK_1</vt:lpstr>
      <vt:lpstr>14.0_KDNK_2</vt:lpstr>
      <vt:lpstr>15.0_Pasaran_Kewagn</vt:lpstr>
      <vt:lpstr>16.0_Akaun_ SP</vt:lpstr>
      <vt:lpstr>17.0_Akaun_ STMK</vt:lpstr>
      <vt:lpstr>18.0_Stok_Modal</vt:lpstr>
      <vt:lpstr>19.0_Imbagn_Pembayaran</vt:lpstr>
      <vt:lpstr>20.0_Eksport_Import</vt:lpstr>
      <vt:lpstr>21.0_Pelancongn_Domestik</vt:lpstr>
      <vt:lpstr>22.0_Pasaran_Buruh</vt:lpstr>
      <vt:lpstr>22.0_Pasaran_Buruh_1</vt:lpstr>
      <vt:lpstr>23.0_IHP</vt:lpstr>
      <vt:lpstr>23.1_Harga_Item_Terpilih</vt:lpstr>
      <vt:lpstr>23.1_Harga_Item_Terpilih_1</vt:lpstr>
      <vt:lpstr>24.0_IHPR</vt:lpstr>
      <vt:lpstr>25.0_Kecederaan_Pekerja</vt:lpstr>
      <vt:lpstr>25.0_Kecederaan_Pekerja_1</vt:lpstr>
      <vt:lpstr>26.0_Peratusan_Ahli_Parlimen</vt:lpstr>
      <vt:lpstr>27.0_Bilangan_Hakim</vt:lpstr>
      <vt:lpstr>28.0_Bilangan_Hakim_Syariah</vt:lpstr>
      <vt:lpstr>29.0_Bil_KSU</vt:lpstr>
      <vt:lpstr>30.0_Bil_Murid</vt:lpstr>
      <vt:lpstr>31.0_Jenayah_kekerasan</vt:lpstr>
      <vt:lpstr>31.1_Jenayah_harta_benda</vt:lpstr>
      <vt:lpstr>32.0_Kemalangan_Jalan_Raya</vt:lpstr>
      <vt:lpstr>33.0 Oku_kumulatif</vt:lpstr>
      <vt:lpstr>34.0_Capaian_ICT_Isi_Rumh</vt:lpstr>
      <vt:lpstr>35.0_Pendpatn_Perbelanjaan</vt:lpstr>
      <vt:lpstr>36.0_Penggunaan_Perkapita_PCC</vt:lpstr>
      <vt:lpstr>36.1_Perkapita_Pertanian</vt:lpstr>
      <vt:lpstr>37.0_Purata_Suhu</vt:lpstr>
      <vt:lpstr>37.0_Purata_Suhu_1</vt:lpstr>
      <vt:lpstr>37.0_Purata_Suhu_2</vt:lpstr>
      <vt:lpstr>37.0_Purata_Suhu_3</vt:lpstr>
      <vt:lpstr>38.0_hujan</vt:lpstr>
      <vt:lpstr>38.0_hujan_1</vt:lpstr>
      <vt:lpstr>38.0_hujan_2</vt:lpstr>
      <vt:lpstr>38.0_hujan_3</vt:lpstr>
      <vt:lpstr>39.0_Kelembapan</vt:lpstr>
      <vt:lpstr>39_0_Kelembapan_1</vt:lpstr>
      <vt:lpstr>40.0_Kes_COVID 19</vt:lpstr>
      <vt:lpstr>40.1_Penerima_Vaksin_Malaysia</vt:lpstr>
      <vt:lpstr>41.0_Agihan_Zakat</vt:lpstr>
      <vt:lpstr>42.0_KDNK </vt:lpstr>
      <vt:lpstr>42.1_KDNK_DP</vt:lpstr>
      <vt:lpstr>43.0_Dagangan</vt:lpstr>
      <vt:lpstr>44.0_Pelancongan</vt:lpstr>
      <vt:lpstr>45.0_Buruh</vt:lpstr>
      <vt:lpstr>45.0_Buruh_1</vt:lpstr>
      <vt:lpstr>45.1_Buruh_DP </vt:lpstr>
      <vt:lpstr>46.0_Harga</vt:lpstr>
      <vt:lpstr>46.1_AUP</vt:lpstr>
      <vt:lpstr>46.1_AUP_1</vt:lpstr>
      <vt:lpstr>47.0_Kemalangan_Pekerjaan</vt:lpstr>
      <vt:lpstr>47.0_Kemalangan_Pekerjaan_1</vt:lpstr>
      <vt:lpstr>48.0_Bil_Murid_negeri</vt:lpstr>
      <vt:lpstr>49.0_Taman_Asuhan </vt:lpstr>
      <vt:lpstr>49.0_Asuhan_bil_kanak</vt:lpstr>
      <vt:lpstr>50.0_Jenayah</vt:lpstr>
      <vt:lpstr>50.1_Jenayah </vt:lpstr>
      <vt:lpstr>51.0_Kemalangan_Jalan_Raya </vt:lpstr>
      <vt:lpstr>52.0_ICT</vt:lpstr>
      <vt:lpstr>53.0_Pendapatan</vt:lpstr>
      <vt:lpstr>54.0_Pertanian </vt:lpstr>
      <vt:lpstr>55.0_Penerima_Vaksin_state </vt:lpstr>
      <vt:lpstr>'1.0_Maklumat_Asas'!Print_Area</vt:lpstr>
      <vt:lpstr>'10.0_IMS'!Print_Area</vt:lpstr>
      <vt:lpstr>'11.0_Air_Elektrik_Sampah'!Print_Area</vt:lpstr>
      <vt:lpstr>'12.0_Pertubuhan'!Print_Area</vt:lpstr>
      <vt:lpstr>'12.1_Prtubuhn_Perkhdmtn'!Print_Area</vt:lpstr>
      <vt:lpstr>'12.1_Prtubuhn_Perkhdmtn_1'!Print_Area</vt:lpstr>
      <vt:lpstr>'12.2_Kemudahan_Asas'!Print_Area</vt:lpstr>
      <vt:lpstr>'13.0_Fasiliti_awam'!Print_Area</vt:lpstr>
      <vt:lpstr>'13.0_Fasiliti_awam_1'!Print_Area</vt:lpstr>
      <vt:lpstr>'13.1_Statistik_Perkhidmtn_lain'!Print_Area</vt:lpstr>
      <vt:lpstr>'14.0_KDNK_1'!Print_Area</vt:lpstr>
      <vt:lpstr>'14.0_KDNK_2'!Print_Area</vt:lpstr>
      <vt:lpstr>'16.0_Akaun_ SP'!Print_Area</vt:lpstr>
      <vt:lpstr>'18.0_Stok_Modal'!Print_Area</vt:lpstr>
      <vt:lpstr>'19.0_Imbagn_Pembayaran'!Print_Area</vt:lpstr>
      <vt:lpstr>'2.0_Penduduk_Malaysia'!Print_Area</vt:lpstr>
      <vt:lpstr>'2.1_Penduduk_Negeri'!Print_Area</vt:lpstr>
      <vt:lpstr>'2.3_Penduduk'!Print_Area</vt:lpstr>
      <vt:lpstr>'20.0_Eksport_Import'!Print_Area</vt:lpstr>
      <vt:lpstr>'22.0_Pasaran_Buruh'!Print_Area</vt:lpstr>
      <vt:lpstr>'23.1_Harga_Item_Terpilih'!Print_Area</vt:lpstr>
      <vt:lpstr>'23.1_Harga_Item_Terpilih_1'!Print_Area</vt:lpstr>
      <vt:lpstr>'24.0_IHPR'!Print_Area</vt:lpstr>
      <vt:lpstr>'25.0_Kecederaan_Pekerja'!Print_Area</vt:lpstr>
      <vt:lpstr>'26.0_Peratusan_Ahli_Parlimen'!Print_Area</vt:lpstr>
      <vt:lpstr>'27.0_Bilangan_Hakim'!Print_Area</vt:lpstr>
      <vt:lpstr>'28.0_Bilangan_Hakim_Syariah'!Print_Area</vt:lpstr>
      <vt:lpstr>'29.0_Bil_KSU'!Print_Area</vt:lpstr>
      <vt:lpstr>'3.0_Perumahan'!Print_Area</vt:lpstr>
      <vt:lpstr>'31.0_Jenayah_kekerasan'!Print_Area</vt:lpstr>
      <vt:lpstr>'31.1_Jenayah_harta_benda'!Print_Area</vt:lpstr>
      <vt:lpstr>'33.0 Oku_kumulatif'!Print_Area</vt:lpstr>
      <vt:lpstr>'34.0_Capaian_ICT_Isi_Rumh'!Print_Area</vt:lpstr>
      <vt:lpstr>'35.0_Pendpatn_Perbelanjaan'!Print_Area</vt:lpstr>
      <vt:lpstr>'36.0_Penggunaan_Perkapita_PCC'!Print_Area</vt:lpstr>
      <vt:lpstr>'36.1_Perkapita_Pertanian'!Print_Area</vt:lpstr>
      <vt:lpstr>'37.0_Purata_Suhu'!Print_Area</vt:lpstr>
      <vt:lpstr>'37.0_Purata_Suhu_1'!Print_Area</vt:lpstr>
      <vt:lpstr>'37.0_Purata_Suhu_2'!Print_Area</vt:lpstr>
      <vt:lpstr>'38.0_hujan'!Print_Area</vt:lpstr>
      <vt:lpstr>'38.0_hujan_1'!Print_Area</vt:lpstr>
      <vt:lpstr>'39_0_Kelembapan_1'!Print_Area</vt:lpstr>
      <vt:lpstr>'4.0_Guna_Tenaga'!Print_Area</vt:lpstr>
      <vt:lpstr>'40.0_Kes_COVID 19'!Print_Area</vt:lpstr>
      <vt:lpstr>'41.0_Agihan_Zakat'!Print_Area</vt:lpstr>
      <vt:lpstr>'42.0_KDNK '!Print_Area</vt:lpstr>
      <vt:lpstr>'42.1_KDNK_DP'!Print_Area</vt:lpstr>
      <vt:lpstr>'43.0_Dagangan'!Print_Area</vt:lpstr>
      <vt:lpstr>'44.0_Pelancongan'!Print_Area</vt:lpstr>
      <vt:lpstr>'45.0_Buruh'!Print_Area</vt:lpstr>
      <vt:lpstr>'45.1_Buruh_DP '!Print_Area</vt:lpstr>
      <vt:lpstr>'46.0_Harga'!Print_Area</vt:lpstr>
      <vt:lpstr>'47.0_Kemalangan_Pekerjaan'!Print_Area</vt:lpstr>
      <vt:lpstr>'49.0_Asuhan_bil_kanak'!Print_Area</vt:lpstr>
      <vt:lpstr>'5.0_Pendapatan'!Print_Area</vt:lpstr>
      <vt:lpstr>'51.0_Kemalangan_Jalan_Raya '!Print_Area</vt:lpstr>
      <vt:lpstr>'52.0_ICT'!Print_Area</vt:lpstr>
      <vt:lpstr>'53.0_Pendapatan'!Print_Area</vt:lpstr>
      <vt:lpstr>'54.0_Pertanian '!Print_Area</vt:lpstr>
      <vt:lpstr>'55.0_Penerima_Vaksin_state '!Print_Area</vt:lpstr>
      <vt:lpstr>'6.0_Pendidikan_SK'!Print_Area</vt:lpstr>
      <vt:lpstr>'6.1_Pendidikan_Swasta'!Print_Area</vt:lpstr>
      <vt:lpstr>'7.0_Kesihatan'!Print_Area</vt:lpstr>
      <vt:lpstr>'8.0_Jantina'!Print_Area</vt:lpstr>
      <vt:lpstr>'8.1_Etnik'!Print_Area</vt:lpstr>
      <vt:lpstr>'8.2_Agama'!Print_Area</vt:lpstr>
      <vt:lpstr>'8.3_Umur'!Print_Area</vt:lpstr>
      <vt:lpstr>'9.0_Keselamatan_Awam'!Print_Area</vt:lpstr>
      <vt:lpstr>'23.1_Harga_Item_Terpilih_1'!Print_Titles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aminuddin</cp:lastModifiedBy>
  <cp:lastPrinted>2026-05-21T02:32:12Z</cp:lastPrinted>
  <dcterms:created xsi:type="dcterms:W3CDTF">2023-02-22T07:59:55Z</dcterms:created>
  <dcterms:modified xsi:type="dcterms:W3CDTF">2026-08-16T05:30:47Z</dcterms:modified>
</cp:coreProperties>
</file>